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ables/table10.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5.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sharedStrings.xml" ContentType="application/vnd.openxmlformats-officedocument.spreadsheetml.sharedStrings+xml"/>
  <Override PartName="/xl/styles.xml" ContentType="application/vnd.openxmlformats-officedocument.spreadsheetml.styles+xml"/>
  <Override PartName="/xl/comments18.xml" ContentType="application/vnd.openxmlformats-officedocument.spreadsheetml.comments+xml"/>
  <Override PartName="/xl/comments11.xml" ContentType="application/vnd.openxmlformats-officedocument.spreadsheetml.comments+xml"/>
  <Override PartName="/xl/comments3.xml" ContentType="application/vnd.openxmlformats-officedocument.spreadsheetml.comments+xml"/>
  <Override PartName="/xl/comments19.xml" ContentType="application/vnd.openxmlformats-officedocument.spreadsheetml.comments+xml"/>
  <Override PartName="/xl/theme/theme1.xml" ContentType="application/vnd.openxmlformats-officedocument.them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drawings/vmlDrawing1.vml" ContentType="application/vnd.openxmlformats-officedocument.vmlDrawing"/>
  <Override PartName="/xl/drawings/drawing1.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colors19.xml" ContentType="application/vnd.ms-office.chartcolorstyle+xml"/>
  <Override PartName="/xl/charts/style3.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style15.xml" ContentType="application/vnd.ms-office.chartstyle+xml"/>
  <Override PartName="/xl/charts/colors14.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style17.xml" ContentType="application/vnd.ms-office.chartstyle+xml"/>
  <Override PartName="/xl/charts/style19.xml" ContentType="application/vnd.ms-office.chartstyle+xml"/>
  <Override PartName="/xl/charts/colors15.xml" ContentType="application/vnd.ms-office.chartcolorstyle+xml"/>
  <Override PartName="/xl/charts/chart16.xml" ContentType="application/vnd.openxmlformats-officedocument.drawingml.chart+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chart19.xml" ContentType="application/vnd.openxmlformats-officedocument.drawingml.chart+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20"/>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Process Checklist" sheetId="18" state="visible" r:id="rId20"/>
    <sheet name="Open Items" sheetId="19" state="visible" r:id="rId21"/>
    <sheet name="Schema Reference" sheetId="20" state="visible" r:id="rId22"/>
    <sheet name="Scratchpad (disregard)" sheetId="21" state="visible" r:id="rId23"/>
  </sheets>
  <definedNames>
    <definedName function="false" hidden="false" localSheetId="16" name="_xlnm.Print_Area" vbProcedure="false">Journal!$A$1:$C$302</definedName>
    <definedName function="false" hidden="true" localSheetId="8" name="_xlnm._FilterDatabase" vbProcedure="false">'Market Data'!$A$2:$I$44</definedName>
    <definedName function="false" hidden="true" localSheetId="6" name="_xlnm._FilterDatabase" vbProcedure="false">Scoring!$A$2:$AS$62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Claude</author>
  </authors>
  <commentList>
    <comment ref="F2" authorId="0">
      <text>
        <r>
          <rPr>
            <sz val="10"/>
            <rFont val="Arial"/>
            <family val="2"/>
          </rPr>
          <t xml:space="preserve">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comments11.xml><?xml version="1.0" encoding="utf-8"?>
<comments xmlns="http://schemas.openxmlformats.org/spreadsheetml/2006/main" xmlns:xdr="http://schemas.openxmlformats.org/drawingml/2006/spreadsheetDrawing">
  <authors>
    <author>Claude</author>
  </authors>
  <commentList>
    <comment ref="AG5" authorId="0">
      <text>
        <r>
          <rPr>
            <sz val="10"/>
            <rFont val="Arial"/>
            <family val="2"/>
          </rPr>
          <t xml:space="preserve">10 blank columns are reserved to the left (cols W-AF) so new tickers can be added without relocating this column. When they run out: extend the buffer, move this column further right, and update the two summary formulas above (row 2/3) plus Action Items' references to them.</t>
        </r>
      </text>
    </comment>
  </commentList>
</comments>
</file>

<file path=xl/comments18.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Event must match a value in Journal col B exactly (case-sensitive) for the Event Due Date lookup to resolve -- e.g. 'DCA-CATCHUP-7', not 'Catchup 7' or 'DCA CATCHUP 7'. If Journal's event codes ever get renamed, update here too.</t>
        </r>
      </text>
    </comment>
  </commentList>
</comments>
</file>

<file path=xl/comments19.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Priority order, not a stable ticket ID -- fine to renumber when priorities change or a new item gets inserted partway down the list.</t>
        </r>
      </text>
    </comment>
  </commentList>
</comments>
</file>

<file path=xl/sharedStrings.xml><?xml version="1.0" encoding="utf-8"?>
<sst xmlns="http://schemas.openxmlformats.org/spreadsheetml/2006/main" count="2023" uniqueCount="776">
  <si>
    <t xml:space="preserve">THE LANDRY FAMILY EQUITY INVESTMENT OPERATING SYSTEM — 
STOCK SCORING &amp; PORTFOLIO RISK WORKBOOK</t>
  </si>
  <si>
    <t xml:space="preserve">Companion workbook to Landry System v1.03. Aligned to: Version 1.03 (50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</si>
  <si>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</si>
  <si>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</si>
  <si>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</si>
  <si>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</si>
  <si>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</si>
  <si>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</si>
  <si>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</si>
  <si>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</si>
  <si>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</si>
  <si>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weekly closing prices for current</t>
  </si>
  <si>
    <t xml:space="preserve">holdings (ex-cash-sweep); pairwise correlation and the Rule 36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</si>
  <si>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</si>
  <si>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</si>
  <si>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v1.03)</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</si>
  <si>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</si>
  <si>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</si>
  <si>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</si>
  <si>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36 (Part 7) — Correlation Cap: no position may carry pairwise correlation above 0.70 with more</t>
  </si>
  <si>
    <t xml:space="preserve">than one other holding at the same time.</t>
  </si>
  <si>
    <t xml:space="preserve">Rule 37 (Part 7) — Portfolio drawdown response levels apply automatically; only a documented Tier 1</t>
  </si>
  <si>
    <t xml:space="preserve">re-score restores normal sizing for an affected security.</t>
  </si>
  <si>
    <t xml:space="preserve">Rule 33 (Part 6, added 2026-09-13) — Early Partial Trim: a holding in Probationary Hold (50–64) whose</t>
  </si>
  <si>
    <t xml:space="preserve">triggering indicator(s) are reconfirmed unimproved before the 90-day re-score is trimmed by one-third; may recur up to 3x.</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</si>
  <si>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</si>
  <si>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</si>
  <si>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</si>
  <si>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</si>
  <si>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</si>
  <si>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</si>
  <si>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</si>
  <si>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</si>
  <si>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</si>
  <si>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</si>
  <si>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</si>
  <si>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</si>
  <si>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</si>
  <si>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</si>
  <si>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</si>
  <si>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</si>
  <si>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 not a duplicate of what the Scoring/Correlation/Drawdown tabs already record as data.</t>
  </si>
  <si>
    <t xml:space="preserve">Market Data: Claude-populated via yfinance (landry.data_auto.market_snapshot), refreshed periodically, not a live formula -- corrected 2026-08-26; the STOCKHISTORY/Stocks-data-type approach previously documented here was never actually implemented (the tab sat empty). Scope: current holdings (excluding cash-sweep vehicles FZDXX/FZFXX/VMFXX/QACDS) plus any 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</si>
  <si>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</si>
  <si>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</si>
  <si>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</si>
  <si>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</si>
  <si>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</si>
  <si>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</si>
  <si>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</si>
  <si>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</si>
  <si>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</si>
  <si>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</si>
  <si>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31-34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</si>
  <si>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</si>
  <si>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</si>
  <si>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</si>
  <si>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21-30 (see Holding Monitor tab for detail)</t>
  </si>
  <si>
    <t xml:space="preserve">Holdings with action required within 30 days:</t>
  </si>
  <si>
    <t xml:space="preserve">Holdings under Hold Through (monitor only, no action):</t>
  </si>
  <si>
    <t xml:space="preserve">3. CORRELATION CAP — Rule 36 (see Correlation Matrix tab for detail)</t>
  </si>
  <si>
    <t xml:space="preserve">Rule 36 status:</t>
  </si>
  <si>
    <t xml:space="preserve">Positions exceeding cap:</t>
  </si>
  <si>
    <t xml:space="preserve">4. PORTFOLIO DRAWDOWN STATUS — Rule 37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</si>
  <si>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</si>
  <si>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</si>
  <si>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</si>
  <si>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</si>
  <si>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</si>
  <si>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</si>
  <si>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</si>
  <si>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</si>
  <si>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</si>
  <si>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</si>
  <si>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</si>
  <si>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7. PIOTROSKI CROSS-CHECKS -- RETIRED 9/11/26. Tested on an 8-ticker diagnostic batch, dropped as redundant for how this system is actually used (see Journal row 42-43). Historical data left in place at Scoring cols AN-AS as a record of the experiment; no longer live-tallied here.</t>
  </si>
  <si>
    <t xml:space="preserve">Candidates flagged LOW CONF on Accruals (CFO does not exceed Net Income):</t>
  </si>
  <si>
    <t xml:space="preserve">Candidates with Debt/FCF trending up year-over-year:</t>
  </si>
  <si>
    <t xml:space="preserve">Combined current positions, both accounts, as of 09/08/2026 (DCA-TRANCHE-2 executed)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</si>
  <si>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</si>
  <si>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</si>
  <si>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</si>
  <si>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</si>
  <si>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</si>
  <si>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</si>
  <si>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</si>
  <si>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</si>
  <si>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</si>
  <si>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</si>
  <si>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</si>
  <si>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</si>
  <si>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</si>
  <si>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</si>
  <si>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</si>
  <si>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</si>
  <si>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</si>
  <si>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</si>
  <si>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</si>
  <si>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</si>
  <si>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</si>
  <si>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</si>
  <si>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</si>
  <si>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</si>
  <si>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</si>
  <si>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</si>
  <si>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</si>
  <si>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</si>
  <si>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</si>
  <si>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</si>
  <si>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</si>
  <si>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</si>
  <si>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</si>
  <si>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</si>
  <si>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</si>
  <si>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</si>
  <si>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</si>
  <si>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</si>
  <si>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</si>
  <si>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V</t>
  </si>
  <si>
    <t xml:space="preserve">Visa Inc.</t>
  </si>
  <si>
    <t xml:space="preserve">NEW position 9/8/26 -- DCA-TRANCHE-2, opened per Entry Checklist authorization (Composite 86.4, STRONG BUY). 2 lots: 25sh @ $368.38 + 25sh @ $369.565.</t>
  </si>
  <si>
    <t xml:space="preserve">FZDXX</t>
  </si>
  <si>
    <t xml:space="preserve">Fidelity Money Market Premium</t>
  </si>
  <si>
    <t xml:space="preserve">Cash</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</si>
  <si>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</si>
  <si>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</si>
  <si>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</si>
  <si>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</si>
  <si>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</si>
  <si>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</si>
  <si>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</si>
  <si>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</si>
  <si>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</si>
  <si>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</si>
  <si>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</si>
  <si>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</si>
  <si>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</si>
  <si>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</si>
  <si>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</si>
  <si>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</si>
  <si>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GE</t>
  </si>
  <si>
    <t xml:space="preserve">GE Aerospace</t>
  </si>
  <si>
    <t xml:space="preserve">NEW position 9/30/26 -- DCA-CATCHUP-1, opened per Composite 84.2 STRONG BUY (rescored 9/13/26, reconfirmed fresh 9/29/26, zero Tier 1 drift). 75sh @ $314.71.</t>
  </si>
  <si>
    <t xml:space="preserve">NFLX</t>
  </si>
  <si>
    <t xml:space="preserve">Netflix, Inc.</t>
  </si>
  <si>
    <t xml:space="preserve">NEW position 9/30/26 -- DCA-CATCHUP-1, opened per Composite 83.8 STRONG BUY (rescored 9/13/26, reconfirmed fresh 9/29/26, zero Tier 1 drift). 300sh @ $69.795.</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</si>
  <si>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</si>
  <si>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</si>
  <si>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</si>
  <si>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</si>
  <si>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</si>
  <si>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</si>
  <si>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</si>
  <si>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</si>
  <si>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</si>
  <si>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</si>
  <si>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</si>
  <si>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</si>
  <si>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</si>
  <si>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</si>
  <si>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</si>
  <si>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</si>
  <si>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</si>
  <si>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</si>
  <si>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</si>
  <si>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</si>
  <si>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</si>
  <si>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</si>
  <si>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</si>
  <si>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BOUGHT +15sh 9/8/26 @ ~$527.47 ($7,912.09) -- DCA-TRANCHE-2 diversifier add.</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</si>
  <si>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</si>
  <si>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</si>
  <si>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</si>
  <si>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</si>
  <si>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</si>
  <si>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</si>
  <si>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</si>
  <si>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</si>
  <si>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</si>
  <si>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</si>
  <si>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</si>
  <si>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</si>
  <si>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</si>
  <si>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</si>
  <si>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</si>
  <si>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</si>
  <si>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</si>
  <si>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</si>
  <si>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</si>
  <si>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</si>
  <si>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</si>
  <si>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</si>
  <si>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</si>
  <si>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</si>
  <si>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</si>
  <si>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</si>
  <si>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</si>
  <si>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</si>
  <si>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</si>
  <si>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</si>
  <si>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</si>
  <si>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</si>
  <si>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</si>
  <si>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</si>
  <si>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</si>
  <si>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</si>
  <si>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</si>
  <si>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</si>
  <si>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</si>
  <si>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</si>
  <si>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</si>
  <si>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</si>
  <si>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N</t>
  </si>
  <si>
    <t xml:space="preserve">Y</t>
  </si>
  <si>
    <t xml:space="preserve">2026-09-03: Breithaupt Chantelle Yvette (Senior Vice President, CFO) sold $119,811, 1% of holding (+55 more in last 30d)</t>
  </si>
  <si>
    <t xml:space="preserve">BUY</t>
  </si>
  <si>
    <t xml:space="preserve">2026-09-04: Kurtz George (PRESIDENT AND CEO) sold $472,759, 0% of holding (+126 more in last 30d)</t>
  </si>
  <si>
    <t xml:space="preserve">2026-08-14: Lorig Brian (EVP, KLA Global Services) sold $12,401,634, 43% of holding (+7 more in last 30d)</t>
  </si>
  <si>
    <t xml:space="preserve">2026-08-25: MEHROTRA SANJAY (President and CEO) sold $138,116, 0% of holding (+26 more in last 30d)</t>
  </si>
  <si>
    <t xml:space="preserve">2026-09-02: STEVENS MARK A (Director) sold $98,470,906, 9% of holding (+9 more in last 30d)</t>
  </si>
  <si>
    <t xml:space="preserve">2026-09-03: Stat Lauren Elaina Friedman (Director) sold $244,915, 2% of holding (+20 more in last 30d)</t>
  </si>
  <si>
    <t xml:space="preserve">2026-09-04: Fang Shu-Hua (SVP and GC) bought $77,090, 16% of holding (+11 more in last 30d)</t>
  </si>
  <si>
    <t xml:space="preserve">2026-09-02: MONSER EDWARD L (Director) sold $219,497, 3% of holding (+7 more in last 30d)</t>
  </si>
  <si>
    <t xml:space="preserve">Re-scored 8/7/26: original Avoid was bad source data, corrected. See Journal.</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</si>
  <si>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</si>
  <si>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</si>
  <si>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</si>
  <si>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</si>
  <si>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</si>
  <si>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</si>
  <si>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</si>
  <si>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</si>
  <si>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</si>
  <si>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</si>
  <si>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</si>
  <si>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</si>
  <si>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</si>
  <si>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</si>
  <si>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</si>
  <si>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</si>
  <si>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</si>
  <si>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</si>
  <si>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</si>
  <si>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</si>
  <si>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</si>
  <si>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</si>
  <si>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2026-08-12: Giglietti Robert M. (Vice President) sold $1,976,639, 18% of holding (+7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</si>
  <si>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</si>
  <si>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</si>
  <si>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</si>
  <si>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</si>
  <si>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</si>
  <si>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</si>
  <si>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</si>
  <si>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2026-08-10: Neumann Spencer Adam (Chief Financial Officer) sold $700,907, 11% of holding (+6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</si>
  <si>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</si>
  <si>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</si>
  <si>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</si>
  <si>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</si>
  <si>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</si>
  <si>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</si>
  <si>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</si>
  <si>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</si>
  <si>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</si>
  <si>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</si>
  <si>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</si>
  <si>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</si>
  <si>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</si>
  <si>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</si>
  <si>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2026-09-02: MCINERNEY RYAN (Chief Executive Officer) sold $2,230,444, 28% of holding (+3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</si>
  <si>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</si>
  <si>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</si>
  <si>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</si>
  <si>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</si>
  <si>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KGS</t>
  </si>
  <si>
    <t xml:space="preserve">Diversification candidate (Energy -- gas compression services, contract-based revenue, not upstream E&amp;P). Fresh Tier 1 quant screen 9/11/26; Moat/Rev Visibility not yet assessed (Part 12).</t>
  </si>
  <si>
    <t xml:space="preserve">Weekly closing price ($), week-ending Friday (Rule 36: weekly total returns, 24-month target, 12-month minimum, 36-month max). 20 slots: 13 stocks + 7 held ETFs + headroom.</t>
  </si>
  <si>
    <t xml:space="preserve">Week Ending</t>
  </si>
  <si>
    <t xml:space="preserve">Weeks</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</si>
  <si>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</si>
  <si>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</si>
  <si>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</si>
  <si>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</si>
  <si>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</si>
  <si>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</si>
  <si>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</si>
  <si>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</si>
  <si>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</si>
  <si>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</si>
  <si>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</si>
  <si>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</si>
  <si>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</si>
  <si>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</si>
  <si>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</si>
  <si>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</si>
  <si>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</si>
  <si>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</si>
  <si>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</si>
  <si>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</si>
  <si>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</si>
  <si>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</si>
  <si>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</si>
  <si>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</si>
  <si>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</si>
  <si>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</si>
  <si>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</si>
  <si>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</si>
  <si>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</si>
  <si>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</si>
  <si>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</si>
  <si>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</si>
  <si>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</si>
  <si>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</si>
  <si>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</si>
  <si>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</si>
  <si>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</si>
  <si>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</si>
  <si>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</si>
  <si>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
Avoid</t>
  </si>
  <si>
    <t xml:space="preserve">Rule 4
2+Low=
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</si>
  <si>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</si>
  <si>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</si>
  <si>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</si>
  <si>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</si>
  <si>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</si>
  <si>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</si>
  <si>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</si>
  <si>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</si>
  <si>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</si>
  <si>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</si>
  <si>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</si>
  <si>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</si>
  <si>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</si>
  <si>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</si>
  <si>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</si>
  <si>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</si>
  <si>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</si>
  <si>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</si>
  <si>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</si>
  <si>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</si>
  <si>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</si>
  <si>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</si>
  <si>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</si>
  <si>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</si>
  <si>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</si>
  <si>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</si>
  <si>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</si>
  <si>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</si>
  <si>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</si>
  <si>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</si>
  <si>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</si>
  <si>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</si>
  <si>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</si>
  <si>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</si>
  <si>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</si>
  <si>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</si>
  <si>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</si>
  <si>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</si>
  <si>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</si>
  <si>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</si>
  <si>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</si>
  <si>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</si>
  <si>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</si>
  <si>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</si>
  <si>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</si>
  <si>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</si>
  <si>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</si>
  <si>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</si>
  <si>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</si>
  <si>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</si>
  <si>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</si>
  <si>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</si>
  <si>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</si>
  <si>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</si>
  <si>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</si>
  <si>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</si>
  <si>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</si>
  <si>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</si>
  <si>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</si>
  <si>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</si>
  <si>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</si>
  <si>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</si>
  <si>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</si>
  <si>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</si>
  <si>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</si>
  <si>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</si>
  <si>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</si>
  <si>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</si>
  <si>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</si>
  <si>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</si>
  <si>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</si>
  <si>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</si>
  <si>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</si>
  <si>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</si>
  <si>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</si>
  <si>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</si>
  <si>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</si>
  <si>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</si>
  <si>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</si>
  <si>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</si>
  <si>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Kodiak Gas Services, Inc.</t>
  </si>
  <si>
    <t xml:space="preserve">ABT</t>
  </si>
  <si>
    <t xml:space="preserve">Abbott Laboratories</t>
  </si>
  <si>
    <t xml:space="preserve">Medical Devices</t>
  </si>
  <si>
    <t xml:space="preserve">SLB</t>
  </si>
  <si>
    <t xml:space="preserve">SLB N.V.</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</si>
  <si>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</si>
  <si>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5
Composite
≥65?</t>
  </si>
  <si>
    <t xml:space="preserve">Rule 6
Tier1
≥3.0?</t>
  </si>
  <si>
    <t xml:space="preserve">Rule 7
No Tier1
=1?</t>
  </si>
  <si>
    <t xml:space="preserve">Rule 8
Above / reclaimed
200-wk MA?
(Y/N)</t>
  </si>
  <si>
    <t xml:space="preserve">Rule 9
Monthly MACD
positive / turning?
(Y/N)</t>
  </si>
  <si>
    <t xml:space="preserve">Staging
Result
(Rules 8-9)</t>
  </si>
  <si>
    <t xml:space="preserve">Rule 10
Binary event
risk present?
(Y/N)</t>
  </si>
  <si>
    <t xml:space="preserve">Risk included
in thesis?
(Y/N)</t>
  </si>
  <si>
    <t xml:space="preserve">Rule 10
Result</t>
  </si>
  <si>
    <t xml:space="preserve">Base Case
&gt;10%?</t>
  </si>
  <si>
    <t xml:space="preserve">Rule 11
Bear Case
≥0%?</t>
  </si>
  <si>
    <t xml:space="preserve">Rule 12
Scenario tags
OK?</t>
  </si>
  <si>
    <t xml:space="preserve">P/FCF
(current)</t>
  </si>
  <si>
    <t xml:space="preserve">Consensus FCF
growth, 2-yr
annualized</t>
  </si>
  <si>
    <t xml:space="preserve">Rule 13
Valuation
Ceiling</t>
  </si>
  <si>
    <t xml:space="preserve">ENTRY
AUTHORIZED?</t>
  </si>
  <si>
    <t xml:space="preserve">Recommended Action</t>
  </si>
  <si>
    <t xml:space="preserve">Market Data -- Claude-populated via yfinance (landry.data_auto.market_snapshot), refreshed periodically,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</si>
  <si>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</si>
  <si>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</si>
  <si>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</si>
  <si>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</si>
  <si>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</si>
  <si>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</si>
  <si>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</si>
  <si>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</si>
  <si>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</si>
  <si>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</si>
  <si>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</si>
  <si>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</si>
  <si>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</si>
  <si>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</si>
  <si>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</si>
  <si>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</si>
  <si>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</si>
  <si>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</si>
  <si>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</si>
  <si>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</si>
  <si>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</si>
  <si>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</si>
  <si>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</si>
  <si>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</si>
  <si>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</si>
  <si>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</si>
  <si>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V trend</t>
  </si>
  <si>
    <t xml:space="preserve">Pairwise correlation of weekly returns, 12-36 month window (Rule 36, Part 7). Covers stocks and held ETFs together. Recalculate quarterly.</t>
  </si>
  <si>
    <t xml:space="preserve">Positions exceeding cap (correlated &gt;0.70 with 2+ other holdings):</t>
  </si>
  <si>
    <t xml:space="preserve">Rule 36 status (no position may exceed 0.70 with more than one other holding):</t>
  </si>
  <si>
    <t xml:space="preserve">Positions &gt;0.70 with</t>
  </si>
  <si>
    <t xml:space="preserve">Portfolio-level drawdown tracking (Part 7, Rules 36-37).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</si>
  <si>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</si>
  <si>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</si>
  <si>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</si>
  <si>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</si>
  <si>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</si>
  <si>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</si>
  <si>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</si>
  <si>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</si>
  <si>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Tracks every holding in Probationary Hold (50-64) or Exit Review (35-49) per Part 6. The 90-day deadline and its consequence are calculated automatically — this tab is what makes Rules 31-34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</si>
  <si>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</si>
  <si>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</si>
  <si>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</si>
  <si>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</si>
  <si>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</si>
  <si>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</si>
  <si>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</si>
  <si>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</si>
  <si>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</si>
  <si>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</si>
  <si>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Trims Taken
(0-3, Rule 33)</t>
  </si>
  <si>
    <t xml:space="preserve">Probationary Hold</t>
  </si>
  <si>
    <t xml:space="preserve">Rule 33 (Early Partial Trim) now applies -- next reconfirmation of FCF Margin Trend/ROIC (via a new filing or scheduled re-score) before 12/12/26 with no improvement triggers a 1/3 trim. Not yet triggered; entry itself does not count. Alan: market already pricing this in (CRWD down 10-15% over prior 2 weeks) -- deserves watching, not an immediate action. Credible Remediation Plan not yet assessed.</t>
  </si>
  <si>
    <t xml:space="preserve">Standardized Implied-Return Methodology (Rule 11, Part 4): Expected annualized return = [(Year-5 equity value + cumulative distributions) ÷ current equity value]^(1/5) − 1. Run Base, Bear, and Bull cases together (Rule 12)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</si>
  <si>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</si>
  <si>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</si>
  <si>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</si>
  <si>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</si>
  <si>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</si>
  <si>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</si>
  <si>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</si>
  <si>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</si>
  <si>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</si>
  <si>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</si>
  <si>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</si>
  <si>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</si>
  <si>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</si>
  <si>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</si>
  <si>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</si>
  <si>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</si>
  <si>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21-30). Enter this-period and prior-period Tier 1 sub-scores to auto-detect the 'two consecutive periods' fundamental triggers; enter current valuation/position metrics for the rest. Any trigger firing without a Hold Through condition applying requires action within 30 days. </t>
  </si>
  <si>
    <t xml:space="preserve">FUNDAMENTAL TRIGGERS (Rules 21-25) — flags if declined 2 consecutive periods</t>
  </si>
  <si>
    <t xml:space="preserve">VALUATION / SIZING TRIGGERS (Rules 26-30)</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</si>
  <si>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</si>
  <si>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</si>
  <si>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</si>
  <si>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</si>
  <si>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</si>
  <si>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</si>
  <si>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</si>
  <si>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</si>
  <si>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</si>
  <si>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</si>
  <si>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</si>
  <si>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</si>
  <si>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</si>
  <si>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
trigger)</t>
  </si>
  <si>
    <t xml:space="preserve">P/FCF
(&gt;50x+gr
&lt;15%)</t>
  </si>
  <si>
    <t xml:space="preserve">FCF Growth
%</t>
  </si>
  <si>
    <t xml:space="preserve">Implied Return
(&lt;7%=
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</si>
  <si>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</si>
  <si>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</si>
  <si>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</si>
  <si>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</si>
  <si>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 Legacy positions (held before the System existed, retained because they currently conform on ongoing review rather than because they were originally scored/selected through it) are deliberately NOT backfilled with a fabricated entry score -- that would feed the cohort review with invented history. If a legacy position is ever entered here, leave Entry Score/Confidence/Decision Band blank rather than guess; a blank Decision Band naturally excludes it from Rule-46's per-band cohort grouping. (Agreed with Alan 2026-08-26.)</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</si>
  <si>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</si>
  <si>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</si>
  <si>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</si>
  <si>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</si>
  <si>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</si>
  <si>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</si>
  <si>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</si>
  <si>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</si>
  <si>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</si>
  <si>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</si>
  <si>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</si>
  <si>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</si>
  <si>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</si>
  <si>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</si>
  <si>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Strong Buy</t>
  </si>
  <si>
    <t xml:space="preserve">Held</t>
  </si>
  <si>
    <t xml:space="preserve">Buy</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</si>
  <si>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</si>
  <si>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</si>
  <si>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</si>
  <si>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</si>
  <si>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</si>
  <si>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</si>
  <si>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</si>
  <si>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</si>
  <si>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</si>
  <si>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</si>
  <si>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</si>
  <si>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</si>
  <si>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</si>
  <si>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</si>
  <si>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</si>
  <si>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</si>
  <si>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</si>
  <si>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</si>
  <si>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</si>
  <si>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</si>
  <si>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</si>
  <si>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(3) Holding Monitor -- for each held ticker, snapshot pre-refresh Tier 1 sub-scores (FCF Yield, Moat, ROIC-WACC Spread, Mgmt Quality, Rev Growth) into the Prior columns, then populate Current columns with the post-refresh values; also populate Position Pct, Max Full Pct, Debt/FCF, P/FCF, FCF Growth%, Implied Return, and Current/Prior Tier. First cycle, so Prior = pre-refresh baseline, not a true prior period.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</si>
  <si>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</si>
  <si>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</si>
  <si>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</si>
  <si>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</si>
  <si>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</si>
  <si>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Holding Monitor: shift each held ticker's Current columns into Prior, then populate Current with the newly re-scored Tier 1 sub-scores and refreshed valuation/sizing metrics (Debt/FCF, P/FCF, FCF Growth%, Implied Return, Current/Prior Tier, Position Pct, Max Full Pct); review any resulting TRIGGER/ACTION REQUIRED flags.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</si>
  <si>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</si>
  <si>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</si>
  <si>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</si>
  <si>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</si>
  <si>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</si>
  <si>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</si>
  <si>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DCA-CATCHUP-PLAN-V1</t>
  </si>
  <si>
    <t xml:space="preserve">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 SUPERSEDED 9/11/26 -- see DCA-CATCHUP-PLAN-2 for the revised ~4-month/8-tranche, $40K-$50K/tranche schedule.</t>
  </si>
  <si>
    <t xml:space="preserve">DCA-CATCHUP-1-V1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</si>
  <si>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SUPERSEDED 9/11/26 -- see DCA-CATCHUP-PLAN-2 for the revised ~4-month/8-tranche, $40K-$50K/tranche schedule.</t>
  </si>
  <si>
    <t xml:space="preserve">DCA-CATCHUP-2-V1</t>
  </si>
  <si>
    <t xml:space="preserve">DCA-CATCHUP-3-V1</t>
  </si>
  <si>
    <t xml:space="preserve">DCA-CATCHUP-4-V1</t>
  </si>
  <si>
    <t xml:space="preserve">DCA-CATCHUP-5-V1</t>
  </si>
  <si>
    <t xml:space="preserve">DCA-CATCHUP-6-V1</t>
  </si>
  <si>
    <t xml:space="preserve">DCA-CATCHUP-7-V1</t>
  </si>
  <si>
    <t xml:space="preserve">DCA-CATCHUP-8-V1</t>
  </si>
  <si>
    <t xml:space="preserve">DCA-CATCHUP-9-V1</t>
  </si>
  <si>
    <t xml:space="preserve">DCA-CATCHUP-10-V1</t>
  </si>
  <si>
    <t xml:space="preserve">DCA-CATCHUP-11-V1</t>
  </si>
  <si>
    <t xml:space="preserve">DCA-CATCHUP-12-V1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</si>
  <si>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 SUPERSEDED 9/11/26 -- see DCA-CATCHUP-PLAN-2 for the revised ~4-month/8-tranche, $40K-$50K/tranche schedule.</t>
  </si>
  <si>
    <t xml:space="preserve">VRTX,V,PLD</t>
  </si>
  <si>
    <t xml:space="preserve">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</si>
  <si>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 xml:space="preserve">DCA-ACCELERATION-POLICY</t>
  </si>
  <si>
    <t xml:space="preserve">DCA acceleration policy for the current dry-powder pile (tactical, NOT a Part 7 rule change) -- source: "Landry System DOLLAR COST AVERAGING Strategy.docx" (docs/, added 9/11/26), proposing DCA tranche-size acceleration tiered to the S&amp;P 500's distance from its all-time high: Routine Pullback (-5% to -9%) = baseline/0%, Market Correction (-10% to -14%) = +25%, Severe Correction (-15% to -19%) = +50%, Bear Market (-20%+) = +100% (double). This runs in tension with Part 7's existing Portfolio Drawdown Response (Elevated=Strong-Buy-only, Severe/Critical=skip), since one measures the S&amp;P's condition and the other measures the portfolio's own -- they usually move together but don't have to. RECONCILED 9/11/26: for the DCA-CATCHUP-1 through 12 tranches specifically (the $337,606 ETF dry-powder pile, ~43.5% of the portfolio as of this date), apply the S&amp;P-ATH acceleration tier to set tranche size, UNLESS the Portfolio Drawdown Log's own regime is Severe or worse, which overrides and skips the tranche regardless of the S&amp;P tier; if the portfolio regime is Elevated, the acceleration still applies to size but new entries stay restricted to Strong-Buy-quality names only (matching Part 7's existing Elevated rule). This is a near-term, tactical application to the current pile -- not a change to Part 7's Hard Rule text or the Instructions tab. Grounding numbers at the time of this decision: S&amp;P 500 at 7676.09, only -1.58% from its recent ATH (7798.99, 8/13/26) -- this tier framework is not currently active (baseline pace applies today); this is policy for later, not a live override. Process Checklist's DCA-CATCHUP step list updated same day to apply this.</t>
  </si>
  <si>
    <t xml:space="preserve">ETF-CASH-BUCKET-TODO,PRE-TRANCHE-SCORING-TODO</t>
  </si>
  <si>
    <t xml:space="preserve">CLARIFIED 9/11/26 (during Journal review -- corrects an overstated "RESOLVED" framing written moments earlier in a first pass at this same entry): the 8/24 ETF-CASH-BUCKET-TODO ("formalize how ETFs should be treated as portfolio positions") is NOT resolved -- it remains a genuine open To-Do, grouped with DB development as a "later" item per Alan (9/11/26). What IS settled, narrowly: the specific 8/26 tactical question (score JEPQ/HELO before DCA-TRANCHE-2?). These 10 yield ETFs (AVUV, SPMO, VFLO, DVY, SCHD, VYM, MLPI, JEPQ, HELO, JEPI) are being treated as temporary cash-equivalents, outside Landry's scoring scope, for now -- confirmed JEPQ/HELO are still absent from the Scoring tab, consistent with this temporary treatment. This is a stopgap working assumption, not the formal ETF policy the original TODO asked for -- that formalization is still pending, no target date set.</t>
  </si>
  <si>
    <t xml:space="preserve">WILDCARD-ALLOCATION-TODO</t>
  </si>
  <si>
    <t xml:space="preserve">Alan raised for future consideration -- not decided, not scoped, no target date: a 5%-10% portfolio allocation to a "wild card" sleeve -- rule-disregarding, or governed by a new/separate rule set still to be defined -- for exceptional opportunities that fall outside the current Landry Strategy's normal Entry Checklist / Tier 1-3 scoring gates. Genuinely undefined at this stage (his own framing): what qualifies as "exceptional," how it would be sized and tracked separately from the scored portfolio, whether it needs its own sell discipline, and how it interacts with Part 5's existing position/sector caps and Part 7's drawdown response. Grouped with the other standing To-Dos (ETF treatment policy, DB migration) as a future discussion item, not active work.</t>
  </si>
  <si>
    <t xml:space="preserve">PIOTROSKI-DIAGNOSTIC-BATCH</t>
  </si>
  <si>
    <t xml:space="preserve">Ran the agreed 4-ticker validity test (SFM, TSLA, ONON, VRTX) against real, dated cash-flow-statement data (not a third-party aggregator). Results: Accruals Check diverged from existing FCF-Yield confidence for VRTX only (existing=High, Accruals=LOW CONF -- FY2025 CFO .63B came in below Net Income .95B); SFM/TSLA/ONON's Accruals agreed with existing state (no new signal). Leverage Trajectory could NOT be evaluated for any of the 4 -- none has a Management Quality score on record to compare the flag against (SFM/ONON/TSLA were all sold before reaching that stage of scoring). NOT a final verdict -- sample is too thin, especially on Leverage Trajectory (0 of 4 testable). Plan: add 1-2 currently-held, fully-scored tickers to get real Leverage Trajectory signal before deciding keep/drop; investigate why VRTX's CFO&lt;NI happened (one-time item vs. genuine quality concern) before treating that divergence as conclusive on its own. If kept: fold AN-AS population into the standing FUND-REFRESH checklist for every held ticker, not just diagnostic-batch ones. If dropped: stop populating, leave the historical data in place as a record of the experiment. Also resolved in this pass: TSLA's "FCF negative" sell rationale (row 4, 8/7/26) doesn't match today's data (FCF was solidly positive both FY2024 and FY2025) -- Alan's separate 7/31/26 analysis (possibly predating the chat-to-code migration, exact methodology now uncertain per his own recollection) independently confirms the actual trigger was a Tier 1 floor failure (1.71 vs 3.0 minimum), most likely driven by low FCF YIELD given Tesla's enormous market cap rather than negative FCF in dollar terms -- the sell decision looks solidly grounded, the write-up's phrasing was just imprecise. Data now populated in Scoring cols AN-AS for all 4 tickers (rows 7, 9, 10, 11).</t>
  </si>
  <si>
    <t xml:space="preserve">Extended the batch with 2 currently-held, Management-Quality-scored tickers (MU, VRT) specifically to make the Leverage Trajectory check testable -- the first 4 (SFM/TSLA/ONON/VRTX) left it untestable for 3 of 4. Picked capital-intensive businesses with real debt dynamics rather than low-debt software names; skipped PLD (REIT, no standard CapEx line item -- "Purchase of Investment Properties" isn't a clean analog) and TSM/ASML (foreign issuers reporting in local currency -- caught TSM's figures were in Taiwan dollars, trillions not billions, before writing anything). Results: MU Accruals=OK, Leverage=Decreased (existing Mgmt Quality 4/M -- consistent, no divergence). VRT Accruals=OK, Leverage=Decreased (existing Mgmt Quality 4/M -- same, consistent). Note: MU's fiscal year ends August 31, not December -- same non-calendar-FYE quirk as COST, worth remembering for FUND-REFRESH timing. Running batch tally, 6 tickers total: Accruals testable for all 6, 1 divergence (VRTX only), 5 agree. Leverage Trajectory now testable for 3 of 6 (VRTX, MU, VRT), 0 divergences -- all three agree with existing Mgmt Quality. Still not a final verdict -- 0 divergences on Leverage Trajectory could mean it's redundant (per the original decision rule) or just that 3 data points isn't enough yet; leaning toward needing a few more before calling it either way.</t>
  </si>
  <si>
    <t xml:space="preserve">Diagnosed the Piotroski Accruals divergence flagged in the diagnostic batch (FY2025 CFO .63B under Net Income .95B). Traced the full cash-flow reconciliation: every non-cash addback points the normal direction (D&amp;A +.8M, stock comp +.9M, asset impairment +.0M all push CFO above NI, as usual), but a ,199.1M working-capital consumption overwhelms them -- concentrated in inventory (-.2M), prepaid assets (-.0M), and receivables (-.3M). Revenue grew a real 8.9% YoY (.02B-&gt;.00B) over the same period, and this coincides with the Journavx (suzetrigine) launch, VRTX's first non-opioid pain drug -- inventory build ahead of a major launch and receivables growth from ramping sales are the expected pattern, not a red flag on their own. One thing worth actually watching, not alarming: receivables grew about 35% as fast as revenue, somewhat more than stable collection terms alone would suggest -- check whether this normalizes over the next quarter or two. CONCLUSION: reads as growth/launch-driven working capital consumption, not a hidden earnings-quality problem. The Accruals check did its job -- it correctly flagged a real, mechanically-true divergence -- but interpreting it needed a human read, consistent with how the check is designed to work (confidence-tagging only, not an automatic verdict). Status: diagnosed, monitor the receivables trend at the next fundamental refresh, not currently treated as a red flag on VRTX's BUY classification.</t>
  </si>
  <si>
    <t xml:space="preserve">Added KLAC and V specifically to test worsening leverage -- the 5 prior testable cases were all "Decreased" (improving), leaving the more diagnostic scenario (leverage worsening despite an already-good score) untested. Results: KLAC Accruals=LOW CONF (existing FCF-Yield conf=M -- a mild divergence, not yet diagnosed), Leverage=Increased but essentially flat (1.625-&gt;1.633, existing Mgmt Quality=4/H). V Accruals=OK (agrees), Leverage=Increased and real (1.115-&gt;1.167, existing Mgmt Quality=4/M). FINAL TALLY, 8 tickers: Accruals testable for all 8, 2 divergences (VRTX -- diagnosed benign, growth/launch-driven; KLAC -- not yet diagnosed but same profile as a growing semiconductor-equipment maker), 6 agree. Leverage Trajectory testable for 5 of 8, 2 show "Increased" but both against already-imperfect scores (4, not 5) rather than contradicting a high-confidence claim -- neither is the clean "caught something the existing score missed" case the test was designed to find, and one (KLAC) is economically trivial rather than a real deterioration. Assessment: across 8 tickers, the mechanism has correctly detected real mechanical divergences twice, but in the one case fully diagnosed (VRTX) the underlying cause was benign, normal business activity, not something that should have lowered confidence -- meaning the check adds diagnostic overhead without changing the conclusion. Leverage Trajectory has never once produced a result that meaningfully contradicts an existing assessment. Leaning toward DROP as redundant for how this system is actually used, per the original decision rule -- Alan's own expectation going into this last check. Awaiting his final call.</t>
  </si>
  <si>
    <t xml:space="preserve">PIOTROSKI-VERDICT</t>
  </si>
  <si>
    <t xml:space="preserve">FINAL DECISION: DROP. Alan confirmed 9/11/26 ("Yes, proceed - well done") after reviewing the complete 8-ticker diagnostic batch (VRTX, SFM, ONON, TSLA, MU, VRT, KLAC, V). The two Piotroski cross-checks (Accruals Quality, Leverage Trajectory) do not add reliable signal beyond the existing Confidence-tagging process, per the decision rule agreed 9/8/26. Reasoning: Accruals Check correctly detected 2 real mechanical divergences (VRTX, KLAC) across 8 tickers, but the one fully diagnosed (VRTX) turned out to be benign, growth/launch-driven working-capital consumption, not a genuine earnings-quality concern -- the flag creates diagnostic overhead without changing the conclusion. Leverage Trajectory was tested against 5 tickers with an existing Management Quality baseline and never once produced a result that meaningfully contradicted the existing assessment -- both "Increased" results were against already-imperfect (4, not 5) scores, and one (KLAC) was economically trivial (a 0.008 change in the ratio, essentially noise). Also confirmed before finalizing: the Accruals flag (Scoring col AP) was never actually wired into any live formula -- Rule 4's cap only counts the original Tier 1/2 confidence columns (E:M), not AP -- so this decision changes nothing about any ticker's current classification; it was a pure documentation/annotation column this whole time. DISPOSITION: stop populating Scoring cols AN-AS for any further tickers. Historical data for the 8 tested tickers stays in place as a record of the experiment, not scrubbed. Action Items' Piotroski tally section (rows 31-33) retired same day, in place of becoming a permanently-stale, partial-coverage counter in a tab meant to reflect live state. The rubric additions remain documented in Landry System v1.02 as a tested-and-retired enhancement, not erased from the record.</t>
  </si>
  <si>
    <t xml:space="preserve">DCA-CATCHUP-PLAN-2</t>
  </si>
  <si>
    <t xml:space="preserve">Revised catch-up cadence, replacing the 9/7/26 plan (rows 22-34, now superseded). Agreed with Alan after discussing Vanguard's lump-sum-vs-DCA research (lump sum beats DCA ~67-75% of the time) against his stated discomfort with current macro uncertainty (elections, war, politics). Reasoning for leaning accelerated despite that discomfort: (1) this is already-committed capital that's been sitting idle specifically because the original pace was too slow, so the time-in-market argument applies more cleanly than to a fresh lump-sum decision; (2) the system already has reactive protection against bad timing that doesn't depend on slow pacing -- Part 7's Drawdown Response can pause/shrink tranches if things actually deteriorate, and the 9/11/26 S&amp;P-ATH acceleration policy actually leans into weakness rather than avoiding it; (3) DCA's real value is regret minimization, not expected return, so some smoothing still makes sense given Alan's stated discomfort is about comfort, not a market-timing thesis. NEW PLAN: 4 months, 8 tranches (down from 6 months/12), twice monthly on the 7th and 22nd (not 15th/31st -- avoids month-end index/institutional rebalancing noise and stays consistent with the original plan's early-month/mid-month spirit). Target $40,000-$50,000/tranche, deliberately a loose range rather than a precise figure (a precise calc -- excess over Part 5's 15% cash ceiling, less a planned $20,000 personal withdrawal, /8 -- comes out to ~$47,517 as of 9/11/26, comfortably inside the range). Same 5-step-plus prerequisite checklist as before every tranche (now tracked in Process Checklist). Guardrail unchanged: pace never overrides the Composite&gt;=65/Tier-1-qualifying-candidate gate.</t>
  </si>
  <si>
    <t xml:space="preserve">DCA-CATCHUP-1</t>
  </si>
  <si>
    <t xml:space="preserve">Target: $40,000-$50,000 (see DCA-CATCHUP-PLAN-2). Shifted from 9/22 (the plan's regular cadence date) to 9/30 -- Alan traveling abroad last week of September, no market access. Same prerequisite checklist as prior tranches.</t>
  </si>
  <si>
    <t xml:space="preserve">DCA-CATCHUP-2</t>
  </si>
  <si>
    <t xml:space="preserve">Target: $40,000-$50,000 (see DCA-CATCHUP-PLAN-2). Only 7 days after DCA-CATCHUP-1 (which itself shifted to 9/30) -- a shorter-than-usual gap, kept as-is rather than reflowing the whole schedule, same convention as prior holiday/weekend shifts. Same prerequisite checklist as prior tranches.</t>
  </si>
  <si>
    <t xml:space="preserve">DCA-CATCHUP-3</t>
  </si>
  <si>
    <t xml:space="preserve">Target: $40,000-$50,000 (see DCA-CATCHUP-PLAN-2). Same prerequisite checklist as prior tranches.</t>
  </si>
  <si>
    <t xml:space="preserve">DCA-CATCHUP-4</t>
  </si>
  <si>
    <t xml:space="preserve">Target: $40,000-$50,000 (see DCA-CATCHUP-PLAN-2). Rescheduled from 11/7 to 11/9: 11/7/2026 is a Saturday. Same prerequisite checklist as prior tranches.</t>
  </si>
  <si>
    <t xml:space="preserve">DCA-CATCHUP-5</t>
  </si>
  <si>
    <t xml:space="preserve">Target: $40,000-$50,000 (see DCA-CATCHUP-PLAN-2). Rescheduled from 11/22 to 11/23: 11/22/2026 is a Sunday. Same prerequisite checklist as prior tranches.</t>
  </si>
  <si>
    <t xml:space="preserve">DCA-CATCHUP-6</t>
  </si>
  <si>
    <t xml:space="preserve">DCA-CATCHUP-7</t>
  </si>
  <si>
    <t xml:space="preserve">DCA-CATCHUP-8</t>
  </si>
  <si>
    <t xml:space="preserve">Target: $40,000-$50,000 (see DCA-CATCHUP-PLAN-2). Last tranche of the revised catch-up cadence -- after this, downshift to steady-state twice-monthly tranches sized as a % of portfolio, same as originally planned. Same prerequisite checklist as prior tranches.</t>
  </si>
  <si>
    <t xml:space="preserve">LIN,ET,KGS</t>
  </si>
  <si>
    <t xml:space="preserve">Started the Scoring completion queue with LIN (see scoring_completion_queue) -- refreshed Tier 1 via the auto-draft pipeline since the 8/11/26 scores were a month old. Found real deterioration: Tier 1 Wtd Avg fell from 4.5 to 3.07 (Revenue Growth Consistency 4-&gt;2, FCF Margin Trend 5-&gt;2, driven by a genuine ~0.6% 3-year revenue CAGR and FCF margin compression from a heavy CapEx cycle -- verified directly against real revenue/CFO/CapEx figures, not a data glitch). Checked ET (same 8/11 batch) for the same issue on a hunch and found the identical pattern: 4.0 -&gt; 3.07 (Revenue Growth Consistency 4-&gt;1 on a newly-negative CAGR, FCF Margin Trend 4-&gt;2). Both approved and written into Scoring at their rescored values. Alan's call for both: leave them rescored, don't advance further right now -- below the ~4.0 bar he's using for what's worth prioritizing this early. Worth rechecking DPZ, PG, and GE (same 8/11-13 batch, still fully untouched) before trusting their recorded scores -- the auto-draft pipeline matured after 8/11 (confirmed via git history the same day), so this may not be company-specific deterioration so much as the original batch having been scored with something less rigorous than what's available now. Added to Open Items.
Separately, picked 2 diversification candidates and began tracking: ET (already tracked, now rescored) and KGS (Kodiak Gas Services, Energy -- gas compression services, contract-based revenue, not upstream E&amp;P). Energy is the one sector genuinely untouched by both current holdings and the rest of the Scoring queue. KGS screened clean: Tier 1 quant = 4.0 on its 3 known indicators (Moat/Rev Visibility not yet assessed, Part 12), relative strength +78.6% over 12mo, analyst consensus 15/15 buy-equivalent, correlation vs holdings only 0.48 (vs AVUV) -- genuinely diversifying, not just a different label (same check that caught the NRG/VST correlation trap). One caution: ROIC vs WACC is negative (-2.0pp), not currently earning its cost of capital -- may be structural to compression-equipment economics, worth watching not ignoring. Added to Scoring (row 48) and Monitor &amp; Recheck Triggers (Watch List, row 48); Candidates pipeline status updated to "Ready for Tier 1".
Real bug found and fixed in passing: Scoring's Tier 1 Wtd Avg formula only handled "all 5 indicators populated" or "none" correctly -- KGS's partial state (3 of 5) exposed that missing indicators were silently treated as zero rather than excluded, which would have shown KGS failing Tier 1 at 2.57 instead of its honest 4.0. Fixed across all 45 rows, verified zero regressions on every already-complete ticker. Also fixed: extending Monitor &amp; Recheck Triggers to row 48 (for KGS) left all 35 of Current Positions' live-price lookup formulas one row short of the new boundary -- extended, verified no held position's resolved price changed.</t>
  </si>
  <si>
    <t xml:space="preserve">DPZ,PG,GE</t>
  </si>
  <si>
    <t xml:space="preserve">Rescored DPZ and PG through the current auto-draft pipeline (same treatment as LIN/ET, 9/11/26) -- both show real divergence from their 8/11/26 scores, in the same direction as LIN/ET (weaker Rev Growth Consistency and FCF Margin Trend on fresh data). DPZ Tier 1 Wtd Avg 4.86-&gt;3.93 (Rev Growth 5-&gt;2 on CAGR 2.9%/CV 1.02, FCF Margin 5-&gt;3). PG Tier 1 Wtd Avg 4.21-&gt;4.00 (Rev Growth 4-&gt;3 on CAGR 2.0%/CV 0.63; FCF Yield/Margin held). Both approved into landry_scores.json and written into Scoring at the rescored values; Alan's call: leave both parked, same as LIN/ET, below/at the ~4.0 bar. GE rescored the same way but diverged the OTHER direction -- Tier 1 Wtd Avg 3.86-&gt;4.14 (FCF Yield 3-&gt;4 on an expanding trend despite a modest 2.2% yield; Rev Growth/FCF Margin held) -- the first name in this whole batch (LIN/ET/DPZ/PG) to improve rather than deteriorate on rereview, evidence the pipeline isn't just systematically pessimistic. Given GE cleared the 4.0 bar, advanced it through full Tier 2/3: all 9 quant indicators (ROIC vs WACC, Relative Strength, Valuation Multiples, Technical Trend, Analyst Consensus, Volume &amp; Accumulation, plus the 3 Tier 1 quant ones) auto-drafted and approved. Management Quality &amp; Capital Allocation (Part 12 -- qualitative, not auto-drafted) researched via web search and approved by Alan: score 5/H, based on GE Aerospace's capital return framework (70-75% of available funds targeted via dividends+buybacks, ~90% of FCF actually returned in 2025; $4.2B buybacks + $873M dividends in H1 2026 alone under a new $20B authorization; dividend +30.6% Feb 2026; 2026 FCF guidance raised, not cut) and Larry Culp's track record (&gt;$100B debt reduction, executed the 3-way GEHC/GEV/GE-Aerospace breakup, committed through 2027). Noted but not weighted against the score: 500+ suppliers straining under backlog demand -- read as an industry-wide constraint being proactively managed, not a governance or capital-allocation flag. Result: GE Composite 84.2, STRONG BUY -- first-ever completion out of the original 5-name queue (LIN, NFLX, DPZ, PG, GE) besides the two now-parked names. NFLX remains the one name in that original 5 never touched this round.
Two real bugs found and fixed in the process, both in landry/export.py, both the same root cause as the recurring "hardcoded row bound never updated as a tab grew" class (see CLAUDE.md): (1) the Composite Score gate (Scoring!AF) considered a tier "ready" once its contribution cell was merely non-blank, but that cell goes non-blank as soon as ANY ONE of its 3-4 inputs is filled -- would have silently computed GE's Composite using 0 for Management Quality if that indicator had been written before the others. Fixed the gate to require full population of all 5/4/3 indicators per tier, tab-wide (safe/backward-compatible: only changes behavior for a genuinely-partial row, which had never existed before GE). (2) export --scores's ticker-to-row lookup (and the identical pattern for Market Data) only scanned rows 3-27, a stale bound from when the tab was smaller -- DPZ/PG/GE (rows 32/34/43) were silently skipped entirely on the first export attempt, no data written, no error. Fixed to scan the sheet's actual extent. Side effect caught and corrected: because that first (broken) export still processed the WHOLE approved-score store, not just today's changes, it re-stamped V and ET's Date Scored to today even though neither was touched -- reverted both back to their correct dates (V: 8/11/26, ET: 9/11/26) after each export run. This will recur on any future export --scores run since the CLI always passes today's date for every approved ticker in the store, not just newly-changed ones -- a real but lower-priority follow-up, logged in CLAUDE.md rather than fixed now.</t>
  </si>
  <si>
    <t xml:space="preserve">NFLX,YUM</t>
  </si>
  <si>
    <t xml:space="preserve">Closed out the original 5-name scoring completion queue (LIN, NFLX, DPZ, PG, GE) and checked one more. NFLX rechecked through the current auto-draft pipeline: Tier 1 Wtd Avg held exactly at 4.21 -- the first name in this whole exercise (LIN/ET/DPZ/PG/GE) where the fresh reread produced IDENTICAL scores to the 8/24/26 original, no deterioration and no surprise improvement. Notably, NFLX also shows a very large relative-strength gap vs SPY (-43.6% blended, -52.4% 12mo) despite stable-not-deteriorating fundamentals -- a clean real example of the divergence-direction idea discussed with Alan the same day (weak RS + stable fundamentals is the 'market hasn't caught up' case, unlike DPZ/PG where RS weakness tracked genuine fundamental decline). Since Tier 1 cleared the bar cleanly, advanced NFLX through full Tier 2/3: all 9 quant indicators approved, and Management Quality &amp; Capital Allocation (Part 12, researched via web search, approved by Alan at the same 5/H tier as GE) based on a disciplined reinvest-then-return capital framework (new $25B buyback authorization Apr 2026 on top of a Dec 2024 one; record $4.7B single-quarter repurchase in Q2 2026 alongside 12% FX-neutral revenue growth) and a stable co-CEO structure (Sarandos/content, Peters/ops) since Jan 2023 with an actual succession precedent already demonstrated (Reed Hastings's smooth transition to non-exec Chairman). Caveat noted, not weighted against the score: content spend rising ~10% in 2026, worth watching for discipline slippage but not a current issue. Result: NFLX Composite 83.8, STRONG BUY.
Also rechecked YUM (one of the 6 PENDING tickers originally excluded from this round) at Alan's direction -- 'only YUM worth a revisit at this point' among CMG/YUM/ETSY/PH/ETN. Same weakening pattern as DPZ/PG/LIN/ET: Tier 1 Wtd Avg 4.29-&gt;3.79 (FCF Yield 5-&gt;4, Revenue Growth Consistency 4-&gt;3, both losing H confidence -&gt; M on fresh data). Approved into the audit trail and written into Scoring at the rescored value; parked below the ~4.0 bar, not advanced, same treatment as the others. CMG, ETSY, PH, and ETN remain untouched -- Alan's explicit call, not an oversight; logged as Open Items #12 so it reads as a decision, not a gap.
Current state, this queue: GE and NFLX fully completed (STRONG BUY, 84.2 and 83.8). LIN, ET, DPZ, PG, and now YUM all parked below/at the ~4.0 bar on rescore. CMG, ETSY, PH, ETN deliberately not rechecked.</t>
  </si>
  <si>
    <t xml:space="preserve">V,SCORING-VERIFICATION-AUDIT</t>
  </si>
  <si>
    <t xml:space="preserve">Alan noticed YUM/LIN/DPZ all failed on verified rescore and asked whether other Darryl-list names were missed. Traced provenance via Screen_Candidates' Source column: LIN, NFLX, CMG, DPZ, ETSY, YUM, PG, ET, and V are all Darryl-sourced (PH and ETN are not, despite being in the same 'other 6 PENDING' group). Of those rechecked, 4 of 6 clearly failed (LIN, ET, DPZ, YUM), one sits exactly at the bar (PG), one held steady (NFLX) -- and GE, the sole improvement, is NOT Darryl-sourced. V (Visa, a live $18K+ STRONG BUY position bought 9/8/26) is also Darryl-sourced, also dated 8/11/26, and had never been rechecked -- rechecked it: Tier 1 Wtd Avg 4.57-&gt;3.64 (FCF Margin Trend 5-&gt;2, the 51.7% margin itself is excellent but the trend is contracting; Revenue Growth Consistency 5-&gt;4; FCF Yield 4-&gt;3). Recomputed Composite 86.4-&gt;73.4: STRONG BUY -&gt; BUY. Approved into the audit trail and written into Scoring at Alan's direction.
Root-caused how this happened, not just that it did. Checked landry_scores.json's git history: it wasn't tracked until 2026-08-18, and at that point LIN/ET/DPZ/PG/YUM/V/NFLX/GE/CMG/ETSY were ALL absent -- none of their original Tier 1 scores were ever produced by landry draft. Found the actual source: the 8/11/26 commit that added these Scoring rows also added Darryl_List_Analysis_v1.docx, a saved transcript of a conversational chat-based analysis, ticker by ticker. Read it -- it's genuinely careful work (real citations, real sector-vs-business differentiation reasoning, e.g. why ET passed and CRK/LBRT/NOV in the same GICS sector didn't), not sloppy. But it predates roic_vs_wacc even existing as a capability (added 8/17), predates the ScoreStore audit trail (added 8/18), and predates the whole propose-then-approve discipline CLAUDE.md now documents. Best read: not an error being corrected, but a fresh quarter of real data (Q2 2026 earnings, reported after 8/11 for most of these names) now baked into the rescore that simply didn't exist originally -- genuine drift, not a mistake.
V has a second wrinkle on top: its Tier 2/3 scores were never independently re-verified either. Found all 9 of its non-Tier-1-quant indicators (competitive_moat, revenue_visibility, management_quality, roic_vs_wacc, relative_strength, valuation_multiples, technical_trend, analyst_consensus, volume_accumulation) share the IDENTICAL approved_at timestamp to the second (2026-09-09T00:13:54) -- the fingerprint of a mechanical import_scores() backfill (copying whatever was already in the workbook), not real one-at-a-time review. This is the exact incident CLAUDE.md already flagged ('V, Sept 2026') but as a bookkeeping gap -- it wasn't previously understood that the underlying numbers were never actually re-derived, only notarized into the audit trail nine days after the position was bought.
Built the fix Alan asked for: a new landry audit check, scoring_verification, with two signals -- (1) any Scoring ticker with a real Tier 1 Wtd Avg but zero approved landry_scores.json entries at all (one consolidated finding, currently ~38 tickers -- most of the workbook predates this discipline, expected to shrink over time, not a one-sitting fix), and (2) 3+ indicators approved with source=manual sharing one identical timestamp (the bulk-import fingerprint). Had to restrict signal (2) to source=manual specifically after it first flagged today's own legitimate scripted approve-loops (GE/NFLX/YUM all landed multiple real quant_draft approvals in the same wall-clock second, which is fast review, not a copy) -- verified against the actual pytest suite afterward (4 pre-existing, unrelated failures found -- a stale KGS partial-Tier1 edge case, a stale equity-weight threshold, a stale performance-tab-emptiness assertion, and a data-hygiene caching test -- none caused by today's changes, logged for whenever someone works through test staleness separately). Full detail in CLAUDE.md's new 'Standing gap' section.</t>
  </si>
  <si>
    <t xml:space="preserve">NVDA,SPMO-SEQUENCING</t>
  </si>
  <si>
    <t xml:space="preserve">Started working through the held-position verification queue (largest first): NVDA rechecked. Tier 1 Wtd Avg 4.57-&gt;4.29 (FCF Yield 4-&gt;3, yield still ~1.7% but confidence eased; Revenue Growth and FCF Margin held their scores exactly with confidence easing H-&gt;M) -- much milder than the DPZ/PG/YUM/V pattern, Composite 93.2-&gt;89.2, stays STRONG BUY comfortably. Approved and written in.
The auto-draft's Rule 36 correlation check also flagged NVDA at 0.75 vs SPMO (&gt;0.70 cap) -- a portfolio-construction finding, separate from NVDA's own quality. Pulled SPMO's full row from Correlation Matrix: it's not just NVDA -- JEPQ (0.88), NVDA (0.74), and AVGO (0.73) all exceed the 0.70 cap, with TSM (0.69), KLAC (0.67), MU (0.66), VRT (0.66), ANET (0.64), and ASML (0.61) close behind. SPMO (S&amp;P 500 Momentum) is effectively a concentrated re-expression of the same AI/semiconductor momentum trade that already dominates the real stock book, not a diversifying use of dry powder.
DECISION (Alan, 9/13/26): given SPMO is already treated as temporary dry powder (see ETF-CASH-BUCKET-TODO, 8/24/26) and can be liquidated as needed, sequence it FIRST among the 10 dry-powder ETF positions when funding upcoming DCA-CATCHUP tranches -- it's the least diversifying of the group, so drawing it down first gives up the least. This is a funding-source sequencing decision, not a change to which NEW positions get bought or to Rule 36 itself. Added to Process Checklist's diversifier-headroom step across all 8 DCA-CATCHUP-N events so it's visible at the point of actually executing a tranche, not just here.</t>
  </si>
  <si>
    <t xml:space="preserve">VRTX,ANET,KLAC,CRWD,ADBE,PLD,PLTR,AVGO,ASML,TSM,VRT,MU</t>
  </si>
  <si>
    <t xml:space="preserve">Closed out the held-position verification queue (see [[held_position_verification]]) -- rechecked the remaining 12 of 14 real stock holdings (V and NVDA done earlier same day), largest-to-smallest per Alan's instruction. Refreshed only the 3 Tier 1 quant indicators per ticker (fcf_yield_trend, revenue_growth_consistency, fcf_margin_trend); Tier 2/3 left as recorded, same policy as V/NVDA.
Results (Tier 1 Wtd Avg / Composite / Decision, before -&gt; after): VRTX 3.79-&gt;3.14 / 75.6-&gt;66.6 / BUY (weaker, close to Watch List). ANET 4.57-&gt;4.29 / 85-&gt;81 / STRONG BUY holds. KLAC 3.43-&gt;3.71 / 68.6-&gt;72.6 / BUY improves. CRWD 4.00-&gt;3.50 / 70.4-&gt;63.4 / BUY -&gt; WATCH LIST (see below). ADBE unchanged on all 3 quant indicators -- zero drift, same as NFLX earlier. PLD 4.36-&gt;3.93 / 82-&gt;76 / STRONG BUY -&gt; BUY, but only Revenue Growth Consistency could be refreshed (PLD is a REIT with no standard CapEx line item -- FCF Yield and FCF Margin Trend can't be auto-drafted this way, stay at recorded values pending a real REIT-adapted reassessment). PLTR 4.00-&gt;4.07 / 75.2-&gt;76.2 / BUY holds. AVGO 4.07-&gt;3.14 / 80.8-&gt;67.8 / STRONG BUY -&gt; BUY. ASML 3.57-&gt;3.86 / 73.2-&gt;77.2 / BUY improves. TSM 4.00-&gt;4.21 / 81-&gt;84 / STRONG BUY improves despite Revenue Growth Consistency cratering (5-&gt;2) -- CAGR is fine (18.9%) but erratic quarter to quarter (CV 0.87), and FCF Yield/Margin gains more than offset it. VRT 4.36-&gt;3.93 / 82.8-&gt;76.8 / STRONG BUY -&gt; BUY. MU 3.64-&gt;3.36 / 71.8-&gt;67.8 / BUY holds. All approved into landry_scores.json and written into Scoring.
CRWD is the one that matters most: FCF Margin Trend collapsed to a 2 (margin now just 3.0%, contracting, down hard from whatever supported its original 5), and the Tier 2 draft shows ROIC at -323.7% vs WACC -- a real profitability problem, not statistical noise. First position in this whole exercise to actually cross out of BUY into WATCH LIST. Alan's read: the market is already on to this -- CRWD's price has declined significantly over the past two weeks -- so this isn't a surprise divergence to investigate, it's confirmed and deserves watching. Added to Watch List Tracker (previously empty -- first entry ever) per the tab's own Rule 31-34 mechanism: Probationary Hold, entered 9/13/26 at score 63.4, 90-day deadline 12/12/26, currently ON TRACK. Credible Remediation Plan (col H) not yet assessed -- doesn't gate the Action Status formula for Probationary Hold (only matters for Exit Review), but worth a real look before the deadline.
Second real finding, independent of SPMO: KLAC and ASML correlate 0.77 with EACH OTHER (both semiconductor-equipment makers) -- a genuine Rule 36 violation between two actual scored holdings, not a dry-powder ETF. AVGO also reconfirmed 0.73 vs SPMO (already known), and TSM sits exactly at the 0.70 boundary. Not acted on yet -- logged for whenever position-sizing/correlation gets a real look, since unlike SPMO neither KLAC nor ASML is a temporary/liquidatable position.
This closes the held-position verification queue Alan opened after noticing YUM/LIN/DPZ's pattern -- all 14 real stock holdings now have a genuine, dated Tier 1 rescore backing them (V's Tier 2/3 still flagged bulk-imported, not yet re-derived). 25 tickers remain in `landry audit`'s no_audit_trail list, all bench candidates or previously-sold positions, not held.</t>
  </si>
  <si>
    <t xml:space="preserve">RULE-33-EARLY-PARTIAL-TRIM</t>
  </si>
  <si>
    <t xml:space="preserve">New Hard Rule added to the Landry System governing document, prompted directly by CRWD's entry into Probationary Hold the same day (see Journal row 58). Alan's question: the existing Probationary Hold mechanism is all-or-nothing for 90 days -- recover to 65+ or get sold at the deadline -- with nothing in between, even for a position whose fundamentals have reconfirmed-deteriorating and whose price is already falling fast (CRWD down 10-15% over the prior two weeks). Is there a way to reduce exposure earlier without reintroducing the kind of reactive, price-driven selling the system's own Hold Through provision exists to prevent?
Pulled the exact Part 6 text from LANDRY_SYSTEM_v1-02_FINAL.docx before drafting anything, rather than work from the workbook's condensed summary -- confirmed the existing Hold Through list already protects against price alone ('Short-term price decline of 20-30% with no change in Tier 1/2 fundamentals -- this is noise'), so any new rule had to trigger on a fresh FUNDAMENTAL reconfirmation, not on the stock continuing to fall, or it would quietly undercut that existing protection.
Agreed rule (Alan's parameters): Early Partial Trim, scoped to Probationary Hold only (not Exit Review). If, before the 90-day re-score, the same Tier 1/2 indicator(s) that caused Probationary Hold entry are reconfirmed unimproved or worse by a later filing, scheduled re-score, or equivalent documented evidence, trim one-third of the share count held at entry. May recur up to twice more in the same window on further reconfirmation -- up to 3 trims total, full liquidation in the worst case, avoiding a full 90-day ride to the bottom on a name with confirmed, ongoing deterioration while still preserving the position (and any profit) if it genuinely recovers first. Alan's own framing, explicitly: this is a first pass, not a final calibration -- trim size/scope may get tightened once more positions have gone through Probationary Hold and a real pattern (not one case) suggests which metric combinations actually predict non-recovery, consistent with Part 9's existing caution against reactive rule changes after a single case.
Implemented as Rule 33 (Part 6, Hard Rules: Sell Triggers -- Valuation) -- inserted directly into the numbered, bordered Hard Rules list in LANDRY_SYSTEM_v1-02_FINAL.docx (both the Part 6 body and its restatement in the Master Rule Register), which correctly auto-renumbered the old Rule 33 ('Composite Score falls below 35...') to Rule 34 and everything auto-recalculates from there -- confirmed by rendering to PDF and inspecting the actual page, not just trusting the XML edit; first attempt used a plain paragraph and silently broke out of both the numbered list and the bordered box, caught by that same render check. Version bumped v1.02-&gt;v1.03, Hard Rule count 49-&gt;50, with a full Revision History entry following the exact precedent format of the 2026-08-25 Piotroski entry -- unlike that one, this DOES cross Part 9's Change Control threshold for a Hard Rule revision, which is why this one gets a version bump and that one didn't.
Cascaded into the workbook: Instructions tab's version/count line and RULE REFERENCE section updated (new Rule 33 quick-reference callout added). Watch List Tracker gets a new 'Trims Taken (0-3, Rule 33)' column (table extended to A2:M22) so this is tracked the same auditable way everything else on that tab is -- not a formula-driven auto-check like the 90-day deadline (a 'did the fundamentals reconfirm' judgment can't be a spreadsheet formula the way date arithmetic can), but a visible, standing record. CRWD's row: Trims Taken=0 (today's Probationary Hold entry does not itself count as a trim event -- only a LATER reconfirmation does), Remediation Plan Notes updated to flag that Rule 33 now applies pending the next real data point.</t>
  </si>
  <si>
    <t xml:space="preserve">PYPL,XRAY,GXO</t>
  </si>
  <si>
    <t xml:space="preserve">Screened 3 more Darryl-list candidates, one from each of the three sectors that had never been touched at all (Financial Services, Healthcare, Industrials) -- confirmed via the Darryl_List_Candidates ranking tab that none of the three had even a coarse prior verdict. PYPL is the only other Financial Services name on the list besides V (already held); flagged the payments-on-payments overlap before screening, but correlation came back clean (max 0.39 vs any current holding, so vs V specifically is even lower) -- different business models (card network vs. digital wallet) apparently don't move together much.
Initial quant screen: PYPL clears the Tier 1 floor comfortably on the 3 quant indicators alone (FCF Yield 5, Rev Growth 3, FCF Margin 3, quant-only ~3.89) -- strong FCF yield (9.9%, expanding), solid ROIC (25.2% vs 9.8% WACC), reasonable valuation (PEG 0.95). XRAY fails decisively (quant-only ~1.67: revenue actually shrinking at -2.1% CAGR, FCF margin just 1.9% and contracting, ROIC negative). GXO fails too (quant-only ~2.67: FCF margin near-zero at 0.5% and contracting, weak ROIC 2.3% vs 6.3% WACC -- no sector adaptation exists for asset-light 3PL margin structure, so it's scored on the same terms as everything else). Both rejected per Part 1.4 (Tier 1 below 3.0, stop and reject), same treatment as CRK/LBRT/NOV in the original Darryl forays -- no further research warranted.
PYPL's own picture was more complicated than the quant numbers alone suggested. Researched why analyst consensus was so weak (16% buy-equivalent) and relative strength so negative (-36% over 12mo) before doing Moat/Revenue Visibility research -- found PayPal is an ACTIVE ACQUISITION TARGET: Stripe and Advent International made a joint $60.50/share offer (~$53B, a 28% premium to pre-offer price) in July 2026, following an earlier approach in April, confirmed across Reuters/CNBC/WSJ. As of the most recent reporting, PayPal hasn't responded and talks are ongoing.
DECISION (Alan, 9/13/26): drop PYPL for now, not scored further. Rationale: an active M&amp;A target is out of scope for this system regardless of how the fundamentals look -- Part 1.3 explicitly excludes sub-12-month time horizons, and a stock trading on deal speculation has its near-term price driven by deal probability and terms, not the Tier 1-3 business-quality signals this framework measures. Current valuation/technical/relative-strength readings are likely deal-distorted rather than clean fundamental signals -- the moat-erosion narrative that likely contributed to PayPal becoming a target in the first place (Stripe growing TPV 3-4x faster, Apple Pay/Google Pay checkout pressure) may be real, but it can't be cleanly separated from deal dynamics right now. Revisit as a fresh candidate only after the situation resolves (deal completes, falls through, or goes stale) -- not before.
All 3 tickers' pending drafts formally rejected in landry_scores.json with documented reasons (not left in limbo). None of the 3 ever touched the Scoring tab -- pure screening exercise, no workbook cleanup needed. Sector coverage note: Financial Services (2 names total, both now resolved: V held, PYPL dropped for M&amp;A), Healthcare and Industrials both have several untouched names left if either sector gets revisited (Healthcare: ABT, AZN, BAX, BSX, ICLR, NTRA, PFE, UNH, VEEV; Industrials: BE, MIR, QXO, SMR, SUNB, SWK, UPS -- note BE and SMR were already flagged in the original Darryl analysis as secretly AI-datacenter-power plays despite the Industrials label, worth deprioritizing if Industrials comes up again).</t>
  </si>
  <si>
    <t xml:space="preserve">ABT,SLB,CCI,SCORING-EXPORT-BUGS</t>
  </si>
  <si>
    <t xml:space="preserve">Continued the Darryl-list screening round (2nd batch of 3 after PYPL/XRAY/GXO): one from each of the most underrepresented sectors -- Real Estate (CCI), Healthcare (ABT), Energy (SLB). SLB and ABT both cleared the Tier 1 floor and went through full research to Composite. CCI's headline Revenue Growth Consistency (-15.2% CAGR) turned out to be a mix of a deliberate fiber/small-cell divestiture (closed May 2026, $8.4B to Zayo/Arium) AND genuine unresolved litigation -- DISH allegedly defaulted on tower lease payments, Crown Castle terminated and is suing for over $3.5B, DISH counters with a force majeure claim already through an appeals court. A tower REIT's whole thesis depends on durable, visible lease revenue; this is live, unresolved uncertainty on exactly that, not an artifact more research would resolve. Rejected rather than scored further.
SLB: Moat=4 (undisputed #1 in oilfield services, $35.9B revenue ~$14B ahead of Halliburton; Delfi/Lumi digital platforms, ~30% share in drilling equipment; Digital segment ARR &gt;$1B, +15% YoY, 21% margin -- highest-margin segment in the company). Revenue Visibility=3 (capex-cycle-driven core, partially offset by growing Digital ARR and offshore backlogs). Management Quality=4 (3.5% dividend increase for 2026, &gt;$4B targeted shareholder returns, stable CEO tenure since 2019). Result: Composite 72.4, BUY. Scoring row 50.
ABT: Moat=5 (FreeStyle Libre ~40% global CGM share, $5.3B+ annual sales, 6M+ users -- genuine recurring consumables model with real switching costs; June 2026 Dexcom cross-licensing settlement removed a real patent-litigation overhang for a decade; diversified across 4 segments, 60% international revenue). Revenue Visibility=4 (recurring consumables plus diversification). Management Quality=5 (Dividend King, 54 consecutive years of increases, ~60% FCF payout ratio leaving real room, clearly articulated capital priorities). Note: raw Rev Growth Consistency score (2) is mechanically correct but driven by a 2023 COVID-testing-revenue rolloff inside the 3-year CAGR/CV window -- recent quarters (2025-2026) show clean, steady growth ($10.36B-&gt;$11.14B-&gt;$11.37B-&gt;$11.46B-&gt;$11.16B); left the raw score as computed rather than override it, flagged for context. Result: Composite 70.8, BUY. Scoring row 49.
Alan asked to validate/verify everything into and out of the Scoring tab while placing these two new tickers -- turned up four real, previously-unknown or unfixed bugs, not just the two new scores:
(1) landry/export.py's new-ticker placement logic treated the Scoring tab's SUBTOTAL ticker-count footer as if it were a real ticker (its column-A value is a bare number under data_only=True, but the formula TEXT ITSELF -- still a string -- under data_only=False, which export_workbook must use to avoid wiping every other formula in the workbook on save). This corrupted where ABT got placed (row 63, past the footer, no Company name) and silently dropped SLB entirely -- a second, independent bug in the same block only ever allowed exactly one new ticker to be appended per export call. Both fixed: excluded non-string AND formula-text values from the row-detection scan, and let the free-row counter increment per new ticker instead of capping at one.
(2) A genuine openpyxl gotcha cost real time diagnosing this: ws.cell(row=r, column=c, value=None) does NOT clear an existing cell -- the constructor only assigns a value when one is truthy/not-None, so this call is a silent no-op on a cell that already has content. Every 'clear' attempt using this pattern did nothing; the fix is explicit attribute assignment (cell = ws.cell(row, column); cell.value = None).
(3) landry/xlsx_io.py's read_scoring_tab (used by both `landry pending`/scoring and export.py's own import_scores) had NO max_row bound at all on main and only checked bare truthiness of column A -- meaning it was ALSO silently reading the SUBTOTAL footer as a real 49th ticker (literally named after whatever the current visible count was) on every single call, this whole session and presumably long before it. This is the third occurrence of the unbounded-reader-treats-a-footer-as-data bug class in this codebase's history -- CLAUDE.md already documented a max_row=60 fix for this exact function, but it was made on the abandoned db-migration-prep branch and never ported to main. Fixed properly this time with a content-based guard (exclude non-string values) rather than a hardcoded row bound, so it can't go stale as the tab grows the way a magic-number bound already has three times.
(4) Dashboard's row-by-row mirror formulas (=IF(Scoring!A47="","",Scoring!A47) pattern) only extended through Scoring row 47 (NFLX) -- KGS (added 9/11, row 48) was ALREADY invisible on Dashboard before today, and ABT/SLB would have been too. Extended Dashboard's mirror rows through Scoring row 50, moved its note and SUBTOTAL footer down to match, extended DashboardTable's Table ref (A1:J46-&gt;A1:J49, caught by `landry audit`'s table_ref check), and corrected Schema Reference's now-stale Dashboard row-range entry (also caught by audit). Verified rows 47-49 aren't accidentally row-hidden (unlike the 19 Rule-3-Avoid rows that are deliberately hidden elsewhere on that tab).
Full pytest suite run twice during this process: same 4 pre-existing, unrelated stale-test failures throughout, plus one NEW expected failure (test_import_seeds_store_and_reproduces_composite hardcodes NVDA's Composite as 93.2, its value before today's legitimate rescore to 89.2 -- test drift from real work, not a bug). None of the four fixes above caused any new failure. `landry audit` clean at the usual 2-pre-existing-plus-scoring-verification-baseline throughout, confirming CANDIDATES LIST.xlsx and the workbook itself both correctly reflect ABT/SLB/CCI's outcomes.</t>
  </si>
  <si>
    <t xml:space="preserve">DCA-CATCHUP-1-PREP</t>
  </si>
  <si>
    <t xml:space="preserve">Alan back from travel, ran the DCA-CATCHUP-1 prerequisite checklist a day early (due 9/30, he wanted to get ahead of it). Environment note: system Python was blocked by an unaccepted Xcode license (likely an OS/Xcode update during his travel-prep device refresh) -- fixed with a dedicated venv (/Users/Alan/.venvs/stock_picker), no action needed from Alan. See CLAUDE.md.
REAL CORRECTION: the '$1.55M portfolio, ETF sleeve = 21.7%' figures quoted to Alan on 9/13 (during the still-paused ETF-sleeve design conversation) were wrong -- an ad hoc inline script summed Current Positions market values without excluding zero-quantity legacy rows, landing at exactly double the real figure. Confirmed via the actual landry.xlsx_io.total_portfolio_value() library function: true total is $776,662.72, consistent with $751,223 on 9/7 plus Tranche 2's ~$26K and normal drift. The 10-ETF sleeve ($337,606) is therefore ~43.5% of the portfolio, not 21.7% -- a materially different starting point whenever the ETF-sleeve conversation resumes. Also found: Current Positions' own Price column can't be refreshed by this tooling at all (depends on an Excel-only STOCKHISTORY formula) -- Market Data (yfinance-refreshed) is the reliable source going forward. Both logged in CLAUDE.md.
Prerequisite checklist results: portfolio at a new high (~$777K vs $751K prior peak) -&gt; Drawdown regime Normal, full tranche proceeds. S&amp;P 500 -1.64% from ATH -&gt; baseline tier, no acceleration multiplier. Target stays $40,000-$50,000 per DCA-CATCHUP-PLAN-2.
NEW finding: landry refresh's Rule 36 cluster check flagged AVUV/DVY/SCHD/VFLO/VYM (5 of the 10 ETFs) at 20.76% aggregate exposure, over the docx's own 20% cluster cap (pairwise correlations 0.73-0.89 -- DVY/SCHD/VYM are the tightest at 0.86-0.89, essentially redundant large-cap dividend funds; AVUV/VFLO are more loosely tied at 0.73-0.79). Per the rule's own text this is a risk-review trigger requiring documentation of the shared risk driver (a common Value-factor tilt) and written approval to continue above 20%, not an automatic forced sale. Not yet resolved -- tied to the still-paused ETF-sleeve conversation. Logged as Open Items #13.
Diversifier headroom check: Alan's own read is that VRTX, PLD, AND ADBE (all three of the usual diversifier trio) have shown significant weakness over the past few weeks. Confirmed for VRTX via a fresh (unapproved) draft peek: FCF Yield and FCF Margin both now drafting lower (contracting on both), a real change from the 9/13 recheck -- PLD and ADBE not independently re-verified today, only Alan's observation. Given this, pulled the full field of qualified (Composite&gt;=65), not-yet-held candidates instead: GE (84.2, STRONG BUY) and NFLX (83.8, STRONG BUY) both re-verified fresh today with ZERO Tier 1 drift since 9/13 (genuinely stable), clean correlation (max 0.61 and 0.41 respectively, both vs SPMO), and zero current sector exposure (Industrials, Communication Services) -- COST (77.4) was available but its 8/11 score predates the pipeline maturity that caused ~70% of that same batch to fail on recheck, so not trusted without a fresh look; SLB/ABT (72.4, 70.8) are solid but lower-tier than GE/NFLX.
DECISION: split the tranche half-and-half between GE (~60-75sh at $334.91) and NFLX (~260-325sh at $76.77), roughly $20-25K each. Funding: SPMO first per the standing 9/13 sequencing decision (covers roughly half-to-two-thirds on its own, $26,491 combined); for the remainder, suggested drawing from DVY/SCHD/VYM specifically (the most redundant sub-cluster) as a way to also chip into the 20.76% cluster-cap breach above -- not yet confirmed by Alan, his call when he executes. Alan will execute at the broker 9/30 and report back actual fills for recording.
Not yet done, flagged for follow-up: a formal (approved, not just drafted) recheck of PLD and ADBE to match VRTX's fresh data point; VRTX/PLD/ADBE weren't touched beyond the one VRTX peek. See Open Items.</t>
  </si>
  <si>
    <t xml:space="preserve">PROCESS-CHECKLIST-FRESH-CHECK-STEP</t>
  </si>
  <si>
    <t xml:space="preserve">Agreed with Alan: starting with DCA-CATCHUP-2 (10/7, not retroactive to -1 which is already past prep), add a standing prep step -- before finalizing a tranche's buy target(s), run a fresh landry draft Tier 1 reread for every candidate under consideration, not just the usual diversifier names, and deprioritize anything showing new price-trend weakness or a stale (30+ day, or pre-8/18/26) Date Scored. Directly prompted by today's DCA-CATCHUP-1 prep (see row 62): VRTX/PLD/ADBE, the default trio, had all weakened since 9/13 with nothing flagging it, while GE/NFLX turned out stronger on a fresh check. Alan's own note: this kind of staleness tracking is exactly the sort of thing a real database would do more systematically -- not a request to resume DB migration work (still paused per Alan's standing instruction), just an observation for whenever that resumes.
Rebuilt Process Checklist to add this as a new step on DCA-CATCHUP-2 through -8 (each now 10 steps, was 9) -- DCA-CATCHUP-1 unchanged at 9. No Done=Y rows existed anywhere in the tab, so a full rebuild was safe (no completion data at risk). Schema Reference's row-range note updated to match (A4:F106, was A4:F99).</t>
  </si>
  <si>
    <t xml:space="preserve">DCA-CATCHUP-1 executed. GE (GE Aerospace) opened new, 75sh @ $314.71 ($23,603.25, JT ULTRA/Fidelity). NFLX (Netflix) opened new, 300sh @ $69.795 ($20,938.50, JT ULTRA/Fidelity). Total tranche $44,541.75, within the $40,000-$50,000 target (see DCA-CATCHUP-PLAN-2, 9/11/26) -- both names entered per the 9/29/26 prep decision (Composite 84.2 and 83.8, both STRONG BUY, both reconfirmed with zero Tier 1 drift on fresh data after VRTX/PLD/ADBE -- the usual diversifier trio -- all showed unflagged weakness). Both fill prices came in below the 9/29 estimate (GE $334.91-&gt;$314.71, NFLX $76.77-&gt;$69.795), a real ~6-9% overnight/next-day decline in both names, not a data error -- more shares bought for the same dollar target as a result. Recorded in Current Positions (rows 22-23, JT ULTRA block extended from 19 to 21 positions -- required inserting 2 rows and fixing every dependent subtotal/percentage formula across both the JT ULTRA and Chase blocks, since the block boundaries shifted; verified with a full self-reference scan after, one narrow collision caught and fixed where a row's old position number happened to equal the Chase block's own start boundary), Performance Tracking (new rows 7-8), and Monitor &amp; Recheck Triggers (Category Watch List -&gt; Owned for both). Funding: drawn from Fidelity cash, not an ETF sale -- FZFXX fully drained ($23, a residual balance) plus $44,518.75 from FZDXX ($137,296.09 -&gt; $92,777.34), covering the $44,541.75 tranche exactly. Portfolio total unchanged at $776,662.72 (a pure cash-to-equity reallocation) -- logged in Portfolio Drawdown Log row 5, still a new high vs. the $751,223 prior peak, regime Normal.</t>
  </si>
  <si>
    <t xml:space="preserve">Checklist, not prose -- one row per required step for every recurring event (tranches, quarterly reviews, fundamental refreshes). Mark Done=Y when a step is actually complete; Status auto-flags OVERDUE once the event's Journal date has passed with any step still unchecked. Event Due Date is looked up live from the Journal tab (matches this tab's Event value against Journal col B) -- don't hand-type it, it'll drift.</t>
  </si>
  <si>
    <t xml:space="preserve">Steps currently overdue (event date passed, not marked Done):</t>
  </si>
  <si>
    <t xml:space="preserve">Event</t>
  </si>
  <si>
    <t xml:space="preserve">Step</t>
  </si>
  <si>
    <t xml:space="preserve">Done (Y/N)</t>
  </si>
  <si>
    <t xml:space="preserve">Date Done</t>
  </si>
  <si>
    <t xml:space="preserve">Event Due Date</t>
  </si>
  <si>
    <t xml:space="preserve">Portfolio Drawdown Log -- log quarter-end portfolio value, confirm regime</t>
  </si>
  <si>
    <t xml:space="preserve">Correlation Matrix -- full refresh with latest Price History data, confirm Rule 36 status</t>
  </si>
  <si>
    <t xml:space="preserve">Watch List Tracker -- check all 90-day deadlines (Rule 33), flag any DEADLINE PASSED / APPROACHING</t>
  </si>
  <si>
    <t xml:space="preserve">Log any conversational (non-CLI-draft) scoring to landry_scores.json (source=manual, approved_by=Alan)</t>
  </si>
  <si>
    <t xml:space="preserve">Run `python -m landry audit`, confirm clean or explain any failures</t>
  </si>
  <si>
    <t xml:space="preserve">Run `python -m landry.xlsx_recalc` after any workbook edit</t>
  </si>
  <si>
    <t xml:space="preserve">Re-score Tier 1 indicators (FCF Yield, Revenue Growth, Moat, Rev Visibility, FCF Margin) for existing holdings using new Q3 results -- update Scoring tab for anything material</t>
  </si>
  <si>
    <t xml:space="preserve">Complete COST/Visa Entry Checklist work if not finished at 9/30 review</t>
  </si>
  <si>
    <t xml:space="preserve">Holding Monitor -- snapshot pre-refresh Tier 1 sub-scores into Prior columns, then populate Current columns with post-refresh values; also populate Position Pct, Max Full Pct, Debt/FCF, P/FCF, FCF Growth%, Implied Return, Current/Prior Tier</t>
  </si>
  <si>
    <t xml:space="preserve">Re-score Tier 1 indicators using Q4/FY results</t>
  </si>
  <si>
    <t xml:space="preserve">Holding Monitor -- shift each held ticker's Current columns into Prior, then populate Current with newly re-scored Tier 1 sub-scores and refreshed valuation/sizing metrics; review any TRIGGER/ACTION REQUIRED flags</t>
  </si>
  <si>
    <t xml:space="preserve">Pull fresh prices for all held positions -- update Current Positions col F</t>
  </si>
  <si>
    <t xml:space="preserve">Log this month's total portfolio value into Portfolio Drawdown Log -- note the resulting regime (Normal/Elevated/Severe/Critical)</t>
  </si>
  <si>
    <t xml:space="preserve">Check S&amp;P 500 % from ATH and apply the DCA acceleration tier to this tranche's size: Routine(-5 to -9%)=baseline, Correction(-10 to -14%)=+25%, Severe Correction(-15 to -19%)=+50%, Bear(-20%+)=+100%. Portfolio regime from the step above overrides: Severe/Critical=skip this tranche regardless of S&amp;P tier; Elevated=Strong-Buy-quality entries only, multiplier still applies. See Journal 9/11/26 for full reasoning</t>
  </si>
  <si>
    <t xml:space="preserve">Scan Monitor &amp; Recheck Triggers Recheck Status -- re-score whatever's DUE before adding to it, not after</t>
  </si>
  <si>
    <t xml:space="preserve">Check remaining diversifier headroom (VRTX/PLD/ADBE, or COST/Visa once active) against tranche size. When liquidating dry-powder ETFs to fund this tranche, draw from SPMO first -- it correlates 0.74-0.88 with NVDA/AVGO/JEPQ (2 exceed Rule 36's 0.70 cap), the least diversifying of the 10 ETF positions. See Journal 9/13/26.</t>
  </si>
  <si>
    <t xml:space="preserve">Confirm Correlation Matrix status hasn't moved unfavorably before buying</t>
  </si>
  <si>
    <t xml:space="preserve">Before finalizing this tranche's buy target(s), run a fresh Tier 1 quant reread (`landry draft &lt;TICKER&gt;`) for every candidate under consideration -- not just the usual diversifier names -- and deprioritize any showing new price-trend weakness or a stale (30+ days, or pre-8/18/26) Date Scored. See Journal 9/29/26 -- VRTX/PLD/ADBE all showed unflagged weakness that week; GE/NFLX proved stronger on a fresh check.</t>
  </si>
  <si>
    <t xml:space="preserve">Open items backlog -- especially non-critical ones that don't have a natural home in a recurring checklist. Numbered in priority order (1 = highest) -- renumber freely as priorities shift, this list is short enough that it's a non-issue. Mark Done=Y and fill Date Resolved when closed; resolved rows stay in place as a record rather than being deleted. Full reasoning behind any entry lives in Journal -- Notes here just points to it.</t>
  </si>
  <si>
    <t xml:space="preserve">Open (unresolved) items:</t>
  </si>
  <si>
    <t xml:space="preserve">#</t>
  </si>
  <si>
    <t xml:space="preserve">Item</t>
  </si>
  <si>
    <t xml:space="preserve">Date Raised</t>
  </si>
  <si>
    <t xml:space="preserve">Date Resolved</t>
  </si>
  <si>
    <t xml:space="preserve">Piotroski: add 1-2 currently-held, Management-Quality-scored tickers to the diagnostic batch, specifically to make the Leverage Trajectory check testable (0 of the first 4 tickers had a Mgmt Quality score on record to compare against).</t>
  </si>
  <si>
    <t xml:space="preserve">Added MU and VRT -- both now testable, both agree with existing Mgmt Quality (no divergence). See Journal row 40.</t>
  </si>
  <si>
    <t xml:space="preserve">Piotroski: diagnose why VRTX's FY2025 CFO ($3.63B) came in under Net Income ($3.95B) -- one-time item vs. a genuine earnings-quality concern -- before treating that divergence as conclusive on its own.</t>
  </si>
  <si>
    <t xml:space="preserve">Growth/launch-driven working-capital build (Journavx launch), not an earnings-quality concern. See Journal row 41.</t>
  </si>
  <si>
    <t xml:space="preserve">Scoring completion queue: LIN, NFLX, DPZ, PG, GE cleared Tier 1 months ago. GE and NFLX fully completed (STRONG BUY); LIN, ET(added), DPZ, and PG all rechecked and parked below/at the 4.0 bar.</t>
  </si>
  <si>
    <t xml:space="preserve">See Journal rows 53-55.</t>
  </si>
  <si>
    <t xml:space="preserve">Implied-Return backfill: 16 pre-existing holdings (13 held, 3 sold) entered the portfolio before the Rules 11-13 gate existed and have never been run through it.</t>
  </si>
  <si>
    <t xml:space="preserve">Action Items E25/E26: same truncated-range bug already fixed in E28/E29 (Entry Authorization tallies) also exists here (Rule 2/4 candidate-flag tallies against Scoring, still capped at row 27).</t>
  </si>
  <si>
    <t xml:space="preserve">Holding Monitor's template caps at 20 tickers; Implied-Return Calculator extends to the full 45-ticker universe. Not urgent today (14 non-ETF holdings), but a real ceiling if holdings keep growing.</t>
  </si>
  <si>
    <t xml:space="preserve">Formalize how ETFs should be treated as portfolio positions. Current holdings are being treated as dry powder for now (a tactical decision), but the general policy question is still genuinely undecided.</t>
  </si>
  <si>
    <t xml:space="preserve">DPZ and PG both showed real deterioration (parked, same as LIN/ET); GE improved and was advanced to full Tier 2/3 (Composite 84.2, STRONG BUY). See Journal row 54.</t>
  </si>
  <si>
    <t xml:space="preserve">Database migration: Phase A shipped 8/18/26; Phases B/C (cutting the CLI/webapp over to the DB, generated-report export) were paused pending Tranche 2. That gate cleared 9/8/26 but resuming hasn't been asked for.</t>
  </si>
  <si>
    <t xml:space="preserve">Consider a 5-10% "wild card" portfolio allocation -- rule-disregarding, or governed by a new/separate rule set -- for exceptional opportunities outside the current Landry Strategy's normal gates. Genuinely undefined, discussion-only for now.</t>
  </si>
  <si>
    <t xml:space="preserve">See Journal row 38.</t>
  </si>
  <si>
    <t xml:space="preserve">Reconcile the Instructions tab's print layout with Alan's separately reformatted _copy version (one page wide). Recommended Alan do this directly on the live file to avoid cross-contamination from a _copy file.</t>
  </si>
  <si>
    <t xml:space="preserve">Recheck DPZ, PG, and GE (same 8/11-13 Scoring batch as LIN/ET) before trusting their recorded Tier 1 scores. LIN and ET both showed real deterioration on rescore (Tier 1 Wtd Avg ~4.5/4.0 -&gt; 3.07 for both) once run through the current, more rigorous auto-draft pipeline -- which matured after 8/11/26. May not be company-specific weakening so much as the whole batch having been scored with something less rigorous than what's available now.</t>
  </si>
  <si>
    <t xml:space="preserve">See Journal row 53.</t>
  </si>
  <si>
    <t xml:space="preserve">CMG, ETSY, PH, and ETN are the remaining names from the same stale 8/11-13 PENDING batch as the scoring completion queue (LIN/ET/DPZ/PG/GE/YUM). Deliberately not rechecked -- Alan's call, 9/13/26: 'only YUM worth a revisit at this point.' Not an oversight; revisit only if Alan raises it.</t>
  </si>
  <si>
    <t xml:space="preserve">Traced provenance: CMG and ETSY ARE Darryl-sourced and still unverified; PH/ETN are not Darryl-sourced. V (held position) also Darryl-sourced -- rechecked, fell to BUY from STRONG BUY. See Journal row 56.</t>
  </si>
  <si>
    <t xml:space="preserve">Rule 36 cluster-exposure cap breach: AVUV/DVY/SCHD/VFLO/VYM (5 of the 10 ETF sleeve positions) correlate 0.73-0.89 with each other and sum to 20.76% of the portfolio, over the docx's 20% cluster cap. Per the rule itself this needs a documented shared-risk-driver writeup (looks like a common Value-factor tilt) and written approval to continue above 20%, or a trim. Tied to the still-paused ETF-sleeve design conversation -- don't resolve unilaterally.</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</si>
  <si>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</si>
  <si>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</si>
  <si>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</si>
  <si>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</si>
  <si>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</si>
  <si>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</si>
  <si>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</si>
  <si>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</si>
  <si>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</si>
  <si>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</si>
  <si>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</si>
  <si>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</si>
  <si>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</si>
  <si>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</si>
  <si>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Current Positions</t>
  </si>
  <si>
    <t xml:space="preserve">Table</t>
  </si>
  <si>
    <t xml:space="preserve">CurrentPositionsTable</t>
  </si>
  <si>
    <t xml:space="preserve">A2:M51 as of 2026-09-30. JT ULTRA rows 3-23 (21 positions, incl. GE/NFLX added 9/30/26), subtotal row 24, 'Excluding Cash' % in J25. Self-Directed/Chase rows 27-46 (20 positions), subtotal row 47. No separate Combined-Total or Cash-Equivalents row currently exists within the table (an earlier version of this note described rows 48-49 that way -- stale by the time this was corrected, predating 9/30/26; the combined total is JT ULTRA G24 + Chase G47, not a dedicated row). Rows 48-51 blank padding. These row numbers shift every time a position is added/removed -- re-verify against the live Table ref before relying on them, don't hardcode downstream references to specific rows.</t>
  </si>
  <si>
    <t xml:space="preserve">A=Account,B=Ticker,C=Description,D=AssetClass,E=Quantity,F=Price,G=MarketValue,H=CostBasis,I=UnrealizedGL$,J=UnrealizedGL%,K=%ofAccount,L=%ofCombined,M=Classification. Tax-loss carryforward reference cells at O2/P2 (Short-term), O3/P3 (Long-term) -- outside the table. Notes row (50) also outside the table, freeform.</t>
  </si>
  <si>
    <t xml:space="preserve">Monitor &amp; Recheck Triggers</t>
  </si>
  <si>
    <t xml:space="preserve">MonitorTable</t>
  </si>
  <si>
    <t xml:space="preserve">A2:Q48 (col N=Analyst Shift Note, mirrors K/L; RecheckStatus now P, Notes now Q; row 48 added 2026-09-11 for KGS, a tracked non-owned candidate)</t>
  </si>
  <si>
    <t xml:space="preserve">A=Ticker,B=Category,C=LastScoreDate,D=LastComposite,E=LastT1WtdAvg,F=LastDecision,G=PriceAtLastScore,H=CurrentPrice,I=%PriceChange,J=EarningsDate,K=InsiderY/N,L=InsiderNote,M=AnalystShiftY/N,N=AnalystShiftNote,O=DaysSinceScore,P=RecheckStatus,Q=Notes. Category values: Owned / Owned - Tier1 AVOID / Watch List / Tier-1 Avoid (external) / Near-Miss.</t>
  </si>
  <si>
    <t xml:space="preserve">Price History</t>
  </si>
  <si>
    <t xml:space="preserve">Fixed range, single header</t>
  </si>
  <si>
    <t xml:space="preserve">Rows 3-162, cols A + B-V (21 ticker-column slots). 19 tickers currently populated (14 stocks, 5 ETFs); 2 slots free at cols P and U. Weekly closes, week-ending Friday (Rule 36). 24-month target ~104 rows, 12-month minimum ~52 rows, 36-month max ~156 rows. Manual entry. V added 2026-09-08 (Tranche 2) at col V, appended past the original 20-slot range rather than reusing a freed slot -- the 2 free slots (P, U) predate V and are still open.</t>
  </si>
  <si>
    <t xml:space="preserve">A=Week Ending, B onward=one column per tracked ticker (order matches Returns (Calc) and Correlation Matrix).</t>
  </si>
  <si>
    <t xml:space="preserve">Dashboard</t>
  </si>
  <si>
    <t xml:space="preserve">DashboardTable</t>
  </si>
  <si>
    <t xml:space="preserve">A1:J49 (header is row 1 here, not row 2 like most other tabs)</t>
  </si>
  <si>
    <t xml:space="preserve">A=Ticker,B=Company,C=DateScored,D=Tier1WtdAvg,E=Composite,F=Decision,G=Rule1,H=Rule2,I=Rule3,J=Rule4. Formula-mirrors Scoring row-for-row (=IF(Scoring!A3="","",Scoring!A3) pattern) -- read-only, do not edit directly. 19 Rule-3-Avoid rows manually hidden; the ticker-count footnote uses SUBTOTAL(103,...) so it only counts visible (non-hidden) rows.</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</si>
  <si>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</si>
  <si>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</si>
  <si>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</si>
  <si>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</si>
  <si>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 Indicator key names used by landry.scoring.INDICATORS (for programmatic access) don't match these column letters 1:1 -- see landry/scoring.py if writing code against this tab rather than reading it.</t>
  </si>
  <si>
    <t xml:space="preserve">Entry Checklist</t>
  </si>
  <si>
    <t xml:space="preserve">EntryChecklistTable</t>
  </si>
  <si>
    <t xml:space="preserve">A2:S47</t>
  </si>
  <si>
    <t xml:space="preserve">A=Ticker,B=Company (both formula-mirror Scoring, same =IF(Scoring!A3="","",Scoring!A3) pattern as Dashboard). C=Rule5(Composite&gt;=65),D=Rule6(Tier1&gt;=3.0),E=Rule7(NoTier1=1),F=Rule8(200wkMA Y/N),G=Rule9(MonthlyMACD Y/N),H=StagingResult(Rules8-9). I=Rule10(BinaryEventRiskPresent Y/N),J=RiskIncludedInThesis(Y/N),K=Rule10Result. L=BaseCase&gt;10%check (added 2026-09-08; mirrors 'Implied-Return Calculator'!S with a +1 row offset -- Entry Checklist row 3 = that tab's row 4, same ticker). M=Rule11-BearCase&gt;=0%check (mirrors ...!T, same +1 offset), N=Rule12-ScenarioTagsOK (mirrors ...!U, same +1 offset). O=P/FCF(current),P=ConsensusFCFgrowth(2-yr annualized),Q=Rule13-ValuationCeiling. R=ENTRYAUTHORIZED (aggregates C,D,E,K,L,M,N,Q -- YES only if all pass), S=RecommendedAction (reads R).</t>
  </si>
  <si>
    <t xml:space="preserve">Market Data</t>
  </si>
  <si>
    <t xml:space="preserve">Rows 3-38 (36 tickers: held equities/ETFs ex-cash + Tier-1-passed bench candidates), cols A-I. Manual entry, refreshed periodically via landry.data_auto.market_snapshot() -- not a live formula.</t>
  </si>
  <si>
    <t xml:space="preserve">A=Ticker,B=Company,C=Price,D=Volume,E=MarketCap,F=P/E,G=52wkLow,H=52wkHigh,I=DivYield.</t>
  </si>
  <si>
    <t xml:space="preserve">Returns (Calc)</t>
  </si>
  <si>
    <t xml:space="preserve">Fixed range, formula-derived</t>
  </si>
  <si>
    <t xml:space="preserve">Rows 3-161, cols A-V and W-AO</t>
  </si>
  <si>
    <t xml:space="preserve">Cols A-V mirror Price History's layout (same column order, same 2 blank gap columns) -- every cell there is a formula computing week-over-week %% return off Price History; do not edit directly. Cols W-AO (23-41) are a SEPARATE block: one 'trend' column per real ticker (19, packed contiguously, skipping Price History's 2 blank gaps), each an IFERROR(...+INDEX/MATCH(9.99E+307,...)...) formula that finds Price History's actual last row and computes that chart's dynamic trendline endpoint -- this is what lets each trendline auto-extend as new weekly closes are added, without FILTER/UNIQUE (this environment's LibreOffice recalc can't evaluate those). Feeds charts 1-19 directly; not a return calculation. Don't assume cols 23+ are unused placeholders -- they're live and load-bearing (a past session assumed exactly that from a shallow check and had to self-correct).</t>
  </si>
  <si>
    <t xml:space="preserve">Correlation Matrix</t>
  </si>
  <si>
    <t xml:space="preserve">Fixed range, formula-derived headers</t>
  </si>
  <si>
    <t xml:space="preserve">Rows 1-27, cols A-AG</t>
  </si>
  <si>
    <t xml:space="preserve">Restructured 2026-09-08 (Alan's 4-point spec). Row1=banner (merged A1:AG1). Rows2-3=summary, moved above the grid: A2/A3=labels, J2=violation count (COUNTIF of the count-col &gt;1), J3=Rule 36 status (OK/REVIEW REQUIRED, conditionally formatted red/green). Row4=blank spacer. Row5=header: A='Ticker', B-V=21 ticker columns (mirrors Price History/Returns (Calc) column order, including their 2 blank gaps). Rows6-26=21 ticker rows (same tickers, same order, as Price History). Cols W-AF (23-32)=10 blank buffer columns, reserved so new tickers don't force the count column to keep moving -- see the cell comment on AG5 before using up the last one. Col AG(33)='Positions &gt;0.70 with' -- per-row COUNTIF of that ticker's pairwise correlations &gt;0.7, conditionally formatted red if &gt;1 (that's the actual Rule 36 violation, tallied into J2).</t>
  </si>
  <si>
    <t xml:space="preserve">Portfolio Drawdown Log</t>
  </si>
  <si>
    <t xml:space="preserve">DrawdownLogTable</t>
  </si>
  <si>
    <t xml:space="preserve">A2:H42 as of 2026-09-08; grows one row per quarterly review, re-verify against the live Table ref</t>
  </si>
  <si>
    <t xml:space="preserve">A=Date,B=PortfolioValue,C=RunningPeak,D=Drawdown%,E=Status,F=RequiredCashFloor,G=NewPositionInitiation,H=Notes. Enter Date + PortfolioValue only; C-G calculate automatically (Part 7, Rules 36-37 drawdown-response tiers).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</si>
  <si>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</si>
  <si>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</si>
  <si>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</si>
  <si>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</si>
  <si>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</si>
  <si>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</si>
  <si>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Template exists for the full 45-ticker universe, rows 4-48 (same row as Entry Checklist +1 -- Entry Checklist row 3 = this tab's row 4, same ticker, all the way through row 47/48). Only rows 20-21 (COST, V) currently have real data; the rest are genuinely empty (no data AND no stray formulas) -- populated on demand when a candidate moves toward actual entry (Rules 11-13 prep), not for the whole universe up front.</t>
  </si>
  <si>
    <t xml:space="preserve">A=Ticker,B=Company,C=Price. D-H=Base[FCF5,Mult,Dist,Return,Tag]. I-M=Bear[same]. N-R=Bull[same]. S=Base&gt;10%check,T=Bear&gt;=0%check,U=ExactlyOneLikelyCheck.</t>
  </si>
  <si>
    <t xml:space="preserve">Holding Monitor</t>
  </si>
  <si>
    <t xml:space="preserve">n/a (Fundamental-trigger group header spans multiple columns in row 2)</t>
  </si>
  <si>
    <t xml:space="preserve">Template only covers rows 4-23 (20 tickers) -- unlike Implied-Return Calculator, this does NOT extend to the full 45-ticker universe; sheet max_row is genuinely 23. Currently 14 non-ETF holdings, so there's headroom for now, but extending the template is a real to-do before holdings count gets much closer to 20. 100%% empty as of 2026-09-08 -- correct, not a gap: only populates during scheduled quarterly reviews/fundamental refreshes (see Journal's FUND-REFRESH entries), and the first one hadn't happened yet as of that date. All input columns (Ticker, Company, Position Pct, Max Full Pct, every Prior/Current metric) are pure manual entry, no formulas at all except the Flag/Valuation-Flags/Action-Status columns below.</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</si>
  <si>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</si>
  <si>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</si>
  <si>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</si>
  <si>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A2:Q33</t>
  </si>
  <si>
    <t xml:space="preserve">A=Ticker,B=Company,C=EntryDate,D=EntryPrice,E=EntryScore,F=EntryConfidence,G=EntryBand,H=SPYatEntry,I=Status,J=ExitDate,K=ExitPrice,L=ExitReason,M=CurrentOrExitPrice,N=SPYcurrentOrExit,O=TotalReturn,P=SPYReturnSamePeriod,Q=ExcessReturn. Only tickers that went through a real formal entry get a row (Part 9) -- legacy pre-System holdings and sold Rule-3-Avoid names are deliberately excluded, never backfilled with a fabricated entry score.</t>
  </si>
  <si>
    <t xml:space="preserve">Journal</t>
  </si>
  <si>
    <t xml:space="preserve">JournalTable</t>
  </si>
  <si>
    <t xml:space="preserve">A2:C302</t>
  </si>
  <si>
    <t xml:space="preserve">A=Date,B=Ticker,C=Notes. Freeform; filter/sort via the Table's built-in header dropdowns.</t>
  </si>
  <si>
    <t xml:space="preserve">Process Checklist</t>
  </si>
  <si>
    <t xml:space="preserve">ProcessChecklistTable</t>
  </si>
  <si>
    <t xml:space="preserve">A4:F106 as of 2026-09-29 (12 events x their own step count; DCA-CATCHUP-2..8 each gained one new step -- a fresh Tier 1 reread requirement for weak/stale candidates -- while DCA-CATCHUP-1 stayed as-is since it was already past prep, see Journal row 62) -- grows or shrinks whenever a recurring event is added/removed from the Journal calendar or an existing event's step list changes</t>
  </si>
  <si>
    <t xml:space="preserve">A=Event (must match Journal col B exactly), B=Step, C=Done(Y/N, manual), D=DateDone(manual), E=EventDueDate (live lookup into Journal, do not hand-type), F=Status (Done/OVERDUE/Pending, formula). Added 2026-09-08 -- built to make "missed a checklist step" structurally visible (Status flips OVERDUE) rather than something you have to remember to check.</t>
  </si>
  <si>
    <t xml:space="preserve">Open Items</t>
  </si>
  <si>
    <t xml:space="preserve">OpenItemsTable</t>
  </si>
  <si>
    <t xml:space="preserve">A4:F17 as of 2026-09-29 (13 items) -- grows as new open items get added, shrinks only if a row is deliberately removed (resolved items stay, marked Done, not deleted)</t>
  </si>
  <si>
    <t xml:space="preserve">A=# (priority order, renumber freely), B=Item, C=Done(Y/N, manual), D=DateRaised, E=DateResolved, F=Notes (points to the Journal entry with full reasoning, doesn't duplicate it). Added 2026-09-11 -- ad hoc/one-off open items backlog, complements Process Checklist (which is for recurring scheduled events only).</t>
  </si>
</sst>
</file>

<file path=xl/styles.xml><?xml version="1.0" encoding="utf-8"?>
<styleSheet xmlns="http://schemas.openxmlformats.org/spreadsheetml/2006/main">
  <numFmts count="16">
    <numFmt numFmtId="164" formatCode="General"/>
    <numFmt numFmtId="165" formatCode="0.00"/>
    <numFmt numFmtId="166" formatCode="0"/>
    <numFmt numFmtId="167" formatCode="0.0%"/>
    <numFmt numFmtId="168" formatCode="_(* #,##0.00_);_(* \(#,##0.00\);_(* \-??_);_(@_)"/>
    <numFmt numFmtId="169" formatCode="\$#,##0.00"/>
    <numFmt numFmtId="170" formatCode="#,##0.00"/>
    <numFmt numFmtId="171" formatCode="yyyy\-mm\-dd"/>
    <numFmt numFmtId="172" formatCode="mm/dd/yyyy"/>
    <numFmt numFmtId="173" formatCode="0.0"/>
    <numFmt numFmtId="174" formatCode="0.000"/>
    <numFmt numFmtId="175" formatCode="#,##0"/>
    <numFmt numFmtId="176" formatCode="\$#,##0"/>
    <numFmt numFmtId="177" formatCode="0%"/>
    <numFmt numFmtId="178" formatCode="0.0\x"/>
    <numFmt numFmtId="179" formatCode="yyyy\-mm\-dd\ h:mm:ss"/>
  </numFmts>
  <fonts count="65">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4"/>
      <color rgb="FF1F3864"/>
      <name val="Arial"/>
      <family val="2"/>
      <charset val="1"/>
    </font>
    <font>
      <sz val="14"/>
      <color theme="1"/>
      <name val="Calibri"/>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sz val="11"/>
      <color theme="1"/>
      <name val="Arial Narrow"/>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sz val="10"/>
      <name val="Arial Narrow"/>
      <family val="2"/>
      <charset val="1"/>
    </font>
    <font>
      <b val="true"/>
      <sz val="10"/>
      <color rgb="FF000000"/>
      <name val="Arial Narrow"/>
      <family val="2"/>
      <charset val="1"/>
    </font>
    <font>
      <sz val="10"/>
      <color rgb="FF000000"/>
      <name val="Arial Narrow"/>
      <family val="2"/>
      <charset val="1"/>
    </font>
    <font>
      <sz val="9"/>
      <color rgb="FF002060"/>
      <name val="Arial Narrow"/>
      <family val="2"/>
      <charset val="1"/>
    </font>
    <font>
      <sz val="10"/>
      <name val="Arial Narrow"/>
      <family val="0"/>
      <charset val="1"/>
    </font>
    <font>
      <i val="true"/>
      <sz val="10"/>
      <color rgb="FF808080"/>
      <name val="Arial Narrow"/>
      <family val="2"/>
      <charset val="1"/>
    </font>
    <font>
      <sz val="10"/>
      <name val="Arial"/>
      <family val="2"/>
    </font>
    <font>
      <b val="true"/>
      <sz val="11"/>
      <color theme="1"/>
      <name val="Calibri"/>
      <family val="2"/>
      <charset val="1"/>
    </font>
    <font>
      <i val="true"/>
      <sz val="11"/>
      <color rgb="FF000000"/>
      <name val="Arial Narrow"/>
      <family val="2"/>
      <charset val="1"/>
    </font>
    <font>
      <b val="true"/>
      <sz val="11"/>
      <color rgb="FF00206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sz val="10"/>
      <color theme="1"/>
      <name val="Arial Narrow"/>
      <family val="2"/>
      <charset val="1"/>
    </font>
    <font>
      <i val="true"/>
      <sz val="12"/>
      <color rgb="FF000000"/>
      <name val="Arial Narrow"/>
      <family val="2"/>
      <charset val="1"/>
    </font>
    <font>
      <b val="true"/>
      <sz val="12"/>
      <color theme="1"/>
      <name val="Arial Narrow"/>
      <family val="2"/>
      <charset val="1"/>
    </font>
    <font>
      <b val="true"/>
      <sz val="12"/>
      <color rgb="FFFFFFFF"/>
      <name val="Arial Narrow"/>
      <family val="2"/>
      <charset val="1"/>
    </font>
    <font>
      <b val="true"/>
      <sz val="11"/>
      <color rgb="FF000000"/>
      <name val="Arial Narrow"/>
      <family val="2"/>
      <charset val="1"/>
    </font>
    <font>
      <b val="true"/>
      <sz val="16"/>
      <color rgb="FFFFFFFF"/>
      <name val="Arial Narrow"/>
      <family val="2"/>
      <charset val="1"/>
    </font>
    <font>
      <b val="true"/>
      <sz val="11"/>
      <color theme="1"/>
      <name val="Arial Narrow"/>
      <family val="2"/>
      <charset val="1"/>
    </font>
    <font>
      <b val="true"/>
      <sz val="10"/>
      <color rgb="FFFFFFFF"/>
      <name val="Arial Narrow"/>
      <family val="2"/>
      <charset val="1"/>
    </font>
    <font>
      <b val="true"/>
      <sz val="9"/>
      <color rgb="FFFFFFFF"/>
      <name val="Arial Narrow"/>
      <family val="2"/>
      <charset val="1"/>
    </font>
    <font>
      <sz val="11"/>
      <color rgb="FF002060"/>
      <name val="Arial Narrow"/>
      <family val="2"/>
      <charset val="1"/>
    </font>
    <font>
      <b val="true"/>
      <sz val="8"/>
      <color rgb="FF000000"/>
      <name val="Arial Narrow"/>
      <family val="2"/>
      <charset val="1"/>
    </font>
    <font>
      <b val="true"/>
      <sz val="9"/>
      <color rgb="FF000000"/>
      <name val="Arial Narrow"/>
      <family val="2"/>
      <charset val="1"/>
    </font>
    <font>
      <sz val="9"/>
      <color theme="1"/>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0"/>
      <name val="Arial Narrow"/>
      <family val="0"/>
      <charset val="1"/>
    </font>
    <font>
      <b val="true"/>
      <sz val="12"/>
      <color rgb="FF1F3864"/>
      <name val="Arial Narrow"/>
      <family val="2"/>
      <charset val="1"/>
    </font>
    <font>
      <b val="true"/>
      <i val="true"/>
      <sz val="11"/>
      <color rgb="FF000000"/>
      <name val="Arial Narrow"/>
      <family val="2"/>
      <charset val="1"/>
    </font>
    <font>
      <b val="true"/>
      <sz val="8"/>
      <color rgb="FF002060"/>
      <name val="Arial"/>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i val="true"/>
      <sz val="11"/>
      <color rgb="FF808080"/>
      <name val="Arial Narrow"/>
      <family val="2"/>
      <charset val="1"/>
    </font>
    <font>
      <b val="true"/>
      <sz val="12"/>
      <color rgb="FF1F3864"/>
      <name val="Arial"/>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12">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theme="6" tint="0.7999"/>
        <bgColor rgb="FFE2EFDA"/>
      </patternFill>
    </fill>
    <fill>
      <patternFill patternType="solid">
        <fgColor rgb="FFDDEBF7"/>
        <bgColor rgb="FFDCE6F1"/>
      </patternFill>
    </fill>
    <fill>
      <patternFill patternType="solid">
        <fgColor theme="2" tint="-0.1"/>
        <bgColor rgb="FFD9D9D9"/>
      </patternFill>
    </fill>
    <fill>
      <patternFill patternType="solid">
        <fgColor rgb="FF833C0C"/>
        <bgColor rgb="FF632423"/>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
      <patternFill patternType="solid">
        <fgColor rgb="FFECF4FA"/>
        <bgColor rgb="FFEBF1DE"/>
      </patternFill>
    </fill>
  </fills>
  <borders count="8">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top style="medium"/>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right/>
      <top style="thin">
        <color rgb="FF999999"/>
      </top>
      <bottom style="thin">
        <color rgb="FF999999"/>
      </bottom>
      <diagonal/>
    </border>
    <border diagonalUp="false" diagonalDown="false">
      <left/>
      <right/>
      <top/>
      <bottom style="thin">
        <color rgb="FF999999"/>
      </bottom>
      <diagonal/>
    </border>
    <border diagonalUp="false" diagonalDown="false">
      <left/>
      <right/>
      <top style="dashed"/>
      <bottom style="dashed"/>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tru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2" borderId="0"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right" vertical="center" textRotation="0" wrapText="fals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6" fontId="14" fillId="0"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2" fillId="2" borderId="0"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true" applyAlignment="true" applyProtection="false">
      <alignment horizontal="right"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18" fillId="3" borderId="0" xfId="0" applyFont="true" applyBorder="false" applyAlignment="true" applyProtection="false">
      <alignment horizontal="center" vertical="top" textRotation="0" wrapText="tru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center"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68" fontId="22" fillId="0" borderId="0" xfId="0" applyFont="true" applyBorder="false" applyAlignment="true" applyProtection="false">
      <alignment horizontal="general" vertical="bottom" textRotation="0" wrapText="false" indent="0" shrinkToFit="false"/>
      <protection locked="true" hidden="false"/>
    </xf>
    <xf numFmtId="169" fontId="23" fillId="0" borderId="0" xfId="0" applyFont="true" applyBorder="false" applyAlignment="true" applyProtection="false">
      <alignment horizontal="general" vertical="bottom" textRotation="0" wrapText="false" indent="0" shrinkToFit="false"/>
      <protection locked="true" hidden="false"/>
    </xf>
    <xf numFmtId="170" fontId="21" fillId="0" borderId="0" xfId="0" applyFont="true" applyBorder="false" applyAlignment="true" applyProtection="false">
      <alignment horizontal="general" vertical="bottom" textRotation="0" wrapText="false" indent="0" shrinkToFit="false"/>
      <protection locked="true" hidden="false"/>
    </xf>
    <xf numFmtId="169" fontId="21" fillId="0"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center" vertical="bottom" textRotation="0" wrapText="false" indent="0" shrinkToFit="false"/>
      <protection locked="true" hidden="false"/>
    </xf>
    <xf numFmtId="164" fontId="20" fillId="4" borderId="0" xfId="0" applyFont="true" applyBorder="false" applyAlignment="true" applyProtection="false">
      <alignment horizontal="center"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general" vertical="bottom" textRotation="0" wrapText="false" indent="0" shrinkToFit="false"/>
      <protection locked="true" hidden="false"/>
    </xf>
    <xf numFmtId="164" fontId="25" fillId="0" borderId="2" xfId="0" applyFont="true" applyBorder="true" applyAlignment="true" applyProtection="false">
      <alignment horizontal="right" vertical="bottom" textRotation="0" wrapText="false" indent="0" shrinkToFit="false"/>
      <protection locked="true" hidden="false"/>
    </xf>
    <xf numFmtId="164" fontId="20" fillId="0" borderId="2" xfId="0" applyFont="true" applyBorder="true" applyAlignment="true" applyProtection="false">
      <alignment horizontal="center" vertical="bottom" textRotation="0" wrapText="false" indent="0" shrinkToFit="false"/>
      <protection locked="true" hidden="false"/>
    </xf>
    <xf numFmtId="164" fontId="20" fillId="0" borderId="2" xfId="0" applyFont="true" applyBorder="true" applyAlignment="true" applyProtection="false">
      <alignment horizontal="right" vertical="bottom" textRotation="0" wrapText="false" indent="0" shrinkToFit="false"/>
      <protection locked="true" hidden="false"/>
    </xf>
    <xf numFmtId="164" fontId="21" fillId="0" borderId="2" xfId="0" applyFont="true" applyBorder="true" applyAlignment="true" applyProtection="false">
      <alignment horizontal="center" vertical="bottom" textRotation="0" wrapText="false" indent="0" shrinkToFit="false"/>
      <protection locked="true" hidden="false"/>
    </xf>
    <xf numFmtId="164" fontId="21" fillId="0" borderId="2" xfId="0" applyFont="true" applyBorder="true" applyAlignment="true" applyProtection="false">
      <alignment horizontal="general" vertical="bottom" textRotation="0" wrapText="false" indent="0" shrinkToFit="false"/>
      <protection locked="true" hidden="false"/>
    </xf>
    <xf numFmtId="168" fontId="22" fillId="0" borderId="2" xfId="0" applyFont="true" applyBorder="true" applyAlignment="true" applyProtection="false">
      <alignment horizontal="general" vertical="bottom" textRotation="0" wrapText="false" indent="0" shrinkToFit="false"/>
      <protection locked="true" hidden="false"/>
    </xf>
    <xf numFmtId="169" fontId="23" fillId="0" borderId="2" xfId="0" applyFont="true" applyBorder="true" applyAlignment="true" applyProtection="false">
      <alignment horizontal="general" vertical="bottom" textRotation="0" wrapText="false" indent="0" shrinkToFit="false"/>
      <protection locked="true" hidden="false"/>
    </xf>
    <xf numFmtId="170" fontId="20" fillId="0" borderId="2" xfId="0" applyFont="true" applyBorder="true" applyAlignment="true" applyProtection="false">
      <alignment horizontal="general" vertical="bottom" textRotation="0" wrapText="false" indent="0" shrinkToFit="false"/>
      <protection locked="true" hidden="false"/>
    </xf>
    <xf numFmtId="169" fontId="20" fillId="0" borderId="2" xfId="0" applyFont="true" applyBorder="true" applyAlignment="true" applyProtection="false">
      <alignment horizontal="general" vertical="bottom" textRotation="0" wrapText="false" indent="0" shrinkToFit="false"/>
      <protection locked="true" hidden="false"/>
    </xf>
    <xf numFmtId="167" fontId="23" fillId="0" borderId="2" xfId="0" applyFont="true" applyBorder="true" applyAlignment="true" applyProtection="false">
      <alignment horizontal="center" vertical="bottom" textRotation="0" wrapText="false" indent="0" shrinkToFit="false"/>
      <protection locked="true" hidden="false"/>
    </xf>
    <xf numFmtId="164" fontId="19"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right" vertical="bottom" textRotation="0" wrapText="false" indent="0" shrinkToFit="false"/>
      <protection locked="true" hidden="false"/>
    </xf>
    <xf numFmtId="167" fontId="26" fillId="0" borderId="0" xfId="0" applyFont="true" applyBorder="false" applyAlignment="true" applyProtection="false">
      <alignment horizontal="center" vertical="bottom" textRotation="0" wrapText="false" indent="0" shrinkToFit="false"/>
      <protection locked="true" hidden="false"/>
    </xf>
    <xf numFmtId="164" fontId="19" fillId="0" borderId="0" xfId="0" applyFont="true" applyBorder="tru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left" vertical="center" textRotation="0" wrapText="true" indent="0" shrinkToFit="false"/>
      <protection locked="true" hidden="false"/>
    </xf>
    <xf numFmtId="164" fontId="29" fillId="0" borderId="0" xfId="0" applyFont="true" applyBorder="false" applyAlignment="true" applyProtection="false">
      <alignment horizontal="center" vertical="bottom" textRotation="0" wrapText="false" indent="0" shrinkToFit="false"/>
      <protection locked="true" hidden="false"/>
    </xf>
    <xf numFmtId="170" fontId="0" fillId="0" borderId="0" xfId="0" applyFont="false" applyBorder="false" applyAlignment="true" applyProtection="false">
      <alignment horizontal="general" vertical="bottom" textRotation="0" wrapText="false" indent="0" shrinkToFit="false"/>
      <protection locked="true" hidden="false"/>
    </xf>
    <xf numFmtId="164" fontId="30" fillId="0" borderId="0" xfId="0" applyFont="true" applyBorder="true" applyAlignment="true" applyProtection="false">
      <alignment horizontal="general" vertical="center" textRotation="0" wrapText="true" indent="0" shrinkToFit="false"/>
      <protection locked="true" hidden="false"/>
    </xf>
    <xf numFmtId="164" fontId="18" fillId="3" borderId="1" xfId="0" applyFont="true" applyBorder="true" applyAlignment="true" applyProtection="false">
      <alignment horizontal="center" vertical="top" textRotation="0" wrapText="true" indent="0" shrinkToFit="false"/>
      <protection locked="true" hidden="false"/>
    </xf>
    <xf numFmtId="170" fontId="18" fillId="3" borderId="1" xfId="0" applyFont="true" applyBorder="true" applyAlignment="true" applyProtection="false">
      <alignment horizontal="center"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3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center" vertical="center" textRotation="0" wrapText="false" indent="0" shrinkToFit="false"/>
      <protection locked="true" hidden="false"/>
    </xf>
    <xf numFmtId="171" fontId="21" fillId="5"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center" vertical="center" textRotation="0" wrapText="false" indent="0" shrinkToFit="false"/>
      <protection locked="true" hidden="false"/>
    </xf>
    <xf numFmtId="170" fontId="21" fillId="5" borderId="1" xfId="0" applyFont="true" applyBorder="true" applyAlignment="true" applyProtection="false">
      <alignment horizontal="center" vertical="center" textRotation="0" wrapText="false" indent="0" shrinkToFit="false"/>
      <protection locked="true" hidden="false"/>
    </xf>
    <xf numFmtId="169" fontId="21" fillId="5" borderId="1" xfId="0" applyFont="true" applyBorder="true" applyAlignment="true" applyProtection="false">
      <alignment horizontal="center" vertical="center" textRotation="0" wrapText="false" indent="0" shrinkToFit="false"/>
      <protection locked="true" hidden="false"/>
    </xf>
    <xf numFmtId="167" fontId="23" fillId="0" borderId="1" xfId="0" applyFont="true" applyBorder="true" applyAlignment="true" applyProtection="false">
      <alignment horizontal="center" vertical="center" textRotation="0" wrapText="false" indent="0" shrinkToFit="false"/>
      <protection locked="true" hidden="false"/>
    </xf>
    <xf numFmtId="172" fontId="2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left" vertical="center" textRotation="0" wrapText="false" indent="0" shrinkToFit="false"/>
      <protection locked="true" hidden="false"/>
    </xf>
    <xf numFmtId="166" fontId="24" fillId="0" borderId="1" xfId="0" applyFont="true" applyBorder="true" applyAlignment="true" applyProtection="false">
      <alignment horizontal="center" vertical="center" textRotation="0" wrapText="false" indent="0" shrinkToFit="false"/>
      <protection locked="true" hidden="false"/>
    </xf>
    <xf numFmtId="164" fontId="23" fillId="0"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left" vertical="center" textRotation="0" wrapText="false" indent="0" shrinkToFit="false"/>
      <protection locked="true" hidden="false"/>
    </xf>
    <xf numFmtId="164" fontId="33"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left" vertical="center" textRotation="0" wrapText="false" indent="0" shrinkToFit="false"/>
      <protection locked="true" hidden="false"/>
    </xf>
    <xf numFmtId="171" fontId="34"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center" vertical="center" textRotation="0" wrapText="false" indent="0" shrinkToFit="false"/>
      <protection locked="true" hidden="false"/>
    </xf>
    <xf numFmtId="170" fontId="34" fillId="5" borderId="1" xfId="0" applyFont="true" applyBorder="true" applyAlignment="true" applyProtection="false">
      <alignment horizontal="center" vertical="center" textRotation="0" wrapText="false" indent="0" shrinkToFit="false"/>
      <protection locked="true" hidden="false"/>
    </xf>
    <xf numFmtId="169" fontId="34" fillId="5" borderId="1" xfId="0" applyFont="true" applyBorder="true" applyAlignment="true" applyProtection="false">
      <alignment horizontal="center" vertical="center" textRotation="0" wrapText="false" indent="0" shrinkToFit="false"/>
      <protection locked="true" hidden="false"/>
    </xf>
    <xf numFmtId="172" fontId="34" fillId="5"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64" fontId="20" fillId="5" borderId="3" xfId="0" applyFont="true" applyBorder="true" applyAlignment="true" applyProtection="false">
      <alignment horizontal="center" vertical="center" textRotation="0" wrapText="true" indent="0" shrinkToFit="false"/>
      <protection locked="true" hidden="false"/>
    </xf>
    <xf numFmtId="172" fontId="21" fillId="5" borderId="4" xfId="0" applyFont="true" applyBorder="true" applyAlignment="true" applyProtection="false">
      <alignment horizontal="center" vertical="center" textRotation="0" wrapText="false" indent="0" shrinkToFit="false"/>
      <protection locked="true" hidden="false"/>
    </xf>
    <xf numFmtId="170" fontId="21" fillId="5" borderId="4" xfId="0" applyFont="true" applyBorder="true" applyAlignment="true" applyProtection="false">
      <alignment horizontal="center" vertical="center" textRotation="0" wrapText="false" indent="0" shrinkToFit="false"/>
      <protection locked="true" hidden="false"/>
    </xf>
    <xf numFmtId="165" fontId="21" fillId="5" borderId="1" xfId="0" applyFont="true" applyBorder="true" applyAlignment="true" applyProtection="false">
      <alignment horizontal="center" vertical="center" textRotation="0" wrapText="false" indent="0" shrinkToFit="false"/>
      <protection locked="true" hidden="false"/>
    </xf>
    <xf numFmtId="164" fontId="37" fillId="0" borderId="2" xfId="0" applyFont="true" applyBorder="true" applyAlignment="true" applyProtection="false">
      <alignment horizontal="center" vertical="bottom" textRotation="0" wrapText="false" indent="0" shrinkToFit="false"/>
      <protection locked="true" hidden="false"/>
    </xf>
    <xf numFmtId="164" fontId="38" fillId="3" borderId="1" xfId="0" applyFont="true" applyBorder="true" applyAlignment="true" applyProtection="false">
      <alignment horizontal="center" vertical="top" textRotation="0" wrapText="true" indent="0" shrinkToFit="false"/>
      <protection locked="true" hidden="false"/>
    </xf>
    <xf numFmtId="164" fontId="38" fillId="3" borderId="1" xfId="0" applyFont="true" applyBorder="true" applyAlignment="true" applyProtection="false">
      <alignment horizontal="center" vertical="center" textRotation="0" wrapText="true" indent="0" shrinkToFit="false"/>
      <protection locked="true" hidden="false"/>
    </xf>
    <xf numFmtId="164" fontId="39" fillId="0"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left" vertical="center" textRotation="0" wrapText="false" indent="0" shrinkToFit="false"/>
      <protection locked="true" hidden="false"/>
    </xf>
    <xf numFmtId="172" fontId="32" fillId="0" borderId="1" xfId="0" applyFont="true" applyBorder="true" applyAlignment="true" applyProtection="false">
      <alignment horizontal="center" vertical="center" textRotation="0" wrapText="false" indent="0" shrinkToFit="false"/>
      <protection locked="true" hidden="false"/>
    </xf>
    <xf numFmtId="165" fontId="32" fillId="0" borderId="1" xfId="0" applyFont="true" applyBorder="true" applyAlignment="true" applyProtection="false">
      <alignment horizontal="center" vertical="center" textRotation="0" wrapText="false" indent="0" shrinkToFit="false"/>
      <protection locked="true" hidden="false"/>
    </xf>
    <xf numFmtId="173" fontId="39" fillId="0" borderId="1" xfId="0" applyFont="true" applyBorder="true" applyAlignment="true" applyProtection="false">
      <alignment horizontal="center" vertical="center"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72" fontId="39" fillId="0" borderId="0" xfId="0" applyFont="true" applyBorder="false" applyAlignment="true" applyProtection="false">
      <alignment horizontal="general" vertical="bottom" textRotation="0" wrapText="false" indent="0" shrinkToFit="false"/>
      <protection locked="true" hidden="false"/>
    </xf>
    <xf numFmtId="174" fontId="39" fillId="0" borderId="0" xfId="0" applyFont="true" applyBorder="false" applyAlignment="true" applyProtection="false">
      <alignment horizontal="general" vertical="bottom" textRotation="0" wrapText="false" indent="0" shrinkToFit="false"/>
      <protection locked="true" hidden="false"/>
    </xf>
    <xf numFmtId="171" fontId="39" fillId="0" borderId="0" xfId="0" applyFont="true" applyBorder="false" applyAlignment="true" applyProtection="false">
      <alignment horizontal="general" vertical="bottom" textRotation="0" wrapText="false" indent="0" shrinkToFit="false"/>
      <protection locked="true" hidden="false"/>
    </xf>
    <xf numFmtId="164" fontId="39" fillId="0" borderId="2" xfId="0" applyFont="true" applyBorder="true" applyAlignment="true" applyProtection="false">
      <alignment horizontal="center" vertical="bottom" textRotation="0" wrapText="false" indent="0" shrinkToFit="false"/>
      <protection locked="true" hidden="false"/>
    </xf>
    <xf numFmtId="164" fontId="39" fillId="0" borderId="2" xfId="0" applyFont="true" applyBorder="true" applyAlignment="true" applyProtection="false">
      <alignment horizontal="left"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40" fillId="2" borderId="1" xfId="0" applyFont="true" applyBorder="true" applyAlignment="true" applyProtection="false">
      <alignment horizontal="center" vertical="center" textRotation="0" wrapText="true" indent="0" shrinkToFit="false"/>
      <protection locked="true" hidden="false"/>
    </xf>
    <xf numFmtId="164" fontId="38" fillId="7" borderId="1" xfId="0" applyFont="true" applyBorder="true" applyAlignment="true" applyProtection="false">
      <alignment horizontal="center" vertical="center" textRotation="0" wrapText="true" indent="0" shrinkToFit="false"/>
      <protection locked="true" hidden="false"/>
    </xf>
    <xf numFmtId="164" fontId="41" fillId="0" borderId="5" xfId="0" applyFont="true" applyBorder="true" applyAlignment="true" applyProtection="false">
      <alignment horizontal="general" vertical="center" textRotation="0" wrapText="true" indent="0" shrinkToFit="false"/>
      <protection locked="true" hidden="false"/>
    </xf>
    <xf numFmtId="164" fontId="42" fillId="3" borderId="1" xfId="0" applyFont="true" applyBorder="true" applyAlignment="true" applyProtection="false">
      <alignment horizontal="center" vertical="top" textRotation="0" wrapText="true" indent="0" shrinkToFit="false"/>
      <protection locked="true" hidden="false"/>
    </xf>
    <xf numFmtId="164" fontId="18" fillId="7" borderId="1" xfId="0" applyFont="true" applyBorder="true" applyAlignment="true" applyProtection="false">
      <alignment horizontal="center" vertical="top"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43" fillId="7" borderId="1" xfId="0" applyFont="true" applyBorder="true" applyAlignment="true" applyProtection="false">
      <alignment horizontal="center" vertical="center" textRotation="0" wrapText="true" indent="0" shrinkToFit="false"/>
      <protection locked="true" hidden="false"/>
    </xf>
    <xf numFmtId="164" fontId="44" fillId="5" borderId="1" xfId="0" applyFont="true" applyBorder="true" applyAlignment="true" applyProtection="false">
      <alignment horizontal="left" vertical="center" textRotation="0" wrapText="false" indent="0" shrinkToFit="false"/>
      <protection locked="true" hidden="false"/>
    </xf>
    <xf numFmtId="172" fontId="44" fillId="5" borderId="1" xfId="0" applyFont="true" applyBorder="true" applyAlignment="true" applyProtection="false">
      <alignment horizontal="center" vertical="center" textRotation="0" wrapText="false" indent="0" shrinkToFit="false"/>
      <protection locked="true" hidden="false"/>
    </xf>
    <xf numFmtId="164" fontId="44" fillId="5" borderId="1" xfId="0" applyFont="true" applyBorder="true" applyAlignment="true" applyProtection="false">
      <alignment horizontal="center" vertical="center" textRotation="0" wrapText="false" indent="0" shrinkToFit="false"/>
      <protection locked="true" hidden="false"/>
    </xf>
    <xf numFmtId="174" fontId="32" fillId="0" borderId="1" xfId="0" applyFont="true" applyBorder="true" applyAlignment="true" applyProtection="false">
      <alignment horizontal="center" vertical="center" textRotation="0" wrapText="false" indent="0" shrinkToFit="false"/>
      <protection locked="true" hidden="false"/>
    </xf>
    <xf numFmtId="165" fontId="39" fillId="0" borderId="1" xfId="0" applyFont="true" applyBorder="true" applyAlignment="true" applyProtection="false">
      <alignment horizontal="center" vertical="center" textRotation="0" wrapText="false" indent="0" shrinkToFit="false"/>
      <protection locked="true" hidden="false"/>
    </xf>
    <xf numFmtId="164" fontId="19" fillId="5" borderId="1" xfId="0" applyFont="true" applyBorder="true" applyAlignment="true" applyProtection="false">
      <alignment horizontal="center" vertical="center" textRotation="0" wrapText="false" indent="0" shrinkToFit="false"/>
      <protection locked="true" hidden="false"/>
    </xf>
    <xf numFmtId="164" fontId="25" fillId="5" borderId="1" xfId="0" applyFont="true" applyBorder="true" applyAlignment="true" applyProtection="false">
      <alignment horizontal="center" vertical="center" textRotation="0" wrapText="false" indent="0" shrinkToFit="false"/>
      <protection locked="true" hidden="false"/>
    </xf>
    <xf numFmtId="175" fontId="44" fillId="5" borderId="1" xfId="0" applyFont="true" applyBorder="true" applyAlignment="true" applyProtection="false">
      <alignment horizontal="center" vertical="center" textRotation="0" wrapText="false" indent="0" shrinkToFit="false"/>
      <protection locked="true" hidden="false"/>
    </xf>
    <xf numFmtId="175" fontId="39" fillId="0" borderId="1" xfId="0" applyFont="true" applyBorder="true" applyAlignment="true" applyProtection="false">
      <alignment horizontal="center" vertical="center" textRotation="0" wrapText="false" indent="0" shrinkToFit="false"/>
      <protection locked="true" hidden="false"/>
    </xf>
    <xf numFmtId="165" fontId="44" fillId="5" borderId="1" xfId="0" applyFont="true" applyBorder="true" applyAlignment="true" applyProtection="false">
      <alignment horizontal="center" vertical="center" textRotation="0" wrapText="false" indent="0" shrinkToFit="false"/>
      <protection locked="true" hidden="false"/>
    </xf>
    <xf numFmtId="164" fontId="45" fillId="0" borderId="1" xfId="0" applyFont="true" applyBorder="true" applyAlignment="true" applyProtection="false">
      <alignment horizontal="center" vertical="center" textRotation="0" wrapText="false" indent="0" shrinkToFit="false"/>
      <protection locked="true" hidden="false"/>
    </xf>
    <xf numFmtId="171" fontId="44" fillId="5" borderId="1" xfId="0" applyFont="true" applyBorder="true" applyAlignment="true" applyProtection="false">
      <alignment horizontal="center" vertical="center" textRotation="0" wrapText="false" indent="0" shrinkToFit="false"/>
      <protection locked="true" hidden="false"/>
    </xf>
    <xf numFmtId="164" fontId="46" fillId="0" borderId="1" xfId="0" applyFont="true" applyBorder="true" applyAlignment="true" applyProtection="false">
      <alignment horizontal="center" vertical="center" textRotation="0" wrapText="false" indent="0" shrinkToFit="false"/>
      <protection locked="true" hidden="false"/>
    </xf>
    <xf numFmtId="164" fontId="47"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center" vertical="bottom" textRotation="0" wrapText="false" indent="0" shrinkToFit="false"/>
      <protection locked="true" hidden="false"/>
    </xf>
    <xf numFmtId="171" fontId="0" fillId="0" borderId="0" xfId="0" applyFont="fals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42" fillId="3" borderId="0" xfId="0" applyFont="true" applyBorder="false" applyAlignment="true" applyProtection="false">
      <alignment horizontal="center" vertical="top"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30" fillId="0" borderId="0" xfId="0" applyFont="true" applyBorder="true" applyAlignment="true" applyProtection="false">
      <alignment horizontal="general" vertical="bottom" textRotation="0" wrapText="false" indent="0" shrinkToFit="false"/>
      <protection locked="true" hidden="false"/>
    </xf>
    <xf numFmtId="169" fontId="44" fillId="5" borderId="1" xfId="0" applyFont="true" applyBorder="true" applyAlignment="true" applyProtection="false">
      <alignment horizontal="center" vertical="center" textRotation="0" wrapText="false" indent="0" shrinkToFit="false"/>
      <protection locked="true" hidden="false"/>
    </xf>
    <xf numFmtId="176" fontId="44" fillId="5" borderId="1" xfId="0" applyFont="true" applyBorder="true" applyAlignment="true" applyProtection="false">
      <alignment horizontal="center" vertical="center" textRotation="0" wrapText="false" indent="0" shrinkToFit="false"/>
      <protection locked="true" hidden="false"/>
    </xf>
    <xf numFmtId="173" fontId="44" fillId="5"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general" vertical="center"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8" fillId="3" borderId="1" xfId="0" applyFont="true" applyBorder="true" applyAlignment="true" applyProtection="false">
      <alignment horizontal="center" vertical="center" textRotation="0" wrapText="false" indent="0" shrinkToFit="false"/>
      <protection locked="true" hidden="false"/>
    </xf>
    <xf numFmtId="172" fontId="48" fillId="0" borderId="1" xfId="0" applyFont="true" applyBorder="true" applyAlignment="true" applyProtection="false">
      <alignment horizontal="center" vertical="center" textRotation="0" wrapText="false" indent="0" shrinkToFit="false"/>
      <protection locked="true" hidden="false"/>
    </xf>
    <xf numFmtId="167" fontId="48" fillId="0" borderId="1" xfId="0" applyFont="true" applyBorder="true" applyAlignment="true" applyProtection="false">
      <alignment horizontal="center" vertical="center" textRotation="0" wrapText="false" indent="0" shrinkToFit="false"/>
      <protection locked="true" hidden="false"/>
    </xf>
    <xf numFmtId="167" fontId="48" fillId="0" borderId="0" xfId="0" applyFont="true" applyBorder="false" applyAlignment="true" applyProtection="false">
      <alignment horizontal="general" vertical="bottom" textRotation="0" wrapText="false" indent="0" shrinkToFit="false"/>
      <protection locked="true" hidden="false"/>
    </xf>
    <xf numFmtId="170" fontId="49" fillId="0" borderId="1" xfId="0" applyFont="true" applyBorder="true" applyAlignment="true" applyProtection="false">
      <alignment horizontal="center" vertical="center" textRotation="0" wrapText="false" indent="0" shrinkToFit="false"/>
      <protection locked="true" hidden="false"/>
    </xf>
    <xf numFmtId="170" fontId="49"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4" fontId="53" fillId="0" borderId="0" xfId="0" applyFont="true" applyBorder="false" applyAlignment="true" applyProtection="false">
      <alignment horizontal="center" vertical="bottom" textRotation="0" wrapText="false" indent="0" shrinkToFit="false"/>
      <protection locked="true" hidden="false"/>
    </xf>
    <xf numFmtId="164" fontId="38"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54" fillId="8" borderId="0" xfId="0" applyFont="true" applyBorder="false" applyAlignment="true" applyProtection="false">
      <alignment horizontal="general" vertical="bottom" textRotation="0" wrapText="false" indent="0" shrinkToFit="false"/>
      <protection locked="true" hidden="false"/>
    </xf>
    <xf numFmtId="165" fontId="24" fillId="0" borderId="0" xfId="0" applyFont="true" applyBorder="fals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true" applyAlignment="true" applyProtection="false">
      <alignment horizontal="general" vertical="center" textRotation="0" wrapText="false" indent="0" shrinkToFit="false"/>
      <protection locked="true" hidden="false"/>
    </xf>
    <xf numFmtId="176" fontId="32" fillId="0" borderId="1" xfId="0" applyFont="true" applyBorder="true" applyAlignment="true" applyProtection="false">
      <alignment horizontal="center" vertical="center" textRotation="0" wrapText="false" indent="0" shrinkToFit="false"/>
      <protection locked="true" hidden="false"/>
    </xf>
    <xf numFmtId="167" fontId="39" fillId="0"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false" applyAlignment="true" applyProtection="false">
      <alignment horizontal="general" vertical="center" textRotation="0" wrapText="false" indent="0" shrinkToFit="false"/>
      <protection locked="true" hidden="false"/>
    </xf>
    <xf numFmtId="172" fontId="25" fillId="5" borderId="1" xfId="0" applyFont="true" applyBorder="true" applyAlignment="true" applyProtection="false">
      <alignment horizontal="center" vertical="center" textRotation="0" wrapText="false" indent="0" shrinkToFit="false"/>
      <protection locked="true" hidden="false"/>
    </xf>
    <xf numFmtId="166" fontId="48" fillId="0" borderId="1" xfId="0" applyFont="true" applyBorder="true" applyAlignment="true" applyProtection="false">
      <alignment horizontal="center" vertical="center" textRotation="0" wrapText="false" indent="0"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64" fontId="55" fillId="0" borderId="0" xfId="0" applyFont="true" applyBorder="false" applyAlignment="true" applyProtection="false">
      <alignment horizontal="general" vertical="center" textRotation="0" wrapText="false" indent="0" shrinkToFit="false"/>
      <protection locked="true" hidden="false"/>
    </xf>
    <xf numFmtId="164" fontId="42" fillId="2" borderId="1" xfId="0" applyFont="true" applyBorder="true" applyAlignment="true" applyProtection="false">
      <alignment horizontal="center" vertical="center" textRotation="0" wrapText="true" indent="0" shrinkToFit="false"/>
      <protection locked="true" hidden="false"/>
    </xf>
    <xf numFmtId="164" fontId="42" fillId="7" borderId="1" xfId="0" applyFont="true" applyBorder="true" applyAlignment="true" applyProtection="false">
      <alignment horizontal="center" vertical="center" textRotation="0" wrapText="true" indent="0" shrinkToFit="false"/>
      <protection locked="true" hidden="false"/>
    </xf>
    <xf numFmtId="164" fontId="42" fillId="9" borderId="1" xfId="0" applyFont="true" applyBorder="true" applyAlignment="true" applyProtection="false">
      <alignment horizontal="center" vertical="center" textRotation="0" wrapText="true" indent="0" shrinkToFit="false"/>
      <protection locked="true" hidden="false"/>
    </xf>
    <xf numFmtId="164" fontId="42" fillId="10" borderId="1" xfId="0" applyFont="true" applyBorder="true" applyAlignment="true" applyProtection="false">
      <alignment horizontal="center" vertical="center" textRotation="0" wrapText="true" indent="0" shrinkToFit="false"/>
      <protection locked="true" hidden="false"/>
    </xf>
    <xf numFmtId="178" fontId="21" fillId="5" borderId="1" xfId="0" applyFont="true" applyBorder="true" applyAlignment="true" applyProtection="false">
      <alignment horizontal="center" vertical="center" textRotation="0" wrapText="false" indent="0" shrinkToFit="false"/>
      <protection locked="true" hidden="false"/>
    </xf>
    <xf numFmtId="164" fontId="56" fillId="5" borderId="1" xfId="0" applyFont="true" applyBorder="true" applyAlignment="true" applyProtection="false">
      <alignment horizontal="center" vertical="center" textRotation="0" wrapText="false" indent="0" shrinkToFit="false"/>
      <protection locked="true" hidden="false"/>
    </xf>
    <xf numFmtId="164" fontId="57" fillId="5" borderId="1" xfId="0" applyFont="true" applyBorder="true" applyAlignment="true" applyProtection="false">
      <alignment horizontal="left" vertical="center" textRotation="0" wrapText="false" indent="0" shrinkToFit="false"/>
      <protection locked="true" hidden="false"/>
    </xf>
    <xf numFmtId="169" fontId="57" fillId="5" borderId="1" xfId="0" applyFont="true" applyBorder="true" applyAlignment="true" applyProtection="false">
      <alignment horizontal="center" vertical="center" textRotation="0" wrapText="false" indent="0" shrinkToFit="false"/>
      <protection locked="true" hidden="false"/>
    </xf>
    <xf numFmtId="178" fontId="57" fillId="5" borderId="1" xfId="0" applyFont="true" applyBorder="true" applyAlignment="true" applyProtection="false">
      <alignment horizontal="center" vertical="center" textRotation="0" wrapText="false" indent="0" shrinkToFit="false"/>
      <protection locked="true" hidden="false"/>
    </xf>
    <xf numFmtId="167" fontId="58" fillId="0" borderId="1" xfId="0" applyFont="true" applyBorder="true" applyAlignment="true" applyProtection="false">
      <alignment horizontal="center" vertical="center" textRotation="0" wrapText="false" indent="0" shrinkToFit="false"/>
      <protection locked="true" hidden="false"/>
    </xf>
    <xf numFmtId="164" fontId="57" fillId="5"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left" vertical="center" textRotation="0" wrapText="true" indent="0" shrinkToFit="false"/>
      <protection locked="true" hidden="false"/>
    </xf>
    <xf numFmtId="164" fontId="30" fillId="0" borderId="0" xfId="0" applyFont="true" applyBorder="false" applyAlignment="true" applyProtection="false">
      <alignment horizontal="general" vertical="center" textRotation="0" wrapText="true" indent="0" shrinkToFit="false"/>
      <protection locked="true" hidden="false"/>
    </xf>
    <xf numFmtId="164" fontId="38" fillId="10" borderId="1" xfId="0" applyFont="true" applyBorder="true" applyAlignment="true" applyProtection="false">
      <alignment horizontal="center" vertical="center" textRotation="0" wrapText="true" indent="0" shrinkToFit="false"/>
      <protection locked="true" hidden="false"/>
    </xf>
    <xf numFmtId="164" fontId="59" fillId="5" borderId="1" xfId="0" applyFont="true" applyBorder="true" applyAlignment="true" applyProtection="false">
      <alignment horizontal="center" vertical="center" textRotation="0" wrapText="false" indent="0" shrinkToFit="false"/>
      <protection locked="true" hidden="false"/>
    </xf>
    <xf numFmtId="167" fontId="19" fillId="5" borderId="1" xfId="0" applyFont="true" applyBorder="true" applyAlignment="true" applyProtection="false">
      <alignment horizontal="center" vertical="center" textRotation="0" wrapText="false" indent="0" shrinkToFit="false"/>
      <protection locked="true" hidden="false"/>
    </xf>
    <xf numFmtId="164" fontId="49" fillId="0" borderId="1" xfId="0" applyFont="true" applyBorder="true" applyAlignment="true" applyProtection="false">
      <alignment horizontal="center" vertical="center" textRotation="0" wrapText="false" indent="0" shrinkToFit="false"/>
      <protection locked="true" hidden="false"/>
    </xf>
    <xf numFmtId="178" fontId="19" fillId="5" borderId="1" xfId="0" applyFont="true" applyBorder="true" applyAlignment="true" applyProtection="false">
      <alignment horizontal="center" vertical="center" textRotation="0" wrapText="false" indent="0" shrinkToFit="false"/>
      <protection locked="true" hidden="false"/>
    </xf>
    <xf numFmtId="164" fontId="30" fillId="0" borderId="6" xfId="0" applyFont="true" applyBorder="true" applyAlignment="true" applyProtection="false">
      <alignment horizontal="left" vertical="center" textRotation="0" wrapText="true" indent="0" shrinkToFit="false"/>
      <protection locked="true" hidden="false"/>
    </xf>
    <xf numFmtId="172" fontId="19" fillId="5" borderId="1" xfId="0" applyFont="true" applyBorder="true" applyAlignment="true" applyProtection="false">
      <alignment horizontal="center" vertical="center" textRotation="0" wrapText="false" indent="0" shrinkToFit="false"/>
      <protection locked="true" hidden="false"/>
    </xf>
    <xf numFmtId="169" fontId="19" fillId="5" borderId="1" xfId="0" applyFont="true" applyBorder="true" applyAlignment="true" applyProtection="false">
      <alignment horizontal="center" vertical="center" textRotation="0" wrapText="false" indent="0" shrinkToFit="false"/>
      <protection locked="true" hidden="false"/>
    </xf>
    <xf numFmtId="167" fontId="45" fillId="0" borderId="1" xfId="0" applyFont="true" applyBorder="true" applyAlignment="true" applyProtection="false">
      <alignment horizontal="center" vertical="center" textRotation="0" wrapText="false" indent="0" shrinkToFit="false"/>
      <protection locked="true" hidden="false"/>
    </xf>
    <xf numFmtId="167" fontId="49" fillId="0" borderId="1" xfId="0" applyFont="true" applyBorder="true" applyAlignment="true" applyProtection="false">
      <alignment horizontal="center" vertical="center" textRotation="0" wrapText="false" indent="0" shrinkToFit="false"/>
      <protection locked="true" hidden="false"/>
    </xf>
    <xf numFmtId="164" fontId="60"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30" fillId="0" borderId="0" xfId="0" applyFont="true" applyBorder="true" applyAlignment="true" applyProtection="false">
      <alignment horizontal="general" vertical="bottom" textRotation="0" wrapText="true" indent="0" shrinkToFit="false"/>
      <protection locked="true" hidden="false"/>
    </xf>
    <xf numFmtId="172" fontId="21" fillId="11" borderId="1" xfId="0" applyFont="true" applyBorder="true" applyAlignment="true" applyProtection="false">
      <alignment horizontal="center" vertical="center" textRotation="0" wrapText="false" indent="0" shrinkToFit="false"/>
      <protection locked="true" hidden="false"/>
    </xf>
    <xf numFmtId="164" fontId="44" fillId="11" borderId="1" xfId="0" applyFont="true" applyBorder="true" applyAlignment="true" applyProtection="false">
      <alignment horizontal="center" vertical="center" textRotation="0" wrapText="false" indent="0" shrinkToFit="false"/>
      <protection locked="true" hidden="false"/>
    </xf>
    <xf numFmtId="164" fontId="21" fillId="11" borderId="1" xfId="0" applyFont="true" applyBorder="true" applyAlignment="true" applyProtection="false">
      <alignment horizontal="left" vertical="top" textRotation="0" wrapText="true" indent="0" shrinkToFit="false"/>
      <protection locked="true" hidden="false"/>
    </xf>
    <xf numFmtId="164" fontId="44" fillId="11" borderId="1" xfId="0" applyFont="true" applyBorder="true" applyAlignment="true" applyProtection="false">
      <alignment horizontal="center" vertical="center"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53"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72" fontId="24" fillId="0" borderId="0" xfId="0" applyFont="true" applyBorder="false" applyAlignment="true" applyProtection="false">
      <alignment horizontal="general" vertical="bottom" textRotation="0" wrapText="false" indent="0" shrinkToFit="false"/>
      <protection locked="true" hidden="false"/>
    </xf>
    <xf numFmtId="179" fontId="24" fillId="0" borderId="0" xfId="0" applyFont="true" applyBorder="false" applyAlignment="true" applyProtection="false">
      <alignment horizontal="general" vertical="bottom" textRotation="0" wrapText="false" indent="0" shrinkToFit="false"/>
      <protection locked="true" hidden="false"/>
    </xf>
    <xf numFmtId="164" fontId="24" fillId="0" borderId="7" xfId="0" applyFont="true" applyBorder="true" applyAlignment="true" applyProtection="false">
      <alignment horizontal="center" vertical="center" textRotation="0" wrapText="false" indent="0" shrinkToFit="false"/>
      <protection locked="true" hidden="false"/>
    </xf>
    <xf numFmtId="164" fontId="24" fillId="0" borderId="7" xfId="0" applyFont="true" applyBorder="true" applyAlignment="true" applyProtection="false">
      <alignment horizontal="general" vertical="center" textRotation="0" wrapText="true" indent="0" shrinkToFit="false"/>
      <protection locked="true" hidden="false"/>
    </xf>
    <xf numFmtId="172" fontId="24" fillId="0" borderId="7" xfId="0" applyFont="true" applyBorder="true" applyAlignment="true" applyProtection="false">
      <alignment horizontal="center" vertical="center" textRotation="0" wrapText="false" indent="0" shrinkToFit="false"/>
      <protection locked="true" hidden="false"/>
    </xf>
    <xf numFmtId="164" fontId="24" fillId="0" borderId="7" xfId="0" applyFont="true" applyBorder="true" applyAlignment="true" applyProtection="false">
      <alignment horizontal="general" vertical="center" textRotation="0" wrapText="false" indent="0" shrinkToFit="false"/>
      <protection locked="true" hidden="false"/>
    </xf>
    <xf numFmtId="164" fontId="0" fillId="0" borderId="7" xfId="0" applyFont="true" applyBorder="true" applyAlignment="true" applyProtection="false">
      <alignment horizontal="general" vertical="center" textRotation="0" wrapText="false" indent="0" shrinkToFit="false"/>
      <protection locked="true" hidden="false"/>
    </xf>
    <xf numFmtId="172" fontId="24" fillId="0" borderId="7" xfId="0" applyFont="true" applyBorder="true" applyAlignment="true" applyProtection="false">
      <alignment horizontal="general" vertical="center" textRotation="0" wrapText="false" indent="0" shrinkToFit="false"/>
      <protection locked="true" hidden="false"/>
    </xf>
    <xf numFmtId="179" fontId="0" fillId="0" borderId="7" xfId="0" applyFont="fals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true" applyProtection="false">
      <alignment horizontal="center" vertical="center" textRotation="0" wrapText="false" indent="0" shrinkToFit="false"/>
      <protection locked="true" hidden="false"/>
    </xf>
    <xf numFmtId="164" fontId="61"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62" fillId="2" borderId="0" xfId="0" applyFont="true" applyBorder="true" applyAlignment="true" applyProtection="false">
      <alignment horizontal="general" vertical="bottom" textRotation="0" wrapText="false" indent="0" shrinkToFit="false"/>
      <protection locked="true" hidden="false"/>
    </xf>
    <xf numFmtId="164" fontId="63" fillId="3" borderId="0" xfId="0" applyFont="true" applyBorder="false" applyAlignment="true" applyProtection="false">
      <alignment horizontal="center" vertical="center" textRotation="0" wrapText="true" indent="0" shrinkToFit="false"/>
      <protection locked="true" hidden="false"/>
    </xf>
    <xf numFmtId="164" fontId="64" fillId="0" borderId="0" xfId="0" applyFont="true" applyBorder="false" applyAlignment="true" applyProtection="false">
      <alignment horizontal="left" vertical="top" textRotation="0" wrapText="true" indent="0" shrinkToFit="false"/>
      <protection locked="true" hidden="false"/>
    </xf>
    <xf numFmtId="164" fontId="64"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9">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EBF1DE"/>
          <bgColor rgb="FF000000"/>
        </patternFill>
      </fill>
    </dxf>
    <dxf>
      <fill>
        <patternFill patternType="solid">
          <fgColor rgb="FF9C0006"/>
          <bgColor rgb="FF000000"/>
        </patternFill>
      </fill>
    </dxf>
    <dxf>
      <font>
        <color rgb="FF9C0006"/>
      </font>
    </dxf>
    <dxf>
      <fill>
        <patternFill patternType="solid">
          <fgColor rgb="FFDDEBF7"/>
          <bgColor rgb="FF000000"/>
        </patternFill>
      </fill>
    </dxf>
    <dxf>
      <fill>
        <patternFill patternType="solid">
          <fgColor rgb="FFDDD9C3"/>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EB9C"/>
          <bgColor rgb="FF000000"/>
        </patternFill>
      </fill>
    </dxf>
    <dxf>
      <fill>
        <patternFill patternType="solid">
          <fgColor rgb="FF9C6500"/>
          <bgColor rgb="FF000000"/>
        </patternFill>
      </fill>
    </dxf>
    <dxf>
      <fill>
        <patternFill patternType="solid">
          <fgColor rgb="FFFFC7CE"/>
          <bgColor rgb="FF000000"/>
        </patternFill>
      </fill>
    </dxf>
    <dxf>
      <fill>
        <patternFill patternType="solid">
          <fgColor rgb="FF833C0C"/>
          <bgColor rgb="FF000000"/>
        </patternFill>
      </fill>
    </dxf>
    <dxf>
      <font>
        <color rgb="FF9C0006"/>
      </font>
      <fill>
        <patternFill>
          <bgColor rgb="FFFFC7CE"/>
        </patternFill>
      </fill>
    </dxf>
    <dxf>
      <font>
        <b val="1"/>
        <color rgb="FF7F6000"/>
      </font>
      <fill>
        <patternFill>
          <bgColor rgb="FFFFF2CC"/>
        </patternFill>
      </fill>
    </dxf>
    <dxf>
      <fill>
        <patternFill patternType="solid">
          <fgColor rgb="FFECF4FA"/>
          <bgColor rgb="FF000000"/>
        </patternFill>
      </fill>
    </dxf>
  </dxfs>
  <colors>
    <indexedColors>
      <rgbColor rgb="FF000000"/>
      <rgbColor rgb="FFFFFFFF"/>
      <rgbColor rgb="FFFF0000"/>
      <rgbColor rgb="FF00FF00"/>
      <rgbColor rgb="FF0000FF"/>
      <rgbColor rgb="FFE2EFDA"/>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EBF1DE"/>
      <rgbColor rgb="FF00FFFF"/>
      <rgbColor rgb="FF800080"/>
      <rgbColor rgb="FF632423"/>
      <rgbColor rgb="FF008080"/>
      <rgbColor rgb="FF0000FF"/>
      <rgbColor rgb="FF00CCFF"/>
      <rgbColor rgb="FFECF4FA"/>
      <rgbColor rgb="FFC6EFCE"/>
      <rgbColor rgb="FFFFEB9C"/>
      <rgbColor rgb="FFDCE6F1"/>
      <rgbColor rgb="FFDDD9C3"/>
      <rgbColor rgb="FFFCE4D6"/>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_rels/chart19.xml.rels><?xml version="1.0" encoding="UTF-8"?>
<Relationships xmlns="http://schemas.openxmlformats.org/package/2006/relationships"><Relationship Id="rId1" Type="http://schemas.microsoft.com/office/2011/relationships/chartStyle" Target="style19.xml"/><Relationship Id="rId2" Type="http://schemas.microsoft.com/office/2011/relationships/chartColorStyle" Target="colors1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(Calc)'!$B$3:$B$500</c:f>
              <c:numCache>
                <c:formatCode>0.0%</c:formatCode>
                <c:ptCount val="498"/>
                <c:pt idx="0">
                  <c:v>-0.0302331297623325</c:v>
                </c:pt>
                <c:pt idx="1">
                  <c:v>-0.00584909339052442</c:v>
                </c:pt>
                <c:pt idx="2">
                  <c:v>0.0329084134143949</c:v>
                </c:pt>
                <c:pt idx="3">
                  <c:v>0.0419229892914104</c:v>
                </c:pt>
                <c:pt idx="4">
                  <c:v>-0.0142138639842553</c:v>
                </c:pt>
                <c:pt idx="5">
                  <c:v>-0.0607068914522331</c:v>
                </c:pt>
                <c:pt idx="6">
                  <c:v>0.10930488860899</c:v>
                </c:pt>
                <c:pt idx="7">
                  <c:v>0.0595394386687012</c:v>
                </c:pt>
                <c:pt idx="8">
                  <c:v>0.00910887110277603</c:v>
                </c:pt>
                <c:pt idx="9">
                  <c:v>0.02782663525039</c:v>
                </c:pt>
                <c:pt idx="10">
                  <c:v>-0.0112361364480247</c:v>
                </c:pt>
                <c:pt idx="11">
                  <c:v>-0.00401652325828206</c:v>
                </c:pt>
                <c:pt idx="12">
                  <c:v>-0.0415239094441076</c:v>
                </c:pt>
                <c:pt idx="13">
                  <c:v>0.0240644455086545</c:v>
                </c:pt>
                <c:pt idx="14">
                  <c:v>-0.00359081419624219</c:v>
                </c:pt>
                <c:pt idx="15">
                  <c:v>-0.0536372779081462</c:v>
                </c:pt>
                <c:pt idx="16">
                  <c:v>0.0565710237336166</c:v>
                </c:pt>
                <c:pt idx="17">
                  <c:v>0.0251617661850001</c:v>
                </c:pt>
                <c:pt idx="18">
                  <c:v>0.00389175047011681</c:v>
                </c:pt>
                <c:pt idx="19">
                  <c:v>0.0339289495545096</c:v>
                </c:pt>
                <c:pt idx="20">
                  <c:v>-0.0118942592475896</c:v>
                </c:pt>
                <c:pt idx="21">
                  <c:v>-0.128425886066868</c:v>
                </c:pt>
                <c:pt idx="22">
                  <c:v>0.0124025902754914</c:v>
                </c:pt>
                <c:pt idx="23">
                  <c:v>0.0316023417172591</c:v>
                </c:pt>
                <c:pt idx="24">
                  <c:v>-0.0336994027288807</c:v>
                </c:pt>
                <c:pt idx="25">
                  <c:v>-0.107361017962987</c:v>
                </c:pt>
                <c:pt idx="26">
                  <c:v>0.0143361897412988</c:v>
                </c:pt>
                <c:pt idx="27">
                  <c:v>0.0101697629724535</c:v>
                </c:pt>
                <c:pt idx="28">
                  <c:v>-0.0386048355132779</c:v>
                </c:pt>
                <c:pt idx="29">
                  <c:v>-0.0227366424802111</c:v>
                </c:pt>
                <c:pt idx="30">
                  <c:v>-0.0191313885549157</c:v>
                </c:pt>
                <c:pt idx="31">
                  <c:v>0.0269665820824911</c:v>
                </c:pt>
                <c:pt idx="32">
                  <c:v>0.0180500879470642</c:v>
                </c:pt>
                <c:pt idx="33">
                  <c:v>-0.00800115183676819</c:v>
                </c:pt>
                <c:pt idx="34">
                  <c:v>0.00236372307118127</c:v>
                </c:pt>
                <c:pt idx="35">
                  <c:v>-0.0165484144550401</c:v>
                </c:pt>
                <c:pt idx="36">
                  <c:v>-0.0645100225059421</c:v>
                </c:pt>
                <c:pt idx="37">
                  <c:v>0.0464745031027971</c:v>
                </c:pt>
                <c:pt idx="38">
                  <c:v>0.128655222052725</c:v>
                </c:pt>
                <c:pt idx="39">
                  <c:v>0.0154765757362321</c:v>
                </c:pt>
                <c:pt idx="40">
                  <c:v>0.0414292141571684</c:v>
                </c:pt>
                <c:pt idx="41">
                  <c:v>0.0410411491521765</c:v>
                </c:pt>
                <c:pt idx="42">
                  <c:v>-0.0333540823736903</c:v>
                </c:pt>
                <c:pt idx="43">
                  <c:v>-0.0143994276003935</c:v>
                </c:pt>
                <c:pt idx="44">
                  <c:v>-0.0155353901996369</c:v>
                </c:pt>
                <c:pt idx="45">
                  <c:v>-0.0299941007300348</c:v>
                </c:pt>
                <c:pt idx="46">
                  <c:v>0.0192523328962122</c:v>
                </c:pt>
                <c:pt idx="47">
                  <c:v>0.0319970165951895</c:v>
                </c:pt>
                <c:pt idx="48">
                  <c:v>0.00874498608752194</c:v>
                </c:pt>
                <c:pt idx="49">
                  <c:v>0.0288554540569586</c:v>
                </c:pt>
                <c:pt idx="50">
                  <c:v>-0.0191500844344632</c:v>
                </c:pt>
                <c:pt idx="51">
                  <c:v>-0.0471060151577004</c:v>
                </c:pt>
                <c:pt idx="52">
                  <c:v>-0.0271387859258294</c:v>
                </c:pt>
                <c:pt idx="53">
                  <c:v>-0.0130576297147232</c:v>
                </c:pt>
                <c:pt idx="54">
                  <c:v>-0.0160239000543183</c:v>
                </c:pt>
                <c:pt idx="55">
                  <c:v>-0.0232640668743346</c:v>
                </c:pt>
                <c:pt idx="56">
                  <c:v>-0.0010496144685318</c:v>
                </c:pt>
                <c:pt idx="57">
                  <c:v>-0.0225904223075368</c:v>
                </c:pt>
                <c:pt idx="58">
                  <c:v>-0.00190192673447454</c:v>
                </c:pt>
                <c:pt idx="59">
                  <c:v>0.0246064623032312</c:v>
                </c:pt>
                <c:pt idx="60">
                  <c:v>0.0175669119430744</c:v>
                </c:pt>
                <c:pt idx="61">
                  <c:v>0.0174424379680951</c:v>
                </c:pt>
                <c:pt idx="62">
                  <c:v>0.00738065020013656</c:v>
                </c:pt>
                <c:pt idx="63">
                  <c:v>0.0717733025798075</c:v>
                </c:pt>
                <c:pt idx="64">
                  <c:v>-0.157823350694445</c:v>
                </c:pt>
                <c:pt idx="65">
                  <c:v>-0.0397689450063347</c:v>
                </c:pt>
                <c:pt idx="66">
                  <c:v>-0.00154303732361294</c:v>
                </c:pt>
                <c:pt idx="67">
                  <c:v>-0.0356342949292242</c:v>
                </c:pt>
                <c:pt idx="68">
                  <c:v>-0.0572496922683884</c:v>
                </c:pt>
                <c:pt idx="69">
                  <c:v>0.0592973985021679</c:v>
                </c:pt>
                <c:pt idx="70">
                  <c:v>0.0125351752366334</c:v>
                </c:pt>
                <c:pt idx="71">
                  <c:v>0.00475446736184471</c:v>
                </c:pt>
                <c:pt idx="72">
                  <c:v>-0.0100125728654703</c:v>
                </c:pt>
                <c:pt idx="73">
                  <c:v>0.0625533978340684</c:v>
                </c:pt>
                <c:pt idx="74">
                  <c:v>-0.03442280945758</c:v>
                </c:pt>
                <c:pt idx="75">
                  <c:v>-0.0129636298163486</c:v>
                </c:pt>
                <c:pt idx="76">
                  <c:v>0.0247172564757387</c:v>
                </c:pt>
                <c:pt idx="77">
                  <c:v>-0.121628838451268</c:v>
                </c:pt>
                <c:pt idx="78">
                  <c:v>-0.0189491817398795</c:v>
                </c:pt>
                <c:pt idx="79">
                  <c:v>-0.00400247895470751</c:v>
                </c:pt>
                <c:pt idx="80">
                  <c:v>-0.0949936480775712</c:v>
                </c:pt>
                <c:pt idx="81">
                  <c:v>0.00974016672873646</c:v>
                </c:pt>
                <c:pt idx="82">
                  <c:v>-0.0104122336652765</c:v>
                </c:pt>
                <c:pt idx="83">
                  <c:v>0.0542431192660551</c:v>
                </c:pt>
                <c:pt idx="84">
                  <c:v>0.0357609050364407</c:v>
                </c:pt>
                <c:pt idx="85">
                  <c:v>0.00632761834746765</c:v>
                </c:pt>
                <c:pt idx="86">
                  <c:v>0.088316635357963</c:v>
                </c:pt>
                <c:pt idx="87">
                  <c:v>-0.0226308345120226</c:v>
                </c:pt>
                <c:pt idx="88">
                  <c:v>0.018151046137997</c:v>
                </c:pt>
                <c:pt idx="89">
                  <c:v>0.00440868245440762</c:v>
                </c:pt>
                <c:pt idx="90">
                  <c:v>-0.06053919217116</c:v>
                </c:pt>
                <c:pt idx="91">
                  <c:v>-0.0376838235294117</c:v>
                </c:pt>
                <c:pt idx="92">
                  <c:v>0.0236389684813754</c:v>
                </c:pt>
                <c:pt idx="93">
                  <c:v>-0.0168986341134696</c:v>
                </c:pt>
                <c:pt idx="94">
                  <c:v>-0.0420764018876381</c:v>
                </c:pt>
                <c:pt idx="95">
                  <c:v>0.00671528828952805</c:v>
                </c:pt>
                <c:pt idx="96">
                  <c:v>0.0135323546297055</c:v>
                </c:pt>
                <c:pt idx="97">
                  <c:v>-0.06187624750499</c:v>
                </c:pt>
                <c:pt idx="98">
                  <c:v>-0.0194077055779184</c:v>
                </c:pt>
                <c:pt idx="99">
                  <c:v>0.0404632751795924</c:v>
                </c:pt>
                <c:pt idx="100">
                  <c:v>0.0204029871776805</c:v>
                </c:pt>
                <c:pt idx="101">
                  <c:v>-0.0148858018724626</c:v>
                </c:pt>
                <c:pt idx="102">
                  <c:v>-0.0216708718811325</c:v>
                </c:pt>
                <c:pt idx="103">
                  <c:v>0.00111757457661121</c:v>
                </c:pt>
                <c:pt idx="104">
                  <c:v>0.0473437142202884</c:v>
                </c:pt>
                <c:pt idx="105">
                  <c:v>-0.0151134189669307</c:v>
                </c:pt>
                <c:pt idx="106">
                  <c:v>-0.0378222382551267</c:v>
                </c:pt>
                <c:pt idx="107">
                  <c:v>-0.026619368979639</c:v>
                </c:pt>
                <c:pt idx="108">
                  <c:v>-0.0125922194897929</c:v>
                </c:pt>
                <c:pt idx="109">
                  <c:v>0.0607933745423992</c:v>
                </c:pt>
                <c:pt idx="110">
                  <c:v>-0.037367051369088</c:v>
                </c:pt>
                <c:pt idx="111">
                  <c:v>-0.0392583232934678</c:v>
                </c:pt>
                <c:pt idx="112">
                  <c:v>0.0127236580516898</c:v>
                </c:pt>
                <c:pt idx="113">
                  <c:v>-0.0208993989912718</c:v>
                </c:pt>
                <c:pt idx="114">
                  <c:v>-0.0125235201579321</c:v>
                </c:pt>
                <c:pt idx="115">
                  <c:v>0.0816230906194357</c:v>
                </c:pt>
                <c:pt idx="116">
                  <c:v>0.0293709928955122</c:v>
                </c:pt>
                <c:pt idx="117">
                  <c:v>-0.00159919198720648</c:v>
                </c:pt>
                <c:pt idx="118">
                  <c:v>-0.00578879334569771</c:v>
                </c:pt>
                <c:pt idx="119">
                  <c:v>-0.0579423403052572</c:v>
                </c:pt>
                <c:pt idx="120">
                  <c:v>0.00195019501950178</c:v>
                </c:pt>
                <c:pt idx="121">
                  <c:v>-0.113280431202276</c:v>
                </c:pt>
                <c:pt idx="122">
                  <c:v>0.0167161961367013</c:v>
                </c:pt>
                <c:pt idx="123">
                  <c:v>-0.025974025974026</c:v>
                </c:pt>
                <c:pt idx="124">
                  <c:v>-0.0848081841432226</c:v>
                </c:pt>
                <c:pt idx="125">
                  <c:v>-0.016431924882629</c:v>
                </c:pt>
                <c:pt idx="126">
                  <c:v>-0.0203053377277721</c:v>
                </c:pt>
                <c:pt idx="127">
                  <c:v>0.0146939406828817</c:v>
                </c:pt>
                <c:pt idx="128">
                  <c:v>0.0808277123585228</c:v>
                </c:pt>
                <c:pt idx="129">
                  <c:v>-0.120936464283196</c:v>
                </c:pt>
                <c:pt idx="130">
                  <c:v>-0.0046927643189475</c:v>
                </c:pt>
                <c:pt idx="131">
                  <c:v>-0.0536369131573645</c:v>
                </c:pt>
                <c:pt idx="132">
                  <c:v>0.0344064043604155</c:v>
                </c:pt>
                <c:pt idx="133">
                  <c:v>-0.07232833854767</c:v>
                </c:pt>
                <c:pt idx="134">
                  <c:v>0.0847570445972932</c:v>
                </c:pt>
                <c:pt idx="135">
                  <c:v>0.0040499079566374</c:v>
                </c:pt>
                <c:pt idx="136">
                  <c:v>0.0214716427640156</c:v>
                </c:pt>
                <c:pt idx="137">
                  <c:v>0.00929360615850983</c:v>
                </c:pt>
                <c:pt idx="138">
                  <c:v>-0.0214985773000316</c:v>
                </c:pt>
                <c:pt idx="139">
                  <c:v>-0.011470113085622</c:v>
                </c:pt>
                <c:pt idx="140">
                  <c:v>0.0590374244157541</c:v>
                </c:pt>
                <c:pt idx="141">
                  <c:v>-0.0299756953821225</c:v>
                </c:pt>
                <c:pt idx="142">
                  <c:v>-0.188593700286351</c:v>
                </c:pt>
                <c:pt idx="143">
                  <c:v>-0.0434271149887266</c:v>
                </c:pt>
                <c:pt idx="144">
                  <c:v>0.0387886862061897</c:v>
                </c:pt>
                <c:pt idx="145">
                  <c:v>0.0838060474522764</c:v>
                </c:pt>
                <c:pt idx="146">
                  <c:v>0.0178408884034225</c:v>
                </c:pt>
                <c:pt idx="147">
                  <c:v>0.0608567340368449</c:v>
                </c:pt>
                <c:pt idx="148">
                  <c:v>-0.0511696522655426</c:v>
                </c:pt>
                <c:pt idx="149">
                  <c:v>0.112389498467416</c:v>
                </c:pt>
                <c:pt idx="150">
                  <c:v>0.0591030709636196</c:v>
                </c:pt>
                <c:pt idx="151">
                  <c:v>-0.00448701029372944</c:v>
                </c:pt>
                <c:pt idx="152">
                  <c:v>0.0427240360578745</c:v>
                </c:pt>
                <c:pt idx="153">
                  <c:v>0.0589175444969123</c:v>
                </c:pt>
                <c:pt idx="154">
                  <c:v>-0.0857917124039517</c:v>
                </c:pt>
                <c:pt idx="155">
                  <c:v>-0.0535814791189824</c:v>
                </c:pt>
                <c:pt idx="156">
                  <c:v>-0.0131229433453594</c:v>
                </c:pt>
                <c:pt idx="157">
                  <c:v>-0.0540334243933793</c:v>
                </c:pt>
                <c:pt idx="158">
                  <c:v>-0.0189408417208137</c:v>
                </c:pt>
                <c:pt idx="159">
                  <c:v>0.153673001168781</c:v>
                </c:pt>
              </c:numCache>
            </c:numRef>
          </c:val>
        </c:ser>
        <c:gapWidth val="150"/>
        <c:overlap val="0"/>
        <c:axId val="33475786"/>
        <c:axId val="48186837"/>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(Calc)'!$W$3:$W$500</c:f>
              <c:numCache>
                <c:formatCode>General</c:formatCode>
                <c:ptCount val="498"/>
              </c:numCache>
            </c:numRef>
          </c:val>
          <c:smooth val="0"/>
        </c:ser>
        <c:hiLowLines>
          <c:spPr>
            <a:ln w="0">
              <a:noFill/>
            </a:ln>
          </c:spPr>
        </c:hiLowLines>
        <c:marker val="0"/>
        <c:axId val="2769196"/>
        <c:axId val="42790118"/>
      </c:lineChart>
      <c:dateAx>
        <c:axId val="3347578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186837"/>
        <c:auto val="1"/>
        <c:lblOffset val="100"/>
        <c:baseTimeUnit val="days"/>
      </c:dateAx>
      <c:valAx>
        <c:axId val="4818683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475786"/>
        <c:crosses val="autoZero"/>
        <c:crossBetween val="between"/>
      </c:valAx>
      <c:dateAx>
        <c:axId val="276919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790118"/>
        <c:auto val="1"/>
        <c:lblOffset val="100"/>
        <c:baseTimeUnit val="days"/>
      </c:dateAx>
      <c:valAx>
        <c:axId val="4279011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76919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(Calc)'!$C$3:$C$500</c:f>
              <c:numCache>
                <c:formatCode>0.0%</c:formatCode>
                <c:ptCount val="498"/>
                <c:pt idx="0">
                  <c:v>-0.0238198354265916</c:v>
                </c:pt>
                <c:pt idx="1">
                  <c:v>0.0199645075421473</c:v>
                </c:pt>
                <c:pt idx="2">
                  <c:v>0.0550239234449761</c:v>
                </c:pt>
                <c:pt idx="3">
                  <c:v>-0.0216450216450216</c:v>
                </c:pt>
                <c:pt idx="4">
                  <c:v>-0.0195954487989887</c:v>
                </c:pt>
                <c:pt idx="5">
                  <c:v>-0.0532989469159683</c:v>
                </c:pt>
                <c:pt idx="6">
                  <c:v>0.205902383654938</c:v>
                </c:pt>
                <c:pt idx="7">
                  <c:v>-0.0265436746987952</c:v>
                </c:pt>
                <c:pt idx="8">
                  <c:v>0.0377103074840455</c:v>
                </c:pt>
                <c:pt idx="9">
                  <c:v>0.0175177040626167</c:v>
                </c:pt>
                <c:pt idx="10">
                  <c:v>-0.00805860805860814</c:v>
                </c:pt>
                <c:pt idx="11">
                  <c:v>0.0341580502215657</c:v>
                </c:pt>
                <c:pt idx="12">
                  <c:v>0.0515979289412605</c:v>
                </c:pt>
                <c:pt idx="13">
                  <c:v>0.0112054329371818</c:v>
                </c:pt>
                <c:pt idx="14">
                  <c:v>-0.0114170584284755</c:v>
                </c:pt>
                <c:pt idx="15">
                  <c:v>-0.0195312500000001</c:v>
                </c:pt>
                <c:pt idx="16">
                  <c:v>0.0914602459726313</c:v>
                </c:pt>
                <c:pt idx="17">
                  <c:v>0.0455483256625933</c:v>
                </c:pt>
                <c:pt idx="18">
                  <c:v>0.00333940497874918</c:v>
                </c:pt>
                <c:pt idx="19">
                  <c:v>0.032980332829047</c:v>
                </c:pt>
                <c:pt idx="20">
                  <c:v>0.0341241944932631</c:v>
                </c:pt>
                <c:pt idx="21">
                  <c:v>-0.0732190907803427</c:v>
                </c:pt>
                <c:pt idx="22">
                  <c:v>0.0226161369193154</c:v>
                </c:pt>
                <c:pt idx="23">
                  <c:v>0.0748655110579797</c:v>
                </c:pt>
                <c:pt idx="24">
                  <c:v>-0.0507437786737106</c:v>
                </c:pt>
                <c:pt idx="25">
                  <c:v>0.0168424135910956</c:v>
                </c:pt>
                <c:pt idx="26">
                  <c:v>0.103413510010082</c:v>
                </c:pt>
                <c:pt idx="27">
                  <c:v>-0.0536483487795327</c:v>
                </c:pt>
                <c:pt idx="28">
                  <c:v>0.0262068965517241</c:v>
                </c:pt>
                <c:pt idx="29">
                  <c:v>-0.0885752688172043</c:v>
                </c:pt>
                <c:pt idx="30">
                  <c:v>-0.0927591800619377</c:v>
                </c:pt>
                <c:pt idx="31">
                  <c:v>0.0757477243172953</c:v>
                </c:pt>
                <c:pt idx="32">
                  <c:v>0.0365669386521605</c:v>
                </c:pt>
                <c:pt idx="33">
                  <c:v>0.144460641399417</c:v>
                </c:pt>
                <c:pt idx="34">
                  <c:v>0.0185963571519552</c:v>
                </c:pt>
                <c:pt idx="35">
                  <c:v>-0.0416406152307115</c:v>
                </c:pt>
                <c:pt idx="36">
                  <c:v>-0.0290970772442589</c:v>
                </c:pt>
                <c:pt idx="37">
                  <c:v>-0.00282220131702715</c:v>
                </c:pt>
                <c:pt idx="38">
                  <c:v>0.106738544474394</c:v>
                </c:pt>
                <c:pt idx="39">
                  <c:v>0.0270336093521675</c:v>
                </c:pt>
                <c:pt idx="40">
                  <c:v>0.0388902063078018</c:v>
                </c:pt>
                <c:pt idx="41">
                  <c:v>0.0447386441451723</c:v>
                </c:pt>
                <c:pt idx="42">
                  <c:v>-0.0116888791785013</c:v>
                </c:pt>
                <c:pt idx="43">
                  <c:v>-0.0865480269702664</c:v>
                </c:pt>
                <c:pt idx="44">
                  <c:v>-0.0343659244917716</c:v>
                </c:pt>
                <c:pt idx="45">
                  <c:v>0.000375939849624141</c:v>
                </c:pt>
                <c:pt idx="46">
                  <c:v>0.0516096705499187</c:v>
                </c:pt>
                <c:pt idx="47">
                  <c:v>0.0538415723645027</c:v>
                </c:pt>
                <c:pt idx="48">
                  <c:v>0.00350401265965861</c:v>
                </c:pt>
                <c:pt idx="49">
                  <c:v>-0.00484343320567704</c:v>
                </c:pt>
                <c:pt idx="50">
                  <c:v>-0.110582908885116</c:v>
                </c:pt>
                <c:pt idx="51">
                  <c:v>0.14456604734029</c:v>
                </c:pt>
                <c:pt idx="52">
                  <c:v>0.0686012897487214</c:v>
                </c:pt>
                <c:pt idx="53">
                  <c:v>-0.0108209343460619</c:v>
                </c:pt>
                <c:pt idx="54">
                  <c:v>0.0412327758493742</c:v>
                </c:pt>
                <c:pt idx="55">
                  <c:v>0.0529346398626125</c:v>
                </c:pt>
                <c:pt idx="56">
                  <c:v>-0.0357862419648853</c:v>
                </c:pt>
                <c:pt idx="57">
                  <c:v>-0.0197014925373135</c:v>
                </c:pt>
                <c:pt idx="58">
                  <c:v>0.000203004466098333</c:v>
                </c:pt>
                <c:pt idx="59">
                  <c:v>0.0159326161964684</c:v>
                </c:pt>
                <c:pt idx="60">
                  <c:v>-0.0650284686844471</c:v>
                </c:pt>
                <c:pt idx="61">
                  <c:v>0.0856837606837608</c:v>
                </c:pt>
                <c:pt idx="62">
                  <c:v>-0.00157449320999814</c:v>
                </c:pt>
                <c:pt idx="63">
                  <c:v>0.0669229252907551</c:v>
                </c:pt>
                <c:pt idx="64">
                  <c:v>0.0380600461893765</c:v>
                </c:pt>
                <c:pt idx="65">
                  <c:v>0.00391563584586629</c:v>
                </c:pt>
                <c:pt idx="66">
                  <c:v>0.00195018172147865</c:v>
                </c:pt>
                <c:pt idx="67">
                  <c:v>0.0191984428912679</c:v>
                </c:pt>
                <c:pt idx="68">
                  <c:v>-0.00746527777777772</c:v>
                </c:pt>
                <c:pt idx="69">
                  <c:v>0.0490641945076089</c:v>
                </c:pt>
                <c:pt idx="70">
                  <c:v>0.0768653605669027</c:v>
                </c:pt>
                <c:pt idx="71">
                  <c:v>-0.107919795618177</c:v>
                </c:pt>
                <c:pt idx="72">
                  <c:v>0.028117677688102</c:v>
                </c:pt>
                <c:pt idx="73">
                  <c:v>-0.0979150839875074</c:v>
                </c:pt>
                <c:pt idx="74">
                  <c:v>-0.0801908861233275</c:v>
                </c:pt>
                <c:pt idx="75">
                  <c:v>-0.0534079348931842</c:v>
                </c:pt>
                <c:pt idx="76">
                  <c:v>-0.10413756045137</c:v>
                </c:pt>
                <c:pt idx="77">
                  <c:v>0.00179942418426116</c:v>
                </c:pt>
                <c:pt idx="78">
                  <c:v>-0.00455035325110775</c:v>
                </c:pt>
                <c:pt idx="79">
                  <c:v>-0.0624323348971491</c:v>
                </c:pt>
                <c:pt idx="80">
                  <c:v>-0.174108288426995</c:v>
                </c:pt>
                <c:pt idx="81">
                  <c:v>0.128942053751748</c:v>
                </c:pt>
                <c:pt idx="82">
                  <c:v>-0.0202284298885372</c:v>
                </c:pt>
                <c:pt idx="83">
                  <c:v>0.0942415730337078</c:v>
                </c:pt>
                <c:pt idx="84">
                  <c:v>0.168271082017713</c:v>
                </c:pt>
                <c:pt idx="85">
                  <c:v>-0.049439683586025</c:v>
                </c:pt>
                <c:pt idx="86">
                  <c:v>0.114424410540916</c:v>
                </c:pt>
                <c:pt idx="87">
                  <c:v>-0.0541381456129434</c:v>
                </c:pt>
                <c:pt idx="88">
                  <c:v>-0.05</c:v>
                </c:pt>
                <c:pt idx="89">
                  <c:v>0.122460757156048</c:v>
                </c:pt>
                <c:pt idx="90">
                  <c:v>-0.0503856041131106</c:v>
                </c:pt>
                <c:pt idx="91">
                  <c:v>-0.0660530590146182</c:v>
                </c:pt>
                <c:pt idx="92">
                  <c:v>0.152347826086957</c:v>
                </c:pt>
                <c:pt idx="93">
                  <c:v>0.0314921018211087</c:v>
                </c:pt>
                <c:pt idx="94">
                  <c:v>0.0590128755364807</c:v>
                </c:pt>
                <c:pt idx="95">
                  <c:v>0.0295661785023489</c:v>
                </c:pt>
                <c:pt idx="96">
                  <c:v>0.0223653605296117</c:v>
                </c:pt>
                <c:pt idx="97">
                  <c:v>0.0287889394469723</c:v>
                </c:pt>
                <c:pt idx="98">
                  <c:v>0.183805392532109</c:v>
                </c:pt>
                <c:pt idx="99">
                  <c:v>-0.0135076878861905</c:v>
                </c:pt>
                <c:pt idx="100">
                  <c:v>-0.029497450837582</c:v>
                </c:pt>
                <c:pt idx="101">
                  <c:v>0.024765478424015</c:v>
                </c:pt>
                <c:pt idx="102">
                  <c:v>0.0461369461735626</c:v>
                </c:pt>
                <c:pt idx="103">
                  <c:v>-0.0242212110605531</c:v>
                </c:pt>
                <c:pt idx="104">
                  <c:v>0.0733194633761392</c:v>
                </c:pt>
                <c:pt idx="105">
                  <c:v>-0.0475235612592742</c:v>
                </c:pt>
                <c:pt idx="106">
                  <c:v>0.0210526315789474</c:v>
                </c:pt>
                <c:pt idx="107">
                  <c:v>0.059106529209622</c:v>
                </c:pt>
                <c:pt idx="108">
                  <c:v>-0.0713822193380922</c:v>
                </c:pt>
                <c:pt idx="109">
                  <c:v>0.0749126484975542</c:v>
                </c:pt>
                <c:pt idx="110">
                  <c:v>0.0251592770771032</c:v>
                </c:pt>
                <c:pt idx="111">
                  <c:v>-0.146109455260321</c:v>
                </c:pt>
                <c:pt idx="112">
                  <c:v>-0.024359450427033</c:v>
                </c:pt>
                <c:pt idx="113">
                  <c:v>-0.106112506660577</c:v>
                </c:pt>
                <c:pt idx="114">
                  <c:v>0.112833177211956</c:v>
                </c:pt>
                <c:pt idx="115">
                  <c:v>-0.015993265993266</c:v>
                </c:pt>
                <c:pt idx="116">
                  <c:v>-0.0297845866708142</c:v>
                </c:pt>
                <c:pt idx="117">
                  <c:v>0.0509778775248477</c:v>
                </c:pt>
                <c:pt idx="118">
                  <c:v>0.00549115314215976</c:v>
                </c:pt>
                <c:pt idx="119">
                  <c:v>0.0133495145631066</c:v>
                </c:pt>
                <c:pt idx="120">
                  <c:v>-0.0801646706586826</c:v>
                </c:pt>
                <c:pt idx="121">
                  <c:v>0.0564732687769551</c:v>
                </c:pt>
                <c:pt idx="122">
                  <c:v>0.0501424940306554</c:v>
                </c:pt>
                <c:pt idx="123">
                  <c:v>0.0396068651899664</c:v>
                </c:pt>
                <c:pt idx="124">
                  <c:v>-0.0299844786228305</c:v>
                </c:pt>
                <c:pt idx="125">
                  <c:v>0.0298203505709507</c:v>
                </c:pt>
                <c:pt idx="126">
                  <c:v>-0.0621512818701887</c:v>
                </c:pt>
                <c:pt idx="127">
                  <c:v>0.00534678816175926</c:v>
                </c:pt>
                <c:pt idx="128">
                  <c:v>-0.0045692883895132</c:v>
                </c:pt>
                <c:pt idx="129">
                  <c:v>0.00511701407178866</c:v>
                </c:pt>
                <c:pt idx="130">
                  <c:v>-0.0175937710563749</c:v>
                </c:pt>
                <c:pt idx="131">
                  <c:v>-0.0796372504191435</c:v>
                </c:pt>
                <c:pt idx="132">
                  <c:v>0.0489359940382546</c:v>
                </c:pt>
                <c:pt idx="133">
                  <c:v>0.163167035048942</c:v>
                </c:pt>
                <c:pt idx="134">
                  <c:v>0.114557176789956</c:v>
                </c:pt>
                <c:pt idx="135">
                  <c:v>0.0772087925470377</c:v>
                </c:pt>
                <c:pt idx="136">
                  <c:v>-0.0237974111129954</c:v>
                </c:pt>
                <c:pt idx="137">
                  <c:v>-0.179096699478865</c:v>
                </c:pt>
                <c:pt idx="138">
                  <c:v>0.00141073569866679</c:v>
                </c:pt>
                <c:pt idx="139">
                  <c:v>0.0849475241248152</c:v>
                </c:pt>
                <c:pt idx="140">
                  <c:v>0.0353177952346946</c:v>
                </c:pt>
                <c:pt idx="141">
                  <c:v>-0.032608014046529</c:v>
                </c:pt>
                <c:pt idx="142">
                  <c:v>0.0581448110455693</c:v>
                </c:pt>
                <c:pt idx="143">
                  <c:v>0.0393898554275911</c:v>
                </c:pt>
                <c:pt idx="144">
                  <c:v>-0.0711380915895562</c:v>
                </c:pt>
                <c:pt idx="145">
                  <c:v>0.0151649746192895</c:v>
                </c:pt>
                <c:pt idx="146">
                  <c:v>0.168573035814738</c:v>
                </c:pt>
                <c:pt idx="147">
                  <c:v>-0.0981493367565254</c:v>
                </c:pt>
                <c:pt idx="148">
                  <c:v>0.0319079532649309</c:v>
                </c:pt>
                <c:pt idx="149">
                  <c:v>0.0365538249324673</c:v>
                </c:pt>
                <c:pt idx="150">
                  <c:v>0.046132520099806</c:v>
                </c:pt>
                <c:pt idx="151">
                  <c:v>0.0537976360841681</c:v>
                </c:pt>
                <c:pt idx="152">
                  <c:v>-0.0511517955940045</c:v>
                </c:pt>
                <c:pt idx="153">
                  <c:v>0.0356745295520806</c:v>
                </c:pt>
                <c:pt idx="154">
                  <c:v>-0.00818916982290918</c:v>
                </c:pt>
                <c:pt idx="155">
                  <c:v>0.0299824543296523</c:v>
                </c:pt>
                <c:pt idx="156">
                  <c:v>-0.00100205421113286</c:v>
                </c:pt>
                <c:pt idx="157">
                  <c:v>0.0359095240483476</c:v>
                </c:pt>
                <c:pt idx="158">
                  <c:v>-0.00789155168240152</c:v>
                </c:pt>
                <c:pt idx="159">
                  <c:v>-0.05436267811829</c:v>
                </c:pt>
              </c:numCache>
            </c:numRef>
          </c:val>
        </c:ser>
        <c:gapWidth val="150"/>
        <c:overlap val="0"/>
        <c:axId val="27292049"/>
        <c:axId val="53766636"/>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(Calc)'!$X$3:$X$500</c:f>
              <c:numCache>
                <c:formatCode>#,##0.00</c:formatCode>
                <c:ptCount val="498"/>
                <c:pt idx="0">
                  <c:v>46.18</c:v>
                </c:pt>
                <c:pt idx="1">
                  <c:v>45.8895597484277</c:v>
                </c:pt>
                <c:pt idx="2">
                  <c:v>45.5991194968553</c:v>
                </c:pt>
                <c:pt idx="3">
                  <c:v>45.308679245283</c:v>
                </c:pt>
                <c:pt idx="4">
                  <c:v>45.0182389937107</c:v>
                </c:pt>
                <c:pt idx="5">
                  <c:v>44.7277987421384</c:v>
                </c:pt>
                <c:pt idx="6">
                  <c:v>44.437358490566</c:v>
                </c:pt>
                <c:pt idx="7">
                  <c:v>44.1469182389937</c:v>
                </c:pt>
                <c:pt idx="8">
                  <c:v>43.8564779874214</c:v>
                </c:pt>
                <c:pt idx="9">
                  <c:v>43.5660377358491</c:v>
                </c:pt>
                <c:pt idx="10">
                  <c:v>43.2755974842767</c:v>
                </c:pt>
                <c:pt idx="11">
                  <c:v>42.9851572327044</c:v>
                </c:pt>
                <c:pt idx="12">
                  <c:v>42.6947169811321</c:v>
                </c:pt>
                <c:pt idx="13">
                  <c:v>42.4042767295598</c:v>
                </c:pt>
                <c:pt idx="14">
                  <c:v>42.1138364779874</c:v>
                </c:pt>
                <c:pt idx="15">
                  <c:v>41.8233962264151</c:v>
                </c:pt>
                <c:pt idx="16">
                  <c:v>41.5329559748428</c:v>
                </c:pt>
                <c:pt idx="17">
                  <c:v>41.2425157232704</c:v>
                </c:pt>
                <c:pt idx="18">
                  <c:v>40.9520754716981</c:v>
                </c:pt>
                <c:pt idx="19">
                  <c:v>40.6616352201258</c:v>
                </c:pt>
                <c:pt idx="20">
                  <c:v>40.3711949685535</c:v>
                </c:pt>
                <c:pt idx="21">
                  <c:v>40.0807547169811</c:v>
                </c:pt>
                <c:pt idx="22">
                  <c:v>39.7903144654088</c:v>
                </c:pt>
                <c:pt idx="23">
                  <c:v>39.4998742138365</c:v>
                </c:pt>
                <c:pt idx="24">
                  <c:v>39.2094339622642</c:v>
                </c:pt>
                <c:pt idx="25">
                  <c:v>38.9189937106918</c:v>
                </c:pt>
                <c:pt idx="26">
                  <c:v>38.6285534591195</c:v>
                </c:pt>
                <c:pt idx="27">
                  <c:v>38.3381132075472</c:v>
                </c:pt>
                <c:pt idx="28">
                  <c:v>38.0476729559748</c:v>
                </c:pt>
                <c:pt idx="29">
                  <c:v>37.7572327044025</c:v>
                </c:pt>
                <c:pt idx="30">
                  <c:v>37.4667924528302</c:v>
                </c:pt>
                <c:pt idx="31">
                  <c:v>37.1763522012579</c:v>
                </c:pt>
                <c:pt idx="32">
                  <c:v>36.8859119496855</c:v>
                </c:pt>
                <c:pt idx="33">
                  <c:v>36.5954716981132</c:v>
                </c:pt>
                <c:pt idx="34">
                  <c:v>36.3050314465409</c:v>
                </c:pt>
                <c:pt idx="35">
                  <c:v>36.0145911949686</c:v>
                </c:pt>
                <c:pt idx="36">
                  <c:v>35.7241509433962</c:v>
                </c:pt>
                <c:pt idx="37">
                  <c:v>35.4337106918239</c:v>
                </c:pt>
                <c:pt idx="38">
                  <c:v>35.1432704402516</c:v>
                </c:pt>
                <c:pt idx="39">
                  <c:v>34.8528301886793</c:v>
                </c:pt>
                <c:pt idx="40">
                  <c:v>34.5623899371069</c:v>
                </c:pt>
                <c:pt idx="41">
                  <c:v>34.2719496855346</c:v>
                </c:pt>
                <c:pt idx="42">
                  <c:v>33.9815094339623</c:v>
                </c:pt>
                <c:pt idx="43">
                  <c:v>33.6910691823899</c:v>
                </c:pt>
                <c:pt idx="44">
                  <c:v>33.4006289308176</c:v>
                </c:pt>
                <c:pt idx="45">
                  <c:v>33.1101886792453</c:v>
                </c:pt>
                <c:pt idx="46">
                  <c:v>32.819748427673</c:v>
                </c:pt>
                <c:pt idx="47">
                  <c:v>32.5293081761006</c:v>
                </c:pt>
                <c:pt idx="48">
                  <c:v>32.2388679245283</c:v>
                </c:pt>
                <c:pt idx="49">
                  <c:v>31.948427672956</c:v>
                </c:pt>
                <c:pt idx="50">
                  <c:v>31.6579874213837</c:v>
                </c:pt>
                <c:pt idx="51">
                  <c:v>31.3675471698113</c:v>
                </c:pt>
                <c:pt idx="52">
                  <c:v>31.077106918239</c:v>
                </c:pt>
                <c:pt idx="53">
                  <c:v>30.7866666666667</c:v>
                </c:pt>
                <c:pt idx="54">
                  <c:v>30.4962264150943</c:v>
                </c:pt>
                <c:pt idx="55">
                  <c:v>30.205786163522</c:v>
                </c:pt>
                <c:pt idx="56">
                  <c:v>29.9153459119497</c:v>
                </c:pt>
                <c:pt idx="57">
                  <c:v>29.6249056603774</c:v>
                </c:pt>
                <c:pt idx="58">
                  <c:v>29.334465408805</c:v>
                </c:pt>
                <c:pt idx="59">
                  <c:v>29.0440251572327</c:v>
                </c:pt>
                <c:pt idx="60">
                  <c:v>28.7535849056604</c:v>
                </c:pt>
                <c:pt idx="61">
                  <c:v>28.4631446540881</c:v>
                </c:pt>
                <c:pt idx="62">
                  <c:v>28.1727044025157</c:v>
                </c:pt>
                <c:pt idx="63">
                  <c:v>27.8822641509434</c:v>
                </c:pt>
                <c:pt idx="64">
                  <c:v>27.5918238993711</c:v>
                </c:pt>
                <c:pt idx="65">
                  <c:v>27.3013836477987</c:v>
                </c:pt>
                <c:pt idx="66">
                  <c:v>27.0109433962264</c:v>
                </c:pt>
                <c:pt idx="67">
                  <c:v>26.7205031446541</c:v>
                </c:pt>
                <c:pt idx="68">
                  <c:v>26.4300628930818</c:v>
                </c:pt>
                <c:pt idx="69">
                  <c:v>26.1396226415094</c:v>
                </c:pt>
                <c:pt idx="70">
                  <c:v>25.8491823899371</c:v>
                </c:pt>
                <c:pt idx="71">
                  <c:v>25.5587421383648</c:v>
                </c:pt>
                <c:pt idx="72">
                  <c:v>25.2683018867925</c:v>
                </c:pt>
                <c:pt idx="73">
                  <c:v>24.9778616352201</c:v>
                </c:pt>
                <c:pt idx="74">
                  <c:v>24.6874213836478</c:v>
                </c:pt>
                <c:pt idx="75">
                  <c:v>24.3969811320755</c:v>
                </c:pt>
                <c:pt idx="76">
                  <c:v>24.1065408805031</c:v>
                </c:pt>
                <c:pt idx="77">
                  <c:v>23.8161006289308</c:v>
                </c:pt>
                <c:pt idx="78">
                  <c:v>23.5256603773585</c:v>
                </c:pt>
                <c:pt idx="79">
                  <c:v>23.2352201257862</c:v>
                </c:pt>
                <c:pt idx="80">
                  <c:v>22.9447798742138</c:v>
                </c:pt>
                <c:pt idx="81">
                  <c:v>22.6543396226415</c:v>
                </c:pt>
                <c:pt idx="82">
                  <c:v>22.3638993710692</c:v>
                </c:pt>
                <c:pt idx="83">
                  <c:v>22.0734591194969</c:v>
                </c:pt>
                <c:pt idx="84">
                  <c:v>21.7830188679245</c:v>
                </c:pt>
                <c:pt idx="85">
                  <c:v>21.4925786163522</c:v>
                </c:pt>
                <c:pt idx="86">
                  <c:v>21.2021383647799</c:v>
                </c:pt>
                <c:pt idx="87">
                  <c:v>20.9116981132076</c:v>
                </c:pt>
                <c:pt idx="88">
                  <c:v>20.6212578616352</c:v>
                </c:pt>
                <c:pt idx="89">
                  <c:v>20.3308176100629</c:v>
                </c:pt>
                <c:pt idx="90">
                  <c:v>20.0403773584906</c:v>
                </c:pt>
                <c:pt idx="91">
                  <c:v>19.7499371069182</c:v>
                </c:pt>
                <c:pt idx="92">
                  <c:v>19.4594968553459</c:v>
                </c:pt>
                <c:pt idx="93">
                  <c:v>19.1690566037736</c:v>
                </c:pt>
                <c:pt idx="94">
                  <c:v>18.8786163522013</c:v>
                </c:pt>
                <c:pt idx="95">
                  <c:v>18.5881761006289</c:v>
                </c:pt>
                <c:pt idx="96">
                  <c:v>18.2977358490566</c:v>
                </c:pt>
                <c:pt idx="97">
                  <c:v>18.0072955974843</c:v>
                </c:pt>
                <c:pt idx="98">
                  <c:v>17.716855345912</c:v>
                </c:pt>
                <c:pt idx="99">
                  <c:v>17.4264150943396</c:v>
                </c:pt>
                <c:pt idx="100">
                  <c:v>17.1359748427673</c:v>
                </c:pt>
                <c:pt idx="101">
                  <c:v>16.845534591195</c:v>
                </c:pt>
                <c:pt idx="102">
                  <c:v>16.5550943396226</c:v>
                </c:pt>
                <c:pt idx="103">
                  <c:v>16.2646540880503</c:v>
                </c:pt>
                <c:pt idx="104">
                  <c:v>15.974213836478</c:v>
                </c:pt>
                <c:pt idx="105">
                  <c:v>15.6837735849057</c:v>
                </c:pt>
                <c:pt idx="106">
                  <c:v>15.3933333333333</c:v>
                </c:pt>
                <c:pt idx="107">
                  <c:v>15.102893081761</c:v>
                </c:pt>
                <c:pt idx="108">
                  <c:v>14.8124528301887</c:v>
                </c:pt>
                <c:pt idx="109">
                  <c:v>14.5220125786164</c:v>
                </c:pt>
                <c:pt idx="110">
                  <c:v>14.231572327044</c:v>
                </c:pt>
                <c:pt idx="111">
                  <c:v>13.9411320754717</c:v>
                </c:pt>
                <c:pt idx="112">
                  <c:v>13.6506918238994</c:v>
                </c:pt>
                <c:pt idx="113">
                  <c:v>13.360251572327</c:v>
                </c:pt>
                <c:pt idx="114">
                  <c:v>13.0698113207547</c:v>
                </c:pt>
                <c:pt idx="115">
                  <c:v>12.7793710691824</c:v>
                </c:pt>
                <c:pt idx="116">
                  <c:v>12.4889308176101</c:v>
                </c:pt>
                <c:pt idx="117">
                  <c:v>12.1984905660377</c:v>
                </c:pt>
                <c:pt idx="118">
                  <c:v>11.9080503144654</c:v>
                </c:pt>
                <c:pt idx="119">
                  <c:v>11.6176100628931</c:v>
                </c:pt>
                <c:pt idx="120">
                  <c:v>11.3271698113208</c:v>
                </c:pt>
                <c:pt idx="121">
                  <c:v>11.0367295597484</c:v>
                </c:pt>
                <c:pt idx="122">
                  <c:v>10.7462893081761</c:v>
                </c:pt>
                <c:pt idx="123">
                  <c:v>10.4558490566038</c:v>
                </c:pt>
                <c:pt idx="124">
                  <c:v>10.1654088050314</c:v>
                </c:pt>
                <c:pt idx="125">
                  <c:v>9.87496855345912</c:v>
                </c:pt>
                <c:pt idx="126">
                  <c:v>9.58452830188679</c:v>
                </c:pt>
                <c:pt idx="127">
                  <c:v>9.29408805031446</c:v>
                </c:pt>
                <c:pt idx="128">
                  <c:v>9.00364779874214</c:v>
                </c:pt>
                <c:pt idx="129">
                  <c:v>8.71320754716981</c:v>
                </c:pt>
                <c:pt idx="130">
                  <c:v>8.42276729559749</c:v>
                </c:pt>
                <c:pt idx="131">
                  <c:v>8.13232704402516</c:v>
                </c:pt>
                <c:pt idx="132">
                  <c:v>7.84188679245283</c:v>
                </c:pt>
                <c:pt idx="133">
                  <c:v>7.55144654088051</c:v>
                </c:pt>
                <c:pt idx="134">
                  <c:v>7.26100628930818</c:v>
                </c:pt>
                <c:pt idx="135">
                  <c:v>6.97056603773585</c:v>
                </c:pt>
                <c:pt idx="136">
                  <c:v>6.68012578616352</c:v>
                </c:pt>
                <c:pt idx="137">
                  <c:v>6.38968553459119</c:v>
                </c:pt>
                <c:pt idx="138">
                  <c:v>6.09924528301887</c:v>
                </c:pt>
                <c:pt idx="139">
                  <c:v>5.80880503144655</c:v>
                </c:pt>
                <c:pt idx="140">
                  <c:v>5.51836477987421</c:v>
                </c:pt>
                <c:pt idx="141">
                  <c:v>5.22792452830188</c:v>
                </c:pt>
                <c:pt idx="142">
                  <c:v>4.93748427672956</c:v>
                </c:pt>
                <c:pt idx="143">
                  <c:v>4.64704402515724</c:v>
                </c:pt>
                <c:pt idx="144">
                  <c:v>4.35660377358491</c:v>
                </c:pt>
                <c:pt idx="145">
                  <c:v>4.06616352201257</c:v>
                </c:pt>
                <c:pt idx="146">
                  <c:v>3.77572327044025</c:v>
                </c:pt>
                <c:pt idx="147">
                  <c:v>3.48528301886793</c:v>
                </c:pt>
                <c:pt idx="148">
                  <c:v>3.1948427672956</c:v>
                </c:pt>
                <c:pt idx="149">
                  <c:v>2.90440251572327</c:v>
                </c:pt>
                <c:pt idx="150">
                  <c:v>2.61396226415094</c:v>
                </c:pt>
                <c:pt idx="151">
                  <c:v>2.32352201257861</c:v>
                </c:pt>
                <c:pt idx="152">
                  <c:v>2.03308176100629</c:v>
                </c:pt>
                <c:pt idx="153">
                  <c:v>1.74264150943396</c:v>
                </c:pt>
                <c:pt idx="154">
                  <c:v>1.45220125786163</c:v>
                </c:pt>
                <c:pt idx="155">
                  <c:v>1.16176100628931</c:v>
                </c:pt>
                <c:pt idx="156">
                  <c:v>0.871320754716983</c:v>
                </c:pt>
                <c:pt idx="157">
                  <c:v>0.580880503144655</c:v>
                </c:pt>
                <c:pt idx="158">
                  <c:v>0.290440251572328</c:v>
                </c:pt>
                <c:pt idx="159">
                  <c:v>0</c:v>
                </c:pt>
              </c:numCache>
            </c:numRef>
          </c:val>
          <c:smooth val="0"/>
        </c:ser>
        <c:hiLowLines>
          <c:spPr>
            <a:ln w="0">
              <a:noFill/>
            </a:ln>
          </c:spPr>
        </c:hiLowLines>
        <c:marker val="0"/>
        <c:axId val="96194614"/>
        <c:axId val="25920900"/>
      </c:lineChart>
      <c:dateAx>
        <c:axId val="2729204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766636"/>
        <c:auto val="1"/>
        <c:lblOffset val="100"/>
        <c:baseTimeUnit val="days"/>
      </c:dateAx>
      <c:valAx>
        <c:axId val="5376663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7292049"/>
        <c:crosses val="autoZero"/>
        <c:crossBetween val="between"/>
      </c:valAx>
      <c:dateAx>
        <c:axId val="9619461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920900"/>
        <c:auto val="1"/>
        <c:lblOffset val="100"/>
        <c:baseTimeUnit val="days"/>
      </c:dateAx>
      <c:valAx>
        <c:axId val="2592090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19461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(Calc)'!$D$3:$D$500</c:f>
              <c:numCache>
                <c:formatCode>0.0%</c:formatCode>
                <c:ptCount val="498"/>
                <c:pt idx="0">
                  <c:v>-0.016013470558925</c:v>
                </c:pt>
                <c:pt idx="1">
                  <c:v>0.00265414098377836</c:v>
                </c:pt>
                <c:pt idx="2">
                  <c:v>0.0147681161944238</c:v>
                </c:pt>
                <c:pt idx="3">
                  <c:v>0.00401585748854427</c:v>
                </c:pt>
                <c:pt idx="4">
                  <c:v>-0.0327675503820316</c:v>
                </c:pt>
                <c:pt idx="5">
                  <c:v>0.0170713604071677</c:v>
                </c:pt>
                <c:pt idx="6">
                  <c:v>0.0916041145398945</c:v>
                </c:pt>
                <c:pt idx="7">
                  <c:v>0.0293836750286516</c:v>
                </c:pt>
                <c:pt idx="8">
                  <c:v>0.0375135302304004</c:v>
                </c:pt>
                <c:pt idx="9">
                  <c:v>0.00742220102539637</c:v>
                </c:pt>
                <c:pt idx="10">
                  <c:v>0.00147942125040679</c:v>
                </c:pt>
                <c:pt idx="11">
                  <c:v>0.00610098383904045</c:v>
                </c:pt>
                <c:pt idx="12">
                  <c:v>0.0811810827080917</c:v>
                </c:pt>
                <c:pt idx="13">
                  <c:v>-0.000570373187028017</c:v>
                </c:pt>
                <c:pt idx="14">
                  <c:v>0.00582927956083368</c:v>
                </c:pt>
                <c:pt idx="15">
                  <c:v>-0.0707888088837253</c:v>
                </c:pt>
                <c:pt idx="16">
                  <c:v>0.0140441678903216</c:v>
                </c:pt>
                <c:pt idx="17">
                  <c:v>0.0625528681414787</c:v>
                </c:pt>
                <c:pt idx="18">
                  <c:v>0.145037240932643</c:v>
                </c:pt>
                <c:pt idx="19">
                  <c:v>0.0264078905504295</c:v>
                </c:pt>
                <c:pt idx="20">
                  <c:v>0.0680351771486303</c:v>
                </c:pt>
                <c:pt idx="21">
                  <c:v>-0.0217461409468117</c:v>
                </c:pt>
                <c:pt idx="22">
                  <c:v>0.00463710785121707</c:v>
                </c:pt>
                <c:pt idx="23">
                  <c:v>0.0618088748400363</c:v>
                </c:pt>
                <c:pt idx="24">
                  <c:v>0.00343023136034937</c:v>
                </c:pt>
                <c:pt idx="25">
                  <c:v>-0.054429171243494</c:v>
                </c:pt>
                <c:pt idx="26">
                  <c:v>0.042275999088037</c:v>
                </c:pt>
                <c:pt idx="27">
                  <c:v>-0.00968719727508516</c:v>
                </c:pt>
                <c:pt idx="28">
                  <c:v>0.00936122768819736</c:v>
                </c:pt>
                <c:pt idx="29">
                  <c:v>-0.01807988495566</c:v>
                </c:pt>
                <c:pt idx="30">
                  <c:v>-0.106359044020886</c:v>
                </c:pt>
                <c:pt idx="31">
                  <c:v>0.0713607106381968</c:v>
                </c:pt>
                <c:pt idx="32">
                  <c:v>-0.0188660422324447</c:v>
                </c:pt>
                <c:pt idx="33">
                  <c:v>0.031780642391513</c:v>
                </c:pt>
                <c:pt idx="34">
                  <c:v>-0.00571578739898826</c:v>
                </c:pt>
                <c:pt idx="35">
                  <c:v>0.0337870578388617</c:v>
                </c:pt>
                <c:pt idx="36">
                  <c:v>0.00431438554627572</c:v>
                </c:pt>
                <c:pt idx="37">
                  <c:v>0.0708868546941461</c:v>
                </c:pt>
                <c:pt idx="38">
                  <c:v>-0.000505150554675149</c:v>
                </c:pt>
                <c:pt idx="39">
                  <c:v>0.00846307068745111</c:v>
                </c:pt>
                <c:pt idx="40">
                  <c:v>-0.0133840393856314</c:v>
                </c:pt>
                <c:pt idx="41">
                  <c:v>0.0505971056065178</c:v>
                </c:pt>
                <c:pt idx="42">
                  <c:v>0.0100397227936786</c:v>
                </c:pt>
                <c:pt idx="43">
                  <c:v>-0.174976534634879</c:v>
                </c:pt>
                <c:pt idx="44">
                  <c:v>-0.00779312384809672</c:v>
                </c:pt>
                <c:pt idx="45">
                  <c:v>-0.0872805659706695</c:v>
                </c:pt>
                <c:pt idx="46">
                  <c:v>0.0632529742088668</c:v>
                </c:pt>
                <c:pt idx="47">
                  <c:v>0.0675362729807647</c:v>
                </c:pt>
                <c:pt idx="48">
                  <c:v>-0.0124180981051887</c:v>
                </c:pt>
                <c:pt idx="49">
                  <c:v>-0.00373192872352335</c:v>
                </c:pt>
                <c:pt idx="50">
                  <c:v>-0.167148497699585</c:v>
                </c:pt>
                <c:pt idx="51">
                  <c:v>0.0844431238012913</c:v>
                </c:pt>
                <c:pt idx="52">
                  <c:v>-0.0258189064640678</c:v>
                </c:pt>
                <c:pt idx="53">
                  <c:v>0.0581714972448444</c:v>
                </c:pt>
                <c:pt idx="54">
                  <c:v>-0.0101489724165428</c:v>
                </c:pt>
                <c:pt idx="55">
                  <c:v>0.00922772712292663</c:v>
                </c:pt>
                <c:pt idx="56">
                  <c:v>-0.139678047482554</c:v>
                </c:pt>
                <c:pt idx="57">
                  <c:v>-0.0159839176764979</c:v>
                </c:pt>
                <c:pt idx="58">
                  <c:v>-0.0497449890709603</c:v>
                </c:pt>
                <c:pt idx="59">
                  <c:v>-0.00780275125911445</c:v>
                </c:pt>
                <c:pt idx="60">
                  <c:v>-0.0161827989575126</c:v>
                </c:pt>
                <c:pt idx="61">
                  <c:v>0.0216239526860524</c:v>
                </c:pt>
                <c:pt idx="62">
                  <c:v>0.020412470602424</c:v>
                </c:pt>
                <c:pt idx="63">
                  <c:v>0.0325768992110629</c:v>
                </c:pt>
                <c:pt idx="64">
                  <c:v>0.0135496702007412</c:v>
                </c:pt>
                <c:pt idx="65">
                  <c:v>-0.0179564640447218</c:v>
                </c:pt>
                <c:pt idx="66">
                  <c:v>0.0112123738607941</c:v>
                </c:pt>
                <c:pt idx="67">
                  <c:v>0.0010803741506269</c:v>
                </c:pt>
                <c:pt idx="68">
                  <c:v>0.0345062622475931</c:v>
                </c:pt>
                <c:pt idx="69">
                  <c:v>0.0234310657222863</c:v>
                </c:pt>
                <c:pt idx="70">
                  <c:v>-0.0318405558014459</c:v>
                </c:pt>
                <c:pt idx="71">
                  <c:v>0.00964189235990842</c:v>
                </c:pt>
                <c:pt idx="72">
                  <c:v>-0.015696820844939</c:v>
                </c:pt>
                <c:pt idx="73">
                  <c:v>0.0349470984289837</c:v>
                </c:pt>
                <c:pt idx="74">
                  <c:v>-0.019072248262486</c:v>
                </c:pt>
                <c:pt idx="75">
                  <c:v>-0.038158400615148</c:v>
                </c:pt>
                <c:pt idx="76">
                  <c:v>0.0326342988479493</c:v>
                </c:pt>
                <c:pt idx="77">
                  <c:v>-0.0248842192576207</c:v>
                </c:pt>
                <c:pt idx="78">
                  <c:v>0.00310484156801572</c:v>
                </c:pt>
                <c:pt idx="79">
                  <c:v>-0.0581309890606891</c:v>
                </c:pt>
                <c:pt idx="80">
                  <c:v>-0.102339400669258</c:v>
                </c:pt>
                <c:pt idx="81">
                  <c:v>0.104478360441985</c:v>
                </c:pt>
                <c:pt idx="82">
                  <c:v>-0.0428478454995385</c:v>
                </c:pt>
                <c:pt idx="83">
                  <c:v>0.0579696394686906</c:v>
                </c:pt>
                <c:pt idx="84">
                  <c:v>0.0224494066301977</c:v>
                </c:pt>
                <c:pt idx="85">
                  <c:v>0.0229943866214477</c:v>
                </c:pt>
                <c:pt idx="86">
                  <c:v>0.0593161000843088</c:v>
                </c:pt>
                <c:pt idx="87">
                  <c:v>-0.0208546916311445</c:v>
                </c:pt>
                <c:pt idx="88">
                  <c:v>0.00584134681619042</c:v>
                </c:pt>
                <c:pt idx="89">
                  <c:v>0.0220517737296262</c:v>
                </c:pt>
                <c:pt idx="90">
                  <c:v>0.0106003752345216</c:v>
                </c:pt>
                <c:pt idx="91">
                  <c:v>-0.00587447454615386</c:v>
                </c:pt>
                <c:pt idx="92">
                  <c:v>0.0521022302849217</c:v>
                </c:pt>
                <c:pt idx="93">
                  <c:v>-0.00182569668078203</c:v>
                </c:pt>
                <c:pt idx="94">
                  <c:v>0.00936110758287811</c:v>
                </c:pt>
                <c:pt idx="95">
                  <c:v>-0.0839845470446853</c:v>
                </c:pt>
                <c:pt idx="96">
                  <c:v>-0.0317612957289849</c:v>
                </c:pt>
                <c:pt idx="97">
                  <c:v>-0.0276670308310041</c:v>
                </c:pt>
                <c:pt idx="98">
                  <c:v>0.0471027710087406</c:v>
                </c:pt>
                <c:pt idx="99">
                  <c:v>0.0274669379450661</c:v>
                </c:pt>
                <c:pt idx="100">
                  <c:v>0.0171571951715721</c:v>
                </c:pt>
                <c:pt idx="101">
                  <c:v>-0.0162544169611308</c:v>
                </c:pt>
                <c:pt idx="102">
                  <c:v>0.0526187378009109</c:v>
                </c:pt>
                <c:pt idx="103">
                  <c:v>0.0411548069741687</c:v>
                </c:pt>
                <c:pt idx="104">
                  <c:v>0.145336037796522</c:v>
                </c:pt>
                <c:pt idx="105">
                  <c:v>0.0207764159602613</c:v>
                </c:pt>
                <c:pt idx="106">
                  <c:v>0.0848205312655377</c:v>
                </c:pt>
                <c:pt idx="107">
                  <c:v>-0.0930402644640995</c:v>
                </c:pt>
                <c:pt idx="108">
                  <c:v>0.0994236930950692</c:v>
                </c:pt>
                <c:pt idx="109">
                  <c:v>0.00372605204737253</c:v>
                </c:pt>
                <c:pt idx="110">
                  <c:v>0.0271157706023346</c:v>
                </c:pt>
                <c:pt idx="111">
                  <c:v>-0.0399081742034018</c:v>
                </c:pt>
                <c:pt idx="112">
                  <c:v>-0.00981128347001292</c:v>
                </c:pt>
                <c:pt idx="113">
                  <c:v>-0.0401329115818673</c:v>
                </c:pt>
                <c:pt idx="114">
                  <c:v>0.0966578304485681</c:v>
                </c:pt>
                <c:pt idx="115">
                  <c:v>0.0372346980368365</c:v>
                </c:pt>
                <c:pt idx="116">
                  <c:v>-0.0169345920801308</c:v>
                </c:pt>
                <c:pt idx="117">
                  <c:v>-0.0229715156923993</c:v>
                </c:pt>
                <c:pt idx="118">
                  <c:v>0.0158425073979276</c:v>
                </c:pt>
                <c:pt idx="119">
                  <c:v>0.0848616548959369</c:v>
                </c:pt>
                <c:pt idx="120">
                  <c:v>0.0946020617844623</c:v>
                </c:pt>
                <c:pt idx="121">
                  <c:v>0.0664778867162543</c:v>
                </c:pt>
                <c:pt idx="122">
                  <c:v>0.0224322705185385</c:v>
                </c:pt>
                <c:pt idx="123">
                  <c:v>0.0244502314814814</c:v>
                </c:pt>
                <c:pt idx="124">
                  <c:v>-0.00702584380737192</c:v>
                </c:pt>
                <c:pt idx="125">
                  <c:v>-0.00321422222222223</c:v>
                </c:pt>
                <c:pt idx="126">
                  <c:v>0.0447732444907365</c:v>
                </c:pt>
                <c:pt idx="127">
                  <c:v>-0.0129464864901775</c:v>
                </c:pt>
                <c:pt idx="128">
                  <c:v>-0.108755958022317</c:v>
                </c:pt>
                <c:pt idx="129">
                  <c:v>0.0409059860904124</c:v>
                </c:pt>
                <c:pt idx="130">
                  <c:v>-0.0211331672905698</c:v>
                </c:pt>
                <c:pt idx="131">
                  <c:v>-0.0112213182192157</c:v>
                </c:pt>
                <c:pt idx="132">
                  <c:v>0.0113332562887631</c:v>
                </c:pt>
                <c:pt idx="133">
                  <c:v>0.122263190772934</c:v>
                </c:pt>
                <c:pt idx="134">
                  <c:v>-0.012497030173438</c:v>
                </c:pt>
                <c:pt idx="135">
                  <c:v>-0.00144355692426135</c:v>
                </c:pt>
                <c:pt idx="136">
                  <c:v>-0.0189035136028197</c:v>
                </c:pt>
                <c:pt idx="137">
                  <c:v>0.115620483026705</c:v>
                </c:pt>
                <c:pt idx="138">
                  <c:v>-0.0566618028126494</c:v>
                </c:pt>
                <c:pt idx="139">
                  <c:v>0.0872875649222933</c:v>
                </c:pt>
                <c:pt idx="140">
                  <c:v>-0.0123314467221407</c:v>
                </c:pt>
                <c:pt idx="141">
                  <c:v>0.0179675664936547</c:v>
                </c:pt>
                <c:pt idx="142">
                  <c:v>0.135104475427233</c:v>
                </c:pt>
                <c:pt idx="143">
                  <c:v>0.0354890013647549</c:v>
                </c:pt>
                <c:pt idx="144">
                  <c:v>-0.0699930987603714</c:v>
                </c:pt>
                <c:pt idx="145">
                  <c:v>-0.0140992021424985</c:v>
                </c:pt>
                <c:pt idx="146">
                  <c:v>0.015828820110581</c:v>
                </c:pt>
                <c:pt idx="147">
                  <c:v>-0.0276768802228413</c:v>
                </c:pt>
                <c:pt idx="148">
                  <c:v>0.00544312790777624</c:v>
                </c:pt>
                <c:pt idx="149">
                  <c:v>-0.071699661503744</c:v>
                </c:pt>
                <c:pt idx="150">
                  <c:v>0.0687476979742174</c:v>
                </c:pt>
                <c:pt idx="151">
                  <c:v>0.059213436033521</c:v>
                </c:pt>
                <c:pt idx="152">
                  <c:v>-0.0435555941173919</c:v>
                </c:pt>
                <c:pt idx="153">
                  <c:v>-0.0383272100512541</c:v>
                </c:pt>
                <c:pt idx="154">
                  <c:v>0.011036694651448</c:v>
                </c:pt>
                <c:pt idx="155">
                  <c:v>-0.00966831498413889</c:v>
                </c:pt>
                <c:pt idx="156">
                  <c:v>-0.0108225872931754</c:v>
                </c:pt>
                <c:pt idx="157">
                  <c:v>0.038108957569408</c:v>
                </c:pt>
                <c:pt idx="158">
                  <c:v>0.0157516887048867</c:v>
                </c:pt>
                <c:pt idx="159">
                  <c:v>-0.031912431340006</c:v>
                </c:pt>
              </c:numCache>
            </c:numRef>
          </c:val>
        </c:ser>
        <c:gapWidth val="150"/>
        <c:overlap val="0"/>
        <c:axId val="89056019"/>
        <c:axId val="93867165"/>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(Calc)'!$Y$3:$Y$500</c:f>
              <c:numCache>
                <c:formatCode>#,##0.00</c:formatCode>
                <c:ptCount val="498"/>
                <c:pt idx="0">
                  <c:v>582.01</c:v>
                </c:pt>
                <c:pt idx="1">
                  <c:v>578.349559748428</c:v>
                </c:pt>
                <c:pt idx="2">
                  <c:v>574.689119496855</c:v>
                </c:pt>
                <c:pt idx="3">
                  <c:v>571.028679245283</c:v>
                </c:pt>
                <c:pt idx="4">
                  <c:v>567.368238993711</c:v>
                </c:pt>
                <c:pt idx="5">
                  <c:v>563.707798742138</c:v>
                </c:pt>
                <c:pt idx="6">
                  <c:v>560.047358490566</c:v>
                </c:pt>
                <c:pt idx="7">
                  <c:v>556.386918238994</c:v>
                </c:pt>
                <c:pt idx="8">
                  <c:v>552.726477987421</c:v>
                </c:pt>
                <c:pt idx="9">
                  <c:v>549.066037735849</c:v>
                </c:pt>
                <c:pt idx="10">
                  <c:v>545.405597484277</c:v>
                </c:pt>
                <c:pt idx="11">
                  <c:v>541.745157232704</c:v>
                </c:pt>
                <c:pt idx="12">
                  <c:v>538.084716981132</c:v>
                </c:pt>
                <c:pt idx="13">
                  <c:v>534.42427672956</c:v>
                </c:pt>
                <c:pt idx="14">
                  <c:v>530.763836477987</c:v>
                </c:pt>
                <c:pt idx="15">
                  <c:v>527.103396226415</c:v>
                </c:pt>
                <c:pt idx="16">
                  <c:v>523.442955974843</c:v>
                </c:pt>
                <c:pt idx="17">
                  <c:v>519.78251572327</c:v>
                </c:pt>
                <c:pt idx="18">
                  <c:v>516.122075471698</c:v>
                </c:pt>
                <c:pt idx="19">
                  <c:v>512.461635220126</c:v>
                </c:pt>
                <c:pt idx="20">
                  <c:v>508.801194968553</c:v>
                </c:pt>
                <c:pt idx="21">
                  <c:v>505.140754716981</c:v>
                </c:pt>
                <c:pt idx="22">
                  <c:v>501.480314465409</c:v>
                </c:pt>
                <c:pt idx="23">
                  <c:v>497.819874213836</c:v>
                </c:pt>
                <c:pt idx="24">
                  <c:v>494.159433962264</c:v>
                </c:pt>
                <c:pt idx="25">
                  <c:v>490.498993710692</c:v>
                </c:pt>
                <c:pt idx="26">
                  <c:v>486.838553459119</c:v>
                </c:pt>
                <c:pt idx="27">
                  <c:v>483.178113207547</c:v>
                </c:pt>
                <c:pt idx="28">
                  <c:v>479.517672955975</c:v>
                </c:pt>
                <c:pt idx="29">
                  <c:v>475.857232704403</c:v>
                </c:pt>
                <c:pt idx="30">
                  <c:v>472.19679245283</c:v>
                </c:pt>
                <c:pt idx="31">
                  <c:v>468.536352201258</c:v>
                </c:pt>
                <c:pt idx="32">
                  <c:v>464.875911949686</c:v>
                </c:pt>
                <c:pt idx="33">
                  <c:v>461.215471698113</c:v>
                </c:pt>
                <c:pt idx="34">
                  <c:v>457.555031446541</c:v>
                </c:pt>
                <c:pt idx="35">
                  <c:v>453.894591194969</c:v>
                </c:pt>
                <c:pt idx="36">
                  <c:v>450.234150943396</c:v>
                </c:pt>
                <c:pt idx="37">
                  <c:v>446.573710691824</c:v>
                </c:pt>
                <c:pt idx="38">
                  <c:v>442.913270440252</c:v>
                </c:pt>
                <c:pt idx="39">
                  <c:v>439.252830188679</c:v>
                </c:pt>
                <c:pt idx="40">
                  <c:v>435.592389937107</c:v>
                </c:pt>
                <c:pt idx="41">
                  <c:v>431.931949685535</c:v>
                </c:pt>
                <c:pt idx="42">
                  <c:v>428.271509433962</c:v>
                </c:pt>
                <c:pt idx="43">
                  <c:v>424.61106918239</c:v>
                </c:pt>
                <c:pt idx="44">
                  <c:v>420.950628930818</c:v>
                </c:pt>
                <c:pt idx="45">
                  <c:v>417.290188679245</c:v>
                </c:pt>
                <c:pt idx="46">
                  <c:v>413.629748427673</c:v>
                </c:pt>
                <c:pt idx="47">
                  <c:v>409.969308176101</c:v>
                </c:pt>
                <c:pt idx="48">
                  <c:v>406.308867924528</c:v>
                </c:pt>
                <c:pt idx="49">
                  <c:v>402.648427672956</c:v>
                </c:pt>
                <c:pt idx="50">
                  <c:v>398.987987421384</c:v>
                </c:pt>
                <c:pt idx="51">
                  <c:v>395.327547169811</c:v>
                </c:pt>
                <c:pt idx="52">
                  <c:v>391.667106918239</c:v>
                </c:pt>
                <c:pt idx="53">
                  <c:v>388.006666666667</c:v>
                </c:pt>
                <c:pt idx="54">
                  <c:v>384.346226415094</c:v>
                </c:pt>
                <c:pt idx="55">
                  <c:v>380.685786163522</c:v>
                </c:pt>
                <c:pt idx="56">
                  <c:v>377.02534591195</c:v>
                </c:pt>
                <c:pt idx="57">
                  <c:v>373.364905660377</c:v>
                </c:pt>
                <c:pt idx="58">
                  <c:v>369.704465408805</c:v>
                </c:pt>
                <c:pt idx="59">
                  <c:v>366.044025157233</c:v>
                </c:pt>
                <c:pt idx="60">
                  <c:v>362.38358490566</c:v>
                </c:pt>
                <c:pt idx="61">
                  <c:v>358.723144654088</c:v>
                </c:pt>
                <c:pt idx="62">
                  <c:v>355.062704402516</c:v>
                </c:pt>
                <c:pt idx="63">
                  <c:v>351.402264150943</c:v>
                </c:pt>
                <c:pt idx="64">
                  <c:v>347.741823899371</c:v>
                </c:pt>
                <c:pt idx="65">
                  <c:v>344.081383647799</c:v>
                </c:pt>
                <c:pt idx="66">
                  <c:v>340.420943396226</c:v>
                </c:pt>
                <c:pt idx="67">
                  <c:v>336.760503144654</c:v>
                </c:pt>
                <c:pt idx="68">
                  <c:v>333.100062893082</c:v>
                </c:pt>
                <c:pt idx="69">
                  <c:v>329.439622641509</c:v>
                </c:pt>
                <c:pt idx="70">
                  <c:v>325.779182389937</c:v>
                </c:pt>
                <c:pt idx="71">
                  <c:v>322.118742138365</c:v>
                </c:pt>
                <c:pt idx="72">
                  <c:v>318.458301886792</c:v>
                </c:pt>
                <c:pt idx="73">
                  <c:v>314.79786163522</c:v>
                </c:pt>
                <c:pt idx="74">
                  <c:v>311.137421383648</c:v>
                </c:pt>
                <c:pt idx="75">
                  <c:v>307.476981132076</c:v>
                </c:pt>
                <c:pt idx="76">
                  <c:v>303.816540880503</c:v>
                </c:pt>
                <c:pt idx="77">
                  <c:v>300.156100628931</c:v>
                </c:pt>
                <c:pt idx="78">
                  <c:v>296.495660377359</c:v>
                </c:pt>
                <c:pt idx="79">
                  <c:v>292.835220125786</c:v>
                </c:pt>
                <c:pt idx="80">
                  <c:v>289.174779874214</c:v>
                </c:pt>
                <c:pt idx="81">
                  <c:v>285.514339622642</c:v>
                </c:pt>
                <c:pt idx="82">
                  <c:v>281.853899371069</c:v>
                </c:pt>
                <c:pt idx="83">
                  <c:v>278.193459119497</c:v>
                </c:pt>
                <c:pt idx="84">
                  <c:v>274.533018867925</c:v>
                </c:pt>
                <c:pt idx="85">
                  <c:v>270.872578616352</c:v>
                </c:pt>
                <c:pt idx="86">
                  <c:v>267.21213836478</c:v>
                </c:pt>
                <c:pt idx="87">
                  <c:v>263.551698113208</c:v>
                </c:pt>
                <c:pt idx="88">
                  <c:v>259.891257861635</c:v>
                </c:pt>
                <c:pt idx="89">
                  <c:v>256.230817610063</c:v>
                </c:pt>
                <c:pt idx="90">
                  <c:v>252.570377358491</c:v>
                </c:pt>
                <c:pt idx="91">
                  <c:v>248.909937106918</c:v>
                </c:pt>
                <c:pt idx="92">
                  <c:v>245.249496855346</c:v>
                </c:pt>
                <c:pt idx="93">
                  <c:v>241.589056603774</c:v>
                </c:pt>
                <c:pt idx="94">
                  <c:v>237.928616352201</c:v>
                </c:pt>
                <c:pt idx="95">
                  <c:v>234.268176100629</c:v>
                </c:pt>
                <c:pt idx="96">
                  <c:v>230.607735849057</c:v>
                </c:pt>
                <c:pt idx="97">
                  <c:v>226.947295597484</c:v>
                </c:pt>
                <c:pt idx="98">
                  <c:v>223.286855345912</c:v>
                </c:pt>
                <c:pt idx="99">
                  <c:v>219.62641509434</c:v>
                </c:pt>
                <c:pt idx="100">
                  <c:v>215.965974842767</c:v>
                </c:pt>
                <c:pt idx="101">
                  <c:v>212.305534591195</c:v>
                </c:pt>
                <c:pt idx="102">
                  <c:v>208.645094339623</c:v>
                </c:pt>
                <c:pt idx="103">
                  <c:v>204.98465408805</c:v>
                </c:pt>
                <c:pt idx="104">
                  <c:v>201.324213836478</c:v>
                </c:pt>
                <c:pt idx="105">
                  <c:v>197.663773584906</c:v>
                </c:pt>
                <c:pt idx="106">
                  <c:v>194.003333333333</c:v>
                </c:pt>
                <c:pt idx="107">
                  <c:v>190.342893081761</c:v>
                </c:pt>
                <c:pt idx="108">
                  <c:v>186.682452830189</c:v>
                </c:pt>
                <c:pt idx="109">
                  <c:v>183.022012578616</c:v>
                </c:pt>
                <c:pt idx="110">
                  <c:v>179.361572327044</c:v>
                </c:pt>
                <c:pt idx="111">
                  <c:v>175.701132075472</c:v>
                </c:pt>
                <c:pt idx="112">
                  <c:v>172.040691823899</c:v>
                </c:pt>
                <c:pt idx="113">
                  <c:v>168.380251572327</c:v>
                </c:pt>
                <c:pt idx="114">
                  <c:v>164.719811320755</c:v>
                </c:pt>
                <c:pt idx="115">
                  <c:v>161.059371069182</c:v>
                </c:pt>
                <c:pt idx="116">
                  <c:v>157.39893081761</c:v>
                </c:pt>
                <c:pt idx="117">
                  <c:v>153.738490566038</c:v>
                </c:pt>
                <c:pt idx="118">
                  <c:v>150.078050314465</c:v>
                </c:pt>
                <c:pt idx="119">
                  <c:v>146.417610062893</c:v>
                </c:pt>
                <c:pt idx="120">
                  <c:v>142.757169811321</c:v>
                </c:pt>
                <c:pt idx="121">
                  <c:v>139.096729559749</c:v>
                </c:pt>
                <c:pt idx="122">
                  <c:v>135.436289308176</c:v>
                </c:pt>
                <c:pt idx="123">
                  <c:v>131.775849056604</c:v>
                </c:pt>
                <c:pt idx="124">
                  <c:v>128.115408805031</c:v>
                </c:pt>
                <c:pt idx="125">
                  <c:v>124.454968553459</c:v>
                </c:pt>
                <c:pt idx="126">
                  <c:v>120.794528301887</c:v>
                </c:pt>
                <c:pt idx="127">
                  <c:v>117.134088050314</c:v>
                </c:pt>
                <c:pt idx="128">
                  <c:v>113.473647798742</c:v>
                </c:pt>
                <c:pt idx="129">
                  <c:v>109.81320754717</c:v>
                </c:pt>
                <c:pt idx="130">
                  <c:v>106.152767295597</c:v>
                </c:pt>
                <c:pt idx="131">
                  <c:v>102.492327044025</c:v>
                </c:pt>
                <c:pt idx="132">
                  <c:v>98.8318867924529</c:v>
                </c:pt>
                <c:pt idx="133">
                  <c:v>95.1714465408805</c:v>
                </c:pt>
                <c:pt idx="134">
                  <c:v>91.5110062893082</c:v>
                </c:pt>
                <c:pt idx="135">
                  <c:v>87.8505660377358</c:v>
                </c:pt>
                <c:pt idx="136">
                  <c:v>84.1901257861635</c:v>
                </c:pt>
                <c:pt idx="137">
                  <c:v>80.5296855345912</c:v>
                </c:pt>
                <c:pt idx="138">
                  <c:v>76.8692452830188</c:v>
                </c:pt>
                <c:pt idx="139">
                  <c:v>73.2088050314466</c:v>
                </c:pt>
                <c:pt idx="140">
                  <c:v>69.5483647798742</c:v>
                </c:pt>
                <c:pt idx="141">
                  <c:v>65.8879245283018</c:v>
                </c:pt>
                <c:pt idx="142">
                  <c:v>62.2274842767296</c:v>
                </c:pt>
                <c:pt idx="143">
                  <c:v>58.5670440251573</c:v>
                </c:pt>
                <c:pt idx="144">
                  <c:v>54.9066037735848</c:v>
                </c:pt>
                <c:pt idx="145">
                  <c:v>51.2461635220126</c:v>
                </c:pt>
                <c:pt idx="146">
                  <c:v>47.5857232704403</c:v>
                </c:pt>
                <c:pt idx="147">
                  <c:v>43.925283018868</c:v>
                </c:pt>
                <c:pt idx="148">
                  <c:v>40.2648427672956</c:v>
                </c:pt>
                <c:pt idx="149">
                  <c:v>36.6044025157232</c:v>
                </c:pt>
                <c:pt idx="150">
                  <c:v>32.943962264151</c:v>
                </c:pt>
                <c:pt idx="151">
                  <c:v>29.2835220125786</c:v>
                </c:pt>
                <c:pt idx="152">
                  <c:v>25.6230817610062</c:v>
                </c:pt>
                <c:pt idx="153">
                  <c:v>21.962641509434</c:v>
                </c:pt>
                <c:pt idx="154">
                  <c:v>18.3022012578616</c:v>
                </c:pt>
                <c:pt idx="155">
                  <c:v>14.6417610062892</c:v>
                </c:pt>
                <c:pt idx="156">
                  <c:v>10.981320754717</c:v>
                </c:pt>
                <c:pt idx="157">
                  <c:v>7.32088050314474</c:v>
                </c:pt>
                <c:pt idx="158">
                  <c:v>3.66044025157225</c:v>
                </c:pt>
                <c:pt idx="159">
                  <c:v>0</c:v>
                </c:pt>
              </c:numCache>
            </c:numRef>
          </c:val>
          <c:smooth val="0"/>
        </c:ser>
        <c:hiLowLines>
          <c:spPr>
            <a:ln w="0">
              <a:noFill/>
            </a:ln>
          </c:spPr>
        </c:hiLowLines>
        <c:marker val="0"/>
        <c:axId val="62330675"/>
        <c:axId val="42384772"/>
      </c:lineChart>
      <c:dateAx>
        <c:axId val="8905601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867165"/>
        <c:auto val="1"/>
        <c:lblOffset val="100"/>
        <c:baseTimeUnit val="days"/>
      </c:dateAx>
      <c:valAx>
        <c:axId val="9386716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056019"/>
        <c:crosses val="autoZero"/>
        <c:crossBetween val="between"/>
      </c:valAx>
      <c:dateAx>
        <c:axId val="6233067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384772"/>
        <c:auto val="1"/>
        <c:lblOffset val="100"/>
        <c:baseTimeUnit val="days"/>
      </c:dateAx>
      <c:valAx>
        <c:axId val="4238477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33067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(Calc)'!$E$3:$E$500</c:f>
              <c:numCache>
                <c:formatCode>0.0%</c:formatCode>
                <c:ptCount val="498"/>
                <c:pt idx="0">
                  <c:v>-0.0212195121951219</c:v>
                </c:pt>
                <c:pt idx="1">
                  <c:v>0.00186892599053068</c:v>
                </c:pt>
                <c:pt idx="2">
                  <c:v>0.0176594950876756</c:v>
                </c:pt>
                <c:pt idx="3">
                  <c:v>0.044849077355493</c:v>
                </c:pt>
                <c:pt idx="4">
                  <c:v>-0.0334502923976608</c:v>
                </c:pt>
                <c:pt idx="5">
                  <c:v>-0.0179090029041626</c:v>
                </c:pt>
                <c:pt idx="6">
                  <c:v>0.0528585510103501</c:v>
                </c:pt>
                <c:pt idx="7">
                  <c:v>0.0847279110590988</c:v>
                </c:pt>
                <c:pt idx="8">
                  <c:v>0.0211457546660914</c:v>
                </c:pt>
                <c:pt idx="9">
                  <c:v>0.001162176439514</c:v>
                </c:pt>
                <c:pt idx="10">
                  <c:v>-0.0499155761924863</c:v>
                </c:pt>
                <c:pt idx="11">
                  <c:v>0.0153282239253583</c:v>
                </c:pt>
                <c:pt idx="12">
                  <c:v>0.1964774094738</c:v>
                </c:pt>
                <c:pt idx="13">
                  <c:v>-0.00237725153149859</c:v>
                </c:pt>
                <c:pt idx="14">
                  <c:v>-0.00504078452937395</c:v>
                </c:pt>
                <c:pt idx="15">
                  <c:v>-0.0600589535740604</c:v>
                </c:pt>
                <c:pt idx="16">
                  <c:v>0.0556644453155624</c:v>
                </c:pt>
                <c:pt idx="17">
                  <c:v>0.0934831043445972</c:v>
                </c:pt>
                <c:pt idx="18">
                  <c:v>-0.00517870786993802</c:v>
                </c:pt>
                <c:pt idx="19">
                  <c:v>0.0161290322580645</c:v>
                </c:pt>
                <c:pt idx="20">
                  <c:v>0.0482909213067944</c:v>
                </c:pt>
                <c:pt idx="21">
                  <c:v>-0.0296426854670725</c:v>
                </c:pt>
                <c:pt idx="22">
                  <c:v>0.0408685601056802</c:v>
                </c:pt>
                <c:pt idx="23">
                  <c:v>0.0793210121361148</c:v>
                </c:pt>
                <c:pt idx="24">
                  <c:v>-0.0646725949878739</c:v>
                </c:pt>
                <c:pt idx="25">
                  <c:v>-0.0559440559440558</c:v>
                </c:pt>
                <c:pt idx="26">
                  <c:v>0.100208073241781</c:v>
                </c:pt>
                <c:pt idx="27">
                  <c:v>-0.0207277403737046</c:v>
                </c:pt>
                <c:pt idx="28">
                  <c:v>0.010583236770954</c:v>
                </c:pt>
                <c:pt idx="29">
                  <c:v>0.00343984100290484</c:v>
                </c:pt>
                <c:pt idx="30">
                  <c:v>-0.103679439323532</c:v>
                </c:pt>
                <c:pt idx="31">
                  <c:v>0.115672276049635</c:v>
                </c:pt>
                <c:pt idx="32">
                  <c:v>-0.0490591909804221</c:v>
                </c:pt>
                <c:pt idx="33">
                  <c:v>0.0427781783225185</c:v>
                </c:pt>
                <c:pt idx="34">
                  <c:v>0.0468617961127757</c:v>
                </c:pt>
                <c:pt idx="35">
                  <c:v>0.00902619798928583</c:v>
                </c:pt>
                <c:pt idx="36">
                  <c:v>-0.0563636363636364</c:v>
                </c:pt>
                <c:pt idx="37">
                  <c:v>0.058805394990366</c:v>
                </c:pt>
                <c:pt idx="38">
                  <c:v>0.233440093172223</c:v>
                </c:pt>
                <c:pt idx="39">
                  <c:v>-0.0440247860725876</c:v>
                </c:pt>
                <c:pt idx="40">
                  <c:v>-0.0289524044694117</c:v>
                </c:pt>
                <c:pt idx="41">
                  <c:v>0.0609027336300063</c:v>
                </c:pt>
                <c:pt idx="42">
                  <c:v>-0.00155800575263654</c:v>
                </c:pt>
                <c:pt idx="43">
                  <c:v>-0.0747809386628257</c:v>
                </c:pt>
                <c:pt idx="44">
                  <c:v>-0.0363258951738453</c:v>
                </c:pt>
                <c:pt idx="45">
                  <c:v>-0.0514943457189015</c:v>
                </c:pt>
                <c:pt idx="46">
                  <c:v>0.0308707685756866</c:v>
                </c:pt>
                <c:pt idx="47">
                  <c:v>0.117788792509982</c:v>
                </c:pt>
                <c:pt idx="48">
                  <c:v>0.00381843936687809</c:v>
                </c:pt>
                <c:pt idx="49">
                  <c:v>-0.0212896496717589</c:v>
                </c:pt>
                <c:pt idx="50">
                  <c:v>-0.158538114343029</c:v>
                </c:pt>
                <c:pt idx="51">
                  <c:v>0.224018475750578</c:v>
                </c:pt>
                <c:pt idx="52">
                  <c:v>0.0236762020693853</c:v>
                </c:pt>
                <c:pt idx="53">
                  <c:v>0.00927522444854034</c:v>
                </c:pt>
                <c:pt idx="54">
                  <c:v>0.0228571428571429</c:v>
                </c:pt>
                <c:pt idx="55">
                  <c:v>0.0274146172896388</c:v>
                </c:pt>
                <c:pt idx="56">
                  <c:v>-0.00874488480295965</c:v>
                </c:pt>
                <c:pt idx="57">
                  <c:v>-0.0382853588192049</c:v>
                </c:pt>
                <c:pt idx="58">
                  <c:v>-0.0236387157473833</c:v>
                </c:pt>
                <c:pt idx="59">
                  <c:v>0.0871476752589737</c:v>
                </c:pt>
                <c:pt idx="60">
                  <c:v>-0.102376599634369</c:v>
                </c:pt>
                <c:pt idx="61">
                  <c:v>-0.00370301795963712</c:v>
                </c:pt>
                <c:pt idx="62">
                  <c:v>-0.0130706807904356</c:v>
                </c:pt>
                <c:pt idx="63">
                  <c:v>0.107644991212654</c:v>
                </c:pt>
                <c:pt idx="64">
                  <c:v>0.252167507225024</c:v>
                </c:pt>
                <c:pt idx="65">
                  <c:v>-0.0178304747250758</c:v>
                </c:pt>
                <c:pt idx="66">
                  <c:v>0.097866654379579</c:v>
                </c:pt>
                <c:pt idx="67">
                  <c:v>-0.038066059512318</c:v>
                </c:pt>
                <c:pt idx="68">
                  <c:v>-0.0354275741710296</c:v>
                </c:pt>
                <c:pt idx="69">
                  <c:v>0.0585308485616067</c:v>
                </c:pt>
                <c:pt idx="70">
                  <c:v>0.0305956755832835</c:v>
                </c:pt>
                <c:pt idx="71">
                  <c:v>-0.0957376233518534</c:v>
                </c:pt>
                <c:pt idx="72">
                  <c:v>0.0162318308955018</c:v>
                </c:pt>
                <c:pt idx="73">
                  <c:v>0.0363669178360331</c:v>
                </c:pt>
                <c:pt idx="74">
                  <c:v>-0.0617353824720276</c:v>
                </c:pt>
                <c:pt idx="75">
                  <c:v>-0.0879309544800705</c:v>
                </c:pt>
                <c:pt idx="76">
                  <c:v>-0.0223850223850224</c:v>
                </c:pt>
                <c:pt idx="77">
                  <c:v>0.00296627810158201</c:v>
                </c:pt>
                <c:pt idx="78">
                  <c:v>-0.0169148549784672</c:v>
                </c:pt>
                <c:pt idx="79">
                  <c:v>-0.117591175383966</c:v>
                </c:pt>
                <c:pt idx="80">
                  <c:v>-0.134996112207668</c:v>
                </c:pt>
                <c:pt idx="81">
                  <c:v>0.243673074263587</c:v>
                </c:pt>
                <c:pt idx="82">
                  <c:v>-0.0601579005893473</c:v>
                </c:pt>
                <c:pt idx="83">
                  <c:v>0.124704212020823</c:v>
                </c:pt>
                <c:pt idx="84">
                  <c:v>0.0589101620029455</c:v>
                </c:pt>
                <c:pt idx="85">
                  <c:v>0.0224021458374728</c:v>
                </c:pt>
                <c:pt idx="86">
                  <c:v>0.0979934897731136</c:v>
                </c:pt>
                <c:pt idx="87">
                  <c:v>0.00048672566371688</c:v>
                </c:pt>
                <c:pt idx="88">
                  <c:v>0.0583786652514262</c:v>
                </c:pt>
                <c:pt idx="89">
                  <c:v>0.0200576657891438</c:v>
                </c:pt>
                <c:pt idx="90">
                  <c:v>0.00716889926672404</c:v>
                </c:pt>
                <c:pt idx="91">
                  <c:v>0.00756528105425836</c:v>
                </c:pt>
                <c:pt idx="92">
                  <c:v>0.077426126271597</c:v>
                </c:pt>
                <c:pt idx="93">
                  <c:v>0.0216560509554142</c:v>
                </c:pt>
                <c:pt idx="94">
                  <c:v>-0.0028971688425995</c:v>
                </c:pt>
                <c:pt idx="95">
                  <c:v>0.0326602670197507</c:v>
                </c:pt>
                <c:pt idx="96">
                  <c:v>0.0241478790469067</c:v>
                </c:pt>
                <c:pt idx="97">
                  <c:v>-0.00532081377151805</c:v>
                </c:pt>
                <c:pt idx="98">
                  <c:v>0.0565694706663871</c:v>
                </c:pt>
                <c:pt idx="99">
                  <c:v>0.00450033090668445</c:v>
                </c:pt>
                <c:pt idx="100">
                  <c:v>-0.0402885755699038</c:v>
                </c:pt>
                <c:pt idx="101">
                  <c:v>0.0115333127381321</c:v>
                </c:pt>
                <c:pt idx="102">
                  <c:v>0.126098612100852</c:v>
                </c:pt>
                <c:pt idx="103">
                  <c:v>0.0745818894078649</c:v>
                </c:pt>
                <c:pt idx="104">
                  <c:v>-0.0414750420639373</c:v>
                </c:pt>
                <c:pt idx="105">
                  <c:v>-0.028524618940347</c:v>
                </c:pt>
                <c:pt idx="106">
                  <c:v>0.0114738300307173</c:v>
                </c:pt>
                <c:pt idx="107">
                  <c:v>-0.040610950665436</c:v>
                </c:pt>
                <c:pt idx="108">
                  <c:v>0.0760947149551563</c:v>
                </c:pt>
                <c:pt idx="109">
                  <c:v>0.0137563085796684</c:v>
                </c:pt>
                <c:pt idx="110">
                  <c:v>0.0437528447883477</c:v>
                </c:pt>
                <c:pt idx="111">
                  <c:v>-0.0546470427909511</c:v>
                </c:pt>
                <c:pt idx="112">
                  <c:v>-0.0199509874585556</c:v>
                </c:pt>
                <c:pt idx="113">
                  <c:v>-0.00658959197481834</c:v>
                </c:pt>
                <c:pt idx="114">
                  <c:v>0.184488732269241</c:v>
                </c:pt>
                <c:pt idx="115">
                  <c:v>-0.0315757893947348</c:v>
                </c:pt>
                <c:pt idx="116">
                  <c:v>-0.0776796778190831</c:v>
                </c:pt>
                <c:pt idx="117">
                  <c:v>-0.0543566490329441</c:v>
                </c:pt>
                <c:pt idx="118">
                  <c:v>0.0365546840313749</c:v>
                </c:pt>
                <c:pt idx="119">
                  <c:v>-0.0128212450028555</c:v>
                </c:pt>
                <c:pt idx="120">
                  <c:v>-0.00760753232478084</c:v>
                </c:pt>
                <c:pt idx="121">
                  <c:v>0.0195289728343244</c:v>
                </c:pt>
                <c:pt idx="122">
                  <c:v>-0.0899994282120189</c:v>
                </c:pt>
                <c:pt idx="123">
                  <c:v>0.0351240967640591</c:v>
                </c:pt>
                <c:pt idx="124">
                  <c:v>0.00491683865485015</c:v>
                </c:pt>
                <c:pt idx="125">
                  <c:v>-0.0232860163092722</c:v>
                </c:pt>
                <c:pt idx="126">
                  <c:v>0.0230062772503787</c:v>
                </c:pt>
                <c:pt idx="127">
                  <c:v>-0.0393857872623401</c:v>
                </c:pt>
                <c:pt idx="128">
                  <c:v>0.0342039018250473</c:v>
                </c:pt>
                <c:pt idx="129">
                  <c:v>-0.0251924422673199</c:v>
                </c:pt>
                <c:pt idx="130">
                  <c:v>-0.0361434501701051</c:v>
                </c:pt>
                <c:pt idx="131">
                  <c:v>-0.0296298694990447</c:v>
                </c:pt>
                <c:pt idx="132">
                  <c:v>0.0461189347927651</c:v>
                </c:pt>
                <c:pt idx="133">
                  <c:v>0.181223682531581</c:v>
                </c:pt>
                <c:pt idx="134">
                  <c:v>0.0941694347673445</c:v>
                </c:pt>
                <c:pt idx="135">
                  <c:v>0.0398854773422845</c:v>
                </c:pt>
                <c:pt idx="136">
                  <c:v>-0.00348903446311588</c:v>
                </c:pt>
                <c:pt idx="137">
                  <c:v>0.0206978682862926</c:v>
                </c:pt>
                <c:pt idx="138">
                  <c:v>-0.011177486348999</c:v>
                </c:pt>
                <c:pt idx="139">
                  <c:v>-0.0260058997050147</c:v>
                </c:pt>
                <c:pt idx="140">
                  <c:v>0.0787924308870205</c:v>
                </c:pt>
                <c:pt idx="141">
                  <c:v>-0.136619876473891</c:v>
                </c:pt>
                <c:pt idx="142">
                  <c:v>-0.00949482337027219</c:v>
                </c:pt>
                <c:pt idx="143">
                  <c:v>0.0766341886178008</c:v>
                </c:pt>
                <c:pt idx="144">
                  <c:v>-0.111208683985852</c:v>
                </c:pt>
                <c:pt idx="145">
                  <c:v>-0.012542540344714</c:v>
                </c:pt>
                <c:pt idx="146">
                  <c:v>0.109647294254982</c:v>
                </c:pt>
                <c:pt idx="147">
                  <c:v>-0.0728383929465984</c:v>
                </c:pt>
                <c:pt idx="148">
                  <c:v>0.029905986600389</c:v>
                </c:pt>
                <c:pt idx="149">
                  <c:v>0.019253469034441</c:v>
                </c:pt>
                <c:pt idx="150">
                  <c:v>0.0988496281236329</c:v>
                </c:pt>
                <c:pt idx="151">
                  <c:v>-0.0812684434868145</c:v>
                </c:pt>
                <c:pt idx="152">
                  <c:v>-0.0624553890078515</c:v>
                </c:pt>
                <c:pt idx="153">
                  <c:v>0.000924465713198153</c:v>
                </c:pt>
                <c:pt idx="154">
                  <c:v>-0.0295284146473976</c:v>
                </c:pt>
                <c:pt idx="155">
                  <c:v>0.0114205738278517</c:v>
                </c:pt>
                <c:pt idx="156">
                  <c:v>-0.0120942075111394</c:v>
                </c:pt>
                <c:pt idx="157">
                  <c:v>-0.0116259524876736</c:v>
                </c:pt>
                <c:pt idx="158">
                  <c:v>-0.00918341316856097</c:v>
                </c:pt>
                <c:pt idx="159">
                  <c:v>0.0238292759676173</c:v>
                </c:pt>
              </c:numCache>
            </c:numRef>
          </c:val>
        </c:ser>
        <c:gapWidth val="150"/>
        <c:overlap val="0"/>
        <c:axId val="63264325"/>
        <c:axId val="18197461"/>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(Calc)'!$Z$3:$Z$500</c:f>
              <c:numCache>
                <c:formatCode>#,##0.00</c:formatCode>
                <c:ptCount val="498"/>
                <c:pt idx="0">
                  <c:v>82</c:v>
                </c:pt>
                <c:pt idx="1">
                  <c:v>81.4842767295598</c:v>
                </c:pt>
                <c:pt idx="2">
                  <c:v>80.9685534591195</c:v>
                </c:pt>
                <c:pt idx="3">
                  <c:v>80.4528301886792</c:v>
                </c:pt>
                <c:pt idx="4">
                  <c:v>79.937106918239</c:v>
                </c:pt>
                <c:pt idx="5">
                  <c:v>79.4213836477988</c:v>
                </c:pt>
                <c:pt idx="6">
                  <c:v>78.9056603773585</c:v>
                </c:pt>
                <c:pt idx="7">
                  <c:v>78.3899371069182</c:v>
                </c:pt>
                <c:pt idx="8">
                  <c:v>77.874213836478</c:v>
                </c:pt>
                <c:pt idx="9">
                  <c:v>77.3584905660377</c:v>
                </c:pt>
                <c:pt idx="10">
                  <c:v>76.8427672955975</c:v>
                </c:pt>
                <c:pt idx="11">
                  <c:v>76.3270440251572</c:v>
                </c:pt>
                <c:pt idx="12">
                  <c:v>75.811320754717</c:v>
                </c:pt>
                <c:pt idx="13">
                  <c:v>75.2955974842767</c:v>
                </c:pt>
                <c:pt idx="14">
                  <c:v>74.7798742138365</c:v>
                </c:pt>
                <c:pt idx="15">
                  <c:v>74.2641509433962</c:v>
                </c:pt>
                <c:pt idx="16">
                  <c:v>73.748427672956</c:v>
                </c:pt>
                <c:pt idx="17">
                  <c:v>73.2327044025157</c:v>
                </c:pt>
                <c:pt idx="18">
                  <c:v>72.7169811320755</c:v>
                </c:pt>
                <c:pt idx="19">
                  <c:v>72.2012578616352</c:v>
                </c:pt>
                <c:pt idx="20">
                  <c:v>71.685534591195</c:v>
                </c:pt>
                <c:pt idx="21">
                  <c:v>71.1698113207547</c:v>
                </c:pt>
                <c:pt idx="22">
                  <c:v>70.6540880503145</c:v>
                </c:pt>
                <c:pt idx="23">
                  <c:v>70.1383647798742</c:v>
                </c:pt>
                <c:pt idx="24">
                  <c:v>69.622641509434</c:v>
                </c:pt>
                <c:pt idx="25">
                  <c:v>69.1069182389937</c:v>
                </c:pt>
                <c:pt idx="26">
                  <c:v>68.5911949685535</c:v>
                </c:pt>
                <c:pt idx="27">
                  <c:v>68.0754716981132</c:v>
                </c:pt>
                <c:pt idx="28">
                  <c:v>67.559748427673</c:v>
                </c:pt>
                <c:pt idx="29">
                  <c:v>67.0440251572327</c:v>
                </c:pt>
                <c:pt idx="30">
                  <c:v>66.5283018867925</c:v>
                </c:pt>
                <c:pt idx="31">
                  <c:v>66.0125786163522</c:v>
                </c:pt>
                <c:pt idx="32">
                  <c:v>65.496855345912</c:v>
                </c:pt>
                <c:pt idx="33">
                  <c:v>64.9811320754717</c:v>
                </c:pt>
                <c:pt idx="34">
                  <c:v>64.4654088050314</c:v>
                </c:pt>
                <c:pt idx="35">
                  <c:v>63.9496855345912</c:v>
                </c:pt>
                <c:pt idx="36">
                  <c:v>63.4339622641509</c:v>
                </c:pt>
                <c:pt idx="37">
                  <c:v>62.9182389937107</c:v>
                </c:pt>
                <c:pt idx="38">
                  <c:v>62.4025157232704</c:v>
                </c:pt>
                <c:pt idx="39">
                  <c:v>61.8867924528302</c:v>
                </c:pt>
                <c:pt idx="40">
                  <c:v>61.3710691823899</c:v>
                </c:pt>
                <c:pt idx="41">
                  <c:v>60.8553459119497</c:v>
                </c:pt>
                <c:pt idx="42">
                  <c:v>60.3396226415094</c:v>
                </c:pt>
                <c:pt idx="43">
                  <c:v>59.8238993710692</c:v>
                </c:pt>
                <c:pt idx="44">
                  <c:v>59.3081761006289</c:v>
                </c:pt>
                <c:pt idx="45">
                  <c:v>58.7924528301887</c:v>
                </c:pt>
                <c:pt idx="46">
                  <c:v>58.2767295597484</c:v>
                </c:pt>
                <c:pt idx="47">
                  <c:v>57.7610062893082</c:v>
                </c:pt>
                <c:pt idx="48">
                  <c:v>57.2452830188679</c:v>
                </c:pt>
                <c:pt idx="49">
                  <c:v>56.7295597484277</c:v>
                </c:pt>
                <c:pt idx="50">
                  <c:v>56.2138364779874</c:v>
                </c:pt>
                <c:pt idx="51">
                  <c:v>55.6981132075472</c:v>
                </c:pt>
                <c:pt idx="52">
                  <c:v>55.1823899371069</c:v>
                </c:pt>
                <c:pt idx="53">
                  <c:v>54.6666666666667</c:v>
                </c:pt>
                <c:pt idx="54">
                  <c:v>54.1509433962264</c:v>
                </c:pt>
                <c:pt idx="55">
                  <c:v>53.6352201257862</c:v>
                </c:pt>
                <c:pt idx="56">
                  <c:v>53.1194968553459</c:v>
                </c:pt>
                <c:pt idx="57">
                  <c:v>52.6037735849057</c:v>
                </c:pt>
                <c:pt idx="58">
                  <c:v>52.0880503144654</c:v>
                </c:pt>
                <c:pt idx="59">
                  <c:v>51.5723270440252</c:v>
                </c:pt>
                <c:pt idx="60">
                  <c:v>51.0566037735849</c:v>
                </c:pt>
                <c:pt idx="61">
                  <c:v>50.5408805031447</c:v>
                </c:pt>
                <c:pt idx="62">
                  <c:v>50.0251572327044</c:v>
                </c:pt>
                <c:pt idx="63">
                  <c:v>49.5094339622642</c:v>
                </c:pt>
                <c:pt idx="64">
                  <c:v>48.9937106918239</c:v>
                </c:pt>
                <c:pt idx="65">
                  <c:v>48.4779874213836</c:v>
                </c:pt>
                <c:pt idx="66">
                  <c:v>47.9622641509434</c:v>
                </c:pt>
                <c:pt idx="67">
                  <c:v>47.4465408805031</c:v>
                </c:pt>
                <c:pt idx="68">
                  <c:v>46.9308176100629</c:v>
                </c:pt>
                <c:pt idx="69">
                  <c:v>46.4150943396226</c:v>
                </c:pt>
                <c:pt idx="70">
                  <c:v>45.8993710691824</c:v>
                </c:pt>
                <c:pt idx="71">
                  <c:v>45.3836477987421</c:v>
                </c:pt>
                <c:pt idx="72">
                  <c:v>44.8679245283019</c:v>
                </c:pt>
                <c:pt idx="73">
                  <c:v>44.3522012578616</c:v>
                </c:pt>
                <c:pt idx="74">
                  <c:v>43.8364779874214</c:v>
                </c:pt>
                <c:pt idx="75">
                  <c:v>43.3207547169811</c:v>
                </c:pt>
                <c:pt idx="76">
                  <c:v>42.8050314465409</c:v>
                </c:pt>
                <c:pt idx="77">
                  <c:v>42.2893081761006</c:v>
                </c:pt>
                <c:pt idx="78">
                  <c:v>41.7735849056604</c:v>
                </c:pt>
                <c:pt idx="79">
                  <c:v>41.2578616352201</c:v>
                </c:pt>
                <c:pt idx="80">
                  <c:v>40.7421383647799</c:v>
                </c:pt>
                <c:pt idx="81">
                  <c:v>40.2264150943396</c:v>
                </c:pt>
                <c:pt idx="82">
                  <c:v>39.7106918238994</c:v>
                </c:pt>
                <c:pt idx="83">
                  <c:v>39.1949685534591</c:v>
                </c:pt>
                <c:pt idx="84">
                  <c:v>38.6792452830189</c:v>
                </c:pt>
                <c:pt idx="85">
                  <c:v>38.1635220125786</c:v>
                </c:pt>
                <c:pt idx="86">
                  <c:v>37.6477987421384</c:v>
                </c:pt>
                <c:pt idx="87">
                  <c:v>37.1320754716981</c:v>
                </c:pt>
                <c:pt idx="88">
                  <c:v>36.6163522012579</c:v>
                </c:pt>
                <c:pt idx="89">
                  <c:v>36.1006289308176</c:v>
                </c:pt>
                <c:pt idx="90">
                  <c:v>35.5849056603774</c:v>
                </c:pt>
                <c:pt idx="91">
                  <c:v>35.0691823899371</c:v>
                </c:pt>
                <c:pt idx="92">
                  <c:v>34.5534591194969</c:v>
                </c:pt>
                <c:pt idx="93">
                  <c:v>34.0377358490566</c:v>
                </c:pt>
                <c:pt idx="94">
                  <c:v>33.5220125786164</c:v>
                </c:pt>
                <c:pt idx="95">
                  <c:v>33.0062893081761</c:v>
                </c:pt>
                <c:pt idx="96">
                  <c:v>32.4905660377358</c:v>
                </c:pt>
                <c:pt idx="97">
                  <c:v>31.9748427672956</c:v>
                </c:pt>
                <c:pt idx="98">
                  <c:v>31.4591194968553</c:v>
                </c:pt>
                <c:pt idx="99">
                  <c:v>30.9433962264151</c:v>
                </c:pt>
                <c:pt idx="100">
                  <c:v>30.4276729559748</c:v>
                </c:pt>
                <c:pt idx="101">
                  <c:v>29.9119496855346</c:v>
                </c:pt>
                <c:pt idx="102">
                  <c:v>29.3962264150943</c:v>
                </c:pt>
                <c:pt idx="103">
                  <c:v>28.8805031446541</c:v>
                </c:pt>
                <c:pt idx="104">
                  <c:v>28.3647798742138</c:v>
                </c:pt>
                <c:pt idx="105">
                  <c:v>27.8490566037736</c:v>
                </c:pt>
                <c:pt idx="106">
                  <c:v>27.3333333333333</c:v>
                </c:pt>
                <c:pt idx="107">
                  <c:v>26.8176100628931</c:v>
                </c:pt>
                <c:pt idx="108">
                  <c:v>26.3018867924528</c:v>
                </c:pt>
                <c:pt idx="109">
                  <c:v>25.7861635220126</c:v>
                </c:pt>
                <c:pt idx="110">
                  <c:v>25.2704402515723</c:v>
                </c:pt>
                <c:pt idx="111">
                  <c:v>24.7547169811321</c:v>
                </c:pt>
                <c:pt idx="112">
                  <c:v>24.2389937106918</c:v>
                </c:pt>
                <c:pt idx="113">
                  <c:v>23.7232704402516</c:v>
                </c:pt>
                <c:pt idx="114">
                  <c:v>23.2075471698113</c:v>
                </c:pt>
                <c:pt idx="115">
                  <c:v>22.6918238993711</c:v>
                </c:pt>
                <c:pt idx="116">
                  <c:v>22.1761006289308</c:v>
                </c:pt>
                <c:pt idx="117">
                  <c:v>21.6603773584906</c:v>
                </c:pt>
                <c:pt idx="118">
                  <c:v>21.1446540880503</c:v>
                </c:pt>
                <c:pt idx="119">
                  <c:v>20.6289308176101</c:v>
                </c:pt>
                <c:pt idx="120">
                  <c:v>20.1132075471698</c:v>
                </c:pt>
                <c:pt idx="121">
                  <c:v>19.5974842767296</c:v>
                </c:pt>
                <c:pt idx="122">
                  <c:v>19.0817610062893</c:v>
                </c:pt>
                <c:pt idx="123">
                  <c:v>18.5660377358491</c:v>
                </c:pt>
                <c:pt idx="124">
                  <c:v>18.0503144654088</c:v>
                </c:pt>
                <c:pt idx="125">
                  <c:v>17.5345911949686</c:v>
                </c:pt>
                <c:pt idx="126">
                  <c:v>17.0188679245283</c:v>
                </c:pt>
                <c:pt idx="127">
                  <c:v>16.503144654088</c:v>
                </c:pt>
                <c:pt idx="128">
                  <c:v>15.9874213836478</c:v>
                </c:pt>
                <c:pt idx="129">
                  <c:v>15.4716981132076</c:v>
                </c:pt>
                <c:pt idx="130">
                  <c:v>14.9559748427673</c:v>
                </c:pt>
                <c:pt idx="131">
                  <c:v>14.440251572327</c:v>
                </c:pt>
                <c:pt idx="132">
                  <c:v>13.9245283018868</c:v>
                </c:pt>
                <c:pt idx="133">
                  <c:v>13.4088050314465</c:v>
                </c:pt>
                <c:pt idx="134">
                  <c:v>12.8930817610063</c:v>
                </c:pt>
                <c:pt idx="135">
                  <c:v>12.377358490566</c:v>
                </c:pt>
                <c:pt idx="136">
                  <c:v>11.8616352201258</c:v>
                </c:pt>
                <c:pt idx="137">
                  <c:v>11.3459119496855</c:v>
                </c:pt>
                <c:pt idx="138">
                  <c:v>10.8301886792453</c:v>
                </c:pt>
                <c:pt idx="139">
                  <c:v>10.314465408805</c:v>
                </c:pt>
                <c:pt idx="140">
                  <c:v>9.79874213836477</c:v>
                </c:pt>
                <c:pt idx="141">
                  <c:v>9.28301886792453</c:v>
                </c:pt>
                <c:pt idx="142">
                  <c:v>8.76729559748428</c:v>
                </c:pt>
                <c:pt idx="143">
                  <c:v>8.25157232704403</c:v>
                </c:pt>
                <c:pt idx="144">
                  <c:v>7.73584905660377</c:v>
                </c:pt>
                <c:pt idx="145">
                  <c:v>7.22012578616352</c:v>
                </c:pt>
                <c:pt idx="146">
                  <c:v>6.70440251572327</c:v>
                </c:pt>
                <c:pt idx="147">
                  <c:v>6.18867924528301</c:v>
                </c:pt>
                <c:pt idx="148">
                  <c:v>5.67295597484277</c:v>
                </c:pt>
                <c:pt idx="149">
                  <c:v>5.15723270440252</c:v>
                </c:pt>
                <c:pt idx="150">
                  <c:v>4.64150943396227</c:v>
                </c:pt>
                <c:pt idx="151">
                  <c:v>4.12578616352201</c:v>
                </c:pt>
                <c:pt idx="152">
                  <c:v>3.61006289308176</c:v>
                </c:pt>
                <c:pt idx="153">
                  <c:v>3.09433962264151</c:v>
                </c:pt>
                <c:pt idx="154">
                  <c:v>2.57861635220125</c:v>
                </c:pt>
                <c:pt idx="155">
                  <c:v>2.062893081761</c:v>
                </c:pt>
                <c:pt idx="156">
                  <c:v>1.54716981132076</c:v>
                </c:pt>
                <c:pt idx="157">
                  <c:v>1.03144654088051</c:v>
                </c:pt>
                <c:pt idx="158">
                  <c:v>0.515723270440248</c:v>
                </c:pt>
                <c:pt idx="159">
                  <c:v>0</c:v>
                </c:pt>
              </c:numCache>
            </c:numRef>
          </c:val>
          <c:smooth val="0"/>
        </c:ser>
        <c:hiLowLines>
          <c:spPr>
            <a:ln w="0">
              <a:noFill/>
            </a:ln>
          </c:spPr>
        </c:hiLowLines>
        <c:marker val="0"/>
        <c:axId val="16786608"/>
        <c:axId val="63133930"/>
      </c:lineChart>
      <c:dateAx>
        <c:axId val="6326432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197461"/>
        <c:auto val="1"/>
        <c:lblOffset val="100"/>
        <c:baseTimeUnit val="days"/>
      </c:dateAx>
      <c:valAx>
        <c:axId val="1819746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264325"/>
        <c:crosses val="autoZero"/>
        <c:crossBetween val="between"/>
      </c:valAx>
      <c:dateAx>
        <c:axId val="1678660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133930"/>
        <c:auto val="1"/>
        <c:lblOffset val="100"/>
        <c:baseTimeUnit val="days"/>
      </c:dateAx>
      <c:valAx>
        <c:axId val="6313393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678660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(Calc)'!$F$3:$F$500</c:f>
              <c:numCache>
                <c:formatCode>0.0%</c:formatCode>
                <c:ptCount val="498"/>
                <c:pt idx="0">
                  <c:v>-0.0292125879697251</c:v>
                </c:pt>
                <c:pt idx="1">
                  <c:v>0.0164136233073451</c:v>
                </c:pt>
                <c:pt idx="2">
                  <c:v>-0.0301439913874312</c:v>
                </c:pt>
                <c:pt idx="3">
                  <c:v>0.00263632579436668</c:v>
                </c:pt>
                <c:pt idx="4">
                  <c:v>-0.0167450871851648</c:v>
                </c:pt>
                <c:pt idx="5">
                  <c:v>-0.0154820548909218</c:v>
                </c:pt>
                <c:pt idx="6">
                  <c:v>0.0716225875625445</c:v>
                </c:pt>
                <c:pt idx="7">
                  <c:v>-0.0341515474919956</c:v>
                </c:pt>
                <c:pt idx="8">
                  <c:v>0.055524861878453</c:v>
                </c:pt>
                <c:pt idx="9">
                  <c:v>0.000130855796911966</c:v>
                </c:pt>
                <c:pt idx="10">
                  <c:v>0.0334947010336253</c:v>
                </c:pt>
                <c:pt idx="11">
                  <c:v>0.00835548803646047</c:v>
                </c:pt>
                <c:pt idx="12">
                  <c:v>0.0548650345260513</c:v>
                </c:pt>
                <c:pt idx="13">
                  <c:v>0.0277314925017853</c:v>
                </c:pt>
                <c:pt idx="14">
                  <c:v>-0.00370584829183551</c:v>
                </c:pt>
                <c:pt idx="15">
                  <c:v>-0.0259211902824597</c:v>
                </c:pt>
                <c:pt idx="16">
                  <c:v>-0.0113365155131265</c:v>
                </c:pt>
                <c:pt idx="17">
                  <c:v>0.0030175015087508</c:v>
                </c:pt>
                <c:pt idx="18">
                  <c:v>0.023586040914561</c:v>
                </c:pt>
                <c:pt idx="19">
                  <c:v>-0.0186926875146956</c:v>
                </c:pt>
                <c:pt idx="20">
                  <c:v>0.00898526416676648</c:v>
                </c:pt>
                <c:pt idx="21">
                  <c:v>0.00712419852766555</c:v>
                </c:pt>
                <c:pt idx="22">
                  <c:v>-0.00330110822919105</c:v>
                </c:pt>
                <c:pt idx="23">
                  <c:v>0.0157321977762006</c:v>
                </c:pt>
                <c:pt idx="24">
                  <c:v>0.00116455106556423</c:v>
                </c:pt>
                <c:pt idx="25">
                  <c:v>-0.00849133418634407</c:v>
                </c:pt>
                <c:pt idx="26">
                  <c:v>0.0273345847020179</c:v>
                </c:pt>
                <c:pt idx="27">
                  <c:v>0.0286627840584677</c:v>
                </c:pt>
                <c:pt idx="28">
                  <c:v>-0.0215364120781527</c:v>
                </c:pt>
                <c:pt idx="29">
                  <c:v>-0.0308599954617653</c:v>
                </c:pt>
                <c:pt idx="30">
                  <c:v>-0.00901428236946844</c:v>
                </c:pt>
                <c:pt idx="31">
                  <c:v>0.0248080330773774</c:v>
                </c:pt>
                <c:pt idx="32">
                  <c:v>0.00680115273775228</c:v>
                </c:pt>
                <c:pt idx="33">
                  <c:v>0.0172887565834667</c:v>
                </c:pt>
                <c:pt idx="34">
                  <c:v>0.0110298255486776</c:v>
                </c:pt>
                <c:pt idx="35">
                  <c:v>-0.0148057441834576</c:v>
                </c:pt>
                <c:pt idx="36">
                  <c:v>0.0107344632768362</c:v>
                </c:pt>
                <c:pt idx="37">
                  <c:v>-0.0340972610396869</c:v>
                </c:pt>
                <c:pt idx="38">
                  <c:v>-0.0238425925925926</c:v>
                </c:pt>
                <c:pt idx="39">
                  <c:v>0.0107896608963718</c:v>
                </c:pt>
                <c:pt idx="40">
                  <c:v>0.0166568914956011</c:v>
                </c:pt>
                <c:pt idx="41">
                  <c:v>-0.0164993654090229</c:v>
                </c:pt>
                <c:pt idx="42">
                  <c:v>0.0557250117315815</c:v>
                </c:pt>
                <c:pt idx="43">
                  <c:v>0.0264473830425604</c:v>
                </c:pt>
                <c:pt idx="44">
                  <c:v>0.0362671863159034</c:v>
                </c:pt>
                <c:pt idx="45">
                  <c:v>-0.0714584203928124</c:v>
                </c:pt>
                <c:pt idx="46">
                  <c:v>-0.0176642664266425</c:v>
                </c:pt>
                <c:pt idx="47">
                  <c:v>0.0286336043981217</c:v>
                </c:pt>
                <c:pt idx="48">
                  <c:v>0.0310655828972275</c:v>
                </c:pt>
                <c:pt idx="49">
                  <c:v>0.000539956803455866</c:v>
                </c:pt>
                <c:pt idx="50">
                  <c:v>-0.0566648677819752</c:v>
                </c:pt>
                <c:pt idx="51">
                  <c:v>0.0288329519450801</c:v>
                </c:pt>
                <c:pt idx="52">
                  <c:v>0.0302491103202847</c:v>
                </c:pt>
                <c:pt idx="53">
                  <c:v>0.000431778929188331</c:v>
                </c:pt>
                <c:pt idx="54">
                  <c:v>0.00280535174794982</c:v>
                </c:pt>
                <c:pt idx="55">
                  <c:v>0.0119431891542932</c:v>
                </c:pt>
                <c:pt idx="56">
                  <c:v>0.0125465178096758</c:v>
                </c:pt>
                <c:pt idx="57">
                  <c:v>-0.0332878294655046</c:v>
                </c:pt>
                <c:pt idx="58">
                  <c:v>-0.00238974581794482</c:v>
                </c:pt>
                <c:pt idx="59">
                  <c:v>0.0886324041811846</c:v>
                </c:pt>
                <c:pt idx="60">
                  <c:v>-0.0194038807761552</c:v>
                </c:pt>
                <c:pt idx="61">
                  <c:v>0.036515707874337</c:v>
                </c:pt>
                <c:pt idx="62">
                  <c:v>0.00679000196811641</c:v>
                </c:pt>
                <c:pt idx="63">
                  <c:v>-0.0208190792688886</c:v>
                </c:pt>
                <c:pt idx="64">
                  <c:v>-0.0123777201038132</c:v>
                </c:pt>
                <c:pt idx="65">
                  <c:v>-0.0538710329492622</c:v>
                </c:pt>
                <c:pt idx="66">
                  <c:v>0.00395256916996045</c:v>
                </c:pt>
                <c:pt idx="67">
                  <c:v>0.00787401574803148</c:v>
                </c:pt>
                <c:pt idx="68">
                  <c:v>-0.0262880067567567</c:v>
                </c:pt>
                <c:pt idx="69">
                  <c:v>0.0488994904044235</c:v>
                </c:pt>
                <c:pt idx="70">
                  <c:v>0.0050651230101304</c:v>
                </c:pt>
                <c:pt idx="71">
                  <c:v>-0.0151187904967602</c:v>
                </c:pt>
                <c:pt idx="72">
                  <c:v>-0.0115914786967418</c:v>
                </c:pt>
                <c:pt idx="73">
                  <c:v>0.00306391970417308</c:v>
                </c:pt>
                <c:pt idx="74">
                  <c:v>-0.0365493996208132</c:v>
                </c:pt>
                <c:pt idx="75">
                  <c:v>-0.0112605225757079</c:v>
                </c:pt>
                <c:pt idx="76">
                  <c:v>-0.0448916408668731</c:v>
                </c:pt>
                <c:pt idx="77">
                  <c:v>-0.0187543412827043</c:v>
                </c:pt>
                <c:pt idx="78">
                  <c:v>0.00967437470504939</c:v>
                </c:pt>
                <c:pt idx="79">
                  <c:v>-0.00467398924982465</c:v>
                </c:pt>
                <c:pt idx="80">
                  <c:v>-0.104719417703686</c:v>
                </c:pt>
                <c:pt idx="81">
                  <c:v>0.0125885129819039</c:v>
                </c:pt>
                <c:pt idx="82">
                  <c:v>0.0186480186480187</c:v>
                </c:pt>
                <c:pt idx="83">
                  <c:v>0.0280956013221461</c:v>
                </c:pt>
                <c:pt idx="84">
                  <c:v>0.0338815382712996</c:v>
                </c:pt>
                <c:pt idx="85">
                  <c:v>0.011601483076187</c:v>
                </c:pt>
                <c:pt idx="86">
                  <c:v>0.0489477417829274</c:v>
                </c:pt>
                <c:pt idx="87">
                  <c:v>-0.0400135256988278</c:v>
                </c:pt>
                <c:pt idx="88">
                  <c:v>0.0117412234354819</c:v>
                </c:pt>
                <c:pt idx="89">
                  <c:v>0.0184518974120924</c:v>
                </c:pt>
                <c:pt idx="90">
                  <c:v>-0.00603919781221518</c:v>
                </c:pt>
                <c:pt idx="91">
                  <c:v>0.00171959188352622</c:v>
                </c:pt>
                <c:pt idx="92">
                  <c:v>0.0255207141222249</c:v>
                </c:pt>
                <c:pt idx="93">
                  <c:v>0.0416248186586319</c:v>
                </c:pt>
                <c:pt idx="94">
                  <c:v>-0.00128562245553898</c:v>
                </c:pt>
                <c:pt idx="95">
                  <c:v>-0.0118000429092469</c:v>
                </c:pt>
                <c:pt idx="96">
                  <c:v>0.0147633521493704</c:v>
                </c:pt>
                <c:pt idx="97">
                  <c:v>-0.0502781343602911</c:v>
                </c:pt>
                <c:pt idx="98">
                  <c:v>0.0233160621761657</c:v>
                </c:pt>
                <c:pt idx="99">
                  <c:v>0.0298293891029169</c:v>
                </c:pt>
                <c:pt idx="100">
                  <c:v>0.0397605814450619</c:v>
                </c:pt>
                <c:pt idx="101">
                  <c:v>0.00842927631578938</c:v>
                </c:pt>
                <c:pt idx="102">
                  <c:v>0.0109072375127421</c:v>
                </c:pt>
                <c:pt idx="103">
                  <c:v>-0.00796611878592324</c:v>
                </c:pt>
                <c:pt idx="104">
                  <c:v>0.00569221386460672</c:v>
                </c:pt>
                <c:pt idx="105">
                  <c:v>0.00303214069132807</c:v>
                </c:pt>
                <c:pt idx="106">
                  <c:v>0.00110842402257161</c:v>
                </c:pt>
                <c:pt idx="107">
                  <c:v>-0.054353296426774</c:v>
                </c:pt>
                <c:pt idx="108">
                  <c:v>0.0195848855774348</c:v>
                </c:pt>
                <c:pt idx="109">
                  <c:v>0.0294393986846226</c:v>
                </c:pt>
                <c:pt idx="110">
                  <c:v>-0.021194605009634</c:v>
                </c:pt>
                <c:pt idx="111">
                  <c:v>-0.000621632822213059</c:v>
                </c:pt>
                <c:pt idx="112">
                  <c:v>-0.00145137880986934</c:v>
                </c:pt>
                <c:pt idx="113">
                  <c:v>-0.00778654485049835</c:v>
                </c:pt>
                <c:pt idx="114">
                  <c:v>0.0443653866276028</c:v>
                </c:pt>
                <c:pt idx="115">
                  <c:v>0.0175333132952611</c:v>
                </c:pt>
                <c:pt idx="116">
                  <c:v>0.0214651437573847</c:v>
                </c:pt>
                <c:pt idx="117">
                  <c:v>-0.00906111432427215</c:v>
                </c:pt>
                <c:pt idx="118">
                  <c:v>-0.000875486381322954</c:v>
                </c:pt>
                <c:pt idx="119">
                  <c:v>-0.00554960568591167</c:v>
                </c:pt>
                <c:pt idx="120">
                  <c:v>0.0408263168200509</c:v>
                </c:pt>
                <c:pt idx="121">
                  <c:v>0.0110055498071677</c:v>
                </c:pt>
                <c:pt idx="122">
                  <c:v>-0.000186081131373417</c:v>
                </c:pt>
                <c:pt idx="123">
                  <c:v>0.00725851479620321</c:v>
                </c:pt>
                <c:pt idx="124">
                  <c:v>0.054138950480414</c:v>
                </c:pt>
                <c:pt idx="125">
                  <c:v>-0.002541630148992</c:v>
                </c:pt>
                <c:pt idx="126">
                  <c:v>0.00562340743344181</c:v>
                </c:pt>
                <c:pt idx="127">
                  <c:v>-0.0221930974224552</c:v>
                </c:pt>
                <c:pt idx="128">
                  <c:v>-0.0383343758377267</c:v>
                </c:pt>
                <c:pt idx="129">
                  <c:v>-0.0191414235272255</c:v>
                </c:pt>
                <c:pt idx="130">
                  <c:v>-0.00198938992042452</c:v>
                </c:pt>
                <c:pt idx="131">
                  <c:v>0.0296155671570955</c:v>
                </c:pt>
                <c:pt idx="132">
                  <c:v>0.0200977228726837</c:v>
                </c:pt>
                <c:pt idx="133">
                  <c:v>0.029733393583371</c:v>
                </c:pt>
                <c:pt idx="134">
                  <c:v>0.0243110408987186</c:v>
                </c:pt>
                <c:pt idx="135">
                  <c:v>0.0122525918944392</c:v>
                </c:pt>
                <c:pt idx="136">
                  <c:v>0.00837988826815628</c:v>
                </c:pt>
                <c:pt idx="137">
                  <c:v>-0.00100730294636109</c:v>
                </c:pt>
                <c:pt idx="138">
                  <c:v>-0.0215948239643728</c:v>
                </c:pt>
                <c:pt idx="139">
                  <c:v>0.0237031947784268</c:v>
                </c:pt>
                <c:pt idx="140">
                  <c:v>0.000167785234899354</c:v>
                </c:pt>
                <c:pt idx="141">
                  <c:v>-0.00293574903539673</c:v>
                </c:pt>
                <c:pt idx="142">
                  <c:v>0.0429040127870783</c:v>
                </c:pt>
                <c:pt idx="143">
                  <c:v>-0.0191175284342987</c:v>
                </c:pt>
                <c:pt idx="144">
                  <c:v>0.0240953947368421</c:v>
                </c:pt>
                <c:pt idx="145">
                  <c:v>-0.0114028748092829</c:v>
                </c:pt>
                <c:pt idx="146">
                  <c:v>0.00357403947689061</c:v>
                </c:pt>
                <c:pt idx="147">
                  <c:v>0.0112505058680696</c:v>
                </c:pt>
                <c:pt idx="148">
                  <c:v>-0.000560268929085894</c:v>
                </c:pt>
                <c:pt idx="149">
                  <c:v>0</c:v>
                </c:pt>
                <c:pt idx="150">
                  <c:v>0.0128133258588932</c:v>
                </c:pt>
                <c:pt idx="151">
                  <c:v>0.0145489048786274</c:v>
                </c:pt>
                <c:pt idx="152">
                  <c:v>-0.0176915283298261</c:v>
                </c:pt>
                <c:pt idx="153">
                  <c:v>-0.00698191050460184</c:v>
                </c:pt>
                <c:pt idx="154">
                  <c:v>0.0108660914030041</c:v>
                </c:pt>
                <c:pt idx="155">
                  <c:v>-0.0159658552007588</c:v>
                </c:pt>
                <c:pt idx="156">
                  <c:v>-0.0204016064257029</c:v>
                </c:pt>
                <c:pt idx="157">
                  <c:v>-0.0127090849458839</c:v>
                </c:pt>
                <c:pt idx="158">
                  <c:v>-0.00714226393156714</c:v>
                </c:pt>
                <c:pt idx="159">
                  <c:v>0.782517774989544</c:v>
                </c:pt>
              </c:numCache>
            </c:numRef>
          </c:val>
        </c:ser>
        <c:gapWidth val="150"/>
        <c:overlap val="0"/>
        <c:axId val="95407959"/>
        <c:axId val="77532075"/>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(Calc)'!$AA$3:$AA$500</c:f>
              <c:numCache>
                <c:formatCode>#,##0.00</c:formatCode>
                <c:ptCount val="498"/>
                <c:pt idx="0">
                  <c:v>75.31</c:v>
                </c:pt>
                <c:pt idx="1">
                  <c:v>74.8363522012579</c:v>
                </c:pt>
                <c:pt idx="2">
                  <c:v>74.3627044025157</c:v>
                </c:pt>
                <c:pt idx="3">
                  <c:v>73.8890566037736</c:v>
                </c:pt>
                <c:pt idx="4">
                  <c:v>73.4154088050315</c:v>
                </c:pt>
                <c:pt idx="5">
                  <c:v>72.9417610062893</c:v>
                </c:pt>
                <c:pt idx="6">
                  <c:v>72.4681132075472</c:v>
                </c:pt>
                <c:pt idx="7">
                  <c:v>71.994465408805</c:v>
                </c:pt>
                <c:pt idx="8">
                  <c:v>71.5208176100629</c:v>
                </c:pt>
                <c:pt idx="9">
                  <c:v>71.0471698113208</c:v>
                </c:pt>
                <c:pt idx="10">
                  <c:v>70.5735220125786</c:v>
                </c:pt>
                <c:pt idx="11">
                  <c:v>70.0998742138365</c:v>
                </c:pt>
                <c:pt idx="12">
                  <c:v>69.6262264150943</c:v>
                </c:pt>
                <c:pt idx="13">
                  <c:v>69.1525786163522</c:v>
                </c:pt>
                <c:pt idx="14">
                  <c:v>68.6789308176101</c:v>
                </c:pt>
                <c:pt idx="15">
                  <c:v>68.2052830188679</c:v>
                </c:pt>
                <c:pt idx="16">
                  <c:v>67.7316352201258</c:v>
                </c:pt>
                <c:pt idx="17">
                  <c:v>67.2579874213837</c:v>
                </c:pt>
                <c:pt idx="18">
                  <c:v>66.7843396226415</c:v>
                </c:pt>
                <c:pt idx="19">
                  <c:v>66.3106918238994</c:v>
                </c:pt>
                <c:pt idx="20">
                  <c:v>65.8370440251572</c:v>
                </c:pt>
                <c:pt idx="21">
                  <c:v>65.3633962264151</c:v>
                </c:pt>
                <c:pt idx="22">
                  <c:v>64.889748427673</c:v>
                </c:pt>
                <c:pt idx="23">
                  <c:v>64.4161006289308</c:v>
                </c:pt>
                <c:pt idx="24">
                  <c:v>63.9424528301887</c:v>
                </c:pt>
                <c:pt idx="25">
                  <c:v>63.4688050314465</c:v>
                </c:pt>
                <c:pt idx="26">
                  <c:v>62.9951572327044</c:v>
                </c:pt>
                <c:pt idx="27">
                  <c:v>62.5215094339623</c:v>
                </c:pt>
                <c:pt idx="28">
                  <c:v>62.0478616352201</c:v>
                </c:pt>
                <c:pt idx="29">
                  <c:v>61.574213836478</c:v>
                </c:pt>
                <c:pt idx="30">
                  <c:v>61.1005660377359</c:v>
                </c:pt>
                <c:pt idx="31">
                  <c:v>60.6269182389937</c:v>
                </c:pt>
                <c:pt idx="32">
                  <c:v>60.1532704402516</c:v>
                </c:pt>
                <c:pt idx="33">
                  <c:v>59.6796226415094</c:v>
                </c:pt>
                <c:pt idx="34">
                  <c:v>59.2059748427673</c:v>
                </c:pt>
                <c:pt idx="35">
                  <c:v>58.7323270440252</c:v>
                </c:pt>
                <c:pt idx="36">
                  <c:v>58.258679245283</c:v>
                </c:pt>
                <c:pt idx="37">
                  <c:v>57.7850314465409</c:v>
                </c:pt>
                <c:pt idx="38">
                  <c:v>57.3113836477987</c:v>
                </c:pt>
                <c:pt idx="39">
                  <c:v>56.8377358490566</c:v>
                </c:pt>
                <c:pt idx="40">
                  <c:v>56.3640880503145</c:v>
                </c:pt>
                <c:pt idx="41">
                  <c:v>55.8904402515723</c:v>
                </c:pt>
                <c:pt idx="42">
                  <c:v>55.4167924528302</c:v>
                </c:pt>
                <c:pt idx="43">
                  <c:v>54.9431446540881</c:v>
                </c:pt>
                <c:pt idx="44">
                  <c:v>54.4694968553459</c:v>
                </c:pt>
                <c:pt idx="45">
                  <c:v>53.9958490566038</c:v>
                </c:pt>
                <c:pt idx="46">
                  <c:v>53.5222012578616</c:v>
                </c:pt>
                <c:pt idx="47">
                  <c:v>53.0485534591195</c:v>
                </c:pt>
                <c:pt idx="48">
                  <c:v>52.5749056603774</c:v>
                </c:pt>
                <c:pt idx="49">
                  <c:v>52.1012578616352</c:v>
                </c:pt>
                <c:pt idx="50">
                  <c:v>51.6276100628931</c:v>
                </c:pt>
                <c:pt idx="51">
                  <c:v>51.153962264151</c:v>
                </c:pt>
                <c:pt idx="52">
                  <c:v>50.6803144654088</c:v>
                </c:pt>
                <c:pt idx="53">
                  <c:v>50.2066666666667</c:v>
                </c:pt>
                <c:pt idx="54">
                  <c:v>49.7330188679245</c:v>
                </c:pt>
                <c:pt idx="55">
                  <c:v>49.2593710691824</c:v>
                </c:pt>
                <c:pt idx="56">
                  <c:v>48.7857232704403</c:v>
                </c:pt>
                <c:pt idx="57">
                  <c:v>48.3120754716981</c:v>
                </c:pt>
                <c:pt idx="58">
                  <c:v>47.838427672956</c:v>
                </c:pt>
                <c:pt idx="59">
                  <c:v>47.3647798742138</c:v>
                </c:pt>
                <c:pt idx="60">
                  <c:v>46.8911320754717</c:v>
                </c:pt>
                <c:pt idx="61">
                  <c:v>46.4174842767296</c:v>
                </c:pt>
                <c:pt idx="62">
                  <c:v>45.9438364779874</c:v>
                </c:pt>
                <c:pt idx="63">
                  <c:v>45.4701886792453</c:v>
                </c:pt>
                <c:pt idx="64">
                  <c:v>44.9965408805032</c:v>
                </c:pt>
                <c:pt idx="65">
                  <c:v>44.522893081761</c:v>
                </c:pt>
                <c:pt idx="66">
                  <c:v>44.0492452830189</c:v>
                </c:pt>
                <c:pt idx="67">
                  <c:v>43.5755974842767</c:v>
                </c:pt>
                <c:pt idx="68">
                  <c:v>43.1019496855346</c:v>
                </c:pt>
                <c:pt idx="69">
                  <c:v>42.6283018867925</c:v>
                </c:pt>
                <c:pt idx="70">
                  <c:v>42.1546540880503</c:v>
                </c:pt>
                <c:pt idx="71">
                  <c:v>41.6810062893082</c:v>
                </c:pt>
                <c:pt idx="72">
                  <c:v>41.207358490566</c:v>
                </c:pt>
                <c:pt idx="73">
                  <c:v>40.7337106918239</c:v>
                </c:pt>
                <c:pt idx="74">
                  <c:v>40.2600628930818</c:v>
                </c:pt>
                <c:pt idx="75">
                  <c:v>39.7864150943396</c:v>
                </c:pt>
                <c:pt idx="76">
                  <c:v>39.3127672955975</c:v>
                </c:pt>
                <c:pt idx="77">
                  <c:v>38.8391194968553</c:v>
                </c:pt>
                <c:pt idx="78">
                  <c:v>38.3654716981132</c:v>
                </c:pt>
                <c:pt idx="79">
                  <c:v>37.8918238993711</c:v>
                </c:pt>
                <c:pt idx="80">
                  <c:v>37.4181761006289</c:v>
                </c:pt>
                <c:pt idx="81">
                  <c:v>36.9445283018868</c:v>
                </c:pt>
                <c:pt idx="82">
                  <c:v>36.4708805031447</c:v>
                </c:pt>
                <c:pt idx="83">
                  <c:v>35.9972327044025</c:v>
                </c:pt>
                <c:pt idx="84">
                  <c:v>35.5235849056604</c:v>
                </c:pt>
                <c:pt idx="85">
                  <c:v>35.0499371069182</c:v>
                </c:pt>
                <c:pt idx="86">
                  <c:v>34.5762893081761</c:v>
                </c:pt>
                <c:pt idx="87">
                  <c:v>34.102641509434</c:v>
                </c:pt>
                <c:pt idx="88">
                  <c:v>33.6289937106918</c:v>
                </c:pt>
                <c:pt idx="89">
                  <c:v>33.1553459119497</c:v>
                </c:pt>
                <c:pt idx="90">
                  <c:v>32.6816981132075</c:v>
                </c:pt>
                <c:pt idx="91">
                  <c:v>32.2080503144654</c:v>
                </c:pt>
                <c:pt idx="92">
                  <c:v>31.7344025157233</c:v>
                </c:pt>
                <c:pt idx="93">
                  <c:v>31.2607547169811</c:v>
                </c:pt>
                <c:pt idx="94">
                  <c:v>30.787106918239</c:v>
                </c:pt>
                <c:pt idx="95">
                  <c:v>30.3134591194969</c:v>
                </c:pt>
                <c:pt idx="96">
                  <c:v>29.8398113207547</c:v>
                </c:pt>
                <c:pt idx="97">
                  <c:v>29.3661635220126</c:v>
                </c:pt>
                <c:pt idx="98">
                  <c:v>28.8925157232704</c:v>
                </c:pt>
                <c:pt idx="99">
                  <c:v>28.4188679245283</c:v>
                </c:pt>
                <c:pt idx="100">
                  <c:v>27.9452201257862</c:v>
                </c:pt>
                <c:pt idx="101">
                  <c:v>27.471572327044</c:v>
                </c:pt>
                <c:pt idx="102">
                  <c:v>26.9979245283019</c:v>
                </c:pt>
                <c:pt idx="103">
                  <c:v>26.5242767295598</c:v>
                </c:pt>
                <c:pt idx="104">
                  <c:v>26.0506289308176</c:v>
                </c:pt>
                <c:pt idx="105">
                  <c:v>25.5769811320755</c:v>
                </c:pt>
                <c:pt idx="106">
                  <c:v>25.1033333333333</c:v>
                </c:pt>
                <c:pt idx="107">
                  <c:v>24.6296855345912</c:v>
                </c:pt>
                <c:pt idx="108">
                  <c:v>24.1560377358491</c:v>
                </c:pt>
                <c:pt idx="109">
                  <c:v>23.6823899371069</c:v>
                </c:pt>
                <c:pt idx="110">
                  <c:v>23.2087421383648</c:v>
                </c:pt>
                <c:pt idx="111">
                  <c:v>22.7350943396226</c:v>
                </c:pt>
                <c:pt idx="112">
                  <c:v>22.2614465408805</c:v>
                </c:pt>
                <c:pt idx="113">
                  <c:v>21.7877987421384</c:v>
                </c:pt>
                <c:pt idx="114">
                  <c:v>21.3141509433962</c:v>
                </c:pt>
                <c:pt idx="115">
                  <c:v>20.8405031446541</c:v>
                </c:pt>
                <c:pt idx="116">
                  <c:v>20.3668553459119</c:v>
                </c:pt>
                <c:pt idx="117">
                  <c:v>19.8932075471698</c:v>
                </c:pt>
                <c:pt idx="118">
                  <c:v>19.4195597484277</c:v>
                </c:pt>
                <c:pt idx="119">
                  <c:v>18.9459119496855</c:v>
                </c:pt>
                <c:pt idx="120">
                  <c:v>18.4722641509434</c:v>
                </c:pt>
                <c:pt idx="121">
                  <c:v>17.9986163522013</c:v>
                </c:pt>
                <c:pt idx="122">
                  <c:v>17.5249685534591</c:v>
                </c:pt>
                <c:pt idx="123">
                  <c:v>17.051320754717</c:v>
                </c:pt>
                <c:pt idx="124">
                  <c:v>16.5776729559748</c:v>
                </c:pt>
                <c:pt idx="125">
                  <c:v>16.1040251572327</c:v>
                </c:pt>
                <c:pt idx="126">
                  <c:v>15.6303773584906</c:v>
                </c:pt>
                <c:pt idx="127">
                  <c:v>15.1567295597484</c:v>
                </c:pt>
                <c:pt idx="128">
                  <c:v>14.6830817610063</c:v>
                </c:pt>
                <c:pt idx="129">
                  <c:v>14.2094339622642</c:v>
                </c:pt>
                <c:pt idx="130">
                  <c:v>13.735786163522</c:v>
                </c:pt>
                <c:pt idx="131">
                  <c:v>13.2621383647799</c:v>
                </c:pt>
                <c:pt idx="132">
                  <c:v>12.7884905660377</c:v>
                </c:pt>
                <c:pt idx="133">
                  <c:v>12.3148427672956</c:v>
                </c:pt>
                <c:pt idx="134">
                  <c:v>11.8411949685535</c:v>
                </c:pt>
                <c:pt idx="135">
                  <c:v>11.3675471698113</c:v>
                </c:pt>
                <c:pt idx="136">
                  <c:v>10.8938993710692</c:v>
                </c:pt>
                <c:pt idx="137">
                  <c:v>10.420251572327</c:v>
                </c:pt>
                <c:pt idx="138">
                  <c:v>9.9466037735849</c:v>
                </c:pt>
                <c:pt idx="139">
                  <c:v>9.47295597484276</c:v>
                </c:pt>
                <c:pt idx="140">
                  <c:v>8.99930817610063</c:v>
                </c:pt>
                <c:pt idx="141">
                  <c:v>8.52566037735849</c:v>
                </c:pt>
                <c:pt idx="142">
                  <c:v>8.05201257861636</c:v>
                </c:pt>
                <c:pt idx="143">
                  <c:v>7.57836477987422</c:v>
                </c:pt>
                <c:pt idx="144">
                  <c:v>7.10471698113209</c:v>
                </c:pt>
                <c:pt idx="145">
                  <c:v>6.63106918238994</c:v>
                </c:pt>
                <c:pt idx="146">
                  <c:v>6.1574213836478</c:v>
                </c:pt>
                <c:pt idx="147">
                  <c:v>5.68377358490567</c:v>
                </c:pt>
                <c:pt idx="148">
                  <c:v>5.21012578616352</c:v>
                </c:pt>
                <c:pt idx="149">
                  <c:v>4.73647798742138</c:v>
                </c:pt>
                <c:pt idx="150">
                  <c:v>4.26283018867925</c:v>
                </c:pt>
                <c:pt idx="151">
                  <c:v>3.78918238993711</c:v>
                </c:pt>
                <c:pt idx="152">
                  <c:v>3.31553459119496</c:v>
                </c:pt>
                <c:pt idx="153">
                  <c:v>2.84188679245283</c:v>
                </c:pt>
                <c:pt idx="154">
                  <c:v>2.36823899371069</c:v>
                </c:pt>
                <c:pt idx="155">
                  <c:v>1.89459119496856</c:v>
                </c:pt>
                <c:pt idx="156">
                  <c:v>1.42094339622642</c:v>
                </c:pt>
                <c:pt idx="157">
                  <c:v>0.947295597484285</c:v>
                </c:pt>
                <c:pt idx="158">
                  <c:v>0.473647798742149</c:v>
                </c:pt>
                <c:pt idx="159">
                  <c:v>0</c:v>
                </c:pt>
              </c:numCache>
            </c:numRef>
          </c:val>
          <c:smooth val="0"/>
        </c:ser>
        <c:hiLowLines>
          <c:spPr>
            <a:ln w="0">
              <a:noFill/>
            </a:ln>
          </c:spPr>
        </c:hiLowLines>
        <c:marker val="0"/>
        <c:axId val="52521793"/>
        <c:axId val="51072715"/>
      </c:lineChart>
      <c:dateAx>
        <c:axId val="9540795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532075"/>
        <c:auto val="1"/>
        <c:lblOffset val="100"/>
        <c:baseTimeUnit val="days"/>
      </c:dateAx>
      <c:valAx>
        <c:axId val="7753207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407959"/>
        <c:crosses val="autoZero"/>
        <c:crossBetween val="between"/>
      </c:valAx>
      <c:dateAx>
        <c:axId val="5252179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072715"/>
        <c:auto val="1"/>
        <c:lblOffset val="100"/>
        <c:baseTimeUnit val="days"/>
      </c:dateAx>
      <c:valAx>
        <c:axId val="5107271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52179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(Calc)'!$G$3:$G$500</c:f>
              <c:numCache>
                <c:formatCode>0.0%</c:formatCode>
                <c:ptCount val="498"/>
                <c:pt idx="0">
                  <c:v>-0.0174081237911025</c:v>
                </c:pt>
                <c:pt idx="1">
                  <c:v>0.0297736220472442</c:v>
                </c:pt>
                <c:pt idx="2">
                  <c:v>0.055436081242533</c:v>
                </c:pt>
                <c:pt idx="3">
                  <c:v>0.0511659497396422</c:v>
                </c:pt>
                <c:pt idx="4">
                  <c:v>-0.0374757699763084</c:v>
                </c:pt>
                <c:pt idx="5">
                  <c:v>-0.0331170284179906</c:v>
                </c:pt>
                <c:pt idx="6">
                  <c:v>0.0890997454292988</c:v>
                </c:pt>
                <c:pt idx="7">
                  <c:v>0.0429239269018273</c:v>
                </c:pt>
                <c:pt idx="8">
                  <c:v>0.0548084759576204</c:v>
                </c:pt>
                <c:pt idx="9">
                  <c:v>0.0173845856673749</c:v>
                </c:pt>
                <c:pt idx="10">
                  <c:v>0.115625593316879</c:v>
                </c:pt>
                <c:pt idx="11">
                  <c:v>0.0319945541184479</c:v>
                </c:pt>
                <c:pt idx="12">
                  <c:v>0.0722295514511873</c:v>
                </c:pt>
                <c:pt idx="13">
                  <c:v>-0.0170716702553061</c:v>
                </c:pt>
                <c:pt idx="14">
                  <c:v>-0.00125176028790486</c:v>
                </c:pt>
                <c:pt idx="15">
                  <c:v>-0.0307065643114524</c:v>
                </c:pt>
                <c:pt idx="16">
                  <c:v>0.144981412639405</c:v>
                </c:pt>
                <c:pt idx="17">
                  <c:v>0.0254093732354601</c:v>
                </c:pt>
                <c:pt idx="18">
                  <c:v>-0.000825991189427389</c:v>
                </c:pt>
                <c:pt idx="19">
                  <c:v>0.0456048498208874</c:v>
                </c:pt>
                <c:pt idx="20">
                  <c:v>0.0848596653050469</c:v>
                </c:pt>
                <c:pt idx="21">
                  <c:v>-0.000242924814769729</c:v>
                </c:pt>
                <c:pt idx="22">
                  <c:v>-0.0539424128295468</c:v>
                </c:pt>
                <c:pt idx="23">
                  <c:v>0.010016694490818</c:v>
                </c:pt>
                <c:pt idx="24">
                  <c:v>0.0261919898283534</c:v>
                </c:pt>
                <c:pt idx="25">
                  <c:v>-0.0223020691364143</c:v>
                </c:pt>
                <c:pt idx="26">
                  <c:v>0.037764541883158</c:v>
                </c:pt>
                <c:pt idx="27">
                  <c:v>-0.0212480156307241</c:v>
                </c:pt>
                <c:pt idx="28">
                  <c:v>-0.015845290081098</c:v>
                </c:pt>
                <c:pt idx="29">
                  <c:v>-0.0205375253549694</c:v>
                </c:pt>
                <c:pt idx="30">
                  <c:v>-0.0854258348433861</c:v>
                </c:pt>
                <c:pt idx="31">
                  <c:v>0.0758562128502689</c:v>
                </c:pt>
                <c:pt idx="32">
                  <c:v>0.0201262825572217</c:v>
                </c:pt>
                <c:pt idx="33">
                  <c:v>0.0340425531914894</c:v>
                </c:pt>
                <c:pt idx="34">
                  <c:v>0.0784387080683378</c:v>
                </c:pt>
                <c:pt idx="35">
                  <c:v>0.0160730804810361</c:v>
                </c:pt>
                <c:pt idx="36">
                  <c:v>-0.107545237282349</c:v>
                </c:pt>
                <c:pt idx="37">
                  <c:v>0.112981382300434</c:v>
                </c:pt>
                <c:pt idx="38">
                  <c:v>0.104032997250229</c:v>
                </c:pt>
                <c:pt idx="39">
                  <c:v>-0.0124533001245331</c:v>
                </c:pt>
                <c:pt idx="40">
                  <c:v>0.00672551492223628</c:v>
                </c:pt>
                <c:pt idx="41">
                  <c:v>0.016910229645094</c:v>
                </c:pt>
                <c:pt idx="42">
                  <c:v>-0.0471155820160132</c:v>
                </c:pt>
                <c:pt idx="43">
                  <c:v>-0.178713777873532</c:v>
                </c:pt>
                <c:pt idx="44">
                  <c:v>-0.160020986358867</c:v>
                </c:pt>
                <c:pt idx="45">
                  <c:v>-0.149437851342911</c:v>
                </c:pt>
                <c:pt idx="46">
                  <c:v>0.105562695061502</c:v>
                </c:pt>
                <c:pt idx="47">
                  <c:v>0.0900033211557623</c:v>
                </c:pt>
                <c:pt idx="48">
                  <c:v>0.0342778793418648</c:v>
                </c:pt>
                <c:pt idx="49">
                  <c:v>0.0210634850493445</c:v>
                </c:pt>
                <c:pt idx="50">
                  <c:v>-0.11136757068667</c:v>
                </c:pt>
                <c:pt idx="51">
                  <c:v>0.0516233766233767</c:v>
                </c:pt>
                <c:pt idx="52">
                  <c:v>0.157147267675208</c:v>
                </c:pt>
                <c:pt idx="53">
                  <c:v>-0.0466915688367129</c:v>
                </c:pt>
                <c:pt idx="54">
                  <c:v>0.0223901483347329</c:v>
                </c:pt>
                <c:pt idx="55">
                  <c:v>0.0956747878456064</c:v>
                </c:pt>
                <c:pt idx="56">
                  <c:v>-0.0313554028732042</c:v>
                </c:pt>
                <c:pt idx="57">
                  <c:v>-0.0308228011348981</c:v>
                </c:pt>
                <c:pt idx="58">
                  <c:v>0.00838323353293413</c:v>
                </c:pt>
                <c:pt idx="59">
                  <c:v>0.0888097123251519</c:v>
                </c:pt>
                <c:pt idx="60">
                  <c:v>0.020361168343231</c:v>
                </c:pt>
                <c:pt idx="61">
                  <c:v>0.10547570970424</c:v>
                </c:pt>
                <c:pt idx="62">
                  <c:v>-0.070699473514559</c:v>
                </c:pt>
                <c:pt idx="63">
                  <c:v>0.0568851890391953</c:v>
                </c:pt>
                <c:pt idx="64">
                  <c:v>0.00645443605732421</c:v>
                </c:pt>
                <c:pt idx="65">
                  <c:v>-0.0155434782608697</c:v>
                </c:pt>
                <c:pt idx="66">
                  <c:v>-0.0200949541790879</c:v>
                </c:pt>
                <c:pt idx="67">
                  <c:v>0.0112676056338028</c:v>
                </c:pt>
                <c:pt idx="68">
                  <c:v>-0.0283008356545962</c:v>
                </c:pt>
                <c:pt idx="69">
                  <c:v>0.0233918128654971</c:v>
                </c:pt>
                <c:pt idx="70">
                  <c:v>0.0501960784313726</c:v>
                </c:pt>
                <c:pt idx="71">
                  <c:v>0.0617731782780326</c:v>
                </c:pt>
                <c:pt idx="72">
                  <c:v>0.0590836012861737</c:v>
                </c:pt>
                <c:pt idx="73">
                  <c:v>0.0714421252371917</c:v>
                </c:pt>
                <c:pt idx="74">
                  <c:v>-0.0997077835827505</c:v>
                </c:pt>
                <c:pt idx="75">
                  <c:v>-0.0418019081341595</c:v>
                </c:pt>
                <c:pt idx="76">
                  <c:v>-0.144118250872511</c:v>
                </c:pt>
                <c:pt idx="77">
                  <c:v>0.0605660829935237</c:v>
                </c:pt>
                <c:pt idx="78">
                  <c:v>0.0240868483546308</c:v>
                </c:pt>
                <c:pt idx="79">
                  <c:v>-0.0141342756183745</c:v>
                </c:pt>
                <c:pt idx="80">
                  <c:v>-0.0993503584229392</c:v>
                </c:pt>
                <c:pt idx="81">
                  <c:v>0.174853873896282</c:v>
                </c:pt>
                <c:pt idx="82">
                  <c:v>-0.00603366147983475</c:v>
                </c:pt>
                <c:pt idx="83">
                  <c:v>0.131203407880724</c:v>
                </c:pt>
                <c:pt idx="84">
                  <c:v>0.0369045377518358</c:v>
                </c:pt>
                <c:pt idx="85">
                  <c:v>-0.0680951516252043</c:v>
                </c:pt>
                <c:pt idx="86">
                  <c:v>0.0699532346063911</c:v>
                </c:pt>
                <c:pt idx="87">
                  <c:v>0.0371517027863779</c:v>
                </c:pt>
                <c:pt idx="88">
                  <c:v>0.0345917471466197</c:v>
                </c:pt>
                <c:pt idx="89">
                  <c:v>-0.00627970128988464</c:v>
                </c:pt>
                <c:pt idx="90">
                  <c:v>0.0260461144321094</c:v>
                </c:pt>
                <c:pt idx="91">
                  <c:v>-0.00898876404494398</c:v>
                </c:pt>
                <c:pt idx="92">
                  <c:v>0.0483749055177627</c:v>
                </c:pt>
                <c:pt idx="93">
                  <c:v>0.0295602018745496</c:v>
                </c:pt>
                <c:pt idx="94">
                  <c:v>-0.0693277310924371</c:v>
                </c:pt>
                <c:pt idx="95">
                  <c:v>-0.00518351308419029</c:v>
                </c:pt>
                <c:pt idx="96">
                  <c:v>-0.0168921758130934</c:v>
                </c:pt>
                <c:pt idx="97">
                  <c:v>-0.0453923747649171</c:v>
                </c:pt>
                <c:pt idx="98">
                  <c:v>-0.0497000089549565</c:v>
                </c:pt>
                <c:pt idx="99">
                  <c:v>0.00800980022615905</c:v>
                </c:pt>
                <c:pt idx="100">
                  <c:v>-0.0171076002617556</c:v>
                </c:pt>
                <c:pt idx="101">
                  <c:v>0.00751379113562867</c:v>
                </c:pt>
                <c:pt idx="102">
                  <c:v>-0.0143490984612481</c:v>
                </c:pt>
                <c:pt idx="103">
                  <c:v>0.0442486351882003</c:v>
                </c:pt>
                <c:pt idx="104">
                  <c:v>0.152343391727048</c:v>
                </c:pt>
                <c:pt idx="105">
                  <c:v>-0.0420248328557784</c:v>
                </c:pt>
                <c:pt idx="106">
                  <c:v>0.0175307411100034</c:v>
                </c:pt>
                <c:pt idx="107">
                  <c:v>0.00775700171470573</c:v>
                </c:pt>
                <c:pt idx="108">
                  <c:v>-0.0183114568141306</c:v>
                </c:pt>
                <c:pt idx="109">
                  <c:v>0.0880653681082868</c:v>
                </c:pt>
                <c:pt idx="110">
                  <c:v>0.029735265114162</c:v>
                </c:pt>
                <c:pt idx="111">
                  <c:v>-0.00589318600368327</c:v>
                </c:pt>
                <c:pt idx="112">
                  <c:v>-0.00414968506854396</c:v>
                </c:pt>
                <c:pt idx="113">
                  <c:v>-0.0872088697075675</c:v>
                </c:pt>
                <c:pt idx="114">
                  <c:v>0.0376620200538029</c:v>
                </c:pt>
                <c:pt idx="115">
                  <c:v>0.00565637520622198</c:v>
                </c:pt>
                <c:pt idx="116">
                  <c:v>-0.0142176392469338</c:v>
                </c:pt>
                <c:pt idx="117">
                  <c:v>-0.0465171566685158</c:v>
                </c:pt>
                <c:pt idx="118">
                  <c:v>-0.000166223404255317</c:v>
                </c:pt>
                <c:pt idx="119">
                  <c:v>-0.0574397339983375</c:v>
                </c:pt>
                <c:pt idx="120">
                  <c:v>0.0375694505688333</c:v>
                </c:pt>
                <c:pt idx="121">
                  <c:v>-0.0355291117722057</c:v>
                </c:pt>
                <c:pt idx="122">
                  <c:v>-0.00308451573103019</c:v>
                </c:pt>
                <c:pt idx="123">
                  <c:v>-0.0244872701555871</c:v>
                </c:pt>
                <c:pt idx="124">
                  <c:v>-0.103942002718623</c:v>
                </c:pt>
                <c:pt idx="125">
                  <c:v>0.0862661812297736</c:v>
                </c:pt>
                <c:pt idx="126">
                  <c:v>-0.0955218322316357</c:v>
                </c:pt>
                <c:pt idx="127">
                  <c:v>-0.042717447246526</c:v>
                </c:pt>
                <c:pt idx="128">
                  <c:v>0.153225806451613</c:v>
                </c:pt>
                <c:pt idx="129">
                  <c:v>0.0297435897435898</c:v>
                </c:pt>
                <c:pt idx="130">
                  <c:v>-0.074157913799348</c:v>
                </c:pt>
                <c:pt idx="131">
                  <c:v>-0.0964303178484107</c:v>
                </c:pt>
                <c:pt idx="132">
                  <c:v>0.0799870115813399</c:v>
                </c:pt>
                <c:pt idx="133">
                  <c:v>-0.0504109039887753</c:v>
                </c:pt>
                <c:pt idx="134">
                  <c:v>0.118627968337731</c:v>
                </c:pt>
                <c:pt idx="135">
                  <c:v>0.0569865081611474</c:v>
                </c:pt>
                <c:pt idx="136">
                  <c:v>0.0167812193162544</c:v>
                </c:pt>
                <c:pt idx="137">
                  <c:v>0.158282854885436</c:v>
                </c:pt>
                <c:pt idx="138">
                  <c:v>0.12566318023344</c:v>
                </c:pt>
                <c:pt idx="139">
                  <c:v>0.116819283598169</c:v>
                </c:pt>
                <c:pt idx="140">
                  <c:v>0.10176644360041</c:v>
                </c:pt>
                <c:pt idx="141">
                  <c:v>-0.0820246238030097</c:v>
                </c:pt>
                <c:pt idx="142">
                  <c:v>0.0175250357653791</c:v>
                </c:pt>
                <c:pt idx="143">
                  <c:v>0.00298769771529006</c:v>
                </c:pt>
                <c:pt idx="144">
                  <c:v>0.0237135681327025</c:v>
                </c:pt>
                <c:pt idx="145">
                  <c:v>0.106749586352485</c:v>
                </c:pt>
                <c:pt idx="146">
                  <c:v>-0.0350551603258067</c:v>
                </c:pt>
                <c:pt idx="147">
                  <c:v>0.0849449727534994</c:v>
                </c:pt>
                <c:pt idx="148">
                  <c:v>-0.0974985227496553</c:v>
                </c:pt>
                <c:pt idx="149">
                  <c:v>0.0413574858140551</c:v>
                </c:pt>
                <c:pt idx="150">
                  <c:v>0.123441265849314</c:v>
                </c:pt>
                <c:pt idx="151">
                  <c:v>0.0117992724559277</c:v>
                </c:pt>
                <c:pt idx="152">
                  <c:v>-0.115233924867481</c:v>
                </c:pt>
                <c:pt idx="153">
                  <c:v>0.137796301120083</c:v>
                </c:pt>
                <c:pt idx="154">
                  <c:v>-0.0242673992673993</c:v>
                </c:pt>
                <c:pt idx="155">
                  <c:v>-0.0298451431252932</c:v>
                </c:pt>
                <c:pt idx="156">
                  <c:v>0.14951146367418</c:v>
                </c:pt>
                <c:pt idx="157">
                  <c:v>0.0609299389859035</c:v>
                </c:pt>
                <c:pt idx="158">
                  <c:v>0.0282394003093642</c:v>
                </c:pt>
                <c:pt idx="159">
                  <c:v>-0.284088717454195</c:v>
                </c:pt>
              </c:numCache>
            </c:numRef>
          </c:val>
        </c:ser>
        <c:gapWidth val="150"/>
        <c:overlap val="0"/>
        <c:axId val="76343361"/>
        <c:axId val="86101521"/>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(Calc)'!$AB$3:$AB$500</c:f>
              <c:numCache>
                <c:formatCode>#,##0.00</c:formatCode>
                <c:ptCount val="498"/>
                <c:pt idx="0">
                  <c:v>41.36</c:v>
                </c:pt>
                <c:pt idx="1">
                  <c:v>41.0998742138365</c:v>
                </c:pt>
                <c:pt idx="2">
                  <c:v>40.839748427673</c:v>
                </c:pt>
                <c:pt idx="3">
                  <c:v>40.5796226415094</c:v>
                </c:pt>
                <c:pt idx="4">
                  <c:v>40.3194968553459</c:v>
                </c:pt>
                <c:pt idx="5">
                  <c:v>40.0593710691824</c:v>
                </c:pt>
                <c:pt idx="6">
                  <c:v>39.7992452830189</c:v>
                </c:pt>
                <c:pt idx="7">
                  <c:v>39.5391194968553</c:v>
                </c:pt>
                <c:pt idx="8">
                  <c:v>39.2789937106918</c:v>
                </c:pt>
                <c:pt idx="9">
                  <c:v>39.0188679245283</c:v>
                </c:pt>
                <c:pt idx="10">
                  <c:v>38.7587421383648</c:v>
                </c:pt>
                <c:pt idx="11">
                  <c:v>38.4986163522013</c:v>
                </c:pt>
                <c:pt idx="12">
                  <c:v>38.2384905660377</c:v>
                </c:pt>
                <c:pt idx="13">
                  <c:v>37.9783647798742</c:v>
                </c:pt>
                <c:pt idx="14">
                  <c:v>37.7182389937107</c:v>
                </c:pt>
                <c:pt idx="15">
                  <c:v>37.4581132075472</c:v>
                </c:pt>
                <c:pt idx="16">
                  <c:v>37.1979874213836</c:v>
                </c:pt>
                <c:pt idx="17">
                  <c:v>36.9378616352201</c:v>
                </c:pt>
                <c:pt idx="18">
                  <c:v>36.6777358490566</c:v>
                </c:pt>
                <c:pt idx="19">
                  <c:v>36.4176100628931</c:v>
                </c:pt>
                <c:pt idx="20">
                  <c:v>36.1574842767296</c:v>
                </c:pt>
                <c:pt idx="21">
                  <c:v>35.897358490566</c:v>
                </c:pt>
                <c:pt idx="22">
                  <c:v>35.6372327044025</c:v>
                </c:pt>
                <c:pt idx="23">
                  <c:v>35.377106918239</c:v>
                </c:pt>
                <c:pt idx="24">
                  <c:v>35.1169811320755</c:v>
                </c:pt>
                <c:pt idx="25">
                  <c:v>34.856855345912</c:v>
                </c:pt>
                <c:pt idx="26">
                  <c:v>34.5967295597484</c:v>
                </c:pt>
                <c:pt idx="27">
                  <c:v>34.3366037735849</c:v>
                </c:pt>
                <c:pt idx="28">
                  <c:v>34.0764779874214</c:v>
                </c:pt>
                <c:pt idx="29">
                  <c:v>33.8163522012579</c:v>
                </c:pt>
                <c:pt idx="30">
                  <c:v>33.5562264150943</c:v>
                </c:pt>
                <c:pt idx="31">
                  <c:v>33.2961006289308</c:v>
                </c:pt>
                <c:pt idx="32">
                  <c:v>33.0359748427673</c:v>
                </c:pt>
                <c:pt idx="33">
                  <c:v>32.7758490566038</c:v>
                </c:pt>
                <c:pt idx="34">
                  <c:v>32.5157232704403</c:v>
                </c:pt>
                <c:pt idx="35">
                  <c:v>32.2555974842767</c:v>
                </c:pt>
                <c:pt idx="36">
                  <c:v>31.9954716981132</c:v>
                </c:pt>
                <c:pt idx="37">
                  <c:v>31.7353459119497</c:v>
                </c:pt>
                <c:pt idx="38">
                  <c:v>31.4752201257862</c:v>
                </c:pt>
                <c:pt idx="39">
                  <c:v>31.2150943396226</c:v>
                </c:pt>
                <c:pt idx="40">
                  <c:v>30.9549685534591</c:v>
                </c:pt>
                <c:pt idx="41">
                  <c:v>30.6948427672956</c:v>
                </c:pt>
                <c:pt idx="42">
                  <c:v>30.4347169811321</c:v>
                </c:pt>
                <c:pt idx="43">
                  <c:v>30.1745911949686</c:v>
                </c:pt>
                <c:pt idx="44">
                  <c:v>29.914465408805</c:v>
                </c:pt>
                <c:pt idx="45">
                  <c:v>29.6543396226415</c:v>
                </c:pt>
                <c:pt idx="46">
                  <c:v>29.394213836478</c:v>
                </c:pt>
                <c:pt idx="47">
                  <c:v>29.1340880503145</c:v>
                </c:pt>
                <c:pt idx="48">
                  <c:v>28.8739622641509</c:v>
                </c:pt>
                <c:pt idx="49">
                  <c:v>28.6138364779874</c:v>
                </c:pt>
                <c:pt idx="50">
                  <c:v>28.3537106918239</c:v>
                </c:pt>
                <c:pt idx="51">
                  <c:v>28.0935849056604</c:v>
                </c:pt>
                <c:pt idx="52">
                  <c:v>27.8334591194969</c:v>
                </c:pt>
                <c:pt idx="53">
                  <c:v>27.5733333333333</c:v>
                </c:pt>
                <c:pt idx="54">
                  <c:v>27.3132075471698</c:v>
                </c:pt>
                <c:pt idx="55">
                  <c:v>27.0530817610063</c:v>
                </c:pt>
                <c:pt idx="56">
                  <c:v>26.7929559748428</c:v>
                </c:pt>
                <c:pt idx="57">
                  <c:v>26.5328301886792</c:v>
                </c:pt>
                <c:pt idx="58">
                  <c:v>26.2727044025157</c:v>
                </c:pt>
                <c:pt idx="59">
                  <c:v>26.0125786163522</c:v>
                </c:pt>
                <c:pt idx="60">
                  <c:v>25.7524528301887</c:v>
                </c:pt>
                <c:pt idx="61">
                  <c:v>25.4923270440252</c:v>
                </c:pt>
                <c:pt idx="62">
                  <c:v>25.2322012578616</c:v>
                </c:pt>
                <c:pt idx="63">
                  <c:v>24.9720754716981</c:v>
                </c:pt>
                <c:pt idx="64">
                  <c:v>24.7119496855346</c:v>
                </c:pt>
                <c:pt idx="65">
                  <c:v>24.4518238993711</c:v>
                </c:pt>
                <c:pt idx="66">
                  <c:v>24.1916981132075</c:v>
                </c:pt>
                <c:pt idx="67">
                  <c:v>23.931572327044</c:v>
                </c:pt>
                <c:pt idx="68">
                  <c:v>23.6714465408805</c:v>
                </c:pt>
                <c:pt idx="69">
                  <c:v>23.411320754717</c:v>
                </c:pt>
                <c:pt idx="70">
                  <c:v>23.1511949685535</c:v>
                </c:pt>
                <c:pt idx="71">
                  <c:v>22.8910691823899</c:v>
                </c:pt>
                <c:pt idx="72">
                  <c:v>22.6309433962264</c:v>
                </c:pt>
                <c:pt idx="73">
                  <c:v>22.3708176100629</c:v>
                </c:pt>
                <c:pt idx="74">
                  <c:v>22.1106918238994</c:v>
                </c:pt>
                <c:pt idx="75">
                  <c:v>21.8505660377359</c:v>
                </c:pt>
                <c:pt idx="76">
                  <c:v>21.5904402515723</c:v>
                </c:pt>
                <c:pt idx="77">
                  <c:v>21.3303144654088</c:v>
                </c:pt>
                <c:pt idx="78">
                  <c:v>21.0701886792453</c:v>
                </c:pt>
                <c:pt idx="79">
                  <c:v>20.8100628930818</c:v>
                </c:pt>
                <c:pt idx="80">
                  <c:v>20.5499371069182</c:v>
                </c:pt>
                <c:pt idx="81">
                  <c:v>20.2898113207547</c:v>
                </c:pt>
                <c:pt idx="82">
                  <c:v>20.0296855345912</c:v>
                </c:pt>
                <c:pt idx="83">
                  <c:v>19.7695597484277</c:v>
                </c:pt>
                <c:pt idx="84">
                  <c:v>19.5094339622642</c:v>
                </c:pt>
                <c:pt idx="85">
                  <c:v>19.2493081761006</c:v>
                </c:pt>
                <c:pt idx="86">
                  <c:v>18.9891823899371</c:v>
                </c:pt>
                <c:pt idx="87">
                  <c:v>18.7290566037736</c:v>
                </c:pt>
                <c:pt idx="88">
                  <c:v>18.4689308176101</c:v>
                </c:pt>
                <c:pt idx="89">
                  <c:v>18.2088050314465</c:v>
                </c:pt>
                <c:pt idx="90">
                  <c:v>17.948679245283</c:v>
                </c:pt>
                <c:pt idx="91">
                  <c:v>17.6885534591195</c:v>
                </c:pt>
                <c:pt idx="92">
                  <c:v>17.428427672956</c:v>
                </c:pt>
                <c:pt idx="93">
                  <c:v>17.1683018867925</c:v>
                </c:pt>
                <c:pt idx="94">
                  <c:v>16.9081761006289</c:v>
                </c:pt>
                <c:pt idx="95">
                  <c:v>16.6480503144654</c:v>
                </c:pt>
                <c:pt idx="96">
                  <c:v>16.3879245283019</c:v>
                </c:pt>
                <c:pt idx="97">
                  <c:v>16.1277987421384</c:v>
                </c:pt>
                <c:pt idx="98">
                  <c:v>15.8676729559748</c:v>
                </c:pt>
                <c:pt idx="99">
                  <c:v>15.6075471698113</c:v>
                </c:pt>
                <c:pt idx="100">
                  <c:v>15.3474213836478</c:v>
                </c:pt>
                <c:pt idx="101">
                  <c:v>15.0872955974843</c:v>
                </c:pt>
                <c:pt idx="102">
                  <c:v>14.8271698113208</c:v>
                </c:pt>
                <c:pt idx="103">
                  <c:v>14.5670440251572</c:v>
                </c:pt>
                <c:pt idx="104">
                  <c:v>14.3069182389937</c:v>
                </c:pt>
                <c:pt idx="105">
                  <c:v>14.0467924528302</c:v>
                </c:pt>
                <c:pt idx="106">
                  <c:v>13.7866666666667</c:v>
                </c:pt>
                <c:pt idx="107">
                  <c:v>13.5265408805031</c:v>
                </c:pt>
                <c:pt idx="108">
                  <c:v>13.2664150943396</c:v>
                </c:pt>
                <c:pt idx="109">
                  <c:v>13.0062893081761</c:v>
                </c:pt>
                <c:pt idx="110">
                  <c:v>12.7461635220126</c:v>
                </c:pt>
                <c:pt idx="111">
                  <c:v>12.4860377358491</c:v>
                </c:pt>
                <c:pt idx="112">
                  <c:v>12.2259119496855</c:v>
                </c:pt>
                <c:pt idx="113">
                  <c:v>11.965786163522</c:v>
                </c:pt>
                <c:pt idx="114">
                  <c:v>11.7056603773585</c:v>
                </c:pt>
                <c:pt idx="115">
                  <c:v>11.445534591195</c:v>
                </c:pt>
                <c:pt idx="116">
                  <c:v>11.1854088050314</c:v>
                </c:pt>
                <c:pt idx="117">
                  <c:v>10.9252830188679</c:v>
                </c:pt>
                <c:pt idx="118">
                  <c:v>10.6651572327044</c:v>
                </c:pt>
                <c:pt idx="119">
                  <c:v>10.4050314465409</c:v>
                </c:pt>
                <c:pt idx="120">
                  <c:v>10.1449056603774</c:v>
                </c:pt>
                <c:pt idx="121">
                  <c:v>9.88477987421384</c:v>
                </c:pt>
                <c:pt idx="122">
                  <c:v>9.62465408805031</c:v>
                </c:pt>
                <c:pt idx="123">
                  <c:v>9.36452830188679</c:v>
                </c:pt>
                <c:pt idx="124">
                  <c:v>9.10440251572327</c:v>
                </c:pt>
                <c:pt idx="125">
                  <c:v>8.84427672955975</c:v>
                </c:pt>
                <c:pt idx="126">
                  <c:v>8.58415094339622</c:v>
                </c:pt>
                <c:pt idx="127">
                  <c:v>8.3240251572327</c:v>
                </c:pt>
                <c:pt idx="128">
                  <c:v>8.06389937106918</c:v>
                </c:pt>
                <c:pt idx="129">
                  <c:v>7.80377358490566</c:v>
                </c:pt>
                <c:pt idx="130">
                  <c:v>7.54364779874214</c:v>
                </c:pt>
                <c:pt idx="131">
                  <c:v>7.28352201257862</c:v>
                </c:pt>
                <c:pt idx="132">
                  <c:v>7.0233962264151</c:v>
                </c:pt>
                <c:pt idx="133">
                  <c:v>6.76327044025157</c:v>
                </c:pt>
                <c:pt idx="134">
                  <c:v>6.50314465408805</c:v>
                </c:pt>
                <c:pt idx="135">
                  <c:v>6.24301886792453</c:v>
                </c:pt>
                <c:pt idx="136">
                  <c:v>5.98289308176101</c:v>
                </c:pt>
                <c:pt idx="137">
                  <c:v>5.72276729559749</c:v>
                </c:pt>
                <c:pt idx="138">
                  <c:v>5.46264150943396</c:v>
                </c:pt>
                <c:pt idx="139">
                  <c:v>5.20251572327044</c:v>
                </c:pt>
                <c:pt idx="140">
                  <c:v>4.94238993710692</c:v>
                </c:pt>
                <c:pt idx="141">
                  <c:v>4.6822641509434</c:v>
                </c:pt>
                <c:pt idx="142">
                  <c:v>4.42213836477988</c:v>
                </c:pt>
                <c:pt idx="143">
                  <c:v>4.16201257861636</c:v>
                </c:pt>
                <c:pt idx="144">
                  <c:v>3.90188679245283</c:v>
                </c:pt>
                <c:pt idx="145">
                  <c:v>3.64176100628931</c:v>
                </c:pt>
                <c:pt idx="146">
                  <c:v>3.38163522012579</c:v>
                </c:pt>
                <c:pt idx="147">
                  <c:v>3.12150943396227</c:v>
                </c:pt>
                <c:pt idx="148">
                  <c:v>2.86138364779875</c:v>
                </c:pt>
                <c:pt idx="149">
                  <c:v>2.60125786163522</c:v>
                </c:pt>
                <c:pt idx="150">
                  <c:v>2.3411320754717</c:v>
                </c:pt>
                <c:pt idx="151">
                  <c:v>2.08100628930818</c:v>
                </c:pt>
                <c:pt idx="152">
                  <c:v>1.82088050314465</c:v>
                </c:pt>
                <c:pt idx="153">
                  <c:v>1.56075471698113</c:v>
                </c:pt>
                <c:pt idx="154">
                  <c:v>1.30062893081761</c:v>
                </c:pt>
                <c:pt idx="155">
                  <c:v>1.04050314465409</c:v>
                </c:pt>
                <c:pt idx="156">
                  <c:v>0.780377358490568</c:v>
                </c:pt>
                <c:pt idx="157">
                  <c:v>0.520251572327048</c:v>
                </c:pt>
                <c:pt idx="158">
                  <c:v>0.26012578616352</c:v>
                </c:pt>
                <c:pt idx="159">
                  <c:v>0</c:v>
                </c:pt>
              </c:numCache>
            </c:numRef>
          </c:val>
          <c:smooth val="0"/>
        </c:ser>
        <c:hiLowLines>
          <c:spPr>
            <a:ln w="0">
              <a:noFill/>
            </a:ln>
          </c:spPr>
        </c:hiLowLines>
        <c:marker val="0"/>
        <c:axId val="3881579"/>
        <c:axId val="38447628"/>
      </c:lineChart>
      <c:dateAx>
        <c:axId val="7634336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101521"/>
        <c:auto val="1"/>
        <c:lblOffset val="100"/>
        <c:baseTimeUnit val="days"/>
      </c:dateAx>
      <c:valAx>
        <c:axId val="8610152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6343361"/>
        <c:crosses val="autoZero"/>
        <c:crossBetween val="between"/>
      </c:valAx>
      <c:dateAx>
        <c:axId val="388157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8447628"/>
        <c:auto val="1"/>
        <c:lblOffset val="100"/>
        <c:baseTimeUnit val="days"/>
      </c:dateAx>
      <c:valAx>
        <c:axId val="3844762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88157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DVY</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(Calc)'!$H$3:$H$500</c:f>
              <c:numCache>
                <c:formatCode>0.0%</c:formatCode>
                <c:ptCount val="498"/>
                <c:pt idx="0">
                  <c:v>-0.021373894025251</c:v>
                </c:pt>
                <c:pt idx="1">
                  <c:v>-0.0187931735067045</c:v>
                </c:pt>
                <c:pt idx="2">
                  <c:v>-0.0222590330261933</c:v>
                </c:pt>
                <c:pt idx="3">
                  <c:v>0.0136594663278273</c:v>
                </c:pt>
                <c:pt idx="4">
                  <c:v>-0.019011804032174</c:v>
                </c:pt>
                <c:pt idx="5">
                  <c:v>-0.0160792247896921</c:v>
                </c:pt>
                <c:pt idx="6">
                  <c:v>0.0586580086580084</c:v>
                </c:pt>
                <c:pt idx="7">
                  <c:v>-0.0225925168677161</c:v>
                </c:pt>
                <c:pt idx="8">
                  <c:v>0.0354565422026985</c:v>
                </c:pt>
                <c:pt idx="9">
                  <c:v>0.0035353535353535</c:v>
                </c:pt>
                <c:pt idx="10">
                  <c:v>0.0292903875188728</c:v>
                </c:pt>
                <c:pt idx="11">
                  <c:v>0.00215137883825545</c:v>
                </c:pt>
                <c:pt idx="12">
                  <c:v>0.0298594847775175</c:v>
                </c:pt>
                <c:pt idx="13">
                  <c:v>0.00265302255069155</c:v>
                </c:pt>
                <c:pt idx="14">
                  <c:v>0.0040635040635042</c:v>
                </c:pt>
                <c:pt idx="15">
                  <c:v>0.00705882352941178</c:v>
                </c:pt>
                <c:pt idx="16">
                  <c:v>-0.0138317757009346</c:v>
                </c:pt>
                <c:pt idx="17">
                  <c:v>-0.0131728582259287</c:v>
                </c:pt>
                <c:pt idx="18">
                  <c:v>0.0157495438394315</c:v>
                </c:pt>
                <c:pt idx="19">
                  <c:v>-0.0128580883048123</c:v>
                </c:pt>
                <c:pt idx="20">
                  <c:v>-0.00890719279762464</c:v>
                </c:pt>
                <c:pt idx="21">
                  <c:v>0.011693080788558</c:v>
                </c:pt>
                <c:pt idx="22">
                  <c:v>0.0084057694144617</c:v>
                </c:pt>
                <c:pt idx="23">
                  <c:v>0.000189447759780359</c:v>
                </c:pt>
                <c:pt idx="24">
                  <c:v>0.0267070745335731</c:v>
                </c:pt>
                <c:pt idx="25">
                  <c:v>-0.0032284844571534</c:v>
                </c:pt>
                <c:pt idx="26">
                  <c:v>0.0161947066444568</c:v>
                </c:pt>
                <c:pt idx="27">
                  <c:v>0.0252253893088061</c:v>
                </c:pt>
                <c:pt idx="28">
                  <c:v>-0.0177651447859301</c:v>
                </c:pt>
                <c:pt idx="29">
                  <c:v>-0.0285765961294989</c:v>
                </c:pt>
                <c:pt idx="30">
                  <c:v>0.00986780860175007</c:v>
                </c:pt>
                <c:pt idx="31">
                  <c:v>0.00912610619469012</c:v>
                </c:pt>
                <c:pt idx="32">
                  <c:v>0.0122407965652691</c:v>
                </c:pt>
                <c:pt idx="33">
                  <c:v>0.0247270101976356</c:v>
                </c:pt>
                <c:pt idx="34">
                  <c:v>0.0121532364597094</c:v>
                </c:pt>
                <c:pt idx="35">
                  <c:v>-0.0204472287479336</c:v>
                </c:pt>
                <c:pt idx="36">
                  <c:v>0.0104814354236988</c:v>
                </c:pt>
                <c:pt idx="37">
                  <c:v>-0.0202180028129396</c:v>
                </c:pt>
                <c:pt idx="38">
                  <c:v>-0.0168670375022429</c:v>
                </c:pt>
                <c:pt idx="39">
                  <c:v>0.0137798868406644</c:v>
                </c:pt>
                <c:pt idx="40">
                  <c:v>0.00297056440723731</c:v>
                </c:pt>
                <c:pt idx="41">
                  <c:v>-0.00816729492012203</c:v>
                </c:pt>
                <c:pt idx="42">
                  <c:v>0.0420776400325762</c:v>
                </c:pt>
                <c:pt idx="43">
                  <c:v>0.0141542202153526</c:v>
                </c:pt>
                <c:pt idx="44">
                  <c:v>0.0211490709821047</c:v>
                </c:pt>
                <c:pt idx="45">
                  <c:v>-0.0144222706691263</c:v>
                </c:pt>
                <c:pt idx="46">
                  <c:v>-0.0101242130338609</c:v>
                </c:pt>
                <c:pt idx="47">
                  <c:v>0.0256123764503653</c:v>
                </c:pt>
                <c:pt idx="48">
                  <c:v>0.0207827034274701</c:v>
                </c:pt>
                <c:pt idx="49">
                  <c:v>0.0137098760364502</c:v>
                </c:pt>
                <c:pt idx="50">
                  <c:v>-0.0213799805636541</c:v>
                </c:pt>
                <c:pt idx="51">
                  <c:v>0.0185369083085072</c:v>
                </c:pt>
                <c:pt idx="52">
                  <c:v>0.0121059473513161</c:v>
                </c:pt>
                <c:pt idx="53">
                  <c:v>0.00770651039576142</c:v>
                </c:pt>
                <c:pt idx="54">
                  <c:v>-0.00398311160678722</c:v>
                </c:pt>
                <c:pt idx="55">
                  <c:v>0.000559865632248302</c:v>
                </c:pt>
                <c:pt idx="56">
                  <c:v>0.0193445243804957</c:v>
                </c:pt>
                <c:pt idx="57">
                  <c:v>-0.0236041405269761</c:v>
                </c:pt>
                <c:pt idx="58">
                  <c:v>-0.000963778009798411</c:v>
                </c:pt>
                <c:pt idx="59">
                  <c:v>0.0347294798617253</c:v>
                </c:pt>
                <c:pt idx="60">
                  <c:v>0.00124310465387301</c:v>
                </c:pt>
                <c:pt idx="61">
                  <c:v>0.0271591526344379</c:v>
                </c:pt>
                <c:pt idx="62">
                  <c:v>0.00936768149882905</c:v>
                </c:pt>
                <c:pt idx="63">
                  <c:v>-0.0252975076715817</c:v>
                </c:pt>
                <c:pt idx="64">
                  <c:v>-0.0201950395454196</c:v>
                </c:pt>
                <c:pt idx="65">
                  <c:v>-0.0315830721003135</c:v>
                </c:pt>
                <c:pt idx="66">
                  <c:v>0.00453184429877807</c:v>
                </c:pt>
                <c:pt idx="67">
                  <c:v>-0.000563924917425185</c:v>
                </c:pt>
                <c:pt idx="68">
                  <c:v>-0.0249879090762535</c:v>
                </c:pt>
                <c:pt idx="69">
                  <c:v>0.0483630952380953</c:v>
                </c:pt>
                <c:pt idx="70">
                  <c:v>0.00220802775806317</c:v>
                </c:pt>
                <c:pt idx="71">
                  <c:v>-0.0025965850971752</c:v>
                </c:pt>
                <c:pt idx="72">
                  <c:v>-0.00481224360997157</c:v>
                </c:pt>
                <c:pt idx="73">
                  <c:v>0.0119698771304002</c:v>
                </c:pt>
                <c:pt idx="74">
                  <c:v>0.00728497571674769</c:v>
                </c:pt>
                <c:pt idx="75">
                  <c:v>0.0102651839178785</c:v>
                </c:pt>
                <c:pt idx="76">
                  <c:v>-0.0274805634670156</c:v>
                </c:pt>
                <c:pt idx="77">
                  <c:v>-0.00839005857210706</c:v>
                </c:pt>
                <c:pt idx="78">
                  <c:v>0.00478927203065127</c:v>
                </c:pt>
                <c:pt idx="79">
                  <c:v>-0.000238322211630115</c:v>
                </c:pt>
                <c:pt idx="80">
                  <c:v>-0.0803337306317045</c:v>
                </c:pt>
                <c:pt idx="81">
                  <c:v>0.0160705028512183</c:v>
                </c:pt>
                <c:pt idx="82">
                  <c:v>0.0147108843537416</c:v>
                </c:pt>
                <c:pt idx="83">
                  <c:v>0.0143300092181347</c:v>
                </c:pt>
                <c:pt idx="84">
                  <c:v>0.016606080634501</c:v>
                </c:pt>
                <c:pt idx="85">
                  <c:v>-0.00121901665989432</c:v>
                </c:pt>
                <c:pt idx="86">
                  <c:v>0.0320585842148087</c:v>
                </c:pt>
                <c:pt idx="87">
                  <c:v>-0.0258593503626616</c:v>
                </c:pt>
                <c:pt idx="88">
                  <c:v>0.00647458724506311</c:v>
                </c:pt>
                <c:pt idx="89">
                  <c:v>0.00369893856545511</c:v>
                </c:pt>
                <c:pt idx="90">
                  <c:v>-0.00352507610959785</c:v>
                </c:pt>
                <c:pt idx="91">
                  <c:v>0.00297475478372733</c:v>
                </c:pt>
                <c:pt idx="92">
                  <c:v>0.0137875751503005</c:v>
                </c:pt>
                <c:pt idx="93">
                  <c:v>0.0341582984106903</c:v>
                </c:pt>
                <c:pt idx="94">
                  <c:v>-0.00336417157275015</c:v>
                </c:pt>
                <c:pt idx="95">
                  <c:v>-0.00421940928270026</c:v>
                </c:pt>
                <c:pt idx="96">
                  <c:v>0.0181818181818181</c:v>
                </c:pt>
                <c:pt idx="97">
                  <c:v>-0.0300393462469734</c:v>
                </c:pt>
                <c:pt idx="98">
                  <c:v>0.0161479054528433</c:v>
                </c:pt>
                <c:pt idx="99">
                  <c:v>0.0153539075694764</c:v>
                </c:pt>
                <c:pt idx="100">
                  <c:v>0.0288825041584759</c:v>
                </c:pt>
                <c:pt idx="101">
                  <c:v>-0.00220458553791891</c:v>
                </c:pt>
                <c:pt idx="102">
                  <c:v>-0.000883782589483073</c:v>
                </c:pt>
                <c:pt idx="103">
                  <c:v>0.0013268465280849</c:v>
                </c:pt>
                <c:pt idx="104">
                  <c:v>-0.00279740871613665</c:v>
                </c:pt>
                <c:pt idx="105">
                  <c:v>0.00767754318618041</c:v>
                </c:pt>
                <c:pt idx="106">
                  <c:v>0.0123809523809524</c:v>
                </c:pt>
                <c:pt idx="107">
                  <c:v>-0.0345900571676677</c:v>
                </c:pt>
                <c:pt idx="108">
                  <c:v>0.0146915523573945</c:v>
                </c:pt>
                <c:pt idx="109">
                  <c:v>0.0169904705621629</c:v>
                </c:pt>
                <c:pt idx="110">
                  <c:v>-0.0238250889808963</c:v>
                </c:pt>
                <c:pt idx="111">
                  <c:v>0.00744102983852968</c:v>
                </c:pt>
                <c:pt idx="112">
                  <c:v>0.00310214934633302</c:v>
                </c:pt>
                <c:pt idx="113">
                  <c:v>-0.00493336278624557</c:v>
                </c:pt>
                <c:pt idx="114">
                  <c:v>0.0257510729613735</c:v>
                </c:pt>
                <c:pt idx="115">
                  <c:v>-0.0119030442937528</c:v>
                </c:pt>
                <c:pt idx="116">
                  <c:v>0.0162079287435204</c:v>
                </c:pt>
                <c:pt idx="117">
                  <c:v>-0.00459803146777771</c:v>
                </c:pt>
                <c:pt idx="118">
                  <c:v>0.00526885600866112</c:v>
                </c:pt>
                <c:pt idx="119">
                  <c:v>7.17978173463418E-005</c:v>
                </c:pt>
                <c:pt idx="120">
                  <c:v>0.02096345753464</c:v>
                </c:pt>
                <c:pt idx="121">
                  <c:v>0.013008930454961</c:v>
                </c:pt>
                <c:pt idx="122">
                  <c:v>0.0024989587671802</c:v>
                </c:pt>
                <c:pt idx="123">
                  <c:v>0.0173798642847252</c:v>
                </c:pt>
                <c:pt idx="124">
                  <c:v>0.0330769754304769</c:v>
                </c:pt>
                <c:pt idx="125">
                  <c:v>0.016074840239805</c:v>
                </c:pt>
                <c:pt idx="126">
                  <c:v>-0.00713220514815527</c:v>
                </c:pt>
                <c:pt idx="127">
                  <c:v>-0.0033305034937634</c:v>
                </c:pt>
                <c:pt idx="128">
                  <c:v>-0.0247018739352641</c:v>
                </c:pt>
                <c:pt idx="129">
                  <c:v>-0.0121598925092375</c:v>
                </c:pt>
                <c:pt idx="130">
                  <c:v>-0.0233949945593036</c:v>
                </c:pt>
                <c:pt idx="131">
                  <c:v>0.0244428969359334</c:v>
                </c:pt>
                <c:pt idx="132">
                  <c:v>0.0144789613214602</c:v>
                </c:pt>
                <c:pt idx="133">
                  <c:v>0.00515947467166966</c:v>
                </c:pt>
                <c:pt idx="134">
                  <c:v>0.00459969335377641</c:v>
                </c:pt>
                <c:pt idx="135">
                  <c:v>-0.00809555408095553</c:v>
                </c:pt>
                <c:pt idx="136">
                  <c:v>0.017928819909018</c:v>
                </c:pt>
                <c:pt idx="137">
                  <c:v>-0.0151813880126183</c:v>
                </c:pt>
                <c:pt idx="138">
                  <c:v>-0.00867534200867526</c:v>
                </c:pt>
                <c:pt idx="139">
                  <c:v>0.0317738135307977</c:v>
                </c:pt>
                <c:pt idx="140">
                  <c:v>-0.00508905852417307</c:v>
                </c:pt>
                <c:pt idx="141">
                  <c:v>0.0028198570398057</c:v>
                </c:pt>
                <c:pt idx="142">
                  <c:v>0.0221030604237511</c:v>
                </c:pt>
                <c:pt idx="143">
                  <c:v>-0.027191298784389</c:v>
                </c:pt>
                <c:pt idx="144">
                  <c:v>0.0317000986517593</c:v>
                </c:pt>
                <c:pt idx="145">
                  <c:v>0.00580098170459609</c:v>
                </c:pt>
                <c:pt idx="146">
                  <c:v>0.00234503739383962</c:v>
                </c:pt>
                <c:pt idx="147">
                  <c:v>0.01492254189061</c:v>
                </c:pt>
                <c:pt idx="148">
                  <c:v>0.00716466263784188</c:v>
                </c:pt>
                <c:pt idx="149">
                  <c:v>-0.0109489051094891</c:v>
                </c:pt>
                <c:pt idx="150">
                  <c:v>0.00431546688348261</c:v>
                </c:pt>
                <c:pt idx="151">
                  <c:v>0.0222319093286836</c:v>
                </c:pt>
                <c:pt idx="152">
                  <c:v>-0.00852878464818763</c:v>
                </c:pt>
                <c:pt idx="153">
                  <c:v>-0.00178187403993846</c:v>
                </c:pt>
                <c:pt idx="154">
                  <c:v>0.00276991259386916</c:v>
                </c:pt>
                <c:pt idx="155">
                  <c:v>-0.01154011417347</c:v>
                </c:pt>
                <c:pt idx="156">
                  <c:v>-0.0173259641060671</c:v>
                </c:pt>
                <c:pt idx="157">
                  <c:v>-0.0221814964610719</c:v>
                </c:pt>
                <c:pt idx="158">
                  <c:v>-0.00697990047178942</c:v>
                </c:pt>
                <c:pt idx="159">
                  <c:v>5.61627074520013</c:v>
                </c:pt>
              </c:numCache>
            </c:numRef>
          </c:val>
        </c:ser>
        <c:gapWidth val="150"/>
        <c:overlap val="0"/>
        <c:axId val="3129064"/>
        <c:axId val="39758345"/>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(Calc)'!$AC$3:$AC$500</c:f>
              <c:numCache>
                <c:formatCode>#,##0.00</c:formatCode>
                <c:ptCount val="498"/>
                <c:pt idx="0">
                  <c:v>100.59</c:v>
                </c:pt>
                <c:pt idx="1">
                  <c:v>99.957358490566</c:v>
                </c:pt>
                <c:pt idx="2">
                  <c:v>99.3247169811321</c:v>
                </c:pt>
                <c:pt idx="3">
                  <c:v>98.6920754716981</c:v>
                </c:pt>
                <c:pt idx="4">
                  <c:v>98.0594339622642</c:v>
                </c:pt>
                <c:pt idx="5">
                  <c:v>97.4267924528302</c:v>
                </c:pt>
                <c:pt idx="6">
                  <c:v>96.7941509433962</c:v>
                </c:pt>
                <c:pt idx="7">
                  <c:v>96.1615094339623</c:v>
                </c:pt>
                <c:pt idx="8">
                  <c:v>95.5288679245283</c:v>
                </c:pt>
                <c:pt idx="9">
                  <c:v>94.8962264150944</c:v>
                </c:pt>
                <c:pt idx="10">
                  <c:v>94.2635849056604</c:v>
                </c:pt>
                <c:pt idx="11">
                  <c:v>93.6309433962264</c:v>
                </c:pt>
                <c:pt idx="12">
                  <c:v>92.9983018867925</c:v>
                </c:pt>
                <c:pt idx="13">
                  <c:v>92.3656603773585</c:v>
                </c:pt>
                <c:pt idx="14">
                  <c:v>91.7330188679245</c:v>
                </c:pt>
                <c:pt idx="15">
                  <c:v>91.1003773584906</c:v>
                </c:pt>
                <c:pt idx="16">
                  <c:v>90.4677358490566</c:v>
                </c:pt>
                <c:pt idx="17">
                  <c:v>89.8350943396226</c:v>
                </c:pt>
                <c:pt idx="18">
                  <c:v>89.2024528301887</c:v>
                </c:pt>
                <c:pt idx="19">
                  <c:v>88.5698113207547</c:v>
                </c:pt>
                <c:pt idx="20">
                  <c:v>87.9371698113208</c:v>
                </c:pt>
                <c:pt idx="21">
                  <c:v>87.3045283018868</c:v>
                </c:pt>
                <c:pt idx="22">
                  <c:v>86.6718867924528</c:v>
                </c:pt>
                <c:pt idx="23">
                  <c:v>86.0392452830189</c:v>
                </c:pt>
                <c:pt idx="24">
                  <c:v>85.4066037735849</c:v>
                </c:pt>
                <c:pt idx="25">
                  <c:v>84.773962264151</c:v>
                </c:pt>
                <c:pt idx="26">
                  <c:v>84.141320754717</c:v>
                </c:pt>
                <c:pt idx="27">
                  <c:v>83.508679245283</c:v>
                </c:pt>
                <c:pt idx="28">
                  <c:v>82.8760377358491</c:v>
                </c:pt>
                <c:pt idx="29">
                  <c:v>82.2433962264151</c:v>
                </c:pt>
                <c:pt idx="30">
                  <c:v>81.6107547169811</c:v>
                </c:pt>
                <c:pt idx="31">
                  <c:v>80.9781132075472</c:v>
                </c:pt>
                <c:pt idx="32">
                  <c:v>80.3454716981132</c:v>
                </c:pt>
                <c:pt idx="33">
                  <c:v>79.7128301886793</c:v>
                </c:pt>
                <c:pt idx="34">
                  <c:v>79.0801886792453</c:v>
                </c:pt>
                <c:pt idx="35">
                  <c:v>78.4475471698113</c:v>
                </c:pt>
                <c:pt idx="36">
                  <c:v>77.8149056603774</c:v>
                </c:pt>
                <c:pt idx="37">
                  <c:v>77.1822641509434</c:v>
                </c:pt>
                <c:pt idx="38">
                  <c:v>76.5496226415094</c:v>
                </c:pt>
                <c:pt idx="39">
                  <c:v>75.9169811320755</c:v>
                </c:pt>
                <c:pt idx="40">
                  <c:v>75.2843396226415</c:v>
                </c:pt>
                <c:pt idx="41">
                  <c:v>74.6516981132075</c:v>
                </c:pt>
                <c:pt idx="42">
                  <c:v>74.0190566037736</c:v>
                </c:pt>
                <c:pt idx="43">
                  <c:v>73.3864150943396</c:v>
                </c:pt>
                <c:pt idx="44">
                  <c:v>72.7537735849057</c:v>
                </c:pt>
                <c:pt idx="45">
                  <c:v>72.1211320754717</c:v>
                </c:pt>
                <c:pt idx="46">
                  <c:v>71.4884905660377</c:v>
                </c:pt>
                <c:pt idx="47">
                  <c:v>70.8558490566038</c:v>
                </c:pt>
                <c:pt idx="48">
                  <c:v>70.2232075471698</c:v>
                </c:pt>
                <c:pt idx="49">
                  <c:v>69.5905660377359</c:v>
                </c:pt>
                <c:pt idx="50">
                  <c:v>68.9579245283019</c:v>
                </c:pt>
                <c:pt idx="51">
                  <c:v>68.3252830188679</c:v>
                </c:pt>
                <c:pt idx="52">
                  <c:v>67.692641509434</c:v>
                </c:pt>
                <c:pt idx="53">
                  <c:v>67.06</c:v>
                </c:pt>
                <c:pt idx="54">
                  <c:v>66.427358490566</c:v>
                </c:pt>
                <c:pt idx="55">
                  <c:v>65.7947169811321</c:v>
                </c:pt>
                <c:pt idx="56">
                  <c:v>65.1620754716981</c:v>
                </c:pt>
                <c:pt idx="57">
                  <c:v>64.5294339622642</c:v>
                </c:pt>
                <c:pt idx="58">
                  <c:v>63.8967924528302</c:v>
                </c:pt>
                <c:pt idx="59">
                  <c:v>63.2641509433962</c:v>
                </c:pt>
                <c:pt idx="60">
                  <c:v>62.6315094339623</c:v>
                </c:pt>
                <c:pt idx="61">
                  <c:v>61.9988679245283</c:v>
                </c:pt>
                <c:pt idx="62">
                  <c:v>61.3662264150943</c:v>
                </c:pt>
                <c:pt idx="63">
                  <c:v>60.7335849056604</c:v>
                </c:pt>
                <c:pt idx="64">
                  <c:v>60.1009433962264</c:v>
                </c:pt>
                <c:pt idx="65">
                  <c:v>59.4683018867925</c:v>
                </c:pt>
                <c:pt idx="66">
                  <c:v>58.8356603773585</c:v>
                </c:pt>
                <c:pt idx="67">
                  <c:v>58.2030188679245</c:v>
                </c:pt>
                <c:pt idx="68">
                  <c:v>57.5703773584906</c:v>
                </c:pt>
                <c:pt idx="69">
                  <c:v>56.9377358490566</c:v>
                </c:pt>
                <c:pt idx="70">
                  <c:v>56.3050943396226</c:v>
                </c:pt>
                <c:pt idx="71">
                  <c:v>55.6724528301887</c:v>
                </c:pt>
                <c:pt idx="72">
                  <c:v>55.0398113207547</c:v>
                </c:pt>
                <c:pt idx="73">
                  <c:v>54.4071698113208</c:v>
                </c:pt>
                <c:pt idx="74">
                  <c:v>53.7745283018868</c:v>
                </c:pt>
                <c:pt idx="75">
                  <c:v>53.1418867924528</c:v>
                </c:pt>
                <c:pt idx="76">
                  <c:v>52.5092452830189</c:v>
                </c:pt>
                <c:pt idx="77">
                  <c:v>51.8766037735849</c:v>
                </c:pt>
                <c:pt idx="78">
                  <c:v>51.2439622641509</c:v>
                </c:pt>
                <c:pt idx="79">
                  <c:v>50.611320754717</c:v>
                </c:pt>
                <c:pt idx="80">
                  <c:v>49.978679245283</c:v>
                </c:pt>
                <c:pt idx="81">
                  <c:v>49.3460377358491</c:v>
                </c:pt>
                <c:pt idx="82">
                  <c:v>48.7133962264151</c:v>
                </c:pt>
                <c:pt idx="83">
                  <c:v>48.0807547169811</c:v>
                </c:pt>
                <c:pt idx="84">
                  <c:v>47.4481132075472</c:v>
                </c:pt>
                <c:pt idx="85">
                  <c:v>46.8154716981132</c:v>
                </c:pt>
                <c:pt idx="86">
                  <c:v>46.1828301886793</c:v>
                </c:pt>
                <c:pt idx="87">
                  <c:v>45.5501886792453</c:v>
                </c:pt>
                <c:pt idx="88">
                  <c:v>44.9175471698113</c:v>
                </c:pt>
                <c:pt idx="89">
                  <c:v>44.2849056603774</c:v>
                </c:pt>
                <c:pt idx="90">
                  <c:v>43.6522641509434</c:v>
                </c:pt>
                <c:pt idx="91">
                  <c:v>43.0196226415094</c:v>
                </c:pt>
                <c:pt idx="92">
                  <c:v>42.3869811320755</c:v>
                </c:pt>
                <c:pt idx="93">
                  <c:v>41.7543396226415</c:v>
                </c:pt>
                <c:pt idx="94">
                  <c:v>41.1216981132075</c:v>
                </c:pt>
                <c:pt idx="95">
                  <c:v>40.4890566037736</c:v>
                </c:pt>
                <c:pt idx="96">
                  <c:v>39.8564150943396</c:v>
                </c:pt>
                <c:pt idx="97">
                  <c:v>39.2237735849057</c:v>
                </c:pt>
                <c:pt idx="98">
                  <c:v>38.5911320754717</c:v>
                </c:pt>
                <c:pt idx="99">
                  <c:v>37.9584905660377</c:v>
                </c:pt>
                <c:pt idx="100">
                  <c:v>37.3258490566038</c:v>
                </c:pt>
                <c:pt idx="101">
                  <c:v>36.6932075471698</c:v>
                </c:pt>
                <c:pt idx="102">
                  <c:v>36.0605660377359</c:v>
                </c:pt>
                <c:pt idx="103">
                  <c:v>35.4279245283019</c:v>
                </c:pt>
                <c:pt idx="104">
                  <c:v>34.7952830188679</c:v>
                </c:pt>
                <c:pt idx="105">
                  <c:v>34.162641509434</c:v>
                </c:pt>
                <c:pt idx="106">
                  <c:v>33.53</c:v>
                </c:pt>
                <c:pt idx="107">
                  <c:v>32.897358490566</c:v>
                </c:pt>
                <c:pt idx="108">
                  <c:v>32.2647169811321</c:v>
                </c:pt>
                <c:pt idx="109">
                  <c:v>31.6320754716981</c:v>
                </c:pt>
                <c:pt idx="110">
                  <c:v>30.9994339622642</c:v>
                </c:pt>
                <c:pt idx="111">
                  <c:v>30.3667924528302</c:v>
                </c:pt>
                <c:pt idx="112">
                  <c:v>29.7341509433962</c:v>
                </c:pt>
                <c:pt idx="113">
                  <c:v>29.1015094339623</c:v>
                </c:pt>
                <c:pt idx="114">
                  <c:v>28.4688679245283</c:v>
                </c:pt>
                <c:pt idx="115">
                  <c:v>27.8362264150943</c:v>
                </c:pt>
                <c:pt idx="116">
                  <c:v>27.2035849056604</c:v>
                </c:pt>
                <c:pt idx="117">
                  <c:v>26.5709433962264</c:v>
                </c:pt>
                <c:pt idx="118">
                  <c:v>25.9383018867924</c:v>
                </c:pt>
                <c:pt idx="119">
                  <c:v>25.3056603773585</c:v>
                </c:pt>
                <c:pt idx="120">
                  <c:v>24.6730188679245</c:v>
                </c:pt>
                <c:pt idx="121">
                  <c:v>24.0403773584906</c:v>
                </c:pt>
                <c:pt idx="122">
                  <c:v>23.4077358490566</c:v>
                </c:pt>
                <c:pt idx="123">
                  <c:v>22.7750943396226</c:v>
                </c:pt>
                <c:pt idx="124">
                  <c:v>22.1424528301887</c:v>
                </c:pt>
                <c:pt idx="125">
                  <c:v>21.5098113207547</c:v>
                </c:pt>
                <c:pt idx="126">
                  <c:v>20.8771698113208</c:v>
                </c:pt>
                <c:pt idx="127">
                  <c:v>20.2445283018868</c:v>
                </c:pt>
                <c:pt idx="128">
                  <c:v>19.6118867924528</c:v>
                </c:pt>
                <c:pt idx="129">
                  <c:v>18.9792452830189</c:v>
                </c:pt>
                <c:pt idx="130">
                  <c:v>18.3466037735849</c:v>
                </c:pt>
                <c:pt idx="131">
                  <c:v>17.7139622641509</c:v>
                </c:pt>
                <c:pt idx="132">
                  <c:v>17.081320754717</c:v>
                </c:pt>
                <c:pt idx="133">
                  <c:v>16.448679245283</c:v>
                </c:pt>
                <c:pt idx="134">
                  <c:v>15.8160377358491</c:v>
                </c:pt>
                <c:pt idx="135">
                  <c:v>15.1833962264151</c:v>
                </c:pt>
                <c:pt idx="136">
                  <c:v>14.5507547169811</c:v>
                </c:pt>
                <c:pt idx="137">
                  <c:v>13.9181132075472</c:v>
                </c:pt>
                <c:pt idx="138">
                  <c:v>13.2854716981132</c:v>
                </c:pt>
                <c:pt idx="139">
                  <c:v>12.6528301886792</c:v>
                </c:pt>
                <c:pt idx="140">
                  <c:v>12.0201886792453</c:v>
                </c:pt>
                <c:pt idx="141">
                  <c:v>11.3875471698113</c:v>
                </c:pt>
                <c:pt idx="142">
                  <c:v>10.7549056603774</c:v>
                </c:pt>
                <c:pt idx="143">
                  <c:v>10.1222641509434</c:v>
                </c:pt>
                <c:pt idx="144">
                  <c:v>9.48962264150943</c:v>
                </c:pt>
                <c:pt idx="145">
                  <c:v>8.85698113207548</c:v>
                </c:pt>
                <c:pt idx="146">
                  <c:v>8.22433962264151</c:v>
                </c:pt>
                <c:pt idx="147">
                  <c:v>7.59169811320754</c:v>
                </c:pt>
                <c:pt idx="148">
                  <c:v>6.95905660377359</c:v>
                </c:pt>
                <c:pt idx="149">
                  <c:v>6.32641509433962</c:v>
                </c:pt>
                <c:pt idx="150">
                  <c:v>5.69377358490567</c:v>
                </c:pt>
                <c:pt idx="151">
                  <c:v>5.0611320754717</c:v>
                </c:pt>
                <c:pt idx="152">
                  <c:v>4.42849056603774</c:v>
                </c:pt>
                <c:pt idx="153">
                  <c:v>3.79584905660377</c:v>
                </c:pt>
                <c:pt idx="154">
                  <c:v>3.1632075471698</c:v>
                </c:pt>
                <c:pt idx="155">
                  <c:v>2.53056603773585</c:v>
                </c:pt>
                <c:pt idx="156">
                  <c:v>1.89792452830189</c:v>
                </c:pt>
                <c:pt idx="157">
                  <c:v>1.26528301886792</c:v>
                </c:pt>
                <c:pt idx="158">
                  <c:v>0.632641509433952</c:v>
                </c:pt>
                <c:pt idx="159">
                  <c:v>0</c:v>
                </c:pt>
              </c:numCache>
            </c:numRef>
          </c:val>
          <c:smooth val="0"/>
        </c:ser>
        <c:hiLowLines>
          <c:spPr>
            <a:ln w="0">
              <a:noFill/>
            </a:ln>
          </c:spPr>
        </c:hiLowLines>
        <c:marker val="0"/>
        <c:axId val="94278089"/>
        <c:axId val="778578"/>
      </c:lineChart>
      <c:dateAx>
        <c:axId val="312906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9758345"/>
        <c:auto val="1"/>
        <c:lblOffset val="100"/>
        <c:baseTimeUnit val="days"/>
      </c:dateAx>
      <c:valAx>
        <c:axId val="3975834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29064"/>
        <c:crosses val="autoZero"/>
        <c:crossBetween val="between"/>
      </c:valAx>
      <c:dateAx>
        <c:axId val="9427808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8578"/>
        <c:auto val="1"/>
        <c:lblOffset val="100"/>
        <c:baseTimeUnit val="days"/>
      </c:dateAx>
      <c:valAx>
        <c:axId val="77857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27808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(Calc)'!$I$3:$I$500</c:f>
              <c:numCache>
                <c:formatCode>0.0%</c:formatCode>
                <c:ptCount val="498"/>
                <c:pt idx="0">
                  <c:v>-0.00518602029312298</c:v>
                </c:pt>
                <c:pt idx="1">
                  <c:v>0.0151858567543064</c:v>
                </c:pt>
                <c:pt idx="2">
                  <c:v>0.0203170350524671</c:v>
                </c:pt>
                <c:pt idx="3">
                  <c:v>0.0402625820568927</c:v>
                </c:pt>
                <c:pt idx="4">
                  <c:v>-0.0500631047538915</c:v>
                </c:pt>
                <c:pt idx="5">
                  <c:v>-0.00974313551815764</c:v>
                </c:pt>
                <c:pt idx="6">
                  <c:v>0.091010733452594</c:v>
                </c:pt>
                <c:pt idx="7">
                  <c:v>0.0692764910842387</c:v>
                </c:pt>
                <c:pt idx="8">
                  <c:v>0.0220433199156602</c:v>
                </c:pt>
                <c:pt idx="9">
                  <c:v>0.0204426106526632</c:v>
                </c:pt>
                <c:pt idx="10">
                  <c:v>-0.0119463333945966</c:v>
                </c:pt>
                <c:pt idx="11">
                  <c:v>-0.0265997023809523</c:v>
                </c:pt>
                <c:pt idx="12">
                  <c:v>0.0947831072042806</c:v>
                </c:pt>
                <c:pt idx="13">
                  <c:v>-0.00418921277709905</c:v>
                </c:pt>
                <c:pt idx="14">
                  <c:v>-0.00227870289219978</c:v>
                </c:pt>
                <c:pt idx="15">
                  <c:v>-0.0635980323260718</c:v>
                </c:pt>
                <c:pt idx="16">
                  <c:v>0.0298311444652908</c:v>
                </c:pt>
                <c:pt idx="17">
                  <c:v>0.093459646565859</c:v>
                </c:pt>
                <c:pt idx="18">
                  <c:v>-0.0221592802399201</c:v>
                </c:pt>
                <c:pt idx="19">
                  <c:v>0.0081785653433295</c:v>
                </c:pt>
                <c:pt idx="20">
                  <c:v>0.0753760351529491</c:v>
                </c:pt>
                <c:pt idx="21">
                  <c:v>0.0199591387710201</c:v>
                </c:pt>
                <c:pt idx="22">
                  <c:v>0.0112480739599381</c:v>
                </c:pt>
                <c:pt idx="23">
                  <c:v>0.0729849154350146</c:v>
                </c:pt>
                <c:pt idx="24">
                  <c:v>-0.0255609201931269</c:v>
                </c:pt>
                <c:pt idx="25">
                  <c:v>-0.0220052462838823</c:v>
                </c:pt>
                <c:pt idx="26">
                  <c:v>0.0390403814632694</c:v>
                </c:pt>
                <c:pt idx="27">
                  <c:v>-0.0169224150293992</c:v>
                </c:pt>
                <c:pt idx="28">
                  <c:v>-0.022465353756382</c:v>
                </c:pt>
                <c:pt idx="29">
                  <c:v>-0.00298462915982689</c:v>
                </c:pt>
                <c:pt idx="30">
                  <c:v>-0.0773836252058076</c:v>
                </c:pt>
                <c:pt idx="31">
                  <c:v>0.124432186891629</c:v>
                </c:pt>
                <c:pt idx="32">
                  <c:v>-0.0137065358534122</c:v>
                </c:pt>
                <c:pt idx="33">
                  <c:v>0.031158572264482</c:v>
                </c:pt>
                <c:pt idx="34">
                  <c:v>0.0429848205419208</c:v>
                </c:pt>
                <c:pt idx="35">
                  <c:v>0.0420293797606095</c:v>
                </c:pt>
                <c:pt idx="36">
                  <c:v>-0.0250620023495628</c:v>
                </c:pt>
                <c:pt idx="37">
                  <c:v>0.0123175793278887</c:v>
                </c:pt>
                <c:pt idx="38">
                  <c:v>0.0727417008332232</c:v>
                </c:pt>
                <c:pt idx="39">
                  <c:v>-0.010109727530514</c:v>
                </c:pt>
                <c:pt idx="40">
                  <c:v>0.00983933241997748</c:v>
                </c:pt>
                <c:pt idx="41">
                  <c:v>0.0372471632955105</c:v>
                </c:pt>
                <c:pt idx="42">
                  <c:v>0.00285374554102269</c:v>
                </c:pt>
                <c:pt idx="43">
                  <c:v>-0.110979369219825</c:v>
                </c:pt>
                <c:pt idx="44">
                  <c:v>0.0326753801013604</c:v>
                </c:pt>
                <c:pt idx="45">
                  <c:v>-0.115846571096474</c:v>
                </c:pt>
                <c:pt idx="46">
                  <c:v>0.072597137014315</c:v>
                </c:pt>
                <c:pt idx="47">
                  <c:v>0.0995505924009259</c:v>
                </c:pt>
                <c:pt idx="48">
                  <c:v>-0.00210552390388907</c:v>
                </c:pt>
                <c:pt idx="49">
                  <c:v>0.00186173513714794</c:v>
                </c:pt>
                <c:pt idx="50">
                  <c:v>-0.142343904856293</c:v>
                </c:pt>
                <c:pt idx="51">
                  <c:v>0.0693341037122635</c:v>
                </c:pt>
                <c:pt idx="52">
                  <c:v>0.00986086721599366</c:v>
                </c:pt>
                <c:pt idx="53">
                  <c:v>0.0310326377742107</c:v>
                </c:pt>
                <c:pt idx="54">
                  <c:v>0.0063570316554229</c:v>
                </c:pt>
                <c:pt idx="55">
                  <c:v>0.0207554466933095</c:v>
                </c:pt>
                <c:pt idx="56">
                  <c:v>-0.155847436221268</c:v>
                </c:pt>
                <c:pt idx="57">
                  <c:v>-0.00792938360263318</c:v>
                </c:pt>
                <c:pt idx="58">
                  <c:v>-0.00557985220931989</c:v>
                </c:pt>
                <c:pt idx="59">
                  <c:v>0.02699423718532</c:v>
                </c:pt>
                <c:pt idx="60">
                  <c:v>-0.106172474896633</c:v>
                </c:pt>
                <c:pt idx="61">
                  <c:v>0.0437799438295059</c:v>
                </c:pt>
                <c:pt idx="62">
                  <c:v>0.0117125672681229</c:v>
                </c:pt>
                <c:pt idx="63">
                  <c:v>0.0020337922403002</c:v>
                </c:pt>
                <c:pt idx="64">
                  <c:v>0.00827478532396575</c:v>
                </c:pt>
                <c:pt idx="65">
                  <c:v>-0.0373180551254257</c:v>
                </c:pt>
                <c:pt idx="66">
                  <c:v>0.0246099404857649</c:v>
                </c:pt>
                <c:pt idx="67">
                  <c:v>0.0188383045525904</c:v>
                </c:pt>
                <c:pt idx="68">
                  <c:v>0.0397534668721109</c:v>
                </c:pt>
                <c:pt idx="69">
                  <c:v>0.108921161825726</c:v>
                </c:pt>
                <c:pt idx="70">
                  <c:v>-0.0101563544033142</c:v>
                </c:pt>
                <c:pt idx="71">
                  <c:v>-0.0153908464965571</c:v>
                </c:pt>
                <c:pt idx="72">
                  <c:v>0.0127519539284244</c:v>
                </c:pt>
                <c:pt idx="73">
                  <c:v>0.00406173842404556</c:v>
                </c:pt>
                <c:pt idx="74">
                  <c:v>0.00471952535059339</c:v>
                </c:pt>
                <c:pt idx="75">
                  <c:v>-0.0581130049657764</c:v>
                </c:pt>
                <c:pt idx="76">
                  <c:v>0.00341977771444846</c:v>
                </c:pt>
                <c:pt idx="77">
                  <c:v>0.00241408690712874</c:v>
                </c:pt>
                <c:pt idx="78">
                  <c:v>-0.00906644000566659</c:v>
                </c:pt>
                <c:pt idx="79">
                  <c:v>-0.0466047176554683</c:v>
                </c:pt>
                <c:pt idx="80">
                  <c:v>-0.144099565152197</c:v>
                </c:pt>
                <c:pt idx="81">
                  <c:v>0.162578836720392</c:v>
                </c:pt>
                <c:pt idx="82">
                  <c:v>-0.0534960819770945</c:v>
                </c:pt>
                <c:pt idx="83">
                  <c:v>0.0948893488298042</c:v>
                </c:pt>
                <c:pt idx="84">
                  <c:v>0.00508942852988237</c:v>
                </c:pt>
                <c:pt idx="85">
                  <c:v>0.00448495370370372</c:v>
                </c:pt>
                <c:pt idx="86">
                  <c:v>0.128186662825868</c:v>
                </c:pt>
                <c:pt idx="87">
                  <c:v>-0.0405974722328609</c:v>
                </c:pt>
                <c:pt idx="88">
                  <c:v>-0.000399201596806398</c:v>
                </c:pt>
                <c:pt idx="89">
                  <c:v>0.0674920127795526</c:v>
                </c:pt>
                <c:pt idx="90">
                  <c:v>0.073824666417259</c:v>
                </c:pt>
                <c:pt idx="91">
                  <c:v>-0.020322842875392</c:v>
                </c:pt>
                <c:pt idx="92">
                  <c:v>0.0469416785206258</c:v>
                </c:pt>
                <c:pt idx="93">
                  <c:v>0.0389492753623191</c:v>
                </c:pt>
                <c:pt idx="94">
                  <c:v>0</c:v>
                </c:pt>
                <c:pt idx="95">
                  <c:v>0.00708369659982555</c:v>
                </c:pt>
                <c:pt idx="96">
                  <c:v>-0.0311654582837355</c:v>
                </c:pt>
                <c:pt idx="97">
                  <c:v>-0.0170892438288842</c:v>
                </c:pt>
                <c:pt idx="98">
                  <c:v>0.0317045454545455</c:v>
                </c:pt>
                <c:pt idx="99">
                  <c:v>-0.0435069941623527</c:v>
                </c:pt>
                <c:pt idx="100">
                  <c:v>-0.0032243205895901</c:v>
                </c:pt>
                <c:pt idx="101">
                  <c:v>0.00196395563770801</c:v>
                </c:pt>
                <c:pt idx="102">
                  <c:v>0.0379338175948345</c:v>
                </c:pt>
                <c:pt idx="103">
                  <c:v>0.0650966451899577</c:v>
                </c:pt>
                <c:pt idx="104">
                  <c:v>0.083854818523154</c:v>
                </c:pt>
                <c:pt idx="105">
                  <c:v>0.0186682063125481</c:v>
                </c:pt>
                <c:pt idx="106">
                  <c:v>0.0349518231626678</c:v>
                </c:pt>
                <c:pt idx="107">
                  <c:v>-0.107794815626141</c:v>
                </c:pt>
                <c:pt idx="108">
                  <c:v>0.126035805626598</c:v>
                </c:pt>
                <c:pt idx="109">
                  <c:v>0.0688652675570094</c:v>
                </c:pt>
                <c:pt idx="110">
                  <c:v>0.0219294517637059</c:v>
                </c:pt>
                <c:pt idx="111">
                  <c:v>-0.0127256092489395</c:v>
                </c:pt>
                <c:pt idx="112">
                  <c:v>-0.0495366470092672</c:v>
                </c:pt>
                <c:pt idx="113">
                  <c:v>-0.0311115050522957</c:v>
                </c:pt>
                <c:pt idx="114">
                  <c:v>0.0713566919769462</c:v>
                </c:pt>
                <c:pt idx="115">
                  <c:v>0.0332166339339084</c:v>
                </c:pt>
                <c:pt idx="116">
                  <c:v>-0.0169421487603305</c:v>
                </c:pt>
                <c:pt idx="117">
                  <c:v>0.0433795712484237</c:v>
                </c:pt>
                <c:pt idx="118">
                  <c:v>0.0272339054064943</c:v>
                </c:pt>
                <c:pt idx="119">
                  <c:v>-0.00400031375009802</c:v>
                </c:pt>
                <c:pt idx="120">
                  <c:v>0.0984406993227278</c:v>
                </c:pt>
                <c:pt idx="121">
                  <c:v>0.1198738170347</c:v>
                </c:pt>
                <c:pt idx="122">
                  <c:v>-0.0350832266325224</c:v>
                </c:pt>
                <c:pt idx="123">
                  <c:v>-0.0560642250530785</c:v>
                </c:pt>
                <c:pt idx="124">
                  <c:v>0.01047304421171</c:v>
                </c:pt>
                <c:pt idx="125">
                  <c:v>0.0146772398441848</c:v>
                </c:pt>
                <c:pt idx="126">
                  <c:v>0.0231027627339413</c:v>
                </c:pt>
                <c:pt idx="127">
                  <c:v>0.0190967569016349</c:v>
                </c:pt>
                <c:pt idx="128">
                  <c:v>-0.118087974225787</c:v>
                </c:pt>
                <c:pt idx="129">
                  <c:v>0.0550958025795871</c:v>
                </c:pt>
                <c:pt idx="130">
                  <c:v>0.0564584511023176</c:v>
                </c:pt>
                <c:pt idx="131">
                  <c:v>-0.0370543776336031</c:v>
                </c:pt>
                <c:pt idx="132">
                  <c:v>0.0510523025630338</c:v>
                </c:pt>
                <c:pt idx="133">
                  <c:v>0.145321173671689</c:v>
                </c:pt>
                <c:pt idx="134">
                  <c:v>0.0311580405054528</c:v>
                </c:pt>
                <c:pt idx="135">
                  <c:v>0.0801857758379496</c:v>
                </c:pt>
                <c:pt idx="136">
                  <c:v>-0.107905097389142</c:v>
                </c:pt>
                <c:pt idx="137">
                  <c:v>0.0828058765460775</c:v>
                </c:pt>
                <c:pt idx="138">
                  <c:v>-0.0346972703383922</c:v>
                </c:pt>
                <c:pt idx="139">
                  <c:v>0.0478888888888889</c:v>
                </c:pt>
                <c:pt idx="140">
                  <c:v>0.0176545435266673</c:v>
                </c:pt>
                <c:pt idx="141">
                  <c:v>0.00390726751758264</c:v>
                </c:pt>
                <c:pt idx="142">
                  <c:v>0.319408406850026</c:v>
                </c:pt>
                <c:pt idx="143">
                  <c:v>0.0197443461160274</c:v>
                </c:pt>
                <c:pt idx="144">
                  <c:v>-0.0420796852701816</c:v>
                </c:pt>
                <c:pt idx="145">
                  <c:v>-0.0526654855854405</c:v>
                </c:pt>
                <c:pt idx="146">
                  <c:v>-0.0170860251615097</c:v>
                </c:pt>
                <c:pt idx="147">
                  <c:v>-0.0810775750237828</c:v>
                </c:pt>
                <c:pt idx="148">
                  <c:v>-0.0104936238294668</c:v>
                </c:pt>
                <c:pt idx="149">
                  <c:v>-0.1315864561537</c:v>
                </c:pt>
                <c:pt idx="150">
                  <c:v>0.0836755927933846</c:v>
                </c:pt>
                <c:pt idx="151">
                  <c:v>0.028298549699328</c:v>
                </c:pt>
                <c:pt idx="152">
                  <c:v>-0.095827804806133</c:v>
                </c:pt>
                <c:pt idx="153">
                  <c:v>-0.0459264090439698</c:v>
                </c:pt>
                <c:pt idx="154">
                  <c:v>0.0573088754699784</c:v>
                </c:pt>
                <c:pt idx="155">
                  <c:v>-0.0267241379310346</c:v>
                </c:pt>
                <c:pt idx="156">
                  <c:v>-0.0202059344552701</c:v>
                </c:pt>
                <c:pt idx="157">
                  <c:v>0.061754901406859</c:v>
                </c:pt>
                <c:pt idx="158">
                  <c:v>0.00665176670923806</c:v>
                </c:pt>
                <c:pt idx="159">
                  <c:v>0.217740656552308</c:v>
                </c:pt>
              </c:numCache>
            </c:numRef>
          </c:val>
        </c:ser>
        <c:gapWidth val="150"/>
        <c:overlap val="0"/>
        <c:axId val="53386261"/>
        <c:axId val="76209859"/>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(Calc)'!$AD$3:$AD$500</c:f>
              <c:numCache>
                <c:formatCode>#,##0.00</c:formatCode>
                <c:ptCount val="498"/>
                <c:pt idx="0">
                  <c:v>44.35</c:v>
                </c:pt>
                <c:pt idx="1">
                  <c:v>44.0710691823899</c:v>
                </c:pt>
                <c:pt idx="2">
                  <c:v>43.7921383647799</c:v>
                </c:pt>
                <c:pt idx="3">
                  <c:v>43.5132075471698</c:v>
                </c:pt>
                <c:pt idx="4">
                  <c:v>43.2342767295598</c:v>
                </c:pt>
                <c:pt idx="5">
                  <c:v>42.9553459119497</c:v>
                </c:pt>
                <c:pt idx="6">
                  <c:v>42.6764150943396</c:v>
                </c:pt>
                <c:pt idx="7">
                  <c:v>42.3974842767296</c:v>
                </c:pt>
                <c:pt idx="8">
                  <c:v>42.1185534591195</c:v>
                </c:pt>
                <c:pt idx="9">
                  <c:v>41.8396226415094</c:v>
                </c:pt>
                <c:pt idx="10">
                  <c:v>41.5606918238994</c:v>
                </c:pt>
                <c:pt idx="11">
                  <c:v>41.2817610062893</c:v>
                </c:pt>
                <c:pt idx="12">
                  <c:v>41.0028301886793</c:v>
                </c:pt>
                <c:pt idx="13">
                  <c:v>40.7238993710692</c:v>
                </c:pt>
                <c:pt idx="14">
                  <c:v>40.4449685534591</c:v>
                </c:pt>
                <c:pt idx="15">
                  <c:v>40.1660377358491</c:v>
                </c:pt>
                <c:pt idx="16">
                  <c:v>39.887106918239</c:v>
                </c:pt>
                <c:pt idx="17">
                  <c:v>39.6081761006289</c:v>
                </c:pt>
                <c:pt idx="18">
                  <c:v>39.3292452830189</c:v>
                </c:pt>
                <c:pt idx="19">
                  <c:v>39.0503144654088</c:v>
                </c:pt>
                <c:pt idx="20">
                  <c:v>38.7713836477987</c:v>
                </c:pt>
                <c:pt idx="21">
                  <c:v>38.4924528301887</c:v>
                </c:pt>
                <c:pt idx="22">
                  <c:v>38.2135220125786</c:v>
                </c:pt>
                <c:pt idx="23">
                  <c:v>37.9345911949686</c:v>
                </c:pt>
                <c:pt idx="24">
                  <c:v>37.6556603773585</c:v>
                </c:pt>
                <c:pt idx="25">
                  <c:v>37.3767295597484</c:v>
                </c:pt>
                <c:pt idx="26">
                  <c:v>37.0977987421384</c:v>
                </c:pt>
                <c:pt idx="27">
                  <c:v>36.8188679245283</c:v>
                </c:pt>
                <c:pt idx="28">
                  <c:v>36.5399371069182</c:v>
                </c:pt>
                <c:pt idx="29">
                  <c:v>36.2610062893082</c:v>
                </c:pt>
                <c:pt idx="30">
                  <c:v>35.9820754716981</c:v>
                </c:pt>
                <c:pt idx="31">
                  <c:v>35.7031446540881</c:v>
                </c:pt>
                <c:pt idx="32">
                  <c:v>35.424213836478</c:v>
                </c:pt>
                <c:pt idx="33">
                  <c:v>35.1452830188679</c:v>
                </c:pt>
                <c:pt idx="34">
                  <c:v>34.8663522012579</c:v>
                </c:pt>
                <c:pt idx="35">
                  <c:v>34.5874213836478</c:v>
                </c:pt>
                <c:pt idx="36">
                  <c:v>34.3084905660377</c:v>
                </c:pt>
                <c:pt idx="37">
                  <c:v>34.0295597484277</c:v>
                </c:pt>
                <c:pt idx="38">
                  <c:v>33.7506289308176</c:v>
                </c:pt>
                <c:pt idx="39">
                  <c:v>33.4716981132076</c:v>
                </c:pt>
                <c:pt idx="40">
                  <c:v>33.1927672955975</c:v>
                </c:pt>
                <c:pt idx="41">
                  <c:v>32.9138364779874</c:v>
                </c:pt>
                <c:pt idx="42">
                  <c:v>32.6349056603774</c:v>
                </c:pt>
                <c:pt idx="43">
                  <c:v>32.3559748427673</c:v>
                </c:pt>
                <c:pt idx="44">
                  <c:v>32.0770440251572</c:v>
                </c:pt>
                <c:pt idx="45">
                  <c:v>31.7981132075472</c:v>
                </c:pt>
                <c:pt idx="46">
                  <c:v>31.5191823899371</c:v>
                </c:pt>
                <c:pt idx="47">
                  <c:v>31.240251572327</c:v>
                </c:pt>
                <c:pt idx="48">
                  <c:v>30.961320754717</c:v>
                </c:pt>
                <c:pt idx="49">
                  <c:v>30.6823899371069</c:v>
                </c:pt>
                <c:pt idx="50">
                  <c:v>30.4034591194969</c:v>
                </c:pt>
                <c:pt idx="51">
                  <c:v>30.1245283018868</c:v>
                </c:pt>
                <c:pt idx="52">
                  <c:v>29.8455974842767</c:v>
                </c:pt>
                <c:pt idx="53">
                  <c:v>29.5666666666667</c:v>
                </c:pt>
                <c:pt idx="54">
                  <c:v>29.2877358490566</c:v>
                </c:pt>
                <c:pt idx="55">
                  <c:v>29.0088050314465</c:v>
                </c:pt>
                <c:pt idx="56">
                  <c:v>28.7298742138365</c:v>
                </c:pt>
                <c:pt idx="57">
                  <c:v>28.4509433962264</c:v>
                </c:pt>
                <c:pt idx="58">
                  <c:v>28.1720125786164</c:v>
                </c:pt>
                <c:pt idx="59">
                  <c:v>27.8930817610063</c:v>
                </c:pt>
                <c:pt idx="60">
                  <c:v>27.6141509433962</c:v>
                </c:pt>
                <c:pt idx="61">
                  <c:v>27.3352201257862</c:v>
                </c:pt>
                <c:pt idx="62">
                  <c:v>27.0562893081761</c:v>
                </c:pt>
                <c:pt idx="63">
                  <c:v>26.777358490566</c:v>
                </c:pt>
                <c:pt idx="64">
                  <c:v>26.498427672956</c:v>
                </c:pt>
                <c:pt idx="65">
                  <c:v>26.2194968553459</c:v>
                </c:pt>
                <c:pt idx="66">
                  <c:v>25.9405660377359</c:v>
                </c:pt>
                <c:pt idx="67">
                  <c:v>25.6616352201258</c:v>
                </c:pt>
                <c:pt idx="68">
                  <c:v>25.3827044025157</c:v>
                </c:pt>
                <c:pt idx="69">
                  <c:v>25.1037735849057</c:v>
                </c:pt>
                <c:pt idx="70">
                  <c:v>24.8248427672956</c:v>
                </c:pt>
                <c:pt idx="71">
                  <c:v>24.5459119496855</c:v>
                </c:pt>
                <c:pt idx="72">
                  <c:v>24.2669811320755</c:v>
                </c:pt>
                <c:pt idx="73">
                  <c:v>23.9880503144654</c:v>
                </c:pt>
                <c:pt idx="74">
                  <c:v>23.7091194968553</c:v>
                </c:pt>
                <c:pt idx="75">
                  <c:v>23.4301886792453</c:v>
                </c:pt>
                <c:pt idx="76">
                  <c:v>23.1512578616352</c:v>
                </c:pt>
                <c:pt idx="77">
                  <c:v>22.8723270440252</c:v>
                </c:pt>
                <c:pt idx="78">
                  <c:v>22.5933962264151</c:v>
                </c:pt>
                <c:pt idx="79">
                  <c:v>22.314465408805</c:v>
                </c:pt>
                <c:pt idx="80">
                  <c:v>22.035534591195</c:v>
                </c:pt>
                <c:pt idx="81">
                  <c:v>21.7566037735849</c:v>
                </c:pt>
                <c:pt idx="82">
                  <c:v>21.4776729559748</c:v>
                </c:pt>
                <c:pt idx="83">
                  <c:v>21.1987421383648</c:v>
                </c:pt>
                <c:pt idx="84">
                  <c:v>20.9198113207547</c:v>
                </c:pt>
                <c:pt idx="85">
                  <c:v>20.6408805031447</c:v>
                </c:pt>
                <c:pt idx="86">
                  <c:v>20.3619496855346</c:v>
                </c:pt>
                <c:pt idx="87">
                  <c:v>20.0830188679245</c:v>
                </c:pt>
                <c:pt idx="88">
                  <c:v>19.8040880503145</c:v>
                </c:pt>
                <c:pt idx="89">
                  <c:v>19.5251572327044</c:v>
                </c:pt>
                <c:pt idx="90">
                  <c:v>19.2462264150943</c:v>
                </c:pt>
                <c:pt idx="91">
                  <c:v>18.9672955974843</c:v>
                </c:pt>
                <c:pt idx="92">
                  <c:v>18.6883647798742</c:v>
                </c:pt>
                <c:pt idx="93">
                  <c:v>18.4094339622642</c:v>
                </c:pt>
                <c:pt idx="94">
                  <c:v>18.1305031446541</c:v>
                </c:pt>
                <c:pt idx="95">
                  <c:v>17.851572327044</c:v>
                </c:pt>
                <c:pt idx="96">
                  <c:v>17.572641509434</c:v>
                </c:pt>
                <c:pt idx="97">
                  <c:v>17.2937106918239</c:v>
                </c:pt>
                <c:pt idx="98">
                  <c:v>17.0147798742138</c:v>
                </c:pt>
                <c:pt idx="99">
                  <c:v>16.7358490566038</c:v>
                </c:pt>
                <c:pt idx="100">
                  <c:v>16.4569182389937</c:v>
                </c:pt>
                <c:pt idx="101">
                  <c:v>16.1779874213836</c:v>
                </c:pt>
                <c:pt idx="102">
                  <c:v>15.8990566037736</c:v>
                </c:pt>
                <c:pt idx="103">
                  <c:v>15.6201257861635</c:v>
                </c:pt>
                <c:pt idx="104">
                  <c:v>15.3411949685535</c:v>
                </c:pt>
                <c:pt idx="105">
                  <c:v>15.0622641509434</c:v>
                </c:pt>
                <c:pt idx="106">
                  <c:v>14.7833333333333</c:v>
                </c:pt>
                <c:pt idx="107">
                  <c:v>14.5044025157233</c:v>
                </c:pt>
                <c:pt idx="108">
                  <c:v>14.2254716981132</c:v>
                </c:pt>
                <c:pt idx="109">
                  <c:v>13.9465408805031</c:v>
                </c:pt>
                <c:pt idx="110">
                  <c:v>13.6676100628931</c:v>
                </c:pt>
                <c:pt idx="111">
                  <c:v>13.388679245283</c:v>
                </c:pt>
                <c:pt idx="112">
                  <c:v>13.109748427673</c:v>
                </c:pt>
                <c:pt idx="113">
                  <c:v>12.8308176100629</c:v>
                </c:pt>
                <c:pt idx="114">
                  <c:v>12.5518867924528</c:v>
                </c:pt>
                <c:pt idx="115">
                  <c:v>12.2729559748428</c:v>
                </c:pt>
                <c:pt idx="116">
                  <c:v>11.9940251572327</c:v>
                </c:pt>
                <c:pt idx="117">
                  <c:v>11.7150943396226</c:v>
                </c:pt>
                <c:pt idx="118">
                  <c:v>11.4361635220126</c:v>
                </c:pt>
                <c:pt idx="119">
                  <c:v>11.1572327044025</c:v>
                </c:pt>
                <c:pt idx="120">
                  <c:v>10.8783018867925</c:v>
                </c:pt>
                <c:pt idx="121">
                  <c:v>10.5993710691824</c:v>
                </c:pt>
                <c:pt idx="122">
                  <c:v>10.3204402515723</c:v>
                </c:pt>
                <c:pt idx="123">
                  <c:v>10.0415094339623</c:v>
                </c:pt>
                <c:pt idx="124">
                  <c:v>9.7625786163522</c:v>
                </c:pt>
                <c:pt idx="125">
                  <c:v>9.48364779874214</c:v>
                </c:pt>
                <c:pt idx="126">
                  <c:v>9.20471698113207</c:v>
                </c:pt>
                <c:pt idx="127">
                  <c:v>8.92578616352201</c:v>
                </c:pt>
                <c:pt idx="128">
                  <c:v>8.64685534591195</c:v>
                </c:pt>
                <c:pt idx="129">
                  <c:v>8.36792452830188</c:v>
                </c:pt>
                <c:pt idx="130">
                  <c:v>8.08899371069182</c:v>
                </c:pt>
                <c:pt idx="131">
                  <c:v>7.81006289308176</c:v>
                </c:pt>
                <c:pt idx="132">
                  <c:v>7.5311320754717</c:v>
                </c:pt>
                <c:pt idx="133">
                  <c:v>7.25220125786164</c:v>
                </c:pt>
                <c:pt idx="134">
                  <c:v>6.97327044025157</c:v>
                </c:pt>
                <c:pt idx="135">
                  <c:v>6.69433962264151</c:v>
                </c:pt>
                <c:pt idx="136">
                  <c:v>6.41540880503145</c:v>
                </c:pt>
                <c:pt idx="137">
                  <c:v>6.13647798742139</c:v>
                </c:pt>
                <c:pt idx="138">
                  <c:v>5.85754716981132</c:v>
                </c:pt>
                <c:pt idx="139">
                  <c:v>5.57861635220126</c:v>
                </c:pt>
                <c:pt idx="140">
                  <c:v>5.2996855345912</c:v>
                </c:pt>
                <c:pt idx="141">
                  <c:v>5.02075471698113</c:v>
                </c:pt>
                <c:pt idx="142">
                  <c:v>4.74182389937107</c:v>
                </c:pt>
                <c:pt idx="143">
                  <c:v>4.46289308176101</c:v>
                </c:pt>
                <c:pt idx="144">
                  <c:v>4.18396226415094</c:v>
                </c:pt>
                <c:pt idx="145">
                  <c:v>3.90503144654088</c:v>
                </c:pt>
                <c:pt idx="146">
                  <c:v>3.62610062893081</c:v>
                </c:pt>
                <c:pt idx="147">
                  <c:v>3.34716981132075</c:v>
                </c:pt>
                <c:pt idx="148">
                  <c:v>3.06823899371069</c:v>
                </c:pt>
                <c:pt idx="149">
                  <c:v>2.78930817610063</c:v>
                </c:pt>
                <c:pt idx="150">
                  <c:v>2.51037735849057</c:v>
                </c:pt>
                <c:pt idx="151">
                  <c:v>2.23144654088051</c:v>
                </c:pt>
                <c:pt idx="152">
                  <c:v>1.95251572327044</c:v>
                </c:pt>
                <c:pt idx="153">
                  <c:v>1.67358490566038</c:v>
                </c:pt>
                <c:pt idx="154">
                  <c:v>1.39465408805031</c:v>
                </c:pt>
                <c:pt idx="155">
                  <c:v>1.11572327044026</c:v>
                </c:pt>
                <c:pt idx="156">
                  <c:v>0.836792452830188</c:v>
                </c:pt>
                <c:pt idx="157">
                  <c:v>0.557861635220128</c:v>
                </c:pt>
                <c:pt idx="158">
                  <c:v>0.27893081761006</c:v>
                </c:pt>
                <c:pt idx="159">
                  <c:v>0</c:v>
                </c:pt>
              </c:numCache>
            </c:numRef>
          </c:val>
          <c:smooth val="0"/>
        </c:ser>
        <c:hiLowLines>
          <c:spPr>
            <a:ln w="0">
              <a:noFill/>
            </a:ln>
          </c:spPr>
        </c:hiLowLines>
        <c:marker val="0"/>
        <c:axId val="5446747"/>
        <c:axId val="56472043"/>
      </c:lineChart>
      <c:dateAx>
        <c:axId val="5338626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6209859"/>
        <c:auto val="1"/>
        <c:lblOffset val="100"/>
        <c:baseTimeUnit val="days"/>
      </c:dateAx>
      <c:valAx>
        <c:axId val="7620985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386261"/>
        <c:crosses val="autoZero"/>
        <c:crossBetween val="between"/>
      </c:valAx>
      <c:dateAx>
        <c:axId val="544674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472043"/>
        <c:auto val="1"/>
        <c:lblOffset val="100"/>
        <c:baseTimeUnit val="days"/>
      </c:dateAx>
      <c:valAx>
        <c:axId val="5647204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4674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(Calc)'!$J$3:$J$500</c:f>
              <c:numCache>
                <c:formatCode>0.0%</c:formatCode>
                <c:ptCount val="498"/>
                <c:pt idx="0">
                  <c:v>-0.0143249891477354</c:v>
                </c:pt>
                <c:pt idx="1">
                  <c:v>-0.0123311802701116</c:v>
                </c:pt>
                <c:pt idx="2">
                  <c:v>0.0300237812128419</c:v>
                </c:pt>
                <c:pt idx="3">
                  <c:v>-0.0106782106782106</c:v>
                </c:pt>
                <c:pt idx="4">
                  <c:v>-0.0287339556592765</c:v>
                </c:pt>
                <c:pt idx="5">
                  <c:v>-0.0234269409821295</c:v>
                </c:pt>
                <c:pt idx="6">
                  <c:v>0.10564354913117</c:v>
                </c:pt>
                <c:pt idx="7">
                  <c:v>0.0382475660639778</c:v>
                </c:pt>
                <c:pt idx="8">
                  <c:v>0.029202947086403</c:v>
                </c:pt>
                <c:pt idx="9">
                  <c:v>-0.00885070935832344</c:v>
                </c:pt>
                <c:pt idx="10">
                  <c:v>-0.0122127380170717</c:v>
                </c:pt>
                <c:pt idx="11">
                  <c:v>-0.0127625631480989</c:v>
                </c:pt>
                <c:pt idx="12">
                  <c:v>0.0859143549690278</c:v>
                </c:pt>
                <c:pt idx="13">
                  <c:v>0.0625</c:v>
                </c:pt>
                <c:pt idx="14">
                  <c:v>-0.0120214752567693</c:v>
                </c:pt>
                <c:pt idx="15">
                  <c:v>-0.0220909627879504</c:v>
                </c:pt>
                <c:pt idx="16">
                  <c:v>-0.0128050253684465</c:v>
                </c:pt>
                <c:pt idx="17">
                  <c:v>0.062163485070974</c:v>
                </c:pt>
                <c:pt idx="18">
                  <c:v>0.00622119815668221</c:v>
                </c:pt>
                <c:pt idx="19">
                  <c:v>-0.0178612319670255</c:v>
                </c:pt>
                <c:pt idx="20">
                  <c:v>-0.0106085334576824</c:v>
                </c:pt>
                <c:pt idx="21">
                  <c:v>-0.0708141864027336</c:v>
                </c:pt>
                <c:pt idx="22">
                  <c:v>0.0817905148364191</c:v>
                </c:pt>
                <c:pt idx="23">
                  <c:v>0.106318133864729</c:v>
                </c:pt>
                <c:pt idx="24">
                  <c:v>0.0259588895952532</c:v>
                </c:pt>
                <c:pt idx="25">
                  <c:v>-0.044717546215016</c:v>
                </c:pt>
                <c:pt idx="26">
                  <c:v>0.181837837837838</c:v>
                </c:pt>
                <c:pt idx="27">
                  <c:v>0.0707098426637396</c:v>
                </c:pt>
                <c:pt idx="28">
                  <c:v>0.0482699700982487</c:v>
                </c:pt>
                <c:pt idx="29">
                  <c:v>-0.00855745721271395</c:v>
                </c:pt>
                <c:pt idx="30">
                  <c:v>-0.128565556925606</c:v>
                </c:pt>
                <c:pt idx="31">
                  <c:v>0.0755589095368361</c:v>
                </c:pt>
                <c:pt idx="32">
                  <c:v>-0.00122785476232246</c:v>
                </c:pt>
                <c:pt idx="33">
                  <c:v>0.0570776255707763</c:v>
                </c:pt>
                <c:pt idx="34">
                  <c:v>0.0333942515368002</c:v>
                </c:pt>
                <c:pt idx="35">
                  <c:v>0.0335209003215433</c:v>
                </c:pt>
                <c:pt idx="36">
                  <c:v>-0.0346892743252703</c:v>
                </c:pt>
                <c:pt idx="37">
                  <c:v>0.0475384739344129</c:v>
                </c:pt>
                <c:pt idx="38">
                  <c:v>0.0795323436658719</c:v>
                </c:pt>
                <c:pt idx="39">
                  <c:v>-0.0128250801567509</c:v>
                </c:pt>
                <c:pt idx="40">
                  <c:v>-0.0574521833273187</c:v>
                </c:pt>
                <c:pt idx="41">
                  <c:v>0.000536028792403664</c:v>
                </c:pt>
                <c:pt idx="42">
                  <c:v>0.0157661105158426</c:v>
                </c:pt>
                <c:pt idx="43">
                  <c:v>-0.144439421338156</c:v>
                </c:pt>
                <c:pt idx="44">
                  <c:v>-0.0424482606781154</c:v>
                </c:pt>
                <c:pt idx="45">
                  <c:v>-0.152763726662375</c:v>
                </c:pt>
                <c:pt idx="46">
                  <c:v>0.00412505427702992</c:v>
                </c:pt>
                <c:pt idx="47">
                  <c:v>0.160216216216216</c:v>
                </c:pt>
                <c:pt idx="48">
                  <c:v>-0.0476146105106224</c:v>
                </c:pt>
                <c:pt idx="49">
                  <c:v>-0.0642794247138244</c:v>
                </c:pt>
                <c:pt idx="50">
                  <c:v>-0.102467586783772</c:v>
                </c:pt>
                <c:pt idx="51">
                  <c:v>0.0560344827586208</c:v>
                </c:pt>
                <c:pt idx="52">
                  <c:v>-0.00353006067291795</c:v>
                </c:pt>
                <c:pt idx="53">
                  <c:v>0.182663566921289</c:v>
                </c:pt>
                <c:pt idx="54">
                  <c:v>-0.0488626790227464</c:v>
                </c:pt>
                <c:pt idx="55">
                  <c:v>0.0468457828953843</c:v>
                </c:pt>
                <c:pt idx="56">
                  <c:v>0.0395788286170913</c:v>
                </c:pt>
                <c:pt idx="57">
                  <c:v>-0.0291191897268945</c:v>
                </c:pt>
                <c:pt idx="58">
                  <c:v>-0.0758196721311476</c:v>
                </c:pt>
                <c:pt idx="59">
                  <c:v>0.122052005644023</c:v>
                </c:pt>
                <c:pt idx="60">
                  <c:v>-0.139046079223929</c:v>
                </c:pt>
                <c:pt idx="61">
                  <c:v>0.0653103808033386</c:v>
                </c:pt>
                <c:pt idx="62">
                  <c:v>-0.0456370580746254</c:v>
                </c:pt>
                <c:pt idx="63">
                  <c:v>0.0328373524884555</c:v>
                </c:pt>
                <c:pt idx="64">
                  <c:v>0.0131147540983605</c:v>
                </c:pt>
                <c:pt idx="65">
                  <c:v>-0.120721780915956</c:v>
                </c:pt>
                <c:pt idx="66">
                  <c:v>-0.0165068034798125</c:v>
                </c:pt>
                <c:pt idx="67">
                  <c:v>0.0153095940122476</c:v>
                </c:pt>
                <c:pt idx="68">
                  <c:v>0.105327823076064</c:v>
                </c:pt>
                <c:pt idx="69">
                  <c:v>0.0644704931285369</c:v>
                </c:pt>
                <c:pt idx="70">
                  <c:v>-0.0242073286500855</c:v>
                </c:pt>
                <c:pt idx="71">
                  <c:v>-0.115770016538574</c:v>
                </c:pt>
                <c:pt idx="72">
                  <c:v>0.011662449114314</c:v>
                </c:pt>
                <c:pt idx="73">
                  <c:v>0.0781946710168571</c:v>
                </c:pt>
                <c:pt idx="74">
                  <c:v>-0.00685898729070011</c:v>
                </c:pt>
                <c:pt idx="75">
                  <c:v>-0.0527117611212675</c:v>
                </c:pt>
                <c:pt idx="76">
                  <c:v>-0.00718344590972453</c:v>
                </c:pt>
                <c:pt idx="77">
                  <c:v>0.084233261339093</c:v>
                </c:pt>
                <c:pt idx="78">
                  <c:v>-0.0601593625498008</c:v>
                </c:pt>
                <c:pt idx="79">
                  <c:v>-0.066341670199237</c:v>
                </c:pt>
                <c:pt idx="80">
                  <c:v>-0.267196367763905</c:v>
                </c:pt>
                <c:pt idx="81">
                  <c:v>0.0745043370508054</c:v>
                </c:pt>
                <c:pt idx="82">
                  <c:v>-0.0106674354908464</c:v>
                </c:pt>
                <c:pt idx="83">
                  <c:v>0.159551216669095</c:v>
                </c:pt>
                <c:pt idx="84">
                  <c:v>0.0116863533551144</c:v>
                </c:pt>
                <c:pt idx="85">
                  <c:v>0.0637187926965595</c:v>
                </c:pt>
                <c:pt idx="86">
                  <c:v>0.14140588510042</c:v>
                </c:pt>
                <c:pt idx="87">
                  <c:v>-0.0472634271099744</c:v>
                </c:pt>
                <c:pt idx="88">
                  <c:v>0.0117040695801569</c:v>
                </c:pt>
                <c:pt idx="89">
                  <c:v>0.149225217575886</c:v>
                </c:pt>
                <c:pt idx="90">
                  <c:v>0.0649242704100481</c:v>
                </c:pt>
                <c:pt idx="91">
                  <c:v>0.0692047524065562</c:v>
                </c:pt>
                <c:pt idx="92">
                  <c:v>0.00932760158974766</c:v>
                </c:pt>
                <c:pt idx="93">
                  <c:v>-0.01976856316297</c:v>
                </c:pt>
                <c:pt idx="94">
                  <c:v>0.0192654533530086</c:v>
                </c:pt>
                <c:pt idx="95">
                  <c:v>-0.0813962840826832</c:v>
                </c:pt>
                <c:pt idx="96">
                  <c:v>-0.0274056562472638</c:v>
                </c:pt>
                <c:pt idx="97">
                  <c:v>-0.0573460568959309</c:v>
                </c:pt>
                <c:pt idx="98">
                  <c:v>0.133607105338554</c:v>
                </c:pt>
                <c:pt idx="99">
                  <c:v>0.016680707666386</c:v>
                </c:pt>
                <c:pt idx="100">
                  <c:v>-0.0264335432548891</c:v>
                </c:pt>
                <c:pt idx="101">
                  <c:v>0.0113201123499873</c:v>
                </c:pt>
                <c:pt idx="102">
                  <c:v>0.103854569937721</c:v>
                </c:pt>
                <c:pt idx="103">
                  <c:v>0.196858798414151</c:v>
                </c:pt>
                <c:pt idx="104">
                  <c:v>0.0349726079755384</c:v>
                </c:pt>
                <c:pt idx="105">
                  <c:v>-0.0335446543977349</c:v>
                </c:pt>
                <c:pt idx="106">
                  <c:v>0.195070691631639</c:v>
                </c:pt>
                <c:pt idx="107">
                  <c:v>-0.0332001065814016</c:v>
                </c:pt>
                <c:pt idx="108">
                  <c:v>0.114430603020615</c:v>
                </c:pt>
                <c:pt idx="109">
                  <c:v>0.082253437530913</c:v>
                </c:pt>
                <c:pt idx="110">
                  <c:v>0.0216626296787168</c:v>
                </c:pt>
                <c:pt idx="111">
                  <c:v>0.0632520688883917</c:v>
                </c:pt>
                <c:pt idx="112">
                  <c:v>0.0374437292271446</c:v>
                </c:pt>
                <c:pt idx="113">
                  <c:v>-0.159860497181556</c:v>
                </c:pt>
                <c:pt idx="114">
                  <c:v>0.140367813872665</c:v>
                </c:pt>
                <c:pt idx="115">
                  <c:v>0.0031322751322751</c:v>
                </c:pt>
                <c:pt idx="116">
                  <c:v>0.0164985864382463</c:v>
                </c:pt>
                <c:pt idx="117">
                  <c:v>0.102781237027813</c:v>
                </c:pt>
                <c:pt idx="118">
                  <c:v>0.0709553564706766</c:v>
                </c:pt>
                <c:pt idx="119">
                  <c:v>0.108010263259639</c:v>
                </c:pt>
                <c:pt idx="120">
                  <c:v>0.0940553229285623</c:v>
                </c:pt>
                <c:pt idx="121">
                  <c:v>0.0511757371915684</c:v>
                </c:pt>
                <c:pt idx="122">
                  <c:v>0.101726706018646</c:v>
                </c:pt>
                <c:pt idx="123">
                  <c:v>0.0381052526162935</c:v>
                </c:pt>
                <c:pt idx="124">
                  <c:v>-0.0486687246768281</c:v>
                </c:pt>
                <c:pt idx="125">
                  <c:v>0.0429954875019014</c:v>
                </c:pt>
                <c:pt idx="126">
                  <c:v>0.0401050021875455</c:v>
                </c:pt>
                <c:pt idx="127">
                  <c:v>-0.036899420452421</c:v>
                </c:pt>
                <c:pt idx="128">
                  <c:v>-0.102006648387645</c:v>
                </c:pt>
                <c:pt idx="129">
                  <c:v>0.150774136020968</c:v>
                </c:pt>
                <c:pt idx="130">
                  <c:v>-0.00758411796473257</c:v>
                </c:pt>
                <c:pt idx="131">
                  <c:v>-0.155302134103062</c:v>
                </c:pt>
                <c:pt idx="132">
                  <c:v>0.0256568259481262</c:v>
                </c:pt>
                <c:pt idx="133">
                  <c:v>0.14842427221585</c:v>
                </c:pt>
                <c:pt idx="134">
                  <c:v>0.0819679927710271</c:v>
                </c:pt>
                <c:pt idx="135">
                  <c:v>0.0915164835164835</c:v>
                </c:pt>
                <c:pt idx="136">
                  <c:v>0.0915955219072164</c:v>
                </c:pt>
                <c:pt idx="137">
                  <c:v>0.377344917270765</c:v>
                </c:pt>
                <c:pt idx="138">
                  <c:v>-0.0296638542922192</c:v>
                </c:pt>
                <c:pt idx="139">
                  <c:v>0.0363397971154511</c:v>
                </c:pt>
                <c:pt idx="140">
                  <c:v>0.292949605795866</c:v>
                </c:pt>
                <c:pt idx="141">
                  <c:v>-0.110181799454087</c:v>
                </c:pt>
                <c:pt idx="142">
                  <c:v>0.136106866694448</c:v>
                </c:pt>
                <c:pt idx="143">
                  <c:v>0.155238114645528</c:v>
                </c:pt>
                <c:pt idx="144">
                  <c:v>-0.00146407719038277</c:v>
                </c:pt>
                <c:pt idx="145">
                  <c:v>-0.138452162238553</c:v>
                </c:pt>
                <c:pt idx="146">
                  <c:v>0.00398806655662742</c:v>
                </c:pt>
                <c:pt idx="147">
                  <c:v>-0.133105279281119</c:v>
                </c:pt>
                <c:pt idx="148">
                  <c:v>0.0848106484480828</c:v>
                </c:pt>
                <c:pt idx="149">
                  <c:v>-0.106324990498941</c:v>
                </c:pt>
                <c:pt idx="150">
                  <c:v>0.066267329258958</c:v>
                </c:pt>
                <c:pt idx="151">
                  <c:v>0.107216518340417</c:v>
                </c:pt>
                <c:pt idx="152">
                  <c:v>-0.00502233291480558</c:v>
                </c:pt>
                <c:pt idx="153">
                  <c:v>-0.0350855416951116</c:v>
                </c:pt>
                <c:pt idx="154">
                  <c:v>0.0897562335184272</c:v>
                </c:pt>
                <c:pt idx="155">
                  <c:v>-0.0406555248428571</c:v>
                </c:pt>
                <c:pt idx="156">
                  <c:v>0.0415684022722145</c:v>
                </c:pt>
                <c:pt idx="157">
                  <c:v>0.0654459539279386</c:v>
                </c:pt>
                <c:pt idx="158">
                  <c:v>-0.0261485013120449</c:v>
                </c:pt>
                <c:pt idx="159">
                  <c:v>-0.869693922085808</c:v>
                </c:pt>
              </c:numCache>
            </c:numRef>
          </c:val>
        </c:ser>
        <c:gapWidth val="150"/>
        <c:overlap val="0"/>
        <c:axId val="59058747"/>
        <c:axId val="14543089"/>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(Calc)'!$AE$3:$AE$500</c:f>
              <c:numCache>
                <c:formatCode>#,##0.00</c:formatCode>
                <c:ptCount val="498"/>
                <c:pt idx="0">
                  <c:v>69.11</c:v>
                </c:pt>
                <c:pt idx="1">
                  <c:v>68.6753459119497</c:v>
                </c:pt>
                <c:pt idx="2">
                  <c:v>68.2406918238994</c:v>
                </c:pt>
                <c:pt idx="3">
                  <c:v>67.8060377358491</c:v>
                </c:pt>
                <c:pt idx="4">
                  <c:v>67.3713836477987</c:v>
                </c:pt>
                <c:pt idx="5">
                  <c:v>66.9367295597484</c:v>
                </c:pt>
                <c:pt idx="6">
                  <c:v>66.5020754716981</c:v>
                </c:pt>
                <c:pt idx="7">
                  <c:v>66.0674213836478</c:v>
                </c:pt>
                <c:pt idx="8">
                  <c:v>65.6327672955975</c:v>
                </c:pt>
                <c:pt idx="9">
                  <c:v>65.1981132075472</c:v>
                </c:pt>
                <c:pt idx="10">
                  <c:v>64.7634591194969</c:v>
                </c:pt>
                <c:pt idx="11">
                  <c:v>64.3288050314465</c:v>
                </c:pt>
                <c:pt idx="12">
                  <c:v>63.8941509433962</c:v>
                </c:pt>
                <c:pt idx="13">
                  <c:v>63.4594968553459</c:v>
                </c:pt>
                <c:pt idx="14">
                  <c:v>63.0248427672956</c:v>
                </c:pt>
                <c:pt idx="15">
                  <c:v>62.5901886792453</c:v>
                </c:pt>
                <c:pt idx="16">
                  <c:v>62.155534591195</c:v>
                </c:pt>
                <c:pt idx="17">
                  <c:v>61.7208805031447</c:v>
                </c:pt>
                <c:pt idx="18">
                  <c:v>61.2862264150943</c:v>
                </c:pt>
                <c:pt idx="19">
                  <c:v>60.851572327044</c:v>
                </c:pt>
                <c:pt idx="20">
                  <c:v>60.4169182389937</c:v>
                </c:pt>
                <c:pt idx="21">
                  <c:v>59.9822641509434</c:v>
                </c:pt>
                <c:pt idx="22">
                  <c:v>59.5476100628931</c:v>
                </c:pt>
                <c:pt idx="23">
                  <c:v>59.1129559748428</c:v>
                </c:pt>
                <c:pt idx="24">
                  <c:v>58.6783018867925</c:v>
                </c:pt>
                <c:pt idx="25">
                  <c:v>58.2436477987421</c:v>
                </c:pt>
                <c:pt idx="26">
                  <c:v>57.8089937106918</c:v>
                </c:pt>
                <c:pt idx="27">
                  <c:v>57.3743396226415</c:v>
                </c:pt>
                <c:pt idx="28">
                  <c:v>56.9396855345912</c:v>
                </c:pt>
                <c:pt idx="29">
                  <c:v>56.5050314465409</c:v>
                </c:pt>
                <c:pt idx="30">
                  <c:v>56.0703773584906</c:v>
                </c:pt>
                <c:pt idx="31">
                  <c:v>55.6357232704403</c:v>
                </c:pt>
                <c:pt idx="32">
                  <c:v>55.2010691823899</c:v>
                </c:pt>
                <c:pt idx="33">
                  <c:v>54.7664150943396</c:v>
                </c:pt>
                <c:pt idx="34">
                  <c:v>54.3317610062893</c:v>
                </c:pt>
                <c:pt idx="35">
                  <c:v>53.897106918239</c:v>
                </c:pt>
                <c:pt idx="36">
                  <c:v>53.4624528301887</c:v>
                </c:pt>
                <c:pt idx="37">
                  <c:v>53.0277987421384</c:v>
                </c:pt>
                <c:pt idx="38">
                  <c:v>52.5931446540881</c:v>
                </c:pt>
                <c:pt idx="39">
                  <c:v>52.1584905660377</c:v>
                </c:pt>
                <c:pt idx="40">
                  <c:v>51.7238364779874</c:v>
                </c:pt>
                <c:pt idx="41">
                  <c:v>51.2891823899371</c:v>
                </c:pt>
                <c:pt idx="42">
                  <c:v>50.8545283018868</c:v>
                </c:pt>
                <c:pt idx="43">
                  <c:v>50.4198742138365</c:v>
                </c:pt>
                <c:pt idx="44">
                  <c:v>49.9852201257862</c:v>
                </c:pt>
                <c:pt idx="45">
                  <c:v>49.5505660377359</c:v>
                </c:pt>
                <c:pt idx="46">
                  <c:v>49.1159119496855</c:v>
                </c:pt>
                <c:pt idx="47">
                  <c:v>48.6812578616352</c:v>
                </c:pt>
                <c:pt idx="48">
                  <c:v>48.2466037735849</c:v>
                </c:pt>
                <c:pt idx="49">
                  <c:v>47.8119496855346</c:v>
                </c:pt>
                <c:pt idx="50">
                  <c:v>47.3772955974843</c:v>
                </c:pt>
                <c:pt idx="51">
                  <c:v>46.942641509434</c:v>
                </c:pt>
                <c:pt idx="52">
                  <c:v>46.5079874213836</c:v>
                </c:pt>
                <c:pt idx="53">
                  <c:v>46.0733333333333</c:v>
                </c:pt>
                <c:pt idx="54">
                  <c:v>45.638679245283</c:v>
                </c:pt>
                <c:pt idx="55">
                  <c:v>45.2040251572327</c:v>
                </c:pt>
                <c:pt idx="56">
                  <c:v>44.7693710691824</c:v>
                </c:pt>
                <c:pt idx="57">
                  <c:v>44.3347169811321</c:v>
                </c:pt>
                <c:pt idx="58">
                  <c:v>43.9000628930818</c:v>
                </c:pt>
                <c:pt idx="59">
                  <c:v>43.4654088050314</c:v>
                </c:pt>
                <c:pt idx="60">
                  <c:v>43.0307547169811</c:v>
                </c:pt>
                <c:pt idx="61">
                  <c:v>42.5961006289308</c:v>
                </c:pt>
                <c:pt idx="62">
                  <c:v>42.1614465408805</c:v>
                </c:pt>
                <c:pt idx="63">
                  <c:v>41.7267924528302</c:v>
                </c:pt>
                <c:pt idx="64">
                  <c:v>41.2921383647799</c:v>
                </c:pt>
                <c:pt idx="65">
                  <c:v>40.8574842767296</c:v>
                </c:pt>
                <c:pt idx="66">
                  <c:v>40.4228301886792</c:v>
                </c:pt>
                <c:pt idx="67">
                  <c:v>39.9881761006289</c:v>
                </c:pt>
                <c:pt idx="68">
                  <c:v>39.5535220125786</c:v>
                </c:pt>
                <c:pt idx="69">
                  <c:v>39.1188679245283</c:v>
                </c:pt>
                <c:pt idx="70">
                  <c:v>38.684213836478</c:v>
                </c:pt>
                <c:pt idx="71">
                  <c:v>38.2495597484277</c:v>
                </c:pt>
                <c:pt idx="72">
                  <c:v>37.8149056603774</c:v>
                </c:pt>
                <c:pt idx="73">
                  <c:v>37.380251572327</c:v>
                </c:pt>
                <c:pt idx="74">
                  <c:v>36.9455974842767</c:v>
                </c:pt>
                <c:pt idx="75">
                  <c:v>36.5109433962264</c:v>
                </c:pt>
                <c:pt idx="76">
                  <c:v>36.0762893081761</c:v>
                </c:pt>
                <c:pt idx="77">
                  <c:v>35.6416352201258</c:v>
                </c:pt>
                <c:pt idx="78">
                  <c:v>35.2069811320755</c:v>
                </c:pt>
                <c:pt idx="79">
                  <c:v>34.7723270440252</c:v>
                </c:pt>
                <c:pt idx="80">
                  <c:v>34.3376729559748</c:v>
                </c:pt>
                <c:pt idx="81">
                  <c:v>33.9030188679245</c:v>
                </c:pt>
                <c:pt idx="82">
                  <c:v>33.4683647798742</c:v>
                </c:pt>
                <c:pt idx="83">
                  <c:v>33.0337106918239</c:v>
                </c:pt>
                <c:pt idx="84">
                  <c:v>32.5990566037736</c:v>
                </c:pt>
                <c:pt idx="85">
                  <c:v>32.1644025157233</c:v>
                </c:pt>
                <c:pt idx="86">
                  <c:v>31.729748427673</c:v>
                </c:pt>
                <c:pt idx="87">
                  <c:v>31.2950943396226</c:v>
                </c:pt>
                <c:pt idx="88">
                  <c:v>30.8604402515723</c:v>
                </c:pt>
                <c:pt idx="89">
                  <c:v>30.425786163522</c:v>
                </c:pt>
                <c:pt idx="90">
                  <c:v>29.9911320754717</c:v>
                </c:pt>
                <c:pt idx="91">
                  <c:v>29.5564779874214</c:v>
                </c:pt>
                <c:pt idx="92">
                  <c:v>29.1218238993711</c:v>
                </c:pt>
                <c:pt idx="93">
                  <c:v>28.6871698113208</c:v>
                </c:pt>
                <c:pt idx="94">
                  <c:v>28.2525157232704</c:v>
                </c:pt>
                <c:pt idx="95">
                  <c:v>27.8178616352201</c:v>
                </c:pt>
                <c:pt idx="96">
                  <c:v>27.3832075471698</c:v>
                </c:pt>
                <c:pt idx="97">
                  <c:v>26.9485534591195</c:v>
                </c:pt>
                <c:pt idx="98">
                  <c:v>26.5138993710692</c:v>
                </c:pt>
                <c:pt idx="99">
                  <c:v>26.0792452830189</c:v>
                </c:pt>
                <c:pt idx="100">
                  <c:v>25.6445911949686</c:v>
                </c:pt>
                <c:pt idx="101">
                  <c:v>25.2099371069182</c:v>
                </c:pt>
                <c:pt idx="102">
                  <c:v>24.7752830188679</c:v>
                </c:pt>
                <c:pt idx="103">
                  <c:v>24.3406289308176</c:v>
                </c:pt>
                <c:pt idx="104">
                  <c:v>23.9059748427673</c:v>
                </c:pt>
                <c:pt idx="105">
                  <c:v>23.471320754717</c:v>
                </c:pt>
                <c:pt idx="106">
                  <c:v>23.0366666666667</c:v>
                </c:pt>
                <c:pt idx="107">
                  <c:v>22.6020125786164</c:v>
                </c:pt>
                <c:pt idx="108">
                  <c:v>22.167358490566</c:v>
                </c:pt>
                <c:pt idx="109">
                  <c:v>21.7327044025157</c:v>
                </c:pt>
                <c:pt idx="110">
                  <c:v>21.2980503144654</c:v>
                </c:pt>
                <c:pt idx="111">
                  <c:v>20.8633962264151</c:v>
                </c:pt>
                <c:pt idx="112">
                  <c:v>20.4287421383648</c:v>
                </c:pt>
                <c:pt idx="113">
                  <c:v>19.9940880503145</c:v>
                </c:pt>
                <c:pt idx="114">
                  <c:v>19.5594339622642</c:v>
                </c:pt>
                <c:pt idx="115">
                  <c:v>19.1247798742138</c:v>
                </c:pt>
                <c:pt idx="116">
                  <c:v>18.6901257861635</c:v>
                </c:pt>
                <c:pt idx="117">
                  <c:v>18.2554716981132</c:v>
                </c:pt>
                <c:pt idx="118">
                  <c:v>17.8208176100629</c:v>
                </c:pt>
                <c:pt idx="119">
                  <c:v>17.3861635220126</c:v>
                </c:pt>
                <c:pt idx="120">
                  <c:v>16.9515094339623</c:v>
                </c:pt>
                <c:pt idx="121">
                  <c:v>16.516855345912</c:v>
                </c:pt>
                <c:pt idx="122">
                  <c:v>16.0822012578616</c:v>
                </c:pt>
                <c:pt idx="123">
                  <c:v>15.6475471698113</c:v>
                </c:pt>
                <c:pt idx="124">
                  <c:v>15.212893081761</c:v>
                </c:pt>
                <c:pt idx="125">
                  <c:v>14.7782389937107</c:v>
                </c:pt>
                <c:pt idx="126">
                  <c:v>14.3435849056604</c:v>
                </c:pt>
                <c:pt idx="127">
                  <c:v>13.9089308176101</c:v>
                </c:pt>
                <c:pt idx="128">
                  <c:v>13.4742767295597</c:v>
                </c:pt>
                <c:pt idx="129">
                  <c:v>13.0396226415094</c:v>
                </c:pt>
                <c:pt idx="130">
                  <c:v>12.6049685534591</c:v>
                </c:pt>
                <c:pt idx="131">
                  <c:v>12.1703144654088</c:v>
                </c:pt>
                <c:pt idx="132">
                  <c:v>11.7356603773585</c:v>
                </c:pt>
                <c:pt idx="133">
                  <c:v>11.3010062893082</c:v>
                </c:pt>
                <c:pt idx="134">
                  <c:v>10.8663522012579</c:v>
                </c:pt>
                <c:pt idx="135">
                  <c:v>10.4316981132075</c:v>
                </c:pt>
                <c:pt idx="136">
                  <c:v>9.99704402515724</c:v>
                </c:pt>
                <c:pt idx="137">
                  <c:v>9.56238993710692</c:v>
                </c:pt>
                <c:pt idx="138">
                  <c:v>9.1277358490566</c:v>
                </c:pt>
                <c:pt idx="139">
                  <c:v>8.6930817610063</c:v>
                </c:pt>
                <c:pt idx="140">
                  <c:v>8.25842767295598</c:v>
                </c:pt>
                <c:pt idx="141">
                  <c:v>7.82377358490566</c:v>
                </c:pt>
                <c:pt idx="142">
                  <c:v>7.38911949685534</c:v>
                </c:pt>
                <c:pt idx="143">
                  <c:v>6.95446540880504</c:v>
                </c:pt>
                <c:pt idx="144">
                  <c:v>6.51981132075471</c:v>
                </c:pt>
                <c:pt idx="145">
                  <c:v>6.0851572327044</c:v>
                </c:pt>
                <c:pt idx="146">
                  <c:v>5.65050314465409</c:v>
                </c:pt>
                <c:pt idx="147">
                  <c:v>5.21584905660377</c:v>
                </c:pt>
                <c:pt idx="148">
                  <c:v>4.78119496855345</c:v>
                </c:pt>
                <c:pt idx="149">
                  <c:v>4.34654088050314</c:v>
                </c:pt>
                <c:pt idx="150">
                  <c:v>3.91188679245283</c:v>
                </c:pt>
                <c:pt idx="151">
                  <c:v>3.47723270440251</c:v>
                </c:pt>
                <c:pt idx="152">
                  <c:v>3.0425786163522</c:v>
                </c:pt>
                <c:pt idx="153">
                  <c:v>2.60792452830189</c:v>
                </c:pt>
                <c:pt idx="154">
                  <c:v>2.17327044025157</c:v>
                </c:pt>
                <c:pt idx="155">
                  <c:v>1.73861635220126</c:v>
                </c:pt>
                <c:pt idx="156">
                  <c:v>1.30396226415094</c:v>
                </c:pt>
                <c:pt idx="157">
                  <c:v>0.869308176100631</c:v>
                </c:pt>
                <c:pt idx="158">
                  <c:v>0.434654088050323</c:v>
                </c:pt>
                <c:pt idx="159">
                  <c:v>0</c:v>
                </c:pt>
              </c:numCache>
            </c:numRef>
          </c:val>
          <c:smooth val="0"/>
        </c:ser>
        <c:hiLowLines>
          <c:spPr>
            <a:ln w="0">
              <a:noFill/>
            </a:ln>
          </c:spPr>
        </c:hiLowLines>
        <c:marker val="0"/>
        <c:axId val="60924012"/>
        <c:axId val="99103422"/>
      </c:lineChart>
      <c:dateAx>
        <c:axId val="5905874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4543089"/>
        <c:auto val="1"/>
        <c:lblOffset val="100"/>
        <c:baseTimeUnit val="days"/>
      </c:dateAx>
      <c:valAx>
        <c:axId val="1454308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9058747"/>
        <c:crosses val="autoZero"/>
        <c:crossBetween val="between"/>
      </c:valAx>
      <c:dateAx>
        <c:axId val="6092401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103422"/>
        <c:auto val="1"/>
        <c:lblOffset val="100"/>
        <c:baseTimeUnit val="days"/>
      </c:dateAx>
      <c:valAx>
        <c:axId val="9910342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92401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(Calc)'!$K$3:$K$500</c:f>
              <c:numCache>
                <c:formatCode>0.0%</c:formatCode>
                <c:ptCount val="498"/>
                <c:pt idx="0">
                  <c:v>-0.0520904729266621</c:v>
                </c:pt>
                <c:pt idx="1">
                  <c:v>0.0453121234032297</c:v>
                </c:pt>
                <c:pt idx="2">
                  <c:v>0.0521097532856816</c:v>
                </c:pt>
                <c:pt idx="3">
                  <c:v>-0.00657462195923741</c:v>
                </c:pt>
                <c:pt idx="4">
                  <c:v>-0.0897860136774763</c:v>
                </c:pt>
                <c:pt idx="5">
                  <c:v>-0.0213281628696073</c:v>
                </c:pt>
                <c:pt idx="6">
                  <c:v>0.111193660227835</c:v>
                </c:pt>
                <c:pt idx="7">
                  <c:v>0.0739915310898149</c:v>
                </c:pt>
                <c:pt idx="8">
                  <c:v>0.0199211454658643</c:v>
                </c:pt>
                <c:pt idx="9">
                  <c:v>-0.0309257375381484</c:v>
                </c:pt>
                <c:pt idx="10">
                  <c:v>-0.0209951711106445</c:v>
                </c:pt>
                <c:pt idx="11">
                  <c:v>0.0158696118378725</c:v>
                </c:pt>
                <c:pt idx="12">
                  <c:v>0.0291323622545916</c:v>
                </c:pt>
                <c:pt idx="13">
                  <c:v>-0.00123076923076926</c:v>
                </c:pt>
                <c:pt idx="14">
                  <c:v>0.0141712877387554</c:v>
                </c:pt>
                <c:pt idx="15">
                  <c:v>-0.00850546780072903</c:v>
                </c:pt>
                <c:pt idx="16">
                  <c:v>0.114174836601307</c:v>
                </c:pt>
                <c:pt idx="17">
                  <c:v>0.0874427131072411</c:v>
                </c:pt>
                <c:pt idx="18">
                  <c:v>0.0257923128792987</c:v>
                </c:pt>
                <c:pt idx="19">
                  <c:v>0.0841413311421528</c:v>
                </c:pt>
                <c:pt idx="20">
                  <c:v>0.0901925117477642</c:v>
                </c:pt>
                <c:pt idx="21">
                  <c:v>0.00667408231368194</c:v>
                </c:pt>
                <c:pt idx="22">
                  <c:v>0.0854972375690608</c:v>
                </c:pt>
                <c:pt idx="23">
                  <c:v>0.0438987148492176</c:v>
                </c:pt>
                <c:pt idx="24">
                  <c:v>0.0638712823013163</c:v>
                </c:pt>
                <c:pt idx="25">
                  <c:v>0.00355178735105421</c:v>
                </c:pt>
                <c:pt idx="26">
                  <c:v>0.0734102066445941</c:v>
                </c:pt>
                <c:pt idx="27">
                  <c:v>-0.0416932567538821</c:v>
                </c:pt>
                <c:pt idx="28">
                  <c:v>-0.0259711431742508</c:v>
                </c:pt>
                <c:pt idx="29">
                  <c:v>0.00205104831358249</c:v>
                </c:pt>
                <c:pt idx="30">
                  <c:v>-0.136001819422333</c:v>
                </c:pt>
                <c:pt idx="31">
                  <c:v>0.151487233482495</c:v>
                </c:pt>
                <c:pt idx="32">
                  <c:v>0.0120013715853242</c:v>
                </c:pt>
                <c:pt idx="33">
                  <c:v>0.0121978766659137</c:v>
                </c:pt>
                <c:pt idx="34">
                  <c:v>0.029011381388083</c:v>
                </c:pt>
                <c:pt idx="35">
                  <c:v>0.151268705270007</c:v>
                </c:pt>
                <c:pt idx="36">
                  <c:v>0.0296693981350664</c:v>
                </c:pt>
                <c:pt idx="37">
                  <c:v>0.102634467618002</c:v>
                </c:pt>
                <c:pt idx="38">
                  <c:v>0.0910900945744151</c:v>
                </c:pt>
                <c:pt idx="39">
                  <c:v>-0.0402980535279807</c:v>
                </c:pt>
                <c:pt idx="40">
                  <c:v>-0.0239264775788306</c:v>
                </c:pt>
                <c:pt idx="41">
                  <c:v>0.0185064935064936</c:v>
                </c:pt>
                <c:pt idx="42">
                  <c:v>0.0270959515460631</c:v>
                </c:pt>
                <c:pt idx="43">
                  <c:v>-0.0875232774674115</c:v>
                </c:pt>
                <c:pt idx="44">
                  <c:v>-0.0412414965986394</c:v>
                </c:pt>
                <c:pt idx="45">
                  <c:v>-0.0512638580931264</c:v>
                </c:pt>
                <c:pt idx="46">
                  <c:v>-0.0234645227633916</c:v>
                </c:pt>
                <c:pt idx="47">
                  <c:v>0.189354776948114</c:v>
                </c:pt>
                <c:pt idx="48">
                  <c:v>0.0383934320669672</c:v>
                </c:pt>
                <c:pt idx="49">
                  <c:v>-0.0772808309433376</c:v>
                </c:pt>
                <c:pt idx="50">
                  <c:v>-0.138524865591398</c:v>
                </c:pt>
                <c:pt idx="51">
                  <c:v>0.158264261335934</c:v>
                </c:pt>
                <c:pt idx="52">
                  <c:v>-0.0260144805522815</c:v>
                </c:pt>
                <c:pt idx="53">
                  <c:v>0.0465900250669893</c:v>
                </c:pt>
                <c:pt idx="54">
                  <c:v>0.0289890981169476</c:v>
                </c:pt>
                <c:pt idx="55">
                  <c:v>0.0790593145517295</c:v>
                </c:pt>
                <c:pt idx="56">
                  <c:v>0.0237280571258554</c:v>
                </c:pt>
                <c:pt idx="57">
                  <c:v>0.0256484778028045</c:v>
                </c:pt>
                <c:pt idx="58">
                  <c:v>-0.0433550580901105</c:v>
                </c:pt>
                <c:pt idx="59">
                  <c:v>0.0902695497630333</c:v>
                </c:pt>
                <c:pt idx="60">
                  <c:v>-0.038239489234531</c:v>
                </c:pt>
                <c:pt idx="61">
                  <c:v>-0.000211864406779672</c:v>
                </c:pt>
                <c:pt idx="62">
                  <c:v>-0.0260648442466624</c:v>
                </c:pt>
                <c:pt idx="63">
                  <c:v>0.0303887438352191</c:v>
                </c:pt>
                <c:pt idx="64">
                  <c:v>-0.0575068628141057</c:v>
                </c:pt>
                <c:pt idx="65">
                  <c:v>0.00336071695294993</c:v>
                </c:pt>
                <c:pt idx="66">
                  <c:v>0.0171194640863417</c:v>
                </c:pt>
                <c:pt idx="67">
                  <c:v>0.0544456641053788</c:v>
                </c:pt>
                <c:pt idx="68">
                  <c:v>-0.0591991116663196</c:v>
                </c:pt>
                <c:pt idx="69">
                  <c:v>0.0132044850988491</c:v>
                </c:pt>
                <c:pt idx="70">
                  <c:v>0.0356752821259556</c:v>
                </c:pt>
                <c:pt idx="71">
                  <c:v>-0.158101933216169</c:v>
                </c:pt>
                <c:pt idx="72">
                  <c:v>0.0813293253173013</c:v>
                </c:pt>
                <c:pt idx="73">
                  <c:v>0.0694208494208495</c:v>
                </c:pt>
                <c:pt idx="74">
                  <c:v>-0.0318434544010398</c:v>
                </c:pt>
                <c:pt idx="75">
                  <c:v>-0.0707786396181385</c:v>
                </c:pt>
                <c:pt idx="76">
                  <c:v>-0.0978409182117345</c:v>
                </c:pt>
                <c:pt idx="77">
                  <c:v>0.079715302491103</c:v>
                </c:pt>
                <c:pt idx="78">
                  <c:v>-0.0326301911667765</c:v>
                </c:pt>
                <c:pt idx="79">
                  <c:v>-0.0682282793867122</c:v>
                </c:pt>
                <c:pt idx="80">
                  <c:v>-0.140049364658561</c:v>
                </c:pt>
                <c:pt idx="81">
                  <c:v>0.176251727437015</c:v>
                </c:pt>
                <c:pt idx="82">
                  <c:v>-0.0851333032083145</c:v>
                </c:pt>
                <c:pt idx="83">
                  <c:v>0.0938456979156377</c:v>
                </c:pt>
                <c:pt idx="84">
                  <c:v>0.0314277973448929</c:v>
                </c:pt>
                <c:pt idx="85">
                  <c:v>0.0188249715436477</c:v>
                </c:pt>
                <c:pt idx="86">
                  <c:v>0.160708147129598</c:v>
                </c:pt>
                <c:pt idx="87">
                  <c:v>-0.0303568784244039</c:v>
                </c:pt>
                <c:pt idx="88">
                  <c:v>0.0292455711667683</c:v>
                </c:pt>
                <c:pt idx="89">
                  <c:v>0.048742488315157</c:v>
                </c:pt>
                <c:pt idx="90">
                  <c:v>0.00183927560837582</c:v>
                </c:pt>
                <c:pt idx="91">
                  <c:v>0.0132749611636773</c:v>
                </c:pt>
                <c:pt idx="92">
                  <c:v>0.0965853658536586</c:v>
                </c:pt>
                <c:pt idx="93">
                  <c:v>0.0101042196237924</c:v>
                </c:pt>
                <c:pt idx="94">
                  <c:v>0.0350424661843349</c:v>
                </c:pt>
                <c:pt idx="95">
                  <c:v>0.0454048140043764</c:v>
                </c:pt>
                <c:pt idx="96">
                  <c:v>0.00633757776614918</c:v>
                </c:pt>
                <c:pt idx="97">
                  <c:v>0.00127108851398194</c:v>
                </c:pt>
                <c:pt idx="98">
                  <c:v>0.0516445470282747</c:v>
                </c:pt>
                <c:pt idx="99">
                  <c:v>-0.0122908093278464</c:v>
                </c:pt>
                <c:pt idx="100">
                  <c:v>-0.0136659074495861</c:v>
                </c:pt>
                <c:pt idx="101">
                  <c:v>-0.0214024218529992</c:v>
                </c:pt>
                <c:pt idx="102">
                  <c:v>-0.041093525179856</c:v>
                </c:pt>
                <c:pt idx="103">
                  <c:v>0.0647620190864893</c:v>
                </c:pt>
                <c:pt idx="104">
                  <c:v>-0.00648252536640359</c:v>
                </c:pt>
                <c:pt idx="105">
                  <c:v>0.00856737588652479</c:v>
                </c:pt>
                <c:pt idx="106">
                  <c:v>0.0529365436543654</c:v>
                </c:pt>
                <c:pt idx="107">
                  <c:v>-0.0237751776459902</c:v>
                </c:pt>
                <c:pt idx="108">
                  <c:v>0.00032837127845875</c:v>
                </c:pt>
                <c:pt idx="109">
                  <c:v>0.0165773060509902</c:v>
                </c:pt>
                <c:pt idx="110">
                  <c:v>0.0871858349927344</c:v>
                </c:pt>
                <c:pt idx="111">
                  <c:v>-0.0708380773229048</c:v>
                </c:pt>
                <c:pt idx="112">
                  <c:v>0.0107618540223762</c:v>
                </c:pt>
                <c:pt idx="113">
                  <c:v>-0.0594033312249631</c:v>
                </c:pt>
                <c:pt idx="114">
                  <c:v>-0.0104791258055477</c:v>
                </c:pt>
                <c:pt idx="115">
                  <c:v>0.0305810397553516</c:v>
                </c:pt>
                <c:pt idx="116">
                  <c:v>-0.0404989559292228</c:v>
                </c:pt>
                <c:pt idx="117">
                  <c:v>0.0341332111562911</c:v>
                </c:pt>
                <c:pt idx="118">
                  <c:v>0.0527219360912665</c:v>
                </c:pt>
                <c:pt idx="119">
                  <c:v>-0.00883791888053032</c:v>
                </c:pt>
                <c:pt idx="120">
                  <c:v>-0.0211241441537073</c:v>
                </c:pt>
                <c:pt idx="121">
                  <c:v>0.00742829257712963</c:v>
                </c:pt>
                <c:pt idx="122">
                  <c:v>0.00769644779332612</c:v>
                </c:pt>
                <c:pt idx="123">
                  <c:v>0.0184265342092613</c:v>
                </c:pt>
                <c:pt idx="124">
                  <c:v>-0.0298930144745123</c:v>
                </c:pt>
                <c:pt idx="125">
                  <c:v>-0.0140555735755217</c:v>
                </c:pt>
                <c:pt idx="126">
                  <c:v>0.0383814014694595</c:v>
                </c:pt>
                <c:pt idx="127">
                  <c:v>-0.066532896821206</c:v>
                </c:pt>
                <c:pt idx="128">
                  <c:v>0.00350718407059625</c:v>
                </c:pt>
                <c:pt idx="129">
                  <c:v>0.0137542277339346</c:v>
                </c:pt>
                <c:pt idx="130">
                  <c:v>-0.0418705516014235</c:v>
                </c:pt>
                <c:pt idx="131">
                  <c:v>-0.0300040624455923</c:v>
                </c:pt>
                <c:pt idx="132">
                  <c:v>0.0589326313270313</c:v>
                </c:pt>
                <c:pt idx="133">
                  <c:v>0.0633369116899258</c:v>
                </c:pt>
                <c:pt idx="134">
                  <c:v>0.069181721572795</c:v>
                </c:pt>
                <c:pt idx="135">
                  <c:v>0.0327005267866019</c:v>
                </c:pt>
                <c:pt idx="136">
                  <c:v>-0.0471607314725698</c:v>
                </c:pt>
                <c:pt idx="137">
                  <c:v>0.0843939393939395</c:v>
                </c:pt>
                <c:pt idx="138">
                  <c:v>0.0470401937497089</c:v>
                </c:pt>
                <c:pt idx="139">
                  <c:v>-0.0443485610070726</c:v>
                </c:pt>
                <c:pt idx="140">
                  <c:v>-0.019456339601564</c:v>
                </c:pt>
                <c:pt idx="141">
                  <c:v>-0.0274850469951581</c:v>
                </c:pt>
                <c:pt idx="142">
                  <c:v>0.000439302972616851</c:v>
                </c:pt>
                <c:pt idx="143">
                  <c:v>0.0267857142857142</c:v>
                </c:pt>
                <c:pt idx="144">
                  <c:v>-0.0861962461392254</c:v>
                </c:pt>
                <c:pt idx="145">
                  <c:v>0.0119598564817223</c:v>
                </c:pt>
                <c:pt idx="146">
                  <c:v>0.0827809465084013</c:v>
                </c:pt>
                <c:pt idx="147">
                  <c:v>-0.0386294608959756</c:v>
                </c:pt>
                <c:pt idx="148">
                  <c:v>0.0198933754566097</c:v>
                </c:pt>
                <c:pt idx="149">
                  <c:v>-0.0294274236484198</c:v>
                </c:pt>
                <c:pt idx="150">
                  <c:v>0.115593676756595</c:v>
                </c:pt>
                <c:pt idx="151">
                  <c:v>0.00536408743462524</c:v>
                </c:pt>
                <c:pt idx="152">
                  <c:v>-0.0463741051976346</c:v>
                </c:pt>
                <c:pt idx="153">
                  <c:v>0.0131947034688549</c:v>
                </c:pt>
                <c:pt idx="154">
                  <c:v>0.0588560121485435</c:v>
                </c:pt>
                <c:pt idx="155">
                  <c:v>-0.0513255106475445</c:v>
                </c:pt>
                <c:pt idx="156">
                  <c:v>0.0182326263227817</c:v>
                </c:pt>
                <c:pt idx="157">
                  <c:v>0.0125972915823098</c:v>
                </c:pt>
                <c:pt idx="158">
                  <c:v>0.0168392055804862</c:v>
                </c:pt>
                <c:pt idx="159">
                  <c:v>-0.238267936729879</c:v>
                </c:pt>
              </c:numCache>
            </c:numRef>
          </c:val>
        </c:ser>
        <c:gapWidth val="150"/>
        <c:overlap val="0"/>
        <c:axId val="33174174"/>
        <c:axId val="89966163"/>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(Calc)'!$AF$3:$AF$500</c:f>
              <c:numCache>
                <c:formatCode>#,##0.00</c:formatCode>
                <c:ptCount val="498"/>
                <c:pt idx="0">
                  <c:v>43.77</c:v>
                </c:pt>
                <c:pt idx="1">
                  <c:v>43.4947169811321</c:v>
                </c:pt>
                <c:pt idx="2">
                  <c:v>43.2194339622642</c:v>
                </c:pt>
                <c:pt idx="3">
                  <c:v>42.9441509433962</c:v>
                </c:pt>
                <c:pt idx="4">
                  <c:v>42.6688679245283</c:v>
                </c:pt>
                <c:pt idx="5">
                  <c:v>42.3935849056604</c:v>
                </c:pt>
                <c:pt idx="6">
                  <c:v>42.1183018867925</c:v>
                </c:pt>
                <c:pt idx="7">
                  <c:v>41.8430188679245</c:v>
                </c:pt>
                <c:pt idx="8">
                  <c:v>41.5677358490566</c:v>
                </c:pt>
                <c:pt idx="9">
                  <c:v>41.2924528301887</c:v>
                </c:pt>
                <c:pt idx="10">
                  <c:v>41.0171698113208</c:v>
                </c:pt>
                <c:pt idx="11">
                  <c:v>40.7418867924528</c:v>
                </c:pt>
                <c:pt idx="12">
                  <c:v>40.4666037735849</c:v>
                </c:pt>
                <c:pt idx="13">
                  <c:v>40.191320754717</c:v>
                </c:pt>
                <c:pt idx="14">
                  <c:v>39.9160377358491</c:v>
                </c:pt>
                <c:pt idx="15">
                  <c:v>39.6407547169811</c:v>
                </c:pt>
                <c:pt idx="16">
                  <c:v>39.3654716981132</c:v>
                </c:pt>
                <c:pt idx="17">
                  <c:v>39.0901886792453</c:v>
                </c:pt>
                <c:pt idx="18">
                  <c:v>38.8149056603774</c:v>
                </c:pt>
                <c:pt idx="19">
                  <c:v>38.5396226415094</c:v>
                </c:pt>
                <c:pt idx="20">
                  <c:v>38.2643396226415</c:v>
                </c:pt>
                <c:pt idx="21">
                  <c:v>37.9890566037736</c:v>
                </c:pt>
                <c:pt idx="22">
                  <c:v>37.7137735849057</c:v>
                </c:pt>
                <c:pt idx="23">
                  <c:v>37.4384905660377</c:v>
                </c:pt>
                <c:pt idx="24">
                  <c:v>37.1632075471698</c:v>
                </c:pt>
                <c:pt idx="25">
                  <c:v>36.8879245283019</c:v>
                </c:pt>
                <c:pt idx="26">
                  <c:v>36.612641509434</c:v>
                </c:pt>
                <c:pt idx="27">
                  <c:v>36.337358490566</c:v>
                </c:pt>
                <c:pt idx="28">
                  <c:v>36.0620754716981</c:v>
                </c:pt>
                <c:pt idx="29">
                  <c:v>35.7867924528302</c:v>
                </c:pt>
                <c:pt idx="30">
                  <c:v>35.5115094339623</c:v>
                </c:pt>
                <c:pt idx="31">
                  <c:v>35.2362264150943</c:v>
                </c:pt>
                <c:pt idx="32">
                  <c:v>34.9609433962264</c:v>
                </c:pt>
                <c:pt idx="33">
                  <c:v>34.6856603773585</c:v>
                </c:pt>
                <c:pt idx="34">
                  <c:v>34.4103773584906</c:v>
                </c:pt>
                <c:pt idx="35">
                  <c:v>34.1350943396227</c:v>
                </c:pt>
                <c:pt idx="36">
                  <c:v>33.8598113207547</c:v>
                </c:pt>
                <c:pt idx="37">
                  <c:v>33.5845283018868</c:v>
                </c:pt>
                <c:pt idx="38">
                  <c:v>33.3092452830189</c:v>
                </c:pt>
                <c:pt idx="39">
                  <c:v>33.0339622641509</c:v>
                </c:pt>
                <c:pt idx="40">
                  <c:v>32.758679245283</c:v>
                </c:pt>
                <c:pt idx="41">
                  <c:v>32.4833962264151</c:v>
                </c:pt>
                <c:pt idx="42">
                  <c:v>32.2081132075472</c:v>
                </c:pt>
                <c:pt idx="43">
                  <c:v>31.9328301886792</c:v>
                </c:pt>
                <c:pt idx="44">
                  <c:v>31.6575471698113</c:v>
                </c:pt>
                <c:pt idx="45">
                  <c:v>31.3822641509434</c:v>
                </c:pt>
                <c:pt idx="46">
                  <c:v>31.1069811320755</c:v>
                </c:pt>
                <c:pt idx="47">
                  <c:v>30.8316981132076</c:v>
                </c:pt>
                <c:pt idx="48">
                  <c:v>30.5564150943396</c:v>
                </c:pt>
                <c:pt idx="49">
                  <c:v>30.2811320754717</c:v>
                </c:pt>
                <c:pt idx="50">
                  <c:v>30.0058490566038</c:v>
                </c:pt>
                <c:pt idx="51">
                  <c:v>29.7305660377359</c:v>
                </c:pt>
                <c:pt idx="52">
                  <c:v>29.4552830188679</c:v>
                </c:pt>
                <c:pt idx="53">
                  <c:v>29.18</c:v>
                </c:pt>
                <c:pt idx="54">
                  <c:v>28.9047169811321</c:v>
                </c:pt>
                <c:pt idx="55">
                  <c:v>28.6294339622642</c:v>
                </c:pt>
                <c:pt idx="56">
                  <c:v>28.3541509433962</c:v>
                </c:pt>
                <c:pt idx="57">
                  <c:v>28.0788679245283</c:v>
                </c:pt>
                <c:pt idx="58">
                  <c:v>27.8035849056604</c:v>
                </c:pt>
                <c:pt idx="59">
                  <c:v>27.5283018867925</c:v>
                </c:pt>
                <c:pt idx="60">
                  <c:v>27.2530188679245</c:v>
                </c:pt>
                <c:pt idx="61">
                  <c:v>26.9777358490566</c:v>
                </c:pt>
                <c:pt idx="62">
                  <c:v>26.7024528301887</c:v>
                </c:pt>
                <c:pt idx="63">
                  <c:v>26.4271698113208</c:v>
                </c:pt>
                <c:pt idx="64">
                  <c:v>26.1518867924528</c:v>
                </c:pt>
                <c:pt idx="65">
                  <c:v>25.8766037735849</c:v>
                </c:pt>
                <c:pt idx="66">
                  <c:v>25.601320754717</c:v>
                </c:pt>
                <c:pt idx="67">
                  <c:v>25.3260377358491</c:v>
                </c:pt>
                <c:pt idx="68">
                  <c:v>25.0507547169811</c:v>
                </c:pt>
                <c:pt idx="69">
                  <c:v>24.7754716981132</c:v>
                </c:pt>
                <c:pt idx="70">
                  <c:v>24.5001886792453</c:v>
                </c:pt>
                <c:pt idx="71">
                  <c:v>24.2249056603774</c:v>
                </c:pt>
                <c:pt idx="72">
                  <c:v>23.9496226415094</c:v>
                </c:pt>
                <c:pt idx="73">
                  <c:v>23.6743396226415</c:v>
                </c:pt>
                <c:pt idx="74">
                  <c:v>23.3990566037736</c:v>
                </c:pt>
                <c:pt idx="75">
                  <c:v>23.1237735849057</c:v>
                </c:pt>
                <c:pt idx="76">
                  <c:v>22.8484905660377</c:v>
                </c:pt>
                <c:pt idx="77">
                  <c:v>22.5732075471698</c:v>
                </c:pt>
                <c:pt idx="78">
                  <c:v>22.2979245283019</c:v>
                </c:pt>
                <c:pt idx="79">
                  <c:v>22.022641509434</c:v>
                </c:pt>
                <c:pt idx="80">
                  <c:v>21.747358490566</c:v>
                </c:pt>
                <c:pt idx="81">
                  <c:v>21.4720754716981</c:v>
                </c:pt>
                <c:pt idx="82">
                  <c:v>21.1967924528302</c:v>
                </c:pt>
                <c:pt idx="83">
                  <c:v>20.9215094339623</c:v>
                </c:pt>
                <c:pt idx="84">
                  <c:v>20.6462264150943</c:v>
                </c:pt>
                <c:pt idx="85">
                  <c:v>20.3709433962264</c:v>
                </c:pt>
                <c:pt idx="86">
                  <c:v>20.0956603773585</c:v>
                </c:pt>
                <c:pt idx="87">
                  <c:v>19.8203773584906</c:v>
                </c:pt>
                <c:pt idx="88">
                  <c:v>19.5450943396226</c:v>
                </c:pt>
                <c:pt idx="89">
                  <c:v>19.2698113207547</c:v>
                </c:pt>
                <c:pt idx="90">
                  <c:v>18.9945283018868</c:v>
                </c:pt>
                <c:pt idx="91">
                  <c:v>18.7192452830189</c:v>
                </c:pt>
                <c:pt idx="92">
                  <c:v>18.4439622641509</c:v>
                </c:pt>
                <c:pt idx="93">
                  <c:v>18.168679245283</c:v>
                </c:pt>
                <c:pt idx="94">
                  <c:v>17.8933962264151</c:v>
                </c:pt>
                <c:pt idx="95">
                  <c:v>17.6181132075472</c:v>
                </c:pt>
                <c:pt idx="96">
                  <c:v>17.3428301886792</c:v>
                </c:pt>
                <c:pt idx="97">
                  <c:v>17.0675471698113</c:v>
                </c:pt>
                <c:pt idx="98">
                  <c:v>16.7922641509434</c:v>
                </c:pt>
                <c:pt idx="99">
                  <c:v>16.5169811320755</c:v>
                </c:pt>
                <c:pt idx="100">
                  <c:v>16.2416981132076</c:v>
                </c:pt>
                <c:pt idx="101">
                  <c:v>15.9664150943396</c:v>
                </c:pt>
                <c:pt idx="102">
                  <c:v>15.6911320754717</c:v>
                </c:pt>
                <c:pt idx="103">
                  <c:v>15.4158490566038</c:v>
                </c:pt>
                <c:pt idx="104">
                  <c:v>15.1405660377359</c:v>
                </c:pt>
                <c:pt idx="105">
                  <c:v>14.8652830188679</c:v>
                </c:pt>
                <c:pt idx="106">
                  <c:v>14.59</c:v>
                </c:pt>
                <c:pt idx="107">
                  <c:v>14.3147169811321</c:v>
                </c:pt>
                <c:pt idx="108">
                  <c:v>14.0394339622641</c:v>
                </c:pt>
                <c:pt idx="109">
                  <c:v>13.7641509433962</c:v>
                </c:pt>
                <c:pt idx="110">
                  <c:v>13.4888679245283</c:v>
                </c:pt>
                <c:pt idx="111">
                  <c:v>13.2135849056604</c:v>
                </c:pt>
                <c:pt idx="112">
                  <c:v>12.9383018867925</c:v>
                </c:pt>
                <c:pt idx="113">
                  <c:v>12.6630188679245</c:v>
                </c:pt>
                <c:pt idx="114">
                  <c:v>12.3877358490566</c:v>
                </c:pt>
                <c:pt idx="115">
                  <c:v>12.1124528301887</c:v>
                </c:pt>
                <c:pt idx="116">
                  <c:v>11.8371698113208</c:v>
                </c:pt>
                <c:pt idx="117">
                  <c:v>11.5618867924528</c:v>
                </c:pt>
                <c:pt idx="118">
                  <c:v>11.2866037735849</c:v>
                </c:pt>
                <c:pt idx="119">
                  <c:v>11.011320754717</c:v>
                </c:pt>
                <c:pt idx="120">
                  <c:v>10.7360377358491</c:v>
                </c:pt>
                <c:pt idx="121">
                  <c:v>10.4607547169811</c:v>
                </c:pt>
                <c:pt idx="122">
                  <c:v>10.1854716981132</c:v>
                </c:pt>
                <c:pt idx="123">
                  <c:v>9.91018867924529</c:v>
                </c:pt>
                <c:pt idx="124">
                  <c:v>9.63490566037736</c:v>
                </c:pt>
                <c:pt idx="125">
                  <c:v>9.35962264150944</c:v>
                </c:pt>
                <c:pt idx="126">
                  <c:v>9.08433962264151</c:v>
                </c:pt>
                <c:pt idx="127">
                  <c:v>8.80905660377359</c:v>
                </c:pt>
                <c:pt idx="128">
                  <c:v>8.53377358490566</c:v>
                </c:pt>
                <c:pt idx="129">
                  <c:v>8.25849056603774</c:v>
                </c:pt>
                <c:pt idx="130">
                  <c:v>7.98320754716981</c:v>
                </c:pt>
                <c:pt idx="131">
                  <c:v>7.70792452830189</c:v>
                </c:pt>
                <c:pt idx="132">
                  <c:v>7.43264150943396</c:v>
                </c:pt>
                <c:pt idx="133">
                  <c:v>7.15735849056603</c:v>
                </c:pt>
                <c:pt idx="134">
                  <c:v>6.88207547169812</c:v>
                </c:pt>
                <c:pt idx="135">
                  <c:v>6.60679245283018</c:v>
                </c:pt>
                <c:pt idx="136">
                  <c:v>6.33150943396227</c:v>
                </c:pt>
                <c:pt idx="137">
                  <c:v>6.05622641509434</c:v>
                </c:pt>
                <c:pt idx="138">
                  <c:v>5.78094339622642</c:v>
                </c:pt>
                <c:pt idx="139">
                  <c:v>5.50566037735849</c:v>
                </c:pt>
                <c:pt idx="140">
                  <c:v>5.23037735849057</c:v>
                </c:pt>
                <c:pt idx="141">
                  <c:v>4.95509433962264</c:v>
                </c:pt>
                <c:pt idx="142">
                  <c:v>4.67981132075472</c:v>
                </c:pt>
                <c:pt idx="143">
                  <c:v>4.40452830188679</c:v>
                </c:pt>
                <c:pt idx="144">
                  <c:v>4.12924528301887</c:v>
                </c:pt>
                <c:pt idx="145">
                  <c:v>3.85396226415094</c:v>
                </c:pt>
                <c:pt idx="146">
                  <c:v>3.57867924528302</c:v>
                </c:pt>
                <c:pt idx="147">
                  <c:v>3.3033962264151</c:v>
                </c:pt>
                <c:pt idx="148">
                  <c:v>3.02811320754717</c:v>
                </c:pt>
                <c:pt idx="149">
                  <c:v>2.75283018867925</c:v>
                </c:pt>
                <c:pt idx="150">
                  <c:v>2.47754716981132</c:v>
                </c:pt>
                <c:pt idx="151">
                  <c:v>2.2022641509434</c:v>
                </c:pt>
                <c:pt idx="152">
                  <c:v>1.92698113207547</c:v>
                </c:pt>
                <c:pt idx="153">
                  <c:v>1.65169811320754</c:v>
                </c:pt>
                <c:pt idx="154">
                  <c:v>1.37641509433962</c:v>
                </c:pt>
                <c:pt idx="155">
                  <c:v>1.1011320754717</c:v>
                </c:pt>
                <c:pt idx="156">
                  <c:v>0.825849056603772</c:v>
                </c:pt>
                <c:pt idx="157">
                  <c:v>0.550566037735848</c:v>
                </c:pt>
                <c:pt idx="158">
                  <c:v>0.275283018867924</c:v>
                </c:pt>
                <c:pt idx="159">
                  <c:v>0</c:v>
                </c:pt>
              </c:numCache>
            </c:numRef>
          </c:val>
          <c:smooth val="0"/>
        </c:ser>
        <c:hiLowLines>
          <c:spPr>
            <a:ln w="0">
              <a:noFill/>
            </a:ln>
          </c:spPr>
        </c:hiLowLines>
        <c:marker val="0"/>
        <c:axId val="38752707"/>
        <c:axId val="49566677"/>
      </c:lineChart>
      <c:dateAx>
        <c:axId val="3317417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966163"/>
        <c:auto val="1"/>
        <c:lblOffset val="100"/>
        <c:baseTimeUnit val="days"/>
      </c:dateAx>
      <c:valAx>
        <c:axId val="8996616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174174"/>
        <c:crosses val="autoZero"/>
        <c:crossBetween val="between"/>
      </c:valAx>
      <c:dateAx>
        <c:axId val="3875270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9566677"/>
        <c:auto val="1"/>
        <c:lblOffset val="100"/>
        <c:baseTimeUnit val="days"/>
      </c:dateAx>
      <c:valAx>
        <c:axId val="4956667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875270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(Calc)'!$L$3:$L$500</c:f>
              <c:numCache>
                <c:formatCode>0.0%</c:formatCode>
                <c:ptCount val="498"/>
                <c:pt idx="0">
                  <c:v>-0.073944921316166</c:v>
                </c:pt>
                <c:pt idx="1">
                  <c:v>-0.0163174664478131</c:v>
                </c:pt>
                <c:pt idx="2">
                  <c:v>-0.0294464075382803</c:v>
                </c:pt>
                <c:pt idx="3">
                  <c:v>0.00687702265372181</c:v>
                </c:pt>
                <c:pt idx="4">
                  <c:v>-0.0658899156287666</c:v>
                </c:pt>
                <c:pt idx="5">
                  <c:v>-0.0498924731182796</c:v>
                </c:pt>
                <c:pt idx="6">
                  <c:v>0.0948392937980986</c:v>
                </c:pt>
                <c:pt idx="7">
                  <c:v>-0.0187099441802769</c:v>
                </c:pt>
                <c:pt idx="8">
                  <c:v>0.0527757294848834</c:v>
                </c:pt>
                <c:pt idx="9">
                  <c:v>0.0175105063037824</c:v>
                </c:pt>
                <c:pt idx="10">
                  <c:v>0.0558560330415971</c:v>
                </c:pt>
                <c:pt idx="11">
                  <c:v>0.0135047033622053</c:v>
                </c:pt>
                <c:pt idx="12">
                  <c:v>0.127366292960853</c:v>
                </c:pt>
                <c:pt idx="13">
                  <c:v>-0.013857189435931</c:v>
                </c:pt>
                <c:pt idx="14">
                  <c:v>0.00677797983137696</c:v>
                </c:pt>
                <c:pt idx="15">
                  <c:v>-0.0205254515599344</c:v>
                </c:pt>
                <c:pt idx="16">
                  <c:v>0.0075440067057837</c:v>
                </c:pt>
                <c:pt idx="17">
                  <c:v>-0.0236272878535774</c:v>
                </c:pt>
                <c:pt idx="18">
                  <c:v>-0.0121847307430129</c:v>
                </c:pt>
                <c:pt idx="19">
                  <c:v>0.0187181920124211</c:v>
                </c:pt>
                <c:pt idx="20">
                  <c:v>0.0249788314987298</c:v>
                </c:pt>
                <c:pt idx="21">
                  <c:v>0.00685667079719132</c:v>
                </c:pt>
                <c:pt idx="22">
                  <c:v>-0.00131276665572688</c:v>
                </c:pt>
                <c:pt idx="23">
                  <c:v>0.0104337824515282</c:v>
                </c:pt>
                <c:pt idx="24">
                  <c:v>0.00349621920481336</c:v>
                </c:pt>
                <c:pt idx="25">
                  <c:v>-0.037757251660995</c:v>
                </c:pt>
                <c:pt idx="26">
                  <c:v>-0.00303132367800607</c:v>
                </c:pt>
                <c:pt idx="27">
                  <c:v>0.0124155405405406</c:v>
                </c:pt>
                <c:pt idx="28">
                  <c:v>-0.0421289730541421</c:v>
                </c:pt>
                <c:pt idx="29">
                  <c:v>-0.0459850200313533</c:v>
                </c:pt>
                <c:pt idx="30">
                  <c:v>-0.130363337593573</c:v>
                </c:pt>
                <c:pt idx="31">
                  <c:v>0.00556372034432084</c:v>
                </c:pt>
                <c:pt idx="32">
                  <c:v>0.0175383651738177</c:v>
                </c:pt>
                <c:pt idx="33">
                  <c:v>0.0151841592284807</c:v>
                </c:pt>
                <c:pt idx="34">
                  <c:v>0.0372915613946438</c:v>
                </c:pt>
                <c:pt idx="35">
                  <c:v>-0.0606001558846454</c:v>
                </c:pt>
                <c:pt idx="36">
                  <c:v>0.0548641360713544</c:v>
                </c:pt>
                <c:pt idx="37">
                  <c:v>-0.00265460623340863</c:v>
                </c:pt>
                <c:pt idx="38">
                  <c:v>0.0189274447949528</c:v>
                </c:pt>
                <c:pt idx="39">
                  <c:v>-0.0173181114551084</c:v>
                </c:pt>
                <c:pt idx="40">
                  <c:v>0.0265826523579797</c:v>
                </c:pt>
                <c:pt idx="41">
                  <c:v>0.0191809724753045</c:v>
                </c:pt>
                <c:pt idx="42">
                  <c:v>0.0496847652206645</c:v>
                </c:pt>
                <c:pt idx="43">
                  <c:v>0.0300313760645452</c:v>
                </c:pt>
                <c:pt idx="44">
                  <c:v>-0.00870322019147085</c:v>
                </c:pt>
                <c:pt idx="45">
                  <c:v>0.0106233538191396</c:v>
                </c:pt>
                <c:pt idx="46">
                  <c:v>-0.0167665711058986</c:v>
                </c:pt>
                <c:pt idx="47">
                  <c:v>0.00777522530482422</c:v>
                </c:pt>
                <c:pt idx="48">
                  <c:v>0.0489216201998948</c:v>
                </c:pt>
                <c:pt idx="49">
                  <c:v>-0.00810765630224009</c:v>
                </c:pt>
                <c:pt idx="50">
                  <c:v>-0.00455043397657373</c:v>
                </c:pt>
                <c:pt idx="51">
                  <c:v>0.0215863878777618</c:v>
                </c:pt>
                <c:pt idx="52">
                  <c:v>-0.0275107722903547</c:v>
                </c:pt>
                <c:pt idx="53">
                  <c:v>0.000937286980231766</c:v>
                </c:pt>
                <c:pt idx="54">
                  <c:v>-0.0251979228739252</c:v>
                </c:pt>
                <c:pt idx="55">
                  <c:v>-0.0178150379879487</c:v>
                </c:pt>
                <c:pt idx="56">
                  <c:v>0.0187605583711212</c:v>
                </c:pt>
                <c:pt idx="57">
                  <c:v>-0.0404957235119567</c:v>
                </c:pt>
                <c:pt idx="58">
                  <c:v>-0.0352010187374933</c:v>
                </c:pt>
                <c:pt idx="59">
                  <c:v>0.0214009616291129</c:v>
                </c:pt>
                <c:pt idx="60">
                  <c:v>-0.0207679527413698</c:v>
                </c:pt>
                <c:pt idx="61">
                  <c:v>0.0209256291827693</c:v>
                </c:pt>
                <c:pt idx="62">
                  <c:v>0.00849413719878123</c:v>
                </c:pt>
                <c:pt idx="63">
                  <c:v>-0.0409228234001647</c:v>
                </c:pt>
                <c:pt idx="64">
                  <c:v>-0.00773195876288657</c:v>
                </c:pt>
                <c:pt idx="65">
                  <c:v>-0.0622414622414622</c:v>
                </c:pt>
                <c:pt idx="66">
                  <c:v>0.0185679113664341</c:v>
                </c:pt>
                <c:pt idx="67">
                  <c:v>0.00372645785074011</c:v>
                </c:pt>
                <c:pt idx="68">
                  <c:v>-0.0192655027092113</c:v>
                </c:pt>
                <c:pt idx="69">
                  <c:v>0.0567833026396563</c:v>
                </c:pt>
                <c:pt idx="70">
                  <c:v>0.0863587956239713</c:v>
                </c:pt>
                <c:pt idx="71">
                  <c:v>0.00267355850637219</c:v>
                </c:pt>
                <c:pt idx="72">
                  <c:v>-0.0159096969158298</c:v>
                </c:pt>
                <c:pt idx="73">
                  <c:v>0.0298049132947977</c:v>
                </c:pt>
                <c:pt idx="74">
                  <c:v>0.00105244693913353</c:v>
                </c:pt>
                <c:pt idx="75">
                  <c:v>0.0243560539688104</c:v>
                </c:pt>
                <c:pt idx="76">
                  <c:v>-0.032329798152583</c:v>
                </c:pt>
                <c:pt idx="77">
                  <c:v>-0.0669082552589713</c:v>
                </c:pt>
                <c:pt idx="78">
                  <c:v>-0.0223548356540684</c:v>
                </c:pt>
                <c:pt idx="79">
                  <c:v>0.0186997383974421</c:v>
                </c:pt>
                <c:pt idx="80">
                  <c:v>-0.110614418870078</c:v>
                </c:pt>
                <c:pt idx="81">
                  <c:v>-0.0204256229280292</c:v>
                </c:pt>
                <c:pt idx="82">
                  <c:v>0.0610262008733624</c:v>
                </c:pt>
                <c:pt idx="83">
                  <c:v>0.00133758617141666</c:v>
                </c:pt>
                <c:pt idx="84">
                  <c:v>0.0310316481709825</c:v>
                </c:pt>
                <c:pt idx="85">
                  <c:v>0.0142515447478573</c:v>
                </c:pt>
                <c:pt idx="86">
                  <c:v>0.033998231305886</c:v>
                </c:pt>
                <c:pt idx="87">
                  <c:v>-0.0588235294117647</c:v>
                </c:pt>
                <c:pt idx="88">
                  <c:v>0.0438206785137316</c:v>
                </c:pt>
                <c:pt idx="89">
                  <c:v>0.0017411491584447</c:v>
                </c:pt>
                <c:pt idx="90">
                  <c:v>-0.0139049826187717</c:v>
                </c:pt>
                <c:pt idx="91">
                  <c:v>-0.00538582060321202</c:v>
                </c:pt>
                <c:pt idx="92">
                  <c:v>-0.000689179875947521</c:v>
                </c:pt>
                <c:pt idx="93">
                  <c:v>0.0227586206896553</c:v>
                </c:pt>
                <c:pt idx="94">
                  <c:v>0.0105962816684326</c:v>
                </c:pt>
                <c:pt idx="95">
                  <c:v>-0.0219235535220665</c:v>
                </c:pt>
                <c:pt idx="96">
                  <c:v>0.0329402592339927</c:v>
                </c:pt>
                <c:pt idx="97">
                  <c:v>-0.0487781866213795</c:v>
                </c:pt>
                <c:pt idx="98">
                  <c:v>0.00733981352906188</c:v>
                </c:pt>
                <c:pt idx="99">
                  <c:v>0.00856636471051608</c:v>
                </c:pt>
                <c:pt idx="100">
                  <c:v>0.0534023235380259</c:v>
                </c:pt>
                <c:pt idx="101">
                  <c:v>0.0133456904541243</c:v>
                </c:pt>
                <c:pt idx="102">
                  <c:v>-0.00109749405524062</c:v>
                </c:pt>
                <c:pt idx="103">
                  <c:v>0.0149240065921992</c:v>
                </c:pt>
                <c:pt idx="104">
                  <c:v>-0.00721695985566073</c:v>
                </c:pt>
                <c:pt idx="105">
                  <c:v>0.00599727396637895</c:v>
                </c:pt>
                <c:pt idx="106">
                  <c:v>0.0252009755216331</c:v>
                </c:pt>
                <c:pt idx="107">
                  <c:v>-0.0498678414096916</c:v>
                </c:pt>
                <c:pt idx="108">
                  <c:v>0.115541543026706</c:v>
                </c:pt>
                <c:pt idx="109">
                  <c:v>0.0189526184538653</c:v>
                </c:pt>
                <c:pt idx="110">
                  <c:v>-0.0185185185185185</c:v>
                </c:pt>
                <c:pt idx="111">
                  <c:v>0.012218435707755</c:v>
                </c:pt>
                <c:pt idx="112">
                  <c:v>-0.0220890129742157</c:v>
                </c:pt>
                <c:pt idx="113">
                  <c:v>0.0240994206062641</c:v>
                </c:pt>
                <c:pt idx="114">
                  <c:v>0.0218104296490653</c:v>
                </c:pt>
                <c:pt idx="115">
                  <c:v>-0.00433317284545021</c:v>
                </c:pt>
                <c:pt idx="116">
                  <c:v>0.0172469374597035</c:v>
                </c:pt>
                <c:pt idx="117">
                  <c:v>-0.0150530819204564</c:v>
                </c:pt>
                <c:pt idx="118">
                  <c:v>0.0115830115830118</c:v>
                </c:pt>
                <c:pt idx="119">
                  <c:v>0.0027035623409668</c:v>
                </c:pt>
                <c:pt idx="120">
                  <c:v>0.00269627279936557</c:v>
                </c:pt>
                <c:pt idx="121">
                  <c:v>0.0294210692818728</c:v>
                </c:pt>
                <c:pt idx="122">
                  <c:v>-0.0454824830977258</c:v>
                </c:pt>
                <c:pt idx="123">
                  <c:v>0.0268029620090149</c:v>
                </c:pt>
                <c:pt idx="124">
                  <c:v>0.0489927098847691</c:v>
                </c:pt>
                <c:pt idx="125">
                  <c:v>0.0147212673740846</c:v>
                </c:pt>
                <c:pt idx="126">
                  <c:v>0.0182634951027323</c:v>
                </c:pt>
                <c:pt idx="127">
                  <c:v>0.00752151587473771</c:v>
                </c:pt>
                <c:pt idx="128">
                  <c:v>-0.0563491493790825</c:v>
                </c:pt>
                <c:pt idx="129">
                  <c:v>-0.0207667731629394</c:v>
                </c:pt>
                <c:pt idx="130">
                  <c:v>-0.0205080400838964</c:v>
                </c:pt>
                <c:pt idx="131">
                  <c:v>0.00689983345229583</c:v>
                </c:pt>
                <c:pt idx="132">
                  <c:v>0.0378071833648392</c:v>
                </c:pt>
                <c:pt idx="133">
                  <c:v>0.0255768063145112</c:v>
                </c:pt>
                <c:pt idx="134">
                  <c:v>0.0576481906312438</c:v>
                </c:pt>
                <c:pt idx="135">
                  <c:v>-0.0207108872096277</c:v>
                </c:pt>
                <c:pt idx="136">
                  <c:v>-0.00478708202343536</c:v>
                </c:pt>
                <c:pt idx="137">
                  <c:v>0.0188814703137339</c:v>
                </c:pt>
                <c:pt idx="138">
                  <c:v>-0.0246617812852311</c:v>
                </c:pt>
                <c:pt idx="139">
                  <c:v>0.0382170206617543</c:v>
                </c:pt>
                <c:pt idx="140">
                  <c:v>-0.0167002992136943</c:v>
                </c:pt>
                <c:pt idx="141">
                  <c:v>0.0075012384120019</c:v>
                </c:pt>
                <c:pt idx="142">
                  <c:v>0.0290791599353795</c:v>
                </c:pt>
                <c:pt idx="143">
                  <c:v>-0.0483243464609924</c:v>
                </c:pt>
                <c:pt idx="144">
                  <c:v>-0.00401635229147246</c:v>
                </c:pt>
                <c:pt idx="145">
                  <c:v>-0.00388852883992219</c:v>
                </c:pt>
                <c:pt idx="146">
                  <c:v>0.0103375984963492</c:v>
                </c:pt>
                <c:pt idx="147">
                  <c:v>0.0633228391528335</c:v>
                </c:pt>
                <c:pt idx="148">
                  <c:v>-0.0144001076643565</c:v>
                </c:pt>
                <c:pt idx="149">
                  <c:v>-0.0204820099679115</c:v>
                </c:pt>
                <c:pt idx="150">
                  <c:v>-0.0307381334076811</c:v>
                </c:pt>
                <c:pt idx="151">
                  <c:v>0.00618438084280149</c:v>
                </c:pt>
                <c:pt idx="152">
                  <c:v>0.00543167524299615</c:v>
                </c:pt>
                <c:pt idx="153">
                  <c:v>-0.00774808075063982</c:v>
                </c:pt>
                <c:pt idx="154">
                  <c:v>-0.0238555770470665</c:v>
                </c:pt>
                <c:pt idx="155">
                  <c:v>-0.011595479230882</c:v>
                </c:pt>
                <c:pt idx="156">
                  <c:v>0.00118800118800122</c:v>
                </c:pt>
                <c:pt idx="157">
                  <c:v>-0.0132749925838029</c:v>
                </c:pt>
                <c:pt idx="158">
                  <c:v>-0.00458474257797825</c:v>
                </c:pt>
                <c:pt idx="159">
                  <c:v>2.23852310480217</c:v>
                </c:pt>
              </c:numCache>
            </c:numRef>
          </c:val>
        </c:ser>
        <c:gapWidth val="150"/>
        <c:overlap val="0"/>
        <c:axId val="56450172"/>
        <c:axId val="21083531"/>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(Calc)'!$AG$3:$AG$500</c:f>
              <c:numCache>
                <c:formatCode>#,##0.00</c:formatCode>
                <c:ptCount val="498"/>
                <c:pt idx="0">
                  <c:v>111.84</c:v>
                </c:pt>
                <c:pt idx="1">
                  <c:v>111.136603773585</c:v>
                </c:pt>
                <c:pt idx="2">
                  <c:v>110.43320754717</c:v>
                </c:pt>
                <c:pt idx="3">
                  <c:v>109.729811320755</c:v>
                </c:pt>
                <c:pt idx="4">
                  <c:v>109.02641509434</c:v>
                </c:pt>
                <c:pt idx="5">
                  <c:v>108.323018867925</c:v>
                </c:pt>
                <c:pt idx="6">
                  <c:v>107.619622641509</c:v>
                </c:pt>
                <c:pt idx="7">
                  <c:v>106.916226415094</c:v>
                </c:pt>
                <c:pt idx="8">
                  <c:v>106.212830188679</c:v>
                </c:pt>
                <c:pt idx="9">
                  <c:v>105.509433962264</c:v>
                </c:pt>
                <c:pt idx="10">
                  <c:v>104.806037735849</c:v>
                </c:pt>
                <c:pt idx="11">
                  <c:v>104.102641509434</c:v>
                </c:pt>
                <c:pt idx="12">
                  <c:v>103.399245283019</c:v>
                </c:pt>
                <c:pt idx="13">
                  <c:v>102.695849056604</c:v>
                </c:pt>
                <c:pt idx="14">
                  <c:v>101.992452830189</c:v>
                </c:pt>
                <c:pt idx="15">
                  <c:v>101.289056603774</c:v>
                </c:pt>
                <c:pt idx="16">
                  <c:v>100.585660377359</c:v>
                </c:pt>
                <c:pt idx="17">
                  <c:v>99.8822641509434</c:v>
                </c:pt>
                <c:pt idx="18">
                  <c:v>99.1788679245283</c:v>
                </c:pt>
                <c:pt idx="19">
                  <c:v>98.4754716981132</c:v>
                </c:pt>
                <c:pt idx="20">
                  <c:v>97.7720754716981</c:v>
                </c:pt>
                <c:pt idx="21">
                  <c:v>97.068679245283</c:v>
                </c:pt>
                <c:pt idx="22">
                  <c:v>96.3652830188679</c:v>
                </c:pt>
                <c:pt idx="23">
                  <c:v>95.6618867924528</c:v>
                </c:pt>
                <c:pt idx="24">
                  <c:v>94.9584905660377</c:v>
                </c:pt>
                <c:pt idx="25">
                  <c:v>94.2550943396226</c:v>
                </c:pt>
                <c:pt idx="26">
                  <c:v>93.5516981132076</c:v>
                </c:pt>
                <c:pt idx="27">
                  <c:v>92.8483018867925</c:v>
                </c:pt>
                <c:pt idx="28">
                  <c:v>92.1449056603774</c:v>
                </c:pt>
                <c:pt idx="29">
                  <c:v>91.4415094339623</c:v>
                </c:pt>
                <c:pt idx="30">
                  <c:v>90.7381132075472</c:v>
                </c:pt>
                <c:pt idx="31">
                  <c:v>90.0347169811321</c:v>
                </c:pt>
                <c:pt idx="32">
                  <c:v>89.331320754717</c:v>
                </c:pt>
                <c:pt idx="33">
                  <c:v>88.6279245283019</c:v>
                </c:pt>
                <c:pt idx="34">
                  <c:v>87.9245283018868</c:v>
                </c:pt>
                <c:pt idx="35">
                  <c:v>87.2211320754717</c:v>
                </c:pt>
                <c:pt idx="36">
                  <c:v>86.5177358490566</c:v>
                </c:pt>
                <c:pt idx="37">
                  <c:v>85.8143396226415</c:v>
                </c:pt>
                <c:pt idx="38">
                  <c:v>85.1109433962264</c:v>
                </c:pt>
                <c:pt idx="39">
                  <c:v>84.4075471698113</c:v>
                </c:pt>
                <c:pt idx="40">
                  <c:v>83.7041509433962</c:v>
                </c:pt>
                <c:pt idx="41">
                  <c:v>83.0007547169811</c:v>
                </c:pt>
                <c:pt idx="42">
                  <c:v>82.297358490566</c:v>
                </c:pt>
                <c:pt idx="43">
                  <c:v>81.593962264151</c:v>
                </c:pt>
                <c:pt idx="44">
                  <c:v>80.8905660377359</c:v>
                </c:pt>
                <c:pt idx="45">
                  <c:v>80.1871698113208</c:v>
                </c:pt>
                <c:pt idx="46">
                  <c:v>79.4837735849057</c:v>
                </c:pt>
                <c:pt idx="47">
                  <c:v>78.7803773584906</c:v>
                </c:pt>
                <c:pt idx="48">
                  <c:v>78.0769811320755</c:v>
                </c:pt>
                <c:pt idx="49">
                  <c:v>77.3735849056604</c:v>
                </c:pt>
                <c:pt idx="50">
                  <c:v>76.6701886792453</c:v>
                </c:pt>
                <c:pt idx="51">
                  <c:v>75.9667924528302</c:v>
                </c:pt>
                <c:pt idx="52">
                  <c:v>75.2633962264151</c:v>
                </c:pt>
                <c:pt idx="53">
                  <c:v>74.56</c:v>
                </c:pt>
                <c:pt idx="54">
                  <c:v>73.8566037735849</c:v>
                </c:pt>
                <c:pt idx="55">
                  <c:v>73.1532075471698</c:v>
                </c:pt>
                <c:pt idx="56">
                  <c:v>72.4498113207547</c:v>
                </c:pt>
                <c:pt idx="57">
                  <c:v>71.7464150943396</c:v>
                </c:pt>
                <c:pt idx="58">
                  <c:v>71.0430188679245</c:v>
                </c:pt>
                <c:pt idx="59">
                  <c:v>70.3396226415094</c:v>
                </c:pt>
                <c:pt idx="60">
                  <c:v>69.6362264150943</c:v>
                </c:pt>
                <c:pt idx="61">
                  <c:v>68.9328301886793</c:v>
                </c:pt>
                <c:pt idx="62">
                  <c:v>68.2294339622642</c:v>
                </c:pt>
                <c:pt idx="63">
                  <c:v>67.5260377358491</c:v>
                </c:pt>
                <c:pt idx="64">
                  <c:v>66.822641509434</c:v>
                </c:pt>
                <c:pt idx="65">
                  <c:v>66.1192452830189</c:v>
                </c:pt>
                <c:pt idx="66">
                  <c:v>65.4158490566038</c:v>
                </c:pt>
                <c:pt idx="67">
                  <c:v>64.7124528301887</c:v>
                </c:pt>
                <c:pt idx="68">
                  <c:v>64.0090566037736</c:v>
                </c:pt>
                <c:pt idx="69">
                  <c:v>63.3056603773585</c:v>
                </c:pt>
                <c:pt idx="70">
                  <c:v>62.6022641509434</c:v>
                </c:pt>
                <c:pt idx="71">
                  <c:v>61.8988679245283</c:v>
                </c:pt>
                <c:pt idx="72">
                  <c:v>61.1954716981132</c:v>
                </c:pt>
                <c:pt idx="73">
                  <c:v>60.4920754716981</c:v>
                </c:pt>
                <c:pt idx="74">
                  <c:v>59.788679245283</c:v>
                </c:pt>
                <c:pt idx="75">
                  <c:v>59.0852830188679</c:v>
                </c:pt>
                <c:pt idx="76">
                  <c:v>58.3818867924528</c:v>
                </c:pt>
                <c:pt idx="77">
                  <c:v>57.6784905660377</c:v>
                </c:pt>
                <c:pt idx="78">
                  <c:v>56.9750943396226</c:v>
                </c:pt>
                <c:pt idx="79">
                  <c:v>56.2716981132076</c:v>
                </c:pt>
                <c:pt idx="80">
                  <c:v>55.5683018867925</c:v>
                </c:pt>
                <c:pt idx="81">
                  <c:v>54.8649056603774</c:v>
                </c:pt>
                <c:pt idx="82">
                  <c:v>54.1615094339623</c:v>
                </c:pt>
                <c:pt idx="83">
                  <c:v>53.4581132075472</c:v>
                </c:pt>
                <c:pt idx="84">
                  <c:v>52.7547169811321</c:v>
                </c:pt>
                <c:pt idx="85">
                  <c:v>52.051320754717</c:v>
                </c:pt>
                <c:pt idx="86">
                  <c:v>51.3479245283019</c:v>
                </c:pt>
                <c:pt idx="87">
                  <c:v>50.6445283018868</c:v>
                </c:pt>
                <c:pt idx="88">
                  <c:v>49.9411320754717</c:v>
                </c:pt>
                <c:pt idx="89">
                  <c:v>49.2377358490566</c:v>
                </c:pt>
                <c:pt idx="90">
                  <c:v>48.5343396226415</c:v>
                </c:pt>
                <c:pt idx="91">
                  <c:v>47.8309433962264</c:v>
                </c:pt>
                <c:pt idx="92">
                  <c:v>47.1275471698113</c:v>
                </c:pt>
                <c:pt idx="93">
                  <c:v>46.4241509433962</c:v>
                </c:pt>
                <c:pt idx="94">
                  <c:v>45.7207547169811</c:v>
                </c:pt>
                <c:pt idx="95">
                  <c:v>45.017358490566</c:v>
                </c:pt>
                <c:pt idx="96">
                  <c:v>44.3139622641509</c:v>
                </c:pt>
                <c:pt idx="97">
                  <c:v>43.6105660377359</c:v>
                </c:pt>
                <c:pt idx="98">
                  <c:v>42.9071698113208</c:v>
                </c:pt>
                <c:pt idx="99">
                  <c:v>42.2037735849057</c:v>
                </c:pt>
                <c:pt idx="100">
                  <c:v>41.5003773584906</c:v>
                </c:pt>
                <c:pt idx="101">
                  <c:v>40.7969811320755</c:v>
                </c:pt>
                <c:pt idx="102">
                  <c:v>40.0935849056604</c:v>
                </c:pt>
                <c:pt idx="103">
                  <c:v>39.3901886792453</c:v>
                </c:pt>
                <c:pt idx="104">
                  <c:v>38.6867924528302</c:v>
                </c:pt>
                <c:pt idx="105">
                  <c:v>37.9833962264151</c:v>
                </c:pt>
                <c:pt idx="106">
                  <c:v>37.28</c:v>
                </c:pt>
                <c:pt idx="107">
                  <c:v>36.5766037735849</c:v>
                </c:pt>
                <c:pt idx="108">
                  <c:v>35.8732075471698</c:v>
                </c:pt>
                <c:pt idx="109">
                  <c:v>35.1698113207547</c:v>
                </c:pt>
                <c:pt idx="110">
                  <c:v>34.4664150943396</c:v>
                </c:pt>
                <c:pt idx="111">
                  <c:v>33.7630188679245</c:v>
                </c:pt>
                <c:pt idx="112">
                  <c:v>33.0596226415094</c:v>
                </c:pt>
                <c:pt idx="113">
                  <c:v>32.3562264150943</c:v>
                </c:pt>
                <c:pt idx="114">
                  <c:v>31.6528301886792</c:v>
                </c:pt>
                <c:pt idx="115">
                  <c:v>30.9494339622642</c:v>
                </c:pt>
                <c:pt idx="116">
                  <c:v>30.2460377358491</c:v>
                </c:pt>
                <c:pt idx="117">
                  <c:v>29.542641509434</c:v>
                </c:pt>
                <c:pt idx="118">
                  <c:v>28.8392452830189</c:v>
                </c:pt>
                <c:pt idx="119">
                  <c:v>28.1358490566038</c:v>
                </c:pt>
                <c:pt idx="120">
                  <c:v>27.4324528301887</c:v>
                </c:pt>
                <c:pt idx="121">
                  <c:v>26.7290566037736</c:v>
                </c:pt>
                <c:pt idx="122">
                  <c:v>26.0256603773585</c:v>
                </c:pt>
                <c:pt idx="123">
                  <c:v>25.3222641509434</c:v>
                </c:pt>
                <c:pt idx="124">
                  <c:v>24.6188679245283</c:v>
                </c:pt>
                <c:pt idx="125">
                  <c:v>23.9154716981132</c:v>
                </c:pt>
                <c:pt idx="126">
                  <c:v>23.2120754716981</c:v>
                </c:pt>
                <c:pt idx="127">
                  <c:v>22.508679245283</c:v>
                </c:pt>
                <c:pt idx="128">
                  <c:v>21.8052830188679</c:v>
                </c:pt>
                <c:pt idx="129">
                  <c:v>21.1018867924528</c:v>
                </c:pt>
                <c:pt idx="130">
                  <c:v>20.3984905660377</c:v>
                </c:pt>
                <c:pt idx="131">
                  <c:v>19.6950943396226</c:v>
                </c:pt>
                <c:pt idx="132">
                  <c:v>18.9916981132075</c:v>
                </c:pt>
                <c:pt idx="133">
                  <c:v>18.2883018867925</c:v>
                </c:pt>
                <c:pt idx="134">
                  <c:v>17.5849056603774</c:v>
                </c:pt>
                <c:pt idx="135">
                  <c:v>16.8815094339623</c:v>
                </c:pt>
                <c:pt idx="136">
                  <c:v>16.1781132075472</c:v>
                </c:pt>
                <c:pt idx="137">
                  <c:v>15.4747169811321</c:v>
                </c:pt>
                <c:pt idx="138">
                  <c:v>14.771320754717</c:v>
                </c:pt>
                <c:pt idx="139">
                  <c:v>14.0679245283019</c:v>
                </c:pt>
                <c:pt idx="140">
                  <c:v>13.3645283018868</c:v>
                </c:pt>
                <c:pt idx="141">
                  <c:v>12.6611320754717</c:v>
                </c:pt>
                <c:pt idx="142">
                  <c:v>11.9577358490566</c:v>
                </c:pt>
                <c:pt idx="143">
                  <c:v>11.2543396226415</c:v>
                </c:pt>
                <c:pt idx="144">
                  <c:v>10.5509433962264</c:v>
                </c:pt>
                <c:pt idx="145">
                  <c:v>9.84754716981132</c:v>
                </c:pt>
                <c:pt idx="146">
                  <c:v>9.14415094339623</c:v>
                </c:pt>
                <c:pt idx="147">
                  <c:v>8.44075471698113</c:v>
                </c:pt>
                <c:pt idx="148">
                  <c:v>7.73735849056604</c:v>
                </c:pt>
                <c:pt idx="149">
                  <c:v>7.03396226415094</c:v>
                </c:pt>
                <c:pt idx="150">
                  <c:v>6.33056603773585</c:v>
                </c:pt>
                <c:pt idx="151">
                  <c:v>5.62716981132076</c:v>
                </c:pt>
                <c:pt idx="152">
                  <c:v>4.92377358490566</c:v>
                </c:pt>
                <c:pt idx="153">
                  <c:v>4.22037735849057</c:v>
                </c:pt>
                <c:pt idx="154">
                  <c:v>3.51698113207547</c:v>
                </c:pt>
                <c:pt idx="155">
                  <c:v>2.81358490566038</c:v>
                </c:pt>
                <c:pt idx="156">
                  <c:v>2.11018867924528</c:v>
                </c:pt>
                <c:pt idx="157">
                  <c:v>1.40679245283019</c:v>
                </c:pt>
                <c:pt idx="158">
                  <c:v>0.703396226415094</c:v>
                </c:pt>
                <c:pt idx="159">
                  <c:v>0</c:v>
                </c:pt>
              </c:numCache>
            </c:numRef>
          </c:val>
          <c:smooth val="0"/>
        </c:ser>
        <c:hiLowLines>
          <c:spPr>
            <a:ln w="0">
              <a:noFill/>
            </a:ln>
          </c:spPr>
        </c:hiLowLines>
        <c:marker val="0"/>
        <c:axId val="8368107"/>
        <c:axId val="77697274"/>
      </c:lineChart>
      <c:dateAx>
        <c:axId val="5645017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083531"/>
        <c:auto val="1"/>
        <c:lblOffset val="100"/>
        <c:baseTimeUnit val="days"/>
      </c:dateAx>
      <c:valAx>
        <c:axId val="2108353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450172"/>
        <c:crosses val="autoZero"/>
        <c:crossBetween val="between"/>
      </c:valAx>
      <c:dateAx>
        <c:axId val="836810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697274"/>
        <c:auto val="1"/>
        <c:lblOffset val="100"/>
        <c:baseTimeUnit val="days"/>
      </c:dateAx>
      <c:valAx>
        <c:axId val="7769727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6810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(Calc)'!$M$3:$M$500</c:f>
              <c:numCache>
                <c:formatCode>0.0%</c:formatCode>
                <c:ptCount val="498"/>
                <c:pt idx="0">
                  <c:v>-0.0782778864970646</c:v>
                </c:pt>
                <c:pt idx="1">
                  <c:v>0.132342533616419</c:v>
                </c:pt>
                <c:pt idx="2">
                  <c:v>0.038125</c:v>
                </c:pt>
                <c:pt idx="3">
                  <c:v>0.0451535219747141</c:v>
                </c:pt>
                <c:pt idx="4">
                  <c:v>-0.0720046082949308</c:v>
                </c:pt>
                <c:pt idx="5">
                  <c:v>-0.0645561762880198</c:v>
                </c:pt>
                <c:pt idx="6">
                  <c:v>0.253483742534838</c:v>
                </c:pt>
                <c:pt idx="7">
                  <c:v>0.0412916887241928</c:v>
                </c:pt>
                <c:pt idx="8">
                  <c:v>0.0416878495170308</c:v>
                </c:pt>
                <c:pt idx="9">
                  <c:v>-0.0629575402635432</c:v>
                </c:pt>
                <c:pt idx="10">
                  <c:v>0.0557291666666666</c:v>
                </c:pt>
                <c:pt idx="11">
                  <c:v>-0.123334977799704</c:v>
                </c:pt>
                <c:pt idx="12">
                  <c:v>0.024198086662915</c:v>
                </c:pt>
                <c:pt idx="13">
                  <c:v>-0.0434065934065934</c:v>
                </c:pt>
                <c:pt idx="14">
                  <c:v>-0.0137851809304996</c:v>
                </c:pt>
                <c:pt idx="15">
                  <c:v>-0.0693069306930694</c:v>
                </c:pt>
                <c:pt idx="16">
                  <c:v>0.0488110137672091</c:v>
                </c:pt>
                <c:pt idx="17">
                  <c:v>0.00119331742243434</c:v>
                </c:pt>
                <c:pt idx="18">
                  <c:v>-0.0256257449344458</c:v>
                </c:pt>
                <c:pt idx="19">
                  <c:v>0.0409785932721711</c:v>
                </c:pt>
                <c:pt idx="20">
                  <c:v>0.432432432432432</c:v>
                </c:pt>
                <c:pt idx="21">
                  <c:v>0.00246103363412642</c:v>
                </c:pt>
                <c:pt idx="22">
                  <c:v>-0.0601472995090018</c:v>
                </c:pt>
                <c:pt idx="23">
                  <c:v>0.0853286895951242</c:v>
                </c:pt>
                <c:pt idx="24">
                  <c:v>0.0445246690734056</c:v>
                </c:pt>
                <c:pt idx="25">
                  <c:v>-0.097926267281106</c:v>
                </c:pt>
                <c:pt idx="26">
                  <c:v>0.029374201787995</c:v>
                </c:pt>
                <c:pt idx="27">
                  <c:v>-0.0483870967741935</c:v>
                </c:pt>
                <c:pt idx="28">
                  <c:v>-0.00217296827466318</c:v>
                </c:pt>
                <c:pt idx="29">
                  <c:v>-0.0126306620209059</c:v>
                </c:pt>
                <c:pt idx="30">
                  <c:v>-0.0970445522717248</c:v>
                </c:pt>
                <c:pt idx="31">
                  <c:v>0.100146555935515</c:v>
                </c:pt>
                <c:pt idx="32">
                  <c:v>0.0359680284191828</c:v>
                </c:pt>
                <c:pt idx="33">
                  <c:v>-0.11701671667381</c:v>
                </c:pt>
                <c:pt idx="34">
                  <c:v>0.0563106796116506</c:v>
                </c:pt>
                <c:pt idx="35">
                  <c:v>-0.0344669117647058</c:v>
                </c:pt>
                <c:pt idx="36">
                  <c:v>0.031889576392194</c:v>
                </c:pt>
                <c:pt idx="37">
                  <c:v>0.0751845018450184</c:v>
                </c:pt>
                <c:pt idx="38">
                  <c:v>0.0111540111540112</c:v>
                </c:pt>
                <c:pt idx="39">
                  <c:v>0.0114552397114978</c:v>
                </c:pt>
                <c:pt idx="40">
                  <c:v>0.0625</c:v>
                </c:pt>
                <c:pt idx="41">
                  <c:v>0.0750098697197001</c:v>
                </c:pt>
                <c:pt idx="42">
                  <c:v>0.0308483290488433</c:v>
                </c:pt>
                <c:pt idx="43">
                  <c:v>0.0181688635553972</c:v>
                </c:pt>
                <c:pt idx="44">
                  <c:v>-0.0489853044086773</c:v>
                </c:pt>
                <c:pt idx="45">
                  <c:v>-0.0897718910963945</c:v>
                </c:pt>
                <c:pt idx="46">
                  <c:v>0.21301535974131</c:v>
                </c:pt>
                <c:pt idx="47">
                  <c:v>0.0689770076641119</c:v>
                </c:pt>
                <c:pt idx="48">
                  <c:v>-0.00935162094763087</c:v>
                </c:pt>
                <c:pt idx="49">
                  <c:v>-0.0094398993077407</c:v>
                </c:pt>
                <c:pt idx="50">
                  <c:v>-0.0365311308767472</c:v>
                </c:pt>
                <c:pt idx="51">
                  <c:v>0.173425651170458</c:v>
                </c:pt>
                <c:pt idx="52">
                  <c:v>0.0452374262433268</c:v>
                </c:pt>
                <c:pt idx="53">
                  <c:v>-0.00967741935483868</c:v>
                </c:pt>
                <c:pt idx="54">
                  <c:v>0.0860477741585233</c:v>
                </c:pt>
                <c:pt idx="55">
                  <c:v>0.0874781304673831</c:v>
                </c:pt>
                <c:pt idx="56">
                  <c:v>-0.01241094001379</c:v>
                </c:pt>
                <c:pt idx="57">
                  <c:v>0.0439841750058181</c:v>
                </c:pt>
                <c:pt idx="58">
                  <c:v>-0.0655372269282211</c:v>
                </c:pt>
                <c:pt idx="59">
                  <c:v>0.392891221374046</c:v>
                </c:pt>
                <c:pt idx="60">
                  <c:v>0.126391505394759</c:v>
                </c:pt>
                <c:pt idx="61">
                  <c:v>-0.0215903907556637</c:v>
                </c:pt>
                <c:pt idx="62">
                  <c:v>0.0424242424242425</c:v>
                </c:pt>
                <c:pt idx="63">
                  <c:v>0.13804412641622</c:v>
                </c:pt>
                <c:pt idx="64">
                  <c:v>-0.00353680901231346</c:v>
                </c:pt>
                <c:pt idx="65">
                  <c:v>0.0588931247535165</c:v>
                </c:pt>
                <c:pt idx="66">
                  <c:v>-0.0182495344506518</c:v>
                </c:pt>
                <c:pt idx="67">
                  <c:v>0.0102427921092565</c:v>
                </c:pt>
                <c:pt idx="68">
                  <c:v>-0.1580923770184</c:v>
                </c:pt>
                <c:pt idx="69">
                  <c:v>0.0670532262860539</c:v>
                </c:pt>
                <c:pt idx="70">
                  <c:v>0.100459802145743</c:v>
                </c:pt>
                <c:pt idx="71">
                  <c:v>0.0444416307926057</c:v>
                </c:pt>
                <c:pt idx="72">
                  <c:v>0.343799248393745</c:v>
                </c:pt>
                <c:pt idx="73">
                  <c:v>0.0749661705006766</c:v>
                </c:pt>
                <c:pt idx="74">
                  <c:v>-0.149462907015777</c:v>
                </c:pt>
                <c:pt idx="75">
                  <c:v>-0.162111494819931</c:v>
                </c:pt>
                <c:pt idx="76">
                  <c:v>-0.000117757889778636</c:v>
                </c:pt>
                <c:pt idx="77">
                  <c:v>0.0156636438582027</c:v>
                </c:pt>
                <c:pt idx="78">
                  <c:v>0.0547309833024119</c:v>
                </c:pt>
                <c:pt idx="79">
                  <c:v>-0.0561785400175902</c:v>
                </c:pt>
                <c:pt idx="80">
                  <c:v>-0.137914967967385</c:v>
                </c:pt>
                <c:pt idx="81">
                  <c:v>0.196459937846237</c:v>
                </c:pt>
                <c:pt idx="82">
                  <c:v>0.0590626764539808</c:v>
                </c:pt>
                <c:pt idx="83">
                  <c:v>0.202601834079761</c:v>
                </c:pt>
                <c:pt idx="84">
                  <c:v>0.101968434119525</c:v>
                </c:pt>
                <c:pt idx="85">
                  <c:v>-0.0561635017701964</c:v>
                </c:pt>
                <c:pt idx="86">
                  <c:v>0.104177323103154</c:v>
                </c:pt>
                <c:pt idx="87">
                  <c:v>-0.0479462631253861</c:v>
                </c:pt>
                <c:pt idx="88">
                  <c:v>0.0686886708296164</c:v>
                </c:pt>
                <c:pt idx="89">
                  <c:v>-0.0308089239641828</c:v>
                </c:pt>
                <c:pt idx="90">
                  <c:v>0.0757907923582839</c:v>
                </c:pt>
                <c:pt idx="91">
                  <c:v>-0.000727802037845615</c:v>
                </c:pt>
                <c:pt idx="92">
                  <c:v>-0.0477785870356883</c:v>
                </c:pt>
                <c:pt idx="93">
                  <c:v>0.0276885421447148</c:v>
                </c:pt>
                <c:pt idx="94">
                  <c:v>0.0576064304852633</c:v>
                </c:pt>
                <c:pt idx="95">
                  <c:v>0.08036593947924</c:v>
                </c:pt>
                <c:pt idx="96">
                  <c:v>0.0343929129755081</c:v>
                </c:pt>
                <c:pt idx="97">
                  <c:v>-0.0285264483627204</c:v>
                </c:pt>
                <c:pt idx="98">
                  <c:v>0.211901212160498</c:v>
                </c:pt>
                <c:pt idx="99">
                  <c:v>-0.0523641420624734</c:v>
                </c:pt>
                <c:pt idx="100">
                  <c:v>-0.104024383360614</c:v>
                </c:pt>
                <c:pt idx="101">
                  <c:v>-0.0127882071311579</c:v>
                </c:pt>
                <c:pt idx="102">
                  <c:v>-0.0229723693446493</c:v>
                </c:pt>
                <c:pt idx="103">
                  <c:v>0.119652537391418</c:v>
                </c:pt>
                <c:pt idx="104">
                  <c:v>0.0639328005599953</c:v>
                </c:pt>
                <c:pt idx="105">
                  <c:v>-0.0264268874390043</c:v>
                </c:pt>
                <c:pt idx="106">
                  <c:v>-0.025342118601115</c:v>
                </c:pt>
                <c:pt idx="107">
                  <c:v>0.0136938810885769</c:v>
                </c:pt>
                <c:pt idx="108">
                  <c:v>0.0154468764249887</c:v>
                </c:pt>
                <c:pt idx="109">
                  <c:v>0.0363738422677518</c:v>
                </c:pt>
                <c:pt idx="110">
                  <c:v>0.0857932080376971</c:v>
                </c:pt>
                <c:pt idx="111">
                  <c:v>-0.112435775926573</c:v>
                </c:pt>
                <c:pt idx="112">
                  <c:v>-0.0220311358399371</c:v>
                </c:pt>
                <c:pt idx="113">
                  <c:v>-0.110108614447446</c:v>
                </c:pt>
                <c:pt idx="114">
                  <c:v>0.0878269292864062</c:v>
                </c:pt>
                <c:pt idx="115">
                  <c:v>0.0790145443751855</c:v>
                </c:pt>
                <c:pt idx="116">
                  <c:v>0.00995818661971826</c:v>
                </c:pt>
                <c:pt idx="117">
                  <c:v>0.0534401045922537</c:v>
                </c:pt>
                <c:pt idx="118">
                  <c:v>-0.0241493432619712</c:v>
                </c:pt>
                <c:pt idx="119">
                  <c:v>-0.110486990620529</c:v>
                </c:pt>
                <c:pt idx="120">
                  <c:v>0.0573692362683189</c:v>
                </c:pt>
                <c:pt idx="121">
                  <c:v>-0.0367908051157811</c:v>
                </c:pt>
                <c:pt idx="122">
                  <c:v>-0.0079550772110436</c:v>
                </c:pt>
                <c:pt idx="123">
                  <c:v>-0.135672169811321</c:v>
                </c:pt>
                <c:pt idx="124">
                  <c:v>-0.0729244832526093</c:v>
                </c:pt>
                <c:pt idx="125">
                  <c:v>-0.0330389992641649</c:v>
                </c:pt>
                <c:pt idx="126">
                  <c:v>0.0291454227227761</c:v>
                </c:pt>
                <c:pt idx="127">
                  <c:v>0.014418811002662</c:v>
                </c:pt>
                <c:pt idx="128">
                  <c:v>0.145564545520811</c:v>
                </c:pt>
                <c:pt idx="129">
                  <c:v>-0.0395138712140495</c:v>
                </c:pt>
                <c:pt idx="130">
                  <c:v>-0.00178867174561104</c:v>
                </c:pt>
                <c:pt idx="131">
                  <c:v>-0.0505707459516858</c:v>
                </c:pt>
                <c:pt idx="132">
                  <c:v>0.0377464001118413</c:v>
                </c:pt>
                <c:pt idx="133">
                  <c:v>-0.13741075037047</c:v>
                </c:pt>
                <c:pt idx="134">
                  <c:v>0.143136029985944</c:v>
                </c:pt>
                <c:pt idx="135">
                  <c:v>-0.0225425233964067</c:v>
                </c:pt>
                <c:pt idx="136">
                  <c:v>0.00684883639667344</c:v>
                </c:pt>
                <c:pt idx="137">
                  <c:v>-0.0435205108627749</c:v>
                </c:pt>
                <c:pt idx="138">
                  <c:v>-0.0276487663280116</c:v>
                </c:pt>
                <c:pt idx="139">
                  <c:v>0.0215687737890886</c:v>
                </c:pt>
                <c:pt idx="140">
                  <c:v>0.143629456458211</c:v>
                </c:pt>
                <c:pt idx="141">
                  <c:v>-0.134214897150888</c:v>
                </c:pt>
                <c:pt idx="142">
                  <c:v>-0.0556334390909762</c:v>
                </c:pt>
                <c:pt idx="143">
                  <c:v>0.00375029299163998</c:v>
                </c:pt>
                <c:pt idx="144">
                  <c:v>-0.120962092317273</c:v>
                </c:pt>
                <c:pt idx="145">
                  <c:v>0.144957053041707</c:v>
                </c:pt>
                <c:pt idx="146">
                  <c:v>-0.0194122196442382</c:v>
                </c:pt>
                <c:pt idx="147">
                  <c:v>0.0440886505244893</c:v>
                </c:pt>
                <c:pt idx="148">
                  <c:v>-0.0714609457621996</c:v>
                </c:pt>
                <c:pt idx="149">
                  <c:v>0.00113895216400906</c:v>
                </c:pt>
                <c:pt idx="150">
                  <c:v>0.397773443848529</c:v>
                </c:pt>
                <c:pt idx="151">
                  <c:v>0.0118016394395675</c:v>
                </c:pt>
                <c:pt idx="152">
                  <c:v>0.0339002528154448</c:v>
                </c:pt>
                <c:pt idx="153">
                  <c:v>0.0352895409580971</c:v>
                </c:pt>
                <c:pt idx="154">
                  <c:v>-0.0642009769713886</c:v>
                </c:pt>
                <c:pt idx="155">
                  <c:v>-0.0407273561635979</c:v>
                </c:pt>
                <c:pt idx="156">
                  <c:v>0.0622495963642886</c:v>
                </c:pt>
                <c:pt idx="157">
                  <c:v>0.0677212339563162</c:v>
                </c:pt>
                <c:pt idx="158">
                  <c:v>-0.0115463700110718</c:v>
                </c:pt>
                <c:pt idx="159">
                  <c:v>0.496319607424792</c:v>
                </c:pt>
              </c:numCache>
            </c:numRef>
          </c:val>
        </c:ser>
        <c:gapWidth val="150"/>
        <c:overlap val="0"/>
        <c:axId val="13905370"/>
        <c:axId val="84722495"/>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(Calc)'!$AH$3:$AH$500</c:f>
              <c:numCache>
                <c:formatCode>#,##0.00</c:formatCode>
                <c:ptCount val="498"/>
                <c:pt idx="0">
                  <c:v>15.33</c:v>
                </c:pt>
                <c:pt idx="1">
                  <c:v>15.2335849056604</c:v>
                </c:pt>
                <c:pt idx="2">
                  <c:v>15.1371698113208</c:v>
                </c:pt>
                <c:pt idx="3">
                  <c:v>15.0407547169811</c:v>
                </c:pt>
                <c:pt idx="4">
                  <c:v>14.9443396226415</c:v>
                </c:pt>
                <c:pt idx="5">
                  <c:v>14.8479245283019</c:v>
                </c:pt>
                <c:pt idx="6">
                  <c:v>14.7515094339623</c:v>
                </c:pt>
                <c:pt idx="7">
                  <c:v>14.6550943396226</c:v>
                </c:pt>
                <c:pt idx="8">
                  <c:v>14.558679245283</c:v>
                </c:pt>
                <c:pt idx="9">
                  <c:v>14.4622641509434</c:v>
                </c:pt>
                <c:pt idx="10">
                  <c:v>14.3658490566038</c:v>
                </c:pt>
                <c:pt idx="11">
                  <c:v>14.2694339622642</c:v>
                </c:pt>
                <c:pt idx="12">
                  <c:v>14.1730188679245</c:v>
                </c:pt>
                <c:pt idx="13">
                  <c:v>14.0766037735849</c:v>
                </c:pt>
                <c:pt idx="14">
                  <c:v>13.9801886792453</c:v>
                </c:pt>
                <c:pt idx="15">
                  <c:v>13.8837735849057</c:v>
                </c:pt>
                <c:pt idx="16">
                  <c:v>13.787358490566</c:v>
                </c:pt>
                <c:pt idx="17">
                  <c:v>13.6909433962264</c:v>
                </c:pt>
                <c:pt idx="18">
                  <c:v>13.5945283018868</c:v>
                </c:pt>
                <c:pt idx="19">
                  <c:v>13.4981132075472</c:v>
                </c:pt>
                <c:pt idx="20">
                  <c:v>13.4016981132075</c:v>
                </c:pt>
                <c:pt idx="21">
                  <c:v>13.3052830188679</c:v>
                </c:pt>
                <c:pt idx="22">
                  <c:v>13.2088679245283</c:v>
                </c:pt>
                <c:pt idx="23">
                  <c:v>13.1124528301887</c:v>
                </c:pt>
                <c:pt idx="24">
                  <c:v>13.0160377358491</c:v>
                </c:pt>
                <c:pt idx="25">
                  <c:v>12.9196226415094</c:v>
                </c:pt>
                <c:pt idx="26">
                  <c:v>12.8232075471698</c:v>
                </c:pt>
                <c:pt idx="27">
                  <c:v>12.7267924528302</c:v>
                </c:pt>
                <c:pt idx="28">
                  <c:v>12.6303773584906</c:v>
                </c:pt>
                <c:pt idx="29">
                  <c:v>12.5339622641509</c:v>
                </c:pt>
                <c:pt idx="30">
                  <c:v>12.4375471698113</c:v>
                </c:pt>
                <c:pt idx="31">
                  <c:v>12.3411320754717</c:v>
                </c:pt>
                <c:pt idx="32">
                  <c:v>12.2447169811321</c:v>
                </c:pt>
                <c:pt idx="33">
                  <c:v>12.1483018867925</c:v>
                </c:pt>
                <c:pt idx="34">
                  <c:v>12.0518867924528</c:v>
                </c:pt>
                <c:pt idx="35">
                  <c:v>11.9554716981132</c:v>
                </c:pt>
                <c:pt idx="36">
                  <c:v>11.8590566037736</c:v>
                </c:pt>
                <c:pt idx="37">
                  <c:v>11.762641509434</c:v>
                </c:pt>
                <c:pt idx="38">
                  <c:v>11.6662264150943</c:v>
                </c:pt>
                <c:pt idx="39">
                  <c:v>11.5698113207547</c:v>
                </c:pt>
                <c:pt idx="40">
                  <c:v>11.4733962264151</c:v>
                </c:pt>
                <c:pt idx="41">
                  <c:v>11.3769811320755</c:v>
                </c:pt>
                <c:pt idx="42">
                  <c:v>11.2805660377358</c:v>
                </c:pt>
                <c:pt idx="43">
                  <c:v>11.1841509433962</c:v>
                </c:pt>
                <c:pt idx="44">
                  <c:v>11.0877358490566</c:v>
                </c:pt>
                <c:pt idx="45">
                  <c:v>10.991320754717</c:v>
                </c:pt>
                <c:pt idx="46">
                  <c:v>10.8949056603774</c:v>
                </c:pt>
                <c:pt idx="47">
                  <c:v>10.7984905660377</c:v>
                </c:pt>
                <c:pt idx="48">
                  <c:v>10.7020754716981</c:v>
                </c:pt>
                <c:pt idx="49">
                  <c:v>10.6056603773585</c:v>
                </c:pt>
                <c:pt idx="50">
                  <c:v>10.5092452830189</c:v>
                </c:pt>
                <c:pt idx="51">
                  <c:v>10.4128301886792</c:v>
                </c:pt>
                <c:pt idx="52">
                  <c:v>10.3164150943396</c:v>
                </c:pt>
                <c:pt idx="53">
                  <c:v>10.22</c:v>
                </c:pt>
                <c:pt idx="54">
                  <c:v>10.1235849056604</c:v>
                </c:pt>
                <c:pt idx="55">
                  <c:v>10.0271698113208</c:v>
                </c:pt>
                <c:pt idx="56">
                  <c:v>9.93075471698113</c:v>
                </c:pt>
                <c:pt idx="57">
                  <c:v>9.83433962264151</c:v>
                </c:pt>
                <c:pt idx="58">
                  <c:v>9.73792452830189</c:v>
                </c:pt>
                <c:pt idx="59">
                  <c:v>9.64150943396226</c:v>
                </c:pt>
                <c:pt idx="60">
                  <c:v>9.54509433962264</c:v>
                </c:pt>
                <c:pt idx="61">
                  <c:v>9.44867924528302</c:v>
                </c:pt>
                <c:pt idx="62">
                  <c:v>9.3522641509434</c:v>
                </c:pt>
                <c:pt idx="63">
                  <c:v>9.25584905660377</c:v>
                </c:pt>
                <c:pt idx="64">
                  <c:v>9.15943396226415</c:v>
                </c:pt>
                <c:pt idx="65">
                  <c:v>9.06301886792453</c:v>
                </c:pt>
                <c:pt idx="66">
                  <c:v>8.96660377358491</c:v>
                </c:pt>
                <c:pt idx="67">
                  <c:v>8.87018867924529</c:v>
                </c:pt>
                <c:pt idx="68">
                  <c:v>8.77377358490566</c:v>
                </c:pt>
                <c:pt idx="69">
                  <c:v>8.67735849056604</c:v>
                </c:pt>
                <c:pt idx="70">
                  <c:v>8.58094339622642</c:v>
                </c:pt>
                <c:pt idx="71">
                  <c:v>8.48452830188679</c:v>
                </c:pt>
                <c:pt idx="72">
                  <c:v>8.38811320754717</c:v>
                </c:pt>
                <c:pt idx="73">
                  <c:v>8.29169811320755</c:v>
                </c:pt>
                <c:pt idx="74">
                  <c:v>8.19528301886792</c:v>
                </c:pt>
                <c:pt idx="75">
                  <c:v>8.0988679245283</c:v>
                </c:pt>
                <c:pt idx="76">
                  <c:v>8.00245283018868</c:v>
                </c:pt>
                <c:pt idx="77">
                  <c:v>7.90603773584906</c:v>
                </c:pt>
                <c:pt idx="78">
                  <c:v>7.80962264150943</c:v>
                </c:pt>
                <c:pt idx="79">
                  <c:v>7.71320754716981</c:v>
                </c:pt>
                <c:pt idx="80">
                  <c:v>7.61679245283019</c:v>
                </c:pt>
                <c:pt idx="81">
                  <c:v>7.52037735849057</c:v>
                </c:pt>
                <c:pt idx="82">
                  <c:v>7.42396226415094</c:v>
                </c:pt>
                <c:pt idx="83">
                  <c:v>7.32754716981132</c:v>
                </c:pt>
                <c:pt idx="84">
                  <c:v>7.2311320754717</c:v>
                </c:pt>
                <c:pt idx="85">
                  <c:v>7.13471698113208</c:v>
                </c:pt>
                <c:pt idx="86">
                  <c:v>7.03830188679245</c:v>
                </c:pt>
                <c:pt idx="87">
                  <c:v>6.94188679245283</c:v>
                </c:pt>
                <c:pt idx="88">
                  <c:v>6.84547169811321</c:v>
                </c:pt>
                <c:pt idx="89">
                  <c:v>6.74905660377358</c:v>
                </c:pt>
                <c:pt idx="90">
                  <c:v>6.65264150943396</c:v>
                </c:pt>
                <c:pt idx="91">
                  <c:v>6.55622641509434</c:v>
                </c:pt>
                <c:pt idx="92">
                  <c:v>6.45981132075472</c:v>
                </c:pt>
                <c:pt idx="93">
                  <c:v>6.36339622641509</c:v>
                </c:pt>
                <c:pt idx="94">
                  <c:v>6.26698113207547</c:v>
                </c:pt>
                <c:pt idx="95">
                  <c:v>6.17056603773585</c:v>
                </c:pt>
                <c:pt idx="96">
                  <c:v>6.07415094339623</c:v>
                </c:pt>
                <c:pt idx="97">
                  <c:v>5.9777358490566</c:v>
                </c:pt>
                <c:pt idx="98">
                  <c:v>5.88132075471698</c:v>
                </c:pt>
                <c:pt idx="99">
                  <c:v>5.78490566037736</c:v>
                </c:pt>
                <c:pt idx="100">
                  <c:v>5.68849056603774</c:v>
                </c:pt>
                <c:pt idx="101">
                  <c:v>5.59207547169811</c:v>
                </c:pt>
                <c:pt idx="102">
                  <c:v>5.49566037735849</c:v>
                </c:pt>
                <c:pt idx="103">
                  <c:v>5.39924528301887</c:v>
                </c:pt>
                <c:pt idx="104">
                  <c:v>5.30283018867925</c:v>
                </c:pt>
                <c:pt idx="105">
                  <c:v>5.20641509433962</c:v>
                </c:pt>
                <c:pt idx="106">
                  <c:v>5.11</c:v>
                </c:pt>
                <c:pt idx="107">
                  <c:v>5.01358490566038</c:v>
                </c:pt>
                <c:pt idx="108">
                  <c:v>4.91716981132075</c:v>
                </c:pt>
                <c:pt idx="109">
                  <c:v>4.82075471698113</c:v>
                </c:pt>
                <c:pt idx="110">
                  <c:v>4.72433962264151</c:v>
                </c:pt>
                <c:pt idx="111">
                  <c:v>4.62792452830189</c:v>
                </c:pt>
                <c:pt idx="112">
                  <c:v>4.53150943396226</c:v>
                </c:pt>
                <c:pt idx="113">
                  <c:v>4.43509433962264</c:v>
                </c:pt>
                <c:pt idx="114">
                  <c:v>4.33867924528302</c:v>
                </c:pt>
                <c:pt idx="115">
                  <c:v>4.2422641509434</c:v>
                </c:pt>
                <c:pt idx="116">
                  <c:v>4.14584905660377</c:v>
                </c:pt>
                <c:pt idx="117">
                  <c:v>4.04943396226415</c:v>
                </c:pt>
                <c:pt idx="118">
                  <c:v>3.95301886792453</c:v>
                </c:pt>
                <c:pt idx="119">
                  <c:v>3.85660377358491</c:v>
                </c:pt>
                <c:pt idx="120">
                  <c:v>3.76018867924528</c:v>
                </c:pt>
                <c:pt idx="121">
                  <c:v>3.66377358490566</c:v>
                </c:pt>
                <c:pt idx="122">
                  <c:v>3.56735849056604</c:v>
                </c:pt>
                <c:pt idx="123">
                  <c:v>3.47094339622642</c:v>
                </c:pt>
                <c:pt idx="124">
                  <c:v>3.37452830188679</c:v>
                </c:pt>
                <c:pt idx="125">
                  <c:v>3.27811320754717</c:v>
                </c:pt>
                <c:pt idx="126">
                  <c:v>3.18169811320755</c:v>
                </c:pt>
                <c:pt idx="127">
                  <c:v>3.08528301886792</c:v>
                </c:pt>
                <c:pt idx="128">
                  <c:v>2.9888679245283</c:v>
                </c:pt>
                <c:pt idx="129">
                  <c:v>2.89245283018868</c:v>
                </c:pt>
                <c:pt idx="130">
                  <c:v>2.79603773584906</c:v>
                </c:pt>
                <c:pt idx="131">
                  <c:v>2.69962264150943</c:v>
                </c:pt>
                <c:pt idx="132">
                  <c:v>2.60320754716981</c:v>
                </c:pt>
                <c:pt idx="133">
                  <c:v>2.50679245283019</c:v>
                </c:pt>
                <c:pt idx="134">
                  <c:v>2.41037735849057</c:v>
                </c:pt>
                <c:pt idx="135">
                  <c:v>2.31396226415094</c:v>
                </c:pt>
                <c:pt idx="136">
                  <c:v>2.21754716981132</c:v>
                </c:pt>
                <c:pt idx="137">
                  <c:v>2.1211320754717</c:v>
                </c:pt>
                <c:pt idx="138">
                  <c:v>2.02471698113208</c:v>
                </c:pt>
                <c:pt idx="139">
                  <c:v>1.92830188679245</c:v>
                </c:pt>
                <c:pt idx="140">
                  <c:v>1.83188679245283</c:v>
                </c:pt>
                <c:pt idx="141">
                  <c:v>1.73547169811321</c:v>
                </c:pt>
                <c:pt idx="142">
                  <c:v>1.63905660377358</c:v>
                </c:pt>
                <c:pt idx="143">
                  <c:v>1.54264150943396</c:v>
                </c:pt>
                <c:pt idx="144">
                  <c:v>1.44622641509434</c:v>
                </c:pt>
                <c:pt idx="145">
                  <c:v>1.34981132075472</c:v>
                </c:pt>
                <c:pt idx="146">
                  <c:v>1.2533962264151</c:v>
                </c:pt>
                <c:pt idx="147">
                  <c:v>1.15698113207547</c:v>
                </c:pt>
                <c:pt idx="148">
                  <c:v>1.06056603773585</c:v>
                </c:pt>
                <c:pt idx="149">
                  <c:v>0.964150943396225</c:v>
                </c:pt>
                <c:pt idx="150">
                  <c:v>0.867735849056604</c:v>
                </c:pt>
                <c:pt idx="151">
                  <c:v>0.771320754716982</c:v>
                </c:pt>
                <c:pt idx="152">
                  <c:v>0.674905660377359</c:v>
                </c:pt>
                <c:pt idx="153">
                  <c:v>0.578490566037734</c:v>
                </c:pt>
                <c:pt idx="154">
                  <c:v>0.482075471698112</c:v>
                </c:pt>
                <c:pt idx="155">
                  <c:v>0.385660377358491</c:v>
                </c:pt>
                <c:pt idx="156">
                  <c:v>0.289245283018868</c:v>
                </c:pt>
                <c:pt idx="157">
                  <c:v>0.192830188679245</c:v>
                </c:pt>
                <c:pt idx="158">
                  <c:v>0.0964150943396227</c:v>
                </c:pt>
                <c:pt idx="159">
                  <c:v>0</c:v>
                </c:pt>
              </c:numCache>
            </c:numRef>
          </c:val>
          <c:smooth val="0"/>
        </c:ser>
        <c:hiLowLines>
          <c:spPr>
            <a:ln w="0">
              <a:noFill/>
            </a:ln>
          </c:spPr>
        </c:hiLowLines>
        <c:marker val="0"/>
        <c:axId val="36320463"/>
        <c:axId val="15198086"/>
      </c:lineChart>
      <c:dateAx>
        <c:axId val="1390537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722495"/>
        <c:auto val="1"/>
        <c:lblOffset val="100"/>
        <c:baseTimeUnit val="days"/>
      </c:dateAx>
      <c:valAx>
        <c:axId val="8472249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905370"/>
        <c:crosses val="autoZero"/>
        <c:crossBetween val="between"/>
      </c:valAx>
      <c:dateAx>
        <c:axId val="3632046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198086"/>
        <c:auto val="1"/>
        <c:lblOffset val="100"/>
        <c:baseTimeUnit val="days"/>
      </c:dateAx>
      <c:valAx>
        <c:axId val="1519808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632046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SCHD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(Calc)'!$N$3:$N$500</c:f>
              <c:numCache>
                <c:formatCode>0.0%</c:formatCode>
                <c:ptCount val="498"/>
                <c:pt idx="0">
                  <c:v>-0.0229357798165137</c:v>
                </c:pt>
                <c:pt idx="1">
                  <c:v>-0.00751173708920183</c:v>
                </c:pt>
                <c:pt idx="2">
                  <c:v>-0.0160832544938505</c:v>
                </c:pt>
                <c:pt idx="3">
                  <c:v>0.0100961538461539</c:v>
                </c:pt>
                <c:pt idx="4">
                  <c:v>-0.0147548786292243</c:v>
                </c:pt>
                <c:pt idx="5">
                  <c:v>-0.0342995169082126</c:v>
                </c:pt>
                <c:pt idx="6">
                  <c:v>0.0500250125062531</c:v>
                </c:pt>
                <c:pt idx="7">
                  <c:v>-0.0114340161981895</c:v>
                </c:pt>
                <c:pt idx="8">
                  <c:v>0.0240963855421688</c:v>
                </c:pt>
                <c:pt idx="9">
                  <c:v>0.00941176470588223</c:v>
                </c:pt>
                <c:pt idx="10">
                  <c:v>0.0186480186480187</c:v>
                </c:pt>
                <c:pt idx="11">
                  <c:v>0.0018306636155605</c:v>
                </c:pt>
                <c:pt idx="12">
                  <c:v>0.0402010050251256</c:v>
                </c:pt>
                <c:pt idx="13">
                  <c:v>0.00527009222661401</c:v>
                </c:pt>
                <c:pt idx="14">
                  <c:v>0.00393184796854529</c:v>
                </c:pt>
                <c:pt idx="15">
                  <c:v>0.00304612706701479</c:v>
                </c:pt>
                <c:pt idx="16">
                  <c:v>-0.00130151843817794</c:v>
                </c:pt>
                <c:pt idx="17">
                  <c:v>0.00434404865334503</c:v>
                </c:pt>
                <c:pt idx="18">
                  <c:v>0.00562283737024227</c:v>
                </c:pt>
                <c:pt idx="19">
                  <c:v>-0.000430107526881773</c:v>
                </c:pt>
                <c:pt idx="20">
                  <c:v>-0.00258175559380369</c:v>
                </c:pt>
                <c:pt idx="21">
                  <c:v>0.002588438308887</c:v>
                </c:pt>
                <c:pt idx="22">
                  <c:v>0.0116179001721173</c:v>
                </c:pt>
                <c:pt idx="23">
                  <c:v>0.00340280731603571</c:v>
                </c:pt>
                <c:pt idx="24">
                  <c:v>0.00339126748622309</c:v>
                </c:pt>
                <c:pt idx="25">
                  <c:v>0.00168990283058723</c:v>
                </c:pt>
                <c:pt idx="26">
                  <c:v>0.0185575706452972</c:v>
                </c:pt>
                <c:pt idx="27">
                  <c:v>0.0157349896480332</c:v>
                </c:pt>
                <c:pt idx="28">
                  <c:v>-0.0203832042397065</c:v>
                </c:pt>
                <c:pt idx="29">
                  <c:v>-0.0278818143986684</c:v>
                </c:pt>
                <c:pt idx="30">
                  <c:v>-0.00171232876712324</c:v>
                </c:pt>
                <c:pt idx="31">
                  <c:v>0.010720411663808</c:v>
                </c:pt>
                <c:pt idx="32">
                  <c:v>0.0063640220619432</c:v>
                </c:pt>
                <c:pt idx="33">
                  <c:v>0.0168634064080946</c:v>
                </c:pt>
                <c:pt idx="34">
                  <c:v>0.00995024875621886</c:v>
                </c:pt>
                <c:pt idx="35">
                  <c:v>-0.024630541871921</c:v>
                </c:pt>
                <c:pt idx="36">
                  <c:v>0.00589225589225584</c:v>
                </c:pt>
                <c:pt idx="37">
                  <c:v>-0.00878661087866095</c:v>
                </c:pt>
                <c:pt idx="38">
                  <c:v>-0.0139299282397637</c:v>
                </c:pt>
                <c:pt idx="39">
                  <c:v>0.0171232876712331</c:v>
                </c:pt>
                <c:pt idx="40">
                  <c:v>0.00589225589225584</c:v>
                </c:pt>
                <c:pt idx="41">
                  <c:v>-0.00920502092050202</c:v>
                </c:pt>
                <c:pt idx="42">
                  <c:v>0.0337837837837838</c:v>
                </c:pt>
                <c:pt idx="43">
                  <c:v>0.0183823529411764</c:v>
                </c:pt>
                <c:pt idx="44">
                  <c:v>0.0168471720818293</c:v>
                </c:pt>
                <c:pt idx="45">
                  <c:v>-0.0201183431952663</c:v>
                </c:pt>
                <c:pt idx="46">
                  <c:v>-0.00805152979066015</c:v>
                </c:pt>
                <c:pt idx="47">
                  <c:v>0.0227272727272727</c:v>
                </c:pt>
                <c:pt idx="48">
                  <c:v>0.0186507936507938</c:v>
                </c:pt>
                <c:pt idx="49">
                  <c:v>0.0124659135177247</c:v>
                </c:pt>
                <c:pt idx="50">
                  <c:v>-0.0300115429011157</c:v>
                </c:pt>
                <c:pt idx="51">
                  <c:v>0.0166600555335183</c:v>
                </c:pt>
                <c:pt idx="52">
                  <c:v>0.0132657042528288</c:v>
                </c:pt>
                <c:pt idx="53">
                  <c:v>0.00616095494801705</c:v>
                </c:pt>
                <c:pt idx="54">
                  <c:v>0.00497512437810954</c:v>
                </c:pt>
                <c:pt idx="55">
                  <c:v>0.0114242193450114</c:v>
                </c:pt>
                <c:pt idx="56">
                  <c:v>0.0094126506024097</c:v>
                </c:pt>
                <c:pt idx="57">
                  <c:v>-0.0231256993659081</c:v>
                </c:pt>
                <c:pt idx="58">
                  <c:v>-0.00152730049637273</c:v>
                </c:pt>
                <c:pt idx="59">
                  <c:v>0.0347992351816444</c:v>
                </c:pt>
                <c:pt idx="60">
                  <c:v>-0.0155210643015521</c:v>
                </c:pt>
                <c:pt idx="61">
                  <c:v>0.0251501501501501</c:v>
                </c:pt>
                <c:pt idx="62">
                  <c:v>0.00622482607103625</c:v>
                </c:pt>
                <c:pt idx="63">
                  <c:v>-0.0240174672489083</c:v>
                </c:pt>
                <c:pt idx="64">
                  <c:v>-0.0149142431021625</c:v>
                </c:pt>
                <c:pt idx="65">
                  <c:v>-0.0299015897047692</c:v>
                </c:pt>
                <c:pt idx="66">
                  <c:v>0.00663285212641451</c:v>
                </c:pt>
                <c:pt idx="67">
                  <c:v>-0.00116279069767444</c:v>
                </c:pt>
                <c:pt idx="68">
                  <c:v>-0.0155219247186651</c:v>
                </c:pt>
                <c:pt idx="69">
                  <c:v>0.0362633031139139</c:v>
                </c:pt>
                <c:pt idx="70">
                  <c:v>0.00266260935717</c:v>
                </c:pt>
                <c:pt idx="71">
                  <c:v>-0.00834597875569043</c:v>
                </c:pt>
                <c:pt idx="72">
                  <c:v>-0.009946442234124</c:v>
                </c:pt>
                <c:pt idx="73">
                  <c:v>0.00850077279752703</c:v>
                </c:pt>
                <c:pt idx="74">
                  <c:v>0.0149425287356322</c:v>
                </c:pt>
                <c:pt idx="75">
                  <c:v>0.0117025292563233</c:v>
                </c:pt>
                <c:pt idx="76">
                  <c:v>-0.00261194029850742</c:v>
                </c:pt>
                <c:pt idx="77">
                  <c:v>-0.0288065843621399</c:v>
                </c:pt>
                <c:pt idx="78">
                  <c:v>0.00423728813559321</c:v>
                </c:pt>
                <c:pt idx="79">
                  <c:v>0.00268507863444567</c:v>
                </c:pt>
                <c:pt idx="80">
                  <c:v>-0.0833970925784239</c:v>
                </c:pt>
                <c:pt idx="81">
                  <c:v>0.000834724540901499</c:v>
                </c:pt>
                <c:pt idx="82">
                  <c:v>0.00458715596330284</c:v>
                </c:pt>
                <c:pt idx="83">
                  <c:v>0.00996264009962644</c:v>
                </c:pt>
                <c:pt idx="84">
                  <c:v>0.0152075626798192</c:v>
                </c:pt>
                <c:pt idx="85">
                  <c:v>-0.0129554655870445</c:v>
                </c:pt>
                <c:pt idx="86">
                  <c:v>0.0340442986054144</c:v>
                </c:pt>
                <c:pt idx="87">
                  <c:v>-0.0269734232447442</c:v>
                </c:pt>
                <c:pt idx="88">
                  <c:v>0.0110069302894416</c:v>
                </c:pt>
                <c:pt idx="89">
                  <c:v>0.0141129032258063</c:v>
                </c:pt>
                <c:pt idx="90">
                  <c:v>0.0135188866799205</c:v>
                </c:pt>
                <c:pt idx="91">
                  <c:v>-0.00745390349156527</c:v>
                </c:pt>
                <c:pt idx="92">
                  <c:v>-0.00197628458498023</c:v>
                </c:pt>
                <c:pt idx="93">
                  <c:v>0.0364356435643565</c:v>
                </c:pt>
                <c:pt idx="94">
                  <c:v>-0.000764233855559904</c:v>
                </c:pt>
                <c:pt idx="95">
                  <c:v>-0.0110898661567878</c:v>
                </c:pt>
                <c:pt idx="96">
                  <c:v>0.0108275328692962</c:v>
                </c:pt>
                <c:pt idx="97">
                  <c:v>-0.0344299923488907</c:v>
                </c:pt>
                <c:pt idx="98">
                  <c:v>0.0190174326465928</c:v>
                </c:pt>
                <c:pt idx="99">
                  <c:v>0.0167185069984448</c:v>
                </c:pt>
                <c:pt idx="100">
                  <c:v>0.0229445506692161</c:v>
                </c:pt>
                <c:pt idx="101">
                  <c:v>-0.00112149532710282</c:v>
                </c:pt>
                <c:pt idx="102">
                  <c:v>-0.0101047904191617</c:v>
                </c:pt>
                <c:pt idx="103">
                  <c:v>-0.00567107750472584</c:v>
                </c:pt>
                <c:pt idx="104">
                  <c:v>-0.00570342205323204</c:v>
                </c:pt>
                <c:pt idx="105">
                  <c:v>0.00535372848948379</c:v>
                </c:pt>
                <c:pt idx="106">
                  <c:v>0.00722708254089022</c:v>
                </c:pt>
                <c:pt idx="107">
                  <c:v>-0.0317220543806647</c:v>
                </c:pt>
                <c:pt idx="108">
                  <c:v>0.00936037441497661</c:v>
                </c:pt>
                <c:pt idx="109">
                  <c:v>0.00888717156105101</c:v>
                </c:pt>
                <c:pt idx="110">
                  <c:v>-0.0103408655687476</c:v>
                </c:pt>
                <c:pt idx="111">
                  <c:v>-0.00116099071207432</c:v>
                </c:pt>
                <c:pt idx="112">
                  <c:v>0.0197597830298335</c:v>
                </c:pt>
                <c:pt idx="113">
                  <c:v>-0.00531914893617025</c:v>
                </c:pt>
                <c:pt idx="114">
                  <c:v>0.0183346065699006</c:v>
                </c:pt>
                <c:pt idx="115">
                  <c:v>0.00412603150787705</c:v>
                </c:pt>
                <c:pt idx="116">
                  <c:v>0.00933881210310039</c:v>
                </c:pt>
                <c:pt idx="117">
                  <c:v>-0.00814211695040712</c:v>
                </c:pt>
                <c:pt idx="118">
                  <c:v>0.00671641791044775</c:v>
                </c:pt>
                <c:pt idx="119">
                  <c:v>0.00296515937731656</c:v>
                </c:pt>
                <c:pt idx="120">
                  <c:v>0.0295639320029564</c:v>
                </c:pt>
                <c:pt idx="121">
                  <c:v>0.0125628140703518</c:v>
                </c:pt>
                <c:pt idx="122">
                  <c:v>0.00815313718539534</c:v>
                </c:pt>
                <c:pt idx="123">
                  <c:v>0.0232067510548524</c:v>
                </c:pt>
                <c:pt idx="124">
                  <c:v>0.0553264604810997</c:v>
                </c:pt>
                <c:pt idx="125">
                  <c:v>0.00455877564311291</c:v>
                </c:pt>
                <c:pt idx="126">
                  <c:v>0</c:v>
                </c:pt>
                <c:pt idx="127">
                  <c:v>0.00518638573743924</c:v>
                </c:pt>
                <c:pt idx="128">
                  <c:v>-0.0203160270880361</c:v>
                </c:pt>
                <c:pt idx="129">
                  <c:v>-0.010533245556287</c:v>
                </c:pt>
                <c:pt idx="130">
                  <c:v>-0.0133067198935461</c:v>
                </c:pt>
                <c:pt idx="131">
                  <c:v>0.0101146325016859</c:v>
                </c:pt>
                <c:pt idx="132">
                  <c:v>0.00400534045393841</c:v>
                </c:pt>
                <c:pt idx="133">
                  <c:v>0</c:v>
                </c:pt>
                <c:pt idx="134">
                  <c:v>0.0159574468085106</c:v>
                </c:pt>
                <c:pt idx="135">
                  <c:v>0.00490837696335089</c:v>
                </c:pt>
                <c:pt idx="136">
                  <c:v>0.0211657440573103</c:v>
                </c:pt>
                <c:pt idx="137">
                  <c:v>-0.00765306122448972</c:v>
                </c:pt>
                <c:pt idx="138">
                  <c:v>0.0032133676092545</c:v>
                </c:pt>
                <c:pt idx="139">
                  <c:v>0.0349135169762973</c:v>
                </c:pt>
                <c:pt idx="140">
                  <c:v>-0.0099040544722997</c:v>
                </c:pt>
                <c:pt idx="141">
                  <c:v>-0.00625195373554233</c:v>
                </c:pt>
                <c:pt idx="142">
                  <c:v>0.0160427807486629</c:v>
                </c:pt>
                <c:pt idx="143">
                  <c:v>-0.0291021671826625</c:v>
                </c:pt>
                <c:pt idx="144">
                  <c:v>0.0153061224489797</c:v>
                </c:pt>
                <c:pt idx="145">
                  <c:v>0.00910804020100509</c:v>
                </c:pt>
                <c:pt idx="146">
                  <c:v>0.000311235605353177</c:v>
                </c:pt>
                <c:pt idx="147">
                  <c:v>0.0158680771624145</c:v>
                </c:pt>
                <c:pt idx="148">
                  <c:v>0.0116385911179173</c:v>
                </c:pt>
                <c:pt idx="149">
                  <c:v>0.00544959128065403</c:v>
                </c:pt>
                <c:pt idx="150">
                  <c:v>0.0126467931345982</c:v>
                </c:pt>
                <c:pt idx="151">
                  <c:v>0.0184359203092477</c:v>
                </c:pt>
                <c:pt idx="152">
                  <c:v>0.016934306569343</c:v>
                </c:pt>
                <c:pt idx="153">
                  <c:v>-0.00602928509905254</c:v>
                </c:pt>
                <c:pt idx="154">
                  <c:v>-0.00288850375505467</c:v>
                </c:pt>
                <c:pt idx="155">
                  <c:v>-0.0194090382387022</c:v>
                </c:pt>
                <c:pt idx="156">
                  <c:v>-0.0129985228951257</c:v>
                </c:pt>
                <c:pt idx="157">
                  <c:v>-0.00598623166716539</c:v>
                </c:pt>
                <c:pt idx="158">
                  <c:v>-0.00602228244504677</c:v>
                </c:pt>
                <c:pt idx="159">
                  <c:v>15.5440775522569</c:v>
                </c:pt>
              </c:numCache>
            </c:numRef>
          </c:val>
        </c:ser>
        <c:gapWidth val="150"/>
        <c:overlap val="0"/>
        <c:axId val="68566118"/>
        <c:axId val="97050305"/>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(Calc)'!$AI$3:$AI$500</c:f>
              <c:numCache>
                <c:formatCode>#,##0.00</c:formatCode>
                <c:ptCount val="498"/>
                <c:pt idx="0">
                  <c:v>21.8</c:v>
                </c:pt>
                <c:pt idx="1">
                  <c:v>21.662893081761</c:v>
                </c:pt>
                <c:pt idx="2">
                  <c:v>21.525786163522</c:v>
                </c:pt>
                <c:pt idx="3">
                  <c:v>21.388679245283</c:v>
                </c:pt>
                <c:pt idx="4">
                  <c:v>21.251572327044</c:v>
                </c:pt>
                <c:pt idx="5">
                  <c:v>21.114465408805</c:v>
                </c:pt>
                <c:pt idx="6">
                  <c:v>20.977358490566</c:v>
                </c:pt>
                <c:pt idx="7">
                  <c:v>20.840251572327</c:v>
                </c:pt>
                <c:pt idx="8">
                  <c:v>20.7031446540881</c:v>
                </c:pt>
                <c:pt idx="9">
                  <c:v>20.5660377358491</c:v>
                </c:pt>
                <c:pt idx="10">
                  <c:v>20.4289308176101</c:v>
                </c:pt>
                <c:pt idx="11">
                  <c:v>20.2918238993711</c:v>
                </c:pt>
                <c:pt idx="12">
                  <c:v>20.1547169811321</c:v>
                </c:pt>
                <c:pt idx="13">
                  <c:v>20.0176100628931</c:v>
                </c:pt>
                <c:pt idx="14">
                  <c:v>19.8805031446541</c:v>
                </c:pt>
                <c:pt idx="15">
                  <c:v>19.7433962264151</c:v>
                </c:pt>
                <c:pt idx="16">
                  <c:v>19.6062893081761</c:v>
                </c:pt>
                <c:pt idx="17">
                  <c:v>19.4691823899371</c:v>
                </c:pt>
                <c:pt idx="18">
                  <c:v>19.3320754716981</c:v>
                </c:pt>
                <c:pt idx="19">
                  <c:v>19.1949685534591</c:v>
                </c:pt>
                <c:pt idx="20">
                  <c:v>19.0578616352201</c:v>
                </c:pt>
                <c:pt idx="21">
                  <c:v>18.9207547169811</c:v>
                </c:pt>
                <c:pt idx="22">
                  <c:v>18.7836477987421</c:v>
                </c:pt>
                <c:pt idx="23">
                  <c:v>18.6465408805031</c:v>
                </c:pt>
                <c:pt idx="24">
                  <c:v>18.5094339622642</c:v>
                </c:pt>
                <c:pt idx="25">
                  <c:v>18.3723270440252</c:v>
                </c:pt>
                <c:pt idx="26">
                  <c:v>18.2352201257862</c:v>
                </c:pt>
                <c:pt idx="27">
                  <c:v>18.0981132075472</c:v>
                </c:pt>
                <c:pt idx="28">
                  <c:v>17.9610062893082</c:v>
                </c:pt>
                <c:pt idx="29">
                  <c:v>17.8238993710692</c:v>
                </c:pt>
                <c:pt idx="30">
                  <c:v>17.6867924528302</c:v>
                </c:pt>
                <c:pt idx="31">
                  <c:v>17.5496855345912</c:v>
                </c:pt>
                <c:pt idx="32">
                  <c:v>17.4125786163522</c:v>
                </c:pt>
                <c:pt idx="33">
                  <c:v>17.2754716981132</c:v>
                </c:pt>
                <c:pt idx="34">
                  <c:v>17.1383647798742</c:v>
                </c:pt>
                <c:pt idx="35">
                  <c:v>17.0012578616352</c:v>
                </c:pt>
                <c:pt idx="36">
                  <c:v>16.8641509433962</c:v>
                </c:pt>
                <c:pt idx="37">
                  <c:v>16.7270440251572</c:v>
                </c:pt>
                <c:pt idx="38">
                  <c:v>16.5899371069182</c:v>
                </c:pt>
                <c:pt idx="39">
                  <c:v>16.4528301886792</c:v>
                </c:pt>
                <c:pt idx="40">
                  <c:v>16.3157232704403</c:v>
                </c:pt>
                <c:pt idx="41">
                  <c:v>16.1786163522013</c:v>
                </c:pt>
                <c:pt idx="42">
                  <c:v>16.0415094339623</c:v>
                </c:pt>
                <c:pt idx="43">
                  <c:v>15.9044025157233</c:v>
                </c:pt>
                <c:pt idx="44">
                  <c:v>15.7672955974843</c:v>
                </c:pt>
                <c:pt idx="45">
                  <c:v>15.6301886792453</c:v>
                </c:pt>
                <c:pt idx="46">
                  <c:v>15.4930817610063</c:v>
                </c:pt>
                <c:pt idx="47">
                  <c:v>15.3559748427673</c:v>
                </c:pt>
                <c:pt idx="48">
                  <c:v>15.2188679245283</c:v>
                </c:pt>
                <c:pt idx="49">
                  <c:v>15.0817610062893</c:v>
                </c:pt>
                <c:pt idx="50">
                  <c:v>14.9446540880503</c:v>
                </c:pt>
                <c:pt idx="51">
                  <c:v>14.8075471698113</c:v>
                </c:pt>
                <c:pt idx="52">
                  <c:v>14.6704402515723</c:v>
                </c:pt>
                <c:pt idx="53">
                  <c:v>14.5333333333333</c:v>
                </c:pt>
                <c:pt idx="54">
                  <c:v>14.3962264150943</c:v>
                </c:pt>
                <c:pt idx="55">
                  <c:v>14.2591194968553</c:v>
                </c:pt>
                <c:pt idx="56">
                  <c:v>14.1220125786164</c:v>
                </c:pt>
                <c:pt idx="57">
                  <c:v>13.9849056603774</c:v>
                </c:pt>
                <c:pt idx="58">
                  <c:v>13.8477987421384</c:v>
                </c:pt>
                <c:pt idx="59">
                  <c:v>13.7106918238994</c:v>
                </c:pt>
                <c:pt idx="60">
                  <c:v>13.5735849056604</c:v>
                </c:pt>
                <c:pt idx="61">
                  <c:v>13.4364779874214</c:v>
                </c:pt>
                <c:pt idx="62">
                  <c:v>13.2993710691824</c:v>
                </c:pt>
                <c:pt idx="63">
                  <c:v>13.1622641509434</c:v>
                </c:pt>
                <c:pt idx="64">
                  <c:v>13.0251572327044</c:v>
                </c:pt>
                <c:pt idx="65">
                  <c:v>12.8880503144654</c:v>
                </c:pt>
                <c:pt idx="66">
                  <c:v>12.7509433962264</c:v>
                </c:pt>
                <c:pt idx="67">
                  <c:v>12.6138364779874</c:v>
                </c:pt>
                <c:pt idx="68">
                  <c:v>12.4767295597484</c:v>
                </c:pt>
                <c:pt idx="69">
                  <c:v>12.3396226415094</c:v>
                </c:pt>
                <c:pt idx="70">
                  <c:v>12.2025157232704</c:v>
                </c:pt>
                <c:pt idx="71">
                  <c:v>12.0654088050314</c:v>
                </c:pt>
                <c:pt idx="72">
                  <c:v>11.9283018867925</c:v>
                </c:pt>
                <c:pt idx="73">
                  <c:v>11.7911949685535</c:v>
                </c:pt>
                <c:pt idx="74">
                  <c:v>11.6540880503145</c:v>
                </c:pt>
                <c:pt idx="75">
                  <c:v>11.5169811320755</c:v>
                </c:pt>
                <c:pt idx="76">
                  <c:v>11.3798742138365</c:v>
                </c:pt>
                <c:pt idx="77">
                  <c:v>11.2427672955975</c:v>
                </c:pt>
                <c:pt idx="78">
                  <c:v>11.1056603773585</c:v>
                </c:pt>
                <c:pt idx="79">
                  <c:v>10.9685534591195</c:v>
                </c:pt>
                <c:pt idx="80">
                  <c:v>10.8314465408805</c:v>
                </c:pt>
                <c:pt idx="81">
                  <c:v>10.6943396226415</c:v>
                </c:pt>
                <c:pt idx="82">
                  <c:v>10.5572327044025</c:v>
                </c:pt>
                <c:pt idx="83">
                  <c:v>10.4201257861635</c:v>
                </c:pt>
                <c:pt idx="84">
                  <c:v>10.2830188679245</c:v>
                </c:pt>
                <c:pt idx="85">
                  <c:v>10.1459119496855</c:v>
                </c:pt>
                <c:pt idx="86">
                  <c:v>10.0088050314465</c:v>
                </c:pt>
                <c:pt idx="87">
                  <c:v>9.87169811320755</c:v>
                </c:pt>
                <c:pt idx="88">
                  <c:v>9.73459119496855</c:v>
                </c:pt>
                <c:pt idx="89">
                  <c:v>9.59748427672956</c:v>
                </c:pt>
                <c:pt idx="90">
                  <c:v>9.46037735849057</c:v>
                </c:pt>
                <c:pt idx="91">
                  <c:v>9.32327044025157</c:v>
                </c:pt>
                <c:pt idx="92">
                  <c:v>9.18616352201258</c:v>
                </c:pt>
                <c:pt idx="93">
                  <c:v>9.04905660377358</c:v>
                </c:pt>
                <c:pt idx="94">
                  <c:v>8.91194968553459</c:v>
                </c:pt>
                <c:pt idx="95">
                  <c:v>8.7748427672956</c:v>
                </c:pt>
                <c:pt idx="96">
                  <c:v>8.6377358490566</c:v>
                </c:pt>
                <c:pt idx="97">
                  <c:v>8.50062893081761</c:v>
                </c:pt>
                <c:pt idx="98">
                  <c:v>8.36352201257862</c:v>
                </c:pt>
                <c:pt idx="99">
                  <c:v>8.22641509433962</c:v>
                </c:pt>
                <c:pt idx="100">
                  <c:v>8.08930817610063</c:v>
                </c:pt>
                <c:pt idx="101">
                  <c:v>7.95220125786164</c:v>
                </c:pt>
                <c:pt idx="102">
                  <c:v>7.81509433962264</c:v>
                </c:pt>
                <c:pt idx="103">
                  <c:v>7.67798742138365</c:v>
                </c:pt>
                <c:pt idx="104">
                  <c:v>7.54088050314465</c:v>
                </c:pt>
                <c:pt idx="105">
                  <c:v>7.40377358490566</c:v>
                </c:pt>
                <c:pt idx="106">
                  <c:v>7.26666666666667</c:v>
                </c:pt>
                <c:pt idx="107">
                  <c:v>7.12955974842767</c:v>
                </c:pt>
                <c:pt idx="108">
                  <c:v>6.99245283018868</c:v>
                </c:pt>
                <c:pt idx="109">
                  <c:v>6.85534591194969</c:v>
                </c:pt>
                <c:pt idx="110">
                  <c:v>6.71823899371069</c:v>
                </c:pt>
                <c:pt idx="111">
                  <c:v>6.5811320754717</c:v>
                </c:pt>
                <c:pt idx="112">
                  <c:v>6.44402515723271</c:v>
                </c:pt>
                <c:pt idx="113">
                  <c:v>6.30691823899371</c:v>
                </c:pt>
                <c:pt idx="114">
                  <c:v>6.16981132075472</c:v>
                </c:pt>
                <c:pt idx="115">
                  <c:v>6.03270440251573</c:v>
                </c:pt>
                <c:pt idx="116">
                  <c:v>5.89559748427673</c:v>
                </c:pt>
                <c:pt idx="117">
                  <c:v>5.75849056603774</c:v>
                </c:pt>
                <c:pt idx="118">
                  <c:v>5.62138364779874</c:v>
                </c:pt>
                <c:pt idx="119">
                  <c:v>5.48427672955975</c:v>
                </c:pt>
                <c:pt idx="120">
                  <c:v>5.34716981132075</c:v>
                </c:pt>
                <c:pt idx="121">
                  <c:v>5.21006289308176</c:v>
                </c:pt>
                <c:pt idx="122">
                  <c:v>5.07295597484277</c:v>
                </c:pt>
                <c:pt idx="123">
                  <c:v>4.93584905660378</c:v>
                </c:pt>
                <c:pt idx="124">
                  <c:v>4.79874213836478</c:v>
                </c:pt>
                <c:pt idx="125">
                  <c:v>4.66163522012579</c:v>
                </c:pt>
                <c:pt idx="126">
                  <c:v>4.52452830188679</c:v>
                </c:pt>
                <c:pt idx="127">
                  <c:v>4.3874213836478</c:v>
                </c:pt>
                <c:pt idx="128">
                  <c:v>4.25031446540881</c:v>
                </c:pt>
                <c:pt idx="129">
                  <c:v>4.11320754716981</c:v>
                </c:pt>
                <c:pt idx="130">
                  <c:v>3.97610062893082</c:v>
                </c:pt>
                <c:pt idx="131">
                  <c:v>3.83899371069182</c:v>
                </c:pt>
                <c:pt idx="132">
                  <c:v>3.70188679245283</c:v>
                </c:pt>
                <c:pt idx="133">
                  <c:v>3.56477987421384</c:v>
                </c:pt>
                <c:pt idx="134">
                  <c:v>3.42767295597484</c:v>
                </c:pt>
                <c:pt idx="135">
                  <c:v>3.29056603773585</c:v>
                </c:pt>
                <c:pt idx="136">
                  <c:v>3.15345911949686</c:v>
                </c:pt>
                <c:pt idx="137">
                  <c:v>3.01635220125786</c:v>
                </c:pt>
                <c:pt idx="138">
                  <c:v>2.87924528301887</c:v>
                </c:pt>
                <c:pt idx="139">
                  <c:v>2.74213836477987</c:v>
                </c:pt>
                <c:pt idx="140">
                  <c:v>2.60503144654088</c:v>
                </c:pt>
                <c:pt idx="141">
                  <c:v>2.46792452830189</c:v>
                </c:pt>
                <c:pt idx="142">
                  <c:v>2.33081761006289</c:v>
                </c:pt>
                <c:pt idx="143">
                  <c:v>2.1937106918239</c:v>
                </c:pt>
                <c:pt idx="144">
                  <c:v>2.0566037735849</c:v>
                </c:pt>
                <c:pt idx="145">
                  <c:v>1.91949685534591</c:v>
                </c:pt>
                <c:pt idx="146">
                  <c:v>1.78238993710692</c:v>
                </c:pt>
                <c:pt idx="147">
                  <c:v>1.64528301886793</c:v>
                </c:pt>
                <c:pt idx="148">
                  <c:v>1.50817610062893</c:v>
                </c:pt>
                <c:pt idx="149">
                  <c:v>1.37106918238993</c:v>
                </c:pt>
                <c:pt idx="150">
                  <c:v>1.23396226415094</c:v>
                </c:pt>
                <c:pt idx="151">
                  <c:v>1.09685534591195</c:v>
                </c:pt>
                <c:pt idx="152">
                  <c:v>0.959748427672956</c:v>
                </c:pt>
                <c:pt idx="153">
                  <c:v>0.822641509433961</c:v>
                </c:pt>
                <c:pt idx="154">
                  <c:v>0.685534591194969</c:v>
                </c:pt>
                <c:pt idx="155">
                  <c:v>0.548427672955974</c:v>
                </c:pt>
                <c:pt idx="156">
                  <c:v>0.411320754716982</c:v>
                </c:pt>
                <c:pt idx="157">
                  <c:v>0.27421383647799</c:v>
                </c:pt>
                <c:pt idx="158">
                  <c:v>0.137106918238995</c:v>
                </c:pt>
                <c:pt idx="159">
                  <c:v>0</c:v>
                </c:pt>
              </c:numCache>
            </c:numRef>
          </c:val>
          <c:smooth val="0"/>
        </c:ser>
        <c:hiLowLines>
          <c:spPr>
            <a:ln w="0">
              <a:noFill/>
            </a:ln>
          </c:spPr>
        </c:hiLowLines>
        <c:marker val="0"/>
        <c:axId val="99600056"/>
        <c:axId val="28072900"/>
      </c:lineChart>
      <c:dateAx>
        <c:axId val="6856611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7050305"/>
        <c:auto val="1"/>
        <c:lblOffset val="100"/>
        <c:baseTimeUnit val="days"/>
      </c:dateAx>
      <c:valAx>
        <c:axId val="9705030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566118"/>
        <c:crosses val="autoZero"/>
        <c:crossBetween val="between"/>
      </c:valAx>
      <c:dateAx>
        <c:axId val="9960005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072900"/>
        <c:auto val="1"/>
        <c:lblOffset val="100"/>
        <c:baseTimeUnit val="days"/>
      </c:dateAx>
      <c:valAx>
        <c:axId val="2807290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60005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(Calc)'!$O$3:$O$500</c:f>
              <c:numCache>
                <c:formatCode>0.0%</c:formatCode>
                <c:ptCount val="498"/>
                <c:pt idx="0">
                  <c:v>-0.0242929030019088</c:v>
                </c:pt>
                <c:pt idx="1">
                  <c:v>-0.00302329717232785</c:v>
                </c:pt>
                <c:pt idx="2">
                  <c:v>0.0110595790224759</c:v>
                </c:pt>
                <c:pt idx="3">
                  <c:v>0.00564573041637262</c:v>
                </c:pt>
                <c:pt idx="4">
                  <c:v>-0.0289473684210526</c:v>
                </c:pt>
                <c:pt idx="5">
                  <c:v>-0.0202348690153569</c:v>
                </c:pt>
                <c:pt idx="6">
                  <c:v>0.0584547298543243</c:v>
                </c:pt>
                <c:pt idx="7">
                  <c:v>0.0294425087108015</c:v>
                </c:pt>
                <c:pt idx="8">
                  <c:v>0.0216618717211032</c:v>
                </c:pt>
                <c:pt idx="9">
                  <c:v>0.00546629120424069</c:v>
                </c:pt>
                <c:pt idx="10">
                  <c:v>-0.0021416803953872</c:v>
                </c:pt>
                <c:pt idx="11">
                  <c:v>0.00363216113587583</c:v>
                </c:pt>
                <c:pt idx="12">
                  <c:v>0.0342161539726928</c:v>
                </c:pt>
                <c:pt idx="13">
                  <c:v>0.014951487195801</c:v>
                </c:pt>
                <c:pt idx="14">
                  <c:v>0.00705218617771508</c:v>
                </c:pt>
                <c:pt idx="15">
                  <c:v>-0.0102707749766574</c:v>
                </c:pt>
                <c:pt idx="16">
                  <c:v>0.0309748427672956</c:v>
                </c:pt>
                <c:pt idx="17">
                  <c:v>0.0211987189263383</c:v>
                </c:pt>
                <c:pt idx="18">
                  <c:v>0.0161290322580647</c:v>
                </c:pt>
                <c:pt idx="19">
                  <c:v>0.0457084068195179</c:v>
                </c:pt>
                <c:pt idx="20">
                  <c:v>0.0238931834153195</c:v>
                </c:pt>
                <c:pt idx="21">
                  <c:v>0.00837336993822913</c:v>
                </c:pt>
                <c:pt idx="22">
                  <c:v>0.022325074870678</c:v>
                </c:pt>
                <c:pt idx="23">
                  <c:v>0.0280958721704394</c:v>
                </c:pt>
                <c:pt idx="24">
                  <c:v>0.00388550705867141</c:v>
                </c:pt>
                <c:pt idx="25">
                  <c:v>-0.00516062443555676</c:v>
                </c:pt>
                <c:pt idx="26">
                  <c:v>0.0300868888600701</c:v>
                </c:pt>
                <c:pt idx="27">
                  <c:v>-0.00755382097444302</c:v>
                </c:pt>
                <c:pt idx="28">
                  <c:v>0.00291767093746032</c:v>
                </c:pt>
                <c:pt idx="29">
                  <c:v>-0.0140399696433089</c:v>
                </c:pt>
                <c:pt idx="30">
                  <c:v>-0.0568313021167416</c:v>
                </c:pt>
                <c:pt idx="31">
                  <c:v>0.0300598476605007</c:v>
                </c:pt>
                <c:pt idx="32">
                  <c:v>0.00977155684669206</c:v>
                </c:pt>
                <c:pt idx="33">
                  <c:v>0.0222309402380019</c:v>
                </c:pt>
                <c:pt idx="34">
                  <c:v>0.0150953051042599</c:v>
                </c:pt>
                <c:pt idx="35">
                  <c:v>0.019533711405167</c:v>
                </c:pt>
                <c:pt idx="36">
                  <c:v>-0.0110012360939431</c:v>
                </c:pt>
                <c:pt idx="37">
                  <c:v>0.03037120359955</c:v>
                </c:pt>
                <c:pt idx="38">
                  <c:v>0.042212518195051</c:v>
                </c:pt>
                <c:pt idx="39">
                  <c:v>-0.000814711359404141</c:v>
                </c:pt>
                <c:pt idx="40">
                  <c:v>0.00186371578334321</c:v>
                </c:pt>
                <c:pt idx="41">
                  <c:v>0.0310429019881409</c:v>
                </c:pt>
                <c:pt idx="42">
                  <c:v>-0.00202976995940463</c:v>
                </c:pt>
                <c:pt idx="43">
                  <c:v>-0.0404519774011299</c:v>
                </c:pt>
                <c:pt idx="44">
                  <c:v>-0.0188412623645785</c:v>
                </c:pt>
                <c:pt idx="45">
                  <c:v>-0.0297647623619778</c:v>
                </c:pt>
                <c:pt idx="46">
                  <c:v>0.0173181593270657</c:v>
                </c:pt>
                <c:pt idx="47">
                  <c:v>0.0570282101167317</c:v>
                </c:pt>
                <c:pt idx="48">
                  <c:v>0.0138042102841365</c:v>
                </c:pt>
                <c:pt idx="49">
                  <c:v>-0.00397140587768063</c:v>
                </c:pt>
                <c:pt idx="50">
                  <c:v>-0.0598086124401914</c:v>
                </c:pt>
                <c:pt idx="51">
                  <c:v>0.0615533745304737</c:v>
                </c:pt>
                <c:pt idx="52">
                  <c:v>0.0162081954114828</c:v>
                </c:pt>
                <c:pt idx="53">
                  <c:v>-0.00134786027181855</c:v>
                </c:pt>
                <c:pt idx="54">
                  <c:v>0.014958947250028</c:v>
                </c:pt>
                <c:pt idx="55">
                  <c:v>0.0216090425531916</c:v>
                </c:pt>
                <c:pt idx="56">
                  <c:v>0.00433886538670136</c:v>
                </c:pt>
                <c:pt idx="57">
                  <c:v>-0.0146884112755157</c:v>
                </c:pt>
                <c:pt idx="58">
                  <c:v>-0.0137016332346815</c:v>
                </c:pt>
                <c:pt idx="59">
                  <c:v>0.0597910646810402</c:v>
                </c:pt>
                <c:pt idx="60">
                  <c:v>-0.0308305369127516</c:v>
                </c:pt>
                <c:pt idx="61">
                  <c:v>0.0178532785111447</c:v>
                </c:pt>
                <c:pt idx="62">
                  <c:v>0.0130753694057617</c:v>
                </c:pt>
                <c:pt idx="63">
                  <c:v>0.0193074501573978</c:v>
                </c:pt>
                <c:pt idx="64">
                  <c:v>-0.00936792258595842</c:v>
                </c:pt>
                <c:pt idx="65">
                  <c:v>-0.0224462225917075</c:v>
                </c:pt>
                <c:pt idx="66">
                  <c:v>0.0126501541405337</c:v>
                </c:pt>
                <c:pt idx="67">
                  <c:v>0.00304429981104337</c:v>
                </c:pt>
                <c:pt idx="68">
                  <c:v>-0.0135007849293562</c:v>
                </c:pt>
                <c:pt idx="69">
                  <c:v>0.0321451304901337</c:v>
                </c:pt>
                <c:pt idx="70">
                  <c:v>0.0271353684859699</c:v>
                </c:pt>
                <c:pt idx="71">
                  <c:v>-0.0127088962273593</c:v>
                </c:pt>
                <c:pt idx="72">
                  <c:v>0.0198662071761606</c:v>
                </c:pt>
                <c:pt idx="73">
                  <c:v>0.0101371496720333</c:v>
                </c:pt>
                <c:pt idx="74">
                  <c:v>-0.0305981896890988</c:v>
                </c:pt>
                <c:pt idx="75">
                  <c:v>-0.00111641124530604</c:v>
                </c:pt>
                <c:pt idx="76">
                  <c:v>-0.0526315789473685</c:v>
                </c:pt>
                <c:pt idx="77">
                  <c:v>-0.0071857571857572</c:v>
                </c:pt>
                <c:pt idx="78">
                  <c:v>0.0037809225451011</c:v>
                </c:pt>
                <c:pt idx="79">
                  <c:v>-0.0196943607404219</c:v>
                </c:pt>
                <c:pt idx="80">
                  <c:v>-0.107036996377209</c:v>
                </c:pt>
                <c:pt idx="81">
                  <c:v>0.0910990902385049</c:v>
                </c:pt>
                <c:pt idx="82">
                  <c:v>-0.0173521126760564</c:v>
                </c:pt>
                <c:pt idx="83">
                  <c:v>0.0652448113748425</c:v>
                </c:pt>
                <c:pt idx="84">
                  <c:v>0.0402583423035521</c:v>
                </c:pt>
                <c:pt idx="85">
                  <c:v>0.00693294701986758</c:v>
                </c:pt>
                <c:pt idx="86">
                  <c:v>0.0682355359161444</c:v>
                </c:pt>
                <c:pt idx="87">
                  <c:v>-0.0223184223184224</c:v>
                </c:pt>
                <c:pt idx="88">
                  <c:v>0.0243038472891863</c:v>
                </c:pt>
                <c:pt idx="89">
                  <c:v>0.0148895292987512</c:v>
                </c:pt>
                <c:pt idx="90">
                  <c:v>-0.00709891150023667</c:v>
                </c:pt>
                <c:pt idx="91">
                  <c:v>0.00705433746425155</c:v>
                </c:pt>
                <c:pt idx="92">
                  <c:v>0.048182506626278</c:v>
                </c:pt>
                <c:pt idx="93">
                  <c:v>0.00596044432403131</c:v>
                </c:pt>
                <c:pt idx="94">
                  <c:v>-0.00305233863003862</c:v>
                </c:pt>
                <c:pt idx="95">
                  <c:v>0.014858171994597</c:v>
                </c:pt>
                <c:pt idx="96">
                  <c:v>0.01055900621118</c:v>
                </c:pt>
                <c:pt idx="97">
                  <c:v>-0.0157169198349285</c:v>
                </c:pt>
                <c:pt idx="98">
                  <c:v>0.0349687778768957</c:v>
                </c:pt>
                <c:pt idx="99">
                  <c:v>0.00103430443027075</c:v>
                </c:pt>
                <c:pt idx="100">
                  <c:v>-0.0068021353538833</c:v>
                </c:pt>
                <c:pt idx="101">
                  <c:v>-0.000260078023406996</c:v>
                </c:pt>
                <c:pt idx="102">
                  <c:v>0.004942767950052</c:v>
                </c:pt>
                <c:pt idx="103">
                  <c:v>0.029251876779705</c:v>
                </c:pt>
                <c:pt idx="104">
                  <c:v>0.012072434607646</c:v>
                </c:pt>
                <c:pt idx="105">
                  <c:v>-0.00952617627567931</c:v>
                </c:pt>
                <c:pt idx="106">
                  <c:v>-0.00409801789746589</c:v>
                </c:pt>
                <c:pt idx="107">
                  <c:v>-0.0131844138394356</c:v>
                </c:pt>
                <c:pt idx="108">
                  <c:v>0.0161688366947492</c:v>
                </c:pt>
                <c:pt idx="109">
                  <c:v>0.0107193702369985</c:v>
                </c:pt>
                <c:pt idx="110">
                  <c:v>-8.28569061230855E-005</c:v>
                </c:pt>
                <c:pt idx="111">
                  <c:v>-0.0260192243950945</c:v>
                </c:pt>
                <c:pt idx="112">
                  <c:v>-0.00595541943168287</c:v>
                </c:pt>
                <c:pt idx="113">
                  <c:v>-0.029955494693598</c:v>
                </c:pt>
                <c:pt idx="114">
                  <c:v>0.0509087700723487</c:v>
                </c:pt>
                <c:pt idx="115">
                  <c:v>0.00612878851481824</c:v>
                </c:pt>
                <c:pt idx="116">
                  <c:v>-0.0145193591455275</c:v>
                </c:pt>
                <c:pt idx="117">
                  <c:v>0.0036409822184591</c:v>
                </c:pt>
                <c:pt idx="118">
                  <c:v>0.0179701341432548</c:v>
                </c:pt>
                <c:pt idx="119">
                  <c:v>-0.01408917619758</c:v>
                </c:pt>
                <c:pt idx="120">
                  <c:v>0.00294216543375936</c:v>
                </c:pt>
                <c:pt idx="121">
                  <c:v>-0.000251445813427176</c:v>
                </c:pt>
                <c:pt idx="122">
                  <c:v>-0.017270288397049</c:v>
                </c:pt>
                <c:pt idx="123">
                  <c:v>0.0164647671045897</c:v>
                </c:pt>
                <c:pt idx="124">
                  <c:v>-0.000251783466219013</c:v>
                </c:pt>
                <c:pt idx="125">
                  <c:v>-0.0132639355271994</c:v>
                </c:pt>
                <c:pt idx="126">
                  <c:v>0.0144631614769439</c:v>
                </c:pt>
                <c:pt idx="127">
                  <c:v>-0.00402549480040249</c:v>
                </c:pt>
                <c:pt idx="128">
                  <c:v>-0.0103570225665207</c:v>
                </c:pt>
                <c:pt idx="129">
                  <c:v>-0.0173572704841317</c:v>
                </c:pt>
                <c:pt idx="130">
                  <c:v>-0.0206944324183912</c:v>
                </c:pt>
                <c:pt idx="131">
                  <c:v>-0.0277630415561451</c:v>
                </c:pt>
                <c:pt idx="132">
                  <c:v>0.0401964350672972</c:v>
                </c:pt>
                <c:pt idx="133">
                  <c:v>0.0749256863087953</c:v>
                </c:pt>
                <c:pt idx="134">
                  <c:v>0.0401789345262302</c:v>
                </c:pt>
                <c:pt idx="135">
                  <c:v>0.0250996950504339</c:v>
                </c:pt>
                <c:pt idx="136">
                  <c:v>0.0221205186880245</c:v>
                </c:pt>
                <c:pt idx="137">
                  <c:v>0.0698507462686568</c:v>
                </c:pt>
                <c:pt idx="138">
                  <c:v>-0.0023018973214286</c:v>
                </c:pt>
                <c:pt idx="139">
                  <c:v>0.0101377333426553</c:v>
                </c:pt>
                <c:pt idx="140">
                  <c:v>0.0389673311184942</c:v>
                </c:pt>
                <c:pt idx="141">
                  <c:v>-0.041902604756512</c:v>
                </c:pt>
                <c:pt idx="142">
                  <c:v>0.0568766513697678</c:v>
                </c:pt>
                <c:pt idx="143">
                  <c:v>0.0486184210526315</c:v>
                </c:pt>
                <c:pt idx="144">
                  <c:v>-0.0341301210866428</c:v>
                </c:pt>
                <c:pt idx="145">
                  <c:v>-0.0218902240987332</c:v>
                </c:pt>
                <c:pt idx="146">
                  <c:v>0.0193916854827998</c:v>
                </c:pt>
                <c:pt idx="147">
                  <c:v>-0.0641042345276873</c:v>
                </c:pt>
                <c:pt idx="148">
                  <c:v>0.0181678964221079</c:v>
                </c:pt>
                <c:pt idx="149">
                  <c:v>-0.0182539139946675</c:v>
                </c:pt>
                <c:pt idx="150">
                  <c:v>0.0407381615598885</c:v>
                </c:pt>
                <c:pt idx="151">
                  <c:v>0.0241552358648378</c:v>
                </c:pt>
                <c:pt idx="152">
                  <c:v>-0.0298575721939108</c:v>
                </c:pt>
                <c:pt idx="153">
                  <c:v>-0.0131321974543741</c:v>
                </c:pt>
                <c:pt idx="154">
                  <c:v>0.0200627814931076</c:v>
                </c:pt>
                <c:pt idx="155">
                  <c:v>-0.00943270002675944</c:v>
                </c:pt>
                <c:pt idx="156">
                  <c:v>0.00607820625379896</c:v>
                </c:pt>
                <c:pt idx="157">
                  <c:v>0.0265154057863999</c:v>
                </c:pt>
                <c:pt idx="158">
                  <c:v>-0.0113784985613391</c:v>
                </c:pt>
                <c:pt idx="159">
                  <c:v>-0.160404815451779</c:v>
                </c:pt>
              </c:numCache>
            </c:numRef>
          </c:val>
        </c:ser>
        <c:gapWidth val="150"/>
        <c:overlap val="0"/>
        <c:axId val="11952971"/>
        <c:axId val="92860829"/>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(Calc)'!$AJ$3:$AJ$500</c:f>
              <c:numCache>
                <c:formatCode>#,##0.00</c:formatCode>
                <c:ptCount val="498"/>
                <c:pt idx="0">
                  <c:v>57.63</c:v>
                </c:pt>
                <c:pt idx="1">
                  <c:v>57.2675471698113</c:v>
                </c:pt>
                <c:pt idx="2">
                  <c:v>56.9050943396226</c:v>
                </c:pt>
                <c:pt idx="3">
                  <c:v>56.542641509434</c:v>
                </c:pt>
                <c:pt idx="4">
                  <c:v>56.1801886792453</c:v>
                </c:pt>
                <c:pt idx="5">
                  <c:v>55.8177358490566</c:v>
                </c:pt>
                <c:pt idx="6">
                  <c:v>55.4552830188679</c:v>
                </c:pt>
                <c:pt idx="7">
                  <c:v>55.0928301886792</c:v>
                </c:pt>
                <c:pt idx="8">
                  <c:v>54.7303773584906</c:v>
                </c:pt>
                <c:pt idx="9">
                  <c:v>54.3679245283019</c:v>
                </c:pt>
                <c:pt idx="10">
                  <c:v>54.0054716981132</c:v>
                </c:pt>
                <c:pt idx="11">
                  <c:v>53.6430188679245</c:v>
                </c:pt>
                <c:pt idx="12">
                  <c:v>53.2805660377359</c:v>
                </c:pt>
                <c:pt idx="13">
                  <c:v>52.9181132075472</c:v>
                </c:pt>
                <c:pt idx="14">
                  <c:v>52.5556603773585</c:v>
                </c:pt>
                <c:pt idx="15">
                  <c:v>52.1932075471698</c:v>
                </c:pt>
                <c:pt idx="16">
                  <c:v>51.8307547169811</c:v>
                </c:pt>
                <c:pt idx="17">
                  <c:v>51.4683018867925</c:v>
                </c:pt>
                <c:pt idx="18">
                  <c:v>51.1058490566038</c:v>
                </c:pt>
                <c:pt idx="19">
                  <c:v>50.7433962264151</c:v>
                </c:pt>
                <c:pt idx="20">
                  <c:v>50.3809433962264</c:v>
                </c:pt>
                <c:pt idx="21">
                  <c:v>50.0184905660377</c:v>
                </c:pt>
                <c:pt idx="22">
                  <c:v>49.6560377358491</c:v>
                </c:pt>
                <c:pt idx="23">
                  <c:v>49.2935849056604</c:v>
                </c:pt>
                <c:pt idx="24">
                  <c:v>48.9311320754717</c:v>
                </c:pt>
                <c:pt idx="25">
                  <c:v>48.568679245283</c:v>
                </c:pt>
                <c:pt idx="26">
                  <c:v>48.2062264150943</c:v>
                </c:pt>
                <c:pt idx="27">
                  <c:v>47.8437735849057</c:v>
                </c:pt>
                <c:pt idx="28">
                  <c:v>47.481320754717</c:v>
                </c:pt>
                <c:pt idx="29">
                  <c:v>47.1188679245283</c:v>
                </c:pt>
                <c:pt idx="30">
                  <c:v>46.7564150943396</c:v>
                </c:pt>
                <c:pt idx="31">
                  <c:v>46.3939622641509</c:v>
                </c:pt>
                <c:pt idx="32">
                  <c:v>46.0315094339623</c:v>
                </c:pt>
                <c:pt idx="33">
                  <c:v>45.6690566037736</c:v>
                </c:pt>
                <c:pt idx="34">
                  <c:v>45.3066037735849</c:v>
                </c:pt>
                <c:pt idx="35">
                  <c:v>44.9441509433962</c:v>
                </c:pt>
                <c:pt idx="36">
                  <c:v>44.5816981132076</c:v>
                </c:pt>
                <c:pt idx="37">
                  <c:v>44.2192452830189</c:v>
                </c:pt>
                <c:pt idx="38">
                  <c:v>43.8567924528302</c:v>
                </c:pt>
                <c:pt idx="39">
                  <c:v>43.4943396226415</c:v>
                </c:pt>
                <c:pt idx="40">
                  <c:v>43.1318867924528</c:v>
                </c:pt>
                <c:pt idx="41">
                  <c:v>42.7694339622642</c:v>
                </c:pt>
                <c:pt idx="42">
                  <c:v>42.4069811320755</c:v>
                </c:pt>
                <c:pt idx="43">
                  <c:v>42.0445283018868</c:v>
                </c:pt>
                <c:pt idx="44">
                  <c:v>41.6820754716981</c:v>
                </c:pt>
                <c:pt idx="45">
                  <c:v>41.3196226415094</c:v>
                </c:pt>
                <c:pt idx="46">
                  <c:v>40.9571698113208</c:v>
                </c:pt>
                <c:pt idx="47">
                  <c:v>40.5947169811321</c:v>
                </c:pt>
                <c:pt idx="48">
                  <c:v>40.2322641509434</c:v>
                </c:pt>
                <c:pt idx="49">
                  <c:v>39.8698113207547</c:v>
                </c:pt>
                <c:pt idx="50">
                  <c:v>39.507358490566</c:v>
                </c:pt>
                <c:pt idx="51">
                  <c:v>39.1449056603774</c:v>
                </c:pt>
                <c:pt idx="52">
                  <c:v>38.7824528301887</c:v>
                </c:pt>
                <c:pt idx="53">
                  <c:v>38.42</c:v>
                </c:pt>
                <c:pt idx="54">
                  <c:v>38.0575471698113</c:v>
                </c:pt>
                <c:pt idx="55">
                  <c:v>37.6950943396226</c:v>
                </c:pt>
                <c:pt idx="56">
                  <c:v>37.332641509434</c:v>
                </c:pt>
                <c:pt idx="57">
                  <c:v>36.9701886792453</c:v>
                </c:pt>
                <c:pt idx="58">
                  <c:v>36.6077358490566</c:v>
                </c:pt>
                <c:pt idx="59">
                  <c:v>36.2452830188679</c:v>
                </c:pt>
                <c:pt idx="60">
                  <c:v>35.8828301886793</c:v>
                </c:pt>
                <c:pt idx="61">
                  <c:v>35.5203773584906</c:v>
                </c:pt>
                <c:pt idx="62">
                  <c:v>35.1579245283019</c:v>
                </c:pt>
                <c:pt idx="63">
                  <c:v>34.7954716981132</c:v>
                </c:pt>
                <c:pt idx="64">
                  <c:v>34.4330188679245</c:v>
                </c:pt>
                <c:pt idx="65">
                  <c:v>34.0705660377359</c:v>
                </c:pt>
                <c:pt idx="66">
                  <c:v>33.7081132075472</c:v>
                </c:pt>
                <c:pt idx="67">
                  <c:v>33.3456603773585</c:v>
                </c:pt>
                <c:pt idx="68">
                  <c:v>32.9832075471698</c:v>
                </c:pt>
                <c:pt idx="69">
                  <c:v>32.6207547169811</c:v>
                </c:pt>
                <c:pt idx="70">
                  <c:v>32.2583018867925</c:v>
                </c:pt>
                <c:pt idx="71">
                  <c:v>31.8958490566038</c:v>
                </c:pt>
                <c:pt idx="72">
                  <c:v>31.5333962264151</c:v>
                </c:pt>
                <c:pt idx="73">
                  <c:v>31.1709433962264</c:v>
                </c:pt>
                <c:pt idx="74">
                  <c:v>30.8084905660377</c:v>
                </c:pt>
                <c:pt idx="75">
                  <c:v>30.4460377358491</c:v>
                </c:pt>
                <c:pt idx="76">
                  <c:v>30.0835849056604</c:v>
                </c:pt>
                <c:pt idx="77">
                  <c:v>29.7211320754717</c:v>
                </c:pt>
                <c:pt idx="78">
                  <c:v>29.358679245283</c:v>
                </c:pt>
                <c:pt idx="79">
                  <c:v>28.9962264150943</c:v>
                </c:pt>
                <c:pt idx="80">
                  <c:v>28.6337735849057</c:v>
                </c:pt>
                <c:pt idx="81">
                  <c:v>28.271320754717</c:v>
                </c:pt>
                <c:pt idx="82">
                  <c:v>27.9088679245283</c:v>
                </c:pt>
                <c:pt idx="83">
                  <c:v>27.5464150943396</c:v>
                </c:pt>
                <c:pt idx="84">
                  <c:v>27.1839622641509</c:v>
                </c:pt>
                <c:pt idx="85">
                  <c:v>26.8215094339623</c:v>
                </c:pt>
                <c:pt idx="86">
                  <c:v>26.4590566037736</c:v>
                </c:pt>
                <c:pt idx="87">
                  <c:v>26.0966037735849</c:v>
                </c:pt>
                <c:pt idx="88">
                  <c:v>25.7341509433962</c:v>
                </c:pt>
                <c:pt idx="89">
                  <c:v>25.3716981132075</c:v>
                </c:pt>
                <c:pt idx="90">
                  <c:v>25.0092452830189</c:v>
                </c:pt>
                <c:pt idx="91">
                  <c:v>24.6467924528302</c:v>
                </c:pt>
                <c:pt idx="92">
                  <c:v>24.2843396226415</c:v>
                </c:pt>
                <c:pt idx="93">
                  <c:v>23.9218867924528</c:v>
                </c:pt>
                <c:pt idx="94">
                  <c:v>23.5594339622642</c:v>
                </c:pt>
                <c:pt idx="95">
                  <c:v>23.1969811320755</c:v>
                </c:pt>
                <c:pt idx="96">
                  <c:v>22.8345283018868</c:v>
                </c:pt>
                <c:pt idx="97">
                  <c:v>22.4720754716981</c:v>
                </c:pt>
                <c:pt idx="98">
                  <c:v>22.1096226415094</c:v>
                </c:pt>
                <c:pt idx="99">
                  <c:v>21.7471698113208</c:v>
                </c:pt>
                <c:pt idx="100">
                  <c:v>21.3847169811321</c:v>
                </c:pt>
                <c:pt idx="101">
                  <c:v>21.0222641509434</c:v>
                </c:pt>
                <c:pt idx="102">
                  <c:v>20.6598113207547</c:v>
                </c:pt>
                <c:pt idx="103">
                  <c:v>20.297358490566</c:v>
                </c:pt>
                <c:pt idx="104">
                  <c:v>19.9349056603774</c:v>
                </c:pt>
                <c:pt idx="105">
                  <c:v>19.5724528301887</c:v>
                </c:pt>
                <c:pt idx="106">
                  <c:v>19.21</c:v>
                </c:pt>
                <c:pt idx="107">
                  <c:v>18.8475471698113</c:v>
                </c:pt>
                <c:pt idx="108">
                  <c:v>18.4850943396226</c:v>
                </c:pt>
                <c:pt idx="109">
                  <c:v>18.122641509434</c:v>
                </c:pt>
                <c:pt idx="110">
                  <c:v>17.7601886792453</c:v>
                </c:pt>
                <c:pt idx="111">
                  <c:v>17.3977358490566</c:v>
                </c:pt>
                <c:pt idx="112">
                  <c:v>17.0352830188679</c:v>
                </c:pt>
                <c:pt idx="113">
                  <c:v>16.6728301886792</c:v>
                </c:pt>
                <c:pt idx="114">
                  <c:v>16.3103773584906</c:v>
                </c:pt>
                <c:pt idx="115">
                  <c:v>15.9479245283019</c:v>
                </c:pt>
                <c:pt idx="116">
                  <c:v>15.5854716981132</c:v>
                </c:pt>
                <c:pt idx="117">
                  <c:v>15.2230188679245</c:v>
                </c:pt>
                <c:pt idx="118">
                  <c:v>14.8605660377359</c:v>
                </c:pt>
                <c:pt idx="119">
                  <c:v>14.4981132075472</c:v>
                </c:pt>
                <c:pt idx="120">
                  <c:v>14.1356603773585</c:v>
                </c:pt>
                <c:pt idx="121">
                  <c:v>13.7732075471698</c:v>
                </c:pt>
                <c:pt idx="122">
                  <c:v>13.4107547169811</c:v>
                </c:pt>
                <c:pt idx="123">
                  <c:v>13.0483018867925</c:v>
                </c:pt>
                <c:pt idx="124">
                  <c:v>12.6858490566038</c:v>
                </c:pt>
                <c:pt idx="125">
                  <c:v>12.3233962264151</c:v>
                </c:pt>
                <c:pt idx="126">
                  <c:v>11.9609433962264</c:v>
                </c:pt>
                <c:pt idx="127">
                  <c:v>11.5984905660377</c:v>
                </c:pt>
                <c:pt idx="128">
                  <c:v>11.2360377358491</c:v>
                </c:pt>
                <c:pt idx="129">
                  <c:v>10.8735849056604</c:v>
                </c:pt>
                <c:pt idx="130">
                  <c:v>10.5111320754717</c:v>
                </c:pt>
                <c:pt idx="131">
                  <c:v>10.148679245283</c:v>
                </c:pt>
                <c:pt idx="132">
                  <c:v>9.78622641509434</c:v>
                </c:pt>
                <c:pt idx="133">
                  <c:v>9.42377358490566</c:v>
                </c:pt>
                <c:pt idx="134">
                  <c:v>9.06132075471698</c:v>
                </c:pt>
                <c:pt idx="135">
                  <c:v>8.6988679245283</c:v>
                </c:pt>
                <c:pt idx="136">
                  <c:v>8.33641509433962</c:v>
                </c:pt>
                <c:pt idx="137">
                  <c:v>7.97396226415094</c:v>
                </c:pt>
                <c:pt idx="138">
                  <c:v>7.61150943396226</c:v>
                </c:pt>
                <c:pt idx="139">
                  <c:v>7.24905660377358</c:v>
                </c:pt>
                <c:pt idx="140">
                  <c:v>6.8866037735849</c:v>
                </c:pt>
                <c:pt idx="141">
                  <c:v>6.52415094339623</c:v>
                </c:pt>
                <c:pt idx="142">
                  <c:v>6.16169811320755</c:v>
                </c:pt>
                <c:pt idx="143">
                  <c:v>5.79924528301887</c:v>
                </c:pt>
                <c:pt idx="144">
                  <c:v>5.43679245283018</c:v>
                </c:pt>
                <c:pt idx="145">
                  <c:v>5.07433962264151</c:v>
                </c:pt>
                <c:pt idx="146">
                  <c:v>4.71188679245284</c:v>
                </c:pt>
                <c:pt idx="147">
                  <c:v>4.34943396226415</c:v>
                </c:pt>
                <c:pt idx="148">
                  <c:v>3.98698113207548</c:v>
                </c:pt>
                <c:pt idx="149">
                  <c:v>3.62452830188679</c:v>
                </c:pt>
                <c:pt idx="150">
                  <c:v>3.26207547169812</c:v>
                </c:pt>
                <c:pt idx="151">
                  <c:v>2.89962264150943</c:v>
                </c:pt>
                <c:pt idx="152">
                  <c:v>2.53716981132076</c:v>
                </c:pt>
                <c:pt idx="153">
                  <c:v>2.17471698113207</c:v>
                </c:pt>
                <c:pt idx="154">
                  <c:v>1.8122641509434</c:v>
                </c:pt>
                <c:pt idx="155">
                  <c:v>1.44981132075472</c:v>
                </c:pt>
                <c:pt idx="156">
                  <c:v>1.08735849056604</c:v>
                </c:pt>
                <c:pt idx="157">
                  <c:v>0.72490566037736</c:v>
                </c:pt>
                <c:pt idx="158">
                  <c:v>0.36245283018868</c:v>
                </c:pt>
                <c:pt idx="159">
                  <c:v>0</c:v>
                </c:pt>
              </c:numCache>
            </c:numRef>
          </c:val>
          <c:smooth val="0"/>
        </c:ser>
        <c:hiLowLines>
          <c:spPr>
            <a:ln w="0">
              <a:noFill/>
            </a:ln>
          </c:spPr>
        </c:hiLowLines>
        <c:marker val="0"/>
        <c:axId val="60183507"/>
        <c:axId val="4184206"/>
      </c:lineChart>
      <c:dateAx>
        <c:axId val="1195297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2860829"/>
        <c:auto val="1"/>
        <c:lblOffset val="100"/>
        <c:baseTimeUnit val="days"/>
      </c:dateAx>
      <c:valAx>
        <c:axId val="9286082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952971"/>
        <c:crosses val="autoZero"/>
        <c:crossBetween val="between"/>
      </c:valAx>
      <c:dateAx>
        <c:axId val="6018350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84206"/>
        <c:auto val="1"/>
        <c:lblOffset val="100"/>
        <c:baseTimeUnit val="days"/>
      </c:dateAx>
      <c:valAx>
        <c:axId val="418420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18350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(Calc)'!$Q$3:$Q$500</c:f>
              <c:numCache>
                <c:formatCode>0.0%</c:formatCode>
                <c:ptCount val="498"/>
                <c:pt idx="0">
                  <c:v>-0.0248270593727454</c:v>
                </c:pt>
                <c:pt idx="1">
                  <c:v>-0.0215858647401863</c:v>
                </c:pt>
                <c:pt idx="2">
                  <c:v>0.0218841740058715</c:v>
                </c:pt>
                <c:pt idx="3">
                  <c:v>0.0111865587185513</c:v>
                </c:pt>
                <c:pt idx="4">
                  <c:v>-0.0180362446730662</c:v>
                </c:pt>
                <c:pt idx="5">
                  <c:v>-0.0176223040504998</c:v>
                </c:pt>
                <c:pt idx="6">
                  <c:v>0.062516733601071</c:v>
                </c:pt>
                <c:pt idx="7">
                  <c:v>0.00890344798622467</c:v>
                </c:pt>
                <c:pt idx="8">
                  <c:v>0.0175664987720101</c:v>
                </c:pt>
                <c:pt idx="9">
                  <c:v>0.019022294947842</c:v>
                </c:pt>
                <c:pt idx="10">
                  <c:v>0.00843034925732633</c:v>
                </c:pt>
                <c:pt idx="11">
                  <c:v>-0.00274681528662424</c:v>
                </c:pt>
                <c:pt idx="12">
                  <c:v>0.00894175881202353</c:v>
                </c:pt>
                <c:pt idx="13">
                  <c:v>0.0015430267062313</c:v>
                </c:pt>
                <c:pt idx="14">
                  <c:v>0.00742672039187808</c:v>
                </c:pt>
                <c:pt idx="15">
                  <c:v>-0.0025096070896401</c:v>
                </c:pt>
                <c:pt idx="16">
                  <c:v>0.0172183347747463</c:v>
                </c:pt>
                <c:pt idx="17">
                  <c:v>0.0255062606276086</c:v>
                </c:pt>
                <c:pt idx="18">
                  <c:v>-0.0109285498944831</c:v>
                </c:pt>
                <c:pt idx="19">
                  <c:v>0.0344814447915873</c:v>
                </c:pt>
                <c:pt idx="20">
                  <c:v>-0.000847114286766648</c:v>
                </c:pt>
                <c:pt idx="21">
                  <c:v>0.00770421704511959</c:v>
                </c:pt>
                <c:pt idx="22">
                  <c:v>0.0180707466071623</c:v>
                </c:pt>
                <c:pt idx="23">
                  <c:v>-0.00154503970392728</c:v>
                </c:pt>
                <c:pt idx="24">
                  <c:v>-0.0110119476032819</c:v>
                </c:pt>
                <c:pt idx="25">
                  <c:v>0.0106979113601631</c:v>
                </c:pt>
                <c:pt idx="26">
                  <c:v>0.000792050691244439</c:v>
                </c:pt>
                <c:pt idx="27">
                  <c:v>-0.0147492625368733</c:v>
                </c:pt>
                <c:pt idx="28">
                  <c:v>-0.00697385716372123</c:v>
                </c:pt>
                <c:pt idx="29">
                  <c:v>-0.00422840754494991</c:v>
                </c:pt>
                <c:pt idx="30">
                  <c:v>-0.0224134111217783</c:v>
                </c:pt>
                <c:pt idx="31">
                  <c:v>0.0175637393767705</c:v>
                </c:pt>
                <c:pt idx="32">
                  <c:v>-0.0219376391982181</c:v>
                </c:pt>
                <c:pt idx="33">
                  <c:v>0.045618429541918</c:v>
                </c:pt>
                <c:pt idx="34">
                  <c:v>-0.000435555878189553</c:v>
                </c:pt>
                <c:pt idx="35">
                  <c:v>-0.0200443008097606</c:v>
                </c:pt>
                <c:pt idx="36">
                  <c:v>-0.00737392077667032</c:v>
                </c:pt>
                <c:pt idx="37">
                  <c:v>0.0227713901747051</c:v>
                </c:pt>
                <c:pt idx="38">
                  <c:v>-0.0287247244324403</c:v>
                </c:pt>
                <c:pt idx="39">
                  <c:v>0.0168351433617675</c:v>
                </c:pt>
                <c:pt idx="40">
                  <c:v>-0.0463431760227649</c:v>
                </c:pt>
                <c:pt idx="41">
                  <c:v>0.0300716915326487</c:v>
                </c:pt>
                <c:pt idx="42">
                  <c:v>-0.0170798690794177</c:v>
                </c:pt>
                <c:pt idx="43">
                  <c:v>-0.00107168829180526</c:v>
                </c:pt>
                <c:pt idx="44">
                  <c:v>-0.0226062301237595</c:v>
                </c:pt>
                <c:pt idx="45">
                  <c:v>0.0274804970794622</c:v>
                </c:pt>
                <c:pt idx="46">
                  <c:v>-0.0236550934757727</c:v>
                </c:pt>
                <c:pt idx="47">
                  <c:v>0.0293474013286441</c:v>
                </c:pt>
                <c:pt idx="48">
                  <c:v>0.000227781785050007</c:v>
                </c:pt>
                <c:pt idx="49">
                  <c:v>0.0334003871408508</c:v>
                </c:pt>
                <c:pt idx="50">
                  <c:v>0.0108348330701145</c:v>
                </c:pt>
                <c:pt idx="51">
                  <c:v>0.028558971005014</c:v>
                </c:pt>
                <c:pt idx="52">
                  <c:v>-0.00897272855729814</c:v>
                </c:pt>
                <c:pt idx="53">
                  <c:v>-0.0337206815427391</c:v>
                </c:pt>
                <c:pt idx="54">
                  <c:v>0.010033938320791</c:v>
                </c:pt>
                <c:pt idx="55">
                  <c:v>-0.000328707085463953</c:v>
                </c:pt>
                <c:pt idx="56">
                  <c:v>0.0459975886887583</c:v>
                </c:pt>
                <c:pt idx="57">
                  <c:v>-0.030562347188264</c:v>
                </c:pt>
                <c:pt idx="58">
                  <c:v>0.0319582057286976</c:v>
                </c:pt>
                <c:pt idx="59">
                  <c:v>0.0589344319530758</c:v>
                </c:pt>
                <c:pt idx="60">
                  <c:v>0.00764919221892524</c:v>
                </c:pt>
                <c:pt idx="61">
                  <c:v>0.000916170407695649</c:v>
                </c:pt>
                <c:pt idx="62">
                  <c:v>0.0166394246485782</c:v>
                </c:pt>
                <c:pt idx="63">
                  <c:v>-0.0129264606578989</c:v>
                </c:pt>
                <c:pt idx="64">
                  <c:v>0.0119881421637291</c:v>
                </c:pt>
                <c:pt idx="65">
                  <c:v>0.00946402704007721</c:v>
                </c:pt>
                <c:pt idx="66">
                  <c:v>0.00296565579259545</c:v>
                </c:pt>
                <c:pt idx="67">
                  <c:v>-0.0117639577769298</c:v>
                </c:pt>
                <c:pt idx="68">
                  <c:v>-0.0228428029084357</c:v>
                </c:pt>
                <c:pt idx="69">
                  <c:v>0.0386869485052022</c:v>
                </c:pt>
                <c:pt idx="70">
                  <c:v>0.0330934795701652</c:v>
                </c:pt>
                <c:pt idx="71">
                  <c:v>0.0351323985149274</c:v>
                </c:pt>
                <c:pt idx="72">
                  <c:v>0.0182001422812426</c:v>
                </c:pt>
                <c:pt idx="73">
                  <c:v>0.0183697234352256</c:v>
                </c:pt>
                <c:pt idx="74">
                  <c:v>-0.0149223864383523</c:v>
                </c:pt>
                <c:pt idx="75">
                  <c:v>0.0406570126817378</c:v>
                </c:pt>
                <c:pt idx="76">
                  <c:v>-0.047936419408812</c:v>
                </c:pt>
                <c:pt idx="77">
                  <c:v>-0.039161125918983</c:v>
                </c:pt>
                <c:pt idx="78">
                  <c:v>0.0116449213510548</c:v>
                </c:pt>
                <c:pt idx="79">
                  <c:v>0.0214246971614536</c:v>
                </c:pt>
                <c:pt idx="80">
                  <c:v>-0.0866743369619731</c:v>
                </c:pt>
                <c:pt idx="81">
                  <c:v>0.0647307729577829</c:v>
                </c:pt>
                <c:pt idx="82">
                  <c:v>-0.0113763917119194</c:v>
                </c:pt>
                <c:pt idx="83">
                  <c:v>0.0168773781760156</c:v>
                </c:pt>
                <c:pt idx="84">
                  <c:v>0.0370873317641378</c:v>
                </c:pt>
                <c:pt idx="85">
                  <c:v>0.0141996682864376</c:v>
                </c:pt>
                <c:pt idx="86">
                  <c:v>0.0374121359919666</c:v>
                </c:pt>
                <c:pt idx="87">
                  <c:v>-0.0317210099836831</c:v>
                </c:pt>
                <c:pt idx="88">
                  <c:v>0.0329601279561294</c:v>
                </c:pt>
                <c:pt idx="89">
                  <c:v>0.0137698390753747</c:v>
                </c:pt>
                <c:pt idx="90">
                  <c:v>-0.0469125027274711</c:v>
                </c:pt>
                <c:pt idx="91">
                  <c:v>-0.0404933608058607</c:v>
                </c:pt>
                <c:pt idx="92">
                  <c:v>0.0296758030361777</c:v>
                </c:pt>
                <c:pt idx="93">
                  <c:v>0.0293998377939984</c:v>
                </c:pt>
                <c:pt idx="94">
                  <c:v>-0.0304735642533555</c:v>
                </c:pt>
                <c:pt idx="95">
                  <c:v>0.00322149988390996</c:v>
                </c:pt>
                <c:pt idx="96">
                  <c:v>0.0229120259206757</c:v>
                </c:pt>
                <c:pt idx="97">
                  <c:v>-0.0495489125823694</c:v>
                </c:pt>
                <c:pt idx="98">
                  <c:v>-0.00758770494242278</c:v>
                </c:pt>
                <c:pt idx="99">
                  <c:v>0.0246461981290478</c:v>
                </c:pt>
                <c:pt idx="100">
                  <c:v>0.0161526306548838</c:v>
                </c:pt>
                <c:pt idx="101">
                  <c:v>0.00498185797385253</c:v>
                </c:pt>
                <c:pt idx="102">
                  <c:v>-0.0243273446230551</c:v>
                </c:pt>
                <c:pt idx="103">
                  <c:v>-0.0110425844346549</c:v>
                </c:pt>
                <c:pt idx="104">
                  <c:v>0.00641444437845218</c:v>
                </c:pt>
                <c:pt idx="105">
                  <c:v>-0.0124225435231631</c:v>
                </c:pt>
                <c:pt idx="106">
                  <c:v>0.0369595745316562</c:v>
                </c:pt>
                <c:pt idx="107">
                  <c:v>-0.0176914654526594</c:v>
                </c:pt>
                <c:pt idx="108">
                  <c:v>-0.00510383667722636</c:v>
                </c:pt>
                <c:pt idx="109">
                  <c:v>0.0160386815260334</c:v>
                </c:pt>
                <c:pt idx="110">
                  <c:v>-0.0190934942835587</c:v>
                </c:pt>
                <c:pt idx="111">
                  <c:v>-0.0138740977399124</c:v>
                </c:pt>
                <c:pt idx="112">
                  <c:v>-0.0158992050397481</c:v>
                </c:pt>
                <c:pt idx="113">
                  <c:v>-0.00618808108520053</c:v>
                </c:pt>
                <c:pt idx="114">
                  <c:v>0.0196920434329182</c:v>
                </c:pt>
                <c:pt idx="115">
                  <c:v>-0.00956563590422332</c:v>
                </c:pt>
                <c:pt idx="116">
                  <c:v>0.0500820020652373</c:v>
                </c:pt>
                <c:pt idx="117">
                  <c:v>0.00410701373825018</c:v>
                </c:pt>
                <c:pt idx="118">
                  <c:v>0.0164472736699599</c:v>
                </c:pt>
                <c:pt idx="119">
                  <c:v>-0.0240024937655859</c:v>
                </c:pt>
                <c:pt idx="120">
                  <c:v>0.0094944978368805</c:v>
                </c:pt>
                <c:pt idx="121">
                  <c:v>-0.0613782788771284</c:v>
                </c:pt>
                <c:pt idx="122">
                  <c:v>-0.00646564932279203</c:v>
                </c:pt>
                <c:pt idx="123">
                  <c:v>-0.013323875026987</c:v>
                </c:pt>
                <c:pt idx="124">
                  <c:v>0.0302897689975306</c:v>
                </c:pt>
                <c:pt idx="125">
                  <c:v>-0.0508191747572816</c:v>
                </c:pt>
                <c:pt idx="126">
                  <c:v>0.0218635128655904</c:v>
                </c:pt>
                <c:pt idx="127">
                  <c:v>-0.00250242422346647</c:v>
                </c:pt>
                <c:pt idx="128">
                  <c:v>-0.00868638088369023</c:v>
                </c:pt>
                <c:pt idx="129">
                  <c:v>-0.0322029609009237</c:v>
                </c:pt>
                <c:pt idx="130">
                  <c:v>-0.0179773811858535</c:v>
                </c:pt>
                <c:pt idx="131">
                  <c:v>-0.0202369857542271</c:v>
                </c:pt>
                <c:pt idx="132">
                  <c:v>0.0178692757168093</c:v>
                </c:pt>
                <c:pt idx="133">
                  <c:v>0.0118483412322274</c:v>
                </c:pt>
                <c:pt idx="134">
                  <c:v>0.0415938252465613</c:v>
                </c:pt>
                <c:pt idx="135">
                  <c:v>-0.0239723858382418</c:v>
                </c:pt>
                <c:pt idx="136">
                  <c:v>0.0601213458356316</c:v>
                </c:pt>
                <c:pt idx="137">
                  <c:v>-0.0281569443594295</c:v>
                </c:pt>
                <c:pt idx="138">
                  <c:v>0.0239654846633495</c:v>
                </c:pt>
                <c:pt idx="139">
                  <c:v>0.00959557127479616</c:v>
                </c:pt>
                <c:pt idx="140">
                  <c:v>-0.00767660767051503</c:v>
                </c:pt>
                <c:pt idx="141">
                  <c:v>-0.00853415195702212</c:v>
                </c:pt>
                <c:pt idx="142">
                  <c:v>-0.00365359011672917</c:v>
                </c:pt>
                <c:pt idx="143">
                  <c:v>0.0150408651605083</c:v>
                </c:pt>
                <c:pt idx="144">
                  <c:v>0.0274928818540858</c:v>
                </c:pt>
                <c:pt idx="145">
                  <c:v>0.0770239265814485</c:v>
                </c:pt>
                <c:pt idx="146">
                  <c:v>-0.0363525701322415</c:v>
                </c:pt>
                <c:pt idx="147">
                  <c:v>0.0275034451079468</c:v>
                </c:pt>
                <c:pt idx="148">
                  <c:v>-0.00787929589270742</c:v>
                </c:pt>
                <c:pt idx="149">
                  <c:v>0.0292046862678834</c:v>
                </c:pt>
                <c:pt idx="150">
                  <c:v>-0.00990559584074435</c:v>
                </c:pt>
                <c:pt idx="151">
                  <c:v>0.0064118508691926</c:v>
                </c:pt>
                <c:pt idx="152">
                  <c:v>0.0189207744061515</c:v>
                </c:pt>
                <c:pt idx="153">
                  <c:v>0.0284605433376455</c:v>
                </c:pt>
                <c:pt idx="154">
                  <c:v>-0.0171121593291406</c:v>
                </c:pt>
                <c:pt idx="155">
                  <c:v>-0.0123177006958701</c:v>
                </c:pt>
                <c:pt idx="156">
                  <c:v>-0.00583074638952619</c:v>
                </c:pt>
                <c:pt idx="157">
                  <c:v>-0.00247087892693265</c:v>
                </c:pt>
                <c:pt idx="158">
                  <c:v>0.000979911807937217</c:v>
                </c:pt>
                <c:pt idx="159">
                  <c:v>-0.810409528471203</c:v>
                </c:pt>
              </c:numCache>
            </c:numRef>
          </c:val>
        </c:ser>
        <c:gapWidth val="150"/>
        <c:overlap val="0"/>
        <c:axId val="2236889"/>
        <c:axId val="13720100"/>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(Calc)'!$AK$3:$AK$500</c:f>
              <c:numCache>
                <c:formatCode>#,##0.00</c:formatCode>
                <c:ptCount val="498"/>
                <c:pt idx="0">
                  <c:v>235.63</c:v>
                </c:pt>
                <c:pt idx="1">
                  <c:v>234.148050314465</c:v>
                </c:pt>
                <c:pt idx="2">
                  <c:v>232.666100628931</c:v>
                </c:pt>
                <c:pt idx="3">
                  <c:v>231.184150943396</c:v>
                </c:pt>
                <c:pt idx="4">
                  <c:v>229.702201257862</c:v>
                </c:pt>
                <c:pt idx="5">
                  <c:v>228.220251572327</c:v>
                </c:pt>
                <c:pt idx="6">
                  <c:v>226.738301886792</c:v>
                </c:pt>
                <c:pt idx="7">
                  <c:v>225.256352201258</c:v>
                </c:pt>
                <c:pt idx="8">
                  <c:v>223.774402515723</c:v>
                </c:pt>
                <c:pt idx="9">
                  <c:v>222.292452830189</c:v>
                </c:pt>
                <c:pt idx="10">
                  <c:v>220.810503144654</c:v>
                </c:pt>
                <c:pt idx="11">
                  <c:v>219.32855345912</c:v>
                </c:pt>
                <c:pt idx="12">
                  <c:v>217.846603773585</c:v>
                </c:pt>
                <c:pt idx="13">
                  <c:v>216.36465408805</c:v>
                </c:pt>
                <c:pt idx="14">
                  <c:v>214.882704402516</c:v>
                </c:pt>
                <c:pt idx="15">
                  <c:v>213.400754716981</c:v>
                </c:pt>
                <c:pt idx="16">
                  <c:v>211.918805031447</c:v>
                </c:pt>
                <c:pt idx="17">
                  <c:v>210.436855345912</c:v>
                </c:pt>
                <c:pt idx="18">
                  <c:v>208.954905660377</c:v>
                </c:pt>
                <c:pt idx="19">
                  <c:v>207.472955974843</c:v>
                </c:pt>
                <c:pt idx="20">
                  <c:v>205.991006289308</c:v>
                </c:pt>
                <c:pt idx="21">
                  <c:v>204.509056603774</c:v>
                </c:pt>
                <c:pt idx="22">
                  <c:v>203.027106918239</c:v>
                </c:pt>
                <c:pt idx="23">
                  <c:v>201.545157232704</c:v>
                </c:pt>
                <c:pt idx="24">
                  <c:v>200.06320754717</c:v>
                </c:pt>
                <c:pt idx="25">
                  <c:v>198.581257861635</c:v>
                </c:pt>
                <c:pt idx="26">
                  <c:v>197.099308176101</c:v>
                </c:pt>
                <c:pt idx="27">
                  <c:v>195.617358490566</c:v>
                </c:pt>
                <c:pt idx="28">
                  <c:v>194.135408805031</c:v>
                </c:pt>
                <c:pt idx="29">
                  <c:v>192.653459119497</c:v>
                </c:pt>
                <c:pt idx="30">
                  <c:v>191.171509433962</c:v>
                </c:pt>
                <c:pt idx="31">
                  <c:v>189.689559748428</c:v>
                </c:pt>
                <c:pt idx="32">
                  <c:v>188.207610062893</c:v>
                </c:pt>
                <c:pt idx="33">
                  <c:v>186.725660377358</c:v>
                </c:pt>
                <c:pt idx="34">
                  <c:v>185.243710691824</c:v>
                </c:pt>
                <c:pt idx="35">
                  <c:v>183.761761006289</c:v>
                </c:pt>
                <c:pt idx="36">
                  <c:v>182.279811320755</c:v>
                </c:pt>
                <c:pt idx="37">
                  <c:v>180.79786163522</c:v>
                </c:pt>
                <c:pt idx="38">
                  <c:v>179.315911949686</c:v>
                </c:pt>
                <c:pt idx="39">
                  <c:v>177.833962264151</c:v>
                </c:pt>
                <c:pt idx="40">
                  <c:v>176.352012578616</c:v>
                </c:pt>
                <c:pt idx="41">
                  <c:v>174.870062893082</c:v>
                </c:pt>
                <c:pt idx="42">
                  <c:v>173.388113207547</c:v>
                </c:pt>
                <c:pt idx="43">
                  <c:v>171.906163522013</c:v>
                </c:pt>
                <c:pt idx="44">
                  <c:v>170.424213836478</c:v>
                </c:pt>
                <c:pt idx="45">
                  <c:v>168.942264150943</c:v>
                </c:pt>
                <c:pt idx="46">
                  <c:v>167.460314465409</c:v>
                </c:pt>
                <c:pt idx="47">
                  <c:v>165.978364779874</c:v>
                </c:pt>
                <c:pt idx="48">
                  <c:v>164.49641509434</c:v>
                </c:pt>
                <c:pt idx="49">
                  <c:v>163.014465408805</c:v>
                </c:pt>
                <c:pt idx="50">
                  <c:v>161.53251572327</c:v>
                </c:pt>
                <c:pt idx="51">
                  <c:v>160.050566037736</c:v>
                </c:pt>
                <c:pt idx="52">
                  <c:v>158.568616352201</c:v>
                </c:pt>
                <c:pt idx="53">
                  <c:v>157.086666666667</c:v>
                </c:pt>
                <c:pt idx="54">
                  <c:v>155.604716981132</c:v>
                </c:pt>
                <c:pt idx="55">
                  <c:v>154.122767295598</c:v>
                </c:pt>
                <c:pt idx="56">
                  <c:v>152.640817610063</c:v>
                </c:pt>
                <c:pt idx="57">
                  <c:v>151.158867924528</c:v>
                </c:pt>
                <c:pt idx="58">
                  <c:v>149.676918238994</c:v>
                </c:pt>
                <c:pt idx="59">
                  <c:v>148.194968553459</c:v>
                </c:pt>
                <c:pt idx="60">
                  <c:v>146.713018867925</c:v>
                </c:pt>
                <c:pt idx="61">
                  <c:v>145.23106918239</c:v>
                </c:pt>
                <c:pt idx="62">
                  <c:v>143.749119496855</c:v>
                </c:pt>
                <c:pt idx="63">
                  <c:v>142.267169811321</c:v>
                </c:pt>
                <c:pt idx="64">
                  <c:v>140.785220125786</c:v>
                </c:pt>
                <c:pt idx="65">
                  <c:v>139.303270440252</c:v>
                </c:pt>
                <c:pt idx="66">
                  <c:v>137.821320754717</c:v>
                </c:pt>
                <c:pt idx="67">
                  <c:v>136.339371069182</c:v>
                </c:pt>
                <c:pt idx="68">
                  <c:v>134.857421383648</c:v>
                </c:pt>
                <c:pt idx="69">
                  <c:v>133.375471698113</c:v>
                </c:pt>
                <c:pt idx="70">
                  <c:v>131.893522012579</c:v>
                </c:pt>
                <c:pt idx="71">
                  <c:v>130.411572327044</c:v>
                </c:pt>
                <c:pt idx="72">
                  <c:v>128.929622641509</c:v>
                </c:pt>
                <c:pt idx="73">
                  <c:v>127.447672955975</c:v>
                </c:pt>
                <c:pt idx="74">
                  <c:v>125.96572327044</c:v>
                </c:pt>
                <c:pt idx="75">
                  <c:v>124.483773584906</c:v>
                </c:pt>
                <c:pt idx="76">
                  <c:v>123.001823899371</c:v>
                </c:pt>
                <c:pt idx="77">
                  <c:v>121.519874213836</c:v>
                </c:pt>
                <c:pt idx="78">
                  <c:v>120.037924528302</c:v>
                </c:pt>
                <c:pt idx="79">
                  <c:v>118.555974842767</c:v>
                </c:pt>
                <c:pt idx="80">
                  <c:v>117.074025157233</c:v>
                </c:pt>
                <c:pt idx="81">
                  <c:v>115.592075471698</c:v>
                </c:pt>
                <c:pt idx="82">
                  <c:v>114.110125786164</c:v>
                </c:pt>
                <c:pt idx="83">
                  <c:v>112.628176100629</c:v>
                </c:pt>
                <c:pt idx="84">
                  <c:v>111.146226415094</c:v>
                </c:pt>
                <c:pt idx="85">
                  <c:v>109.66427672956</c:v>
                </c:pt>
                <c:pt idx="86">
                  <c:v>108.182327044025</c:v>
                </c:pt>
                <c:pt idx="87">
                  <c:v>106.700377358491</c:v>
                </c:pt>
                <c:pt idx="88">
                  <c:v>105.218427672956</c:v>
                </c:pt>
                <c:pt idx="89">
                  <c:v>103.736477987421</c:v>
                </c:pt>
                <c:pt idx="90">
                  <c:v>102.254528301887</c:v>
                </c:pt>
                <c:pt idx="91">
                  <c:v>100.772578616352</c:v>
                </c:pt>
                <c:pt idx="92">
                  <c:v>99.2906289308176</c:v>
                </c:pt>
                <c:pt idx="93">
                  <c:v>97.808679245283</c:v>
                </c:pt>
                <c:pt idx="94">
                  <c:v>96.3267295597484</c:v>
                </c:pt>
                <c:pt idx="95">
                  <c:v>94.8447798742138</c:v>
                </c:pt>
                <c:pt idx="96">
                  <c:v>93.3628301886793</c:v>
                </c:pt>
                <c:pt idx="97">
                  <c:v>91.8808805031447</c:v>
                </c:pt>
                <c:pt idx="98">
                  <c:v>90.3989308176101</c:v>
                </c:pt>
                <c:pt idx="99">
                  <c:v>88.9169811320755</c:v>
                </c:pt>
                <c:pt idx="100">
                  <c:v>87.4350314465409</c:v>
                </c:pt>
                <c:pt idx="101">
                  <c:v>85.9530817610063</c:v>
                </c:pt>
                <c:pt idx="102">
                  <c:v>84.4711320754717</c:v>
                </c:pt>
                <c:pt idx="103">
                  <c:v>82.9891823899371</c:v>
                </c:pt>
                <c:pt idx="104">
                  <c:v>81.5072327044025</c:v>
                </c:pt>
                <c:pt idx="105">
                  <c:v>80.0252830188679</c:v>
                </c:pt>
                <c:pt idx="106">
                  <c:v>78.5433333333333</c:v>
                </c:pt>
                <c:pt idx="107">
                  <c:v>77.0613836477988</c:v>
                </c:pt>
                <c:pt idx="108">
                  <c:v>75.5794339622642</c:v>
                </c:pt>
                <c:pt idx="109">
                  <c:v>74.0974842767296</c:v>
                </c:pt>
                <c:pt idx="110">
                  <c:v>72.615534591195</c:v>
                </c:pt>
                <c:pt idx="111">
                  <c:v>71.1335849056604</c:v>
                </c:pt>
                <c:pt idx="112">
                  <c:v>69.6516352201258</c:v>
                </c:pt>
                <c:pt idx="113">
                  <c:v>68.1696855345912</c:v>
                </c:pt>
                <c:pt idx="114">
                  <c:v>66.6877358490566</c:v>
                </c:pt>
                <c:pt idx="115">
                  <c:v>65.205786163522</c:v>
                </c:pt>
                <c:pt idx="116">
                  <c:v>63.7238364779874</c:v>
                </c:pt>
                <c:pt idx="117">
                  <c:v>62.2418867924528</c:v>
                </c:pt>
                <c:pt idx="118">
                  <c:v>60.7599371069182</c:v>
                </c:pt>
                <c:pt idx="119">
                  <c:v>59.2779874213836</c:v>
                </c:pt>
                <c:pt idx="120">
                  <c:v>57.7960377358491</c:v>
                </c:pt>
                <c:pt idx="121">
                  <c:v>56.3140880503145</c:v>
                </c:pt>
                <c:pt idx="122">
                  <c:v>54.8321383647799</c:v>
                </c:pt>
                <c:pt idx="123">
                  <c:v>53.3501886792453</c:v>
                </c:pt>
                <c:pt idx="124">
                  <c:v>51.8682389937107</c:v>
                </c:pt>
                <c:pt idx="125">
                  <c:v>50.3862893081761</c:v>
                </c:pt>
                <c:pt idx="126">
                  <c:v>48.9043396226415</c:v>
                </c:pt>
                <c:pt idx="127">
                  <c:v>47.4223899371069</c:v>
                </c:pt>
                <c:pt idx="128">
                  <c:v>45.9404402515723</c:v>
                </c:pt>
                <c:pt idx="129">
                  <c:v>44.4584905660377</c:v>
                </c:pt>
                <c:pt idx="130">
                  <c:v>42.9765408805032</c:v>
                </c:pt>
                <c:pt idx="131">
                  <c:v>41.4945911949686</c:v>
                </c:pt>
                <c:pt idx="132">
                  <c:v>40.012641509434</c:v>
                </c:pt>
                <c:pt idx="133">
                  <c:v>38.5306918238994</c:v>
                </c:pt>
                <c:pt idx="134">
                  <c:v>37.0487421383648</c:v>
                </c:pt>
                <c:pt idx="135">
                  <c:v>35.5667924528302</c:v>
                </c:pt>
                <c:pt idx="136">
                  <c:v>34.0848427672956</c:v>
                </c:pt>
                <c:pt idx="137">
                  <c:v>32.602893081761</c:v>
                </c:pt>
                <c:pt idx="138">
                  <c:v>31.1209433962264</c:v>
                </c:pt>
                <c:pt idx="139">
                  <c:v>29.6389937106918</c:v>
                </c:pt>
                <c:pt idx="140">
                  <c:v>28.1570440251572</c:v>
                </c:pt>
                <c:pt idx="141">
                  <c:v>26.6750943396226</c:v>
                </c:pt>
                <c:pt idx="142">
                  <c:v>25.1931446540881</c:v>
                </c:pt>
                <c:pt idx="143">
                  <c:v>23.7111949685535</c:v>
                </c:pt>
                <c:pt idx="144">
                  <c:v>22.2292452830189</c:v>
                </c:pt>
                <c:pt idx="145">
                  <c:v>20.7472955974843</c:v>
                </c:pt>
                <c:pt idx="146">
                  <c:v>19.2653459119497</c:v>
                </c:pt>
                <c:pt idx="147">
                  <c:v>17.7833962264151</c:v>
                </c:pt>
                <c:pt idx="148">
                  <c:v>16.3014465408805</c:v>
                </c:pt>
                <c:pt idx="149">
                  <c:v>14.8194968553459</c:v>
                </c:pt>
                <c:pt idx="150">
                  <c:v>13.3375471698113</c:v>
                </c:pt>
                <c:pt idx="151">
                  <c:v>11.8555974842767</c:v>
                </c:pt>
                <c:pt idx="152">
                  <c:v>10.3736477987421</c:v>
                </c:pt>
                <c:pt idx="153">
                  <c:v>8.89169811320755</c:v>
                </c:pt>
                <c:pt idx="154">
                  <c:v>7.40974842767298</c:v>
                </c:pt>
                <c:pt idx="155">
                  <c:v>5.92779874213835</c:v>
                </c:pt>
                <c:pt idx="156">
                  <c:v>4.44584905660378</c:v>
                </c:pt>
                <c:pt idx="157">
                  <c:v>2.9638993710692</c:v>
                </c:pt>
                <c:pt idx="158">
                  <c:v>1.48194968553457</c:v>
                </c:pt>
                <c:pt idx="159">
                  <c:v>0</c:v>
                </c:pt>
              </c:numCache>
            </c:numRef>
          </c:val>
          <c:smooth val="0"/>
        </c:ser>
        <c:hiLowLines>
          <c:spPr>
            <a:ln w="0">
              <a:noFill/>
            </a:ln>
          </c:spPr>
        </c:hiLowLines>
        <c:marker val="0"/>
        <c:axId val="18835050"/>
        <c:axId val="94150525"/>
      </c:lineChart>
      <c:dateAx>
        <c:axId val="223688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720100"/>
        <c:auto val="1"/>
        <c:lblOffset val="100"/>
        <c:baseTimeUnit val="days"/>
      </c:dateAx>
      <c:valAx>
        <c:axId val="1372010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36889"/>
        <c:crosses val="autoZero"/>
        <c:crossBetween val="between"/>
      </c:valAx>
      <c:dateAx>
        <c:axId val="1883505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150525"/>
        <c:auto val="1"/>
        <c:lblOffset val="100"/>
        <c:baseTimeUnit val="days"/>
      </c:dateAx>
      <c:valAx>
        <c:axId val="9415052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83505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(Calc)'!$R$3:$R$500</c:f>
              <c:numCache>
                <c:formatCode>0.0%</c:formatCode>
                <c:ptCount val="498"/>
                <c:pt idx="0">
                  <c:v>-0.0186114596403179</c:v>
                </c:pt>
                <c:pt idx="1">
                  <c:v>0.0159812486682294</c:v>
                </c:pt>
                <c:pt idx="2">
                  <c:v>0.018246644295302</c:v>
                </c:pt>
                <c:pt idx="3">
                  <c:v>-0.00659114315139031</c:v>
                </c:pt>
                <c:pt idx="4">
                  <c:v>-0.000414679659962558</c:v>
                </c:pt>
                <c:pt idx="5">
                  <c:v>-0.0269653598838416</c:v>
                </c:pt>
                <c:pt idx="6">
                  <c:v>0.000426348326582948</c:v>
                </c:pt>
                <c:pt idx="7">
                  <c:v>0.0042616663115278</c:v>
                </c:pt>
                <c:pt idx="8">
                  <c:v>0.00275832802885634</c:v>
                </c:pt>
                <c:pt idx="9">
                  <c:v>-0.0198899703766399</c:v>
                </c:pt>
                <c:pt idx="10">
                  <c:v>-0.0207253886010363</c:v>
                </c:pt>
                <c:pt idx="11">
                  <c:v>0.0476190476190477</c:v>
                </c:pt>
                <c:pt idx="12">
                  <c:v>0.0208333333333333</c:v>
                </c:pt>
                <c:pt idx="13">
                  <c:v>0.00948258091115228</c:v>
                </c:pt>
                <c:pt idx="14">
                  <c:v>0.00530937308556245</c:v>
                </c:pt>
                <c:pt idx="15">
                  <c:v>-0.00670322973796467</c:v>
                </c:pt>
                <c:pt idx="16">
                  <c:v>0.00736196319018401</c:v>
                </c:pt>
                <c:pt idx="17">
                  <c:v>0.0150223304912709</c:v>
                </c:pt>
                <c:pt idx="18">
                  <c:v>0.00319999999999987</c:v>
                </c:pt>
                <c:pt idx="19">
                  <c:v>-0.00458532695374792</c:v>
                </c:pt>
                <c:pt idx="20">
                  <c:v>-0.0156218706188664</c:v>
                </c:pt>
                <c:pt idx="21">
                  <c:v>0.0272634791454731</c:v>
                </c:pt>
                <c:pt idx="22">
                  <c:v>0.017825311942959</c:v>
                </c:pt>
                <c:pt idx="23">
                  <c:v>0.00778361548939488</c:v>
                </c:pt>
                <c:pt idx="24">
                  <c:v>0.00289631202934926</c:v>
                </c:pt>
                <c:pt idx="25">
                  <c:v>0.0105891413169041</c:v>
                </c:pt>
                <c:pt idx="26">
                  <c:v>-0.00323871213564497</c:v>
                </c:pt>
                <c:pt idx="27">
                  <c:v>0.0126146788990824</c:v>
                </c:pt>
                <c:pt idx="28">
                  <c:v>0.00528501321253305</c:v>
                </c:pt>
                <c:pt idx="29">
                  <c:v>-0.00131430717236203</c:v>
                </c:pt>
                <c:pt idx="30">
                  <c:v>-0.00526414739612713</c:v>
                </c:pt>
                <c:pt idx="31">
                  <c:v>0.0255150255150256</c:v>
                </c:pt>
                <c:pt idx="32">
                  <c:v>-0.000368595650571235</c:v>
                </c:pt>
                <c:pt idx="33">
                  <c:v>-0.0119837758112095</c:v>
                </c:pt>
                <c:pt idx="34">
                  <c:v>-0.0035454375816385</c:v>
                </c:pt>
                <c:pt idx="35">
                  <c:v>-0.047940074906367</c:v>
                </c:pt>
                <c:pt idx="36">
                  <c:v>0.0357985837922894</c:v>
                </c:pt>
                <c:pt idx="37">
                  <c:v>0.00170907709836698</c:v>
                </c:pt>
                <c:pt idx="38">
                  <c:v>0.0138388625592416</c:v>
                </c:pt>
                <c:pt idx="39">
                  <c:v>0.011967090501122</c:v>
                </c:pt>
                <c:pt idx="40">
                  <c:v>0.00480413895048049</c:v>
                </c:pt>
                <c:pt idx="41">
                  <c:v>-0.00349393159249733</c:v>
                </c:pt>
                <c:pt idx="42">
                  <c:v>0.00553607676693124</c:v>
                </c:pt>
                <c:pt idx="43">
                  <c:v>0.0126628739218204</c:v>
                </c:pt>
                <c:pt idx="44">
                  <c:v>0.00108735048930786</c:v>
                </c:pt>
                <c:pt idx="45">
                  <c:v>0.00470673425054313</c:v>
                </c:pt>
                <c:pt idx="46">
                  <c:v>0.006846846846847</c:v>
                </c:pt>
                <c:pt idx="47">
                  <c:v>-0.000715819613457347</c:v>
                </c:pt>
                <c:pt idx="48">
                  <c:v>-0.0295487106017193</c:v>
                </c:pt>
                <c:pt idx="49">
                  <c:v>-0.0226979147444177</c:v>
                </c:pt>
                <c:pt idx="50">
                  <c:v>-0.0343655589123867</c:v>
                </c:pt>
                <c:pt idx="51">
                  <c:v>0.00293312475557284</c:v>
                </c:pt>
                <c:pt idx="52">
                  <c:v>0.0421134724117762</c:v>
                </c:pt>
                <c:pt idx="53">
                  <c:v>0.00841908325537877</c:v>
                </c:pt>
                <c:pt idx="54">
                  <c:v>0.00333951762523199</c:v>
                </c:pt>
                <c:pt idx="55">
                  <c:v>-0.0502958579881657</c:v>
                </c:pt>
                <c:pt idx="56">
                  <c:v>0.0465342679127725</c:v>
                </c:pt>
                <c:pt idx="57">
                  <c:v>0.0122790697674418</c:v>
                </c:pt>
                <c:pt idx="58">
                  <c:v>0.00716780003675788</c:v>
                </c:pt>
                <c:pt idx="59">
                  <c:v>-0.00784671532846715</c:v>
                </c:pt>
                <c:pt idx="60">
                  <c:v>0.00901232297222743</c:v>
                </c:pt>
                <c:pt idx="61">
                  <c:v>0.00747356908494345</c:v>
                </c:pt>
                <c:pt idx="62">
                  <c:v>0.0023520897412701</c:v>
                </c:pt>
                <c:pt idx="63">
                  <c:v>-0.0173285198555957</c:v>
                </c:pt>
                <c:pt idx="64">
                  <c:v>0.038574577516532</c:v>
                </c:pt>
                <c:pt idx="65">
                  <c:v>-0.0164485320127343</c:v>
                </c:pt>
                <c:pt idx="66">
                  <c:v>0.0172630821794642</c:v>
                </c:pt>
                <c:pt idx="67">
                  <c:v>0.00919215131695261</c:v>
                </c:pt>
                <c:pt idx="68">
                  <c:v>0.00928358731826928</c:v>
                </c:pt>
                <c:pt idx="69">
                  <c:v>0.00399166955918084</c:v>
                </c:pt>
                <c:pt idx="70">
                  <c:v>-0.0112359550561798</c:v>
                </c:pt>
                <c:pt idx="71">
                  <c:v>0.00944055944055933</c:v>
                </c:pt>
                <c:pt idx="72">
                  <c:v>-0.0114305507447178</c:v>
                </c:pt>
                <c:pt idx="73">
                  <c:v>-0.0192711983181499</c:v>
                </c:pt>
                <c:pt idx="74">
                  <c:v>0.0230439442658092</c:v>
                </c:pt>
                <c:pt idx="75">
                  <c:v>0.0139689191548804</c:v>
                </c:pt>
                <c:pt idx="76">
                  <c:v>-0.0103323574995695</c:v>
                </c:pt>
                <c:pt idx="77">
                  <c:v>-0.00522011484252649</c:v>
                </c:pt>
                <c:pt idx="78">
                  <c:v>0.0192408605912191</c:v>
                </c:pt>
                <c:pt idx="79">
                  <c:v>-0.0120130427321092</c:v>
                </c:pt>
                <c:pt idx="80">
                  <c:v>-0.0276185513288172</c:v>
                </c:pt>
                <c:pt idx="81">
                  <c:v>-0.0396570203644159</c:v>
                </c:pt>
                <c:pt idx="82">
                  <c:v>-0.0213913690476191</c:v>
                </c:pt>
                <c:pt idx="83">
                  <c:v>0.00361148070708994</c:v>
                </c:pt>
                <c:pt idx="84">
                  <c:v>-0.0187499999999999</c:v>
                </c:pt>
                <c:pt idx="85">
                  <c:v>-0.100559737502413</c:v>
                </c:pt>
                <c:pt idx="86">
                  <c:v>0.0630901287553647</c:v>
                </c:pt>
                <c:pt idx="87">
                  <c:v>-0.0161485668146951</c:v>
                </c:pt>
                <c:pt idx="88">
                  <c:v>0.0482150184653263</c:v>
                </c:pt>
                <c:pt idx="89">
                  <c:v>0.00782932080641996</c:v>
                </c:pt>
                <c:pt idx="90">
                  <c:v>0.00271897455816661</c:v>
                </c:pt>
                <c:pt idx="91">
                  <c:v>0.0172380398992833</c:v>
                </c:pt>
                <c:pt idx="92">
                  <c:v>-0.00913937547600918</c:v>
                </c:pt>
                <c:pt idx="93">
                  <c:v>0.0113374327440432</c:v>
                </c:pt>
                <c:pt idx="94">
                  <c:v>0.00133003990119707</c:v>
                </c:pt>
                <c:pt idx="95">
                  <c:v>-0.00208728652751422</c:v>
                </c:pt>
                <c:pt idx="96">
                  <c:v>0.00304240349876395</c:v>
                </c:pt>
                <c:pt idx="97">
                  <c:v>0.0288151658767772</c:v>
                </c:pt>
                <c:pt idx="98">
                  <c:v>-0.00202690252441506</c:v>
                </c:pt>
                <c:pt idx="99">
                  <c:v>0.00369276218611536</c:v>
                </c:pt>
                <c:pt idx="100">
                  <c:v>0.00607064017660042</c:v>
                </c:pt>
                <c:pt idx="101">
                  <c:v>0.00713110257816796</c:v>
                </c:pt>
                <c:pt idx="102">
                  <c:v>-0.0230573710965867</c:v>
                </c:pt>
                <c:pt idx="103">
                  <c:v>0.0280616985690392</c:v>
                </c:pt>
                <c:pt idx="104">
                  <c:v>0.00867678958785234</c:v>
                </c:pt>
                <c:pt idx="105">
                  <c:v>-0.00232974910394257</c:v>
                </c:pt>
                <c:pt idx="106">
                  <c:v>0.000179629962277605</c:v>
                </c:pt>
                <c:pt idx="107">
                  <c:v>0.00179597701149437</c:v>
                </c:pt>
                <c:pt idx="108">
                  <c:v>0.0136249551810685</c:v>
                </c:pt>
                <c:pt idx="109">
                  <c:v>0.0109656880084896</c:v>
                </c:pt>
                <c:pt idx="110">
                  <c:v>0.00157452764170762</c:v>
                </c:pt>
                <c:pt idx="111">
                  <c:v>0.00052401746724895</c:v>
                </c:pt>
                <c:pt idx="112">
                  <c:v>-0.0165851955307264</c:v>
                </c:pt>
                <c:pt idx="113">
                  <c:v>0.0204154091958104</c:v>
                </c:pt>
                <c:pt idx="114">
                  <c:v>0.0186151704940849</c:v>
                </c:pt>
                <c:pt idx="115">
                  <c:v>0.00939368061485912</c:v>
                </c:pt>
                <c:pt idx="116">
                  <c:v>-0.0235194585448393</c:v>
                </c:pt>
                <c:pt idx="117">
                  <c:v>0.00190608213481203</c:v>
                </c:pt>
                <c:pt idx="118">
                  <c:v>-0.0273261847111725</c:v>
                </c:pt>
                <c:pt idx="119">
                  <c:v>0.045697012802276</c:v>
                </c:pt>
                <c:pt idx="120">
                  <c:v>0.000170039108994935</c:v>
                </c:pt>
                <c:pt idx="121">
                  <c:v>-0.0108806528391704</c:v>
                </c:pt>
                <c:pt idx="122">
                  <c:v>0.00756273633551041</c:v>
                </c:pt>
                <c:pt idx="123">
                  <c:v>0.0122824974411464</c:v>
                </c:pt>
                <c:pt idx="124">
                  <c:v>-0.0210650488709134</c:v>
                </c:pt>
                <c:pt idx="125">
                  <c:v>0.0184196935789291</c:v>
                </c:pt>
                <c:pt idx="126">
                  <c:v>-0.00405679513184576</c:v>
                </c:pt>
                <c:pt idx="127">
                  <c:v>0.00509164969450104</c:v>
                </c:pt>
                <c:pt idx="128">
                  <c:v>0.00354609929078009</c:v>
                </c:pt>
                <c:pt idx="129">
                  <c:v>-0.0232205956587582</c:v>
                </c:pt>
                <c:pt idx="130">
                  <c:v>-0.00930232558139532</c:v>
                </c:pt>
                <c:pt idx="131">
                  <c:v>0.0111284993914103</c:v>
                </c:pt>
                <c:pt idx="132">
                  <c:v>-0.00189165950128978</c:v>
                </c:pt>
                <c:pt idx="133">
                  <c:v>-0.0205031013094418</c:v>
                </c:pt>
                <c:pt idx="134">
                  <c:v>-0.00510114335971856</c:v>
                </c:pt>
                <c:pt idx="135">
                  <c:v>-0.0141442715700142</c:v>
                </c:pt>
                <c:pt idx="136">
                  <c:v>-0.0292324246771879</c:v>
                </c:pt>
                <c:pt idx="137">
                  <c:v>0.026972104193608</c:v>
                </c:pt>
                <c:pt idx="138">
                  <c:v>0.0365173592372727</c:v>
                </c:pt>
                <c:pt idx="139">
                  <c:v>0.0180492884415133</c:v>
                </c:pt>
                <c:pt idx="140">
                  <c:v>0.00562563927719073</c:v>
                </c:pt>
                <c:pt idx="141">
                  <c:v>-0.00220376334972039</c:v>
                </c:pt>
                <c:pt idx="142">
                  <c:v>0.0127420998980632</c:v>
                </c:pt>
                <c:pt idx="143">
                  <c:v>0.00268411340379138</c:v>
                </c:pt>
                <c:pt idx="144">
                  <c:v>0.00736155261837035</c:v>
                </c:pt>
                <c:pt idx="145">
                  <c:v>0.0156120245806344</c:v>
                </c:pt>
                <c:pt idx="146">
                  <c:v>-0.0367947669664759</c:v>
                </c:pt>
                <c:pt idx="147">
                  <c:v>0.0162988115449916</c:v>
                </c:pt>
                <c:pt idx="148">
                  <c:v>0.0247243568326094</c:v>
                </c:pt>
                <c:pt idx="149">
                  <c:v>-0.0313009455493969</c:v>
                </c:pt>
                <c:pt idx="150">
                  <c:v>-0.000504880511612238</c:v>
                </c:pt>
                <c:pt idx="151">
                  <c:v>0.0188583936689677</c:v>
                </c:pt>
                <c:pt idx="152">
                  <c:v>-0.0330523880350355</c:v>
                </c:pt>
                <c:pt idx="153">
                  <c:v>-0.0094001025465732</c:v>
                </c:pt>
                <c:pt idx="154">
                  <c:v>0.00500345065562446</c:v>
                </c:pt>
                <c:pt idx="155">
                  <c:v>0.0255793991416309</c:v>
                </c:pt>
                <c:pt idx="156">
                  <c:v>0.0132239705390023</c:v>
                </c:pt>
                <c:pt idx="157">
                  <c:v>-0.011399306129192</c:v>
                </c:pt>
                <c:pt idx="158">
                  <c:v>-0.00618315508021394</c:v>
                </c:pt>
                <c:pt idx="159">
                  <c:v>0.00672608037666045</c:v>
                </c:pt>
              </c:numCache>
            </c:numRef>
          </c:val>
        </c:ser>
        <c:gapWidth val="150"/>
        <c:overlap val="0"/>
        <c:axId val="12385006"/>
        <c:axId val="4084804"/>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(Calc)'!$AL$3:$AL$500</c:f>
              <c:numCache>
                <c:formatCode>#,##0.00</c:formatCode>
                <c:ptCount val="498"/>
                <c:pt idx="0">
                  <c:v>47.82</c:v>
                </c:pt>
                <c:pt idx="1">
                  <c:v>47.5192452830189</c:v>
                </c:pt>
                <c:pt idx="2">
                  <c:v>47.2184905660377</c:v>
                </c:pt>
                <c:pt idx="3">
                  <c:v>46.9177358490566</c:v>
                </c:pt>
                <c:pt idx="4">
                  <c:v>46.6169811320755</c:v>
                </c:pt>
                <c:pt idx="5">
                  <c:v>46.3162264150943</c:v>
                </c:pt>
                <c:pt idx="6">
                  <c:v>46.0154716981132</c:v>
                </c:pt>
                <c:pt idx="7">
                  <c:v>45.7147169811321</c:v>
                </c:pt>
                <c:pt idx="8">
                  <c:v>45.4139622641509</c:v>
                </c:pt>
                <c:pt idx="9">
                  <c:v>45.1132075471698</c:v>
                </c:pt>
                <c:pt idx="10">
                  <c:v>44.8124528301887</c:v>
                </c:pt>
                <c:pt idx="11">
                  <c:v>44.5116981132076</c:v>
                </c:pt>
                <c:pt idx="12">
                  <c:v>44.2109433962264</c:v>
                </c:pt>
                <c:pt idx="13">
                  <c:v>43.9101886792453</c:v>
                </c:pt>
                <c:pt idx="14">
                  <c:v>43.6094339622642</c:v>
                </c:pt>
                <c:pt idx="15">
                  <c:v>43.308679245283</c:v>
                </c:pt>
                <c:pt idx="16">
                  <c:v>43.0079245283019</c:v>
                </c:pt>
                <c:pt idx="17">
                  <c:v>42.7071698113208</c:v>
                </c:pt>
                <c:pt idx="18">
                  <c:v>42.4064150943396</c:v>
                </c:pt>
                <c:pt idx="19">
                  <c:v>42.1056603773585</c:v>
                </c:pt>
                <c:pt idx="20">
                  <c:v>41.8049056603774</c:v>
                </c:pt>
                <c:pt idx="21">
                  <c:v>41.5041509433962</c:v>
                </c:pt>
                <c:pt idx="22">
                  <c:v>41.2033962264151</c:v>
                </c:pt>
                <c:pt idx="23">
                  <c:v>40.902641509434</c:v>
                </c:pt>
                <c:pt idx="24">
                  <c:v>40.6018867924528</c:v>
                </c:pt>
                <c:pt idx="25">
                  <c:v>40.3011320754717</c:v>
                </c:pt>
                <c:pt idx="26">
                  <c:v>40.0003773584906</c:v>
                </c:pt>
                <c:pt idx="27">
                  <c:v>39.6996226415094</c:v>
                </c:pt>
                <c:pt idx="28">
                  <c:v>39.3988679245283</c:v>
                </c:pt>
                <c:pt idx="29">
                  <c:v>39.0981132075472</c:v>
                </c:pt>
                <c:pt idx="30">
                  <c:v>38.797358490566</c:v>
                </c:pt>
                <c:pt idx="31">
                  <c:v>38.4966037735849</c:v>
                </c:pt>
                <c:pt idx="32">
                  <c:v>38.1958490566038</c:v>
                </c:pt>
                <c:pt idx="33">
                  <c:v>37.8950943396226</c:v>
                </c:pt>
                <c:pt idx="34">
                  <c:v>37.5943396226415</c:v>
                </c:pt>
                <c:pt idx="35">
                  <c:v>37.2935849056604</c:v>
                </c:pt>
                <c:pt idx="36">
                  <c:v>36.9928301886793</c:v>
                </c:pt>
                <c:pt idx="37">
                  <c:v>36.6920754716981</c:v>
                </c:pt>
                <c:pt idx="38">
                  <c:v>36.391320754717</c:v>
                </c:pt>
                <c:pt idx="39">
                  <c:v>36.0905660377359</c:v>
                </c:pt>
                <c:pt idx="40">
                  <c:v>35.7898113207547</c:v>
                </c:pt>
                <c:pt idx="41">
                  <c:v>35.4890566037736</c:v>
                </c:pt>
                <c:pt idx="42">
                  <c:v>35.1883018867925</c:v>
                </c:pt>
                <c:pt idx="43">
                  <c:v>34.8875471698113</c:v>
                </c:pt>
                <c:pt idx="44">
                  <c:v>34.5867924528302</c:v>
                </c:pt>
                <c:pt idx="45">
                  <c:v>34.2860377358491</c:v>
                </c:pt>
                <c:pt idx="46">
                  <c:v>33.9852830188679</c:v>
                </c:pt>
                <c:pt idx="47">
                  <c:v>33.6845283018868</c:v>
                </c:pt>
                <c:pt idx="48">
                  <c:v>33.3837735849057</c:v>
                </c:pt>
                <c:pt idx="49">
                  <c:v>33.0830188679245</c:v>
                </c:pt>
                <c:pt idx="50">
                  <c:v>32.7822641509434</c:v>
                </c:pt>
                <c:pt idx="51">
                  <c:v>32.4815094339623</c:v>
                </c:pt>
                <c:pt idx="52">
                  <c:v>32.1807547169811</c:v>
                </c:pt>
                <c:pt idx="53">
                  <c:v>31.88</c:v>
                </c:pt>
                <c:pt idx="54">
                  <c:v>31.5792452830189</c:v>
                </c:pt>
                <c:pt idx="55">
                  <c:v>31.2784905660377</c:v>
                </c:pt>
                <c:pt idx="56">
                  <c:v>30.9777358490566</c:v>
                </c:pt>
                <c:pt idx="57">
                  <c:v>30.6769811320755</c:v>
                </c:pt>
                <c:pt idx="58">
                  <c:v>30.3762264150943</c:v>
                </c:pt>
                <c:pt idx="59">
                  <c:v>30.0754716981132</c:v>
                </c:pt>
                <c:pt idx="60">
                  <c:v>29.7747169811321</c:v>
                </c:pt>
                <c:pt idx="61">
                  <c:v>29.4739622641509</c:v>
                </c:pt>
                <c:pt idx="62">
                  <c:v>29.1732075471698</c:v>
                </c:pt>
                <c:pt idx="63">
                  <c:v>28.8724528301887</c:v>
                </c:pt>
                <c:pt idx="64">
                  <c:v>28.5716981132075</c:v>
                </c:pt>
                <c:pt idx="65">
                  <c:v>28.2709433962264</c:v>
                </c:pt>
                <c:pt idx="66">
                  <c:v>27.9701886792453</c:v>
                </c:pt>
                <c:pt idx="67">
                  <c:v>27.6694339622642</c:v>
                </c:pt>
                <c:pt idx="68">
                  <c:v>27.368679245283</c:v>
                </c:pt>
                <c:pt idx="69">
                  <c:v>27.0679245283019</c:v>
                </c:pt>
                <c:pt idx="70">
                  <c:v>26.7671698113208</c:v>
                </c:pt>
                <c:pt idx="71">
                  <c:v>26.4664150943396</c:v>
                </c:pt>
                <c:pt idx="72">
                  <c:v>26.1656603773585</c:v>
                </c:pt>
                <c:pt idx="73">
                  <c:v>25.8649056603774</c:v>
                </c:pt>
                <c:pt idx="74">
                  <c:v>25.5641509433962</c:v>
                </c:pt>
                <c:pt idx="75">
                  <c:v>25.2633962264151</c:v>
                </c:pt>
                <c:pt idx="76">
                  <c:v>24.962641509434</c:v>
                </c:pt>
                <c:pt idx="77">
                  <c:v>24.6618867924528</c:v>
                </c:pt>
                <c:pt idx="78">
                  <c:v>24.3611320754717</c:v>
                </c:pt>
                <c:pt idx="79">
                  <c:v>24.0603773584906</c:v>
                </c:pt>
                <c:pt idx="80">
                  <c:v>23.7596226415094</c:v>
                </c:pt>
                <c:pt idx="81">
                  <c:v>23.4588679245283</c:v>
                </c:pt>
                <c:pt idx="82">
                  <c:v>23.1581132075472</c:v>
                </c:pt>
                <c:pt idx="83">
                  <c:v>22.857358490566</c:v>
                </c:pt>
                <c:pt idx="84">
                  <c:v>22.5566037735849</c:v>
                </c:pt>
                <c:pt idx="85">
                  <c:v>22.2558490566038</c:v>
                </c:pt>
                <c:pt idx="86">
                  <c:v>21.9550943396226</c:v>
                </c:pt>
                <c:pt idx="87">
                  <c:v>21.6543396226415</c:v>
                </c:pt>
                <c:pt idx="88">
                  <c:v>21.3535849056604</c:v>
                </c:pt>
                <c:pt idx="89">
                  <c:v>21.0528301886792</c:v>
                </c:pt>
                <c:pt idx="90">
                  <c:v>20.7520754716981</c:v>
                </c:pt>
                <c:pt idx="91">
                  <c:v>20.451320754717</c:v>
                </c:pt>
                <c:pt idx="92">
                  <c:v>20.1505660377359</c:v>
                </c:pt>
                <c:pt idx="93">
                  <c:v>19.8498113207547</c:v>
                </c:pt>
                <c:pt idx="94">
                  <c:v>19.5490566037736</c:v>
                </c:pt>
                <c:pt idx="95">
                  <c:v>19.2483018867925</c:v>
                </c:pt>
                <c:pt idx="96">
                  <c:v>18.9475471698113</c:v>
                </c:pt>
                <c:pt idx="97">
                  <c:v>18.6467924528302</c:v>
                </c:pt>
                <c:pt idx="98">
                  <c:v>18.3460377358491</c:v>
                </c:pt>
                <c:pt idx="99">
                  <c:v>18.0452830188679</c:v>
                </c:pt>
                <c:pt idx="100">
                  <c:v>17.7445283018868</c:v>
                </c:pt>
                <c:pt idx="101">
                  <c:v>17.4437735849057</c:v>
                </c:pt>
                <c:pt idx="102">
                  <c:v>17.1430188679245</c:v>
                </c:pt>
                <c:pt idx="103">
                  <c:v>16.8422641509434</c:v>
                </c:pt>
                <c:pt idx="104">
                  <c:v>16.5415094339623</c:v>
                </c:pt>
                <c:pt idx="105">
                  <c:v>16.2407547169811</c:v>
                </c:pt>
                <c:pt idx="106">
                  <c:v>15.94</c:v>
                </c:pt>
                <c:pt idx="107">
                  <c:v>15.6392452830189</c:v>
                </c:pt>
                <c:pt idx="108">
                  <c:v>15.3384905660377</c:v>
                </c:pt>
                <c:pt idx="109">
                  <c:v>15.0377358490566</c:v>
                </c:pt>
                <c:pt idx="110">
                  <c:v>14.7369811320755</c:v>
                </c:pt>
                <c:pt idx="111">
                  <c:v>14.4362264150943</c:v>
                </c:pt>
                <c:pt idx="112">
                  <c:v>14.1354716981132</c:v>
                </c:pt>
                <c:pt idx="113">
                  <c:v>13.8347169811321</c:v>
                </c:pt>
                <c:pt idx="114">
                  <c:v>13.5339622641509</c:v>
                </c:pt>
                <c:pt idx="115">
                  <c:v>13.2332075471698</c:v>
                </c:pt>
                <c:pt idx="116">
                  <c:v>12.9324528301887</c:v>
                </c:pt>
                <c:pt idx="117">
                  <c:v>12.6316981132075</c:v>
                </c:pt>
                <c:pt idx="118">
                  <c:v>12.3309433962264</c:v>
                </c:pt>
                <c:pt idx="119">
                  <c:v>12.0301886792453</c:v>
                </c:pt>
                <c:pt idx="120">
                  <c:v>11.7294339622642</c:v>
                </c:pt>
                <c:pt idx="121">
                  <c:v>11.428679245283</c:v>
                </c:pt>
                <c:pt idx="122">
                  <c:v>11.1279245283019</c:v>
                </c:pt>
                <c:pt idx="123">
                  <c:v>10.8271698113208</c:v>
                </c:pt>
                <c:pt idx="124">
                  <c:v>10.5264150943396</c:v>
                </c:pt>
                <c:pt idx="125">
                  <c:v>10.2256603773585</c:v>
                </c:pt>
                <c:pt idx="126">
                  <c:v>9.92490566037736</c:v>
                </c:pt>
                <c:pt idx="127">
                  <c:v>9.62415094339622</c:v>
                </c:pt>
                <c:pt idx="128">
                  <c:v>9.32339622641509</c:v>
                </c:pt>
                <c:pt idx="129">
                  <c:v>9.02264150943397</c:v>
                </c:pt>
                <c:pt idx="130">
                  <c:v>8.72188679245283</c:v>
                </c:pt>
                <c:pt idx="131">
                  <c:v>8.4211320754717</c:v>
                </c:pt>
                <c:pt idx="132">
                  <c:v>8.12037735849057</c:v>
                </c:pt>
                <c:pt idx="133">
                  <c:v>7.81962264150943</c:v>
                </c:pt>
                <c:pt idx="134">
                  <c:v>7.5188679245283</c:v>
                </c:pt>
                <c:pt idx="135">
                  <c:v>7.21811320754717</c:v>
                </c:pt>
                <c:pt idx="136">
                  <c:v>6.91735849056604</c:v>
                </c:pt>
                <c:pt idx="137">
                  <c:v>6.61660377358491</c:v>
                </c:pt>
                <c:pt idx="138">
                  <c:v>6.31584905660377</c:v>
                </c:pt>
                <c:pt idx="139">
                  <c:v>6.01509433962264</c:v>
                </c:pt>
                <c:pt idx="140">
                  <c:v>5.71433962264151</c:v>
                </c:pt>
                <c:pt idx="141">
                  <c:v>5.41358490566038</c:v>
                </c:pt>
                <c:pt idx="142">
                  <c:v>5.11283018867925</c:v>
                </c:pt>
                <c:pt idx="143">
                  <c:v>4.81207547169812</c:v>
                </c:pt>
                <c:pt idx="144">
                  <c:v>4.51132075471698</c:v>
                </c:pt>
                <c:pt idx="145">
                  <c:v>4.21056603773585</c:v>
                </c:pt>
                <c:pt idx="146">
                  <c:v>3.90981132075471</c:v>
                </c:pt>
                <c:pt idx="147">
                  <c:v>3.60905660377359</c:v>
                </c:pt>
                <c:pt idx="148">
                  <c:v>3.30830188679246</c:v>
                </c:pt>
                <c:pt idx="149">
                  <c:v>3.00754716981132</c:v>
                </c:pt>
                <c:pt idx="150">
                  <c:v>2.70679245283019</c:v>
                </c:pt>
                <c:pt idx="151">
                  <c:v>2.40603773584906</c:v>
                </c:pt>
                <c:pt idx="152">
                  <c:v>2.10528301886792</c:v>
                </c:pt>
                <c:pt idx="153">
                  <c:v>1.80452830188679</c:v>
                </c:pt>
                <c:pt idx="154">
                  <c:v>1.50377358490566</c:v>
                </c:pt>
                <c:pt idx="155">
                  <c:v>1.20301886792453</c:v>
                </c:pt>
                <c:pt idx="156">
                  <c:v>0.902264150943395</c:v>
                </c:pt>
                <c:pt idx="157">
                  <c:v>0.601509433962264</c:v>
                </c:pt>
                <c:pt idx="158">
                  <c:v>0.300754716981132</c:v>
                </c:pt>
                <c:pt idx="159">
                  <c:v>0</c:v>
                </c:pt>
              </c:numCache>
            </c:numRef>
          </c:val>
          <c:smooth val="0"/>
        </c:ser>
        <c:hiLowLines>
          <c:spPr>
            <a:ln w="0">
              <a:noFill/>
            </a:ln>
          </c:spPr>
        </c:hiLowLines>
        <c:marker val="0"/>
        <c:axId val="59839799"/>
        <c:axId val="37275696"/>
      </c:lineChart>
      <c:dateAx>
        <c:axId val="1238500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84804"/>
        <c:auto val="1"/>
        <c:lblOffset val="100"/>
        <c:baseTimeUnit val="days"/>
      </c:dateAx>
      <c:valAx>
        <c:axId val="408480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385006"/>
        <c:crosses val="autoZero"/>
        <c:crossBetween val="between"/>
      </c:valAx>
      <c:dateAx>
        <c:axId val="5983979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275696"/>
        <c:auto val="1"/>
        <c:lblOffset val="100"/>
        <c:baseTimeUnit val="days"/>
      </c:dateAx>
      <c:valAx>
        <c:axId val="3727569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983979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(Calc)'!$S$3:$S$500</c:f>
              <c:numCache>
                <c:formatCode>0.0%</c:formatCode>
                <c:ptCount val="498"/>
                <c:pt idx="0">
                  <c:v>-0.00837034506320467</c:v>
                </c:pt>
                <c:pt idx="1">
                  <c:v>-0.00275624461670965</c:v>
                </c:pt>
                <c:pt idx="2">
                  <c:v>0.0160649507686992</c:v>
                </c:pt>
                <c:pt idx="3">
                  <c:v>0.00595035702142122</c:v>
                </c:pt>
                <c:pt idx="4">
                  <c:v>0</c:v>
                </c:pt>
                <c:pt idx="5">
                  <c:v>-0.0288997802940679</c:v>
                </c:pt>
                <c:pt idx="6">
                  <c:v>-0.00313261399234255</c:v>
                </c:pt>
                <c:pt idx="7">
                  <c:v>0.011173184357542</c:v>
                </c:pt>
                <c:pt idx="8">
                  <c:v>0.00569751381215466</c:v>
                </c:pt>
                <c:pt idx="9">
                  <c:v>-0.0290128755364807</c:v>
                </c:pt>
                <c:pt idx="10">
                  <c:v>-0.0201555869872702</c:v>
                </c:pt>
                <c:pt idx="11">
                  <c:v>0.0582822085889569</c:v>
                </c:pt>
                <c:pt idx="12">
                  <c:v>0.0294970161977834</c:v>
                </c:pt>
                <c:pt idx="13">
                  <c:v>0.0216959258032461</c:v>
                </c:pt>
                <c:pt idx="14">
                  <c:v>0.00551142810828331</c:v>
                </c:pt>
                <c:pt idx="15">
                  <c:v>-0.00225697243269385</c:v>
                </c:pt>
                <c:pt idx="16">
                  <c:v>0.0037162708030376</c:v>
                </c:pt>
                <c:pt idx="17">
                  <c:v>0.0341274951706374</c:v>
                </c:pt>
                <c:pt idx="18">
                  <c:v>0.0124533001245333</c:v>
                </c:pt>
                <c:pt idx="19">
                  <c:v>0.00707257072570711</c:v>
                </c:pt>
                <c:pt idx="20">
                  <c:v>-0.0103816793893131</c:v>
                </c:pt>
                <c:pt idx="21">
                  <c:v>0.0311632212280162</c:v>
                </c:pt>
                <c:pt idx="22">
                  <c:v>0.0210951526032315</c:v>
                </c:pt>
                <c:pt idx="23">
                  <c:v>0.0161172161172161</c:v>
                </c:pt>
                <c:pt idx="24">
                  <c:v>0.0457101658255228</c:v>
                </c:pt>
                <c:pt idx="25">
                  <c:v>0.0238554881412025</c:v>
                </c:pt>
                <c:pt idx="26">
                  <c:v>0.00835016835016833</c:v>
                </c:pt>
                <c:pt idx="27">
                  <c:v>0.0224388940830773</c:v>
                </c:pt>
                <c:pt idx="28">
                  <c:v>0.0280862181580668</c:v>
                </c:pt>
                <c:pt idx="29">
                  <c:v>0.00381194409148655</c:v>
                </c:pt>
                <c:pt idx="30">
                  <c:v>-0.00518987341772148</c:v>
                </c:pt>
                <c:pt idx="31">
                  <c:v>0.028502353989057</c:v>
                </c:pt>
                <c:pt idx="32">
                  <c:v>-0.00754670295682292</c:v>
                </c:pt>
                <c:pt idx="33">
                  <c:v>0.00286711543256057</c:v>
                </c:pt>
                <c:pt idx="34">
                  <c:v>-0.0140459912989436</c:v>
                </c:pt>
                <c:pt idx="35">
                  <c:v>-0.0568582955118506</c:v>
                </c:pt>
                <c:pt idx="36">
                  <c:v>0.0300761930223232</c:v>
                </c:pt>
                <c:pt idx="37">
                  <c:v>0.00986244484817012</c:v>
                </c:pt>
                <c:pt idx="38">
                  <c:v>0.0222307890002571</c:v>
                </c:pt>
                <c:pt idx="39">
                  <c:v>0.0150848522941547</c:v>
                </c:pt>
                <c:pt idx="40">
                  <c:v>0.0194427244582043</c:v>
                </c:pt>
                <c:pt idx="41">
                  <c:v>-0.0109329446064139</c:v>
                </c:pt>
                <c:pt idx="42">
                  <c:v>0.0303365266519282</c:v>
                </c:pt>
                <c:pt idx="43">
                  <c:v>0.0421981165812375</c:v>
                </c:pt>
                <c:pt idx="44">
                  <c:v>-0.000800640512410022</c:v>
                </c:pt>
                <c:pt idx="45">
                  <c:v>0.00114468864468864</c:v>
                </c:pt>
                <c:pt idx="46">
                  <c:v>0.0309855934141323</c:v>
                </c:pt>
                <c:pt idx="47">
                  <c:v>-0.00199622934457144</c:v>
                </c:pt>
                <c:pt idx="48">
                  <c:v>-0.0404489387709746</c:v>
                </c:pt>
                <c:pt idx="49">
                  <c:v>-0.0188766647365373</c:v>
                </c:pt>
                <c:pt idx="50">
                  <c:v>-0.0297450424929178</c:v>
                </c:pt>
                <c:pt idx="51">
                  <c:v>0.0172749391727494</c:v>
                </c:pt>
                <c:pt idx="52">
                  <c:v>0.0570437694331498</c:v>
                </c:pt>
                <c:pt idx="53">
                  <c:v>0.0138024663423464</c:v>
                </c:pt>
                <c:pt idx="54">
                  <c:v>-0.00401740877134249</c:v>
                </c:pt>
                <c:pt idx="55">
                  <c:v>-0.059719887955182</c:v>
                </c:pt>
                <c:pt idx="56">
                  <c:v>0.061487130600572</c:v>
                </c:pt>
                <c:pt idx="57">
                  <c:v>0.0162775033677594</c:v>
                </c:pt>
                <c:pt idx="58">
                  <c:v>-0.00209875179498509</c:v>
                </c:pt>
                <c:pt idx="59">
                  <c:v>0.0149435466017267</c:v>
                </c:pt>
                <c:pt idx="60">
                  <c:v>0.021594503217363</c:v>
                </c:pt>
                <c:pt idx="61">
                  <c:v>0.00427031066510075</c:v>
                </c:pt>
                <c:pt idx="62">
                  <c:v>-0.0146699266503667</c:v>
                </c:pt>
                <c:pt idx="63">
                  <c:v>-0.0137015859315999</c:v>
                </c:pt>
                <c:pt idx="64">
                  <c:v>0.0598337344126012</c:v>
                </c:pt>
                <c:pt idx="65">
                  <c:v>-0.030859737847043</c:v>
                </c:pt>
                <c:pt idx="66">
                  <c:v>0.0178913738019169</c:v>
                </c:pt>
                <c:pt idx="67">
                  <c:v>0.0130780498012137</c:v>
                </c:pt>
                <c:pt idx="68">
                  <c:v>0.0193121966332748</c:v>
                </c:pt>
                <c:pt idx="69">
                  <c:v>-0.00942249240121584</c:v>
                </c:pt>
                <c:pt idx="70">
                  <c:v>-0.0223995090518564</c:v>
                </c:pt>
                <c:pt idx="71">
                  <c:v>0.0105670642393807</c:v>
                </c:pt>
                <c:pt idx="72">
                  <c:v>0.00310591158505025</c:v>
                </c:pt>
                <c:pt idx="73">
                  <c:v>-0.0135204871503768</c:v>
                </c:pt>
                <c:pt idx="74">
                  <c:v>0.0321196903117809</c:v>
                </c:pt>
                <c:pt idx="75">
                  <c:v>0.0271667511403952</c:v>
                </c:pt>
                <c:pt idx="76">
                  <c:v>-0.0127306819303266</c:v>
                </c:pt>
                <c:pt idx="77">
                  <c:v>0.0198920431827268</c:v>
                </c:pt>
                <c:pt idx="78">
                  <c:v>0.0100950700774283</c:v>
                </c:pt>
                <c:pt idx="79">
                  <c:v>-0.0305647195808267</c:v>
                </c:pt>
                <c:pt idx="80">
                  <c:v>-0.0011009908918026</c:v>
                </c:pt>
                <c:pt idx="81">
                  <c:v>-0.0527054108216432</c:v>
                </c:pt>
                <c:pt idx="82">
                  <c:v>-0.00719272265707649</c:v>
                </c:pt>
                <c:pt idx="83">
                  <c:v>0.00383549968037511</c:v>
                </c:pt>
                <c:pt idx="84">
                  <c:v>-0.0215453194650818</c:v>
                </c:pt>
                <c:pt idx="85">
                  <c:v>-0.107061503416857</c:v>
                </c:pt>
                <c:pt idx="86">
                  <c:v>0.0911078717201166</c:v>
                </c:pt>
                <c:pt idx="87">
                  <c:v>-0.0173680694722778</c:v>
                </c:pt>
                <c:pt idx="88">
                  <c:v>0.0652617267165192</c:v>
                </c:pt>
                <c:pt idx="89">
                  <c:v>0.0402042118698149</c:v>
                </c:pt>
                <c:pt idx="90">
                  <c:v>0.00695296523517386</c:v>
                </c:pt>
                <c:pt idx="91">
                  <c:v>0.0682372055239642</c:v>
                </c:pt>
                <c:pt idx="92">
                  <c:v>-0.0223384030418252</c:v>
                </c:pt>
                <c:pt idx="93">
                  <c:v>0.0243072435585805</c:v>
                </c:pt>
                <c:pt idx="94">
                  <c:v>0.0149027052681538</c:v>
                </c:pt>
                <c:pt idx="95">
                  <c:v>-0.00710811821922941</c:v>
                </c:pt>
                <c:pt idx="96">
                  <c:v>0.00706480783722685</c:v>
                </c:pt>
                <c:pt idx="97">
                  <c:v>0.0461135534561781</c:v>
                </c:pt>
                <c:pt idx="98">
                  <c:v>0.00599070100143062</c:v>
                </c:pt>
                <c:pt idx="99">
                  <c:v>-0.00302195360412416</c:v>
                </c:pt>
                <c:pt idx="100">
                  <c:v>0.014798965855398</c:v>
                </c:pt>
                <c:pt idx="101">
                  <c:v>0.0105420363700255</c:v>
                </c:pt>
                <c:pt idx="102">
                  <c:v>-0.0156480918021386</c:v>
                </c:pt>
                <c:pt idx="103">
                  <c:v>0.0349730636757042</c:v>
                </c:pt>
                <c:pt idx="104">
                  <c:v>0.00102397815513267</c:v>
                </c:pt>
                <c:pt idx="105">
                  <c:v>-0.00681953797630208</c:v>
                </c:pt>
                <c:pt idx="106">
                  <c:v>-0.000257488627585678</c:v>
                </c:pt>
                <c:pt idx="107">
                  <c:v>0.0048935439560438</c:v>
                </c:pt>
                <c:pt idx="108">
                  <c:v>0.0293037163605296</c:v>
                </c:pt>
                <c:pt idx="109">
                  <c:v>0.0120351925630811</c:v>
                </c:pt>
                <c:pt idx="110">
                  <c:v>-0.0110719265152137</c:v>
                </c:pt>
                <c:pt idx="111">
                  <c:v>-0.00406369215458613</c:v>
                </c:pt>
                <c:pt idx="112">
                  <c:v>-0.0132400699475393</c:v>
                </c:pt>
                <c:pt idx="113">
                  <c:v>0.0162025316455696</c:v>
                </c:pt>
                <c:pt idx="114">
                  <c:v>0.0107125062282012</c:v>
                </c:pt>
                <c:pt idx="115">
                  <c:v>-8.21625174594054E-005</c:v>
                </c:pt>
                <c:pt idx="116">
                  <c:v>-0.0260476581758422</c:v>
                </c:pt>
                <c:pt idx="117">
                  <c:v>-0.00590567788745466</c:v>
                </c:pt>
                <c:pt idx="118">
                  <c:v>-0.0299584146651957</c:v>
                </c:pt>
                <c:pt idx="119">
                  <c:v>0.0509186351706037</c:v>
                </c:pt>
                <c:pt idx="120">
                  <c:v>0.00607725607725596</c:v>
                </c:pt>
                <c:pt idx="121">
                  <c:v>-0.014480761274307</c:v>
                </c:pt>
                <c:pt idx="122">
                  <c:v>0.00361041141897567</c:v>
                </c:pt>
                <c:pt idx="123">
                  <c:v>0.0154772860369781</c:v>
                </c:pt>
                <c:pt idx="124">
                  <c:v>-0.014087988136431</c:v>
                </c:pt>
                <c:pt idx="125">
                  <c:v>0.00300827275006266</c:v>
                </c:pt>
                <c:pt idx="126">
                  <c:v>-0.000249937515621079</c:v>
                </c:pt>
                <c:pt idx="127">
                  <c:v>-0.0173333333333333</c:v>
                </c:pt>
                <c:pt idx="128">
                  <c:v>0.0165366350067844</c:v>
                </c:pt>
                <c:pt idx="129">
                  <c:v>-0.000250271127054336</c:v>
                </c:pt>
                <c:pt idx="130">
                  <c:v>-0.0132676902536716</c:v>
                </c:pt>
                <c:pt idx="131">
                  <c:v>0.01446088794926</c:v>
                </c:pt>
                <c:pt idx="132">
                  <c:v>-0.00408469489829944</c:v>
                </c:pt>
                <c:pt idx="133">
                  <c:v>-0.0102954716665272</c:v>
                </c:pt>
                <c:pt idx="134">
                  <c:v>-0.0174221921515561</c:v>
                </c:pt>
                <c:pt idx="135">
                  <c:v>-0.0206576002754347</c:v>
                </c:pt>
                <c:pt idx="136">
                  <c:v>-0.0304974512216558</c:v>
                </c:pt>
                <c:pt idx="137">
                  <c:v>0.0401595503580816</c:v>
                </c:pt>
                <c:pt idx="138">
                  <c:v>0.0749520655394806</c:v>
                </c:pt>
                <c:pt idx="139">
                  <c:v>0.0402140424841901</c:v>
                </c:pt>
                <c:pt idx="140">
                  <c:v>0.0250974279033516</c:v>
                </c:pt>
                <c:pt idx="141">
                  <c:v>0.0220498783454985</c:v>
                </c:pt>
                <c:pt idx="142">
                  <c:v>0.0698556762386551</c:v>
                </c:pt>
                <c:pt idx="143">
                  <c:v>-0.00229469438842922</c:v>
                </c:pt>
                <c:pt idx="144">
                  <c:v>0.0101756342347366</c:v>
                </c:pt>
                <c:pt idx="145">
                  <c:v>0.0389816475783082</c:v>
                </c:pt>
                <c:pt idx="146">
                  <c:v>-0.0419018527126636</c:v>
                </c:pt>
                <c:pt idx="147">
                  <c:v>0.0568339340171886</c:v>
                </c:pt>
                <c:pt idx="148">
                  <c:v>0.0486621196222457</c:v>
                </c:pt>
                <c:pt idx="149">
                  <c:v>-0.0356472795497187</c:v>
                </c:pt>
                <c:pt idx="150">
                  <c:v>-0.0218547341115433</c:v>
                </c:pt>
                <c:pt idx="151">
                  <c:v>0.0193595438573226</c:v>
                </c:pt>
                <c:pt idx="152">
                  <c:v>-0.0641300813008131</c:v>
                </c:pt>
                <c:pt idx="153">
                  <c:v>0.0182083536034472</c:v>
                </c:pt>
                <c:pt idx="154">
                  <c:v>-0.0182922667394716</c:v>
                </c:pt>
                <c:pt idx="155">
                  <c:v>0.0407425432802613</c:v>
                </c:pt>
                <c:pt idx="156">
                  <c:v>0.0241833121785022</c:v>
                </c:pt>
                <c:pt idx="157">
                  <c:v>-0.0298741112778033</c:v>
                </c:pt>
                <c:pt idx="158">
                  <c:v>-0.0131110065218852</c:v>
                </c:pt>
                <c:pt idx="159">
                  <c:v>0.0200299768360812</c:v>
                </c:pt>
              </c:numCache>
            </c:numRef>
          </c:val>
        </c:ser>
        <c:gapWidth val="150"/>
        <c:overlap val="0"/>
        <c:axId val="77764908"/>
        <c:axId val="78782955"/>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(Calc)'!$AM$3:$AM$500</c:f>
              <c:numCache>
                <c:formatCode>#,##0.00</c:formatCode>
                <c:ptCount val="498"/>
                <c:pt idx="0">
                  <c:v>58.54</c:v>
                </c:pt>
                <c:pt idx="1">
                  <c:v>58.1718238993711</c:v>
                </c:pt>
                <c:pt idx="2">
                  <c:v>57.8036477987421</c:v>
                </c:pt>
                <c:pt idx="3">
                  <c:v>57.4354716981132</c:v>
                </c:pt>
                <c:pt idx="4">
                  <c:v>57.0672955974843</c:v>
                </c:pt>
                <c:pt idx="5">
                  <c:v>56.6991194968553</c:v>
                </c:pt>
                <c:pt idx="6">
                  <c:v>56.3309433962264</c:v>
                </c:pt>
                <c:pt idx="7">
                  <c:v>55.9627672955975</c:v>
                </c:pt>
                <c:pt idx="8">
                  <c:v>55.5945911949686</c:v>
                </c:pt>
                <c:pt idx="9">
                  <c:v>55.2264150943396</c:v>
                </c:pt>
                <c:pt idx="10">
                  <c:v>54.8582389937107</c:v>
                </c:pt>
                <c:pt idx="11">
                  <c:v>54.4900628930818</c:v>
                </c:pt>
                <c:pt idx="12">
                  <c:v>54.1218867924528</c:v>
                </c:pt>
                <c:pt idx="13">
                  <c:v>53.7537106918239</c:v>
                </c:pt>
                <c:pt idx="14">
                  <c:v>53.385534591195</c:v>
                </c:pt>
                <c:pt idx="15">
                  <c:v>53.017358490566</c:v>
                </c:pt>
                <c:pt idx="16">
                  <c:v>52.6491823899371</c:v>
                </c:pt>
                <c:pt idx="17">
                  <c:v>52.2810062893082</c:v>
                </c:pt>
                <c:pt idx="18">
                  <c:v>51.9128301886792</c:v>
                </c:pt>
                <c:pt idx="19">
                  <c:v>51.5446540880503</c:v>
                </c:pt>
                <c:pt idx="20">
                  <c:v>51.1764779874214</c:v>
                </c:pt>
                <c:pt idx="21">
                  <c:v>50.8083018867925</c:v>
                </c:pt>
                <c:pt idx="22">
                  <c:v>50.4401257861635</c:v>
                </c:pt>
                <c:pt idx="23">
                  <c:v>50.0719496855346</c:v>
                </c:pt>
                <c:pt idx="24">
                  <c:v>49.7037735849057</c:v>
                </c:pt>
                <c:pt idx="25">
                  <c:v>49.3355974842767</c:v>
                </c:pt>
                <c:pt idx="26">
                  <c:v>48.9674213836478</c:v>
                </c:pt>
                <c:pt idx="27">
                  <c:v>48.5992452830189</c:v>
                </c:pt>
                <c:pt idx="28">
                  <c:v>48.2310691823899</c:v>
                </c:pt>
                <c:pt idx="29">
                  <c:v>47.862893081761</c:v>
                </c:pt>
                <c:pt idx="30">
                  <c:v>47.4947169811321</c:v>
                </c:pt>
                <c:pt idx="31">
                  <c:v>47.1265408805031</c:v>
                </c:pt>
                <c:pt idx="32">
                  <c:v>46.7583647798742</c:v>
                </c:pt>
                <c:pt idx="33">
                  <c:v>46.3901886792453</c:v>
                </c:pt>
                <c:pt idx="34">
                  <c:v>46.0220125786164</c:v>
                </c:pt>
                <c:pt idx="35">
                  <c:v>45.6538364779874</c:v>
                </c:pt>
                <c:pt idx="36">
                  <c:v>45.2856603773585</c:v>
                </c:pt>
                <c:pt idx="37">
                  <c:v>44.9174842767296</c:v>
                </c:pt>
                <c:pt idx="38">
                  <c:v>44.5493081761006</c:v>
                </c:pt>
                <c:pt idx="39">
                  <c:v>44.1811320754717</c:v>
                </c:pt>
                <c:pt idx="40">
                  <c:v>43.8129559748428</c:v>
                </c:pt>
                <c:pt idx="41">
                  <c:v>43.4447798742138</c:v>
                </c:pt>
                <c:pt idx="42">
                  <c:v>43.0766037735849</c:v>
                </c:pt>
                <c:pt idx="43">
                  <c:v>42.708427672956</c:v>
                </c:pt>
                <c:pt idx="44">
                  <c:v>42.3402515723271</c:v>
                </c:pt>
                <c:pt idx="45">
                  <c:v>41.9720754716981</c:v>
                </c:pt>
                <c:pt idx="46">
                  <c:v>41.6038993710692</c:v>
                </c:pt>
                <c:pt idx="47">
                  <c:v>41.2357232704402</c:v>
                </c:pt>
                <c:pt idx="48">
                  <c:v>40.8675471698113</c:v>
                </c:pt>
                <c:pt idx="49">
                  <c:v>40.4993710691824</c:v>
                </c:pt>
                <c:pt idx="50">
                  <c:v>40.1311949685535</c:v>
                </c:pt>
                <c:pt idx="51">
                  <c:v>39.7630188679245</c:v>
                </c:pt>
                <c:pt idx="52">
                  <c:v>39.3948427672956</c:v>
                </c:pt>
                <c:pt idx="53">
                  <c:v>39.0266666666667</c:v>
                </c:pt>
                <c:pt idx="54">
                  <c:v>38.6584905660377</c:v>
                </c:pt>
                <c:pt idx="55">
                  <c:v>38.2903144654088</c:v>
                </c:pt>
                <c:pt idx="56">
                  <c:v>37.9221383647799</c:v>
                </c:pt>
                <c:pt idx="57">
                  <c:v>37.5539622641509</c:v>
                </c:pt>
                <c:pt idx="58">
                  <c:v>37.185786163522</c:v>
                </c:pt>
                <c:pt idx="59">
                  <c:v>36.8176100628931</c:v>
                </c:pt>
                <c:pt idx="60">
                  <c:v>36.4494339622642</c:v>
                </c:pt>
                <c:pt idx="61">
                  <c:v>36.0812578616352</c:v>
                </c:pt>
                <c:pt idx="62">
                  <c:v>35.7130817610063</c:v>
                </c:pt>
                <c:pt idx="63">
                  <c:v>35.3449056603774</c:v>
                </c:pt>
                <c:pt idx="64">
                  <c:v>34.9767295597484</c:v>
                </c:pt>
                <c:pt idx="65">
                  <c:v>34.6085534591195</c:v>
                </c:pt>
                <c:pt idx="66">
                  <c:v>34.2403773584906</c:v>
                </c:pt>
                <c:pt idx="67">
                  <c:v>33.8722012578616</c:v>
                </c:pt>
                <c:pt idx="68">
                  <c:v>33.5040251572327</c:v>
                </c:pt>
                <c:pt idx="69">
                  <c:v>33.1358490566038</c:v>
                </c:pt>
                <c:pt idx="70">
                  <c:v>32.7676729559748</c:v>
                </c:pt>
                <c:pt idx="71">
                  <c:v>32.3994968553459</c:v>
                </c:pt>
                <c:pt idx="72">
                  <c:v>32.031320754717</c:v>
                </c:pt>
                <c:pt idx="73">
                  <c:v>31.6631446540881</c:v>
                </c:pt>
                <c:pt idx="74">
                  <c:v>31.2949685534591</c:v>
                </c:pt>
                <c:pt idx="75">
                  <c:v>30.9267924528302</c:v>
                </c:pt>
                <c:pt idx="76">
                  <c:v>30.5586163522013</c:v>
                </c:pt>
                <c:pt idx="77">
                  <c:v>30.1904402515723</c:v>
                </c:pt>
                <c:pt idx="78">
                  <c:v>29.8222641509434</c:v>
                </c:pt>
                <c:pt idx="79">
                  <c:v>29.4540880503145</c:v>
                </c:pt>
                <c:pt idx="80">
                  <c:v>29.0859119496855</c:v>
                </c:pt>
                <c:pt idx="81">
                  <c:v>28.7177358490566</c:v>
                </c:pt>
                <c:pt idx="82">
                  <c:v>28.3495597484277</c:v>
                </c:pt>
                <c:pt idx="83">
                  <c:v>27.9813836477987</c:v>
                </c:pt>
                <c:pt idx="84">
                  <c:v>27.6132075471698</c:v>
                </c:pt>
                <c:pt idx="85">
                  <c:v>27.2450314465409</c:v>
                </c:pt>
                <c:pt idx="86">
                  <c:v>26.876855345912</c:v>
                </c:pt>
                <c:pt idx="87">
                  <c:v>26.508679245283</c:v>
                </c:pt>
                <c:pt idx="88">
                  <c:v>26.1405031446541</c:v>
                </c:pt>
                <c:pt idx="89">
                  <c:v>25.7723270440252</c:v>
                </c:pt>
                <c:pt idx="90">
                  <c:v>25.4041509433962</c:v>
                </c:pt>
                <c:pt idx="91">
                  <c:v>25.0359748427673</c:v>
                </c:pt>
                <c:pt idx="92">
                  <c:v>24.6677987421384</c:v>
                </c:pt>
                <c:pt idx="93">
                  <c:v>24.2996226415094</c:v>
                </c:pt>
                <c:pt idx="94">
                  <c:v>23.9314465408805</c:v>
                </c:pt>
                <c:pt idx="95">
                  <c:v>23.5632704402516</c:v>
                </c:pt>
                <c:pt idx="96">
                  <c:v>23.1950943396226</c:v>
                </c:pt>
                <c:pt idx="97">
                  <c:v>22.8269182389937</c:v>
                </c:pt>
                <c:pt idx="98">
                  <c:v>22.4587421383648</c:v>
                </c:pt>
                <c:pt idx="99">
                  <c:v>22.0905660377358</c:v>
                </c:pt>
                <c:pt idx="100">
                  <c:v>21.7223899371069</c:v>
                </c:pt>
                <c:pt idx="101">
                  <c:v>21.354213836478</c:v>
                </c:pt>
                <c:pt idx="102">
                  <c:v>20.9860377358491</c:v>
                </c:pt>
                <c:pt idx="103">
                  <c:v>20.6178616352201</c:v>
                </c:pt>
                <c:pt idx="104">
                  <c:v>20.2496855345912</c:v>
                </c:pt>
                <c:pt idx="105">
                  <c:v>19.8815094339623</c:v>
                </c:pt>
                <c:pt idx="106">
                  <c:v>19.5133333333333</c:v>
                </c:pt>
                <c:pt idx="107">
                  <c:v>19.1451572327044</c:v>
                </c:pt>
                <c:pt idx="108">
                  <c:v>18.7769811320755</c:v>
                </c:pt>
                <c:pt idx="109">
                  <c:v>18.4088050314465</c:v>
                </c:pt>
                <c:pt idx="110">
                  <c:v>18.0406289308176</c:v>
                </c:pt>
                <c:pt idx="111">
                  <c:v>17.6724528301887</c:v>
                </c:pt>
                <c:pt idx="112">
                  <c:v>17.3042767295598</c:v>
                </c:pt>
                <c:pt idx="113">
                  <c:v>16.9361006289308</c:v>
                </c:pt>
                <c:pt idx="114">
                  <c:v>16.5679245283019</c:v>
                </c:pt>
                <c:pt idx="115">
                  <c:v>16.199748427673</c:v>
                </c:pt>
                <c:pt idx="116">
                  <c:v>15.831572327044</c:v>
                </c:pt>
                <c:pt idx="117">
                  <c:v>15.4633962264151</c:v>
                </c:pt>
                <c:pt idx="118">
                  <c:v>15.0952201257862</c:v>
                </c:pt>
                <c:pt idx="119">
                  <c:v>14.7270440251572</c:v>
                </c:pt>
                <c:pt idx="120">
                  <c:v>14.3588679245283</c:v>
                </c:pt>
                <c:pt idx="121">
                  <c:v>13.9906918238994</c:v>
                </c:pt>
                <c:pt idx="122">
                  <c:v>13.6225157232704</c:v>
                </c:pt>
                <c:pt idx="123">
                  <c:v>13.2543396226415</c:v>
                </c:pt>
                <c:pt idx="124">
                  <c:v>12.8861635220126</c:v>
                </c:pt>
                <c:pt idx="125">
                  <c:v>12.5179874213836</c:v>
                </c:pt>
                <c:pt idx="126">
                  <c:v>12.1498113207547</c:v>
                </c:pt>
                <c:pt idx="127">
                  <c:v>11.7816352201258</c:v>
                </c:pt>
                <c:pt idx="128">
                  <c:v>11.4134591194969</c:v>
                </c:pt>
                <c:pt idx="129">
                  <c:v>11.0452830188679</c:v>
                </c:pt>
                <c:pt idx="130">
                  <c:v>10.677106918239</c:v>
                </c:pt>
                <c:pt idx="131">
                  <c:v>10.3089308176101</c:v>
                </c:pt>
                <c:pt idx="132">
                  <c:v>9.94075471698113</c:v>
                </c:pt>
                <c:pt idx="133">
                  <c:v>9.5725786163522</c:v>
                </c:pt>
                <c:pt idx="134">
                  <c:v>9.20440251572327</c:v>
                </c:pt>
                <c:pt idx="135">
                  <c:v>8.83622641509435</c:v>
                </c:pt>
                <c:pt idx="136">
                  <c:v>8.46805031446541</c:v>
                </c:pt>
                <c:pt idx="137">
                  <c:v>8.09987421383648</c:v>
                </c:pt>
                <c:pt idx="138">
                  <c:v>7.73169811320755</c:v>
                </c:pt>
                <c:pt idx="139">
                  <c:v>7.36352201257862</c:v>
                </c:pt>
                <c:pt idx="140">
                  <c:v>6.99534591194968</c:v>
                </c:pt>
                <c:pt idx="141">
                  <c:v>6.62716981132076</c:v>
                </c:pt>
                <c:pt idx="142">
                  <c:v>6.25899371069182</c:v>
                </c:pt>
                <c:pt idx="143">
                  <c:v>5.8908176100629</c:v>
                </c:pt>
                <c:pt idx="144">
                  <c:v>5.52264150943396</c:v>
                </c:pt>
                <c:pt idx="145">
                  <c:v>5.15446540880504</c:v>
                </c:pt>
                <c:pt idx="146">
                  <c:v>4.7862893081761</c:v>
                </c:pt>
                <c:pt idx="147">
                  <c:v>4.41811320754717</c:v>
                </c:pt>
                <c:pt idx="148">
                  <c:v>4.04993710691824</c:v>
                </c:pt>
                <c:pt idx="149">
                  <c:v>3.68176100628931</c:v>
                </c:pt>
                <c:pt idx="150">
                  <c:v>3.31358490566038</c:v>
                </c:pt>
                <c:pt idx="151">
                  <c:v>2.94540880503145</c:v>
                </c:pt>
                <c:pt idx="152">
                  <c:v>2.57723270440251</c:v>
                </c:pt>
                <c:pt idx="153">
                  <c:v>2.20905660377359</c:v>
                </c:pt>
                <c:pt idx="154">
                  <c:v>1.84088050314465</c:v>
                </c:pt>
                <c:pt idx="155">
                  <c:v>1.47270440251572</c:v>
                </c:pt>
                <c:pt idx="156">
                  <c:v>1.10452830188679</c:v>
                </c:pt>
                <c:pt idx="157">
                  <c:v>0.736352201257859</c:v>
                </c:pt>
                <c:pt idx="158">
                  <c:v>0.368176100628929</c:v>
                </c:pt>
                <c:pt idx="159">
                  <c:v>0</c:v>
                </c:pt>
              </c:numCache>
            </c:numRef>
          </c:val>
          <c:smooth val="0"/>
        </c:ser>
        <c:hiLowLines>
          <c:spPr>
            <a:ln w="0">
              <a:noFill/>
            </a:ln>
          </c:spPr>
        </c:hiLowLines>
        <c:marker val="0"/>
        <c:axId val="87085272"/>
        <c:axId val="33041614"/>
      </c:lineChart>
      <c:dateAx>
        <c:axId val="7776490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8782955"/>
        <c:auto val="1"/>
        <c:lblOffset val="100"/>
        <c:baseTimeUnit val="days"/>
      </c:dateAx>
      <c:valAx>
        <c:axId val="7878295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764908"/>
        <c:crosses val="autoZero"/>
        <c:crossBetween val="between"/>
      </c:valAx>
      <c:dateAx>
        <c:axId val="8708527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041614"/>
        <c:auto val="1"/>
        <c:lblOffset val="100"/>
        <c:baseTimeUnit val="days"/>
      </c:dateAx>
      <c:valAx>
        <c:axId val="3304161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08527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(Calc)'!$T$3:$T$500</c:f>
              <c:numCache>
                <c:formatCode>0.0%</c:formatCode>
                <c:ptCount val="498"/>
                <c:pt idx="0">
                  <c:v>-0.0267558528428093</c:v>
                </c:pt>
                <c:pt idx="1">
                  <c:v>-0.00801832760595655</c:v>
                </c:pt>
                <c:pt idx="2">
                  <c:v>0.0261739799846035</c:v>
                </c:pt>
                <c:pt idx="3">
                  <c:v>-0.00712678169542391</c:v>
                </c:pt>
                <c:pt idx="4">
                  <c:v>-0.0064223649414431</c:v>
                </c:pt>
                <c:pt idx="5">
                  <c:v>-0.0148288973384031</c:v>
                </c:pt>
                <c:pt idx="6">
                  <c:v>0.00270165959089153</c:v>
                </c:pt>
                <c:pt idx="7">
                  <c:v>-0.0184757505773672</c:v>
                </c:pt>
                <c:pt idx="8">
                  <c:v>0.0129411764705882</c:v>
                </c:pt>
                <c:pt idx="9">
                  <c:v>-0.0127758420441346</c:v>
                </c:pt>
                <c:pt idx="10">
                  <c:v>-0.0329411764705883</c:v>
                </c:pt>
                <c:pt idx="11">
                  <c:v>0.0587996755879967</c:v>
                </c:pt>
                <c:pt idx="12">
                  <c:v>-0.00689391037916509</c:v>
                </c:pt>
                <c:pt idx="13">
                  <c:v>0.0254531430775165</c:v>
                </c:pt>
                <c:pt idx="14">
                  <c:v>0.00714554343738261</c:v>
                </c:pt>
                <c:pt idx="15">
                  <c:v>0.0134428678117999</c:v>
                </c:pt>
                <c:pt idx="16">
                  <c:v>0.00884303610906412</c:v>
                </c:pt>
                <c:pt idx="17">
                  <c:v>0.0277574872169468</c:v>
                </c:pt>
                <c:pt idx="18">
                  <c:v>0.00959488272921116</c:v>
                </c:pt>
                <c:pt idx="19">
                  <c:v>-0.0024639211545231</c:v>
                </c:pt>
                <c:pt idx="20">
                  <c:v>0.00105857445307</c:v>
                </c:pt>
                <c:pt idx="21">
                  <c:v>-0.00281988015509349</c:v>
                </c:pt>
                <c:pt idx="22">
                  <c:v>-0.00954400848356307</c:v>
                </c:pt>
                <c:pt idx="23">
                  <c:v>0.00820842255531762</c:v>
                </c:pt>
                <c:pt idx="24">
                  <c:v>0.00955752212389371</c:v>
                </c:pt>
                <c:pt idx="25">
                  <c:v>0.0038569424964936</c:v>
                </c:pt>
                <c:pt idx="26">
                  <c:v>0.00838281522878104</c:v>
                </c:pt>
                <c:pt idx="27">
                  <c:v>0.0218219605126428</c:v>
                </c:pt>
                <c:pt idx="28">
                  <c:v>0.0220338983050847</c:v>
                </c:pt>
                <c:pt idx="29">
                  <c:v>0.0195688225538972</c:v>
                </c:pt>
                <c:pt idx="30">
                  <c:v>0.0136629798308394</c:v>
                </c:pt>
                <c:pt idx="31">
                  <c:v>0.0240693196405648</c:v>
                </c:pt>
                <c:pt idx="32">
                  <c:v>0.0156690692572861</c:v>
                </c:pt>
                <c:pt idx="33">
                  <c:v>-0.00246837395865474</c:v>
                </c:pt>
                <c:pt idx="34">
                  <c:v>-0.0259820600061862</c:v>
                </c:pt>
                <c:pt idx="35">
                  <c:v>-0.017783423308987</c:v>
                </c:pt>
                <c:pt idx="36">
                  <c:v>0.0126091173617846</c:v>
                </c:pt>
                <c:pt idx="37">
                  <c:v>-0.0156449553001278</c:v>
                </c:pt>
                <c:pt idx="38">
                  <c:v>0.0220564385338957</c:v>
                </c:pt>
                <c:pt idx="39">
                  <c:v>0.00920342748333858</c:v>
                </c:pt>
                <c:pt idx="40">
                  <c:v>-0.0169811320754717</c:v>
                </c:pt>
                <c:pt idx="41">
                  <c:v>0.0115163147792705</c:v>
                </c:pt>
                <c:pt idx="42">
                  <c:v>-0.0211891208096142</c:v>
                </c:pt>
                <c:pt idx="43">
                  <c:v>-0.00420032310177698</c:v>
                </c:pt>
                <c:pt idx="44">
                  <c:v>0.00973393900064901</c:v>
                </c:pt>
                <c:pt idx="45">
                  <c:v>-0.00642673521850901</c:v>
                </c:pt>
                <c:pt idx="46">
                  <c:v>-0.0200517464424321</c:v>
                </c:pt>
                <c:pt idx="47">
                  <c:v>0.0382838283828384</c:v>
                </c:pt>
                <c:pt idx="48">
                  <c:v>0.0152574698029244</c:v>
                </c:pt>
                <c:pt idx="49">
                  <c:v>0.0178459611772073</c:v>
                </c:pt>
                <c:pt idx="50">
                  <c:v>-0.0286065825899723</c:v>
                </c:pt>
                <c:pt idx="51">
                  <c:v>-0.00158328055731471</c:v>
                </c:pt>
                <c:pt idx="52">
                  <c:v>0.0161750713606088</c:v>
                </c:pt>
                <c:pt idx="53">
                  <c:v>0.0327715355805245</c:v>
                </c:pt>
                <c:pt idx="54">
                  <c:v>0.00332426715019651</c:v>
                </c:pt>
                <c:pt idx="55">
                  <c:v>-0.041265060240964</c:v>
                </c:pt>
                <c:pt idx="56">
                  <c:v>0.0235626767200754</c:v>
                </c:pt>
                <c:pt idx="57">
                  <c:v>0.0171884591774096</c:v>
                </c:pt>
                <c:pt idx="58">
                  <c:v>0.00211225105612556</c:v>
                </c:pt>
                <c:pt idx="59">
                  <c:v>0.0186690755796446</c:v>
                </c:pt>
                <c:pt idx="60">
                  <c:v>0.00354714750221707</c:v>
                </c:pt>
                <c:pt idx="61">
                  <c:v>-0.00471281296023574</c:v>
                </c:pt>
                <c:pt idx="62">
                  <c:v>-0.0192364604912696</c:v>
                </c:pt>
                <c:pt idx="63">
                  <c:v>0.000603500301749937</c:v>
                </c:pt>
                <c:pt idx="64">
                  <c:v>0.0775030156815439</c:v>
                </c:pt>
                <c:pt idx="65">
                  <c:v>-0.0153932269801287</c:v>
                </c:pt>
                <c:pt idx="66">
                  <c:v>0.0386583285957931</c:v>
                </c:pt>
                <c:pt idx="67">
                  <c:v>0.00191570881226055</c:v>
                </c:pt>
                <c:pt idx="68">
                  <c:v>-0.00081944823818636</c:v>
                </c:pt>
                <c:pt idx="69">
                  <c:v>-0.0440131219245489</c:v>
                </c:pt>
                <c:pt idx="70">
                  <c:v>-0.0305976551329711</c:v>
                </c:pt>
                <c:pt idx="71">
                  <c:v>0.00914454277286136</c:v>
                </c:pt>
                <c:pt idx="72">
                  <c:v>0.00760011692487561</c:v>
                </c:pt>
                <c:pt idx="73">
                  <c:v>-0.000290107339715684</c:v>
                </c:pt>
                <c:pt idx="74">
                  <c:v>0.038595473012188</c:v>
                </c:pt>
                <c:pt idx="75">
                  <c:v>0.00251466890192797</c:v>
                </c:pt>
                <c:pt idx="76">
                  <c:v>-0.0103121516164996</c:v>
                </c:pt>
                <c:pt idx="77">
                  <c:v>-0.00872993522951271</c:v>
                </c:pt>
                <c:pt idx="78">
                  <c:v>0.0116477272727271</c:v>
                </c:pt>
                <c:pt idx="79">
                  <c:v>-0.00336983993260309</c:v>
                </c:pt>
                <c:pt idx="80">
                  <c:v>-0.00479008171315865</c:v>
                </c:pt>
                <c:pt idx="81">
                  <c:v>-0.0144394110985276</c:v>
                </c:pt>
                <c:pt idx="82">
                  <c:v>-0.020683711577133</c:v>
                </c:pt>
                <c:pt idx="83">
                  <c:v>0.0170137870343208</c:v>
                </c:pt>
                <c:pt idx="84">
                  <c:v>-0.0164407268531872</c:v>
                </c:pt>
                <c:pt idx="85">
                  <c:v>-0.092375366568915</c:v>
                </c:pt>
                <c:pt idx="86">
                  <c:v>0.0197092084006463</c:v>
                </c:pt>
                <c:pt idx="87">
                  <c:v>0.00697084917617241</c:v>
                </c:pt>
                <c:pt idx="88">
                  <c:v>0.0330396475770924</c:v>
                </c:pt>
                <c:pt idx="89">
                  <c:v>0.0191897654584223</c:v>
                </c:pt>
                <c:pt idx="90">
                  <c:v>-0.00179318589360433</c:v>
                </c:pt>
                <c:pt idx="91">
                  <c:v>0.0431137724550901</c:v>
                </c:pt>
                <c:pt idx="92">
                  <c:v>-0.0347301951779564</c:v>
                </c:pt>
                <c:pt idx="93">
                  <c:v>0.007731192387749</c:v>
                </c:pt>
                <c:pt idx="94">
                  <c:v>0.023605783416937</c:v>
                </c:pt>
                <c:pt idx="95">
                  <c:v>0.0109541654655521</c:v>
                </c:pt>
                <c:pt idx="96">
                  <c:v>-0.00114057599087536</c:v>
                </c:pt>
                <c:pt idx="97">
                  <c:v>0.00856408792463603</c:v>
                </c:pt>
                <c:pt idx="98">
                  <c:v>0.0124540050948203</c:v>
                </c:pt>
                <c:pt idx="99">
                  <c:v>0.00195694716242656</c:v>
                </c:pt>
                <c:pt idx="100">
                  <c:v>-0.0212053571428573</c:v>
                </c:pt>
                <c:pt idx="101">
                  <c:v>0.0219498289623719</c:v>
                </c:pt>
                <c:pt idx="102">
                  <c:v>-0.0418410041841004</c:v>
                </c:pt>
                <c:pt idx="103">
                  <c:v>0.00989810771470157</c:v>
                </c:pt>
                <c:pt idx="104">
                  <c:v>0.0394926491784378</c:v>
                </c:pt>
                <c:pt idx="105">
                  <c:v>0.0257903494176373</c:v>
                </c:pt>
                <c:pt idx="106">
                  <c:v>0.00919167342524996</c:v>
                </c:pt>
                <c:pt idx="107">
                  <c:v>0.00750066970265206</c:v>
                </c:pt>
                <c:pt idx="108">
                  <c:v>-0.00292475405477266</c:v>
                </c:pt>
                <c:pt idx="109">
                  <c:v>-0.0013333333333333</c:v>
                </c:pt>
                <c:pt idx="110">
                  <c:v>0.0077436582109478</c:v>
                </c:pt>
                <c:pt idx="111">
                  <c:v>0.00344462109167987</c:v>
                </c:pt>
                <c:pt idx="112">
                  <c:v>-0.0340639028254555</c:v>
                </c:pt>
                <c:pt idx="113">
                  <c:v>0.0139420448332424</c:v>
                </c:pt>
                <c:pt idx="114">
                  <c:v>0.0261526017794553</c:v>
                </c:pt>
                <c:pt idx="115">
                  <c:v>-0.0063058328954283</c:v>
                </c:pt>
                <c:pt idx="116">
                  <c:v>0.00158646218931779</c:v>
                </c:pt>
                <c:pt idx="117">
                  <c:v>0.0110876451953537</c:v>
                </c:pt>
                <c:pt idx="118">
                  <c:v>-0.0201044386422975</c:v>
                </c:pt>
                <c:pt idx="119">
                  <c:v>0.0343725019984014</c:v>
                </c:pt>
                <c:pt idx="120">
                  <c:v>0.0154559505409584</c:v>
                </c:pt>
                <c:pt idx="121">
                  <c:v>0.00710299340436338</c:v>
                </c:pt>
                <c:pt idx="122">
                  <c:v>-0.00428211586901772</c:v>
                </c:pt>
                <c:pt idx="123">
                  <c:v>0.00657728307614458</c:v>
                </c:pt>
                <c:pt idx="124">
                  <c:v>-0.0092988187986931</c:v>
                </c:pt>
                <c:pt idx="125">
                  <c:v>0.0256215119228818</c:v>
                </c:pt>
                <c:pt idx="126">
                  <c:v>-0.0202819688350235</c:v>
                </c:pt>
                <c:pt idx="127">
                  <c:v>0.0063115374905327</c:v>
                </c:pt>
                <c:pt idx="128">
                  <c:v>-0.00978424485699947</c:v>
                </c:pt>
                <c:pt idx="129">
                  <c:v>0.0243222700785406</c:v>
                </c:pt>
                <c:pt idx="130">
                  <c:v>-0.00420479841701715</c:v>
                </c:pt>
                <c:pt idx="131">
                  <c:v>0.00198708395429725</c:v>
                </c:pt>
                <c:pt idx="132">
                  <c:v>0.00347050074367861</c:v>
                </c:pt>
                <c:pt idx="133">
                  <c:v>-0.00914031620553357</c:v>
                </c:pt>
                <c:pt idx="134">
                  <c:v>-0.0226876090750435</c:v>
                </c:pt>
                <c:pt idx="135">
                  <c:v>0.00102040816326521</c:v>
                </c:pt>
                <c:pt idx="136">
                  <c:v>-0.012487257900102</c:v>
                </c:pt>
                <c:pt idx="137">
                  <c:v>0.0281290322580645</c:v>
                </c:pt>
                <c:pt idx="138">
                  <c:v>-0.0050200803212852</c:v>
                </c:pt>
                <c:pt idx="139">
                  <c:v>0.0534813319878908</c:v>
                </c:pt>
                <c:pt idx="140">
                  <c:v>-0.00574712643678144</c:v>
                </c:pt>
                <c:pt idx="141">
                  <c:v>0.0257707129094413</c:v>
                </c:pt>
                <c:pt idx="142">
                  <c:v>0.0241840807701337</c:v>
                </c:pt>
                <c:pt idx="143">
                  <c:v>-0.0256762952773957</c:v>
                </c:pt>
                <c:pt idx="144">
                  <c:v>0.0395294117647058</c:v>
                </c:pt>
                <c:pt idx="145">
                  <c:v>0.0540968764146672</c:v>
                </c:pt>
                <c:pt idx="146">
                  <c:v>-0.0111659866867082</c:v>
                </c:pt>
                <c:pt idx="147">
                  <c:v>0.00521172638436496</c:v>
                </c:pt>
                <c:pt idx="148">
                  <c:v>-0.0224670555195506</c:v>
                </c:pt>
                <c:pt idx="149">
                  <c:v>0.0207734806629833</c:v>
                </c:pt>
                <c:pt idx="150">
                  <c:v>0.0175362632604461</c:v>
                </c:pt>
                <c:pt idx="151">
                  <c:v>0.00829787234042545</c:v>
                </c:pt>
                <c:pt idx="152">
                  <c:v>0.0086516142646127</c:v>
                </c:pt>
                <c:pt idx="153">
                  <c:v>0.00711297071129713</c:v>
                </c:pt>
                <c:pt idx="154">
                  <c:v>0.0332363938512672</c:v>
                </c:pt>
                <c:pt idx="155">
                  <c:v>0.0345798150381986</c:v>
                </c:pt>
                <c:pt idx="156">
                  <c:v>0.0437232802176448</c:v>
                </c:pt>
                <c:pt idx="157">
                  <c:v>0.0323962018246138</c:v>
                </c:pt>
                <c:pt idx="158">
                  <c:v>0.00378719567177632</c:v>
                </c:pt>
                <c:pt idx="159">
                  <c:v>-0.00664750269493353</c:v>
                </c:pt>
              </c:numCache>
            </c:numRef>
          </c:val>
        </c:ser>
        <c:gapWidth val="150"/>
        <c:overlap val="0"/>
        <c:axId val="36214002"/>
        <c:axId val="81522305"/>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(Calc)'!$AN$3:$AN$500</c:f>
              <c:numCache>
                <c:formatCode>#,##0.00</c:formatCode>
                <c:ptCount val="498"/>
                <c:pt idx="0">
                  <c:v>26.91</c:v>
                </c:pt>
                <c:pt idx="1">
                  <c:v>26.7407547169811</c:v>
                </c:pt>
                <c:pt idx="2">
                  <c:v>26.5715094339623</c:v>
                </c:pt>
                <c:pt idx="3">
                  <c:v>26.4022641509434</c:v>
                </c:pt>
                <c:pt idx="4">
                  <c:v>26.2330188679245</c:v>
                </c:pt>
                <c:pt idx="5">
                  <c:v>26.0637735849057</c:v>
                </c:pt>
                <c:pt idx="6">
                  <c:v>25.8945283018868</c:v>
                </c:pt>
                <c:pt idx="7">
                  <c:v>25.7252830188679</c:v>
                </c:pt>
                <c:pt idx="8">
                  <c:v>25.5560377358491</c:v>
                </c:pt>
                <c:pt idx="9">
                  <c:v>25.3867924528302</c:v>
                </c:pt>
                <c:pt idx="10">
                  <c:v>25.2175471698113</c:v>
                </c:pt>
                <c:pt idx="11">
                  <c:v>25.0483018867925</c:v>
                </c:pt>
                <c:pt idx="12">
                  <c:v>24.8790566037736</c:v>
                </c:pt>
                <c:pt idx="13">
                  <c:v>24.7098113207547</c:v>
                </c:pt>
                <c:pt idx="14">
                  <c:v>24.5405660377359</c:v>
                </c:pt>
                <c:pt idx="15">
                  <c:v>24.371320754717</c:v>
                </c:pt>
                <c:pt idx="16">
                  <c:v>24.2020754716981</c:v>
                </c:pt>
                <c:pt idx="17">
                  <c:v>24.0328301886792</c:v>
                </c:pt>
                <c:pt idx="18">
                  <c:v>23.8635849056604</c:v>
                </c:pt>
                <c:pt idx="19">
                  <c:v>23.6943396226415</c:v>
                </c:pt>
                <c:pt idx="20">
                  <c:v>23.5250943396226</c:v>
                </c:pt>
                <c:pt idx="21">
                  <c:v>23.3558490566038</c:v>
                </c:pt>
                <c:pt idx="22">
                  <c:v>23.1866037735849</c:v>
                </c:pt>
                <c:pt idx="23">
                  <c:v>23.017358490566</c:v>
                </c:pt>
                <c:pt idx="24">
                  <c:v>22.8481132075472</c:v>
                </c:pt>
                <c:pt idx="25">
                  <c:v>22.6788679245283</c:v>
                </c:pt>
                <c:pt idx="26">
                  <c:v>22.5096226415094</c:v>
                </c:pt>
                <c:pt idx="27">
                  <c:v>22.3403773584906</c:v>
                </c:pt>
                <c:pt idx="28">
                  <c:v>22.1711320754717</c:v>
                </c:pt>
                <c:pt idx="29">
                  <c:v>22.0018867924528</c:v>
                </c:pt>
                <c:pt idx="30">
                  <c:v>21.832641509434</c:v>
                </c:pt>
                <c:pt idx="31">
                  <c:v>21.6633962264151</c:v>
                </c:pt>
                <c:pt idx="32">
                  <c:v>21.4941509433962</c:v>
                </c:pt>
                <c:pt idx="33">
                  <c:v>21.3249056603774</c:v>
                </c:pt>
                <c:pt idx="34">
                  <c:v>21.1556603773585</c:v>
                </c:pt>
                <c:pt idx="35">
                  <c:v>20.9864150943396</c:v>
                </c:pt>
                <c:pt idx="36">
                  <c:v>20.8171698113208</c:v>
                </c:pt>
                <c:pt idx="37">
                  <c:v>20.6479245283019</c:v>
                </c:pt>
                <c:pt idx="38">
                  <c:v>20.478679245283</c:v>
                </c:pt>
                <c:pt idx="39">
                  <c:v>20.3094339622642</c:v>
                </c:pt>
                <c:pt idx="40">
                  <c:v>20.1401886792453</c:v>
                </c:pt>
                <c:pt idx="41">
                  <c:v>19.9709433962264</c:v>
                </c:pt>
                <c:pt idx="42">
                  <c:v>19.8016981132075</c:v>
                </c:pt>
                <c:pt idx="43">
                  <c:v>19.6324528301887</c:v>
                </c:pt>
                <c:pt idx="44">
                  <c:v>19.4632075471698</c:v>
                </c:pt>
                <c:pt idx="45">
                  <c:v>19.2939622641509</c:v>
                </c:pt>
                <c:pt idx="46">
                  <c:v>19.1247169811321</c:v>
                </c:pt>
                <c:pt idx="47">
                  <c:v>18.9554716981132</c:v>
                </c:pt>
                <c:pt idx="48">
                  <c:v>18.7862264150943</c:v>
                </c:pt>
                <c:pt idx="49">
                  <c:v>18.6169811320755</c:v>
                </c:pt>
                <c:pt idx="50">
                  <c:v>18.4477358490566</c:v>
                </c:pt>
                <c:pt idx="51">
                  <c:v>18.2784905660377</c:v>
                </c:pt>
                <c:pt idx="52">
                  <c:v>18.1092452830189</c:v>
                </c:pt>
                <c:pt idx="53">
                  <c:v>17.94</c:v>
                </c:pt>
                <c:pt idx="54">
                  <c:v>17.7707547169811</c:v>
                </c:pt>
                <c:pt idx="55">
                  <c:v>17.6015094339623</c:v>
                </c:pt>
                <c:pt idx="56">
                  <c:v>17.4322641509434</c:v>
                </c:pt>
                <c:pt idx="57">
                  <c:v>17.2630188679245</c:v>
                </c:pt>
                <c:pt idx="58">
                  <c:v>17.0937735849057</c:v>
                </c:pt>
                <c:pt idx="59">
                  <c:v>16.9245283018868</c:v>
                </c:pt>
                <c:pt idx="60">
                  <c:v>16.7552830188679</c:v>
                </c:pt>
                <c:pt idx="61">
                  <c:v>16.5860377358491</c:v>
                </c:pt>
                <c:pt idx="62">
                  <c:v>16.4167924528302</c:v>
                </c:pt>
                <c:pt idx="63">
                  <c:v>16.2475471698113</c:v>
                </c:pt>
                <c:pt idx="64">
                  <c:v>16.0783018867925</c:v>
                </c:pt>
                <c:pt idx="65">
                  <c:v>15.9090566037736</c:v>
                </c:pt>
                <c:pt idx="66">
                  <c:v>15.7398113207547</c:v>
                </c:pt>
                <c:pt idx="67">
                  <c:v>15.5705660377359</c:v>
                </c:pt>
                <c:pt idx="68">
                  <c:v>15.401320754717</c:v>
                </c:pt>
                <c:pt idx="69">
                  <c:v>15.2320754716981</c:v>
                </c:pt>
                <c:pt idx="70">
                  <c:v>15.0628301886792</c:v>
                </c:pt>
                <c:pt idx="71">
                  <c:v>14.8935849056604</c:v>
                </c:pt>
                <c:pt idx="72">
                  <c:v>14.7243396226415</c:v>
                </c:pt>
                <c:pt idx="73">
                  <c:v>14.5550943396226</c:v>
                </c:pt>
                <c:pt idx="74">
                  <c:v>14.3858490566038</c:v>
                </c:pt>
                <c:pt idx="75">
                  <c:v>14.2166037735849</c:v>
                </c:pt>
                <c:pt idx="76">
                  <c:v>14.047358490566</c:v>
                </c:pt>
                <c:pt idx="77">
                  <c:v>13.8781132075472</c:v>
                </c:pt>
                <c:pt idx="78">
                  <c:v>13.7088679245283</c:v>
                </c:pt>
                <c:pt idx="79">
                  <c:v>13.5396226415094</c:v>
                </c:pt>
                <c:pt idx="80">
                  <c:v>13.3703773584906</c:v>
                </c:pt>
                <c:pt idx="81">
                  <c:v>13.2011320754717</c:v>
                </c:pt>
                <c:pt idx="82">
                  <c:v>13.0318867924528</c:v>
                </c:pt>
                <c:pt idx="83">
                  <c:v>12.862641509434</c:v>
                </c:pt>
                <c:pt idx="84">
                  <c:v>12.6933962264151</c:v>
                </c:pt>
                <c:pt idx="85">
                  <c:v>12.5241509433962</c:v>
                </c:pt>
                <c:pt idx="86">
                  <c:v>12.3549056603774</c:v>
                </c:pt>
                <c:pt idx="87">
                  <c:v>12.1856603773585</c:v>
                </c:pt>
                <c:pt idx="88">
                  <c:v>12.0164150943396</c:v>
                </c:pt>
                <c:pt idx="89">
                  <c:v>11.8471698113208</c:v>
                </c:pt>
                <c:pt idx="90">
                  <c:v>11.6779245283019</c:v>
                </c:pt>
                <c:pt idx="91">
                  <c:v>11.508679245283</c:v>
                </c:pt>
                <c:pt idx="92">
                  <c:v>11.3394339622642</c:v>
                </c:pt>
                <c:pt idx="93">
                  <c:v>11.1701886792453</c:v>
                </c:pt>
                <c:pt idx="94">
                  <c:v>11.0009433962264</c:v>
                </c:pt>
                <c:pt idx="95">
                  <c:v>10.8316981132075</c:v>
                </c:pt>
                <c:pt idx="96">
                  <c:v>10.6624528301887</c:v>
                </c:pt>
                <c:pt idx="97">
                  <c:v>10.4932075471698</c:v>
                </c:pt>
                <c:pt idx="98">
                  <c:v>10.3239622641509</c:v>
                </c:pt>
                <c:pt idx="99">
                  <c:v>10.1547169811321</c:v>
                </c:pt>
                <c:pt idx="100">
                  <c:v>9.98547169811321</c:v>
                </c:pt>
                <c:pt idx="101">
                  <c:v>9.81622641509434</c:v>
                </c:pt>
                <c:pt idx="102">
                  <c:v>9.64698113207547</c:v>
                </c:pt>
                <c:pt idx="103">
                  <c:v>9.4777358490566</c:v>
                </c:pt>
                <c:pt idx="104">
                  <c:v>9.30849056603774</c:v>
                </c:pt>
                <c:pt idx="105">
                  <c:v>9.13924528301887</c:v>
                </c:pt>
                <c:pt idx="106">
                  <c:v>8.97</c:v>
                </c:pt>
                <c:pt idx="107">
                  <c:v>8.80075471698113</c:v>
                </c:pt>
                <c:pt idx="108">
                  <c:v>8.63150943396227</c:v>
                </c:pt>
                <c:pt idx="109">
                  <c:v>8.4622641509434</c:v>
                </c:pt>
                <c:pt idx="110">
                  <c:v>8.29301886792453</c:v>
                </c:pt>
                <c:pt idx="111">
                  <c:v>8.12377358490566</c:v>
                </c:pt>
                <c:pt idx="112">
                  <c:v>7.95452830188679</c:v>
                </c:pt>
                <c:pt idx="113">
                  <c:v>7.78528301886793</c:v>
                </c:pt>
                <c:pt idx="114">
                  <c:v>7.61603773584906</c:v>
                </c:pt>
                <c:pt idx="115">
                  <c:v>7.44679245283019</c:v>
                </c:pt>
                <c:pt idx="116">
                  <c:v>7.27754716981132</c:v>
                </c:pt>
                <c:pt idx="117">
                  <c:v>7.10830188679245</c:v>
                </c:pt>
                <c:pt idx="118">
                  <c:v>6.93905660377358</c:v>
                </c:pt>
                <c:pt idx="119">
                  <c:v>6.76981132075472</c:v>
                </c:pt>
                <c:pt idx="120">
                  <c:v>6.60056603773585</c:v>
                </c:pt>
                <c:pt idx="121">
                  <c:v>6.43132075471698</c:v>
                </c:pt>
                <c:pt idx="122">
                  <c:v>6.26207547169812</c:v>
                </c:pt>
                <c:pt idx="123">
                  <c:v>6.09283018867925</c:v>
                </c:pt>
                <c:pt idx="124">
                  <c:v>5.92358490566038</c:v>
                </c:pt>
                <c:pt idx="125">
                  <c:v>5.75433962264151</c:v>
                </c:pt>
                <c:pt idx="126">
                  <c:v>5.58509433962264</c:v>
                </c:pt>
                <c:pt idx="127">
                  <c:v>5.41584905660377</c:v>
                </c:pt>
                <c:pt idx="128">
                  <c:v>5.24660377358491</c:v>
                </c:pt>
                <c:pt idx="129">
                  <c:v>5.07735849056604</c:v>
                </c:pt>
                <c:pt idx="130">
                  <c:v>4.90811320754717</c:v>
                </c:pt>
                <c:pt idx="131">
                  <c:v>4.7388679245283</c:v>
                </c:pt>
                <c:pt idx="132">
                  <c:v>4.56962264150944</c:v>
                </c:pt>
                <c:pt idx="133">
                  <c:v>4.40037735849057</c:v>
                </c:pt>
                <c:pt idx="134">
                  <c:v>4.2311320754717</c:v>
                </c:pt>
                <c:pt idx="135">
                  <c:v>4.06188679245283</c:v>
                </c:pt>
                <c:pt idx="136">
                  <c:v>3.89264150943396</c:v>
                </c:pt>
                <c:pt idx="137">
                  <c:v>3.72339622641509</c:v>
                </c:pt>
                <c:pt idx="138">
                  <c:v>3.55415094339623</c:v>
                </c:pt>
                <c:pt idx="139">
                  <c:v>3.38490566037736</c:v>
                </c:pt>
                <c:pt idx="140">
                  <c:v>3.21566037735849</c:v>
                </c:pt>
                <c:pt idx="141">
                  <c:v>3.04641509433962</c:v>
                </c:pt>
                <c:pt idx="142">
                  <c:v>2.87716981132076</c:v>
                </c:pt>
                <c:pt idx="143">
                  <c:v>2.70792452830189</c:v>
                </c:pt>
                <c:pt idx="144">
                  <c:v>2.53867924528302</c:v>
                </c:pt>
                <c:pt idx="145">
                  <c:v>2.36943396226415</c:v>
                </c:pt>
                <c:pt idx="146">
                  <c:v>2.20018867924528</c:v>
                </c:pt>
                <c:pt idx="147">
                  <c:v>2.03094339622642</c:v>
                </c:pt>
                <c:pt idx="148">
                  <c:v>1.86169811320755</c:v>
                </c:pt>
                <c:pt idx="149">
                  <c:v>1.69245283018868</c:v>
                </c:pt>
                <c:pt idx="150">
                  <c:v>1.52320754716981</c:v>
                </c:pt>
                <c:pt idx="151">
                  <c:v>1.35396226415094</c:v>
                </c:pt>
                <c:pt idx="152">
                  <c:v>1.18471698113207</c:v>
                </c:pt>
                <c:pt idx="153">
                  <c:v>1.01547169811321</c:v>
                </c:pt>
                <c:pt idx="154">
                  <c:v>0.846226415094339</c:v>
                </c:pt>
                <c:pt idx="155">
                  <c:v>0.676981132075472</c:v>
                </c:pt>
                <c:pt idx="156">
                  <c:v>0.507735849056605</c:v>
                </c:pt>
                <c:pt idx="157">
                  <c:v>0.338490566037738</c:v>
                </c:pt>
                <c:pt idx="158">
                  <c:v>0.169245283018871</c:v>
                </c:pt>
                <c:pt idx="159">
                  <c:v>0</c:v>
                </c:pt>
              </c:numCache>
            </c:numRef>
          </c:val>
          <c:smooth val="0"/>
        </c:ser>
        <c:hiLowLines>
          <c:spPr>
            <a:ln w="0">
              <a:noFill/>
            </a:ln>
          </c:spPr>
        </c:hiLowLines>
        <c:marker val="0"/>
        <c:axId val="48737769"/>
        <c:axId val="38312764"/>
      </c:lineChart>
      <c:dateAx>
        <c:axId val="3621400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1522305"/>
        <c:auto val="1"/>
        <c:lblOffset val="100"/>
        <c:baseTimeUnit val="days"/>
      </c:dateAx>
      <c:valAx>
        <c:axId val="8152230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6214002"/>
        <c:crosses val="autoZero"/>
        <c:crossBetween val="between"/>
      </c:valAx>
      <c:dateAx>
        <c:axId val="4873776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8312764"/>
        <c:auto val="1"/>
        <c:lblOffset val="100"/>
        <c:baseTimeUnit val="days"/>
      </c:dateAx>
      <c:valAx>
        <c:axId val="3831276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73776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(Calc)'!$V$3:$V$500</c:f>
              <c:numCache>
                <c:formatCode>0.0%</c:formatCode>
                <c:ptCount val="498"/>
                <c:pt idx="4">
                  <c:v>-0.025154110297464</c:v>
                </c:pt>
                <c:pt idx="5">
                  <c:v>-0.0248270593727454</c:v>
                </c:pt>
                <c:pt idx="6">
                  <c:v>-0.0215858647401863</c:v>
                </c:pt>
                <c:pt idx="7">
                  <c:v>0.0218841740058715</c:v>
                </c:pt>
                <c:pt idx="8">
                  <c:v>0.0111865587185513</c:v>
                </c:pt>
                <c:pt idx="9">
                  <c:v>-0.0180362446730662</c:v>
                </c:pt>
                <c:pt idx="10">
                  <c:v>-0.0176223040504998</c:v>
                </c:pt>
                <c:pt idx="11">
                  <c:v>0.062516733601071</c:v>
                </c:pt>
                <c:pt idx="12">
                  <c:v>0.00890344798622467</c:v>
                </c:pt>
                <c:pt idx="13">
                  <c:v>0.0175664987720101</c:v>
                </c:pt>
                <c:pt idx="14">
                  <c:v>0.019022294947842</c:v>
                </c:pt>
                <c:pt idx="15">
                  <c:v>0.00843034925732633</c:v>
                </c:pt>
                <c:pt idx="16">
                  <c:v>-0.00274681528662424</c:v>
                </c:pt>
                <c:pt idx="17">
                  <c:v>0.00894175881202353</c:v>
                </c:pt>
                <c:pt idx="18">
                  <c:v>0.0015430267062313</c:v>
                </c:pt>
                <c:pt idx="19">
                  <c:v>0.00742672039187808</c:v>
                </c:pt>
                <c:pt idx="20">
                  <c:v>-0.00254881970041565</c:v>
                </c:pt>
                <c:pt idx="21">
                  <c:v>0.0172583244879505</c:v>
                </c:pt>
                <c:pt idx="22">
                  <c:v>0.0255062606276086</c:v>
                </c:pt>
                <c:pt idx="23">
                  <c:v>-0.0109285498944831</c:v>
                </c:pt>
                <c:pt idx="24">
                  <c:v>0.0344814447915873</c:v>
                </c:pt>
                <c:pt idx="25">
                  <c:v>-0.000847114286766648</c:v>
                </c:pt>
                <c:pt idx="26">
                  <c:v>0.00770421704511959</c:v>
                </c:pt>
                <c:pt idx="27">
                  <c:v>0.0180707466071623</c:v>
                </c:pt>
                <c:pt idx="28">
                  <c:v>-0.00154503970392728</c:v>
                </c:pt>
                <c:pt idx="29">
                  <c:v>-0.0110119476032819</c:v>
                </c:pt>
                <c:pt idx="30">
                  <c:v>0.0106979113601631</c:v>
                </c:pt>
                <c:pt idx="31">
                  <c:v>0.000792050691244439</c:v>
                </c:pt>
                <c:pt idx="34">
                  <c:v>-0.00422840754494991</c:v>
                </c:pt>
                <c:pt idx="35">
                  <c:v>-0.0224134111217783</c:v>
                </c:pt>
                <c:pt idx="36">
                  <c:v>0.0175637393767705</c:v>
                </c:pt>
                <c:pt idx="37">
                  <c:v>-0.0219376391982181</c:v>
                </c:pt>
                <c:pt idx="38">
                  <c:v>0.045618429541918</c:v>
                </c:pt>
                <c:pt idx="39">
                  <c:v>-0.000435555878189553</c:v>
                </c:pt>
                <c:pt idx="40">
                  <c:v>-0.0200443008097606</c:v>
                </c:pt>
                <c:pt idx="41">
                  <c:v>-0.00737392077667032</c:v>
                </c:pt>
                <c:pt idx="42">
                  <c:v>0.0227713901747051</c:v>
                </c:pt>
                <c:pt idx="43">
                  <c:v>-0.0287247244324403</c:v>
                </c:pt>
                <c:pt idx="44">
                  <c:v>0.0168351433617675</c:v>
                </c:pt>
                <c:pt idx="45">
                  <c:v>-0.0463431760227649</c:v>
                </c:pt>
                <c:pt idx="46">
                  <c:v>0.0300716915326487</c:v>
                </c:pt>
                <c:pt idx="47">
                  <c:v>-0.0170798690794177</c:v>
                </c:pt>
                <c:pt idx="48">
                  <c:v>-0.00107168829180526</c:v>
                </c:pt>
                <c:pt idx="49">
                  <c:v>-0.0226062301237595</c:v>
                </c:pt>
                <c:pt idx="50">
                  <c:v>0.0274804970794622</c:v>
                </c:pt>
                <c:pt idx="51">
                  <c:v>-0.0236550934757727</c:v>
                </c:pt>
                <c:pt idx="52">
                  <c:v>0.0293474013286441</c:v>
                </c:pt>
                <c:pt idx="53">
                  <c:v>0.000227781785050007</c:v>
                </c:pt>
                <c:pt idx="54">
                  <c:v>0.0334003871408508</c:v>
                </c:pt>
                <c:pt idx="55">
                  <c:v>0.0108348330701145</c:v>
                </c:pt>
                <c:pt idx="56">
                  <c:v>0.028558971005014</c:v>
                </c:pt>
                <c:pt idx="57">
                  <c:v>-0.00897272855729814</c:v>
                </c:pt>
                <c:pt idx="58">
                  <c:v>-0.0337206815427391</c:v>
                </c:pt>
                <c:pt idx="59">
                  <c:v>0.010033938320791</c:v>
                </c:pt>
                <c:pt idx="60">
                  <c:v>-0.000328707085463953</c:v>
                </c:pt>
                <c:pt idx="61">
                  <c:v>0.0459975886887583</c:v>
                </c:pt>
                <c:pt idx="62">
                  <c:v>-0.030562347188264</c:v>
                </c:pt>
                <c:pt idx="63">
                  <c:v>0.0319582057286976</c:v>
                </c:pt>
                <c:pt idx="64">
                  <c:v>0.0589344319530758</c:v>
                </c:pt>
                <c:pt idx="65">
                  <c:v>0.00764919221892524</c:v>
                </c:pt>
                <c:pt idx="66">
                  <c:v>0.000916170407695649</c:v>
                </c:pt>
                <c:pt idx="67">
                  <c:v>0.0166394246485782</c:v>
                </c:pt>
                <c:pt idx="68">
                  <c:v>-0.0129264606578989</c:v>
                </c:pt>
                <c:pt idx="69">
                  <c:v>0.0119881421637291</c:v>
                </c:pt>
                <c:pt idx="70">
                  <c:v>0.00946402704007721</c:v>
                </c:pt>
                <c:pt idx="71">
                  <c:v>0.00296565579259545</c:v>
                </c:pt>
                <c:pt idx="72">
                  <c:v>-0.0117639577769298</c:v>
                </c:pt>
                <c:pt idx="73">
                  <c:v>-0.0228428029084357</c:v>
                </c:pt>
                <c:pt idx="74">
                  <c:v>0.0386869485052022</c:v>
                </c:pt>
                <c:pt idx="75">
                  <c:v>0.0330934795701652</c:v>
                </c:pt>
                <c:pt idx="76">
                  <c:v>0.0351323985149274</c:v>
                </c:pt>
                <c:pt idx="77">
                  <c:v>0.0182001422812426</c:v>
                </c:pt>
                <c:pt idx="78">
                  <c:v>0.0183697234352256</c:v>
                </c:pt>
                <c:pt idx="79">
                  <c:v>-0.0149223864383523</c:v>
                </c:pt>
                <c:pt idx="80">
                  <c:v>0.0406570126817378</c:v>
                </c:pt>
                <c:pt idx="81">
                  <c:v>-0.047936419408812</c:v>
                </c:pt>
                <c:pt idx="82">
                  <c:v>-0.039161125918983</c:v>
                </c:pt>
                <c:pt idx="83">
                  <c:v>0.0116449213510548</c:v>
                </c:pt>
                <c:pt idx="84">
                  <c:v>0.0214246971614536</c:v>
                </c:pt>
                <c:pt idx="85">
                  <c:v>-0.0866743369619731</c:v>
                </c:pt>
                <c:pt idx="86">
                  <c:v>0.0647307729577829</c:v>
                </c:pt>
                <c:pt idx="89">
                  <c:v>0.0370873317641378</c:v>
                </c:pt>
                <c:pt idx="90">
                  <c:v>0.0141996682864376</c:v>
                </c:pt>
                <c:pt idx="91">
                  <c:v>0.0374121359919666</c:v>
                </c:pt>
                <c:pt idx="92">
                  <c:v>-0.0317210099836831</c:v>
                </c:pt>
                <c:pt idx="93">
                  <c:v>0.0329601279561294</c:v>
                </c:pt>
                <c:pt idx="94">
                  <c:v>0.0137698390753747</c:v>
                </c:pt>
                <c:pt idx="95">
                  <c:v>-0.0469125027274711</c:v>
                </c:pt>
                <c:pt idx="96">
                  <c:v>-0.0404933608058607</c:v>
                </c:pt>
                <c:pt idx="97">
                  <c:v>0.0296758030361777</c:v>
                </c:pt>
                <c:pt idx="100">
                  <c:v>0.00322149988390996</c:v>
                </c:pt>
                <c:pt idx="101">
                  <c:v>0.0229120259206757</c:v>
                </c:pt>
                <c:pt idx="102">
                  <c:v>-0.0495489125823694</c:v>
                </c:pt>
                <c:pt idx="103">
                  <c:v>-0.00758770494242278</c:v>
                </c:pt>
                <c:pt idx="104">
                  <c:v>0.0246461981290478</c:v>
                </c:pt>
                <c:pt idx="105">
                  <c:v>0.0161526306548838</c:v>
                </c:pt>
                <c:pt idx="106">
                  <c:v>0.00498185797385253</c:v>
                </c:pt>
                <c:pt idx="107">
                  <c:v>-0.0243273446230551</c:v>
                </c:pt>
                <c:pt idx="108">
                  <c:v>-0.0110425844346549</c:v>
                </c:pt>
                <c:pt idx="109">
                  <c:v>0.00641444437845218</c:v>
                </c:pt>
                <c:pt idx="110">
                  <c:v>-0.0124225435231631</c:v>
                </c:pt>
                <c:pt idx="111">
                  <c:v>0.0369595745316562</c:v>
                </c:pt>
                <c:pt idx="112">
                  <c:v>-0.0176914654526594</c:v>
                </c:pt>
                <c:pt idx="113">
                  <c:v>-0.00510383667722636</c:v>
                </c:pt>
                <c:pt idx="114">
                  <c:v>0.0160386815260334</c:v>
                </c:pt>
                <c:pt idx="115">
                  <c:v>-0.0190934942835587</c:v>
                </c:pt>
                <c:pt idx="116">
                  <c:v>-0.0138740977399124</c:v>
                </c:pt>
                <c:pt idx="117">
                  <c:v>-0.0158992050397481</c:v>
                </c:pt>
                <c:pt idx="118">
                  <c:v>-0.00618808108520053</c:v>
                </c:pt>
                <c:pt idx="119">
                  <c:v>0.0196920434329182</c:v>
                </c:pt>
                <c:pt idx="120">
                  <c:v>-0.00956563590422332</c:v>
                </c:pt>
                <c:pt idx="121">
                  <c:v>0.0500820020652373</c:v>
                </c:pt>
                <c:pt idx="122">
                  <c:v>0.00410701373825018</c:v>
                </c:pt>
                <c:pt idx="123">
                  <c:v>0.0164472736699599</c:v>
                </c:pt>
                <c:pt idx="124">
                  <c:v>-0.0240024937655859</c:v>
                </c:pt>
                <c:pt idx="125">
                  <c:v>0.0094944978368805</c:v>
                </c:pt>
                <c:pt idx="126">
                  <c:v>-0.0613782788771284</c:v>
                </c:pt>
                <c:pt idx="127">
                  <c:v>-0.00646564932279203</c:v>
                </c:pt>
                <c:pt idx="128">
                  <c:v>-0.013323875026987</c:v>
                </c:pt>
                <c:pt idx="129">
                  <c:v>0.0302897689975306</c:v>
                </c:pt>
                <c:pt idx="130">
                  <c:v>-0.0508191747572816</c:v>
                </c:pt>
                <c:pt idx="131">
                  <c:v>0.0218635128655904</c:v>
                </c:pt>
                <c:pt idx="132">
                  <c:v>-0.00250242422346647</c:v>
                </c:pt>
                <c:pt idx="133">
                  <c:v>-0.00868638088369023</c:v>
                </c:pt>
                <c:pt idx="134">
                  <c:v>-0.0322029609009237</c:v>
                </c:pt>
                <c:pt idx="135">
                  <c:v>-0.0179773811858535</c:v>
                </c:pt>
                <c:pt idx="136">
                  <c:v>-0.0202369857542271</c:v>
                </c:pt>
                <c:pt idx="139">
                  <c:v>0.0415938252465613</c:v>
                </c:pt>
                <c:pt idx="140">
                  <c:v>-0.0239723858382418</c:v>
                </c:pt>
                <c:pt idx="141">
                  <c:v>0.0601213458356316</c:v>
                </c:pt>
                <c:pt idx="142">
                  <c:v>-0.0281569443594295</c:v>
                </c:pt>
                <c:pt idx="143">
                  <c:v>0.0239654846633495</c:v>
                </c:pt>
                <c:pt idx="144">
                  <c:v>0.00959557127479616</c:v>
                </c:pt>
                <c:pt idx="145">
                  <c:v>-0.00767660767051503</c:v>
                </c:pt>
                <c:pt idx="146">
                  <c:v>-0.00853415195702212</c:v>
                </c:pt>
                <c:pt idx="147">
                  <c:v>-0.00365359011672917</c:v>
                </c:pt>
                <c:pt idx="152">
                  <c:v>0.0275034451079468</c:v>
                </c:pt>
                <c:pt idx="153">
                  <c:v>-0.00787929589270742</c:v>
                </c:pt>
                <c:pt idx="154">
                  <c:v>0.0292046862678834</c:v>
                </c:pt>
                <c:pt idx="155">
                  <c:v>-0.00990559584074435</c:v>
                </c:pt>
                <c:pt idx="156">
                  <c:v>0.0064118508691926</c:v>
                </c:pt>
                <c:pt idx="157">
                  <c:v>0.0189207744061515</c:v>
                </c:pt>
                <c:pt idx="158">
                  <c:v>0.0284605433376455</c:v>
                </c:pt>
                <c:pt idx="159">
                  <c:v>-0.0171121593291406</c:v>
                </c:pt>
              </c:numCache>
            </c:numRef>
          </c:val>
        </c:ser>
        <c:gapWidth val="150"/>
        <c:overlap val="0"/>
        <c:axId val="5112728"/>
        <c:axId val="81046767"/>
      </c:barChart>
      <c:lineChart>
        <c:grouping val="standard"/>
        <c:varyColors val="0"/>
        <c:ser>
          <c:idx val="1"/>
          <c:order val="1"/>
          <c:tx>
            <c:strRef>
              <c:f>'Returns (Calc)'!$AO$2</c:f>
              <c:strCache>
                <c:ptCount val="1"/>
                <c:pt idx="0">
                  <c:v>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(Calc)'!$AO$3:$AO$500</c:f>
              <c:numCache>
                <c:formatCode>#,##0.00</c:formatCode>
                <c:ptCount val="49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numCache>
            </c:numRef>
          </c:val>
          <c:smooth val="0"/>
        </c:ser>
        <c:hiLowLines>
          <c:spPr>
            <a:ln w="0">
              <a:noFill/>
            </a:ln>
          </c:spPr>
        </c:hiLowLines>
        <c:marker val="0"/>
        <c:axId val="17776933"/>
        <c:axId val="54589071"/>
      </c:lineChart>
      <c:dateAx>
        <c:axId val="511272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1046767"/>
        <c:auto val="1"/>
        <c:lblOffset val="100"/>
        <c:baseTimeUnit val="days"/>
      </c:dateAx>
      <c:valAx>
        <c:axId val="8104676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12728"/>
        <c:crosses val="autoZero"/>
        <c:crossBetween val="between"/>
      </c:valAx>
      <c:dateAx>
        <c:axId val="1777693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589071"/>
        <c:auto val="1"/>
        <c:lblOffset val="100"/>
        <c:baseTimeUnit val="days"/>
      </c:dateAx>
      <c:valAx>
        <c:axId val="5458907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77693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colors1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353160</xdr:colOff>
      <xdr:row>174</xdr:row>
      <xdr:rowOff>176040</xdr:rowOff>
    </xdr:to>
    <xdr:graphicFrame>
      <xdr:nvGraphicFramePr>
        <xdr:cNvPr id="1" name="Chart 1"/>
        <xdr:cNvGraphicFramePr/>
      </xdr:nvGraphicFramePr>
      <xdr:xfrm>
        <a:off x="0" y="31194360"/>
        <a:ext cx="2708280" cy="2166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13</xdr:col>
      <xdr:colOff>374760</xdr:colOff>
      <xdr:row>174</xdr:row>
      <xdr:rowOff>176040</xdr:rowOff>
    </xdr:to>
    <xdr:graphicFrame>
      <xdr:nvGraphicFramePr>
        <xdr:cNvPr id="2" name="Chart 2"/>
        <xdr:cNvGraphicFramePr/>
      </xdr:nvGraphicFramePr>
      <xdr:xfrm>
        <a:off x="3551400" y="31194360"/>
        <a:ext cx="2368800" cy="21668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140760</xdr:colOff>
      <xdr:row>174</xdr:row>
      <xdr:rowOff>176040</xdr:rowOff>
    </xdr:to>
    <xdr:graphicFrame>
      <xdr:nvGraphicFramePr>
        <xdr:cNvPr id="3" name="Chart 3"/>
        <xdr:cNvGraphicFramePr/>
      </xdr:nvGraphicFramePr>
      <xdr:xfrm>
        <a:off x="6741720" y="31194360"/>
        <a:ext cx="2424240" cy="21668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393120</xdr:colOff>
      <xdr:row>174</xdr:row>
      <xdr:rowOff>176040</xdr:rowOff>
    </xdr:to>
    <xdr:graphicFrame>
      <xdr:nvGraphicFramePr>
        <xdr:cNvPr id="4" name="Chart 4"/>
        <xdr:cNvGraphicFramePr/>
      </xdr:nvGraphicFramePr>
      <xdr:xfrm>
        <a:off x="10450080" y="31194360"/>
        <a:ext cx="4668120" cy="21668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353160</xdr:colOff>
      <xdr:row>190</xdr:row>
      <xdr:rowOff>176040</xdr:rowOff>
    </xdr:to>
    <xdr:graphicFrame>
      <xdr:nvGraphicFramePr>
        <xdr:cNvPr id="5" name="Chart 5"/>
        <xdr:cNvGraphicFramePr/>
      </xdr:nvGraphicFramePr>
      <xdr:xfrm>
        <a:off x="0" y="34089840"/>
        <a:ext cx="2708280" cy="21668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13</xdr:col>
      <xdr:colOff>374760</xdr:colOff>
      <xdr:row>190</xdr:row>
      <xdr:rowOff>176040</xdr:rowOff>
    </xdr:to>
    <xdr:graphicFrame>
      <xdr:nvGraphicFramePr>
        <xdr:cNvPr id="6" name="Chart 6"/>
        <xdr:cNvGraphicFramePr/>
      </xdr:nvGraphicFramePr>
      <xdr:xfrm>
        <a:off x="3551400" y="34089840"/>
        <a:ext cx="2368800" cy="21668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140760</xdr:colOff>
      <xdr:row>190</xdr:row>
      <xdr:rowOff>176040</xdr:rowOff>
    </xdr:to>
    <xdr:graphicFrame>
      <xdr:nvGraphicFramePr>
        <xdr:cNvPr id="7" name="Chart 7"/>
        <xdr:cNvGraphicFramePr/>
      </xdr:nvGraphicFramePr>
      <xdr:xfrm>
        <a:off x="6741720" y="34089840"/>
        <a:ext cx="2424240" cy="21668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393120</xdr:colOff>
      <xdr:row>190</xdr:row>
      <xdr:rowOff>176040</xdr:rowOff>
    </xdr:to>
    <xdr:graphicFrame>
      <xdr:nvGraphicFramePr>
        <xdr:cNvPr id="8" name="Chart 8"/>
        <xdr:cNvGraphicFramePr/>
      </xdr:nvGraphicFramePr>
      <xdr:xfrm>
        <a:off x="10450080" y="34089840"/>
        <a:ext cx="4668120" cy="21668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353160</xdr:colOff>
      <xdr:row>206</xdr:row>
      <xdr:rowOff>175320</xdr:rowOff>
    </xdr:to>
    <xdr:graphicFrame>
      <xdr:nvGraphicFramePr>
        <xdr:cNvPr id="9" name="Chart 9"/>
        <xdr:cNvGraphicFramePr/>
      </xdr:nvGraphicFramePr>
      <xdr:xfrm>
        <a:off x="0" y="36985680"/>
        <a:ext cx="2708280" cy="216612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13</xdr:col>
      <xdr:colOff>374760</xdr:colOff>
      <xdr:row>206</xdr:row>
      <xdr:rowOff>175320</xdr:rowOff>
    </xdr:to>
    <xdr:graphicFrame>
      <xdr:nvGraphicFramePr>
        <xdr:cNvPr id="10" name="Chart 10"/>
        <xdr:cNvGraphicFramePr/>
      </xdr:nvGraphicFramePr>
      <xdr:xfrm>
        <a:off x="3551400" y="36985680"/>
        <a:ext cx="2368800" cy="216612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140760</xdr:colOff>
      <xdr:row>206</xdr:row>
      <xdr:rowOff>175320</xdr:rowOff>
    </xdr:to>
    <xdr:graphicFrame>
      <xdr:nvGraphicFramePr>
        <xdr:cNvPr id="11" name="Chart 11"/>
        <xdr:cNvGraphicFramePr/>
      </xdr:nvGraphicFramePr>
      <xdr:xfrm>
        <a:off x="6741720" y="36985680"/>
        <a:ext cx="2424240" cy="216612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393120</xdr:colOff>
      <xdr:row>206</xdr:row>
      <xdr:rowOff>175320</xdr:rowOff>
    </xdr:to>
    <xdr:graphicFrame>
      <xdr:nvGraphicFramePr>
        <xdr:cNvPr id="12" name="Chart 12"/>
        <xdr:cNvGraphicFramePr/>
      </xdr:nvGraphicFramePr>
      <xdr:xfrm>
        <a:off x="10450080" y="36985680"/>
        <a:ext cx="4668120" cy="216612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353160</xdr:colOff>
      <xdr:row>222</xdr:row>
      <xdr:rowOff>176040</xdr:rowOff>
    </xdr:to>
    <xdr:graphicFrame>
      <xdr:nvGraphicFramePr>
        <xdr:cNvPr id="13" name="Chart 13"/>
        <xdr:cNvGraphicFramePr/>
      </xdr:nvGraphicFramePr>
      <xdr:xfrm>
        <a:off x="0" y="39881160"/>
        <a:ext cx="2708280" cy="216684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13</xdr:col>
      <xdr:colOff>374760</xdr:colOff>
      <xdr:row>222</xdr:row>
      <xdr:rowOff>176040</xdr:rowOff>
    </xdr:to>
    <xdr:graphicFrame>
      <xdr:nvGraphicFramePr>
        <xdr:cNvPr id="14" name="Chart 14"/>
        <xdr:cNvGraphicFramePr/>
      </xdr:nvGraphicFramePr>
      <xdr:xfrm>
        <a:off x="3551400" y="39881160"/>
        <a:ext cx="2368800" cy="216684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140760</xdr:colOff>
      <xdr:row>222</xdr:row>
      <xdr:rowOff>176040</xdr:rowOff>
    </xdr:to>
    <xdr:graphicFrame>
      <xdr:nvGraphicFramePr>
        <xdr:cNvPr id="15" name="Chart 15"/>
        <xdr:cNvGraphicFramePr/>
      </xdr:nvGraphicFramePr>
      <xdr:xfrm>
        <a:off x="6741720" y="39881160"/>
        <a:ext cx="2424240" cy="216684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393120</xdr:colOff>
      <xdr:row>222</xdr:row>
      <xdr:rowOff>176040</xdr:rowOff>
    </xdr:to>
    <xdr:graphicFrame>
      <xdr:nvGraphicFramePr>
        <xdr:cNvPr id="16" name="Chart 16"/>
        <xdr:cNvGraphicFramePr/>
      </xdr:nvGraphicFramePr>
      <xdr:xfrm>
        <a:off x="10450080" y="39881160"/>
        <a:ext cx="4668120" cy="216684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353160</xdr:colOff>
      <xdr:row>238</xdr:row>
      <xdr:rowOff>176040</xdr:rowOff>
    </xdr:to>
    <xdr:graphicFrame>
      <xdr:nvGraphicFramePr>
        <xdr:cNvPr id="17" name="Chart 17"/>
        <xdr:cNvGraphicFramePr/>
      </xdr:nvGraphicFramePr>
      <xdr:xfrm>
        <a:off x="0" y="42776640"/>
        <a:ext cx="2708280" cy="216684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13</xdr:col>
      <xdr:colOff>374760</xdr:colOff>
      <xdr:row>238</xdr:row>
      <xdr:rowOff>176040</xdr:rowOff>
    </xdr:to>
    <xdr:graphicFrame>
      <xdr:nvGraphicFramePr>
        <xdr:cNvPr id="18" name="Chart 18"/>
        <xdr:cNvGraphicFramePr/>
      </xdr:nvGraphicFramePr>
      <xdr:xfrm>
        <a:off x="3551400" y="42776640"/>
        <a:ext cx="2368800" cy="216684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241</xdr:row>
      <xdr:rowOff>0</xdr:rowOff>
    </xdr:from>
    <xdr:to>
      <xdr:col>5</xdr:col>
      <xdr:colOff>11880</xdr:colOff>
      <xdr:row>252</xdr:row>
      <xdr:rowOff>176040</xdr:rowOff>
    </xdr:to>
    <xdr:graphicFrame>
      <xdr:nvGraphicFramePr>
        <xdr:cNvPr id="19" name="Chart 19"/>
        <xdr:cNvGraphicFramePr/>
      </xdr:nvGraphicFramePr>
      <xdr:xfrm>
        <a:off x="0" y="45310320"/>
        <a:ext cx="2367000" cy="216684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tables/table1.xml><?xml version="1.0" encoding="utf-8"?>
<table xmlns="http://schemas.openxmlformats.org/spreadsheetml/2006/main" id="1" name="CurrentPositionsTable" displayName="CurrentPositionsTable" ref="A2:M51"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49" headerRowCount="1" totalsRowCount="0" totalsRowShown="0">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S47" headerRowCount="1" totalsRowCount="0" totalsRowShown="0">
  <tableColumns count="19">
    <tableColumn id="1" name="Ticker"/>
    <tableColumn id="2" name="Company"/>
    <tableColumn id="3" name="Rule 5&#10;Composite&#10;≥65?"/>
    <tableColumn id="4" name="Rule 6&#10;Tier1&#10;≥3.0?"/>
    <tableColumn id="5" name="Rule 7&#10;No Tier1&#10;=1?"/>
    <tableColumn id="6" name="Rule 8&#10;Above / reclaimed&#10;200-wk MA?&#10;(Y/N)"/>
    <tableColumn id="7" name="Rule 9&#10;Monthly MACD&#10;positive / turning?&#10;(Y/N)"/>
    <tableColumn id="8" name="Staging&#10;Result&#10;(Rules 8-9)"/>
    <tableColumn id="9" name="Rule 10&#10;Binary event&#10;risk present?&#10;(Y/N)"/>
    <tableColumn id="10" name="Risk included&#10;in thesis?&#10;(Y/N)"/>
    <tableColumn id="11" name="Rule 10&#10;Result"/>
    <tableColumn id="12" name="Base Case&#10;&gt;10%?"/>
    <tableColumn id="13" name="Rule 11&#10;Bear Case&#10;≥0%?"/>
    <tableColumn id="14" name="Rule 12&#10;Scenario tags&#10;OK?"/>
    <tableColumn id="15" name="P/FCF&#10;(current)"/>
    <tableColumn id="16" name="Consensus FCF&#10;growth, 2-yr&#10;annualized"/>
    <tableColumn id="17" name="Rule 13&#10;Valuation&#10;Ceiling"/>
    <tableColumn id="18" name="ENTRY&#10;AUTHORIZED?"/>
    <tableColumn id="19"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48" headerRowCount="1" totalsRowCount="0" totalsRowShown="0">
  <autoFilter ref="A2:Q48"/>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OpenItemsTable" displayName="OpenItemsTable" ref="A4:F17" headerRowCount="1" totalsRowCount="0" totalsRowShown="0">
  <tableColumns count="6">
    <tableColumn id="1" name="#"/>
    <tableColumn id="2" name="Item"/>
    <tableColumn id="3" name="Done (Y/N)"/>
    <tableColumn id="4" name="Date Raised"/>
    <tableColumn id="5" name="Date Resolved"/>
    <tableColumn id="6" name="Notes"/>
  </tableColumns>
</table>
</file>

<file path=xl/tables/table8.xml><?xml version="1.0" encoding="utf-8"?>
<table xmlns="http://schemas.openxmlformats.org/spreadsheetml/2006/main" id="8"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9.xml><?xml version="1.0" encoding="utf-8"?>
<table xmlns="http://schemas.openxmlformats.org/spreadsheetml/2006/main" id="9" name="ProcessChecklistTable" displayName="ProcessChecklistTable" ref="A4:F106" headerRowCount="1" totalsRowCount="0" totalsRowShown="0">
  <tableColumns count="6">
    <tableColumn id="1" name="Event"/>
    <tableColumn id="2" name="Step"/>
    <tableColumn id="3" name="Done (Y/N)"/>
    <tableColumn id="4" name="Date Done"/>
    <tableColumn id="5" name="Event Due Date"/>
    <tableColumn id="6" name="Status"/>
  </tableColumns>
</table>
</file>

<file path=xl/tables/table10.xml><?xml version="1.0" encoding="utf-8"?>
<table xmlns="http://schemas.openxmlformats.org/spreadsheetml/2006/main" id="10" name="WatchListTable" displayName="WatchListTable" ref="A2:M22" headerRowCount="1" totalsRowCount="0" totalsRowShown="0">
  <tableColumns count="13">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 id="13" name="Trims Taken&#10;(0-3, Rule 33)"/>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10.xml"/>
</Relationships>
</file>

<file path=xl/worksheets/_rels/sheet16.xml.rels><?xml version="1.0" encoding="UTF-8"?>
<Relationships xmlns="http://schemas.openxmlformats.org/package/2006/relationships"><Relationship Id="rId1" Type="http://schemas.openxmlformats.org/officeDocument/2006/relationships/table" Target="../tables/table8.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3.vml"/><Relationship Id="rId3" Type="http://schemas.openxmlformats.org/officeDocument/2006/relationships/table" Target="../tables/table9.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4.vml"/><Relationship Id="rId3" Type="http://schemas.openxmlformats.org/officeDocument/2006/relationships/table" Target="../tables/table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8.66796875" defaultRowHeight="14.25" customHeight="false" zeroHeight="false" outlineLevelRow="0" outlineLevelCol="0"/>
  <cols>
    <col collapsed="false" customWidth="true" hidden="false" outlineLevel="0" max="1" min="1" style="1" width="100"/>
  </cols>
  <sheetData>
    <row r="1" customFormat="false" ht="29.25" hidden="false" customHeight="true" outlineLevel="0" collapsed="false">
      <c r="A1" s="2" t="s">
        <v>0</v>
      </c>
    </row>
    <row r="2" customFormat="false" ht="14.25" hidden="false" customHeight="true" outlineLevel="0" collapsed="false">
      <c r="A2" s="3"/>
    </row>
    <row r="3" customFormat="false" ht="14.25" hidden="false" customHeight="true" outlineLevel="0" collapsed="false">
      <c r="A3" s="4" t="s">
        <v>1</v>
      </c>
    </row>
    <row r="4" customFormat="false" ht="14.25" hidden="false" customHeight="true" outlineLevel="0" collapsed="false">
      <c r="A4" s="3" t="s">
        <v>2</v>
      </c>
    </row>
    <row r="5" customFormat="false" ht="14.25" hidden="false" customHeight="true" outlineLevel="0" collapsed="false">
      <c r="A5" s="3" t="s">
        <v>3</v>
      </c>
    </row>
    <row r="6" customFormat="false" ht="14.25" hidden="false" customHeight="true" outlineLevel="0" collapsed="false">
      <c r="A6" s="3"/>
    </row>
    <row r="7" customFormat="false" ht="14.25" hidden="false" customHeight="true" outlineLevel="0" collapsed="false">
      <c r="A7" s="5" t="s">
        <v>4</v>
      </c>
    </row>
    <row r="8" customFormat="false" ht="14.25" hidden="false" customHeight="true" outlineLevel="0" collapsed="false">
      <c r="A8" s="3" t="s">
        <v>5</v>
      </c>
    </row>
    <row r="9" customFormat="false" ht="14.25" hidden="false" customHeight="true" outlineLevel="0" collapsed="false">
      <c r="A9" s="3" t="s">
        <v>6</v>
      </c>
    </row>
    <row r="10" customFormat="false" ht="14.25" hidden="false" customHeight="true" outlineLevel="0" collapsed="false">
      <c r="A10" s="3"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14.2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t="s">
        <v>20</v>
      </c>
    </row>
    <row r="25" customFormat="false" ht="14.25" hidden="false" customHeight="true" outlineLevel="0" collapsed="false">
      <c r="A25" s="3" t="s">
        <v>21</v>
      </c>
    </row>
    <row r="26" customFormat="false" ht="14.25" hidden="false" customHeight="true" outlineLevel="0" collapsed="false">
      <c r="A26" s="3" t="s">
        <v>22</v>
      </c>
    </row>
    <row r="27" customFormat="false" ht="14.25" hidden="false" customHeight="true" outlineLevel="0" collapsed="false">
      <c r="A27" s="6" t="s">
        <v>23</v>
      </c>
    </row>
    <row r="28" customFormat="false" ht="14.25" hidden="false" customHeight="true" outlineLevel="0" collapsed="false">
      <c r="A28" s="6" t="s">
        <v>24</v>
      </c>
    </row>
    <row r="29" customFormat="false" ht="14.25" hidden="false" customHeight="true" outlineLevel="0" collapsed="false">
      <c r="A29" s="3" t="s">
        <v>25</v>
      </c>
    </row>
    <row r="30" customFormat="false" ht="14.25" hidden="false" customHeight="true" outlineLevel="0" collapsed="false">
      <c r="A30" s="3" t="s">
        <v>26</v>
      </c>
    </row>
    <row r="31" customFormat="false" ht="32.25" hidden="false" customHeight="true" outlineLevel="0" collapsed="false">
      <c r="A31" s="3"/>
    </row>
    <row r="32" customFormat="false" ht="14.25" hidden="false" customHeight="true" outlineLevel="0" collapsed="false">
      <c r="A32" s="5" t="s">
        <v>27</v>
      </c>
    </row>
    <row r="33" customFormat="false" ht="32.25" hidden="false" customHeight="true" outlineLevel="0" collapsed="false">
      <c r="A33" s="3" t="s">
        <v>28</v>
      </c>
    </row>
    <row r="34" customFormat="false" ht="14.25" hidden="false" customHeight="true" outlineLevel="0" collapsed="false">
      <c r="A34" s="3" t="s">
        <v>29</v>
      </c>
    </row>
    <row r="35" customFormat="false" ht="21.75" hidden="false" customHeight="true" outlineLevel="0" collapsed="false"/>
    <row r="36" customFormat="false" ht="14.25" hidden="false" customHeight="true" outlineLevel="0" collapsed="false">
      <c r="A36" s="7" t="s">
        <v>30</v>
      </c>
    </row>
    <row r="37" customFormat="false" ht="14.25" hidden="false" customHeight="true" outlineLevel="0" collapsed="false">
      <c r="A37" s="8" t="s">
        <v>31</v>
      </c>
    </row>
    <row r="38" customFormat="false" ht="14.25" hidden="false" customHeight="true" outlineLevel="0" collapsed="false">
      <c r="A38" s="3"/>
    </row>
    <row r="39" customFormat="false" ht="14.25" hidden="false" customHeight="true" outlineLevel="0" collapsed="false">
      <c r="A39" s="5" t="s">
        <v>32</v>
      </c>
    </row>
    <row r="40" customFormat="false" ht="14.25" hidden="false" customHeight="true" outlineLevel="0" collapsed="false">
      <c r="A40" s="3" t="s">
        <v>33</v>
      </c>
    </row>
    <row r="41" customFormat="false" ht="14.25" hidden="false" customHeight="true" outlineLevel="0" collapsed="false">
      <c r="A41" s="3" t="s">
        <v>34</v>
      </c>
    </row>
    <row r="42" customFormat="false" ht="14.25" hidden="false" customHeight="true" outlineLevel="0" collapsed="false">
      <c r="A42" s="3" t="s">
        <v>35</v>
      </c>
    </row>
    <row r="43" customFormat="false" ht="14.25" hidden="false" customHeight="true" outlineLevel="0" collapsed="false">
      <c r="A43" s="3" t="s">
        <v>36</v>
      </c>
    </row>
    <row r="44" customFormat="false" ht="14.25" hidden="false" customHeight="true" outlineLevel="0" collapsed="false">
      <c r="A44" s="3" t="s">
        <v>37</v>
      </c>
    </row>
    <row r="45" customFormat="false" ht="14.25" hidden="false" customHeight="true" outlineLevel="0" collapsed="false">
      <c r="A45" s="3" t="s">
        <v>38</v>
      </c>
    </row>
    <row r="46" customFormat="false" ht="21.75" hidden="false" customHeight="true" outlineLevel="0" collapsed="false">
      <c r="A46" s="3" t="s">
        <v>39</v>
      </c>
    </row>
    <row r="47" customFormat="false" ht="14.25" hidden="false" customHeight="true" outlineLevel="0" collapsed="false">
      <c r="A47" s="3" t="s">
        <v>40</v>
      </c>
    </row>
    <row r="48" customFormat="false" ht="42.75" hidden="false" customHeight="true" outlineLevel="0" collapsed="false">
      <c r="A48" s="3" t="s">
        <v>41</v>
      </c>
    </row>
    <row r="49" customFormat="false" ht="14.25" hidden="false" customHeight="true" outlineLevel="0" collapsed="false">
      <c r="A49" s="3"/>
    </row>
    <row r="50" customFormat="false" ht="34.5" hidden="false" customHeight="true" outlineLevel="0" collapsed="false">
      <c r="A50" s="3" t="s">
        <v>42</v>
      </c>
    </row>
    <row r="51" customFormat="false" ht="34.5" hidden="false" customHeight="true" outlineLevel="0" collapsed="false">
      <c r="A51" s="3"/>
    </row>
    <row r="52" customFormat="false" ht="14.25" hidden="false" customHeight="true" outlineLevel="0" collapsed="false">
      <c r="A52" s="9" t="s">
        <v>43</v>
      </c>
    </row>
    <row r="53" customFormat="false" ht="14.25" hidden="false" customHeight="true" outlineLevel="0" collapsed="false">
      <c r="A53" s="9" t="s">
        <v>44</v>
      </c>
    </row>
    <row r="54" customFormat="false" ht="14.25" hidden="false" customHeight="true" outlineLevel="0" collapsed="false">
      <c r="A54" s="1" t="s">
        <v>45</v>
      </c>
    </row>
    <row r="55" customFormat="false" ht="14.25" hidden="false" customHeight="true" outlineLevel="0" collapsed="false">
      <c r="A55" s="1" t="s">
        <v>46</v>
      </c>
    </row>
    <row r="56" customFormat="false" ht="14.25" hidden="false" customHeight="true" outlineLevel="0" collapsed="false">
      <c r="A56" s="1" t="s">
        <v>47</v>
      </c>
    </row>
    <row r="57" customFormat="false" ht="14.25" hidden="false" customHeight="true" outlineLevel="0" collapsed="false">
      <c r="A57" s="1" t="s">
        <v>48</v>
      </c>
    </row>
    <row r="58" customFormat="false" ht="14.25" hidden="false" customHeight="true" outlineLevel="0" collapsed="false">
      <c r="A58" s="1" t="s">
        <v>49</v>
      </c>
    </row>
    <row r="59" customFormat="false" ht="14.25" hidden="false" customHeight="true" outlineLevel="0" collapsed="false">
      <c r="A59" s="1" t="s">
        <v>50</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10" activeCellId="0" sqref="J10"/>
    </sheetView>
  </sheetViews>
  <sheetFormatPr defaultColWidth="8.66796875" defaultRowHeight="14.2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1.89"/>
    <col collapsed="false" customWidth="true" hidden="false" outlineLevel="0" max="6" min="6" style="1" width="8"/>
  </cols>
  <sheetData>
    <row r="1" s="11" customFormat="true" ht="54" hidden="false" customHeight="true" outlineLevel="0" collapsed="false">
      <c r="A1" s="10" t="s">
        <v>51</v>
      </c>
      <c r="B1" s="10"/>
      <c r="C1" s="10"/>
      <c r="D1" s="10"/>
      <c r="E1" s="10"/>
      <c r="F1" s="10"/>
    </row>
    <row r="2" customFormat="false" ht="15" hidden="false" customHeight="true" outlineLevel="0" collapsed="false">
      <c r="A2" s="12" t="s">
        <v>52</v>
      </c>
      <c r="B2" s="12"/>
      <c r="C2" s="12"/>
      <c r="D2" s="12"/>
      <c r="E2" s="12"/>
      <c r="F2" s="12"/>
    </row>
    <row r="4" customFormat="false" ht="15" hidden="false" customHeight="true" outlineLevel="0" collapsed="false">
      <c r="A4" s="13" t="s">
        <v>53</v>
      </c>
      <c r="B4" s="13"/>
      <c r="C4" s="13"/>
      <c r="D4" s="13"/>
      <c r="E4" s="13"/>
      <c r="F4" s="13"/>
    </row>
    <row r="5" customFormat="false" ht="15" hidden="false" customHeight="true" outlineLevel="0" collapsed="false">
      <c r="A5" s="14" t="s">
        <v>54</v>
      </c>
      <c r="B5" s="14"/>
      <c r="C5" s="14"/>
      <c r="D5" s="14"/>
      <c r="E5" s="15" t="n">
        <f aca="false">COUNTIF('Watch List Tracker'!K3:K22,"*SELL WITHIN 30 DAYS*")</f>
        <v>0</v>
      </c>
      <c r="F5" s="15"/>
    </row>
    <row r="6" customFormat="false" ht="15" hidden="false" customHeight="true" outlineLevel="0" collapsed="false">
      <c r="A6" s="14" t="s">
        <v>55</v>
      </c>
      <c r="B6" s="14"/>
      <c r="C6" s="14"/>
      <c r="D6" s="14"/>
      <c r="E6" s="15" t="n">
        <f aca="false">COUNTIF('Watch List Tracker'!K3:K22,"DEADLINE APPROACHING")</f>
        <v>0</v>
      </c>
      <c r="F6" s="15"/>
    </row>
    <row r="7" customFormat="false" ht="15" hidden="false" customHeight="true" outlineLevel="0" collapsed="false">
      <c r="A7" s="14" t="s">
        <v>56</v>
      </c>
      <c r="B7" s="14"/>
      <c r="C7" s="14"/>
      <c r="D7" s="14"/>
      <c r="E7" s="15" t="n">
        <f aca="false">COUNTIF('Watch List Tracker'!K3:K22,"*RECOVERED*")</f>
        <v>0</v>
      </c>
      <c r="F7" s="15"/>
    </row>
    <row r="8" customFormat="false" ht="15" hidden="false" customHeight="true" outlineLevel="0" collapsed="false">
      <c r="A8" s="16"/>
      <c r="B8" s="16"/>
      <c r="C8" s="16"/>
      <c r="D8" s="16"/>
    </row>
    <row r="9" customFormat="false" ht="15" hidden="false" customHeight="true" outlineLevel="0" collapsed="false">
      <c r="A9" s="13" t="s">
        <v>57</v>
      </c>
      <c r="B9" s="13"/>
      <c r="C9" s="13"/>
      <c r="D9" s="13"/>
      <c r="E9" s="13"/>
      <c r="F9" s="13"/>
    </row>
    <row r="10" customFormat="false" ht="15" hidden="false" customHeight="true" outlineLevel="0" collapsed="false">
      <c r="A10" s="14" t="s">
        <v>58</v>
      </c>
      <c r="B10" s="14"/>
      <c r="C10" s="14"/>
      <c r="D10" s="14"/>
      <c r="E10" s="15" t="n">
        <f aca="false">COUNTIF('Holding Monitor'!AB4:AB23,"*ACTION REQUIRED*")</f>
        <v>0</v>
      </c>
      <c r="F10" s="15"/>
    </row>
    <row r="11" customFormat="false" ht="15" hidden="false" customHeight="true" outlineLevel="0" collapsed="false">
      <c r="A11" s="14" t="s">
        <v>59</v>
      </c>
      <c r="B11" s="14"/>
      <c r="C11" s="14"/>
      <c r="D11" s="14"/>
      <c r="E11" s="15" t="n">
        <f aca="false">COUNTIF('Holding Monitor'!AB4:AB23,"*Hold Through*")</f>
        <v>0</v>
      </c>
      <c r="F11" s="15"/>
    </row>
    <row r="12" customFormat="false" ht="15" hidden="false" customHeight="true" outlineLevel="0" collapsed="false">
      <c r="A12" s="16"/>
      <c r="B12" s="16"/>
      <c r="C12" s="16"/>
      <c r="D12" s="16"/>
    </row>
    <row r="13" customFormat="false" ht="15" hidden="false" customHeight="true" outlineLevel="0" collapsed="false">
      <c r="A13" s="13" t="s">
        <v>60</v>
      </c>
      <c r="B13" s="13"/>
      <c r="C13" s="13"/>
      <c r="D13" s="13"/>
      <c r="E13" s="13"/>
      <c r="F13" s="13"/>
    </row>
    <row r="14" customFormat="false" ht="15" hidden="false" customHeight="true" outlineLevel="0" collapsed="false">
      <c r="A14" s="14" t="s">
        <v>61</v>
      </c>
      <c r="B14" s="14"/>
      <c r="C14" s="14"/>
      <c r="D14" s="14"/>
      <c r="E14" s="17" t="str">
        <f aca="false">'Correlation Matrix'!J3</f>
        <v>REVIEW REQUIRED</v>
      </c>
      <c r="F14" s="17"/>
    </row>
    <row r="15" customFormat="false" ht="15" hidden="false" customHeight="true" outlineLevel="0" collapsed="false">
      <c r="A15" s="14" t="s">
        <v>62</v>
      </c>
      <c r="B15" s="14"/>
      <c r="C15" s="14"/>
      <c r="D15" s="14"/>
      <c r="E15" s="18" t="n">
        <f aca="false">'Correlation Matrix'!J2</f>
        <v>5</v>
      </c>
      <c r="F15" s="18"/>
    </row>
    <row r="16" customFormat="false" ht="15" hidden="false" customHeight="true" outlineLevel="0" collapsed="false">
      <c r="A16" s="16"/>
      <c r="B16" s="16"/>
      <c r="C16" s="16"/>
      <c r="D16" s="16"/>
    </row>
    <row r="17" customFormat="false" ht="15" hidden="false" customHeight="true" outlineLevel="0" collapsed="false">
      <c r="A17" s="13" t="s">
        <v>63</v>
      </c>
      <c r="B17" s="13"/>
      <c r="C17" s="13"/>
      <c r="D17" s="13"/>
      <c r="E17" s="13"/>
      <c r="F17" s="13"/>
    </row>
    <row r="18" customFormat="false" ht="15" hidden="false" customHeight="true" outlineLevel="0" collapsed="false">
      <c r="A18" s="14" t="s">
        <v>64</v>
      </c>
      <c r="B18" s="14"/>
      <c r="C18" s="14"/>
      <c r="D18" s="14"/>
      <c r="E18" s="15" t="str">
        <f aca="false">IFERROR(INDEX('Portfolio Drawdown Log'!E3:E42,COUNT('Portfolio Drawdown Log'!D3:D42)),"No entries yet")</f>
        <v>Normal</v>
      </c>
      <c r="F18" s="15"/>
    </row>
    <row r="19" customFormat="false" ht="15" hidden="false" customHeight="true" outlineLevel="0" collapsed="false">
      <c r="A19" s="14" t="s">
        <v>65</v>
      </c>
      <c r="B19" s="14"/>
      <c r="C19" s="14"/>
      <c r="D19" s="14"/>
      <c r="E19" s="19" t="n">
        <f aca="false">IFERROR(INDEX('Portfolio Drawdown Log'!D3:D42,COUNT('Portfolio Drawdown Log'!D3:D42)),"")</f>
        <v>0</v>
      </c>
      <c r="F19" s="19"/>
    </row>
    <row r="20" customFormat="false" ht="15" hidden="false" customHeight="true" outlineLevel="0" collapsed="false">
      <c r="A20" s="14" t="s">
        <v>66</v>
      </c>
      <c r="B20" s="14"/>
      <c r="C20" s="14"/>
      <c r="D20" s="14"/>
      <c r="E20" s="15" t="str">
        <f aca="false">IFERROR(INDEX('Portfolio Drawdown Log'!F3:F42,COUNT('Portfolio Drawdown Log'!D3:D42)),"")</f>
        <v>5-15%</v>
      </c>
      <c r="F20" s="15"/>
    </row>
    <row r="21" customFormat="false" ht="15" hidden="false" customHeight="true" outlineLevel="0" collapsed="false">
      <c r="A21" s="16"/>
      <c r="B21" s="16"/>
      <c r="C21" s="16"/>
      <c r="D21" s="16"/>
    </row>
    <row r="22" customFormat="false" ht="15" hidden="false" customHeight="true" outlineLevel="0" collapsed="false">
      <c r="A22" s="13" t="s">
        <v>67</v>
      </c>
      <c r="B22" s="13"/>
      <c r="C22" s="13"/>
      <c r="D22" s="13"/>
      <c r="E22" s="13"/>
      <c r="F22" s="13"/>
    </row>
    <row r="23" customFormat="false" ht="15" hidden="false" customHeight="true" outlineLevel="0" collapsed="false">
      <c r="A23" s="14" t="s">
        <v>68</v>
      </c>
      <c r="B23" s="14"/>
      <c r="C23" s="14"/>
      <c r="D23" s="14"/>
      <c r="E23" s="15" t="n">
        <f aca="false">COUNTIF(Scoring!AH3:AH60,"FAIL")</f>
        <v>19</v>
      </c>
      <c r="F23" s="15"/>
    </row>
    <row r="24" customFormat="false" ht="15" hidden="false" customHeight="true" outlineLevel="0" collapsed="false">
      <c r="A24" s="14" t="s">
        <v>69</v>
      </c>
      <c r="B24" s="14"/>
      <c r="C24" s="14"/>
      <c r="D24" s="14"/>
      <c r="E24" s="15" t="n">
        <f aca="false">COUNTIF(Scoring!AJ3:AJ60,"AVOID")</f>
        <v>23</v>
      </c>
      <c r="F24" s="15"/>
    </row>
    <row r="25" customFormat="false" ht="15" hidden="false" customHeight="true" outlineLevel="0" collapsed="false">
      <c r="A25" s="14" t="s">
        <v>70</v>
      </c>
      <c r="B25" s="14"/>
      <c r="C25" s="14"/>
      <c r="D25" s="14"/>
      <c r="E25" s="15" t="n">
        <f aca="false">COUNTIF(Scoring!AI3:AI60,"REVIEW")</f>
        <v>14</v>
      </c>
      <c r="F25" s="15"/>
    </row>
    <row r="26" customFormat="false" ht="15" hidden="false" customHeight="true" outlineLevel="0" collapsed="false">
      <c r="A26" s="14" t="s">
        <v>71</v>
      </c>
      <c r="B26" s="14"/>
      <c r="C26" s="14"/>
      <c r="D26" s="14"/>
      <c r="E26" s="15" t="n">
        <f aca="false">COUNTIF(Scoring!AK3:AK60,"CAP AT BUY")</f>
        <v>0</v>
      </c>
      <c r="F26" s="15"/>
    </row>
    <row r="27" customFormat="false" ht="15" hidden="false" customHeight="true" outlineLevel="0" collapsed="false">
      <c r="A27" s="13" t="s">
        <v>72</v>
      </c>
      <c r="B27" s="13"/>
      <c r="C27" s="13"/>
      <c r="D27" s="13"/>
      <c r="E27" s="13"/>
      <c r="F27" s="13"/>
    </row>
    <row r="28" customFormat="false" ht="15" hidden="false" customHeight="true" outlineLevel="0" collapsed="false">
      <c r="A28" s="20" t="s">
        <v>73</v>
      </c>
      <c r="B28" s="20"/>
      <c r="C28" s="20"/>
      <c r="D28" s="20"/>
      <c r="E28" s="15" t="n">
        <f aca="false">COUNTIF('Entry Checklist'!R3:R47,"NO*")</f>
        <v>1</v>
      </c>
      <c r="F28" s="15"/>
    </row>
    <row r="29" customFormat="false" ht="15" hidden="false" customHeight="true" outlineLevel="0" collapsed="false">
      <c r="A29" s="20" t="s">
        <v>74</v>
      </c>
      <c r="B29" s="20"/>
      <c r="C29" s="20"/>
      <c r="D29" s="20"/>
      <c r="E29" s="15" t="n">
        <f aca="false">COUNTIF('Entry Checklist'!H3:H47,"*50%*")</f>
        <v>0</v>
      </c>
      <c r="F29" s="15"/>
    </row>
    <row r="30" customFormat="false" ht="15" hidden="false" customHeight="true" outlineLevel="0" collapsed="false">
      <c r="A30" s="16"/>
      <c r="B30" s="16"/>
      <c r="C30" s="16"/>
      <c r="D30" s="16"/>
    </row>
    <row r="31" customFormat="false" ht="55.5" hidden="false" customHeight="true" outlineLevel="0" collapsed="false">
      <c r="A31" s="21" t="s">
        <v>75</v>
      </c>
      <c r="B31" s="21"/>
      <c r="C31" s="21"/>
      <c r="D31" s="21"/>
      <c r="E31" s="21"/>
      <c r="F31" s="21"/>
    </row>
    <row r="32" customFormat="false" ht="29.25" hidden="false" customHeight="true" outlineLevel="0" collapsed="false">
      <c r="A32" s="22" t="s">
        <v>76</v>
      </c>
      <c r="B32" s="22"/>
      <c r="C32" s="22"/>
      <c r="D32" s="22"/>
      <c r="E32" s="15" t="n">
        <f aca="false">COUNTIF(Scoring!AP3:AP60,"LOW CONF")</f>
        <v>2</v>
      </c>
      <c r="F32" s="15"/>
    </row>
    <row r="33" customFormat="false" ht="15" hidden="false" customHeight="true" outlineLevel="0" collapsed="false">
      <c r="A33" s="14" t="s">
        <v>77</v>
      </c>
      <c r="B33" s="14"/>
      <c r="C33" s="14"/>
      <c r="D33" s="14"/>
      <c r="E33" s="15" t="n">
        <f aca="false">COUNTIF(Scoring!AS3:AS60,"Increased")</f>
        <v>5</v>
      </c>
      <c r="F33" s="15"/>
    </row>
    <row r="34" customFormat="false" ht="15" hidden="false" customHeight="true" outlineLevel="0" collapsed="false">
      <c r="A34" s="16"/>
      <c r="B34" s="16"/>
      <c r="C34" s="16"/>
      <c r="D34" s="16"/>
    </row>
    <row r="35" customFormat="false" ht="15" hidden="false" customHeight="true" outlineLevel="0" collapsed="false">
      <c r="A35" s="16"/>
      <c r="B35" s="16"/>
      <c r="C35" s="16"/>
      <c r="D35" s="16"/>
    </row>
    <row r="36" customFormat="false" ht="15" hidden="false" customHeight="true" outlineLevel="0" collapsed="false">
      <c r="A36" s="16"/>
      <c r="B36" s="16"/>
      <c r="C36" s="16"/>
      <c r="D36" s="16"/>
    </row>
    <row r="37" customFormat="false" ht="15" hidden="false" customHeight="true" outlineLevel="0" collapsed="false">
      <c r="A37" s="16"/>
      <c r="B37" s="16"/>
      <c r="C37" s="16"/>
      <c r="D37" s="16"/>
    </row>
    <row r="38" customFormat="false" ht="15" hidden="false" customHeight="true" outlineLevel="0" collapsed="false">
      <c r="A38" s="16"/>
      <c r="B38" s="16"/>
      <c r="C38" s="16"/>
      <c r="D38" s="16"/>
    </row>
    <row r="39" customFormat="false" ht="15" hidden="false" customHeight="true" outlineLevel="0" collapsed="false">
      <c r="A39" s="16"/>
      <c r="B39" s="16"/>
      <c r="C39" s="16"/>
      <c r="D39" s="16"/>
    </row>
    <row r="40" customFormat="false" ht="15" hidden="false" customHeight="true" outlineLevel="0" collapsed="false">
      <c r="A40" s="16"/>
      <c r="B40" s="16"/>
      <c r="C40" s="16"/>
      <c r="D40" s="16"/>
    </row>
    <row r="41" customFormat="false" ht="15" hidden="false" customHeight="true" outlineLevel="0" collapsed="false">
      <c r="A41" s="16"/>
      <c r="B41" s="16"/>
      <c r="C41" s="16"/>
      <c r="D41" s="16"/>
    </row>
    <row r="42" customFormat="false" ht="15" hidden="false" customHeight="true" outlineLevel="0" collapsed="false">
      <c r="A42" s="16"/>
      <c r="B42" s="16"/>
      <c r="C42" s="16"/>
      <c r="D42" s="16"/>
    </row>
    <row r="43" customFormat="false" ht="15" hidden="false" customHeight="true" outlineLevel="0" collapsed="false">
      <c r="A43" s="16"/>
      <c r="B43" s="16"/>
      <c r="C43" s="16"/>
      <c r="D43" s="16"/>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G32" activePane="bottomRight" state="frozen"/>
      <selection pane="topLeft" activeCell="A1" activeCellId="0" sqref="A1"/>
      <selection pane="topRight" activeCell="G1" activeCellId="0" sqref="G1"/>
      <selection pane="bottomLeft" activeCell="A32" activeCellId="0" sqref="A32"/>
      <selection pane="bottomRight" activeCell="I16" activeCellId="0" sqref="I16"/>
    </sheetView>
  </sheetViews>
  <sheetFormatPr defaultColWidth="8.66796875" defaultRowHeight="14.25" customHeight="false" zeroHeight="false" outlineLevelRow="1" outlineLevelCol="0"/>
  <cols>
    <col collapsed="false" customWidth="true" hidden="false" outlineLevel="0" max="1" min="1" style="1" width="11"/>
    <col collapsed="false" customWidth="true" hidden="false" outlineLevel="0" max="2" min="2" style="23" width="9"/>
    <col collapsed="false" customWidth="true" hidden="false" outlineLevel="0" max="3" min="3" style="1" width="30"/>
    <col collapsed="false" customWidth="true" hidden="false" outlineLevel="0" max="4" min="4" style="23" width="11.11"/>
    <col collapsed="false" customWidth="true" hidden="false" outlineLevel="0" max="5" min="5" style="1" width="11.77"/>
    <col collapsed="false" customWidth="true" hidden="false" outlineLevel="0" max="6" min="6" style="24" width="10"/>
    <col collapsed="false" customWidth="true" hidden="false" outlineLevel="0" max="7" min="7" style="1" width="13.75"/>
    <col collapsed="false" customWidth="true" hidden="false" outlineLevel="0" max="8" min="8" style="1" width="13"/>
    <col collapsed="false" customWidth="true" hidden="false" outlineLevel="0" max="9" min="9" style="1" width="9.88"/>
    <col collapsed="false" customWidth="true" hidden="false" outlineLevel="0" max="10" min="10" style="23" width="11"/>
    <col collapsed="false" customWidth="false" hidden="false" outlineLevel="0" max="11" min="11" style="23" width="8.67"/>
    <col collapsed="false" customWidth="true" hidden="false" outlineLevel="0" max="12" min="12" style="23"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25" t="s">
        <v>78</v>
      </c>
      <c r="B1" s="25"/>
      <c r="C1" s="25"/>
      <c r="D1" s="25"/>
      <c r="E1" s="25"/>
      <c r="F1" s="25"/>
      <c r="G1" s="25"/>
      <c r="H1" s="25"/>
      <c r="I1" s="25"/>
      <c r="J1" s="25"/>
      <c r="K1" s="25"/>
      <c r="L1" s="25"/>
      <c r="M1" s="25"/>
      <c r="O1" s="26" t="s">
        <v>79</v>
      </c>
      <c r="P1" s="26"/>
    </row>
    <row r="2" customFormat="false" ht="26.25" hidden="false" customHeight="true" outlineLevel="0" collapsed="false">
      <c r="A2" s="27" t="s">
        <v>80</v>
      </c>
      <c r="B2" s="27" t="s">
        <v>81</v>
      </c>
      <c r="C2" s="27" t="s">
        <v>82</v>
      </c>
      <c r="D2" s="27" t="s">
        <v>83</v>
      </c>
      <c r="E2" s="27" t="s">
        <v>84</v>
      </c>
      <c r="F2" s="27" t="s">
        <v>85</v>
      </c>
      <c r="G2" s="27" t="s">
        <v>86</v>
      </c>
      <c r="H2" s="27" t="s">
        <v>87</v>
      </c>
      <c r="I2" s="27" t="s">
        <v>88</v>
      </c>
      <c r="J2" s="27" t="s">
        <v>89</v>
      </c>
      <c r="K2" s="27" t="s">
        <v>90</v>
      </c>
      <c r="L2" s="27" t="s">
        <v>91</v>
      </c>
      <c r="M2" s="27" t="s">
        <v>92</v>
      </c>
      <c r="O2" s="1" t="s">
        <v>93</v>
      </c>
    </row>
    <row r="3" customFormat="false" ht="15" hidden="false" customHeight="true" outlineLevel="0" collapsed="false">
      <c r="A3" s="28" t="s">
        <v>94</v>
      </c>
      <c r="B3" s="29" t="s">
        <v>95</v>
      </c>
      <c r="C3" s="30" t="s">
        <v>96</v>
      </c>
      <c r="D3" s="31" t="s">
        <v>97</v>
      </c>
      <c r="E3" s="30" t="n">
        <v>65</v>
      </c>
      <c r="F3" s="32" t="n">
        <f aca="false">IF(IFERROR(INDEX('Monitor &amp; Recheck Triggers'!$H$3:$H$48,MATCH($B3,'Monitor &amp; Recheck Triggers'!$A$3:$A$48,0)),"")="",266.51,INDEX('Monitor &amp; Recheck Triggers'!$H$3:$H$48,MATCH($B3,'Monitor &amp; Recheck Triggers'!$A$3:$A$48,0)))</f>
        <v>266.51</v>
      </c>
      <c r="G3" s="33" t="n">
        <f aca="false">E3*F3</f>
        <v>17323.15</v>
      </c>
      <c r="H3" s="34" t="n">
        <v>19163.84</v>
      </c>
      <c r="I3" s="35" t="n">
        <f aca="false">G3-H3</f>
        <v>-1840.69</v>
      </c>
      <c r="J3" s="36" t="n">
        <f aca="false">IF(H3=0,"",G3/H3-1)</f>
        <v>-0.0960501653113365</v>
      </c>
      <c r="K3" s="36" t="n">
        <f aca="false">IFERROR(G3/SUM(G3:G23),"")</f>
        <v>0.037012962240533</v>
      </c>
      <c r="L3" s="36" t="n">
        <f aca="false">IFERROR(G3/(SUM(G3:G23,G27:G46)),"")</f>
        <v>0.0223045982701437</v>
      </c>
      <c r="M3" s="28" t="s">
        <v>98</v>
      </c>
      <c r="O3" s="1" t="s">
        <v>99</v>
      </c>
    </row>
    <row r="4" customFormat="false" ht="15" hidden="false" customHeight="true" outlineLevel="0" collapsed="false">
      <c r="A4" s="28" t="s">
        <v>94</v>
      </c>
      <c r="B4" s="29" t="s">
        <v>100</v>
      </c>
      <c r="C4" s="30" t="s">
        <v>101</v>
      </c>
      <c r="D4" s="31" t="s">
        <v>97</v>
      </c>
      <c r="E4" s="30" t="n">
        <v>70</v>
      </c>
      <c r="F4" s="32" t="n">
        <f aca="false">IF(IFERROR(INDEX('Monitor &amp; Recheck Triggers'!$H$3:$H$48,MATCH($B4,'Monitor &amp; Recheck Triggers'!$A$3:$A$48,0)),"")="",193.78,INDEX('Monitor &amp; Recheck Triggers'!$H$3:$H$48,MATCH($B4,'Monitor &amp; Recheck Triggers'!$A$3:$A$48,0)))</f>
        <v>193.78</v>
      </c>
      <c r="G4" s="33" t="n">
        <f aca="false">E4*F4</f>
        <v>13564.6</v>
      </c>
      <c r="H4" s="34" t="n">
        <v>10182.2</v>
      </c>
      <c r="I4" s="35" t="n">
        <f aca="false">G4-H4</f>
        <v>3382.4</v>
      </c>
      <c r="J4" s="36" t="n">
        <f aca="false">IF(H4=0,"",G4/H4-1)</f>
        <v>0.332187542967139</v>
      </c>
      <c r="K4" s="36" t="n">
        <f aca="false">IFERROR(G4/SUM(G3:G23),"")</f>
        <v>0.0289823748918606</v>
      </c>
      <c r="L4" s="36" t="n">
        <f aca="false">IFERROR(G4/(SUM(G3:G23,G27:G46)),"")</f>
        <v>0.0174652389256683</v>
      </c>
      <c r="M4" s="28"/>
    </row>
    <row r="5" customFormat="false" ht="15" hidden="false" customHeight="true" outlineLevel="0" collapsed="false">
      <c r="A5" s="28" t="s">
        <v>94</v>
      </c>
      <c r="B5" s="29" t="s">
        <v>102</v>
      </c>
      <c r="C5" s="30" t="s">
        <v>103</v>
      </c>
      <c r="D5" s="31" t="s">
        <v>97</v>
      </c>
      <c r="E5" s="30" t="n">
        <v>7</v>
      </c>
      <c r="F5" s="32" t="n">
        <f aca="false">IF(IFERROR(INDEX('Monitor &amp; Recheck Triggers'!$H$3:$H$48,MATCH($B5,'Monitor &amp; Recheck Triggers'!$A$3:$A$48,0)),"")="",1714.88,INDEX('Monitor &amp; Recheck Triggers'!$H$3:$H$48,MATCH($B5,'Monitor &amp; Recheck Triggers'!$A$3:$A$48,0)))</f>
        <v>1714.88</v>
      </c>
      <c r="G5" s="33" t="n">
        <f aca="false">E5*F5</f>
        <v>12004.16</v>
      </c>
      <c r="H5" s="34" t="n">
        <v>9989.88</v>
      </c>
      <c r="I5" s="35" t="n">
        <f aca="false">G5-H5</f>
        <v>2014.28</v>
      </c>
      <c r="J5" s="36" t="n">
        <f aca="false">IF(H5=0,"",G5/H5-1)</f>
        <v>0.201632051636256</v>
      </c>
      <c r="K5" s="36" t="n">
        <f aca="false">IFERROR(G5/SUM(G3:G23),"")</f>
        <v>0.0256483099672587</v>
      </c>
      <c r="L5" s="36" t="n">
        <f aca="false">IFERROR(G5/(SUM(G3:G23,G27:G46)),"")</f>
        <v>0.0154560785059604</v>
      </c>
      <c r="M5" s="28"/>
    </row>
    <row r="6" customFormat="false" ht="15" hidden="false" customHeight="true" outlineLevel="0" collapsed="false">
      <c r="A6" s="28" t="s">
        <v>94</v>
      </c>
      <c r="B6" s="29" t="s">
        <v>104</v>
      </c>
      <c r="C6" s="30" t="s">
        <v>105</v>
      </c>
      <c r="D6" s="31" t="s">
        <v>97</v>
      </c>
      <c r="E6" s="30" t="n">
        <v>40</v>
      </c>
      <c r="F6" s="32" t="n">
        <f aca="false">IF(IFERROR(INDEX('Monitor &amp; Recheck Triggers'!$H$3:$H$48,MATCH($B6,'Monitor &amp; Recheck Triggers'!$A$3:$A$48,0)),"")="",213.1,INDEX('Monitor &amp; Recheck Triggers'!$H$3:$H$48,MATCH($B6,'Monitor &amp; Recheck Triggers'!$A$3:$A$48,0)))</f>
        <v>213.1</v>
      </c>
      <c r="G6" s="33" t="n">
        <f aca="false">E6*F6</f>
        <v>8524</v>
      </c>
      <c r="H6" s="34" t="n">
        <v>4991.35</v>
      </c>
      <c r="I6" s="35" t="n">
        <f aca="false">G6-H6</f>
        <v>3532.65</v>
      </c>
      <c r="J6" s="36" t="n">
        <f aca="false">IF(H6=0,"",G6/H6-1)</f>
        <v>0.707754415138189</v>
      </c>
      <c r="K6" s="36" t="n">
        <f aca="false">IFERROR(G6/SUM(G3:G23),"")</f>
        <v>0.0182125358343202</v>
      </c>
      <c r="L6" s="36" t="n">
        <f aca="false">IFERROR(G6/(SUM(G3:G23,G27:G46)),"")</f>
        <v>0.0109751630422126</v>
      </c>
      <c r="M6" s="28"/>
    </row>
    <row r="7" customFormat="false" ht="15" hidden="false" customHeight="true" outlineLevel="0" collapsed="false">
      <c r="A7" s="28" t="s">
        <v>94</v>
      </c>
      <c r="B7" s="29" t="s">
        <v>106</v>
      </c>
      <c r="C7" s="30" t="s">
        <v>107</v>
      </c>
      <c r="D7" s="31" t="s">
        <v>97</v>
      </c>
      <c r="E7" s="30" t="n">
        <v>100</v>
      </c>
      <c r="F7" s="32" t="n">
        <f aca="false">IF(IFERROR(INDEX('Monitor &amp; Recheck Triggers'!$H$3:$H$48,MATCH($B7,'Monitor &amp; Recheck Triggers'!$A$3:$A$48,0)),"")="",185.6,INDEX('Monitor &amp; Recheck Triggers'!$H$3:$H$48,MATCH($B7,'Monitor &amp; Recheck Triggers'!$A$3:$A$48,0)))</f>
        <v>185.6</v>
      </c>
      <c r="G7" s="33" t="n">
        <f aca="false">E7*F7</f>
        <v>18560</v>
      </c>
      <c r="H7" s="34" t="n">
        <v>15412.54</v>
      </c>
      <c r="I7" s="35" t="n">
        <f aca="false">G7-H7</f>
        <v>3147.46</v>
      </c>
      <c r="J7" s="36" t="n">
        <f aca="false">IF(H7=0,"",G7/H7-1)</f>
        <v>0.204214230749766</v>
      </c>
      <c r="K7" s="36" t="n">
        <f aca="false">IFERROR(G7/SUM(G3:G23),"")</f>
        <v>0.0396556387945779</v>
      </c>
      <c r="L7" s="36" t="n">
        <f aca="false">IFERROR(G7/(SUM(G3:G23,G27:G46)),"")</f>
        <v>0.023897117088628</v>
      </c>
      <c r="M7" s="28"/>
    </row>
    <row r="8" customFormat="false" ht="15" hidden="false" customHeight="true" outlineLevel="0" collapsed="false">
      <c r="A8" s="28" t="s">
        <v>94</v>
      </c>
      <c r="B8" s="29" t="s">
        <v>108</v>
      </c>
      <c r="C8" s="30" t="s">
        <v>109</v>
      </c>
      <c r="D8" s="31" t="s">
        <v>97</v>
      </c>
      <c r="E8" s="30" t="n">
        <v>7</v>
      </c>
      <c r="F8" s="32" t="n">
        <f aca="false">IF(IFERROR(INDEX('Monitor &amp; Recheck Triggers'!$H$3:$H$48,MATCH($B8,'Monitor &amp; Recheck Triggers'!$A$3:$A$48,0)),"")="",1016.59,INDEX('Monitor &amp; Recheck Triggers'!$H$3:$H$48,MATCH($B8,'Monitor &amp; Recheck Triggers'!$A$3:$A$48,0)))</f>
        <v>1016.59</v>
      </c>
      <c r="G8" s="33" t="n">
        <f aca="false">E8*F8</f>
        <v>7116.13</v>
      </c>
      <c r="H8" s="34" t="n">
        <v>5836.11</v>
      </c>
      <c r="I8" s="35" t="n">
        <f aca="false">G8-H8</f>
        <v>1280.02</v>
      </c>
      <c r="J8" s="36" t="n">
        <f aca="false">IF(H8=0,"",G8/H8-1)</f>
        <v>0.219327600062371</v>
      </c>
      <c r="K8" s="36" t="n">
        <f aca="false">IFERROR(G8/SUM(G3:G23),"")</f>
        <v>0.0152044547896153</v>
      </c>
      <c r="L8" s="36" t="n">
        <f aca="false">IFERROR(G8/(SUM(G3:G23,G27:G46)),"")</f>
        <v>0.00916244568038246</v>
      </c>
      <c r="M8" s="28"/>
    </row>
    <row r="9" customFormat="false" ht="15" hidden="false" customHeight="true" outlineLevel="0" collapsed="false">
      <c r="A9" s="28" t="s">
        <v>94</v>
      </c>
      <c r="B9" s="29" t="s">
        <v>110</v>
      </c>
      <c r="C9" s="30" t="s">
        <v>111</v>
      </c>
      <c r="D9" s="31" t="s">
        <v>97</v>
      </c>
      <c r="E9" s="30" t="n">
        <v>155</v>
      </c>
      <c r="F9" s="32" t="n">
        <f aca="false">IF(IFERROR(INDEX('Monitor &amp; Recheck Triggers'!$H$3:$H$48,MATCH($B9,'Monitor &amp; Recheck Triggers'!$A$3:$A$48,0)),"")="",230.36,INDEX('Monitor &amp; Recheck Triggers'!$H$3:$H$48,MATCH($B9,'Monitor &amp; Recheck Triggers'!$A$3:$A$48,0)))</f>
        <v>230.36</v>
      </c>
      <c r="G9" s="33" t="n">
        <f aca="false">E9*F9</f>
        <v>35705.8</v>
      </c>
      <c r="H9" s="34" t="n">
        <v>26639.79</v>
      </c>
      <c r="I9" s="35" t="n">
        <f aca="false">G9-H9</f>
        <v>9066.01</v>
      </c>
      <c r="J9" s="36" t="n">
        <f aca="false">IF(H9=0,"",G9/H9-1)</f>
        <v>0.340318373380571</v>
      </c>
      <c r="K9" s="36" t="n">
        <f aca="false">IFERROR(G9/SUM(G3:G23),"")</f>
        <v>0.0762896717495388</v>
      </c>
      <c r="L9" s="36" t="n">
        <f aca="false">IFERROR(G9/(SUM(G3:G23,G27:G46)),"")</f>
        <v>0.0459733665594361</v>
      </c>
      <c r="M9" s="28"/>
    </row>
    <row r="10" customFormat="false" ht="15" hidden="false" customHeight="true" outlineLevel="0" collapsed="false">
      <c r="A10" s="28" t="s">
        <v>94</v>
      </c>
      <c r="B10" s="29" t="s">
        <v>112</v>
      </c>
      <c r="C10" s="30" t="s">
        <v>113</v>
      </c>
      <c r="D10" s="31" t="s">
        <v>97</v>
      </c>
      <c r="E10" s="30" t="n">
        <v>70</v>
      </c>
      <c r="F10" s="32" t="n">
        <f aca="false">IF(IFERROR(INDEX('Monitor &amp; Recheck Triggers'!$H$3:$H$48,MATCH($B10,'Monitor &amp; Recheck Triggers'!$A$3:$A$48,0)),"")="",174.33,INDEX('Monitor &amp; Recheck Triggers'!$H$3:$H$48,MATCH($B10,'Monitor &amp; Recheck Triggers'!$A$3:$A$48,0)))</f>
        <v>174.33</v>
      </c>
      <c r="G10" s="33" t="n">
        <f aca="false">E10*F10</f>
        <v>12203.1</v>
      </c>
      <c r="H10" s="34" t="n">
        <v>11612.3</v>
      </c>
      <c r="I10" s="35" t="n">
        <f aca="false">G10-H10</f>
        <v>590.800000000001</v>
      </c>
      <c r="J10" s="36" t="n">
        <f aca="false">IF(H10=0,"",G10/H10-1)</f>
        <v>0.0508770872264754</v>
      </c>
      <c r="K10" s="36" t="n">
        <f aca="false">IFERROR(G10/SUM(G3:G23),"")</f>
        <v>0.026073368845588</v>
      </c>
      <c r="L10" s="36" t="n">
        <f aca="false">IFERROR(G10/(SUM(G3:G23,G27:G46)),"")</f>
        <v>0.0157122257297541</v>
      </c>
      <c r="M10" s="28"/>
    </row>
    <row r="11" customFormat="false" ht="15" hidden="false" customHeight="true" outlineLevel="0" collapsed="false">
      <c r="A11" s="28" t="s">
        <v>94</v>
      </c>
      <c r="B11" s="29" t="s">
        <v>114</v>
      </c>
      <c r="C11" s="30" t="s">
        <v>115</v>
      </c>
      <c r="D11" s="31" t="s">
        <v>97</v>
      </c>
      <c r="E11" s="30" t="n">
        <v>25</v>
      </c>
      <c r="F11" s="32" t="n">
        <f aca="false">IF(IFERROR(INDEX('Monitor &amp; Recheck Triggers'!$H$3:$H$48,MATCH($B11,'Monitor &amp; Recheck Triggers'!$A$3:$A$48,0)),"")="",428.91,INDEX('Monitor &amp; Recheck Triggers'!$H$3:$H$48,MATCH($B11,'Monitor &amp; Recheck Triggers'!$A$3:$A$48,0)))</f>
        <v>428.91</v>
      </c>
      <c r="G11" s="33" t="n">
        <f aca="false">E11*F11</f>
        <v>10722.75</v>
      </c>
      <c r="H11" s="34" t="n">
        <v>6069.64</v>
      </c>
      <c r="I11" s="35" t="n">
        <f aca="false">G11-H11</f>
        <v>4653.11</v>
      </c>
      <c r="J11" s="36" t="n">
        <f aca="false">IF(H11=0,"",G11/H11-1)</f>
        <v>0.76662042559361</v>
      </c>
      <c r="K11" s="36" t="n">
        <f aca="false">IFERROR(G11/SUM(G3:G23),"")</f>
        <v>0.0229104256942112</v>
      </c>
      <c r="L11" s="36" t="n">
        <f aca="false">IFERROR(G11/(SUM(G3:G23,G27:G46)),"")</f>
        <v>0.0138061860055003</v>
      </c>
      <c r="M11" s="28"/>
    </row>
    <row r="12" customFormat="false" ht="15" hidden="false" customHeight="true" outlineLevel="0" collapsed="false">
      <c r="A12" s="28" t="s">
        <v>94</v>
      </c>
      <c r="B12" s="29" t="s">
        <v>116</v>
      </c>
      <c r="C12" s="30" t="s">
        <v>117</v>
      </c>
      <c r="D12" s="31" t="s">
        <v>97</v>
      </c>
      <c r="E12" s="30" t="n">
        <v>30</v>
      </c>
      <c r="F12" s="32" t="n">
        <f aca="false">IF(IFERROR(INDEX('Monitor &amp; Recheck Triggers'!$H$3:$H$48,MATCH($B12,'Monitor &amp; Recheck Triggers'!$A$3:$A$48,0)),"")="",280.53,INDEX('Monitor &amp; Recheck Triggers'!$H$3:$H$48,MATCH($B12,'Monitor &amp; Recheck Triggers'!$A$3:$A$48,0)))</f>
        <v>280.53</v>
      </c>
      <c r="G12" s="33" t="n">
        <f aca="false">E12*F12</f>
        <v>8415.9</v>
      </c>
      <c r="H12" s="34" t="n">
        <v>7876.8</v>
      </c>
      <c r="I12" s="35" t="n">
        <f aca="false">G12-H12</f>
        <v>539.1</v>
      </c>
      <c r="J12" s="36" t="n">
        <f aca="false">IF(H12=0,"",G12/H12-1)</f>
        <v>0.0684414990859232</v>
      </c>
      <c r="K12" s="36" t="n">
        <f aca="false">IFERROR(G12/SUM(G3:G23),"")</f>
        <v>0.0179815673777634</v>
      </c>
      <c r="L12" s="36" t="n">
        <f aca="false">IFERROR(G12/(SUM(G3:G23,G27:G46)),"")</f>
        <v>0.0108359777858936</v>
      </c>
      <c r="M12" s="28"/>
    </row>
    <row r="13" customFormat="false" ht="15" hidden="false" customHeight="true" outlineLevel="0" collapsed="false">
      <c r="A13" s="28" t="s">
        <v>94</v>
      </c>
      <c r="B13" s="29" t="s">
        <v>118</v>
      </c>
      <c r="C13" s="30" t="s">
        <v>119</v>
      </c>
      <c r="D13" s="31" t="s">
        <v>97</v>
      </c>
      <c r="E13" s="30" t="n">
        <v>50</v>
      </c>
      <c r="F13" s="32" t="n">
        <f aca="false">IF(IFERROR(INDEX('Monitor &amp; Recheck Triggers'!$H$3:$H$48,MATCH($B13,'Monitor &amp; Recheck Triggers'!$A$3:$A$48,0)),"")="",367.68,INDEX('Monitor &amp; Recheck Triggers'!$H$3:$H$48,MATCH($B13,'Monitor &amp; Recheck Triggers'!$A$3:$A$48,0)))</f>
        <v>367.68</v>
      </c>
      <c r="G13" s="33" t="n">
        <f aca="false">E13*F13</f>
        <v>18384</v>
      </c>
      <c r="H13" s="34" t="n">
        <v>18448.63</v>
      </c>
      <c r="I13" s="35" t="n">
        <f aca="false">G13-H13</f>
        <v>-64.630000000001</v>
      </c>
      <c r="J13" s="36" t="n">
        <f aca="false">IF(H13=0,"",G13/H13-1)</f>
        <v>-0.00350324116208089</v>
      </c>
      <c r="K13" s="36" t="n">
        <f aca="false">IFERROR(G13/SUM(G3:G23),"")</f>
        <v>0.0392795939439397</v>
      </c>
      <c r="L13" s="36" t="n">
        <f aca="false">IFERROR(G13/(SUM(G3:G23,G27:G46)),"")</f>
        <v>0.0236705064955462</v>
      </c>
      <c r="M13" s="28" t="s">
        <v>120</v>
      </c>
    </row>
    <row r="14" customFormat="false" ht="15" hidden="false" customHeight="true" outlineLevel="0" collapsed="false">
      <c r="A14" s="28" t="s">
        <v>94</v>
      </c>
      <c r="B14" s="37" t="s">
        <v>121</v>
      </c>
      <c r="C14" s="30" t="s">
        <v>122</v>
      </c>
      <c r="D14" s="31" t="s">
        <v>123</v>
      </c>
      <c r="E14" s="30" t="n">
        <v>92777.34</v>
      </c>
      <c r="F14" s="32" t="n">
        <v>1</v>
      </c>
      <c r="G14" s="33" t="n">
        <f aca="false">E14*F14</f>
        <v>92777.34</v>
      </c>
      <c r="H14" s="34" t="n">
        <v>137296.09</v>
      </c>
      <c r="I14" s="35" t="n">
        <f aca="false">G14-H14</f>
        <v>-44518.75</v>
      </c>
      <c r="J14" s="36" t="n">
        <f aca="false">IF(H14=0,"",G14/H14-1)</f>
        <v>-0.324253589450362</v>
      </c>
      <c r="K14" s="36" t="n">
        <f aca="false">IFERROR(G14/SUM(G3:G23),"")</f>
        <v>0.19822977819837</v>
      </c>
      <c r="L14" s="36" t="n">
        <f aca="false">IFERROR(G14/(SUM(G3:G23,G27:G46)),"")</f>
        <v>0.119456409329281</v>
      </c>
      <c r="M14" s="28"/>
    </row>
    <row r="15" customFormat="false" ht="15" hidden="false" customHeight="true" outlineLevel="0" collapsed="false">
      <c r="A15" s="28" t="s">
        <v>94</v>
      </c>
      <c r="B15" s="37" t="s">
        <v>124</v>
      </c>
      <c r="C15" s="30" t="s">
        <v>125</v>
      </c>
      <c r="D15" s="31" t="s">
        <v>123</v>
      </c>
      <c r="E15" s="30" t="n">
        <v>0</v>
      </c>
      <c r="F15" s="32" t="n">
        <v>1</v>
      </c>
      <c r="G15" s="33" t="n">
        <f aca="false">E15*F15</f>
        <v>0</v>
      </c>
      <c r="H15" s="34" t="n">
        <v>23</v>
      </c>
      <c r="I15" s="35" t="n">
        <f aca="false">G15-H15</f>
        <v>-23</v>
      </c>
      <c r="J15" s="36" t="n">
        <f aca="false">IF(H15=0,"",G15/H15-1)</f>
        <v>-1</v>
      </c>
      <c r="K15" s="36" t="n">
        <f aca="false">IFERROR(G15/SUM(G3:G23),"")</f>
        <v>0</v>
      </c>
      <c r="L15" s="36" t="n">
        <f aca="false">IFERROR(G15/(SUM(G3:G23,G27:G46)),"")</f>
        <v>0</v>
      </c>
      <c r="M15" s="28"/>
    </row>
    <row r="16" customFormat="false" ht="15" hidden="false" customHeight="true" outlineLevel="0" collapsed="false">
      <c r="A16" s="28" t="s">
        <v>94</v>
      </c>
      <c r="B16" s="37" t="s">
        <v>126</v>
      </c>
      <c r="C16" s="30" t="s">
        <v>127</v>
      </c>
      <c r="D16" s="31" t="s">
        <v>97</v>
      </c>
      <c r="E16" s="30" t="n">
        <v>150</v>
      </c>
      <c r="F16" s="32" t="n">
        <f aca="false">IF(IFERROR(INDEX('Monitor &amp; Recheck Triggers'!$H$3:$H$48,MATCH($B16,'Monitor &amp; Recheck Triggers'!$A$3:$A$48,0)),"")="",164.25,INDEX('Monitor &amp; Recheck Triggers'!$H$3:$H$48,MATCH($B16,'Monitor &amp; Recheck Triggers'!$A$3:$A$48,0)))</f>
        <v>164.25</v>
      </c>
      <c r="G16" s="33" t="n">
        <f aca="false">E16*F16</f>
        <v>24637.5</v>
      </c>
      <c r="H16" s="34" t="n">
        <v>24518.25</v>
      </c>
      <c r="I16" s="35" t="n">
        <f aca="false">G16-H16</f>
        <v>119.25</v>
      </c>
      <c r="J16" s="36" t="n">
        <f aca="false">IF(H16=0,"",G16/H16-1)</f>
        <v>0.00486372396072321</v>
      </c>
      <c r="K16" s="36" t="n">
        <f aca="false">IFERROR(G16/SUM(G3:G23),"")</f>
        <v>0.0526409375431796</v>
      </c>
      <c r="L16" s="36" t="n">
        <f aca="false">IFERROR(G16/(SUM(G3:G23,G27:G46)),"")</f>
        <v>0.0317222641309845</v>
      </c>
      <c r="M16" s="28" t="s">
        <v>128</v>
      </c>
    </row>
    <row r="17" customFormat="false" ht="15" hidden="false" customHeight="true" outlineLevel="0" collapsed="false">
      <c r="A17" s="28" t="s">
        <v>94</v>
      </c>
      <c r="B17" s="37" t="s">
        <v>129</v>
      </c>
      <c r="C17" s="30" t="s">
        <v>130</v>
      </c>
      <c r="D17" s="31" t="s">
        <v>97</v>
      </c>
      <c r="E17" s="30" t="n">
        <v>451.304</v>
      </c>
      <c r="F17" s="32" t="n">
        <f aca="false">IF(IFERROR(INDEX('Monitor &amp; Recheck Triggers'!$H$3:$H$48,MATCH($B17,'Monitor &amp; Recheck Triggers'!$A$3:$A$48,0)),"")="",55.29,INDEX('Monitor &amp; Recheck Triggers'!$H$3:$H$48,MATCH($B17,'Monitor &amp; Recheck Triggers'!$A$3:$A$48,0)))</f>
        <v>55.29</v>
      </c>
      <c r="G17" s="33" t="n">
        <f aca="false">E17*F17</f>
        <v>24952.59816</v>
      </c>
      <c r="H17" s="34" t="n">
        <v>24999.99</v>
      </c>
      <c r="I17" s="35" t="n">
        <f aca="false">G17-H17</f>
        <v>-47.3918400000039</v>
      </c>
      <c r="J17" s="36" t="n">
        <f aca="false">IF(H17=0,"",G17/H17-1)</f>
        <v>-0.00189567435826987</v>
      </c>
      <c r="K17" s="36" t="n">
        <f aca="false">IFERROR(G17/SUM(G3:G23),"")</f>
        <v>0.0533141820915523</v>
      </c>
      <c r="L17" s="36" t="n">
        <f aca="false">IFERROR(G17/(SUM(G3:G23,G27:G46)),"")</f>
        <v>0.0321279719771015</v>
      </c>
      <c r="M17" s="28" t="s">
        <v>131</v>
      </c>
    </row>
    <row r="18" customFormat="false" ht="15" hidden="false" customHeight="true" outlineLevel="0" collapsed="false">
      <c r="A18" s="28" t="s">
        <v>94</v>
      </c>
      <c r="B18" s="37" t="s">
        <v>132</v>
      </c>
      <c r="C18" s="30" t="s">
        <v>133</v>
      </c>
      <c r="D18" s="31" t="s">
        <v>97</v>
      </c>
      <c r="E18" s="30" t="n">
        <v>700</v>
      </c>
      <c r="F18" s="32" t="n">
        <f aca="false">IF(IFERROR(INDEX('Monitor &amp; Recheck Triggers'!$H$3:$H$48,MATCH($B18,'Monitor &amp; Recheck Triggers'!$A$3:$A$48,0)),"")="",34.8,INDEX('Monitor &amp; Recheck Triggers'!$H$3:$H$48,MATCH($B18,'Monitor &amp; Recheck Triggers'!$A$3:$A$48,0)))</f>
        <v>34.8</v>
      </c>
      <c r="G18" s="33" t="n">
        <f aca="false">E18*F18</f>
        <v>24360</v>
      </c>
      <c r="H18" s="34" t="n">
        <v>24377.5</v>
      </c>
      <c r="I18" s="35" t="n">
        <f aca="false">G18-H18</f>
        <v>-17.5000000000036</v>
      </c>
      <c r="J18" s="36" t="n">
        <f aca="false">IF(H18=0,"",G18/H18-1)</f>
        <v>-0.000717875089734532</v>
      </c>
      <c r="K18" s="36" t="n">
        <f aca="false">IFERROR(G18/SUM(G3:G23),"")</f>
        <v>0.0520480259178835</v>
      </c>
      <c r="L18" s="36" t="n">
        <f aca="false">IFERROR(G18/(SUM(G3:G23,G27:G46)),"")</f>
        <v>0.0313649661788243</v>
      </c>
      <c r="M18" s="28" t="s">
        <v>128</v>
      </c>
    </row>
    <row r="19" customFormat="false" ht="15" hidden="false" customHeight="true" outlineLevel="0" collapsed="false">
      <c r="A19" s="28" t="s">
        <v>94</v>
      </c>
      <c r="B19" s="37" t="s">
        <v>134</v>
      </c>
      <c r="C19" s="30" t="s">
        <v>135</v>
      </c>
      <c r="D19" s="31" t="s">
        <v>97</v>
      </c>
      <c r="E19" s="30" t="n">
        <v>150</v>
      </c>
      <c r="F19" s="32" t="n">
        <f aca="false">IF(IFERROR(INDEX('Monitor &amp; Recheck Triggers'!$H$3:$H$48,MATCH($B19,'Monitor &amp; Recheck Triggers'!$A$3:$A$48,0)),"")="",164.23,INDEX('Monitor &amp; Recheck Triggers'!$H$3:$H$48,MATCH($B19,'Monitor &amp; Recheck Triggers'!$A$3:$A$48,0)))</f>
        <v>164.23</v>
      </c>
      <c r="G19" s="33" t="n">
        <f aca="false">E19*F19</f>
        <v>24634.5</v>
      </c>
      <c r="H19" s="34" t="n">
        <v>24598.5</v>
      </c>
      <c r="I19" s="35" t="n">
        <f aca="false">G19-H19</f>
        <v>36</v>
      </c>
      <c r="J19" s="36" t="n">
        <f aca="false">IF(H19=0,"",G19/H19-1)</f>
        <v>0.0014635038721873</v>
      </c>
      <c r="K19" s="36" t="n">
        <f aca="false">IFERROR(G19/SUM(G3:G23),"")</f>
        <v>0.052634527687771</v>
      </c>
      <c r="L19" s="36" t="n">
        <f aca="false">IFERROR(G19/(SUM(G3:G23,G27:G46)),"")</f>
        <v>0.0317184014504206</v>
      </c>
      <c r="M19" s="28" t="s">
        <v>128</v>
      </c>
    </row>
    <row r="20" customFormat="false" ht="15" hidden="false" customHeight="true" outlineLevel="0" collapsed="false">
      <c r="A20" s="28" t="s">
        <v>94</v>
      </c>
      <c r="B20" s="37" t="s">
        <v>136</v>
      </c>
      <c r="C20" s="30" t="s">
        <v>137</v>
      </c>
      <c r="D20" s="31" t="s">
        <v>97</v>
      </c>
      <c r="E20" s="30" t="n">
        <v>1000</v>
      </c>
      <c r="F20" s="32" t="n">
        <f aca="false">IF(IFERROR(INDEX('Monitor &amp; Recheck Triggers'!$H$3:$H$48,MATCH($B20,'Monitor &amp; Recheck Triggers'!$A$3:$A$48,0)),"")="",54.63,INDEX('Monitor &amp; Recheck Triggers'!$H$3:$H$48,MATCH($B20,'Monitor &amp; Recheck Triggers'!$A$3:$A$48,0)))</f>
        <v>54.63</v>
      </c>
      <c r="G20" s="33" t="n">
        <f aca="false">E20*F20</f>
        <v>54630</v>
      </c>
      <c r="H20" s="34" t="n">
        <v>53709</v>
      </c>
      <c r="I20" s="35" t="n">
        <f aca="false">G20-H20</f>
        <v>921</v>
      </c>
      <c r="J20" s="36" t="n">
        <f aca="false">IF(H20=0,"",G20/H20-1)</f>
        <v>0.0171479640283752</v>
      </c>
      <c r="K20" s="36" t="n">
        <f aca="false">IFERROR(G20/SUM(G3:G23),"")</f>
        <v>0.116723466990722</v>
      </c>
      <c r="L20" s="36" t="n">
        <f aca="false">IFERROR(G20/(SUM(G3:G23,G27:G46)),"")</f>
        <v>0.0703394130685209</v>
      </c>
      <c r="M20" s="28" t="s">
        <v>128</v>
      </c>
    </row>
    <row r="21" customFormat="false" ht="15" hidden="false" customHeight="true" outlineLevel="0" collapsed="false">
      <c r="A21" s="28" t="s">
        <v>94</v>
      </c>
      <c r="B21" s="37" t="s">
        <v>138</v>
      </c>
      <c r="C21" s="30" t="s">
        <v>139</v>
      </c>
      <c r="D21" s="31" t="s">
        <v>97</v>
      </c>
      <c r="E21" s="30" t="n">
        <v>100</v>
      </c>
      <c r="F21" s="32" t="n">
        <f aca="false">IF(IFERROR(INDEX('Monitor &amp; Recheck Triggers'!$H$3:$H$48,MATCH($B21,'Monitor &amp; Recheck Triggers'!$A$3:$A$48,0)),"")="",149.72,INDEX('Monitor &amp; Recheck Triggers'!$H$3:$H$48,MATCH($B21,'Monitor &amp; Recheck Triggers'!$A$3:$A$48,0)))</f>
        <v>149.72</v>
      </c>
      <c r="G21" s="33" t="n">
        <f aca="false">E21*F21</f>
        <v>14972</v>
      </c>
      <c r="H21" s="34" t="n">
        <v>14696.99</v>
      </c>
      <c r="I21" s="35" t="n">
        <f aca="false">G21-H21</f>
        <v>275.01</v>
      </c>
      <c r="J21" s="36" t="n">
        <f aca="false">IF(H21=0,"",G21/H21-1)</f>
        <v>0.0187119947689969</v>
      </c>
      <c r="K21" s="36" t="n">
        <f aca="false">IFERROR(G21/SUM(G3:G23),"")</f>
        <v>0.0319894517258847</v>
      </c>
      <c r="L21" s="36" t="n">
        <f aca="false">IFERROR(G21/(SUM(G3:G23,G27:G46)),"")</f>
        <v>0.01927735113421</v>
      </c>
      <c r="M21" s="28" t="s">
        <v>131</v>
      </c>
    </row>
    <row r="22" customFormat="false" ht="15" hidden="false" customHeight="true" outlineLevel="0" collapsed="false">
      <c r="A22" s="28" t="s">
        <v>94</v>
      </c>
      <c r="B22" s="38" t="s">
        <v>140</v>
      </c>
      <c r="C22" s="30" t="s">
        <v>141</v>
      </c>
      <c r="D22" s="30" t="s">
        <v>97</v>
      </c>
      <c r="E22" s="30" t="n">
        <v>75</v>
      </c>
      <c r="F22" s="32" t="n">
        <f aca="false">IF(IFERROR(INDEX('Monitor &amp; Recheck Triggers'!$H$3:$H$48,MATCH($B22,'Monitor &amp; Recheck Triggers'!$A$3:$A$48,0)),"")="",314.71,INDEX('Monitor &amp; Recheck Triggers'!$H$3:$H$48,MATCH($B22,'Monitor &amp; Recheck Triggers'!$A$3:$A$48,0)))</f>
        <v>314.71</v>
      </c>
      <c r="G22" s="33" t="n">
        <f aca="false">E22*F22</f>
        <v>23603.25</v>
      </c>
      <c r="H22" s="34" t="n">
        <v>23603.25</v>
      </c>
      <c r="I22" s="35" t="n">
        <f aca="false">G22-H22</f>
        <v>0</v>
      </c>
      <c r="J22" s="39" t="n">
        <f aca="false">IF(H22=0,"",G22/H22-1)</f>
        <v>0</v>
      </c>
      <c r="K22" s="39" t="n">
        <f aca="false">IFERROR(G22/SUM(G3:G23),"")</f>
        <v>0.0504311398910626</v>
      </c>
      <c r="L22" s="39" t="n">
        <f aca="false">IFERROR(G22/(SUM(G3:G23,G27:G46)),"")</f>
        <v>0.0303906050065818</v>
      </c>
      <c r="M22" s="28" t="s">
        <v>142</v>
      </c>
    </row>
    <row r="23" customFormat="false" ht="13.5" hidden="false" customHeight="true" outlineLevel="0" collapsed="false">
      <c r="A23" s="28" t="s">
        <v>94</v>
      </c>
      <c r="B23" s="38" t="s">
        <v>143</v>
      </c>
      <c r="C23" s="30" t="s">
        <v>144</v>
      </c>
      <c r="D23" s="30" t="s">
        <v>97</v>
      </c>
      <c r="E23" s="30" t="n">
        <v>300</v>
      </c>
      <c r="F23" s="32" t="n">
        <f aca="false">IF(IFERROR(INDEX('Monitor &amp; Recheck Triggers'!$H$3:$H$48,MATCH($B23,'Monitor &amp; Recheck Triggers'!$A$3:$A$48,0)),"")="",69.795,INDEX('Monitor &amp; Recheck Triggers'!$H$3:$H$48,MATCH($B23,'Monitor &amp; Recheck Triggers'!$A$3:$A$48,0)))</f>
        <v>69.795</v>
      </c>
      <c r="G23" s="33" t="n">
        <f aca="false">E23*F23</f>
        <v>20938.5</v>
      </c>
      <c r="H23" s="34" t="n">
        <v>20938.5</v>
      </c>
      <c r="I23" s="35" t="n">
        <f aca="false">G23-H23</f>
        <v>0</v>
      </c>
      <c r="J23" s="39" t="n">
        <f aca="false">IF(H23=0,"",G23/H23-1)</f>
        <v>0</v>
      </c>
      <c r="K23" s="39" t="n">
        <f aca="false">IFERROR(G23/SUM(G3:G23),"")</f>
        <v>0.044737585824368</v>
      </c>
      <c r="L23" s="39" t="n">
        <f aca="false">IFERROR(G23/(SUM(G3:G23,G27:G46)),"")</f>
        <v>0.0269595789957025</v>
      </c>
      <c r="M23" s="28" t="s">
        <v>145</v>
      </c>
    </row>
    <row r="24" customFormat="false" ht="15" hidden="false" customHeight="true" outlineLevel="0" collapsed="false">
      <c r="A24" s="40" t="s">
        <v>146</v>
      </c>
      <c r="B24" s="41" t="n">
        <f aca="false">SUBTOTAL(103,B3:B23)</f>
        <v>21</v>
      </c>
      <c r="C24" s="42" t="s">
        <v>147</v>
      </c>
      <c r="D24" s="43"/>
      <c r="E24" s="44"/>
      <c r="F24" s="45"/>
      <c r="G24" s="46" t="n">
        <f aca="false">SUM(G3:G23)</f>
        <v>468029.27816</v>
      </c>
      <c r="H24" s="47" t="n">
        <f aca="false">SUM(H3:H23)</f>
        <v>484984.15</v>
      </c>
      <c r="I24" s="48" t="n">
        <f aca="false">SUM(I3:I23)</f>
        <v>-16954.87184</v>
      </c>
      <c r="J24" s="49" t="n">
        <f aca="false">CurrentPositionsTable[[#This Row],[Unrealized G/L ($)]]/CurrentPositionsTable[[#This Row],[Cost Basis
($)]]</f>
        <v>-0.0349596411346639</v>
      </c>
      <c r="K24" s="49" t="n">
        <f aca="false">SUM(K3:K23)</f>
        <v>1</v>
      </c>
      <c r="L24" s="49" t="n">
        <f aca="false">SUM(L3:L23)</f>
        <v>0.602615865360752</v>
      </c>
      <c r="M24" s="50"/>
      <c r="N24" s="51"/>
      <c r="O24" s="51"/>
    </row>
    <row r="25" customFormat="false" ht="15" hidden="false" customHeight="true" outlineLevel="0" collapsed="false">
      <c r="F25" s="32"/>
      <c r="I25" s="52" t="s">
        <v>148</v>
      </c>
      <c r="J25" s="53" t="n">
        <f aca="false">I24/(H24-H14-H13)</f>
        <v>-0.0514970878184305</v>
      </c>
    </row>
    <row r="26" customFormat="false" ht="15" hidden="false" customHeight="true" outlineLevel="0" collapsed="false">
      <c r="F26" s="32"/>
    </row>
    <row r="27" customFormat="false" ht="15" hidden="false" customHeight="true" outlineLevel="0" collapsed="false">
      <c r="A27" s="28" t="s">
        <v>149</v>
      </c>
      <c r="B27" s="37" t="s">
        <v>150</v>
      </c>
      <c r="C27" s="30" t="s">
        <v>151</v>
      </c>
      <c r="D27" s="31" t="s">
        <v>123</v>
      </c>
      <c r="E27" s="30" t="n">
        <v>36854.47</v>
      </c>
      <c r="F27" s="32" t="n">
        <v>1</v>
      </c>
      <c r="G27" s="33" t="n">
        <f aca="false">E27*F27</f>
        <v>36854.47</v>
      </c>
      <c r="H27" s="34" t="n">
        <v>36854.47</v>
      </c>
      <c r="I27" s="35" t="n">
        <f aca="false">G27-H27</f>
        <v>0</v>
      </c>
      <c r="J27" s="36" t="n">
        <f aca="false">IF(H27=0,"",G27/H27-1)</f>
        <v>0</v>
      </c>
      <c r="K27" s="36" t="n">
        <f aca="false">IFERROR(G27/SUM(G27:G46),"")</f>
        <v>0.119411783672803</v>
      </c>
      <c r="L27" s="36" t="n">
        <f aca="false">IFERROR(G27/(SUM(G3:G23,G27:G46)),"")</f>
        <v>0.0474523483205457</v>
      </c>
      <c r="M27" s="28"/>
    </row>
    <row r="28" customFormat="false" ht="15" hidden="true" customHeight="true" outlineLevel="1" collapsed="false">
      <c r="A28" s="28" t="s">
        <v>149</v>
      </c>
      <c r="B28" s="37" t="s">
        <v>152</v>
      </c>
      <c r="C28" s="30" t="s">
        <v>153</v>
      </c>
      <c r="D28" s="31" t="s">
        <v>154</v>
      </c>
      <c r="E28" s="30" t="n">
        <v>850.35693</v>
      </c>
      <c r="F28" s="32" t="n">
        <f aca="false">IF(IFERROR(INDEX('Monitor &amp; Recheck Triggers'!$H$3:$H$48,MATCH($B28,'Monitor &amp; Recheck Triggers'!$A$3:$A$48,0)),"")="",59.87,INDEX('Monitor &amp; Recheck Triggers'!$H$3:$H$48,MATCH($B28,'Monitor &amp; Recheck Triggers'!$A$3:$A$48,0)))</f>
        <v>59.87</v>
      </c>
      <c r="G28" s="33" t="n">
        <f aca="false">E28*F28</f>
        <v>50910.8693991</v>
      </c>
      <c r="H28" s="34" t="n">
        <v>43005.36</v>
      </c>
      <c r="I28" s="35" t="n">
        <f aca="false">G28-H28</f>
        <v>7905.5093991</v>
      </c>
      <c r="J28" s="36" t="n">
        <f aca="false">IF(H28=0,"",G28/H28-1)</f>
        <v>0.183826141650715</v>
      </c>
      <c r="K28" s="36" t="n">
        <f aca="false">IFERROR(G28/SUM(G27:G46),"")</f>
        <v>0.164955776688137</v>
      </c>
      <c r="L28" s="36" t="n">
        <f aca="false">IFERROR(G28/(SUM(G3:G23,G27:G46)),"")</f>
        <v>0.0655508085729602</v>
      </c>
      <c r="M28" s="28" t="s">
        <v>155</v>
      </c>
    </row>
    <row r="29" customFormat="false" ht="15" hidden="false" customHeight="true" outlineLevel="0" collapsed="false">
      <c r="A29" s="28" t="s">
        <v>149</v>
      </c>
      <c r="B29" s="29" t="s">
        <v>156</v>
      </c>
      <c r="C29" s="30" t="s">
        <v>157</v>
      </c>
      <c r="D29" s="31" t="s">
        <v>97</v>
      </c>
      <c r="E29" s="30" t="n">
        <v>400.00001</v>
      </c>
      <c r="F29" s="32" t="n">
        <f aca="false">IF(IFERROR(INDEX('Monitor &amp; Recheck Triggers'!$H$3:$H$48,MATCH($B29,'Monitor &amp; Recheck Triggers'!$A$3:$A$48,0)),"")="",126.93,INDEX('Monitor &amp; Recheck Triggers'!$H$3:$H$48,MATCH($B29,'Monitor &amp; Recheck Triggers'!$A$3:$A$48,0)))</f>
        <v>126.93</v>
      </c>
      <c r="G29" s="33" t="n">
        <f aca="false">E29*F29</f>
        <v>50772.0012693</v>
      </c>
      <c r="H29" s="34" t="n">
        <v>45116.29</v>
      </c>
      <c r="I29" s="35" t="n">
        <f aca="false">G29-H29</f>
        <v>5655.7112693</v>
      </c>
      <c r="J29" s="36" t="n">
        <f aca="false">IF(H29=0,"",G29/H29-1)</f>
        <v>0.125358518382163</v>
      </c>
      <c r="K29" s="36" t="n">
        <f aca="false">IFERROR(G29/SUM(G27:G46),"")</f>
        <v>0.164505831509852</v>
      </c>
      <c r="L29" s="36" t="n">
        <f aca="false">IFERROR(G29/(SUM(G3:G23,G27:G46)),"")</f>
        <v>0.0653720074976526</v>
      </c>
      <c r="M29" s="28" t="s">
        <v>158</v>
      </c>
    </row>
    <row r="30" customFormat="false" ht="15" hidden="false" customHeight="true" outlineLevel="0" collapsed="false">
      <c r="A30" s="28" t="s">
        <v>149</v>
      </c>
      <c r="B30" s="29" t="s">
        <v>159</v>
      </c>
      <c r="C30" s="30" t="s">
        <v>160</v>
      </c>
      <c r="D30" s="31" t="s">
        <v>97</v>
      </c>
      <c r="E30" s="30" t="n">
        <v>0</v>
      </c>
      <c r="F30" s="32" t="n">
        <f aca="false">IF(IFERROR(INDEX('Monitor &amp; Recheck Triggers'!$H$3:$H$48,MATCH($B30,'Monitor &amp; Recheck Triggers'!$A$3:$A$48,0)),"")="",56.12,INDEX('Monitor &amp; Recheck Triggers'!$H$3:$H$48,MATCH($B30,'Monitor &amp; Recheck Triggers'!$A$3:$A$48,0)))</f>
        <v>56.12</v>
      </c>
      <c r="G30" s="33" t="n">
        <f aca="false">E30*F30</f>
        <v>0</v>
      </c>
      <c r="H30" s="34" t="n">
        <v>0</v>
      </c>
      <c r="I30" s="35" t="n">
        <f aca="false">G30-H30</f>
        <v>0</v>
      </c>
      <c r="J30" s="36" t="str">
        <f aca="false">IF(H30=0,"",G30/H30-1)</f>
        <v/>
      </c>
      <c r="K30" s="36" t="n">
        <f aca="false">IFERROR(G30/SUM(G27:G46),"")</f>
        <v>0</v>
      </c>
      <c r="L30" s="36" t="n">
        <f aca="false">IFERROR(G30/(SUM(G3:G23,G27:G46)),"")</f>
        <v>0</v>
      </c>
      <c r="M30" s="28" t="s">
        <v>161</v>
      </c>
    </row>
    <row r="31" customFormat="false" ht="15" hidden="false" customHeight="true" outlineLevel="0" collapsed="false">
      <c r="A31" s="28" t="s">
        <v>149</v>
      </c>
      <c r="B31" s="37" t="s">
        <v>162</v>
      </c>
      <c r="C31" s="30" t="s">
        <v>163</v>
      </c>
      <c r="D31" s="31" t="s">
        <v>154</v>
      </c>
      <c r="E31" s="30" t="n">
        <v>500</v>
      </c>
      <c r="F31" s="32" t="n">
        <f aca="false">IF(IFERROR(INDEX('Monitor &amp; Recheck Triggers'!$H$3:$H$48,MATCH($B31,'Monitor &amp; Recheck Triggers'!$A$3:$A$48,0)),"")="",69.72,INDEX('Monitor &amp; Recheck Triggers'!$H$3:$H$48,MATCH($B31,'Monitor &amp; Recheck Triggers'!$A$3:$A$48,0)))</f>
        <v>69.72</v>
      </c>
      <c r="G31" s="33" t="n">
        <f aca="false">E31*F31</f>
        <v>34860</v>
      </c>
      <c r="H31" s="34" t="n">
        <v>30666</v>
      </c>
      <c r="I31" s="35" t="n">
        <f aca="false">G31-H31</f>
        <v>4194</v>
      </c>
      <c r="J31" s="36" t="n">
        <f aca="false">IF(H31=0,"",G31/H31-1)</f>
        <v>0.136763842692232</v>
      </c>
      <c r="K31" s="36" t="n">
        <f aca="false">IFERROR(G31/SUM(G27:G46),"")</f>
        <v>0.112949522237978</v>
      </c>
      <c r="L31" s="36" t="n">
        <f aca="false">IFERROR(G31/(SUM(G3:G23,G27:G46)),"")</f>
        <v>0.0448843481524554</v>
      </c>
      <c r="M31" s="28" t="s">
        <v>164</v>
      </c>
    </row>
    <row r="32" customFormat="false" ht="15" hidden="false" customHeight="true" outlineLevel="0" collapsed="false">
      <c r="A32" s="28" t="s">
        <v>149</v>
      </c>
      <c r="B32" s="29" t="s">
        <v>165</v>
      </c>
      <c r="C32" s="30" t="s">
        <v>166</v>
      </c>
      <c r="D32" s="31" t="s">
        <v>97</v>
      </c>
      <c r="E32" s="30" t="n">
        <v>35.07587</v>
      </c>
      <c r="F32" s="32" t="n">
        <f aca="false">IF(IFERROR(INDEX('Monitor &amp; Recheck Triggers'!$H$3:$H$48,MATCH($B32,'Monitor &amp; Recheck Triggers'!$A$3:$A$48,0)),"")="",357.895,INDEX('Monitor &amp; Recheck Triggers'!$H$3:$H$48,MATCH($B32,'Monitor &amp; Recheck Triggers'!$A$3:$A$48,0)))</f>
        <v>357.895</v>
      </c>
      <c r="G32" s="33" t="n">
        <f aca="false">E32*F32</f>
        <v>12553.47849365</v>
      </c>
      <c r="H32" s="34" t="n">
        <v>12653.43</v>
      </c>
      <c r="I32" s="35" t="n">
        <f aca="false">G32-H32</f>
        <v>-99.9515063500003</v>
      </c>
      <c r="J32" s="36" t="n">
        <f aca="false">IF(H32=0,"",G32/H32-1)</f>
        <v>-0.00789916302141003</v>
      </c>
      <c r="K32" s="36" t="n">
        <f aca="false">IFERROR(G32/SUM(G27:G46),"")</f>
        <v>0.0406743946724757</v>
      </c>
      <c r="L32" s="36" t="n">
        <f aca="false">IFERROR(G32/(SUM(G3:G23,G27:G46)),"")</f>
        <v>0.016163359128897</v>
      </c>
      <c r="M32" s="28"/>
    </row>
    <row r="33" customFormat="false" ht="15" hidden="false" customHeight="true" outlineLevel="0" collapsed="false">
      <c r="A33" s="28" t="s">
        <v>149</v>
      </c>
      <c r="B33" s="29" t="s">
        <v>110</v>
      </c>
      <c r="C33" s="30" t="s">
        <v>111</v>
      </c>
      <c r="D33" s="31" t="s">
        <v>97</v>
      </c>
      <c r="E33" s="30" t="n">
        <v>59.02188</v>
      </c>
      <c r="F33" s="32" t="n">
        <f aca="false">IF(IFERROR(INDEX('Monitor &amp; Recheck Triggers'!$H$3:$H$48,MATCH($B33,'Monitor &amp; Recheck Triggers'!$A$3:$A$48,0)),"")="",230.36,INDEX('Monitor &amp; Recheck Triggers'!$H$3:$H$48,MATCH($B33,'Monitor &amp; Recheck Triggers'!$A$3:$A$48,0)))</f>
        <v>230.36</v>
      </c>
      <c r="G33" s="33" t="n">
        <f aca="false">E33*F33</f>
        <v>13596.2802768</v>
      </c>
      <c r="H33" s="34" t="n">
        <v>11377.73</v>
      </c>
      <c r="I33" s="35" t="n">
        <f aca="false">G33-H33</f>
        <v>2218.5502768</v>
      </c>
      <c r="J33" s="36" t="n">
        <f aca="false">IF(H33=0,"",G33/H33-1)</f>
        <v>0.194990589230014</v>
      </c>
      <c r="K33" s="36" t="n">
        <f aca="false">IFERROR(G33/SUM(G27:G46),"")</f>
        <v>0.0440531658484855</v>
      </c>
      <c r="L33" s="36" t="n">
        <f aca="false">IFERROR(G33/(SUM(G3:G23,G27:G46)),"")</f>
        <v>0.0175060291888197</v>
      </c>
      <c r="M33" s="28"/>
    </row>
    <row r="34" customFormat="false" ht="15" hidden="false" customHeight="true" outlineLevel="0" collapsed="false">
      <c r="A34" s="28" t="s">
        <v>149</v>
      </c>
      <c r="B34" s="29" t="s">
        <v>167</v>
      </c>
      <c r="C34" s="30" t="s">
        <v>168</v>
      </c>
      <c r="D34" s="31" t="s">
        <v>97</v>
      </c>
      <c r="E34" s="30" t="n">
        <v>65</v>
      </c>
      <c r="F34" s="32" t="n">
        <f aca="false">IF(IFERROR(INDEX('Monitor &amp; Recheck Triggers'!$H$3:$H$48,MATCH($B34,'Monitor &amp; Recheck Triggers'!$A$3:$A$48,0)),"")="",528.64,INDEX('Monitor &amp; Recheck Triggers'!$H$3:$H$48,MATCH($B34,'Monitor &amp; Recheck Triggers'!$A$3:$A$48,0)))</f>
        <v>528.64</v>
      </c>
      <c r="G34" s="33" t="n">
        <f aca="false">E34*F34</f>
        <v>34361.6</v>
      </c>
      <c r="H34" s="34" t="n">
        <v>31479.64</v>
      </c>
      <c r="I34" s="35" t="n">
        <f aca="false">G34-H34</f>
        <v>2881.96</v>
      </c>
      <c r="J34" s="36" t="n">
        <f aca="false">IF(H34=0,"",G34/H34-1)</f>
        <v>0.0915499668992403</v>
      </c>
      <c r="K34" s="36" t="n">
        <f aca="false">IFERROR(G34/SUM(G27:G46),"")</f>
        <v>0.111334661598752</v>
      </c>
      <c r="L34" s="36" t="n">
        <f aca="false">IFERROR(G34/(SUM(G3:G23,G27:G46)),"")</f>
        <v>0.0442426281547737</v>
      </c>
      <c r="M34" s="28" t="s">
        <v>169</v>
      </c>
    </row>
    <row r="35" customFormat="false" ht="15" hidden="false" customHeight="true" outlineLevel="0" collapsed="false">
      <c r="A35" s="28" t="s">
        <v>149</v>
      </c>
      <c r="B35" s="37" t="s">
        <v>138</v>
      </c>
      <c r="C35" s="30" t="s">
        <v>139</v>
      </c>
      <c r="D35" s="31" t="s">
        <v>97</v>
      </c>
      <c r="E35" s="30" t="n">
        <v>76.93745</v>
      </c>
      <c r="F35" s="32" t="n">
        <f aca="false">IF(IFERROR(INDEX('Monitor &amp; Recheck Triggers'!$H$3:$H$48,MATCH($B35,'Monitor &amp; Recheck Triggers'!$A$3:$A$48,0)),"")="",149.72,INDEX('Monitor &amp; Recheck Triggers'!$H$3:$H$48,MATCH($B35,'Monitor &amp; Recheck Triggers'!$A$3:$A$48,0)))</f>
        <v>149.72</v>
      </c>
      <c r="G35" s="33" t="n">
        <f aca="false">E35*F35</f>
        <v>11519.075014</v>
      </c>
      <c r="H35" s="34" t="n">
        <v>9318.79</v>
      </c>
      <c r="I35" s="35" t="n">
        <f aca="false">G35-H35</f>
        <v>2200.285014</v>
      </c>
      <c r="J35" s="36" t="n">
        <f aca="false">IF(H35=0,"",G35/H35-1)</f>
        <v>0.236112737168667</v>
      </c>
      <c r="K35" s="36" t="n">
        <f aca="false">IFERROR(G35/SUM(G27:G46),"")</f>
        <v>0.0373228347520003</v>
      </c>
      <c r="L35" s="36" t="n">
        <f aca="false">IFERROR(G35/(SUM(G3:G23,G27:G46)),"")</f>
        <v>0.0148315023902073</v>
      </c>
      <c r="M35" s="28"/>
    </row>
    <row r="36" customFormat="false" ht="15" hidden="false" customHeight="true" outlineLevel="0" collapsed="false">
      <c r="A36" s="28" t="s">
        <v>149</v>
      </c>
      <c r="B36" s="37" t="s">
        <v>129</v>
      </c>
      <c r="C36" s="30" t="s">
        <v>130</v>
      </c>
      <c r="D36" s="31" t="s">
        <v>97</v>
      </c>
      <c r="E36" s="30" t="n">
        <v>200</v>
      </c>
      <c r="F36" s="32" t="n">
        <f aca="false">IF(IFERROR(INDEX('Monitor &amp; Recheck Triggers'!$H$3:$H$48,MATCH($B36,'Monitor &amp; Recheck Triggers'!$A$3:$A$48,0)),"")="",55.29,INDEX('Monitor &amp; Recheck Triggers'!$H$3:$H$48,MATCH($B36,'Monitor &amp; Recheck Triggers'!$A$3:$A$48,0)))</f>
        <v>55.29</v>
      </c>
      <c r="G36" s="33" t="n">
        <f aca="false">E36*F36</f>
        <v>11058</v>
      </c>
      <c r="H36" s="34" t="n">
        <v>9257</v>
      </c>
      <c r="I36" s="35" t="n">
        <f aca="false">G36-H36</f>
        <v>1801</v>
      </c>
      <c r="J36" s="36" t="n">
        <f aca="false">IF(H36=0,"",G36/H36-1)</f>
        <v>0.194555471535055</v>
      </c>
      <c r="K36" s="36" t="n">
        <f aca="false">IFERROR(G36/SUM(G27:G46),"")</f>
        <v>0.0358289104104292</v>
      </c>
      <c r="L36" s="36" t="n">
        <f aca="false">IFERROR(G36/(SUM(G3:G23,G27:G46)),"")</f>
        <v>0.0142378405585155</v>
      </c>
      <c r="M36" s="28"/>
    </row>
    <row r="37" customFormat="false" ht="15" hidden="false" customHeight="true" outlineLevel="0" collapsed="false">
      <c r="A37" s="28" t="s">
        <v>149</v>
      </c>
      <c r="B37" s="29" t="s">
        <v>100</v>
      </c>
      <c r="C37" s="30" t="s">
        <v>101</v>
      </c>
      <c r="D37" s="31" t="s">
        <v>97</v>
      </c>
      <c r="E37" s="30" t="n">
        <v>50</v>
      </c>
      <c r="F37" s="32" t="n">
        <f aca="false">IF(IFERROR(INDEX('Monitor &amp; Recheck Triggers'!$H$3:$H$48,MATCH($B37,'Monitor &amp; Recheck Triggers'!$A$3:$A$48,0)),"")="",193.78,INDEX('Monitor &amp; Recheck Triggers'!$H$3:$H$48,MATCH($B37,'Monitor &amp; Recheck Triggers'!$A$3:$A$48,0)))</f>
        <v>193.78</v>
      </c>
      <c r="G37" s="33" t="n">
        <f aca="false">E37*F37</f>
        <v>9689</v>
      </c>
      <c r="H37" s="34" t="n">
        <v>7394.5</v>
      </c>
      <c r="I37" s="35" t="n">
        <f aca="false">G37-H37</f>
        <v>2294.5</v>
      </c>
      <c r="J37" s="36" t="n">
        <f aca="false">IF(H37=0,"",G37/H37-1)</f>
        <v>0.310298194604098</v>
      </c>
      <c r="K37" s="36" t="n">
        <f aca="false">IFERROR(G37/SUM(G27:G46),"")</f>
        <v>0.0313932277958626</v>
      </c>
      <c r="L37" s="36" t="n">
        <f aca="false">IFERROR(G37/(SUM(G3:G23,G27:G46)),"")</f>
        <v>0.0124751706611916</v>
      </c>
      <c r="M37" s="28"/>
    </row>
    <row r="38" customFormat="false" ht="15" hidden="true" customHeight="true" outlineLevel="1" collapsed="false">
      <c r="A38" s="28" t="s">
        <v>149</v>
      </c>
      <c r="B38" s="29" t="s">
        <v>104</v>
      </c>
      <c r="C38" s="30" t="s">
        <v>105</v>
      </c>
      <c r="D38" s="31" t="s">
        <v>97</v>
      </c>
      <c r="E38" s="30" t="n">
        <v>45</v>
      </c>
      <c r="F38" s="32" t="n">
        <f aca="false">IF(IFERROR(INDEX('Monitor &amp; Recheck Triggers'!$H$3:$H$48,MATCH($B38,'Monitor &amp; Recheck Triggers'!$A$3:$A$48,0)),"")="",213.1,INDEX('Monitor &amp; Recheck Triggers'!$H$3:$H$48,MATCH($B38,'Monitor &amp; Recheck Triggers'!$A$3:$A$48,0)))</f>
        <v>213.1</v>
      </c>
      <c r="G38" s="33" t="n">
        <f aca="false">E38*F38</f>
        <v>9589.5</v>
      </c>
      <c r="H38" s="34" t="n">
        <v>7099.31</v>
      </c>
      <c r="I38" s="35" t="n">
        <f aca="false">G38-H38</f>
        <v>2490.19</v>
      </c>
      <c r="J38" s="36" t="n">
        <f aca="false">IF(H38=0,"",G38/H38-1)</f>
        <v>0.350765074352296</v>
      </c>
      <c r="K38" s="36" t="n">
        <f aca="false">IFERROR(G38/SUM(G27:G46),"")</f>
        <v>0.0310708388841392</v>
      </c>
      <c r="L38" s="36" t="n">
        <f aca="false">IFERROR(G38/(SUM(G3:G23,G27:G46)),"")</f>
        <v>0.0123470584224891</v>
      </c>
      <c r="M38" s="28"/>
    </row>
    <row r="39" customFormat="false" ht="15" hidden="true" customHeight="true" outlineLevel="1" collapsed="false">
      <c r="A39" s="28" t="s">
        <v>149</v>
      </c>
      <c r="B39" s="29" t="s">
        <v>170</v>
      </c>
      <c r="C39" s="30" t="s">
        <v>171</v>
      </c>
      <c r="D39" s="31" t="s">
        <v>97</v>
      </c>
      <c r="E39" s="30" t="n">
        <v>125.44837</v>
      </c>
      <c r="F39" s="32" t="n">
        <f aca="false">IF(IFERROR(INDEX('Monitor &amp; Recheck Triggers'!$H$3:$H$48,MATCH($B39,'Monitor &amp; Recheck Triggers'!$A$3:$A$48,0)),"")="",137.34,INDEX('Monitor &amp; Recheck Triggers'!$H$3:$H$48,MATCH($B39,'Monitor &amp; Recheck Triggers'!$A$3:$A$48,0)))</f>
        <v>137.34</v>
      </c>
      <c r="G39" s="33" t="n">
        <f aca="false">E39*F39</f>
        <v>17229.0791358</v>
      </c>
      <c r="H39" s="34" t="n">
        <v>16585.43</v>
      </c>
      <c r="I39" s="35" t="n">
        <f aca="false">G39-H39</f>
        <v>643.649135799999</v>
      </c>
      <c r="J39" s="36" t="n">
        <f aca="false">IF(H39=0,"",G39/H39-1)</f>
        <v>0.0388081066212935</v>
      </c>
      <c r="K39" s="36" t="n">
        <f aca="false">IFERROR(G39/SUM(G27:G46),"")</f>
        <v>0.0558237595234919</v>
      </c>
      <c r="L39" s="36" t="n">
        <f aca="false">IFERROR(G39/(SUM(G3:G23,G27:G46)),"")</f>
        <v>0.0221834763705523</v>
      </c>
      <c r="M39" s="28" t="s">
        <v>172</v>
      </c>
    </row>
    <row r="40" customFormat="false" ht="15" hidden="true" customHeight="true" outlineLevel="1" collapsed="false">
      <c r="A40" s="28" t="s">
        <v>149</v>
      </c>
      <c r="B40" s="29" t="s">
        <v>173</v>
      </c>
      <c r="C40" s="30" t="s">
        <v>174</v>
      </c>
      <c r="D40" s="31" t="s">
        <v>97</v>
      </c>
      <c r="E40" s="30" t="n">
        <v>0</v>
      </c>
      <c r="F40" s="32" t="n">
        <f aca="false">IF(IFERROR(INDEX('Monitor &amp; Recheck Triggers'!$H$3:$H$48,MATCH($B40,'Monitor &amp; Recheck Triggers'!$A$3:$A$48,0)),"")="",86.07,INDEX('Monitor &amp; Recheck Triggers'!$H$3:$H$48,MATCH($B40,'Monitor &amp; Recheck Triggers'!$A$3:$A$48,0)))</f>
        <v>86.07</v>
      </c>
      <c r="G40" s="33" t="n">
        <f aca="false">E40*F40</f>
        <v>0</v>
      </c>
      <c r="H40" s="34" t="n">
        <v>0</v>
      </c>
      <c r="I40" s="35" t="n">
        <f aca="false">G40-H40</f>
        <v>0</v>
      </c>
      <c r="J40" s="36" t="str">
        <f aca="false">IF(H40=0,"",G40/H40-1)</f>
        <v/>
      </c>
      <c r="K40" s="36" t="n">
        <f aca="false">IFERROR(G40/SUM(G27:G46),"")</f>
        <v>0</v>
      </c>
      <c r="L40" s="36" t="n">
        <f aca="false">IFERROR(G40/(SUM(G3:G23,G27:G46)),"")</f>
        <v>0</v>
      </c>
      <c r="M40" s="28" t="s">
        <v>175</v>
      </c>
    </row>
    <row r="41" customFormat="false" ht="15" hidden="false" customHeight="true" outlineLevel="0" collapsed="false">
      <c r="A41" s="28" t="s">
        <v>149</v>
      </c>
      <c r="B41" s="29" t="s">
        <v>176</v>
      </c>
      <c r="C41" s="30" t="s">
        <v>177</v>
      </c>
      <c r="D41" s="31" t="s">
        <v>97</v>
      </c>
      <c r="E41" s="30" t="n">
        <v>0</v>
      </c>
      <c r="F41" s="32" t="n">
        <f aca="false">IF(IFERROR(INDEX('Monitor &amp; Recheck Triggers'!$H$3:$H$48,MATCH($B41,'Monitor &amp; Recheck Triggers'!$A$3:$A$48,0)),"")="",327.35,INDEX('Monitor &amp; Recheck Triggers'!$H$3:$H$48,MATCH($B41,'Monitor &amp; Recheck Triggers'!$A$3:$A$48,0)))</f>
        <v>327.35</v>
      </c>
      <c r="G41" s="33" t="n">
        <f aca="false">E41*F41</f>
        <v>0</v>
      </c>
      <c r="H41" s="34" t="n">
        <v>0</v>
      </c>
      <c r="I41" s="35" t="n">
        <f aca="false">G41-H41</f>
        <v>0</v>
      </c>
      <c r="J41" s="36" t="str">
        <f aca="false">IF(H41=0,"",G41/H41-1)</f>
        <v/>
      </c>
      <c r="K41" s="36" t="n">
        <f aca="false">IFERROR(G41/SUM(G27:G46),"")</f>
        <v>0</v>
      </c>
      <c r="L41" s="36" t="n">
        <f aca="false">IFERROR(G41/(SUM(G3:G23,G27:G46)),"")</f>
        <v>0</v>
      </c>
      <c r="M41" s="28" t="s">
        <v>178</v>
      </c>
    </row>
    <row r="42" customFormat="false" ht="15" hidden="true" customHeight="true" outlineLevel="1" collapsed="false">
      <c r="A42" s="28" t="s">
        <v>149</v>
      </c>
      <c r="B42" s="29" t="s">
        <v>179</v>
      </c>
      <c r="C42" s="30" t="s">
        <v>180</v>
      </c>
      <c r="D42" s="31" t="s">
        <v>97</v>
      </c>
      <c r="E42" s="30" t="n">
        <v>0</v>
      </c>
      <c r="F42" s="32" t="n">
        <f aca="false">IF(IFERROR(INDEX('Monitor &amp; Recheck Triggers'!$H$3:$H$48,MATCH($B42,'Monitor &amp; Recheck Triggers'!$A$3:$A$48,0)),"")="",120.16,INDEX('Monitor &amp; Recheck Triggers'!$H$3:$H$48,MATCH($B42,'Monitor &amp; Recheck Triggers'!$A$3:$A$48,0)))</f>
        <v>120.16</v>
      </c>
      <c r="G42" s="33" t="n">
        <f aca="false">E42*F42</f>
        <v>0</v>
      </c>
      <c r="H42" s="34" t="n">
        <v>0</v>
      </c>
      <c r="I42" s="35" t="n">
        <f aca="false">G42-H42</f>
        <v>0</v>
      </c>
      <c r="J42" s="36" t="str">
        <f aca="false">IF(H42=0,"",G42/H42-1)</f>
        <v/>
      </c>
      <c r="K42" s="36" t="n">
        <f aca="false">IFERROR(G42/SUM(G27:G46),"")</f>
        <v>0</v>
      </c>
      <c r="L42" s="36" t="n">
        <f aca="false">IFERROR(G42/(SUM(G3:G23,G27:G46)),"")</f>
        <v>0</v>
      </c>
      <c r="M42" s="28" t="s">
        <v>181</v>
      </c>
    </row>
    <row r="43" customFormat="false" ht="15" hidden="false" customHeight="true" outlineLevel="0" collapsed="false">
      <c r="A43" s="28" t="s">
        <v>149</v>
      </c>
      <c r="B43" s="37" t="s">
        <v>182</v>
      </c>
      <c r="C43" s="30" t="s">
        <v>183</v>
      </c>
      <c r="D43" s="31" t="s">
        <v>123</v>
      </c>
      <c r="E43" s="30" t="n">
        <v>1853.89</v>
      </c>
      <c r="F43" s="32" t="n">
        <v>1</v>
      </c>
      <c r="G43" s="33" t="n">
        <f aca="false">E43*F43</f>
        <v>1853.89</v>
      </c>
      <c r="H43" s="34" t="n">
        <v>1853.89</v>
      </c>
      <c r="I43" s="35" t="n">
        <f aca="false">G43-H43</f>
        <v>0</v>
      </c>
      <c r="J43" s="36" t="n">
        <f aca="false">IF(H43=0,"",G43/H43-1)</f>
        <v>0</v>
      </c>
      <c r="K43" s="36" t="n">
        <f aca="false">IFERROR(G43/SUM(G27:G46),"")</f>
        <v>0.00600676964376837</v>
      </c>
      <c r="L43" s="36" t="n">
        <f aca="false">IFERROR(G43/(SUM(G3:G23,G27:G46)),"")</f>
        <v>0.00238699495686619</v>
      </c>
      <c r="M43" s="28"/>
    </row>
    <row r="44" customFormat="false" ht="15" hidden="false" customHeight="true" outlineLevel="0" collapsed="false">
      <c r="A44" s="28" t="s">
        <v>149</v>
      </c>
      <c r="B44" s="29" t="s">
        <v>184</v>
      </c>
      <c r="C44" s="30" t="s">
        <v>185</v>
      </c>
      <c r="D44" s="31" t="s">
        <v>97</v>
      </c>
      <c r="E44" s="30" t="n">
        <v>0</v>
      </c>
      <c r="F44" s="32" t="n">
        <f aca="false">IF(IFERROR(INDEX('Monitor &amp; Recheck Triggers'!$H$3:$H$48,MATCH($B44,'Monitor &amp; Recheck Triggers'!$A$3:$A$48,0)),"")="",37.61,INDEX('Monitor &amp; Recheck Triggers'!$H$3:$H$48,MATCH($B44,'Monitor &amp; Recheck Triggers'!$A$3:$A$48,0)))</f>
        <v>37.61</v>
      </c>
      <c r="G44" s="33" t="n">
        <f aca="false">E44*F44</f>
        <v>0</v>
      </c>
      <c r="H44" s="34" t="n">
        <v>0</v>
      </c>
      <c r="I44" s="35" t="n">
        <f aca="false">G44-H44</f>
        <v>0</v>
      </c>
      <c r="J44" s="36" t="str">
        <f aca="false">IF(H44=0,"",G44/H44-1)</f>
        <v/>
      </c>
      <c r="K44" s="36" t="n">
        <f aca="false">IFERROR(G44/SUM(G27:G46),"")</f>
        <v>0</v>
      </c>
      <c r="L44" s="36" t="n">
        <f aca="false">IFERROR(G44/(SUM(G3:G23,G27:G46)),"")</f>
        <v>0</v>
      </c>
      <c r="M44" s="28" t="s">
        <v>186</v>
      </c>
    </row>
    <row r="45" customFormat="false" ht="15" hidden="false" customHeight="true" outlineLevel="0" collapsed="false">
      <c r="A45" s="28" t="s">
        <v>149</v>
      </c>
      <c r="B45" s="29" t="s">
        <v>112</v>
      </c>
      <c r="C45" s="30" t="s">
        <v>113</v>
      </c>
      <c r="D45" s="31" t="s">
        <v>97</v>
      </c>
      <c r="E45" s="30" t="n">
        <v>20</v>
      </c>
      <c r="F45" s="32" t="n">
        <f aca="false">IF(IFERROR(INDEX('Monitor &amp; Recheck Triggers'!$H$3:$H$48,MATCH($B45,'Monitor &amp; Recheck Triggers'!$A$3:$A$48,0)),"")="",174.33,INDEX('Monitor &amp; Recheck Triggers'!$H$3:$H$48,MATCH($B45,'Monitor &amp; Recheck Triggers'!$A$3:$A$48,0)))</f>
        <v>174.33</v>
      </c>
      <c r="G45" s="33" t="n">
        <f aca="false">E45*F45</f>
        <v>3486.6</v>
      </c>
      <c r="H45" s="34" t="n">
        <v>3178</v>
      </c>
      <c r="I45" s="35" t="n">
        <f aca="false">G45-H45</f>
        <v>308.6</v>
      </c>
      <c r="J45" s="36" t="n">
        <f aca="false">IF(H45=0,"",G45/H45-1)</f>
        <v>0.0971050975456262</v>
      </c>
      <c r="K45" s="36" t="n">
        <f aca="false">IFERROR(G45/SUM(G27:G46),"")</f>
        <v>0.0112968962775369</v>
      </c>
      <c r="L45" s="36" t="n">
        <f aca="false">IFERROR(G45/(SUM(G3:G23,G27:G46)),"")</f>
        <v>0.00448920735135832</v>
      </c>
      <c r="M45" s="28"/>
    </row>
    <row r="46" customFormat="false" ht="13.5" hidden="false" customHeight="true" outlineLevel="0" collapsed="false">
      <c r="A46" s="28" t="s">
        <v>149</v>
      </c>
      <c r="B46" s="37" t="s">
        <v>187</v>
      </c>
      <c r="C46" s="30" t="s">
        <v>188</v>
      </c>
      <c r="D46" s="31" t="s">
        <v>154</v>
      </c>
      <c r="E46" s="30" t="n">
        <v>180</v>
      </c>
      <c r="F46" s="32" t="n">
        <f aca="false">IF(IFERROR(INDEX('Monitor &amp; Recheck Triggers'!$H$3:$H$48,MATCH($B46,'Monitor &amp; Recheck Triggers'!$A$3:$A$48,0)),"")="",57.22,INDEX('Monitor &amp; Recheck Triggers'!$H$3:$H$48,MATCH($B46,'Monitor &amp; Recheck Triggers'!$A$3:$A$48,0)))</f>
        <v>57.22</v>
      </c>
      <c r="G46" s="33" t="n">
        <f aca="false">E46*F46</f>
        <v>10299.6</v>
      </c>
      <c r="H46" s="34" t="n">
        <v>10500.57</v>
      </c>
      <c r="I46" s="35" t="n">
        <f aca="false">G46-H46</f>
        <v>-200.969999999999</v>
      </c>
      <c r="J46" s="36" t="n">
        <f aca="false">IF(H46=0,"",G46/H46-1)</f>
        <v>-0.0191389610278299</v>
      </c>
      <c r="K46" s="36" t="n">
        <f aca="false">IFERROR(G46/SUM(G27:G46),"")</f>
        <v>0.033371626484288</v>
      </c>
      <c r="L46" s="36" t="n">
        <f aca="false">IFERROR(G46/(SUM(G3:G23,G27:G46)),"")</f>
        <v>0.013261354911963</v>
      </c>
      <c r="M46" s="28" t="s">
        <v>128</v>
      </c>
    </row>
    <row r="47" customFormat="false" ht="15" hidden="false" customHeight="true" outlineLevel="0" collapsed="false">
      <c r="A47" s="40" t="s">
        <v>146</v>
      </c>
      <c r="B47" s="41" t="n">
        <f aca="false">SUBTOTAL(103,B27:B46)</f>
        <v>15</v>
      </c>
      <c r="C47" s="42" t="s">
        <v>189</v>
      </c>
      <c r="D47" s="43"/>
      <c r="E47" s="44"/>
      <c r="F47" s="45"/>
      <c r="G47" s="46" t="n">
        <f aca="false">SUM(G27:G46)</f>
        <v>308633.44358865</v>
      </c>
      <c r="H47" s="47" t="n">
        <f aca="false">SUM(H27:H46)</f>
        <v>276340.41</v>
      </c>
      <c r="I47" s="48" t="n">
        <f aca="false">SUM(I27:I46)</f>
        <v>32293.03358865</v>
      </c>
      <c r="J47" s="49" t="n">
        <f aca="false">CurrentPositionsTable[[#This Row],[Unrealized G/L ($)]]/CurrentPositionsTable[[#This Row],[Cost Basis
($)]]</f>
        <v>0.116859613795355</v>
      </c>
      <c r="K47" s="49" t="n">
        <f aca="false">SUM(K27:K46)</f>
        <v>1</v>
      </c>
      <c r="L47" s="49" t="n">
        <f aca="false">SUM(L27:L46)</f>
        <v>0.397384134639248</v>
      </c>
      <c r="M47" s="50"/>
      <c r="N47" s="51"/>
      <c r="O47" s="51"/>
    </row>
    <row r="48" customFormat="false" ht="15" hidden="false" customHeight="true" outlineLevel="0" collapsed="false">
      <c r="I48" s="52" t="s">
        <v>148</v>
      </c>
      <c r="J48" s="53" t="n">
        <f aca="false">I45/(H45-H41-H25)</f>
        <v>0.0971050975456263</v>
      </c>
    </row>
    <row r="49" customFormat="false" ht="15" hidden="false" customHeight="true" outlineLevel="0" collapsed="false"/>
    <row r="50" customFormat="false" ht="90" hidden="false" customHeight="true" outlineLevel="0" collapsed="false">
      <c r="A50" s="54"/>
      <c r="B50" s="54"/>
      <c r="C50" s="54"/>
      <c r="D50" s="54"/>
      <c r="E50" s="54"/>
      <c r="F50" s="54"/>
      <c r="G50" s="54"/>
      <c r="H50" s="54"/>
      <c r="I50" s="54"/>
      <c r="J50" s="54"/>
      <c r="K50" s="54"/>
      <c r="L50" s="54"/>
      <c r="M50" s="54"/>
    </row>
    <row r="51" customFormat="false" ht="14.25" hidden="false" customHeight="true" outlineLevel="0" collapsed="false">
      <c r="A51" s="28"/>
      <c r="B51" s="29"/>
      <c r="C51" s="30" t="s">
        <v>190</v>
      </c>
      <c r="D51" s="31"/>
      <c r="E51" s="30"/>
      <c r="F51" s="30"/>
      <c r="G51" s="33" t="n">
        <f aca="false">SUM(G14:G21)+G25+G26+G27+G29+G33+G34+G41+G44</f>
        <v>396548.2897061</v>
      </c>
      <c r="H51" s="34" t="n">
        <f aca="false">SUM(H14:H21)+H25+H26+H27+H29+H33+H34+H41+H44</f>
        <v>429047.45</v>
      </c>
      <c r="I51" s="35" t="n">
        <f aca="false">G49-H49</f>
        <v>0</v>
      </c>
      <c r="L51" s="36" t="str">
        <f aca="false">IFERROR(G49/G48,"")</f>
        <v/>
      </c>
      <c r="M51" s="28" t="s">
        <v>191</v>
      </c>
    </row>
    <row r="52" customFormat="false" ht="941.25" hidden="false" customHeight="true" outlineLevel="0" collapsed="false">
      <c r="A52" s="55" t="s">
        <v>192</v>
      </c>
    </row>
  </sheetData>
  <mergeCells count="3">
    <mergeCell ref="A1:M1"/>
    <mergeCell ref="O1:P1"/>
    <mergeCell ref="A50:M50"/>
  </mergeCells>
  <conditionalFormatting sqref="I1:K1048576">
    <cfRule type="cellIs" priority="2" operator="lessThan" aboveAverage="0" equalAverage="0" bottom="0" percent="0" rank="0" text="" dxfId="8">
      <formula>0</formula>
    </cfRule>
  </conditionalFormatting>
  <printOptions headings="false" gridLines="false" gridLinesSet="true" horizontalCentered="false" verticalCentered="false"/>
  <pageMargins left="0.75" right="0.75" top="1" bottom="1"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8"/>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pane xSplit="0" ySplit="2" topLeftCell="A8" activePane="bottomLeft" state="frozen"/>
      <selection pane="topLeft" activeCell="A1" activeCellId="0" sqref="A1"/>
      <selection pane="bottomLeft" activeCell="H30" activeCellId="0" sqref="H30"/>
    </sheetView>
  </sheetViews>
  <sheetFormatPr defaultColWidth="8.66796875" defaultRowHeight="14.25" customHeight="false" zeroHeight="false" outlineLevelRow="1" outlineLevelCol="0"/>
  <cols>
    <col collapsed="false" customWidth="true" hidden="false" outlineLevel="0" max="1" min="1" style="56" width="8"/>
    <col collapsed="false" customWidth="true" hidden="false" outlineLevel="0" max="2" min="2" style="1" width="12.44"/>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7" min="7" style="57" width="10"/>
    <col collapsed="false" customWidth="true" hidden="false" outlineLevel="0" max="9" min="8"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76"/>
    <col collapsed="false" customWidth="true" hidden="false" outlineLevel="0" max="14" min="14" style="1" width="22"/>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25.5" hidden="false" customHeight="true" outlineLevel="0" collapsed="false">
      <c r="A1" s="58" t="s">
        <v>193</v>
      </c>
      <c r="B1" s="58"/>
      <c r="C1" s="58"/>
      <c r="D1" s="58"/>
      <c r="E1" s="58"/>
      <c r="F1" s="58"/>
      <c r="G1" s="58"/>
      <c r="H1" s="58"/>
      <c r="I1" s="58"/>
      <c r="J1" s="58"/>
      <c r="K1" s="58"/>
      <c r="L1" s="58"/>
      <c r="M1" s="58"/>
      <c r="N1" s="58"/>
      <c r="O1" s="58"/>
      <c r="P1" s="58"/>
      <c r="Q1" s="58"/>
    </row>
    <row r="2" s="61" customFormat="true" ht="42" hidden="false" customHeight="true" outlineLevel="0" collapsed="false">
      <c r="A2" s="59" t="s">
        <v>81</v>
      </c>
      <c r="B2" s="59" t="s">
        <v>194</v>
      </c>
      <c r="C2" s="59" t="s">
        <v>195</v>
      </c>
      <c r="D2" s="59" t="s">
        <v>196</v>
      </c>
      <c r="E2" s="59" t="s">
        <v>197</v>
      </c>
      <c r="F2" s="59" t="s">
        <v>198</v>
      </c>
      <c r="G2" s="60" t="s">
        <v>199</v>
      </c>
      <c r="H2" s="59" t="s">
        <v>200</v>
      </c>
      <c r="I2" s="59" t="s">
        <v>201</v>
      </c>
      <c r="J2" s="59" t="s">
        <v>202</v>
      </c>
      <c r="K2" s="59" t="s">
        <v>203</v>
      </c>
      <c r="L2" s="59" t="s">
        <v>204</v>
      </c>
      <c r="M2" s="59" t="s">
        <v>205</v>
      </c>
      <c r="N2" s="59" t="s">
        <v>206</v>
      </c>
      <c r="O2" s="59" t="s">
        <v>207</v>
      </c>
      <c r="P2" s="59" t="s">
        <v>208</v>
      </c>
      <c r="Q2" s="59" t="s">
        <v>209</v>
      </c>
    </row>
    <row r="3" customFormat="false" ht="15" hidden="false" customHeight="true" outlineLevel="0" collapsed="false">
      <c r="A3" s="62" t="s">
        <v>95</v>
      </c>
      <c r="B3" s="63" t="s">
        <v>210</v>
      </c>
      <c r="C3" s="64" t="n">
        <v>46240</v>
      </c>
      <c r="D3" s="63" t="n">
        <v>85.8</v>
      </c>
      <c r="E3" s="63" t="n">
        <v>4.57</v>
      </c>
      <c r="F3" s="65" t="s">
        <v>211</v>
      </c>
      <c r="G3" s="66" t="n">
        <v>259.32</v>
      </c>
      <c r="H3" s="67" t="str">
        <f aca="false" t="array" ref="H3:H3">IFERROR(INDEX(_xlfn.stockhistory(A3,TODAY()-5,TODAY(),0,0,1),ROWS(_xlfn.stockhistory(A3,TODAY()-5,TODAY(),0,0,1)),1),"")</f>
        <v/>
      </c>
      <c r="I3" s="68" t="str">
        <f aca="false">IF(OR(G3="",H3=""),"",H3/G3-1)</f>
        <v/>
      </c>
      <c r="J3" s="69" t="n">
        <v>46275</v>
      </c>
      <c r="K3" s="63" t="s">
        <v>212</v>
      </c>
      <c r="L3" s="70"/>
      <c r="M3" s="63" t="s">
        <v>212</v>
      </c>
      <c r="N3" s="70"/>
      <c r="O3" s="71" t="n">
        <f aca="true">IF(C3="","",TODAY()-C3)</f>
        <v>55</v>
      </c>
      <c r="P3" s="72"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Monitor Only</v>
      </c>
      <c r="Q3" s="70"/>
    </row>
    <row r="4" customFormat="false" ht="15" hidden="false" customHeight="true" outlineLevel="0" collapsed="false">
      <c r="A4" s="62" t="s">
        <v>100</v>
      </c>
      <c r="B4" s="63" t="s">
        <v>210</v>
      </c>
      <c r="C4" s="64" t="n">
        <v>46240</v>
      </c>
      <c r="D4" s="63" t="n">
        <v>85</v>
      </c>
      <c r="E4" s="63" t="n">
        <v>4.57</v>
      </c>
      <c r="F4" s="65" t="s">
        <v>211</v>
      </c>
      <c r="G4" s="66" t="n">
        <v>190.51</v>
      </c>
      <c r="H4" s="67" t="str">
        <f aca="false" t="array" ref="H4:H4">IFERROR(INDEX(_xlfn.stockhistory(A4,TODAY()-5,TODAY(),0,0,1),ROWS(_xlfn.stockhistory(A4,TODAY()-5,TODAY(),0,0,1)),1),"")</f>
        <v/>
      </c>
      <c r="I4" s="68" t="str">
        <f aca="false">IF(OR(G4="",H4=""),"",H4/G4-1)</f>
        <v/>
      </c>
      <c r="J4" s="69" t="n">
        <v>46329</v>
      </c>
      <c r="K4" s="63" t="s">
        <v>213</v>
      </c>
      <c r="L4" s="70" t="s">
        <v>214</v>
      </c>
      <c r="M4" s="63" t="s">
        <v>212</v>
      </c>
      <c r="N4" s="70"/>
      <c r="O4" s="71" t="n">
        <f aca="true">IF(C4="","",TODAY()-C4)</f>
        <v>55</v>
      </c>
      <c r="P4" s="72"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70"/>
    </row>
    <row r="5" customFormat="false" ht="15" hidden="false" customHeight="true" outlineLevel="0" collapsed="false">
      <c r="A5" s="62" t="s">
        <v>102</v>
      </c>
      <c r="B5" s="63" t="s">
        <v>210</v>
      </c>
      <c r="C5" s="64" t="n">
        <v>46240</v>
      </c>
      <c r="D5" s="63" t="n">
        <v>73.2</v>
      </c>
      <c r="E5" s="63" t="n">
        <v>3.57</v>
      </c>
      <c r="F5" s="65" t="s">
        <v>215</v>
      </c>
      <c r="G5" s="66" t="n">
        <v>1678.22</v>
      </c>
      <c r="H5" s="67" t="str">
        <f aca="false" t="array" ref="H5:H5">IFERROR(INDEX(_xlfn.stockhistory(A5,TODAY()-5,TODAY(),0,0,1),ROWS(_xlfn.stockhistory(A5,TODAY()-5,TODAY(),0,0,1)),1),"")</f>
        <v/>
      </c>
      <c r="I5" s="68" t="str">
        <f aca="false">IF(OR(G5="",H5=""),"",H5/G5-1)</f>
        <v/>
      </c>
      <c r="J5" s="69" t="n">
        <v>46309</v>
      </c>
      <c r="K5" s="63" t="s">
        <v>212</v>
      </c>
      <c r="L5" s="70"/>
      <c r="M5" s="63" t="s">
        <v>212</v>
      </c>
      <c r="N5" s="70"/>
      <c r="O5" s="71" t="n">
        <f aca="true">IF(C5="","",TODAY()-C5)</f>
        <v>55</v>
      </c>
      <c r="P5" s="72"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Q5" s="70"/>
    </row>
    <row r="6" customFormat="false" ht="15" hidden="false" customHeight="true" outlineLevel="0" collapsed="false">
      <c r="A6" s="62" t="s">
        <v>104</v>
      </c>
      <c r="B6" s="63" t="s">
        <v>210</v>
      </c>
      <c r="C6" s="64" t="n">
        <v>46240</v>
      </c>
      <c r="D6" s="63" t="n">
        <v>70.4</v>
      </c>
      <c r="E6" s="63" t="n">
        <v>4</v>
      </c>
      <c r="F6" s="65" t="s">
        <v>215</v>
      </c>
      <c r="G6" s="66" t="n">
        <v>211.22</v>
      </c>
      <c r="H6" s="67" t="str">
        <f aca="false" t="array" ref="H6:H6">IFERROR(INDEX(_xlfn.stockhistory(A6,TODAY()-5,TODAY(),0,0,1),ROWS(_xlfn.stockhistory(A6,TODAY()-5,TODAY(),0,0,1)),1),"")</f>
        <v/>
      </c>
      <c r="I6" s="68" t="str">
        <f aca="false">IF(OR(G6="",H6=""),"",H6/G6-1)</f>
        <v/>
      </c>
      <c r="J6" s="69" t="n">
        <v>46357</v>
      </c>
      <c r="K6" s="63" t="s">
        <v>213</v>
      </c>
      <c r="L6" s="70" t="s">
        <v>216</v>
      </c>
      <c r="M6" s="63" t="s">
        <v>212</v>
      </c>
      <c r="N6" s="70"/>
      <c r="O6" s="71" t="n">
        <f aca="true">IF(C6="","",TODAY()-C6)</f>
        <v>55</v>
      </c>
      <c r="P6" s="72"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70"/>
    </row>
    <row r="7" customFormat="false" ht="15" hidden="false" customHeight="true" outlineLevel="0" collapsed="false">
      <c r="A7" s="62" t="s">
        <v>106</v>
      </c>
      <c r="B7" s="63" t="s">
        <v>210</v>
      </c>
      <c r="C7" s="64" t="n">
        <v>46240</v>
      </c>
      <c r="D7" s="63" t="n">
        <v>68.6</v>
      </c>
      <c r="E7" s="63" t="n">
        <v>3.43</v>
      </c>
      <c r="F7" s="65" t="s">
        <v>215</v>
      </c>
      <c r="G7" s="66" t="n">
        <v>192.8</v>
      </c>
      <c r="H7" s="67" t="str">
        <f aca="false" t="array" ref="H7:H7">IFERROR(INDEX(_xlfn.stockhistory(A7,TODAY()-5,TODAY(),0,0,1),ROWS(_xlfn.stockhistory(A7,TODAY()-5,TODAY(),0,0,1)),1),"")</f>
        <v/>
      </c>
      <c r="I7" s="68" t="str">
        <f aca="false">IF(OR(G7="",H7=""),"",H7/G7-1)</f>
        <v/>
      </c>
      <c r="J7" s="69" t="n">
        <v>46323</v>
      </c>
      <c r="K7" s="63" t="s">
        <v>213</v>
      </c>
      <c r="L7" s="70" t="s">
        <v>217</v>
      </c>
      <c r="M7" s="63" t="s">
        <v>212</v>
      </c>
      <c r="N7" s="70"/>
      <c r="O7" s="71" t="n">
        <f aca="true">IF(C7="","",TODAY()-C7)</f>
        <v>55</v>
      </c>
      <c r="P7" s="72"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70"/>
    </row>
    <row r="8" customFormat="false" ht="15" hidden="false" customHeight="true" outlineLevel="0" collapsed="false">
      <c r="A8" s="62" t="s">
        <v>108</v>
      </c>
      <c r="B8" s="63" t="s">
        <v>210</v>
      </c>
      <c r="C8" s="64" t="n">
        <v>46240</v>
      </c>
      <c r="D8" s="63" t="n">
        <v>71.8</v>
      </c>
      <c r="E8" s="63" t="n">
        <v>3.64</v>
      </c>
      <c r="F8" s="65" t="s">
        <v>215</v>
      </c>
      <c r="G8" s="66" t="n">
        <v>893.19</v>
      </c>
      <c r="H8" s="67" t="str">
        <f aca="false" t="array" ref="H8:H8">IFERROR(INDEX(_xlfn.stockhistory(A8,TODAY()-5,TODAY(),0,0,1),ROWS(_xlfn.stockhistory(A8,TODAY()-5,TODAY(),0,0,1)),1),"")</f>
        <v/>
      </c>
      <c r="I8" s="68" t="str">
        <f aca="false">IF(OR(G8="",H8=""),"",H8/G8-1)</f>
        <v/>
      </c>
      <c r="J8" s="69" t="n">
        <v>46295</v>
      </c>
      <c r="K8" s="63" t="s">
        <v>213</v>
      </c>
      <c r="L8" s="70" t="s">
        <v>218</v>
      </c>
      <c r="M8" s="63" t="s">
        <v>212</v>
      </c>
      <c r="N8" s="70"/>
      <c r="O8" s="71" t="n">
        <f aca="true">IF(C8="","",TODAY()-C8)</f>
        <v>55</v>
      </c>
      <c r="P8" s="72"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DUE — EARNINGS WINDOW</v>
      </c>
      <c r="Q8" s="70"/>
    </row>
    <row r="9" customFormat="false" ht="15" hidden="false" customHeight="true" outlineLevel="0" collapsed="false">
      <c r="A9" s="62" t="s">
        <v>110</v>
      </c>
      <c r="B9" s="63" t="s">
        <v>210</v>
      </c>
      <c r="C9" s="64" t="n">
        <v>46240</v>
      </c>
      <c r="D9" s="63" t="n">
        <v>93.2</v>
      </c>
      <c r="E9" s="63" t="n">
        <v>4.57</v>
      </c>
      <c r="F9" s="65" t="s">
        <v>211</v>
      </c>
      <c r="G9" s="66" t="n">
        <v>211.87</v>
      </c>
      <c r="H9" s="67" t="str">
        <f aca="false" t="array" ref="H9:H9">IFERROR(INDEX(_xlfn.stockhistory(A9,TODAY()-5,TODAY(),0,0,1),ROWS(_xlfn.stockhistory(A9,TODAY()-5,TODAY(),0,0,1)),1),"")</f>
        <v/>
      </c>
      <c r="I9" s="68" t="str">
        <f aca="false">IF(OR(G9="",H9=""),"",H9/G9-1)</f>
        <v/>
      </c>
      <c r="J9" s="69" t="n">
        <v>46343</v>
      </c>
      <c r="K9" s="63" t="s">
        <v>213</v>
      </c>
      <c r="L9" s="70" t="s">
        <v>219</v>
      </c>
      <c r="M9" s="63" t="s">
        <v>212</v>
      </c>
      <c r="N9" s="70"/>
      <c r="O9" s="71" t="n">
        <f aca="true">IF(C9="","",TODAY()-C9)</f>
        <v>55</v>
      </c>
      <c r="P9" s="72"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70"/>
    </row>
    <row r="10" customFormat="false" ht="15" hidden="false" customHeight="true" outlineLevel="0" collapsed="false">
      <c r="A10" s="62" t="s">
        <v>112</v>
      </c>
      <c r="B10" s="63" t="s">
        <v>210</v>
      </c>
      <c r="C10" s="64" t="n">
        <v>46240</v>
      </c>
      <c r="D10" s="63" t="n">
        <v>75.2</v>
      </c>
      <c r="E10" s="63" t="n">
        <v>4</v>
      </c>
      <c r="F10" s="65" t="s">
        <v>215</v>
      </c>
      <c r="G10" s="66" t="n">
        <v>162.66</v>
      </c>
      <c r="H10" s="67" t="str">
        <f aca="false" t="array" ref="H10:H10">IFERROR(INDEX(_xlfn.stockhistory(A10,TODAY()-5,TODAY(),0,0,1),ROWS(_xlfn.stockhistory(A10,TODAY()-5,TODAY(),0,0,1)),1),"")</f>
        <v/>
      </c>
      <c r="I10" s="68" t="str">
        <f aca="false">IF(OR(G10="",H10=""),"",H10/G10-1)</f>
        <v/>
      </c>
      <c r="J10" s="69" t="n">
        <v>46328</v>
      </c>
      <c r="K10" s="63" t="s">
        <v>213</v>
      </c>
      <c r="L10" s="70" t="s">
        <v>220</v>
      </c>
      <c r="M10" s="63" t="s">
        <v>212</v>
      </c>
      <c r="N10" s="70"/>
      <c r="O10" s="71" t="n">
        <f aca="true">IF(C10="","",TODAY()-C10)</f>
        <v>55</v>
      </c>
      <c r="P10" s="72"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70"/>
    </row>
    <row r="11" customFormat="false" ht="15" hidden="false" customHeight="true" outlineLevel="0" collapsed="false">
      <c r="A11" s="62" t="s">
        <v>114</v>
      </c>
      <c r="B11" s="63" t="s">
        <v>210</v>
      </c>
      <c r="C11" s="64" t="n">
        <v>46240</v>
      </c>
      <c r="D11" s="63" t="n">
        <v>81</v>
      </c>
      <c r="E11" s="63" t="n">
        <v>4</v>
      </c>
      <c r="F11" s="65" t="s">
        <v>211</v>
      </c>
      <c r="G11" s="66" t="n">
        <v>414</v>
      </c>
      <c r="H11" s="67" t="str">
        <f aca="false" t="array" ref="H11:H11">IFERROR(INDEX(_xlfn.stockhistory(A11,TODAY()-5,TODAY(),0,0,1),ROWS(_xlfn.stockhistory(A11,TODAY()-5,TODAY(),0,0,1)),1),"")</f>
        <v/>
      </c>
      <c r="I11" s="68" t="str">
        <f aca="false">IF(OR(G11="",H11=""),"",H11/G11-1)</f>
        <v/>
      </c>
      <c r="J11" s="69" t="n">
        <v>46310</v>
      </c>
      <c r="K11" s="63" t="s">
        <v>213</v>
      </c>
      <c r="L11" s="70" t="s">
        <v>221</v>
      </c>
      <c r="M11" s="63" t="s">
        <v>212</v>
      </c>
      <c r="N11" s="70"/>
      <c r="O11" s="71" t="n">
        <f aca="true">IF(C11="","",TODAY()-C11)</f>
        <v>55</v>
      </c>
      <c r="P11" s="72"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INSIDER ACTIVITY</v>
      </c>
      <c r="Q11" s="70"/>
    </row>
    <row r="12" customFormat="false" ht="15" hidden="false" customHeight="true" outlineLevel="0" collapsed="false">
      <c r="A12" s="62" t="s">
        <v>116</v>
      </c>
      <c r="B12" s="63" t="s">
        <v>210</v>
      </c>
      <c r="C12" s="64" t="n">
        <v>46240</v>
      </c>
      <c r="D12" s="63" t="n">
        <v>82.8</v>
      </c>
      <c r="E12" s="63" t="n">
        <v>4.36</v>
      </c>
      <c r="F12" s="65" t="s">
        <v>211</v>
      </c>
      <c r="G12" s="66" t="n">
        <v>277.94</v>
      </c>
      <c r="H12" s="67" t="str">
        <f aca="false" t="array" ref="H12:H12">IFERROR(INDEX(_xlfn.stockhistory(A12,TODAY()-5,TODAY(),0,0,1),ROWS(_xlfn.stockhistory(A12,TODAY()-5,TODAY(),0,0,1)),1),"")</f>
        <v/>
      </c>
      <c r="I12" s="68" t="str">
        <f aca="false">IF(OR(G12="",H12=""),"",H12/G12-1)</f>
        <v/>
      </c>
      <c r="J12" s="69" t="n">
        <v>46316</v>
      </c>
      <c r="K12" s="63" t="s">
        <v>213</v>
      </c>
      <c r="L12" s="70" t="s">
        <v>222</v>
      </c>
      <c r="M12" s="63" t="s">
        <v>212</v>
      </c>
      <c r="N12" s="70"/>
      <c r="O12" s="71" t="n">
        <f aca="true">IF(C12="","",TODAY()-C12)</f>
        <v>55</v>
      </c>
      <c r="P12" s="72"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DUE — INSIDER ACTIVITY</v>
      </c>
      <c r="Q12" s="70"/>
    </row>
    <row r="13" customFormat="false" ht="15" hidden="false" customHeight="true" outlineLevel="0" collapsed="false">
      <c r="A13" s="62" t="s">
        <v>165</v>
      </c>
      <c r="B13" s="63" t="s">
        <v>210</v>
      </c>
      <c r="C13" s="64" t="n">
        <v>46240</v>
      </c>
      <c r="D13" s="63" t="n">
        <v>80.8</v>
      </c>
      <c r="E13" s="63" t="n">
        <v>4.07</v>
      </c>
      <c r="F13" s="65" t="s">
        <v>211</v>
      </c>
      <c r="G13" s="66" t="n">
        <v>418.16</v>
      </c>
      <c r="H13" s="67" t="str">
        <f aca="false" t="array" ref="H13:H13">IFERROR(INDEX(_xlfn.stockhistory(A13,TODAY()-5,TODAY(),0,0,1),ROWS(_xlfn.stockhistory(A13,TODAY()-5,TODAY(),0,0,1)),1),"")</f>
        <v/>
      </c>
      <c r="I13" s="68" t="str">
        <f aca="false">IF(OR(G13="",H13=""),"",H13/G13-1)</f>
        <v/>
      </c>
      <c r="J13" s="69" t="n">
        <v>46267</v>
      </c>
      <c r="K13" s="63" t="s">
        <v>212</v>
      </c>
      <c r="L13" s="70"/>
      <c r="M13" s="63" t="s">
        <v>212</v>
      </c>
      <c r="N13" s="70"/>
      <c r="O13" s="71" t="n">
        <f aca="true">IF(C13="","",TODAY()-C13)</f>
        <v>55</v>
      </c>
      <c r="P13" s="72"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Monitor Only</v>
      </c>
      <c r="Q13" s="70"/>
    </row>
    <row r="14" customFormat="false" ht="15" hidden="false" customHeight="true" outlineLevel="0" collapsed="false">
      <c r="A14" s="62" t="s">
        <v>170</v>
      </c>
      <c r="B14" s="63" t="s">
        <v>210</v>
      </c>
      <c r="C14" s="64" t="n">
        <v>46240</v>
      </c>
      <c r="D14" s="63" t="n">
        <v>82</v>
      </c>
      <c r="E14" s="63" t="n">
        <v>4.36</v>
      </c>
      <c r="F14" s="65" t="s">
        <v>211</v>
      </c>
      <c r="G14" s="66" t="n">
        <v>139.06</v>
      </c>
      <c r="H14" s="67" t="str">
        <f aca="false" t="array" ref="H14:H14">IFERROR(INDEX(_xlfn.stockhistory(A14,TODAY()-5,TODAY(),0,0,1),ROWS(_xlfn.stockhistory(A14,TODAY()-5,TODAY(),0,0,1)),1),"")</f>
        <v/>
      </c>
      <c r="I14" s="68" t="str">
        <f aca="false">IF(OR(G14="",H14=""),"",H14/G14-1)</f>
        <v/>
      </c>
      <c r="J14" s="69" t="n">
        <v>46310</v>
      </c>
      <c r="K14" s="63" t="s">
        <v>212</v>
      </c>
      <c r="L14" s="70"/>
      <c r="M14" s="63" t="s">
        <v>212</v>
      </c>
      <c r="N14" s="70"/>
      <c r="O14" s="71" t="n">
        <f aca="true">IF(C14="","",TODAY()-C14)</f>
        <v>55</v>
      </c>
      <c r="P14" s="72"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Q14" s="70"/>
    </row>
    <row r="15" customFormat="false" ht="15" hidden="false" customHeight="true" outlineLevel="0" collapsed="false">
      <c r="A15" s="62" t="s">
        <v>167</v>
      </c>
      <c r="B15" s="63" t="s">
        <v>210</v>
      </c>
      <c r="C15" s="64" t="n">
        <v>46241</v>
      </c>
      <c r="D15" s="63" t="n">
        <v>75.6</v>
      </c>
      <c r="E15" s="63" t="n">
        <v>3.79</v>
      </c>
      <c r="F15" s="65" t="s">
        <v>215</v>
      </c>
      <c r="G15" s="66" t="n">
        <v>478.7</v>
      </c>
      <c r="H15" s="67" t="str">
        <f aca="false" t="array" ref="H15:H15">IFERROR(INDEX(_xlfn.stockhistory(A15,TODAY()-5,TODAY(),0,0,1),ROWS(_xlfn.stockhistory(A15,TODAY()-5,TODAY(),0,0,1)),1),"")</f>
        <v/>
      </c>
      <c r="I15" s="68" t="str">
        <f aca="false">IF(OR(G15="",H15=""),"",H15/G15-1)</f>
        <v/>
      </c>
      <c r="J15" s="69" t="n">
        <v>46328</v>
      </c>
      <c r="K15" s="63" t="s">
        <v>212</v>
      </c>
      <c r="L15" s="70"/>
      <c r="M15" s="63" t="s">
        <v>212</v>
      </c>
      <c r="N15" s="70"/>
      <c r="O15" s="71" t="n">
        <f aca="true">IF(C15="","",TODAY()-C15)</f>
        <v>54</v>
      </c>
      <c r="P15" s="72"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70" t="s">
        <v>223</v>
      </c>
    </row>
    <row r="16" customFormat="false" ht="15" hidden="true" customHeight="true" outlineLevel="1" collapsed="false">
      <c r="A16" s="62" t="s">
        <v>224</v>
      </c>
      <c r="B16" s="70" t="s">
        <v>225</v>
      </c>
      <c r="C16" s="64" t="n">
        <v>46246</v>
      </c>
      <c r="D16" s="63"/>
      <c r="E16" s="63" t="n">
        <v>1.36</v>
      </c>
      <c r="F16" s="65"/>
      <c r="G16" s="66" t="n">
        <v>53.52</v>
      </c>
      <c r="H16" s="67" t="str">
        <f aca="false" t="array" ref="H16:H16">IFERROR(INDEX(_xlfn.stockhistory(A16,TODAY()-5,TODAY(),0,0,1),ROWS(_xlfn.stockhistory(A16,TODAY()-5,TODAY(),0,0,1)),1),"")</f>
        <v/>
      </c>
      <c r="I16" s="68" t="str">
        <f aca="false">IF(OR(G16="",H16=""),"",H16/G16-1)</f>
        <v/>
      </c>
      <c r="J16" s="69" t="n">
        <v>46331</v>
      </c>
      <c r="K16" s="63" t="s">
        <v>212</v>
      </c>
      <c r="L16" s="70"/>
      <c r="M16" s="63" t="s">
        <v>212</v>
      </c>
      <c r="N16" s="70"/>
      <c r="O16" s="71" t="n">
        <f aca="true">IF(C16="","",TODAY()-C16)</f>
        <v>49</v>
      </c>
      <c r="P16" s="72"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70"/>
    </row>
    <row r="17" customFormat="false" ht="15" hidden="true" customHeight="true" outlineLevel="1" collapsed="false">
      <c r="A17" s="62" t="s">
        <v>226</v>
      </c>
      <c r="B17" s="70" t="s">
        <v>225</v>
      </c>
      <c r="C17" s="64" t="n">
        <v>46246</v>
      </c>
      <c r="D17" s="63"/>
      <c r="E17" s="63" t="n">
        <v>2.79</v>
      </c>
      <c r="F17" s="65"/>
      <c r="G17" s="66" t="n">
        <v>125.22</v>
      </c>
      <c r="H17" s="67" t="str">
        <f aca="false" t="array" ref="H17:H17">IFERROR(INDEX(_xlfn.stockhistory(A17,TODAY()-5,TODAY(),0,0,1),ROWS(_xlfn.stockhistory(A17,TODAY()-5,TODAY(),0,0,1)),1),"")</f>
        <v/>
      </c>
      <c r="I17" s="68" t="str">
        <f aca="false">IF(OR(G17="",H17=""),"",H17/G17-1)</f>
        <v/>
      </c>
      <c r="J17" s="69" t="n">
        <v>46350</v>
      </c>
      <c r="K17" s="63" t="s">
        <v>213</v>
      </c>
      <c r="L17" s="70" t="s">
        <v>227</v>
      </c>
      <c r="M17" s="63" t="s">
        <v>212</v>
      </c>
      <c r="N17" s="70"/>
      <c r="O17" s="71" t="n">
        <f aca="true">IF(C17="","",TODAY()-C17)</f>
        <v>49</v>
      </c>
      <c r="P17" s="72"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70"/>
    </row>
    <row r="18" customFormat="false" ht="15" hidden="true" customHeight="true" outlineLevel="1" collapsed="false">
      <c r="A18" s="62" t="s">
        <v>228</v>
      </c>
      <c r="B18" s="70" t="s">
        <v>225</v>
      </c>
      <c r="C18" s="64" t="n">
        <v>46245</v>
      </c>
      <c r="D18" s="63"/>
      <c r="E18" s="63" t="n">
        <v>1.79</v>
      </c>
      <c r="F18" s="65"/>
      <c r="G18" s="66" t="n">
        <v>44.84</v>
      </c>
      <c r="H18" s="67" t="str">
        <f aca="false" t="array" ref="H18:H18">IFERROR(INDEX(_xlfn.stockhistory(A18,TODAY()-5,TODAY(),0,0,1),ROWS(_xlfn.stockhistory(A18,TODAY()-5,TODAY(),0,0,1)),1),"")</f>
        <v/>
      </c>
      <c r="I18" s="68" t="str">
        <f aca="false">IF(OR(G18="",H18=""),"",H18/G18-1)</f>
        <v/>
      </c>
      <c r="J18" s="69" t="n">
        <v>46331</v>
      </c>
      <c r="K18" s="63" t="s">
        <v>212</v>
      </c>
      <c r="L18" s="70"/>
      <c r="M18" s="63" t="s">
        <v>212</v>
      </c>
      <c r="N18" s="70"/>
      <c r="O18" s="71" t="n">
        <f aca="true">IF(C18="","",TODAY()-C18)</f>
        <v>50</v>
      </c>
      <c r="P18" s="72"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70"/>
    </row>
    <row r="19" customFormat="false" ht="15" hidden="true" customHeight="true" outlineLevel="1" collapsed="false">
      <c r="A19" s="62" t="s">
        <v>229</v>
      </c>
      <c r="B19" s="70" t="s">
        <v>225</v>
      </c>
      <c r="C19" s="64" t="n">
        <v>46245</v>
      </c>
      <c r="D19" s="63"/>
      <c r="E19" s="63" t="n">
        <v>1.86</v>
      </c>
      <c r="F19" s="65"/>
      <c r="G19" s="66" t="n">
        <v>12.41</v>
      </c>
      <c r="H19" s="67" t="str">
        <f aca="false" t="array" ref="H19:H19">IFERROR(INDEX(_xlfn.stockhistory(A19,TODAY()-5,TODAY(),0,0,1),ROWS(_xlfn.stockhistory(A19,TODAY()-5,TODAY(),0,0,1)),1),"")</f>
        <v/>
      </c>
      <c r="I19" s="68" t="str">
        <f aca="false">IF(OR(G19="",H19=""),"",H19/G19-1)</f>
        <v/>
      </c>
      <c r="J19" s="69" t="n">
        <v>46314</v>
      </c>
      <c r="K19" s="63" t="s">
        <v>212</v>
      </c>
      <c r="L19" s="70"/>
      <c r="M19" s="63" t="s">
        <v>212</v>
      </c>
      <c r="N19" s="70"/>
      <c r="O19" s="71" t="n">
        <f aca="true">IF(C19="","",TODAY()-C19)</f>
        <v>50</v>
      </c>
      <c r="P19" s="72"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70"/>
    </row>
    <row r="20" customFormat="false" ht="15" hidden="false" customHeight="true" outlineLevel="0" collapsed="false">
      <c r="A20" s="62" t="s">
        <v>230</v>
      </c>
      <c r="B20" s="73" t="s">
        <v>231</v>
      </c>
      <c r="C20" s="64" t="n">
        <v>46245</v>
      </c>
      <c r="D20" s="63"/>
      <c r="E20" s="63" t="n">
        <v>3.71</v>
      </c>
      <c r="F20" s="65"/>
      <c r="G20" s="66" t="n">
        <v>32</v>
      </c>
      <c r="H20" s="67" t="str">
        <f aca="false" t="array" ref="H20:H20">IFERROR(INDEX(_xlfn.stockhistory(A20,TODAY()-5,TODAY(),0,0,1),ROWS(_xlfn.stockhistory(A20,TODAY()-5,TODAY(),0,0,1)),1),"")</f>
        <v/>
      </c>
      <c r="I20" s="68" t="str">
        <f aca="false">IF(OR(G20="",H20=""),"",H20/G20-1)</f>
        <v/>
      </c>
      <c r="J20" s="69" t="n">
        <v>46330</v>
      </c>
      <c r="K20" s="63" t="s">
        <v>212</v>
      </c>
      <c r="L20" s="70"/>
      <c r="M20" s="63" t="s">
        <v>212</v>
      </c>
      <c r="N20" s="70"/>
      <c r="O20" s="71" t="n">
        <f aca="true">IF(C20="","",TODAY()-C20)</f>
        <v>50</v>
      </c>
      <c r="P20" s="72"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70"/>
    </row>
    <row r="21" customFormat="false" ht="15" hidden="false" customHeight="true" outlineLevel="0" collapsed="false">
      <c r="A21" s="62" t="s">
        <v>232</v>
      </c>
      <c r="B21" s="73" t="s">
        <v>231</v>
      </c>
      <c r="C21" s="64" t="n">
        <v>46245</v>
      </c>
      <c r="D21" s="63" t="n">
        <v>77.4</v>
      </c>
      <c r="E21" s="63" t="n">
        <v>4.14</v>
      </c>
      <c r="F21" s="65" t="s">
        <v>215</v>
      </c>
      <c r="G21" s="66" t="n">
        <v>944.32</v>
      </c>
      <c r="H21" s="67" t="str">
        <f aca="false" t="array" ref="H21:H21">IFERROR(INDEX(_xlfn.stockhistory(A21,TODAY()-5,TODAY(),0,0,1),ROWS(_xlfn.stockhistory(A21,TODAY()-5,TODAY(),0,0,1)),1),"")</f>
        <v/>
      </c>
      <c r="I21" s="68" t="str">
        <f aca="false">IF(OR(G21="",H21=""),"",H21/G21-1)</f>
        <v/>
      </c>
      <c r="J21" s="69" t="n">
        <v>46289</v>
      </c>
      <c r="K21" s="63" t="s">
        <v>212</v>
      </c>
      <c r="L21" s="70"/>
      <c r="M21" s="63" t="s">
        <v>212</v>
      </c>
      <c r="N21" s="70"/>
      <c r="O21" s="71" t="n">
        <f aca="true">IF(C21="","",TODAY()-C21)</f>
        <v>50</v>
      </c>
      <c r="P21" s="72"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DUE — EARNINGS WINDOW</v>
      </c>
      <c r="Q21" s="70"/>
    </row>
    <row r="22" customFormat="false" ht="15" hidden="true" customHeight="true" outlineLevel="1" collapsed="false">
      <c r="A22" s="62" t="s">
        <v>233</v>
      </c>
      <c r="B22" s="74" t="s">
        <v>225</v>
      </c>
      <c r="C22" s="64" t="n">
        <v>46245</v>
      </c>
      <c r="D22" s="63"/>
      <c r="E22" s="63" t="n">
        <v>1.21</v>
      </c>
      <c r="F22" s="65"/>
      <c r="G22" s="66" t="n">
        <v>14.39</v>
      </c>
      <c r="H22" s="67" t="str">
        <f aca="false" t="array" ref="H22:H22">IFERROR(INDEX(_xlfn.stockhistory(A22,TODAY()-5,TODAY(),0,0,1),ROWS(_xlfn.stockhistory(A22,TODAY()-5,TODAY(),0,0,1)),1),"")</f>
        <v/>
      </c>
      <c r="I22" s="68" t="str">
        <f aca="false">IF(OR(G22="",H22=""),"",H22/G22-1)</f>
        <v/>
      </c>
      <c r="J22" s="69" t="n">
        <v>46328</v>
      </c>
      <c r="K22" s="63" t="s">
        <v>212</v>
      </c>
      <c r="L22" s="70"/>
      <c r="M22" s="63" t="s">
        <v>212</v>
      </c>
      <c r="N22" s="70"/>
      <c r="O22" s="71" t="n">
        <f aca="true">IF(C22="","",TODAY()-C22)</f>
        <v>50</v>
      </c>
      <c r="P22" s="72"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70"/>
    </row>
    <row r="23" customFormat="false" ht="15" hidden="true" customHeight="true" outlineLevel="1" collapsed="false">
      <c r="A23" s="62" t="s">
        <v>234</v>
      </c>
      <c r="B23" s="74" t="s">
        <v>225</v>
      </c>
      <c r="C23" s="64" t="n">
        <v>46245</v>
      </c>
      <c r="D23" s="63"/>
      <c r="E23" s="63" t="n">
        <v>2.36</v>
      </c>
      <c r="F23" s="65"/>
      <c r="G23" s="66" t="n">
        <v>94.94</v>
      </c>
      <c r="H23" s="67" t="str">
        <f aca="false" t="array" ref="H23:H23">IFERROR(INDEX(_xlfn.stockhistory(A23,TODAY()-5,TODAY(),0,0,1),ROWS(_xlfn.stockhistory(A23,TODAY()-5,TODAY(),0,0,1)),1),"")</f>
        <v/>
      </c>
      <c r="I23" s="68" t="str">
        <f aca="false">IF(OR(G23="",H23=""),"",H23/G23-1)</f>
        <v/>
      </c>
      <c r="J23" s="69" t="n">
        <v>46240</v>
      </c>
      <c r="K23" s="63" t="s">
        <v>212</v>
      </c>
      <c r="L23" s="70"/>
      <c r="M23" s="63" t="s">
        <v>212</v>
      </c>
      <c r="N23" s="70"/>
      <c r="O23" s="71" t="n">
        <f aca="true">IF(C23="","",TODAY()-C23)</f>
        <v>50</v>
      </c>
      <c r="P23" s="72"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70"/>
    </row>
    <row r="24" customFormat="false" ht="15" hidden="true" customHeight="true" outlineLevel="1" collapsed="false">
      <c r="A24" s="62" t="s">
        <v>235</v>
      </c>
      <c r="B24" s="74" t="s">
        <v>225</v>
      </c>
      <c r="C24" s="64" t="n">
        <v>46258</v>
      </c>
      <c r="D24" s="63"/>
      <c r="E24" s="63" t="n">
        <v>2.93</v>
      </c>
      <c r="F24" s="65"/>
      <c r="G24" s="66" t="n">
        <v>110.61</v>
      </c>
      <c r="H24" s="67" t="str">
        <f aca="false" t="array" ref="H24:H24">IFERROR(INDEX(_xlfn.stockhistory(A24,TODAY()-5,TODAY(),0,0,1),ROWS(_xlfn.stockhistory(A24,TODAY()-5,TODAY(),0,0,1)),1),"")</f>
        <v/>
      </c>
      <c r="I24" s="68" t="str">
        <f aca="false">IF(OR(G24="",H24=""),"",H24/G24-1)</f>
        <v/>
      </c>
      <c r="J24" s="69" t="n">
        <v>46338</v>
      </c>
      <c r="K24" s="63" t="s">
        <v>213</v>
      </c>
      <c r="L24" s="70" t="s">
        <v>236</v>
      </c>
      <c r="M24" s="63" t="s">
        <v>212</v>
      </c>
      <c r="N24" s="70"/>
      <c r="O24" s="71" t="n">
        <f aca="true">IF(C24="","",TODAY()-C24)</f>
        <v>37</v>
      </c>
      <c r="P24" s="72"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70"/>
    </row>
    <row r="25" customFormat="false" ht="15" hidden="false" customHeight="true" outlineLevel="0" collapsed="false">
      <c r="A25" s="62" t="s">
        <v>237</v>
      </c>
      <c r="B25" s="73" t="s">
        <v>231</v>
      </c>
      <c r="C25" s="64" t="n">
        <v>46245</v>
      </c>
      <c r="D25" s="63"/>
      <c r="E25" s="63" t="n">
        <v>4.86</v>
      </c>
      <c r="F25" s="65"/>
      <c r="G25" s="66" t="n">
        <v>357.34</v>
      </c>
      <c r="H25" s="67" t="str">
        <f aca="false" t="array" ref="H25:H25">IFERROR(INDEX(_xlfn.stockhistory(A25,TODAY()-5,TODAY(),0,0,1),ROWS(_xlfn.stockhistory(A25,TODAY()-5,TODAY(),0,0,1)),1),"")</f>
        <v/>
      </c>
      <c r="I25" s="68" t="str">
        <f aca="false">IF(OR(G25="",H25=""),"",H25/G25-1)</f>
        <v/>
      </c>
      <c r="J25" s="69" t="n">
        <v>46308</v>
      </c>
      <c r="K25" s="63" t="s">
        <v>212</v>
      </c>
      <c r="L25" s="70"/>
      <c r="M25" s="63" t="s">
        <v>212</v>
      </c>
      <c r="N25" s="70"/>
      <c r="O25" s="71" t="n">
        <f aca="true">IF(C25="","",TODAY()-C25)</f>
        <v>50</v>
      </c>
      <c r="P25" s="72"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Q25" s="70"/>
    </row>
    <row r="26" customFormat="false" ht="15" hidden="true" customHeight="true" outlineLevel="1" collapsed="false">
      <c r="A26" s="62" t="s">
        <v>238</v>
      </c>
      <c r="B26" s="74" t="s">
        <v>225</v>
      </c>
      <c r="C26" s="64" t="n">
        <v>46245</v>
      </c>
      <c r="D26" s="63"/>
      <c r="E26" s="63" t="n">
        <v>2.14</v>
      </c>
      <c r="F26" s="65"/>
      <c r="G26" s="66" t="n">
        <v>87.78</v>
      </c>
      <c r="H26" s="67" t="str">
        <f aca="false" t="array" ref="H26:H26">IFERROR(INDEX(_xlfn.stockhistory(A26,TODAY()-5,TODAY(),0,0,1),ROWS(_xlfn.stockhistory(A26,TODAY()-5,TODAY(),0,0,1)),1),"")</f>
        <v/>
      </c>
      <c r="I26" s="68" t="str">
        <f aca="false">IF(OR(G26="",H26=""),"",H26/G26-1)</f>
        <v/>
      </c>
      <c r="J26" s="69" t="n">
        <v>46328</v>
      </c>
      <c r="K26" s="63" t="s">
        <v>213</v>
      </c>
      <c r="L26" s="70" t="s">
        <v>239</v>
      </c>
      <c r="M26" s="63" t="s">
        <v>212</v>
      </c>
      <c r="N26" s="70"/>
      <c r="O26" s="71" t="n">
        <f aca="true">IF(C26="","",TODAY()-C26)</f>
        <v>50</v>
      </c>
      <c r="P26" s="72"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70"/>
    </row>
    <row r="27" customFormat="false" ht="15" hidden="false" customHeight="true" outlineLevel="0" collapsed="false">
      <c r="A27" s="62" t="s">
        <v>240</v>
      </c>
      <c r="B27" s="73" t="s">
        <v>231</v>
      </c>
      <c r="C27" s="64" t="n">
        <v>46276</v>
      </c>
      <c r="D27" s="63"/>
      <c r="E27" s="63" t="n">
        <v>3.07</v>
      </c>
      <c r="F27" s="65"/>
      <c r="G27" s="66" t="n">
        <v>20.78</v>
      </c>
      <c r="H27" s="67" t="str">
        <f aca="false" t="array" ref="H27:H27">IFERROR(INDEX(_xlfn.stockhistory(A27,TODAY()-5,TODAY(),0,0,1),ROWS(_xlfn.stockhistory(A27,TODAY()-5,TODAY(),0,0,1)),1),"")</f>
        <v/>
      </c>
      <c r="I27" s="68" t="str">
        <f aca="false">IF(OR(G27="",H27=""),"",H27/G27-1)</f>
        <v/>
      </c>
      <c r="J27" s="69" t="n">
        <v>46330</v>
      </c>
      <c r="K27" s="63" t="s">
        <v>213</v>
      </c>
      <c r="L27" s="70" t="s">
        <v>241</v>
      </c>
      <c r="M27" s="63" t="s">
        <v>212</v>
      </c>
      <c r="N27" s="70"/>
      <c r="O27" s="71" t="n">
        <f aca="true">IF(C27="","",TODAY()-C27)</f>
        <v>19</v>
      </c>
      <c r="P27" s="72"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70"/>
    </row>
    <row r="28" customFormat="false" ht="15" hidden="false" customHeight="true" outlineLevel="0" collapsed="false">
      <c r="A28" s="62" t="s">
        <v>242</v>
      </c>
      <c r="B28" s="73" t="s">
        <v>231</v>
      </c>
      <c r="C28" s="64" t="n">
        <v>46247</v>
      </c>
      <c r="D28" s="63"/>
      <c r="E28" s="63" t="n">
        <v>3.5</v>
      </c>
      <c r="F28" s="65"/>
      <c r="G28" s="66" t="n">
        <v>453.33</v>
      </c>
      <c r="H28" s="67" t="str">
        <f aca="false" t="array" ref="H28:H28">IFERROR(INDEX(_xlfn.stockhistory(A28,TODAY()-5,TODAY(),0,0,1),ROWS(_xlfn.stockhistory(A28,TODAY()-5,TODAY(),0,0,1)),1),"")</f>
        <v/>
      </c>
      <c r="I28" s="68" t="str">
        <f aca="false">IF(OR(G28="",H28=""),"",H28/G28-1)</f>
        <v/>
      </c>
      <c r="J28" s="69" t="n">
        <v>46329</v>
      </c>
      <c r="K28" s="63" t="s">
        <v>213</v>
      </c>
      <c r="L28" s="70" t="s">
        <v>243</v>
      </c>
      <c r="M28" s="63" t="s">
        <v>212</v>
      </c>
      <c r="N28" s="70"/>
      <c r="O28" s="71" t="n">
        <f aca="true">IF(C28="","",TODAY()-C28)</f>
        <v>48</v>
      </c>
      <c r="P28" s="72"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70"/>
    </row>
    <row r="29" customFormat="false" ht="15" hidden="false" customHeight="true" outlineLevel="0" collapsed="false">
      <c r="A29" s="62" t="s">
        <v>244</v>
      </c>
      <c r="B29" s="73" t="s">
        <v>231</v>
      </c>
      <c r="C29" s="64" t="n">
        <v>46246</v>
      </c>
      <c r="D29" s="63"/>
      <c r="E29" s="63" t="n">
        <v>3.43</v>
      </c>
      <c r="F29" s="65"/>
      <c r="G29" s="66" t="n">
        <v>79.63</v>
      </c>
      <c r="H29" s="67" t="str">
        <f aca="false" t="array" ref="H29:H29">IFERROR(INDEX(_xlfn.stockhistory(A29,TODAY()-5,TODAY(),0,0,1),ROWS(_xlfn.stockhistory(A29,TODAY()-5,TODAY(),0,0,1)),1),"")</f>
        <v/>
      </c>
      <c r="I29" s="68" t="str">
        <f aca="false">IF(OR(G29="",H29=""),"",H29/G29-1)</f>
        <v/>
      </c>
      <c r="J29" s="69" t="n">
        <v>46330</v>
      </c>
      <c r="K29" s="63" t="s">
        <v>213</v>
      </c>
      <c r="L29" s="70" t="s">
        <v>245</v>
      </c>
      <c r="M29" s="63" t="s">
        <v>212</v>
      </c>
      <c r="N29" s="70"/>
      <c r="O29" s="71" t="n">
        <f aca="true">IF(C29="","",TODAY()-C29)</f>
        <v>49</v>
      </c>
      <c r="P29" s="72"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70"/>
    </row>
    <row r="30" customFormat="false" ht="15" hidden="false" customHeight="true" outlineLevel="0" collapsed="false">
      <c r="A30" s="62" t="s">
        <v>140</v>
      </c>
      <c r="B30" s="73" t="s">
        <v>210</v>
      </c>
      <c r="C30" s="64" t="n">
        <v>46247</v>
      </c>
      <c r="D30" s="63"/>
      <c r="E30" s="63" t="n">
        <v>3.86</v>
      </c>
      <c r="F30" s="65"/>
      <c r="G30" s="66" t="n">
        <v>360.64</v>
      </c>
      <c r="H30" s="67" t="str">
        <f aca="false" t="array" ref="H30:H30">IFERROR(INDEX(_xlfn.stockhistory(A30,TODAY()-5,TODAY(),0,0,1),ROWS(_xlfn.stockhistory(A30,TODAY()-5,TODAY(),0,0,1)),1),"")</f>
        <v/>
      </c>
      <c r="I30" s="68" t="str">
        <f aca="false">IF(OR(G30="",H30=""),"",H30/G30-1)</f>
        <v/>
      </c>
      <c r="J30" s="69" t="n">
        <v>46315</v>
      </c>
      <c r="K30" s="63" t="s">
        <v>213</v>
      </c>
      <c r="L30" s="70" t="s">
        <v>246</v>
      </c>
      <c r="M30" s="63" t="s">
        <v>212</v>
      </c>
      <c r="N30" s="70"/>
      <c r="O30" s="71" t="n">
        <f aca="true">IF(C30="","",TODAY()-C30)</f>
        <v>48</v>
      </c>
      <c r="P30" s="72"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DUE — INSIDER ACTIVITY</v>
      </c>
      <c r="Q30" s="70"/>
    </row>
    <row r="31" customFormat="false" ht="15" hidden="true" customHeight="true" outlineLevel="1" collapsed="false">
      <c r="A31" s="62" t="s">
        <v>247</v>
      </c>
      <c r="B31" s="74" t="s">
        <v>225</v>
      </c>
      <c r="C31" s="64" t="n">
        <v>46246</v>
      </c>
      <c r="D31" s="63"/>
      <c r="E31" s="63" t="n">
        <v>2.5</v>
      </c>
      <c r="F31" s="65"/>
      <c r="G31" s="66" t="n">
        <v>8.64</v>
      </c>
      <c r="H31" s="67" t="str">
        <f aca="false" t="array" ref="H31:H31">IFERROR(INDEX(_xlfn.stockhistory(A31,TODAY()-5,TODAY(),0,0,1),ROWS(_xlfn.stockhistory(A31,TODAY()-5,TODAY(),0,0,1)),1),"")</f>
        <v/>
      </c>
      <c r="I31" s="68" t="str">
        <f aca="false">IF(OR(G31="",H31=""),"",H31/G31-1)</f>
        <v/>
      </c>
      <c r="J31" s="69" t="n">
        <v>46331</v>
      </c>
      <c r="K31" s="63" t="s">
        <v>212</v>
      </c>
      <c r="L31" s="70"/>
      <c r="M31" s="63"/>
      <c r="N31" s="70"/>
      <c r="O31" s="71" t="n">
        <f aca="true">IF(C31="","",TODAY()-C31)</f>
        <v>49</v>
      </c>
      <c r="P31" s="72"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70"/>
    </row>
    <row r="32" customFormat="false" ht="15" hidden="true" customHeight="true" outlineLevel="1" collapsed="false">
      <c r="A32" s="62" t="s">
        <v>248</v>
      </c>
      <c r="B32" s="74" t="s">
        <v>225</v>
      </c>
      <c r="C32" s="64" t="n">
        <v>46245</v>
      </c>
      <c r="D32" s="63"/>
      <c r="E32" s="63" t="n">
        <v>1.93</v>
      </c>
      <c r="F32" s="65"/>
      <c r="G32" s="66" t="n">
        <v>24.3</v>
      </c>
      <c r="H32" s="67" t="str">
        <f aca="false" t="array" ref="H32:H32">IFERROR(INDEX(_xlfn.stockhistory(A32,TODAY()-5,TODAY(),0,0,1),ROWS(_xlfn.stockhistory(A32,TODAY()-5,TODAY(),0,0,1)),1),"")</f>
        <v/>
      </c>
      <c r="I32" s="68" t="str">
        <f aca="false">IF(OR(G32="",H32=""),"",H32/G32-1)</f>
        <v/>
      </c>
      <c r="J32" s="69" t="n">
        <v>46261</v>
      </c>
      <c r="K32" s="63" t="s">
        <v>212</v>
      </c>
      <c r="L32" s="70"/>
      <c r="M32" s="63" t="s">
        <v>212</v>
      </c>
      <c r="N32" s="70"/>
      <c r="O32" s="71" t="n">
        <f aca="true">IF(C32="","",TODAY()-C32)</f>
        <v>50</v>
      </c>
      <c r="P32" s="72"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70"/>
    </row>
    <row r="33" customFormat="false" ht="15" hidden="true" customHeight="true" outlineLevel="1" collapsed="false">
      <c r="A33" s="62" t="s">
        <v>249</v>
      </c>
      <c r="B33" s="74" t="s">
        <v>225</v>
      </c>
      <c r="C33" s="64" t="n">
        <v>46245</v>
      </c>
      <c r="D33" s="63"/>
      <c r="E33" s="63" t="n">
        <v>2.07</v>
      </c>
      <c r="F33" s="65"/>
      <c r="G33" s="66" t="n">
        <v>21.48</v>
      </c>
      <c r="H33" s="67" t="str">
        <f aca="false" t="array" ref="H33:H33">IFERROR(INDEX(_xlfn.stockhistory(A33,TODAY()-5,TODAY(),0,0,1),ROWS(_xlfn.stockhistory(A33,TODAY()-5,TODAY(),0,0,1)),1),"")</f>
        <v/>
      </c>
      <c r="I33" s="68" t="str">
        <f aca="false">IF(OR(G33="",H33=""),"",H33/G33-1)</f>
        <v/>
      </c>
      <c r="J33" s="69" t="n">
        <v>46309</v>
      </c>
      <c r="K33" s="63" t="s">
        <v>213</v>
      </c>
      <c r="L33" s="70" t="s">
        <v>250</v>
      </c>
      <c r="M33" s="63" t="s">
        <v>212</v>
      </c>
      <c r="N33" s="70"/>
      <c r="O33" s="71" t="n">
        <f aca="true">IF(C33="","",TODAY()-C33)</f>
        <v>50</v>
      </c>
      <c r="P33" s="72"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Q33" s="70"/>
    </row>
    <row r="34" customFormat="false" ht="15" hidden="false" customHeight="true" outlineLevel="0" collapsed="false">
      <c r="A34" s="62" t="s">
        <v>251</v>
      </c>
      <c r="B34" s="73" t="s">
        <v>231</v>
      </c>
      <c r="C34" s="64" t="n">
        <v>46245</v>
      </c>
      <c r="D34" s="63"/>
      <c r="E34" s="63" t="n">
        <v>4.5</v>
      </c>
      <c r="F34" s="65"/>
      <c r="G34" s="66" t="n">
        <v>490.53</v>
      </c>
      <c r="H34" s="67" t="str">
        <f aca="false" t="array" ref="H34:H34">IFERROR(INDEX(_xlfn.stockhistory(A34,TODAY()-5,TODAY(),0,0,1),ROWS(_xlfn.stockhistory(A34,TODAY()-5,TODAY(),0,0,1)),1),"")</f>
        <v/>
      </c>
      <c r="I34" s="68" t="str">
        <f aca="false">IF(OR(G34="",H34=""),"",H34/G34-1)</f>
        <v/>
      </c>
      <c r="J34" s="69" t="n">
        <v>46325</v>
      </c>
      <c r="K34" s="63" t="s">
        <v>213</v>
      </c>
      <c r="L34" s="70" t="s">
        <v>252</v>
      </c>
      <c r="M34" s="63" t="s">
        <v>212</v>
      </c>
      <c r="N34" s="70"/>
      <c r="O34" s="71" t="n">
        <f aca="true">IF(C34="","",TODAY()-C34)</f>
        <v>50</v>
      </c>
      <c r="P34" s="72"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70"/>
    </row>
    <row r="35" customFormat="false" ht="15" hidden="true" customHeight="true" outlineLevel="1" collapsed="false">
      <c r="A35" s="62" t="s">
        <v>253</v>
      </c>
      <c r="B35" s="74" t="s">
        <v>225</v>
      </c>
      <c r="C35" s="64" t="n">
        <v>46245</v>
      </c>
      <c r="D35" s="63"/>
      <c r="E35" s="63" t="n">
        <v>2.5</v>
      </c>
      <c r="F35" s="65"/>
      <c r="G35" s="66" t="n">
        <v>85.74</v>
      </c>
      <c r="H35" s="67" t="str">
        <f aca="false" t="array" ref="H35:H35">IFERROR(INDEX(_xlfn.stockhistory(A35,TODAY()-5,TODAY(),0,0,1),ROWS(_xlfn.stockhistory(A35,TODAY()-5,TODAY(),0,0,1)),1),"")</f>
        <v/>
      </c>
      <c r="I35" s="68" t="str">
        <f aca="false">IF(OR(G35="",H35=""),"",H35/G35-1)</f>
        <v/>
      </c>
      <c r="J35" s="69" t="n">
        <v>46322</v>
      </c>
      <c r="K35" s="63" t="s">
        <v>212</v>
      </c>
      <c r="L35" s="70"/>
      <c r="M35" s="63" t="s">
        <v>212</v>
      </c>
      <c r="N35" s="70"/>
      <c r="O35" s="71" t="n">
        <f aca="true">IF(C35="","",TODAY()-C35)</f>
        <v>50</v>
      </c>
      <c r="P35" s="72"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70"/>
    </row>
    <row r="36" customFormat="false" ht="15" hidden="false" customHeight="true" outlineLevel="0" collapsed="false">
      <c r="A36" s="62" t="s">
        <v>143</v>
      </c>
      <c r="B36" s="73" t="s">
        <v>210</v>
      </c>
      <c r="C36" s="64" t="n">
        <v>46258</v>
      </c>
      <c r="D36" s="63"/>
      <c r="E36" s="63" t="n">
        <v>4.21</v>
      </c>
      <c r="F36" s="65"/>
      <c r="G36" s="66" t="n">
        <v>80.01</v>
      </c>
      <c r="H36" s="67" t="str">
        <f aca="false" t="array" ref="H36:H36">IFERROR(INDEX(_xlfn.stockhistory(A36,TODAY()-5,TODAY(),0,0,1),ROWS(_xlfn.stockhistory(A36,TODAY()-5,TODAY(),0,0,1)),1),"")</f>
        <v/>
      </c>
      <c r="I36" s="68" t="str">
        <f aca="false">IF(OR(G36="",H36=""),"",H36/G36-1)</f>
        <v/>
      </c>
      <c r="J36" s="69" t="n">
        <v>46315</v>
      </c>
      <c r="K36" s="63" t="s">
        <v>213</v>
      </c>
      <c r="L36" s="70" t="s">
        <v>254</v>
      </c>
      <c r="M36" s="63" t="s">
        <v>212</v>
      </c>
      <c r="N36" s="70"/>
      <c r="O36" s="71" t="n">
        <f aca="true">IF(C36="","",TODAY()-C36)</f>
        <v>37</v>
      </c>
      <c r="P36" s="72"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70"/>
    </row>
    <row r="37" customFormat="false" ht="15" hidden="true" customHeight="true" outlineLevel="1" collapsed="false">
      <c r="A37" s="62" t="s">
        <v>255</v>
      </c>
      <c r="B37" s="74" t="s">
        <v>225</v>
      </c>
      <c r="C37" s="64" t="n">
        <v>46246</v>
      </c>
      <c r="D37" s="63"/>
      <c r="E37" s="63" t="n">
        <v>1.57</v>
      </c>
      <c r="F37" s="65"/>
      <c r="G37" s="66" t="n">
        <v>40.51</v>
      </c>
      <c r="H37" s="67" t="str">
        <f aca="false" t="array" ref="H37:H37">IFERROR(INDEX(_xlfn.stockhistory(A37,TODAY()-5,TODAY(),0,0,1),ROWS(_xlfn.stockhistory(A37,TODAY()-5,TODAY(),0,0,1)),1),"")</f>
        <v/>
      </c>
      <c r="I37" s="68" t="str">
        <f aca="false">IF(OR(G37="",H37=""),"",H37/G37-1)</f>
        <v/>
      </c>
      <c r="J37" s="69" t="n">
        <v>46294</v>
      </c>
      <c r="K37" s="63" t="s">
        <v>213</v>
      </c>
      <c r="L37" s="70" t="s">
        <v>256</v>
      </c>
      <c r="M37" s="63" t="s">
        <v>213</v>
      </c>
      <c r="N37" s="70" t="s">
        <v>257</v>
      </c>
      <c r="O37" s="71" t="n">
        <f aca="true">IF(C37="","",TODAY()-C37)</f>
        <v>49</v>
      </c>
      <c r="P37" s="72"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EARNINGS WINDOW</v>
      </c>
      <c r="Q37" s="70"/>
    </row>
    <row r="38" customFormat="false" ht="15" hidden="true" customHeight="true" outlineLevel="1" collapsed="false">
      <c r="A38" s="62" t="s">
        <v>258</v>
      </c>
      <c r="B38" s="74" t="s">
        <v>225</v>
      </c>
      <c r="C38" s="64" t="n">
        <v>46245</v>
      </c>
      <c r="D38" s="63"/>
      <c r="E38" s="63" t="n">
        <v>2.64</v>
      </c>
      <c r="F38" s="65"/>
      <c r="G38" s="66" t="n">
        <v>21.02</v>
      </c>
      <c r="H38" s="67" t="str">
        <f aca="false" t="array" ref="H38:H38">IFERROR(INDEX(_xlfn.stockhistory(A38,TODAY()-5,TODAY(),0,0,1),ROWS(_xlfn.stockhistory(A38,TODAY()-5,TODAY(),0,0,1)),1),"")</f>
        <v/>
      </c>
      <c r="I38" s="68" t="str">
        <f aca="false">IF(OR(G38="",H38=""),"",H38/G38-1)</f>
        <v/>
      </c>
      <c r="J38" s="69" t="n">
        <v>46321</v>
      </c>
      <c r="K38" s="63" t="s">
        <v>213</v>
      </c>
      <c r="L38" s="70" t="s">
        <v>259</v>
      </c>
      <c r="M38" s="63" t="s">
        <v>213</v>
      </c>
      <c r="N38" s="70" t="s">
        <v>260</v>
      </c>
      <c r="O38" s="71" t="n">
        <f aca="true">IF(C38="","",TODAY()-C38)</f>
        <v>50</v>
      </c>
      <c r="P38" s="72"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70"/>
    </row>
    <row r="39" customFormat="false" ht="15" hidden="true" customHeight="true" outlineLevel="1" collapsed="false">
      <c r="A39" s="62" t="s">
        <v>184</v>
      </c>
      <c r="B39" s="74" t="s">
        <v>225</v>
      </c>
      <c r="C39" s="64" t="n">
        <v>46240</v>
      </c>
      <c r="D39" s="63"/>
      <c r="E39" s="63" t="n">
        <v>2.64</v>
      </c>
      <c r="F39" s="65"/>
      <c r="G39" s="66" t="n">
        <v>37.34</v>
      </c>
      <c r="H39" s="67" t="str">
        <f aca="false" t="array" ref="H39:H39">IFERROR(INDEX(_xlfn.stockhistory(A39,TODAY()-5,TODAY(),0,0,1),ROWS(_xlfn.stockhistory(A39,TODAY()-5,TODAY(),0,0,1)),1),"")</f>
        <v/>
      </c>
      <c r="I39" s="68" t="str">
        <f aca="false">IF(OR(G39="",H39=""),"",H39/G39-1)</f>
        <v/>
      </c>
      <c r="J39" s="69" t="n">
        <v>46337</v>
      </c>
      <c r="K39" s="63" t="s">
        <v>213</v>
      </c>
      <c r="L39" s="70" t="s">
        <v>261</v>
      </c>
      <c r="M39" s="63" t="s">
        <v>212</v>
      </c>
      <c r="N39" s="70"/>
      <c r="O39" s="71" t="n">
        <f aca="true">IF(C39="","",TODAY()-C39)</f>
        <v>55</v>
      </c>
      <c r="P39" s="72"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70"/>
    </row>
    <row r="40" customFormat="false" ht="15" hidden="false" customHeight="true" outlineLevel="0" collapsed="false">
      <c r="A40" s="62" t="s">
        <v>262</v>
      </c>
      <c r="B40" s="73" t="s">
        <v>231</v>
      </c>
      <c r="C40" s="64" t="n">
        <v>46245</v>
      </c>
      <c r="D40" s="63"/>
      <c r="E40" s="63" t="n">
        <v>4.21</v>
      </c>
      <c r="F40" s="65"/>
      <c r="G40" s="66" t="n">
        <v>145.21</v>
      </c>
      <c r="H40" s="67" t="str">
        <f aca="false" t="array" ref="H40:H40">IFERROR(INDEX(_xlfn.stockhistory(A40,TODAY()-5,TODAY(),0,0,1),ROWS(_xlfn.stockhistory(A40,TODAY()-5,TODAY(),0,0,1)),1),"")</f>
        <v/>
      </c>
      <c r="I40" s="68" t="str">
        <f aca="false">IF(OR(G40="",H40=""),"",H40/G40-1)</f>
        <v/>
      </c>
      <c r="J40" s="69" t="n">
        <v>46317</v>
      </c>
      <c r="K40" s="63" t="s">
        <v>213</v>
      </c>
      <c r="L40" s="70" t="s">
        <v>263</v>
      </c>
      <c r="M40" s="63" t="s">
        <v>212</v>
      </c>
      <c r="N40" s="70"/>
      <c r="O40" s="71" t="n">
        <f aca="true">IF(C40="","",TODAY()-C40)</f>
        <v>50</v>
      </c>
      <c r="P40" s="72"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70"/>
    </row>
    <row r="41" customFormat="false" ht="15" hidden="false" customHeight="true" outlineLevel="0" collapsed="false">
      <c r="A41" s="62" t="s">
        <v>264</v>
      </c>
      <c r="B41" s="73" t="s">
        <v>231</v>
      </c>
      <c r="C41" s="64" t="n">
        <v>46247</v>
      </c>
      <c r="D41" s="63"/>
      <c r="E41" s="63" t="n">
        <v>3.29</v>
      </c>
      <c r="F41" s="65"/>
      <c r="G41" s="66" t="n">
        <v>1058.87</v>
      </c>
      <c r="H41" s="67" t="str">
        <f aca="false" t="array" ref="H41:H41">IFERROR(INDEX(_xlfn.stockhistory(A41,TODAY()-5,TODAY(),0,0,1),ROWS(_xlfn.stockhistory(A41,TODAY()-5,TODAY(),0,0,1)),1),"")</f>
        <v/>
      </c>
      <c r="I41" s="68" t="str">
        <f aca="false">IF(OR(G41="",H41=""),"",H41/G41-1)</f>
        <v/>
      </c>
      <c r="J41" s="69" t="n">
        <v>46331</v>
      </c>
      <c r="K41" s="63" t="s">
        <v>213</v>
      </c>
      <c r="L41" s="70" t="s">
        <v>265</v>
      </c>
      <c r="M41" s="63" t="s">
        <v>212</v>
      </c>
      <c r="N41" s="70"/>
      <c r="O41" s="71" t="n">
        <f aca="true">IF(C41="","",TODAY()-C41)</f>
        <v>48</v>
      </c>
      <c r="P41" s="72"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70"/>
    </row>
    <row r="42" customFormat="false" ht="15" hidden="true" customHeight="true" outlineLevel="1" collapsed="false">
      <c r="A42" s="62" t="s">
        <v>266</v>
      </c>
      <c r="B42" s="70" t="s">
        <v>225</v>
      </c>
      <c r="C42" s="64" t="n">
        <v>46245</v>
      </c>
      <c r="D42" s="63"/>
      <c r="E42" s="63" t="n">
        <v>1.36</v>
      </c>
      <c r="F42" s="65"/>
      <c r="G42" s="66" t="n">
        <v>24.32</v>
      </c>
      <c r="H42" s="67" t="str">
        <f aca="false" t="array" ref="H42:H42">IFERROR(INDEX(_xlfn.stockhistory(A42,TODAY()-5,TODAY(),0,0,1),ROWS(_xlfn.stockhistory(A42,TODAY()-5,TODAY(),0,0,1)),1),"")</f>
        <v/>
      </c>
      <c r="I42" s="68" t="str">
        <f aca="false">IF(OR(G42="",H42=""),"",H42/G42-1)</f>
        <v/>
      </c>
      <c r="J42" s="69" t="n">
        <v>46331</v>
      </c>
      <c r="K42" s="63" t="s">
        <v>212</v>
      </c>
      <c r="L42" s="70"/>
      <c r="M42" s="63" t="s">
        <v>213</v>
      </c>
      <c r="N42" s="70" t="s">
        <v>267</v>
      </c>
      <c r="O42" s="71" t="n">
        <f aca="true">IF(C42="","",TODAY()-C42)</f>
        <v>50</v>
      </c>
      <c r="P42" s="72"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70"/>
    </row>
    <row r="43" customFormat="false" ht="15" hidden="true" customHeight="true" outlineLevel="1" collapsed="false">
      <c r="A43" s="75" t="s">
        <v>173</v>
      </c>
      <c r="B43" s="76" t="s">
        <v>225</v>
      </c>
      <c r="C43" s="77" t="n">
        <v>46240</v>
      </c>
      <c r="D43" s="78"/>
      <c r="E43" s="78" t="n">
        <v>1.86</v>
      </c>
      <c r="F43" s="65"/>
      <c r="G43" s="79" t="n">
        <v>87.2</v>
      </c>
      <c r="H43" s="80" t="str">
        <f aca="false" t="array" ref="H43:H43">IFERROR(INDEX(_xlfn.stockhistory(A43,TODAY()-5,TODAY(),0,0,1),ROWS(_xlfn.stockhistory(A43,TODAY()-5,TODAY(),0,0,1)),1),"")</f>
        <v/>
      </c>
      <c r="I43" s="19" t="str">
        <f aca="false">IF(OR(G43="",H43=""),"",H43/G43-1)</f>
        <v/>
      </c>
      <c r="J43" s="81" t="n">
        <v>46323</v>
      </c>
      <c r="K43" s="78" t="s">
        <v>213</v>
      </c>
      <c r="L43" s="76" t="s">
        <v>268</v>
      </c>
      <c r="M43" s="78" t="s">
        <v>212</v>
      </c>
      <c r="N43" s="76"/>
      <c r="O43" s="82" t="n">
        <f aca="true">IF(C43="","",TODAY()-C43)</f>
        <v>55</v>
      </c>
      <c r="P43" s="15"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76"/>
    </row>
    <row r="44" customFormat="false" ht="15" hidden="true" customHeight="true" outlineLevel="1" collapsed="false">
      <c r="A44" s="75" t="s">
        <v>176</v>
      </c>
      <c r="B44" s="76" t="s">
        <v>225</v>
      </c>
      <c r="C44" s="77" t="n">
        <v>46240</v>
      </c>
      <c r="D44" s="78"/>
      <c r="E44" s="78" t="n">
        <v>1.93</v>
      </c>
      <c r="F44" s="65"/>
      <c r="G44" s="79" t="n">
        <v>319.53</v>
      </c>
      <c r="H44" s="80" t="str">
        <f aca="false" t="array" ref="H44:H44">IFERROR(INDEX(_xlfn.stockhistory(A44,TODAY()-5,TODAY(),0,0,1),ROWS(_xlfn.stockhistory(A44,TODAY()-5,TODAY(),0,0,1)),1),"")</f>
        <v/>
      </c>
      <c r="I44" s="19" t="str">
        <f aca="false">IF(OR(G44="",H44=""),"",H44/G44-1)</f>
        <v/>
      </c>
      <c r="J44" s="81" t="n">
        <v>46316</v>
      </c>
      <c r="K44" s="78" t="s">
        <v>212</v>
      </c>
      <c r="L44" s="76"/>
      <c r="M44" s="78" t="s">
        <v>212</v>
      </c>
      <c r="N44" s="76"/>
      <c r="O44" s="82" t="n">
        <f aca="true">IF(C44="","",TODAY()-C44)</f>
        <v>55</v>
      </c>
      <c r="P44" s="15"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76"/>
    </row>
    <row r="45" customFormat="false" ht="15" hidden="false" customHeight="true" outlineLevel="0" collapsed="false">
      <c r="A45" s="75" t="s">
        <v>118</v>
      </c>
      <c r="B45" s="78" t="s">
        <v>210</v>
      </c>
      <c r="C45" s="77" t="n">
        <v>46245</v>
      </c>
      <c r="D45" s="78" t="n">
        <v>86.4</v>
      </c>
      <c r="E45" s="78" t="n">
        <v>4.57</v>
      </c>
      <c r="F45" s="65" t="s">
        <v>211</v>
      </c>
      <c r="G45" s="79" t="n">
        <v>362.82</v>
      </c>
      <c r="H45" s="80" t="str">
        <f aca="false" t="array" ref="H45:H45">IFERROR(INDEX(_xlfn.stockhistory(A45,TODAY()-5,TODAY(),0,0,1),ROWS(_xlfn.stockhistory(A45,TODAY()-5,TODAY(),0,0,1)),1),"")</f>
        <v/>
      </c>
      <c r="I45" s="19" t="str">
        <f aca="false">IF(OR(G45="",H45=""),"",H45/G45-1)</f>
        <v/>
      </c>
      <c r="J45" s="81" t="n">
        <v>46322</v>
      </c>
      <c r="K45" s="78" t="s">
        <v>213</v>
      </c>
      <c r="L45" s="76" t="s">
        <v>269</v>
      </c>
      <c r="M45" s="78" t="s">
        <v>212</v>
      </c>
      <c r="N45" s="76"/>
      <c r="O45" s="82" t="n">
        <f aca="true">IF(C45="","",TODAY()-C45)</f>
        <v>50</v>
      </c>
      <c r="P45" s="15"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76"/>
    </row>
    <row r="46" customFormat="false" ht="15" hidden="true" customHeight="true" outlineLevel="1" collapsed="false">
      <c r="A46" s="75" t="s">
        <v>270</v>
      </c>
      <c r="B46" s="76" t="s">
        <v>225</v>
      </c>
      <c r="C46" s="77" t="n">
        <v>46246</v>
      </c>
      <c r="D46" s="78"/>
      <c r="E46" s="78" t="n">
        <v>2.86</v>
      </c>
      <c r="F46" s="65"/>
      <c r="G46" s="79" t="n">
        <v>14.57</v>
      </c>
      <c r="H46" s="80" t="str">
        <f aca="false" t="array" ref="H46:H46">IFERROR(INDEX(_xlfn.stockhistory(A46,TODAY()-5,TODAY(),0,0,1),ROWS(_xlfn.stockhistory(A46,TODAY()-5,TODAY(),0,0,1)),1),"")</f>
        <v/>
      </c>
      <c r="I46" s="19" t="str">
        <f aca="false">IF(OR(G46="",H46=""),"",H46/G46-1)</f>
        <v/>
      </c>
      <c r="J46" s="81" t="n">
        <v>46321</v>
      </c>
      <c r="K46" s="78" t="s">
        <v>213</v>
      </c>
      <c r="L46" s="76" t="s">
        <v>271</v>
      </c>
      <c r="M46" s="78" t="s">
        <v>212</v>
      </c>
      <c r="N46" s="76"/>
      <c r="O46" s="82" t="n">
        <f aca="true">IF(C46="","",TODAY()-C46)</f>
        <v>49</v>
      </c>
      <c r="P46" s="15"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76"/>
    </row>
    <row r="47" customFormat="false" ht="15" hidden="false" customHeight="true" outlineLevel="0" collapsed="false">
      <c r="A47" s="75" t="s">
        <v>272</v>
      </c>
      <c r="B47" s="73" t="s">
        <v>231</v>
      </c>
      <c r="C47" s="77" t="n">
        <v>46245</v>
      </c>
      <c r="D47" s="78"/>
      <c r="E47" s="78" t="n">
        <v>4.29</v>
      </c>
      <c r="F47" s="65"/>
      <c r="G47" s="79" t="n">
        <v>144.75</v>
      </c>
      <c r="H47" s="80" t="str">
        <f aca="false" t="array" ref="H47:H47">IFERROR(INDEX(_xlfn.stockhistory(A47,TODAY()-5,TODAY(),0,0,1),ROWS(_xlfn.stockhistory(A47,TODAY()-5,TODAY(),0,0,1)),1),"")</f>
        <v/>
      </c>
      <c r="I47" s="19" t="str">
        <f aca="false">IF(OR(G47="",H47=""),"",H47/G47-1)</f>
        <v/>
      </c>
      <c r="J47" s="81" t="n">
        <v>46329</v>
      </c>
      <c r="K47" s="78" t="s">
        <v>213</v>
      </c>
      <c r="L47" s="76" t="s">
        <v>273</v>
      </c>
      <c r="M47" s="78" t="s">
        <v>212</v>
      </c>
      <c r="N47" s="76"/>
      <c r="O47" s="82" t="n">
        <f aca="true">IF(C47="","",TODAY()-C47)</f>
        <v>50</v>
      </c>
      <c r="P47" s="15"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76"/>
    </row>
    <row r="48" customFormat="false" ht="15" hidden="false" customHeight="true" outlineLevel="0" collapsed="false">
      <c r="A48" s="62" t="s">
        <v>274</v>
      </c>
      <c r="B48" s="73" t="s">
        <v>231</v>
      </c>
      <c r="C48" s="64" t="n">
        <v>46276</v>
      </c>
      <c r="D48" s="63"/>
      <c r="E48" s="63" t="n">
        <v>4</v>
      </c>
      <c r="F48" s="65"/>
      <c r="G48" s="66" t="n">
        <v>63.85</v>
      </c>
      <c r="H48" s="67" t="str">
        <f aca="false" t="array" ref="H48:H48">IFERROR(INDEX(_xlfn.stockhistory(A48,TODAY()-5,TODAY(),0,0,1),ROWS(_xlfn.stockhistory(A48,TODAY()-5,TODAY(),0,0,1)),1),"")</f>
        <v/>
      </c>
      <c r="I48" s="68" t="str">
        <f aca="false">IF(OR(G48="",H48=""),"",H48/G48-1)</f>
        <v/>
      </c>
      <c r="J48" s="69" t="n">
        <v>46329</v>
      </c>
      <c r="K48" s="63" t="s">
        <v>212</v>
      </c>
      <c r="L48" s="70"/>
      <c r="M48" s="63" t="s">
        <v>212</v>
      </c>
      <c r="N48" s="70"/>
      <c r="O48" s="71" t="n">
        <f aca="true">IF(C48="","",TODAY()-C48)</f>
        <v>19</v>
      </c>
      <c r="P48" s="72" t="str">
        <f aca="true">IF(A48="","",IF(O48&gt;180,"DUE — STALE (&gt;180 days)",IF(J48&lt;&gt;"",IF(ABS(J48-TODAY())&lt;=7,"DUE — EARNINGS WINDOW",IF(I48&lt;&gt;"",IF(ABS(I48)&gt;=0.2,"DUE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f>
        <v>Monitor Only</v>
      </c>
      <c r="Q48" s="70" t="s">
        <v>275</v>
      </c>
    </row>
  </sheetData>
  <mergeCells count="1">
    <mergeCell ref="A1:Q1"/>
  </mergeCells>
  <conditionalFormatting sqref="F3:F47">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P3:P47">
    <cfRule type="expression" priority="7" aboveAverage="0" equalAverage="0" bottom="0" percent="0" rank="0" text="" dxfId="0">
      <formula>ISNUMBER(SEARCH("DUE",O3))</formula>
    </cfRule>
    <cfRule type="expression" priority="8" aboveAverage="0" equalAverage="0" bottom="0" percent="0" rank="0" text="" dxfId="19">
      <formula>ISNUMBER(SEARCH("WATCH",O3))</formula>
    </cfRule>
    <cfRule type="expression" priority="9" aboveAverage="0" equalAverage="0" bottom="0" percent="0" rank="0" text="" dxfId="21">
      <formula>O3="Monitor Only"</formula>
    </cfRule>
  </conditionalFormatting>
  <conditionalFormatting sqref="B3:B47">
    <cfRule type="expression" priority="10" aboveAverage="0" equalAverage="0" bottom="0" percent="0" rank="0" text="" dxfId="20">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Q128" activeCellId="0" sqref="Q128"/>
    </sheetView>
  </sheetViews>
  <sheetFormatPr defaultColWidth="8.66796875" defaultRowHeight="13.5" customHeight="false" zeroHeight="false" outlineLevelRow="0" outlineLevelCol="0"/>
  <cols>
    <col collapsed="false" customWidth="true" hidden="false" outlineLevel="0" max="1" min="1" style="83" width="12"/>
    <col collapsed="false" customWidth="true" hidden="false" outlineLevel="0" max="2" min="2" style="83" width="6.67"/>
    <col collapsed="false" customWidth="true" hidden="false" outlineLevel="0" max="3" min="3" style="83" width="6.56"/>
    <col collapsed="false" customWidth="true" hidden="false" outlineLevel="0" max="5" min="4" style="83" width="7"/>
    <col collapsed="false" customWidth="true" hidden="false" outlineLevel="0" max="6" min="6" style="83" width="7.11"/>
    <col collapsed="false" customWidth="true" hidden="false" outlineLevel="0" max="7" min="7" style="83" width="6.56"/>
    <col collapsed="false" customWidth="true" hidden="false" outlineLevel="0" max="8" min="8" style="83" width="7"/>
    <col collapsed="false" customWidth="true" hidden="false" outlineLevel="0" max="9" min="9" style="83" width="6.77"/>
    <col collapsed="false" customWidth="true" hidden="false" outlineLevel="0" max="10" min="10" style="83" width="5.66"/>
    <col collapsed="false" customWidth="true" hidden="false" outlineLevel="0" max="11" min="11" style="83" width="6.11"/>
    <col collapsed="false" customWidth="true" hidden="false" outlineLevel="0" max="13" min="12" style="83" width="5.66"/>
    <col collapsed="false" customWidth="true" hidden="false" outlineLevel="0" max="14" min="14" style="83" width="6.56"/>
    <col collapsed="false" customWidth="true" hidden="false" outlineLevel="0" max="15" min="15" style="83" width="6.77"/>
    <col collapsed="false" customWidth="true" hidden="false" outlineLevel="0" max="16" min="16" style="83" width="4.44"/>
    <col collapsed="false" customWidth="true" hidden="false" outlineLevel="0" max="17" min="17" style="83" width="6.56"/>
    <col collapsed="false" customWidth="true" hidden="false" outlineLevel="0" max="18" min="18" style="83" width="6.33"/>
    <col collapsed="false" customWidth="true" hidden="false" outlineLevel="0" max="19" min="19" style="83" width="6.77"/>
    <col collapsed="false" customWidth="true" hidden="false" outlineLevel="0" max="20" min="20" style="83" width="6.56"/>
    <col collapsed="false" customWidth="true" hidden="false" outlineLevel="0" max="21" min="21" style="83" width="3.76"/>
    <col collapsed="false" customWidth="true" hidden="false" outlineLevel="0" max="22" min="22" style="83" width="6.56"/>
    <col collapsed="false" customWidth="true" hidden="false" outlineLevel="0" max="27" min="23" style="83" width="5.66"/>
    <col collapsed="false" customWidth="false" hidden="false" outlineLevel="0" max="16384" min="28" style="83" width="8.67"/>
  </cols>
  <sheetData>
    <row r="1" customFormat="false" ht="25.5" hidden="false" customHeight="true" outlineLevel="0" collapsed="false">
      <c r="A1" s="84" t="s">
        <v>276</v>
      </c>
      <c r="B1" s="85"/>
      <c r="C1" s="85"/>
      <c r="D1" s="85"/>
      <c r="E1" s="85"/>
      <c r="F1" s="85"/>
      <c r="G1" s="85"/>
      <c r="H1" s="85"/>
      <c r="I1" s="85"/>
      <c r="J1" s="85"/>
      <c r="K1" s="85"/>
      <c r="L1" s="85"/>
      <c r="M1" s="85"/>
      <c r="N1" s="85"/>
      <c r="O1" s="85"/>
      <c r="P1" s="85"/>
      <c r="Q1" s="85"/>
    </row>
    <row r="2" customFormat="false" ht="15" hidden="false" customHeight="true" outlineLevel="0" collapsed="false">
      <c r="A2" s="86" t="s">
        <v>277</v>
      </c>
      <c r="B2" s="86" t="s">
        <v>95</v>
      </c>
      <c r="C2" s="86" t="s">
        <v>100</v>
      </c>
      <c r="D2" s="86" t="s">
        <v>102</v>
      </c>
      <c r="E2" s="86" t="s">
        <v>165</v>
      </c>
      <c r="F2" s="86" t="s">
        <v>156</v>
      </c>
      <c r="G2" s="86" t="s">
        <v>104</v>
      </c>
      <c r="H2" s="86" t="s">
        <v>126</v>
      </c>
      <c r="I2" s="86" t="s">
        <v>106</v>
      </c>
      <c r="J2" s="86" t="s">
        <v>108</v>
      </c>
      <c r="K2" s="86" t="s">
        <v>110</v>
      </c>
      <c r="L2" s="86" t="s">
        <v>170</v>
      </c>
      <c r="M2" s="86" t="s">
        <v>112</v>
      </c>
      <c r="N2" s="86" t="s">
        <v>132</v>
      </c>
      <c r="O2" s="86" t="s">
        <v>138</v>
      </c>
      <c r="P2" s="86" t="s">
        <v>114</v>
      </c>
      <c r="Q2" s="86" t="s">
        <v>118</v>
      </c>
      <c r="R2" s="86" t="s">
        <v>152</v>
      </c>
      <c r="S2" s="86" t="s">
        <v>138</v>
      </c>
      <c r="T2" s="86" t="s">
        <v>129</v>
      </c>
      <c r="U2" s="86"/>
      <c r="V2" s="86" t="s">
        <v>118</v>
      </c>
      <c r="W2" s="86"/>
      <c r="X2" s="86"/>
      <c r="Y2" s="86"/>
      <c r="Z2" s="86"/>
      <c r="AA2" s="86"/>
    </row>
    <row r="3" customFormat="false" ht="15" hidden="false" customHeight="true" outlineLevel="0" collapsed="false">
      <c r="A3" s="87" t="n">
        <v>45184</v>
      </c>
      <c r="B3" s="88" t="n">
        <v>528.89</v>
      </c>
      <c r="C3" s="88" t="n">
        <v>46.18</v>
      </c>
      <c r="D3" s="88" t="n">
        <v>582.01</v>
      </c>
      <c r="E3" s="88" t="n">
        <v>82</v>
      </c>
      <c r="F3" s="88" t="n">
        <v>75.31</v>
      </c>
      <c r="G3" s="88" t="n">
        <v>41.36</v>
      </c>
      <c r="H3" s="88" t="n">
        <v>100.59</v>
      </c>
      <c r="I3" s="88" t="n">
        <v>44.35</v>
      </c>
      <c r="J3" s="88" t="n">
        <v>69.11</v>
      </c>
      <c r="K3" s="88" t="n">
        <v>43.77</v>
      </c>
      <c r="L3" s="88" t="n">
        <v>111.84</v>
      </c>
      <c r="M3" s="88" t="n">
        <v>15.33</v>
      </c>
      <c r="N3" s="88" t="n">
        <v>21.8</v>
      </c>
      <c r="O3" s="88" t="n">
        <v>57.63</v>
      </c>
      <c r="P3" s="88" t="n">
        <v>85.75</v>
      </c>
      <c r="Q3" s="88" t="n">
        <v>235.63</v>
      </c>
      <c r="R3" s="88" t="n">
        <v>47.82</v>
      </c>
      <c r="S3" s="88" t="n">
        <v>58.54</v>
      </c>
      <c r="T3" s="88" t="n">
        <v>26.91</v>
      </c>
      <c r="U3" s="88"/>
      <c r="V3" s="88"/>
      <c r="W3" s="88"/>
      <c r="X3" s="88"/>
      <c r="Y3" s="88"/>
      <c r="Z3" s="88"/>
      <c r="AA3" s="88"/>
    </row>
    <row r="4" customFormat="false" ht="15" hidden="false" customHeight="true" outlineLevel="0" collapsed="false">
      <c r="A4" s="69" t="n">
        <v>45191</v>
      </c>
      <c r="B4" s="66" t="n">
        <v>512.9</v>
      </c>
      <c r="C4" s="66" t="n">
        <v>45.08</v>
      </c>
      <c r="D4" s="66" t="n">
        <v>572.69</v>
      </c>
      <c r="E4" s="66" t="n">
        <v>80.26</v>
      </c>
      <c r="F4" s="66" t="n">
        <v>73.11</v>
      </c>
      <c r="G4" s="66" t="n">
        <v>40.64</v>
      </c>
      <c r="H4" s="66" t="n">
        <v>98.44</v>
      </c>
      <c r="I4" s="66" t="n">
        <v>44.12</v>
      </c>
      <c r="J4" s="66" t="n">
        <v>68.12</v>
      </c>
      <c r="K4" s="66" t="n">
        <v>41.49</v>
      </c>
      <c r="L4" s="66" t="n">
        <v>103.57</v>
      </c>
      <c r="M4" s="66" t="n">
        <v>14.13</v>
      </c>
      <c r="N4" s="66" t="n">
        <v>21.3</v>
      </c>
      <c r="O4" s="66" t="n">
        <v>56.23</v>
      </c>
      <c r="P4" s="66" t="n">
        <v>82.28</v>
      </c>
      <c r="Q4" s="66" t="n">
        <v>229.78</v>
      </c>
      <c r="R4" s="66" t="n">
        <v>46.93</v>
      </c>
      <c r="S4" s="66" t="n">
        <v>58.05</v>
      </c>
      <c r="T4" s="66" t="n">
        <v>26.19</v>
      </c>
      <c r="U4" s="66"/>
      <c r="V4" s="66"/>
      <c r="W4" s="66"/>
      <c r="X4" s="66"/>
      <c r="Y4" s="66"/>
      <c r="Z4" s="66"/>
      <c r="AA4" s="66"/>
    </row>
    <row r="5" customFormat="false" ht="15" hidden="false" customHeight="true" outlineLevel="0" collapsed="false">
      <c r="A5" s="69" t="n">
        <v>45198</v>
      </c>
      <c r="B5" s="66" t="n">
        <v>509.9</v>
      </c>
      <c r="C5" s="66" t="n">
        <v>45.98</v>
      </c>
      <c r="D5" s="66" t="n">
        <v>574.21</v>
      </c>
      <c r="E5" s="66" t="n">
        <v>80.41</v>
      </c>
      <c r="F5" s="66" t="n">
        <v>74.31</v>
      </c>
      <c r="G5" s="66" t="n">
        <v>41.85</v>
      </c>
      <c r="H5" s="66" t="n">
        <v>96.59</v>
      </c>
      <c r="I5" s="66" t="n">
        <v>44.79</v>
      </c>
      <c r="J5" s="66" t="n">
        <v>67.28</v>
      </c>
      <c r="K5" s="66" t="n">
        <v>43.37</v>
      </c>
      <c r="L5" s="66" t="n">
        <v>101.88</v>
      </c>
      <c r="M5" s="66" t="n">
        <v>16</v>
      </c>
      <c r="N5" s="66" t="n">
        <v>21.14</v>
      </c>
      <c r="O5" s="66" t="n">
        <v>56.06</v>
      </c>
      <c r="P5" s="66" t="n">
        <v>83.49</v>
      </c>
      <c r="Q5" s="66" t="n">
        <v>224.82</v>
      </c>
      <c r="R5" s="66" t="n">
        <v>47.68</v>
      </c>
      <c r="S5" s="66" t="n">
        <v>57.89</v>
      </c>
      <c r="T5" s="66" t="n">
        <v>25.98</v>
      </c>
      <c r="U5" s="66"/>
      <c r="V5" s="66"/>
      <c r="W5" s="66"/>
      <c r="X5" s="66"/>
      <c r="Y5" s="66"/>
      <c r="Z5" s="66"/>
      <c r="AA5" s="66"/>
    </row>
    <row r="6" customFormat="false" ht="15" hidden="false" customHeight="true" outlineLevel="0" collapsed="false">
      <c r="A6" s="69" t="n">
        <v>45205</v>
      </c>
      <c r="B6" s="66" t="n">
        <v>526.68</v>
      </c>
      <c r="C6" s="66" t="n">
        <v>48.51</v>
      </c>
      <c r="D6" s="66" t="n">
        <v>582.69</v>
      </c>
      <c r="E6" s="66" t="n">
        <v>81.83</v>
      </c>
      <c r="F6" s="66" t="n">
        <v>72.07</v>
      </c>
      <c r="G6" s="66" t="n">
        <v>44.17</v>
      </c>
      <c r="H6" s="66" t="n">
        <v>94.44</v>
      </c>
      <c r="I6" s="66" t="n">
        <v>45.7</v>
      </c>
      <c r="J6" s="66" t="n">
        <v>69.3</v>
      </c>
      <c r="K6" s="66" t="n">
        <v>45.63</v>
      </c>
      <c r="L6" s="66" t="n">
        <v>98.88</v>
      </c>
      <c r="M6" s="66" t="n">
        <v>16.61</v>
      </c>
      <c r="N6" s="66" t="n">
        <v>20.8</v>
      </c>
      <c r="O6" s="66" t="n">
        <v>56.68</v>
      </c>
      <c r="P6" s="66" t="n">
        <v>85.79</v>
      </c>
      <c r="Q6" s="66" t="n">
        <v>229.74</v>
      </c>
      <c r="R6" s="66" t="n">
        <v>48.55</v>
      </c>
      <c r="S6" s="66" t="n">
        <v>58.82</v>
      </c>
      <c r="T6" s="66" t="n">
        <v>26.66</v>
      </c>
      <c r="U6" s="66"/>
      <c r="V6" s="66"/>
      <c r="W6" s="66"/>
      <c r="X6" s="66"/>
      <c r="Y6" s="66"/>
      <c r="Z6" s="66"/>
      <c r="AA6" s="66"/>
    </row>
    <row r="7" customFormat="false" ht="15" hidden="false" customHeight="true" outlineLevel="0" collapsed="false">
      <c r="A7" s="69" t="n">
        <v>45212</v>
      </c>
      <c r="B7" s="66" t="n">
        <v>548.76</v>
      </c>
      <c r="C7" s="66" t="n">
        <v>47.46</v>
      </c>
      <c r="D7" s="66" t="n">
        <v>585.03</v>
      </c>
      <c r="E7" s="66" t="n">
        <v>85.5</v>
      </c>
      <c r="F7" s="66" t="n">
        <v>72.26</v>
      </c>
      <c r="G7" s="66" t="n">
        <v>46.43</v>
      </c>
      <c r="H7" s="66" t="n">
        <v>95.73</v>
      </c>
      <c r="I7" s="66" t="n">
        <v>47.54</v>
      </c>
      <c r="J7" s="66" t="n">
        <v>68.56</v>
      </c>
      <c r="K7" s="66" t="n">
        <v>45.33</v>
      </c>
      <c r="L7" s="66" t="n">
        <v>99.56</v>
      </c>
      <c r="M7" s="66" t="n">
        <v>17.36</v>
      </c>
      <c r="N7" s="66" t="n">
        <v>21.01</v>
      </c>
      <c r="O7" s="66" t="n">
        <v>57</v>
      </c>
      <c r="P7" s="66" t="n">
        <v>86.92</v>
      </c>
      <c r="Q7" s="66" t="n">
        <v>232.31</v>
      </c>
      <c r="R7" s="66" t="n">
        <v>48.23</v>
      </c>
      <c r="S7" s="66" t="n">
        <v>59.17</v>
      </c>
      <c r="T7" s="66" t="n">
        <v>26.47</v>
      </c>
      <c r="U7" s="66"/>
      <c r="V7" s="66" t="n">
        <v>241.71</v>
      </c>
      <c r="W7" s="66"/>
      <c r="X7" s="66"/>
      <c r="Y7" s="66"/>
      <c r="Z7" s="66"/>
      <c r="AA7" s="66"/>
    </row>
    <row r="8" customFormat="false" ht="15" hidden="false" customHeight="true" outlineLevel="0" collapsed="false">
      <c r="A8" s="69" t="n">
        <v>45219</v>
      </c>
      <c r="B8" s="66" t="n">
        <v>540.96</v>
      </c>
      <c r="C8" s="66" t="n">
        <v>46.53</v>
      </c>
      <c r="D8" s="66" t="n">
        <v>565.86</v>
      </c>
      <c r="E8" s="66" t="n">
        <v>82.64</v>
      </c>
      <c r="F8" s="66" t="n">
        <v>71.05</v>
      </c>
      <c r="G8" s="66" t="n">
        <v>44.69</v>
      </c>
      <c r="H8" s="66" t="n">
        <v>93.91</v>
      </c>
      <c r="I8" s="66" t="n">
        <v>45.16</v>
      </c>
      <c r="J8" s="66" t="n">
        <v>66.59</v>
      </c>
      <c r="K8" s="66" t="n">
        <v>41.26</v>
      </c>
      <c r="L8" s="66" t="n">
        <v>93</v>
      </c>
      <c r="M8" s="66" t="n">
        <v>16.11</v>
      </c>
      <c r="N8" s="66" t="n">
        <v>20.7</v>
      </c>
      <c r="O8" s="66" t="n">
        <v>55.35</v>
      </c>
      <c r="P8" s="66" t="n">
        <v>87.73</v>
      </c>
      <c r="Q8" s="66" t="n">
        <v>228.12</v>
      </c>
      <c r="R8" s="66" t="n">
        <v>48.21</v>
      </c>
      <c r="S8" s="66" t="n">
        <v>59.17</v>
      </c>
      <c r="T8" s="66" t="n">
        <v>26.3</v>
      </c>
      <c r="U8" s="66"/>
      <c r="V8" s="66" t="n">
        <v>235.63</v>
      </c>
      <c r="W8" s="66"/>
      <c r="X8" s="66"/>
      <c r="Y8" s="66"/>
      <c r="Z8" s="66"/>
      <c r="AA8" s="66"/>
    </row>
    <row r="9" customFormat="false" ht="15" hidden="false" customHeight="true" outlineLevel="0" collapsed="false">
      <c r="A9" s="69" t="n">
        <v>45226</v>
      </c>
      <c r="B9" s="66" t="n">
        <v>508.12</v>
      </c>
      <c r="C9" s="66" t="n">
        <v>44.05</v>
      </c>
      <c r="D9" s="66" t="n">
        <v>575.52</v>
      </c>
      <c r="E9" s="66" t="n">
        <v>81.16</v>
      </c>
      <c r="F9" s="66" t="n">
        <v>69.95</v>
      </c>
      <c r="G9" s="66" t="n">
        <v>43.21</v>
      </c>
      <c r="H9" s="66" t="n">
        <v>92.4</v>
      </c>
      <c r="I9" s="66" t="n">
        <v>44.72</v>
      </c>
      <c r="J9" s="66" t="n">
        <v>65.03</v>
      </c>
      <c r="K9" s="66" t="n">
        <v>40.38</v>
      </c>
      <c r="L9" s="66" t="n">
        <v>88.36</v>
      </c>
      <c r="M9" s="66" t="n">
        <v>15.07</v>
      </c>
      <c r="N9" s="66" t="n">
        <v>19.99</v>
      </c>
      <c r="O9" s="66" t="n">
        <v>54.23</v>
      </c>
      <c r="P9" s="66" t="n">
        <v>82.62</v>
      </c>
      <c r="Q9" s="66" t="n">
        <v>224.1</v>
      </c>
      <c r="R9" s="66" t="n">
        <v>46.91</v>
      </c>
      <c r="S9" s="66" t="n">
        <v>57.46</v>
      </c>
      <c r="T9" s="66" t="n">
        <v>25.91</v>
      </c>
      <c r="U9" s="66"/>
      <c r="V9" s="66" t="n">
        <v>229.78</v>
      </c>
      <c r="W9" s="66"/>
      <c r="X9" s="66"/>
      <c r="Y9" s="66"/>
      <c r="Z9" s="66"/>
      <c r="AA9" s="66"/>
    </row>
    <row r="10" customFormat="false" ht="15" hidden="false" customHeight="true" outlineLevel="0" collapsed="false">
      <c r="A10" s="69" t="n">
        <v>45233</v>
      </c>
      <c r="B10" s="66" t="n">
        <v>563.66</v>
      </c>
      <c r="C10" s="66" t="n">
        <v>53.12</v>
      </c>
      <c r="D10" s="66" t="n">
        <v>628.24</v>
      </c>
      <c r="E10" s="66" t="n">
        <v>85.45</v>
      </c>
      <c r="F10" s="66" t="n">
        <v>74.96</v>
      </c>
      <c r="G10" s="66" t="n">
        <v>47.06</v>
      </c>
      <c r="H10" s="66" t="n">
        <v>97.82</v>
      </c>
      <c r="I10" s="66" t="n">
        <v>48.79</v>
      </c>
      <c r="J10" s="66" t="n">
        <v>71.9</v>
      </c>
      <c r="K10" s="66" t="n">
        <v>44.87</v>
      </c>
      <c r="L10" s="66" t="n">
        <v>96.74</v>
      </c>
      <c r="M10" s="66" t="n">
        <v>18.89</v>
      </c>
      <c r="N10" s="66" t="n">
        <v>20.99</v>
      </c>
      <c r="O10" s="66" t="n">
        <v>57.4</v>
      </c>
      <c r="P10" s="66" t="n">
        <v>88.19</v>
      </c>
      <c r="Q10" s="66" t="n">
        <v>238.11</v>
      </c>
      <c r="R10" s="66" t="n">
        <v>46.93</v>
      </c>
      <c r="S10" s="66" t="n">
        <v>57.28</v>
      </c>
      <c r="T10" s="66" t="n">
        <v>25.98</v>
      </c>
      <c r="U10" s="66"/>
      <c r="V10" s="66" t="n">
        <v>224.82</v>
      </c>
      <c r="W10" s="66"/>
      <c r="X10" s="66"/>
      <c r="Y10" s="66"/>
      <c r="Z10" s="66"/>
      <c r="AA10" s="66"/>
    </row>
    <row r="11" customFormat="false" ht="15" hidden="false" customHeight="true" outlineLevel="0" collapsed="false">
      <c r="A11" s="69" t="n">
        <v>45240</v>
      </c>
      <c r="B11" s="66" t="n">
        <v>597.22</v>
      </c>
      <c r="C11" s="66" t="n">
        <v>51.71</v>
      </c>
      <c r="D11" s="66" t="n">
        <v>646.7</v>
      </c>
      <c r="E11" s="66" t="n">
        <v>92.69</v>
      </c>
      <c r="F11" s="66" t="n">
        <v>72.4</v>
      </c>
      <c r="G11" s="66" t="n">
        <v>49.08</v>
      </c>
      <c r="H11" s="66" t="n">
        <v>95.61</v>
      </c>
      <c r="I11" s="66" t="n">
        <v>52.17</v>
      </c>
      <c r="J11" s="66" t="n">
        <v>74.65</v>
      </c>
      <c r="K11" s="66" t="n">
        <v>48.19</v>
      </c>
      <c r="L11" s="66" t="n">
        <v>94.93</v>
      </c>
      <c r="M11" s="66" t="n">
        <v>19.67</v>
      </c>
      <c r="N11" s="66" t="n">
        <v>20.75</v>
      </c>
      <c r="O11" s="66" t="n">
        <v>59.09</v>
      </c>
      <c r="P11" s="66" t="n">
        <v>93.62</v>
      </c>
      <c r="Q11" s="66" t="n">
        <v>240.23</v>
      </c>
      <c r="R11" s="66" t="n">
        <v>47.13</v>
      </c>
      <c r="S11" s="66" t="n">
        <v>57.92</v>
      </c>
      <c r="T11" s="66" t="n">
        <v>25.5</v>
      </c>
      <c r="U11" s="66"/>
      <c r="V11" s="66" t="n">
        <v>229.74</v>
      </c>
      <c r="W11" s="66"/>
      <c r="X11" s="66"/>
      <c r="Y11" s="66"/>
      <c r="Z11" s="66"/>
      <c r="AA11" s="66"/>
    </row>
    <row r="12" customFormat="false" ht="15" hidden="false" customHeight="true" outlineLevel="0" collapsed="false">
      <c r="A12" s="69" t="n">
        <v>45247</v>
      </c>
      <c r="B12" s="66" t="n">
        <v>602.66</v>
      </c>
      <c r="C12" s="66" t="n">
        <v>53.66</v>
      </c>
      <c r="D12" s="66" t="n">
        <v>670.96</v>
      </c>
      <c r="E12" s="66" t="n">
        <v>94.65</v>
      </c>
      <c r="F12" s="66" t="n">
        <v>76.42</v>
      </c>
      <c r="G12" s="66" t="n">
        <v>51.77</v>
      </c>
      <c r="H12" s="66" t="n">
        <v>99</v>
      </c>
      <c r="I12" s="66" t="n">
        <v>53.32</v>
      </c>
      <c r="J12" s="66" t="n">
        <v>76.83</v>
      </c>
      <c r="K12" s="66" t="n">
        <v>49.15</v>
      </c>
      <c r="L12" s="66" t="n">
        <v>99.94</v>
      </c>
      <c r="M12" s="66" t="n">
        <v>20.49</v>
      </c>
      <c r="N12" s="66" t="n">
        <v>21.25</v>
      </c>
      <c r="O12" s="66" t="n">
        <v>60.37</v>
      </c>
      <c r="P12" s="66" t="n">
        <v>95.68</v>
      </c>
      <c r="Q12" s="66" t="n">
        <v>244.45</v>
      </c>
      <c r="R12" s="66" t="n">
        <v>47.26</v>
      </c>
      <c r="S12" s="66" t="n">
        <v>58.25</v>
      </c>
      <c r="T12" s="66" t="n">
        <v>25.83</v>
      </c>
      <c r="U12" s="66"/>
      <c r="V12" s="66" t="n">
        <v>232.31</v>
      </c>
      <c r="W12" s="66"/>
      <c r="X12" s="66"/>
      <c r="Y12" s="66"/>
      <c r="Z12" s="66"/>
      <c r="AA12" s="66"/>
    </row>
    <row r="13" customFormat="false" ht="15" hidden="false" customHeight="true" outlineLevel="0" collapsed="false">
      <c r="A13" s="69" t="n">
        <v>45254</v>
      </c>
      <c r="B13" s="66" t="n">
        <v>619.43</v>
      </c>
      <c r="C13" s="66" t="n">
        <v>54.6</v>
      </c>
      <c r="D13" s="66" t="n">
        <v>675.94</v>
      </c>
      <c r="E13" s="66" t="n">
        <v>94.76</v>
      </c>
      <c r="F13" s="66" t="n">
        <v>76.43</v>
      </c>
      <c r="G13" s="66" t="n">
        <v>52.67</v>
      </c>
      <c r="H13" s="66" t="n">
        <v>99.35</v>
      </c>
      <c r="I13" s="66" t="n">
        <v>54.41</v>
      </c>
      <c r="J13" s="66" t="n">
        <v>76.15</v>
      </c>
      <c r="K13" s="66" t="n">
        <v>47.63</v>
      </c>
      <c r="L13" s="66" t="n">
        <v>101.69</v>
      </c>
      <c r="M13" s="66" t="n">
        <v>19.2</v>
      </c>
      <c r="N13" s="66" t="n">
        <v>21.45</v>
      </c>
      <c r="O13" s="66" t="n">
        <v>60.7</v>
      </c>
      <c r="P13" s="66" t="n">
        <v>94</v>
      </c>
      <c r="Q13" s="66" t="n">
        <v>249.1</v>
      </c>
      <c r="R13" s="66" t="n">
        <v>46.32</v>
      </c>
      <c r="S13" s="66" t="n">
        <v>56.56</v>
      </c>
      <c r="T13" s="66" t="n">
        <v>25.5</v>
      </c>
      <c r="U13" s="66"/>
      <c r="V13" s="66" t="n">
        <v>228.12</v>
      </c>
      <c r="W13" s="66"/>
      <c r="X13" s="66"/>
      <c r="Y13" s="66"/>
      <c r="Z13" s="66"/>
      <c r="AA13" s="66"/>
    </row>
    <row r="14" customFormat="false" ht="15" hidden="false" customHeight="true" outlineLevel="0" collapsed="false">
      <c r="A14" s="69" t="n">
        <v>45261</v>
      </c>
      <c r="B14" s="66" t="n">
        <v>612.47</v>
      </c>
      <c r="C14" s="66" t="n">
        <v>54.16</v>
      </c>
      <c r="D14" s="66" t="n">
        <v>676.94</v>
      </c>
      <c r="E14" s="66" t="n">
        <v>90.03</v>
      </c>
      <c r="F14" s="66" t="n">
        <v>78.99</v>
      </c>
      <c r="G14" s="66" t="n">
        <v>58.76</v>
      </c>
      <c r="H14" s="66" t="n">
        <v>102.26</v>
      </c>
      <c r="I14" s="66" t="n">
        <v>53.76</v>
      </c>
      <c r="J14" s="66" t="n">
        <v>75.22</v>
      </c>
      <c r="K14" s="66" t="n">
        <v>46.63</v>
      </c>
      <c r="L14" s="66" t="n">
        <v>107.37</v>
      </c>
      <c r="M14" s="66" t="n">
        <v>20.27</v>
      </c>
      <c r="N14" s="66" t="n">
        <v>21.85</v>
      </c>
      <c r="O14" s="66" t="n">
        <v>60.57</v>
      </c>
      <c r="P14" s="66" t="n">
        <v>94.69</v>
      </c>
      <c r="Q14" s="66" t="n">
        <v>251.2</v>
      </c>
      <c r="R14" s="66" t="n">
        <v>45.36</v>
      </c>
      <c r="S14" s="66" t="n">
        <v>55.42</v>
      </c>
      <c r="T14" s="66" t="n">
        <v>24.66</v>
      </c>
      <c r="U14" s="66"/>
      <c r="V14" s="66" t="n">
        <v>224.1</v>
      </c>
      <c r="W14" s="66"/>
      <c r="X14" s="66"/>
      <c r="Y14" s="66"/>
      <c r="Z14" s="66"/>
      <c r="AA14" s="66"/>
    </row>
    <row r="15" customFormat="false" ht="15" hidden="false" customHeight="true" outlineLevel="0" collapsed="false">
      <c r="A15" s="69" t="n">
        <v>45268</v>
      </c>
      <c r="B15" s="66" t="n">
        <v>610.01</v>
      </c>
      <c r="C15" s="66" t="n">
        <v>56.01</v>
      </c>
      <c r="D15" s="66" t="n">
        <v>681.07</v>
      </c>
      <c r="E15" s="66" t="n">
        <v>91.41</v>
      </c>
      <c r="F15" s="66" t="n">
        <v>79.65</v>
      </c>
      <c r="G15" s="66" t="n">
        <v>60.64</v>
      </c>
      <c r="H15" s="66" t="n">
        <v>102.48</v>
      </c>
      <c r="I15" s="66" t="n">
        <v>52.33</v>
      </c>
      <c r="J15" s="66" t="n">
        <v>74.26</v>
      </c>
      <c r="K15" s="66" t="n">
        <v>47.37</v>
      </c>
      <c r="L15" s="66" t="n">
        <v>108.82</v>
      </c>
      <c r="M15" s="66" t="n">
        <v>17.77</v>
      </c>
      <c r="N15" s="66" t="n">
        <v>21.89</v>
      </c>
      <c r="O15" s="66" t="n">
        <v>60.79</v>
      </c>
      <c r="P15" s="66" t="n">
        <v>96.42</v>
      </c>
      <c r="Q15" s="66" t="n">
        <v>250.51</v>
      </c>
      <c r="R15" s="66" t="n">
        <v>47.52</v>
      </c>
      <c r="S15" s="66" t="n">
        <v>58.65</v>
      </c>
      <c r="T15" s="66" t="n">
        <v>26.11</v>
      </c>
      <c r="U15" s="66"/>
      <c r="V15" s="66" t="n">
        <v>238.11</v>
      </c>
      <c r="W15" s="66"/>
      <c r="X15" s="66"/>
      <c r="Y15" s="66"/>
      <c r="Z15" s="66"/>
      <c r="AA15" s="66"/>
    </row>
    <row r="16" customFormat="false" ht="15" hidden="false" customHeight="true" outlineLevel="0" collapsed="false">
      <c r="A16" s="69" t="n">
        <v>45275</v>
      </c>
      <c r="B16" s="66" t="n">
        <v>584.68</v>
      </c>
      <c r="C16" s="66" t="n">
        <v>58.9</v>
      </c>
      <c r="D16" s="66" t="n">
        <v>736.36</v>
      </c>
      <c r="E16" s="66" t="n">
        <v>109.37</v>
      </c>
      <c r="F16" s="66" t="n">
        <v>84.02</v>
      </c>
      <c r="G16" s="66" t="n">
        <v>65.02</v>
      </c>
      <c r="H16" s="66" t="n">
        <v>105.54</v>
      </c>
      <c r="I16" s="66" t="n">
        <v>57.29</v>
      </c>
      <c r="J16" s="66" t="n">
        <v>80.64</v>
      </c>
      <c r="K16" s="66" t="n">
        <v>48.75</v>
      </c>
      <c r="L16" s="66" t="n">
        <v>122.68</v>
      </c>
      <c r="M16" s="66" t="n">
        <v>18.2</v>
      </c>
      <c r="N16" s="66" t="n">
        <v>22.77</v>
      </c>
      <c r="O16" s="66" t="n">
        <v>62.87</v>
      </c>
      <c r="P16" s="66" t="n">
        <v>98.99</v>
      </c>
      <c r="Q16" s="66" t="n">
        <v>252.75</v>
      </c>
      <c r="R16" s="66" t="n">
        <v>48.51</v>
      </c>
      <c r="S16" s="66" t="n">
        <v>60.38</v>
      </c>
      <c r="T16" s="66" t="n">
        <v>25.93</v>
      </c>
      <c r="U16" s="66"/>
      <c r="V16" s="66" t="n">
        <v>240.23</v>
      </c>
      <c r="W16" s="66"/>
      <c r="X16" s="66"/>
      <c r="Y16" s="66"/>
      <c r="Z16" s="66"/>
      <c r="AA16" s="66"/>
    </row>
    <row r="17" customFormat="false" ht="15" hidden="false" customHeight="true" outlineLevel="0" collapsed="false">
      <c r="A17" s="69" t="n">
        <v>45282</v>
      </c>
      <c r="B17" s="66" t="n">
        <v>598.75</v>
      </c>
      <c r="C17" s="66" t="n">
        <v>59.56</v>
      </c>
      <c r="D17" s="66" t="n">
        <v>735.94</v>
      </c>
      <c r="E17" s="66" t="n">
        <v>109.11</v>
      </c>
      <c r="F17" s="66" t="n">
        <v>86.35</v>
      </c>
      <c r="G17" s="66" t="n">
        <v>63.91</v>
      </c>
      <c r="H17" s="66" t="n">
        <v>105.82</v>
      </c>
      <c r="I17" s="66" t="n">
        <v>57.05</v>
      </c>
      <c r="J17" s="66" t="n">
        <v>85.68</v>
      </c>
      <c r="K17" s="66" t="n">
        <v>48.69</v>
      </c>
      <c r="L17" s="66" t="n">
        <v>120.98</v>
      </c>
      <c r="M17" s="66" t="n">
        <v>17.41</v>
      </c>
      <c r="N17" s="66" t="n">
        <v>22.89</v>
      </c>
      <c r="O17" s="66" t="n">
        <v>63.81</v>
      </c>
      <c r="P17" s="66" t="n">
        <v>99.57</v>
      </c>
      <c r="Q17" s="66" t="n">
        <v>253.14</v>
      </c>
      <c r="R17" s="66" t="n">
        <v>48.97</v>
      </c>
      <c r="S17" s="66" t="n">
        <v>61.69</v>
      </c>
      <c r="T17" s="66" t="n">
        <v>26.59</v>
      </c>
      <c r="U17" s="66"/>
      <c r="V17" s="66" t="n">
        <v>244.45</v>
      </c>
      <c r="W17" s="66"/>
      <c r="X17" s="66"/>
      <c r="Y17" s="66"/>
      <c r="Z17" s="66"/>
      <c r="AA17" s="66"/>
    </row>
    <row r="18" customFormat="false" ht="15" hidden="false" customHeight="true" outlineLevel="0" collapsed="false">
      <c r="A18" s="69" t="n">
        <v>45289</v>
      </c>
      <c r="B18" s="66" t="n">
        <v>596.6</v>
      </c>
      <c r="C18" s="66" t="n">
        <v>58.88</v>
      </c>
      <c r="D18" s="66" t="n">
        <v>740.23</v>
      </c>
      <c r="E18" s="66" t="n">
        <v>108.56</v>
      </c>
      <c r="F18" s="66" t="n">
        <v>86.03</v>
      </c>
      <c r="G18" s="66" t="n">
        <v>63.83</v>
      </c>
      <c r="H18" s="66" t="n">
        <v>106.25</v>
      </c>
      <c r="I18" s="66" t="n">
        <v>56.92</v>
      </c>
      <c r="J18" s="66" t="n">
        <v>84.65</v>
      </c>
      <c r="K18" s="66" t="n">
        <v>49.38</v>
      </c>
      <c r="L18" s="66" t="n">
        <v>121.8</v>
      </c>
      <c r="M18" s="66" t="n">
        <v>17.17</v>
      </c>
      <c r="N18" s="66" t="n">
        <v>22.98</v>
      </c>
      <c r="O18" s="66" t="n">
        <v>64.26</v>
      </c>
      <c r="P18" s="66" t="n">
        <v>100.4</v>
      </c>
      <c r="Q18" s="66" t="n">
        <v>255.02</v>
      </c>
      <c r="R18" s="66" t="n">
        <v>49.23</v>
      </c>
      <c r="S18" s="66" t="n">
        <v>62.03</v>
      </c>
      <c r="T18" s="66" t="n">
        <v>26.78</v>
      </c>
      <c r="U18" s="66"/>
      <c r="V18" s="66" t="n">
        <v>249.1</v>
      </c>
      <c r="W18" s="66"/>
      <c r="X18" s="66"/>
      <c r="Y18" s="66"/>
      <c r="Z18" s="66"/>
      <c r="AA18" s="66"/>
    </row>
    <row r="19" customFormat="false" ht="15" hidden="false" customHeight="true" outlineLevel="0" collapsed="false">
      <c r="A19" s="69" t="n">
        <v>45296</v>
      </c>
      <c r="B19" s="66" t="n">
        <v>564.6</v>
      </c>
      <c r="C19" s="66" t="n">
        <v>57.73</v>
      </c>
      <c r="D19" s="66" t="n">
        <v>687.83</v>
      </c>
      <c r="E19" s="66" t="n">
        <v>102.04</v>
      </c>
      <c r="F19" s="66" t="n">
        <v>83.8</v>
      </c>
      <c r="G19" s="66" t="n">
        <v>61.87</v>
      </c>
      <c r="H19" s="66" t="n">
        <v>107</v>
      </c>
      <c r="I19" s="66" t="n">
        <v>53.3</v>
      </c>
      <c r="J19" s="66" t="n">
        <v>82.78</v>
      </c>
      <c r="K19" s="66" t="n">
        <v>48.96</v>
      </c>
      <c r="L19" s="66" t="n">
        <v>119.3</v>
      </c>
      <c r="M19" s="66" t="n">
        <v>15.98</v>
      </c>
      <c r="N19" s="66" t="n">
        <v>23.05</v>
      </c>
      <c r="O19" s="66" t="n">
        <v>63.6</v>
      </c>
      <c r="P19" s="66" t="n">
        <v>96.16</v>
      </c>
      <c r="Q19" s="66" t="n">
        <v>254.38</v>
      </c>
      <c r="R19" s="66" t="n">
        <v>48.9</v>
      </c>
      <c r="S19" s="66" t="n">
        <v>61.89</v>
      </c>
      <c r="T19" s="66" t="n">
        <v>27.14</v>
      </c>
      <c r="U19" s="66"/>
      <c r="V19" s="66" t="n">
        <v>251.2</v>
      </c>
      <c r="W19" s="66"/>
      <c r="X19" s="66"/>
      <c r="Y19" s="66"/>
      <c r="Z19" s="66"/>
      <c r="AA19" s="66"/>
    </row>
    <row r="20" customFormat="false" ht="15" hidden="false" customHeight="true" outlineLevel="0" collapsed="false">
      <c r="A20" s="69" t="n">
        <v>45303</v>
      </c>
      <c r="B20" s="66" t="n">
        <v>596.54</v>
      </c>
      <c r="C20" s="66" t="n">
        <v>63.01</v>
      </c>
      <c r="D20" s="66" t="n">
        <v>697.49</v>
      </c>
      <c r="E20" s="66" t="n">
        <v>107.72</v>
      </c>
      <c r="F20" s="66" t="n">
        <v>82.85</v>
      </c>
      <c r="G20" s="66" t="n">
        <v>70.84</v>
      </c>
      <c r="H20" s="66" t="n">
        <v>105.52</v>
      </c>
      <c r="I20" s="66" t="n">
        <v>54.89</v>
      </c>
      <c r="J20" s="66" t="n">
        <v>81.72</v>
      </c>
      <c r="K20" s="66" t="n">
        <v>54.55</v>
      </c>
      <c r="L20" s="66" t="n">
        <v>120.2</v>
      </c>
      <c r="M20" s="66" t="n">
        <v>16.76</v>
      </c>
      <c r="N20" s="66" t="n">
        <v>23.02</v>
      </c>
      <c r="O20" s="66" t="n">
        <v>65.57</v>
      </c>
      <c r="P20" s="66" t="n">
        <v>97.73</v>
      </c>
      <c r="Q20" s="66" t="n">
        <v>258.76</v>
      </c>
      <c r="R20" s="66" t="n">
        <v>49.26</v>
      </c>
      <c r="S20" s="66" t="n">
        <v>62.12</v>
      </c>
      <c r="T20" s="66" t="n">
        <v>27.38</v>
      </c>
      <c r="U20" s="66"/>
      <c r="V20" s="66" t="n">
        <v>250.51</v>
      </c>
      <c r="W20" s="66"/>
      <c r="X20" s="66"/>
      <c r="Y20" s="66"/>
      <c r="Z20" s="66"/>
      <c r="AA20" s="66"/>
    </row>
    <row r="21" customFormat="false" ht="15" hidden="false" customHeight="true" outlineLevel="0" collapsed="false">
      <c r="A21" s="69" t="n">
        <v>45310</v>
      </c>
      <c r="B21" s="66" t="n">
        <v>611.55</v>
      </c>
      <c r="C21" s="66" t="n">
        <v>65.88</v>
      </c>
      <c r="D21" s="66" t="n">
        <v>741.12</v>
      </c>
      <c r="E21" s="66" t="n">
        <v>117.79</v>
      </c>
      <c r="F21" s="66" t="n">
        <v>83.1</v>
      </c>
      <c r="G21" s="66" t="n">
        <v>72.64</v>
      </c>
      <c r="H21" s="66" t="n">
        <v>104.13</v>
      </c>
      <c r="I21" s="66" t="n">
        <v>60.02</v>
      </c>
      <c r="J21" s="66" t="n">
        <v>86.8</v>
      </c>
      <c r="K21" s="66" t="n">
        <v>59.32</v>
      </c>
      <c r="L21" s="66" t="n">
        <v>117.36</v>
      </c>
      <c r="M21" s="66" t="n">
        <v>16.78</v>
      </c>
      <c r="N21" s="66" t="n">
        <v>23.12</v>
      </c>
      <c r="O21" s="66" t="n">
        <v>66.96</v>
      </c>
      <c r="P21" s="66" t="n">
        <v>110.24</v>
      </c>
      <c r="Q21" s="66" t="n">
        <v>265.36</v>
      </c>
      <c r="R21" s="66" t="n">
        <v>50</v>
      </c>
      <c r="S21" s="66" t="n">
        <v>64.24</v>
      </c>
      <c r="T21" s="66" t="n">
        <v>28.14</v>
      </c>
      <c r="U21" s="66"/>
      <c r="V21" s="66" t="n">
        <v>252.75</v>
      </c>
      <c r="W21" s="66"/>
      <c r="X21" s="66"/>
      <c r="Y21" s="66"/>
      <c r="Z21" s="66"/>
      <c r="AA21" s="66"/>
    </row>
    <row r="22" customFormat="false" ht="15" hidden="false" customHeight="true" outlineLevel="0" collapsed="false">
      <c r="A22" s="69" t="n">
        <v>45317</v>
      </c>
      <c r="B22" s="66" t="n">
        <v>613.93</v>
      </c>
      <c r="C22" s="66" t="n">
        <v>66.1</v>
      </c>
      <c r="D22" s="66" t="n">
        <v>848.61</v>
      </c>
      <c r="E22" s="66" t="n">
        <v>117.18</v>
      </c>
      <c r="F22" s="66" t="n">
        <v>85.06</v>
      </c>
      <c r="G22" s="66" t="n">
        <v>72.58</v>
      </c>
      <c r="H22" s="66" t="n">
        <v>105.77</v>
      </c>
      <c r="I22" s="66" t="n">
        <v>58.69</v>
      </c>
      <c r="J22" s="66" t="n">
        <v>87.34</v>
      </c>
      <c r="K22" s="66" t="n">
        <v>60.85</v>
      </c>
      <c r="L22" s="66" t="n">
        <v>115.93</v>
      </c>
      <c r="M22" s="66" t="n">
        <v>16.35</v>
      </c>
      <c r="N22" s="66" t="n">
        <v>23.25</v>
      </c>
      <c r="O22" s="66" t="n">
        <v>68.04</v>
      </c>
      <c r="P22" s="66" t="n">
        <v>113.2</v>
      </c>
      <c r="Q22" s="66" t="n">
        <v>262.46</v>
      </c>
      <c r="R22" s="66" t="n">
        <v>50.16</v>
      </c>
      <c r="S22" s="66" t="n">
        <v>65.04</v>
      </c>
      <c r="T22" s="66" t="n">
        <v>28.41</v>
      </c>
      <c r="U22" s="66"/>
      <c r="V22" s="66" t="n">
        <v>253.14</v>
      </c>
      <c r="W22" s="66"/>
      <c r="X22" s="66"/>
      <c r="Y22" s="66"/>
      <c r="Z22" s="66"/>
      <c r="AA22" s="66"/>
    </row>
    <row r="23" customFormat="false" ht="15" hidden="false" customHeight="true" outlineLevel="0" collapsed="false">
      <c r="A23" s="69" t="n">
        <v>45324</v>
      </c>
      <c r="B23" s="66" t="n">
        <v>634.76</v>
      </c>
      <c r="C23" s="66" t="n">
        <v>68.28</v>
      </c>
      <c r="D23" s="66" t="n">
        <v>871.02</v>
      </c>
      <c r="E23" s="66" t="n">
        <v>119.07</v>
      </c>
      <c r="F23" s="66" t="n">
        <v>83.47</v>
      </c>
      <c r="G23" s="66" t="n">
        <v>75.89</v>
      </c>
      <c r="H23" s="66" t="n">
        <v>104.41</v>
      </c>
      <c r="I23" s="66" t="n">
        <v>59.17</v>
      </c>
      <c r="J23" s="66" t="n">
        <v>85.78</v>
      </c>
      <c r="K23" s="66" t="n">
        <v>65.97</v>
      </c>
      <c r="L23" s="66" t="n">
        <v>118.1</v>
      </c>
      <c r="M23" s="66" t="n">
        <v>17.02</v>
      </c>
      <c r="N23" s="66" t="n">
        <v>23.24</v>
      </c>
      <c r="O23" s="66" t="n">
        <v>71.15</v>
      </c>
      <c r="P23" s="66" t="n">
        <v>111.74</v>
      </c>
      <c r="Q23" s="66" t="n">
        <v>271.51</v>
      </c>
      <c r="R23" s="66" t="n">
        <v>49.93</v>
      </c>
      <c r="S23" s="66" t="n">
        <v>65.5</v>
      </c>
      <c r="T23" s="66" t="n">
        <v>28.34</v>
      </c>
      <c r="U23" s="66"/>
      <c r="V23" s="66" t="n">
        <v>255.02</v>
      </c>
      <c r="W23" s="66"/>
      <c r="X23" s="66"/>
      <c r="Y23" s="66"/>
      <c r="Z23" s="66"/>
      <c r="AA23" s="66"/>
    </row>
    <row r="24" customFormat="false" ht="15" hidden="false" customHeight="true" outlineLevel="0" collapsed="false">
      <c r="A24" s="69" t="n">
        <v>45331</v>
      </c>
      <c r="B24" s="66" t="n">
        <v>627.21</v>
      </c>
      <c r="C24" s="66" t="n">
        <v>70.61</v>
      </c>
      <c r="D24" s="66" t="n">
        <v>930.28</v>
      </c>
      <c r="E24" s="66" t="n">
        <v>124.82</v>
      </c>
      <c r="F24" s="66" t="n">
        <v>84.22</v>
      </c>
      <c r="G24" s="66" t="n">
        <v>82.33</v>
      </c>
      <c r="H24" s="66" t="n">
        <v>103.48</v>
      </c>
      <c r="I24" s="66" t="n">
        <v>63.63</v>
      </c>
      <c r="J24" s="66" t="n">
        <v>84.87</v>
      </c>
      <c r="K24" s="66" t="n">
        <v>71.92</v>
      </c>
      <c r="L24" s="66" t="n">
        <v>121.05</v>
      </c>
      <c r="M24" s="66" t="n">
        <v>24.38</v>
      </c>
      <c r="N24" s="66" t="n">
        <v>23.18</v>
      </c>
      <c r="O24" s="66" t="n">
        <v>72.85</v>
      </c>
      <c r="P24" s="66" t="n">
        <v>128.5</v>
      </c>
      <c r="Q24" s="66" t="n">
        <v>271.28</v>
      </c>
      <c r="R24" s="66" t="n">
        <v>49.15</v>
      </c>
      <c r="S24" s="66" t="n">
        <v>64.82</v>
      </c>
      <c r="T24" s="66" t="n">
        <v>28.37</v>
      </c>
      <c r="U24" s="66"/>
      <c r="V24" s="66" t="n">
        <v>254.37</v>
      </c>
      <c r="W24" s="66"/>
      <c r="X24" s="66"/>
      <c r="Y24" s="66"/>
      <c r="Z24" s="66"/>
      <c r="AA24" s="66"/>
    </row>
    <row r="25" customFormat="false" ht="15" hidden="false" customHeight="true" outlineLevel="0" collapsed="false">
      <c r="A25" s="69" t="n">
        <v>45338</v>
      </c>
      <c r="B25" s="66" t="n">
        <v>546.66</v>
      </c>
      <c r="C25" s="66" t="n">
        <v>65.44</v>
      </c>
      <c r="D25" s="66" t="n">
        <v>910.05</v>
      </c>
      <c r="E25" s="66" t="n">
        <v>121.12</v>
      </c>
      <c r="F25" s="66" t="n">
        <v>84.82</v>
      </c>
      <c r="G25" s="66" t="n">
        <v>82.31</v>
      </c>
      <c r="H25" s="66" t="n">
        <v>104.69</v>
      </c>
      <c r="I25" s="66" t="n">
        <v>64.9</v>
      </c>
      <c r="J25" s="66" t="n">
        <v>78.86</v>
      </c>
      <c r="K25" s="66" t="n">
        <v>72.4</v>
      </c>
      <c r="L25" s="66" t="n">
        <v>121.88</v>
      </c>
      <c r="M25" s="66" t="n">
        <v>24.44</v>
      </c>
      <c r="N25" s="66" t="n">
        <v>23.24</v>
      </c>
      <c r="O25" s="66" t="n">
        <v>73.46</v>
      </c>
      <c r="P25" s="66" t="n">
        <v>122.3</v>
      </c>
      <c r="Q25" s="66" t="n">
        <v>273.37</v>
      </c>
      <c r="R25" s="66" t="n">
        <v>50.49</v>
      </c>
      <c r="S25" s="66" t="n">
        <v>66.84</v>
      </c>
      <c r="T25" s="66" t="n">
        <v>28.29</v>
      </c>
      <c r="U25" s="66"/>
      <c r="V25" s="66" t="n">
        <v>258.76</v>
      </c>
      <c r="W25" s="66"/>
      <c r="X25" s="66"/>
      <c r="Y25" s="66"/>
      <c r="Z25" s="66"/>
      <c r="AA25" s="66"/>
    </row>
    <row r="26" customFormat="false" ht="15" hidden="false" customHeight="true" outlineLevel="0" collapsed="false">
      <c r="A26" s="69" t="n">
        <v>45345</v>
      </c>
      <c r="B26" s="66" t="n">
        <v>553.44</v>
      </c>
      <c r="C26" s="66" t="n">
        <v>66.92</v>
      </c>
      <c r="D26" s="66" t="n">
        <v>914.27</v>
      </c>
      <c r="E26" s="66" t="n">
        <v>126.07</v>
      </c>
      <c r="F26" s="66" t="n">
        <v>84.54</v>
      </c>
      <c r="G26" s="66" t="n">
        <v>77.87</v>
      </c>
      <c r="H26" s="66" t="n">
        <v>105.57</v>
      </c>
      <c r="I26" s="66" t="n">
        <v>65.63</v>
      </c>
      <c r="J26" s="66" t="n">
        <v>85.31</v>
      </c>
      <c r="K26" s="66" t="n">
        <v>78.59</v>
      </c>
      <c r="L26" s="66" t="n">
        <v>121.72</v>
      </c>
      <c r="M26" s="66" t="n">
        <v>22.97</v>
      </c>
      <c r="N26" s="66" t="n">
        <v>23.51</v>
      </c>
      <c r="O26" s="66" t="n">
        <v>75.1</v>
      </c>
      <c r="P26" s="66" t="n">
        <v>125.04</v>
      </c>
      <c r="Q26" s="66" t="n">
        <v>278.31</v>
      </c>
      <c r="R26" s="66" t="n">
        <v>51.39</v>
      </c>
      <c r="S26" s="66" t="n">
        <v>68.25</v>
      </c>
      <c r="T26" s="66" t="n">
        <v>28.02</v>
      </c>
      <c r="U26" s="66"/>
      <c r="V26" s="66" t="n">
        <v>265.36</v>
      </c>
      <c r="W26" s="66"/>
      <c r="X26" s="66"/>
      <c r="Y26" s="66"/>
      <c r="Z26" s="66"/>
      <c r="AA26" s="66"/>
    </row>
    <row r="27" customFormat="false" ht="15" hidden="false" customHeight="true" outlineLevel="0" collapsed="false">
      <c r="A27" s="69" t="n">
        <v>45352</v>
      </c>
      <c r="B27" s="66" t="n">
        <v>570.93</v>
      </c>
      <c r="C27" s="66" t="n">
        <v>71.93</v>
      </c>
      <c r="D27" s="66" t="n">
        <v>970.78</v>
      </c>
      <c r="E27" s="66" t="n">
        <v>136.07</v>
      </c>
      <c r="F27" s="66" t="n">
        <v>85.87</v>
      </c>
      <c r="G27" s="66" t="n">
        <v>78.65</v>
      </c>
      <c r="H27" s="66" t="n">
        <v>105.59</v>
      </c>
      <c r="I27" s="66" t="n">
        <v>70.42</v>
      </c>
      <c r="J27" s="66" t="n">
        <v>94.38</v>
      </c>
      <c r="K27" s="66" t="n">
        <v>82.04</v>
      </c>
      <c r="L27" s="66" t="n">
        <v>122.99</v>
      </c>
      <c r="M27" s="66" t="n">
        <v>24.93</v>
      </c>
      <c r="N27" s="66" t="n">
        <v>23.59</v>
      </c>
      <c r="O27" s="66" t="n">
        <v>77.21</v>
      </c>
      <c r="P27" s="66" t="n">
        <v>129.26</v>
      </c>
      <c r="Q27" s="66" t="n">
        <v>277.88</v>
      </c>
      <c r="R27" s="66" t="n">
        <v>51.79</v>
      </c>
      <c r="S27" s="66" t="n">
        <v>69.35</v>
      </c>
      <c r="T27" s="66" t="n">
        <v>28.25</v>
      </c>
      <c r="U27" s="66"/>
      <c r="V27" s="66" t="n">
        <v>262.46</v>
      </c>
      <c r="W27" s="66"/>
      <c r="X27" s="66"/>
      <c r="Y27" s="66"/>
      <c r="Z27" s="66"/>
      <c r="AA27" s="66"/>
    </row>
    <row r="28" customFormat="false" ht="15" hidden="false" customHeight="true" outlineLevel="0" collapsed="false">
      <c r="A28" s="69" t="n">
        <v>45359</v>
      </c>
      <c r="B28" s="66" t="n">
        <v>551.69</v>
      </c>
      <c r="C28" s="66" t="n">
        <v>68.28</v>
      </c>
      <c r="D28" s="66" t="n">
        <v>974.11</v>
      </c>
      <c r="E28" s="66" t="n">
        <v>127.27</v>
      </c>
      <c r="F28" s="66" t="n">
        <v>85.97</v>
      </c>
      <c r="G28" s="66" t="n">
        <v>80.71</v>
      </c>
      <c r="H28" s="66" t="n">
        <v>108.41</v>
      </c>
      <c r="I28" s="66" t="n">
        <v>68.62</v>
      </c>
      <c r="J28" s="66" t="n">
        <v>96.83</v>
      </c>
      <c r="K28" s="66" t="n">
        <v>87.28</v>
      </c>
      <c r="L28" s="66" t="n">
        <v>123.42</v>
      </c>
      <c r="M28" s="66" t="n">
        <v>26.04</v>
      </c>
      <c r="N28" s="66" t="n">
        <v>23.67</v>
      </c>
      <c r="O28" s="66" t="n">
        <v>77.51</v>
      </c>
      <c r="P28" s="66" t="n">
        <v>141.3</v>
      </c>
      <c r="Q28" s="66" t="n">
        <v>274.82</v>
      </c>
      <c r="R28" s="66" t="n">
        <v>51.94</v>
      </c>
      <c r="S28" s="66" t="n">
        <v>72.52</v>
      </c>
      <c r="T28" s="66" t="n">
        <v>28.52</v>
      </c>
      <c r="U28" s="66"/>
      <c r="V28" s="66" t="n">
        <v>271.51</v>
      </c>
      <c r="W28" s="66"/>
      <c r="X28" s="66"/>
      <c r="Y28" s="66"/>
      <c r="Z28" s="66"/>
      <c r="AA28" s="66"/>
    </row>
    <row r="29" customFormat="false" ht="15" hidden="false" customHeight="true" outlineLevel="0" collapsed="false">
      <c r="A29" s="69" t="n">
        <v>45366</v>
      </c>
      <c r="B29" s="66" t="n">
        <v>492.46</v>
      </c>
      <c r="C29" s="66" t="n">
        <v>69.43</v>
      </c>
      <c r="D29" s="66" t="n">
        <v>921.09</v>
      </c>
      <c r="E29" s="66" t="n">
        <v>120.15</v>
      </c>
      <c r="F29" s="66" t="n">
        <v>85.24</v>
      </c>
      <c r="G29" s="66" t="n">
        <v>78.91</v>
      </c>
      <c r="H29" s="66" t="n">
        <v>108.06</v>
      </c>
      <c r="I29" s="66" t="n">
        <v>67.11</v>
      </c>
      <c r="J29" s="66" t="n">
        <v>92.5</v>
      </c>
      <c r="K29" s="66" t="n">
        <v>87.59</v>
      </c>
      <c r="L29" s="66" t="n">
        <v>118.76</v>
      </c>
      <c r="M29" s="66" t="n">
        <v>23.49</v>
      </c>
      <c r="N29" s="66" t="n">
        <v>23.71</v>
      </c>
      <c r="O29" s="66" t="n">
        <v>77.11</v>
      </c>
      <c r="P29" s="66" t="n">
        <v>132.23</v>
      </c>
      <c r="Q29" s="66" t="n">
        <v>277.76</v>
      </c>
      <c r="R29" s="66" t="n">
        <v>52.49</v>
      </c>
      <c r="S29" s="66" t="n">
        <v>74.25</v>
      </c>
      <c r="T29" s="66" t="n">
        <v>28.63</v>
      </c>
      <c r="U29" s="66"/>
      <c r="V29" s="66" t="n">
        <v>271.28</v>
      </c>
      <c r="W29" s="66"/>
      <c r="X29" s="66"/>
      <c r="Y29" s="66"/>
      <c r="Z29" s="66"/>
      <c r="AA29" s="66"/>
    </row>
    <row r="30" customFormat="false" ht="15" hidden="false" customHeight="true" outlineLevel="0" collapsed="false">
      <c r="A30" s="69" t="n">
        <v>45373</v>
      </c>
      <c r="B30" s="66" t="n">
        <v>499.52</v>
      </c>
      <c r="C30" s="66" t="n">
        <v>76.61</v>
      </c>
      <c r="D30" s="66" t="n">
        <v>960.03</v>
      </c>
      <c r="E30" s="66" t="n">
        <v>132.19</v>
      </c>
      <c r="F30" s="66" t="n">
        <v>87.57</v>
      </c>
      <c r="G30" s="66" t="n">
        <v>81.89</v>
      </c>
      <c r="H30" s="66" t="n">
        <v>109.81</v>
      </c>
      <c r="I30" s="66" t="n">
        <v>69.73</v>
      </c>
      <c r="J30" s="66" t="n">
        <v>109.32</v>
      </c>
      <c r="K30" s="66" t="n">
        <v>94.02</v>
      </c>
      <c r="L30" s="66" t="n">
        <v>118.4</v>
      </c>
      <c r="M30" s="66" t="n">
        <v>24.18</v>
      </c>
      <c r="N30" s="66" t="n">
        <v>24.15</v>
      </c>
      <c r="O30" s="66" t="n">
        <v>79.43</v>
      </c>
      <c r="P30" s="66" t="n">
        <v>136.22</v>
      </c>
      <c r="Q30" s="66" t="n">
        <v>277.98</v>
      </c>
      <c r="R30" s="66" t="n">
        <v>52.32</v>
      </c>
      <c r="S30" s="66" t="n">
        <v>74.87</v>
      </c>
      <c r="T30" s="66" t="n">
        <v>28.87</v>
      </c>
      <c r="U30" s="66"/>
      <c r="V30" s="66" t="n">
        <v>273.37</v>
      </c>
      <c r="W30" s="66"/>
      <c r="X30" s="66"/>
      <c r="Y30" s="66"/>
      <c r="Z30" s="66"/>
      <c r="AA30" s="66"/>
    </row>
    <row r="31" customFormat="false" ht="15" hidden="false" customHeight="true" outlineLevel="0" collapsed="false">
      <c r="A31" s="69" t="n">
        <v>45380</v>
      </c>
      <c r="B31" s="66" t="n">
        <v>504.6</v>
      </c>
      <c r="C31" s="66" t="n">
        <v>72.5</v>
      </c>
      <c r="D31" s="66" t="n">
        <v>950.73</v>
      </c>
      <c r="E31" s="66" t="n">
        <v>129.45</v>
      </c>
      <c r="F31" s="66" t="n">
        <v>90.08</v>
      </c>
      <c r="G31" s="66" t="n">
        <v>80.15</v>
      </c>
      <c r="H31" s="66" t="n">
        <v>112.58</v>
      </c>
      <c r="I31" s="66" t="n">
        <v>68.55</v>
      </c>
      <c r="J31" s="66" t="n">
        <v>117.05</v>
      </c>
      <c r="K31" s="66" t="n">
        <v>90.1</v>
      </c>
      <c r="L31" s="66" t="n">
        <v>119.87</v>
      </c>
      <c r="M31" s="66" t="n">
        <v>23.01</v>
      </c>
      <c r="N31" s="66" t="n">
        <v>24.53</v>
      </c>
      <c r="O31" s="66" t="n">
        <v>78.83</v>
      </c>
      <c r="P31" s="66" t="n">
        <v>131.87</v>
      </c>
      <c r="Q31" s="66" t="n">
        <v>273.88</v>
      </c>
      <c r="R31" s="66" t="n">
        <v>52.98</v>
      </c>
      <c r="S31" s="66" t="n">
        <v>76.55</v>
      </c>
      <c r="T31" s="66" t="n">
        <v>29.5</v>
      </c>
      <c r="U31" s="66"/>
      <c r="V31" s="66" t="n">
        <v>278.31</v>
      </c>
      <c r="W31" s="66"/>
      <c r="X31" s="66"/>
      <c r="Y31" s="66"/>
      <c r="Z31" s="66"/>
      <c r="AA31" s="66"/>
    </row>
    <row r="32" customFormat="false" ht="15" hidden="false" customHeight="true" outlineLevel="0" collapsed="false">
      <c r="A32" s="69" t="n">
        <v>45387</v>
      </c>
      <c r="B32" s="66" t="n">
        <v>485.12</v>
      </c>
      <c r="C32" s="66" t="n">
        <v>74.4</v>
      </c>
      <c r="D32" s="66" t="n">
        <v>959.63</v>
      </c>
      <c r="E32" s="66" t="n">
        <v>130.82</v>
      </c>
      <c r="F32" s="66" t="n">
        <v>88.14</v>
      </c>
      <c r="G32" s="66" t="n">
        <v>78.88</v>
      </c>
      <c r="H32" s="66" t="n">
        <v>110.58</v>
      </c>
      <c r="I32" s="66" t="n">
        <v>67.01</v>
      </c>
      <c r="J32" s="66" t="n">
        <v>122.7</v>
      </c>
      <c r="K32" s="66" t="n">
        <v>87.76</v>
      </c>
      <c r="L32" s="66" t="n">
        <v>114.82</v>
      </c>
      <c r="M32" s="66" t="n">
        <v>22.96</v>
      </c>
      <c r="N32" s="66" t="n">
        <v>24.03</v>
      </c>
      <c r="O32" s="66" t="n">
        <v>79.06</v>
      </c>
      <c r="P32" s="66" t="n">
        <v>137.01</v>
      </c>
      <c r="Q32" s="66" t="n">
        <v>271.97</v>
      </c>
      <c r="R32" s="66" t="n">
        <v>53.26</v>
      </c>
      <c r="S32" s="66" t="n">
        <v>78.7</v>
      </c>
      <c r="T32" s="66" t="n">
        <v>30.15</v>
      </c>
      <c r="U32" s="66"/>
      <c r="V32" s="66" t="n">
        <v>277.88</v>
      </c>
      <c r="W32" s="66"/>
      <c r="X32" s="66"/>
      <c r="Y32" s="66"/>
      <c r="Z32" s="66"/>
      <c r="AA32" s="66"/>
    </row>
    <row r="33" customFormat="false" ht="15" hidden="false" customHeight="true" outlineLevel="0" collapsed="false">
      <c r="A33" s="69" t="n">
        <v>45394</v>
      </c>
      <c r="B33" s="66" t="n">
        <v>474.09</v>
      </c>
      <c r="C33" s="66" t="n">
        <v>67.81</v>
      </c>
      <c r="D33" s="66" t="n">
        <v>942.28</v>
      </c>
      <c r="E33" s="66" t="n">
        <v>131.27</v>
      </c>
      <c r="F33" s="66" t="n">
        <v>85.42</v>
      </c>
      <c r="G33" s="66" t="n">
        <v>77.26</v>
      </c>
      <c r="H33" s="66" t="n">
        <v>107.42</v>
      </c>
      <c r="I33" s="66" t="n">
        <v>66.81</v>
      </c>
      <c r="J33" s="66" t="n">
        <v>121.65</v>
      </c>
      <c r="K33" s="66" t="n">
        <v>87.94</v>
      </c>
      <c r="L33" s="66" t="n">
        <v>109.54</v>
      </c>
      <c r="M33" s="66" t="n">
        <v>22.67</v>
      </c>
      <c r="N33" s="66" t="n">
        <v>23.36</v>
      </c>
      <c r="O33" s="66" t="n">
        <v>77.95</v>
      </c>
      <c r="P33" s="66" t="n">
        <v>138.14</v>
      </c>
      <c r="Q33" s="66" t="n">
        <v>270.82</v>
      </c>
      <c r="R33" s="66" t="n">
        <v>53.19</v>
      </c>
      <c r="S33" s="66" t="n">
        <v>79</v>
      </c>
      <c r="T33" s="66" t="n">
        <v>30.74</v>
      </c>
      <c r="U33" s="66"/>
      <c r="V33" s="66" t="n">
        <v>274.82</v>
      </c>
      <c r="W33" s="66"/>
      <c r="X33" s="66"/>
      <c r="Y33" s="66"/>
      <c r="Z33" s="66"/>
      <c r="AA33" s="66"/>
    </row>
    <row r="34" customFormat="false" ht="15" hidden="false" customHeight="true" outlineLevel="0" collapsed="false">
      <c r="A34" s="69" t="n">
        <v>45401</v>
      </c>
      <c r="B34" s="66" t="n">
        <v>465.02</v>
      </c>
      <c r="C34" s="66" t="n">
        <v>61.52</v>
      </c>
      <c r="D34" s="66" t="n">
        <v>842.06</v>
      </c>
      <c r="E34" s="66" t="n">
        <v>117.66</v>
      </c>
      <c r="F34" s="66" t="n">
        <v>84.65</v>
      </c>
      <c r="G34" s="66" t="n">
        <v>70.66</v>
      </c>
      <c r="H34" s="66" t="n">
        <v>108.48</v>
      </c>
      <c r="I34" s="66" t="n">
        <v>61.64</v>
      </c>
      <c r="J34" s="66" t="n">
        <v>106.01</v>
      </c>
      <c r="K34" s="66" t="n">
        <v>75.98</v>
      </c>
      <c r="L34" s="66" t="n">
        <v>95.26</v>
      </c>
      <c r="M34" s="66" t="n">
        <v>20.47</v>
      </c>
      <c r="N34" s="66" t="n">
        <v>23.32</v>
      </c>
      <c r="O34" s="66" t="n">
        <v>73.52</v>
      </c>
      <c r="P34" s="66" t="n">
        <v>123.77</v>
      </c>
      <c r="Q34" s="66" t="n">
        <v>264.75</v>
      </c>
      <c r="R34" s="66" t="n">
        <v>52.91</v>
      </c>
      <c r="S34" s="66" t="n">
        <v>78.59</v>
      </c>
      <c r="T34" s="66" t="n">
        <v>31.16</v>
      </c>
      <c r="U34" s="66"/>
      <c r="V34" s="66" t="n">
        <v>277.76</v>
      </c>
      <c r="W34" s="66"/>
      <c r="X34" s="66"/>
      <c r="Y34" s="66"/>
      <c r="Z34" s="66"/>
      <c r="AA34" s="66"/>
    </row>
    <row r="35" customFormat="false" ht="15" hidden="false" customHeight="true" outlineLevel="0" collapsed="false">
      <c r="A35" s="69" t="n">
        <v>45408</v>
      </c>
      <c r="B35" s="66" t="n">
        <v>477.56</v>
      </c>
      <c r="C35" s="66" t="n">
        <v>66.18</v>
      </c>
      <c r="D35" s="66" t="n">
        <v>902.15</v>
      </c>
      <c r="E35" s="66" t="n">
        <v>131.27</v>
      </c>
      <c r="F35" s="66" t="n">
        <v>86.75</v>
      </c>
      <c r="G35" s="66" t="n">
        <v>76.02</v>
      </c>
      <c r="H35" s="66" t="n">
        <v>109.47</v>
      </c>
      <c r="I35" s="66" t="n">
        <v>69.31</v>
      </c>
      <c r="J35" s="66" t="n">
        <v>114.02</v>
      </c>
      <c r="K35" s="66" t="n">
        <v>87.49</v>
      </c>
      <c r="L35" s="66" t="n">
        <v>95.79</v>
      </c>
      <c r="M35" s="66" t="n">
        <v>22.52</v>
      </c>
      <c r="N35" s="66" t="n">
        <v>23.57</v>
      </c>
      <c r="O35" s="66" t="n">
        <v>75.73</v>
      </c>
      <c r="P35" s="66" t="n">
        <v>134.05</v>
      </c>
      <c r="Q35" s="66" t="n">
        <v>269.4</v>
      </c>
      <c r="R35" s="66" t="n">
        <v>54.26</v>
      </c>
      <c r="S35" s="66" t="n">
        <v>80.83</v>
      </c>
      <c r="T35" s="66" t="n">
        <v>31.91</v>
      </c>
      <c r="U35" s="66"/>
      <c r="V35" s="66" t="n">
        <v>277.98</v>
      </c>
      <c r="W35" s="66"/>
      <c r="X35" s="66"/>
      <c r="Y35" s="66"/>
      <c r="Z35" s="66"/>
      <c r="AA35" s="66"/>
    </row>
    <row r="36" customFormat="false" ht="15" hidden="false" customHeight="true" outlineLevel="0" collapsed="false">
      <c r="A36" s="69" t="n">
        <v>45415</v>
      </c>
      <c r="B36" s="66" t="n">
        <v>486.18</v>
      </c>
      <c r="C36" s="66" t="n">
        <v>68.6</v>
      </c>
      <c r="D36" s="66" t="n">
        <v>885.13</v>
      </c>
      <c r="E36" s="66" t="n">
        <v>124.83</v>
      </c>
      <c r="F36" s="66" t="n">
        <v>87.34</v>
      </c>
      <c r="G36" s="66" t="n">
        <v>77.55</v>
      </c>
      <c r="H36" s="66" t="n">
        <v>110.81</v>
      </c>
      <c r="I36" s="66" t="n">
        <v>68.36</v>
      </c>
      <c r="J36" s="66" t="n">
        <v>113.88</v>
      </c>
      <c r="K36" s="66" t="n">
        <v>88.54</v>
      </c>
      <c r="L36" s="66" t="n">
        <v>97.47</v>
      </c>
      <c r="M36" s="66" t="n">
        <v>23.33</v>
      </c>
      <c r="N36" s="66" t="n">
        <v>23.72</v>
      </c>
      <c r="O36" s="66" t="n">
        <v>76.47</v>
      </c>
      <c r="P36" s="66" t="n">
        <v>137.21</v>
      </c>
      <c r="Q36" s="66" t="n">
        <v>263.49</v>
      </c>
      <c r="R36" s="66" t="n">
        <v>54.24</v>
      </c>
      <c r="S36" s="66" t="n">
        <v>80.22</v>
      </c>
      <c r="T36" s="66" t="n">
        <v>32.41</v>
      </c>
      <c r="U36" s="66"/>
      <c r="V36" s="66"/>
      <c r="W36" s="66"/>
      <c r="X36" s="66"/>
      <c r="Y36" s="66"/>
      <c r="Z36" s="66"/>
      <c r="AA36" s="66"/>
    </row>
    <row r="37" customFormat="false" ht="15" hidden="false" customHeight="true" outlineLevel="0" collapsed="false">
      <c r="A37" s="69" t="n">
        <v>45422</v>
      </c>
      <c r="B37" s="66" t="n">
        <v>482.29</v>
      </c>
      <c r="C37" s="66" t="n">
        <v>78.51</v>
      </c>
      <c r="D37" s="66" t="n">
        <v>913.26</v>
      </c>
      <c r="E37" s="66" t="n">
        <v>130.17</v>
      </c>
      <c r="F37" s="66" t="n">
        <v>88.85</v>
      </c>
      <c r="G37" s="66" t="n">
        <v>80.19</v>
      </c>
      <c r="H37" s="66" t="n">
        <v>113.55</v>
      </c>
      <c r="I37" s="66" t="n">
        <v>70.49</v>
      </c>
      <c r="J37" s="66" t="n">
        <v>120.38</v>
      </c>
      <c r="K37" s="66" t="n">
        <v>89.62</v>
      </c>
      <c r="L37" s="66" t="n">
        <v>98.95</v>
      </c>
      <c r="M37" s="66" t="n">
        <v>20.6</v>
      </c>
      <c r="N37" s="66" t="n">
        <v>24.12</v>
      </c>
      <c r="O37" s="66" t="n">
        <v>78.17</v>
      </c>
      <c r="P37" s="66" t="n">
        <v>144.67</v>
      </c>
      <c r="Q37" s="66" t="n">
        <v>275.51</v>
      </c>
      <c r="R37" s="66" t="n">
        <v>53.59</v>
      </c>
      <c r="S37" s="66" t="n">
        <v>80.45</v>
      </c>
      <c r="T37" s="66" t="n">
        <v>32.33</v>
      </c>
      <c r="U37" s="66"/>
      <c r="V37" s="66" t="n">
        <v>271.97</v>
      </c>
      <c r="W37" s="66"/>
      <c r="X37" s="66"/>
      <c r="Y37" s="66"/>
      <c r="Z37" s="66"/>
      <c r="AA37" s="66"/>
    </row>
    <row r="38" customFormat="false" ht="15" hidden="false" customHeight="true" outlineLevel="0" collapsed="false">
      <c r="A38" s="69" t="n">
        <v>45429</v>
      </c>
      <c r="B38" s="66" t="n">
        <v>483.43</v>
      </c>
      <c r="C38" s="66" t="n">
        <v>79.97</v>
      </c>
      <c r="D38" s="66" t="n">
        <v>908.04</v>
      </c>
      <c r="E38" s="66" t="n">
        <v>136.27</v>
      </c>
      <c r="F38" s="66" t="n">
        <v>89.83</v>
      </c>
      <c r="G38" s="66" t="n">
        <v>86.48</v>
      </c>
      <c r="H38" s="66" t="n">
        <v>114.93</v>
      </c>
      <c r="I38" s="66" t="n">
        <v>73.52</v>
      </c>
      <c r="J38" s="66" t="n">
        <v>124.4</v>
      </c>
      <c r="K38" s="66" t="n">
        <v>92.22</v>
      </c>
      <c r="L38" s="66" t="n">
        <v>102.64</v>
      </c>
      <c r="M38" s="66" t="n">
        <v>21.76</v>
      </c>
      <c r="N38" s="66" t="n">
        <v>24.36</v>
      </c>
      <c r="O38" s="66" t="n">
        <v>79.35</v>
      </c>
      <c r="P38" s="66" t="n">
        <v>147.02</v>
      </c>
      <c r="Q38" s="66" t="n">
        <v>275.39</v>
      </c>
      <c r="R38" s="66" t="n">
        <v>53.4</v>
      </c>
      <c r="S38" s="66" t="n">
        <v>79.32</v>
      </c>
      <c r="T38" s="66" t="n">
        <v>31.49</v>
      </c>
      <c r="U38" s="66"/>
      <c r="V38" s="66" t="n">
        <v>270.82</v>
      </c>
      <c r="W38" s="66"/>
      <c r="X38" s="66"/>
      <c r="Y38" s="66"/>
      <c r="Z38" s="66"/>
      <c r="AA38" s="66"/>
    </row>
    <row r="39" customFormat="false" ht="15" hidden="false" customHeight="true" outlineLevel="0" collapsed="false">
      <c r="A39" s="69" t="n">
        <v>45436</v>
      </c>
      <c r="B39" s="66" t="n">
        <v>475.43</v>
      </c>
      <c r="C39" s="66" t="n">
        <v>76.64</v>
      </c>
      <c r="D39" s="66" t="n">
        <v>938.72</v>
      </c>
      <c r="E39" s="66" t="n">
        <v>137.5</v>
      </c>
      <c r="F39" s="66" t="n">
        <v>88.5</v>
      </c>
      <c r="G39" s="66" t="n">
        <v>87.87</v>
      </c>
      <c r="H39" s="66" t="n">
        <v>112.58</v>
      </c>
      <c r="I39" s="66" t="n">
        <v>76.61</v>
      </c>
      <c r="J39" s="66" t="n">
        <v>128.57</v>
      </c>
      <c r="K39" s="66" t="n">
        <v>106.17</v>
      </c>
      <c r="L39" s="66" t="n">
        <v>96.42</v>
      </c>
      <c r="M39" s="66" t="n">
        <v>21.01</v>
      </c>
      <c r="N39" s="66" t="n">
        <v>23.76</v>
      </c>
      <c r="O39" s="66" t="n">
        <v>80.9</v>
      </c>
      <c r="P39" s="66" t="n">
        <v>155.08</v>
      </c>
      <c r="Q39" s="66" t="n">
        <v>269.87</v>
      </c>
      <c r="R39" s="66" t="n">
        <v>50.84</v>
      </c>
      <c r="S39" s="66" t="n">
        <v>74.81</v>
      </c>
      <c r="T39" s="66" t="n">
        <v>30.93</v>
      </c>
      <c r="U39" s="66"/>
      <c r="V39" s="66" t="n">
        <v>264.75</v>
      </c>
      <c r="W39" s="66"/>
      <c r="X39" s="66"/>
      <c r="Y39" s="66"/>
      <c r="Z39" s="66"/>
      <c r="AA39" s="66"/>
    </row>
    <row r="40" customFormat="false" ht="15" hidden="false" customHeight="true" outlineLevel="0" collapsed="false">
      <c r="A40" s="69" t="n">
        <v>45443</v>
      </c>
      <c r="B40" s="66" t="n">
        <v>444.76</v>
      </c>
      <c r="C40" s="66" t="n">
        <v>74.41</v>
      </c>
      <c r="D40" s="66" t="n">
        <v>942.77</v>
      </c>
      <c r="E40" s="66" t="n">
        <v>129.75</v>
      </c>
      <c r="F40" s="66" t="n">
        <v>89.45</v>
      </c>
      <c r="G40" s="66" t="n">
        <v>78.42</v>
      </c>
      <c r="H40" s="66" t="n">
        <v>113.76</v>
      </c>
      <c r="I40" s="66" t="n">
        <v>74.69</v>
      </c>
      <c r="J40" s="66" t="n">
        <v>124.11</v>
      </c>
      <c r="K40" s="66" t="n">
        <v>109.32</v>
      </c>
      <c r="L40" s="66" t="n">
        <v>101.71</v>
      </c>
      <c r="M40" s="66" t="n">
        <v>21.68</v>
      </c>
      <c r="N40" s="66" t="n">
        <v>23.9</v>
      </c>
      <c r="O40" s="66" t="n">
        <v>80.01</v>
      </c>
      <c r="P40" s="66" t="n">
        <v>146.4</v>
      </c>
      <c r="Q40" s="66" t="n">
        <v>267.88</v>
      </c>
      <c r="R40" s="66" t="n">
        <v>52.66</v>
      </c>
      <c r="S40" s="66" t="n">
        <v>77.06</v>
      </c>
      <c r="T40" s="66" t="n">
        <v>31.32</v>
      </c>
      <c r="U40" s="66"/>
      <c r="V40" s="66" t="n">
        <v>269.4</v>
      </c>
      <c r="W40" s="66"/>
      <c r="X40" s="66"/>
      <c r="Y40" s="66"/>
      <c r="Z40" s="66"/>
      <c r="AA40" s="66"/>
    </row>
    <row r="41" customFormat="false" ht="15" hidden="false" customHeight="true" outlineLevel="0" collapsed="false">
      <c r="A41" s="69" t="n">
        <v>45450</v>
      </c>
      <c r="B41" s="66" t="n">
        <v>465.43</v>
      </c>
      <c r="C41" s="66" t="n">
        <v>74.2</v>
      </c>
      <c r="D41" s="66" t="n">
        <v>1009.6</v>
      </c>
      <c r="E41" s="66" t="n">
        <v>137.38</v>
      </c>
      <c r="F41" s="66" t="n">
        <v>86.4</v>
      </c>
      <c r="G41" s="66" t="n">
        <v>87.28</v>
      </c>
      <c r="H41" s="66" t="n">
        <v>111.46</v>
      </c>
      <c r="I41" s="66" t="n">
        <v>75.61</v>
      </c>
      <c r="J41" s="66" t="n">
        <v>130.01</v>
      </c>
      <c r="K41" s="66" t="n">
        <v>120.54</v>
      </c>
      <c r="L41" s="66" t="n">
        <v>101.44</v>
      </c>
      <c r="M41" s="66" t="n">
        <v>23.31</v>
      </c>
      <c r="N41" s="66" t="n">
        <v>23.69</v>
      </c>
      <c r="O41" s="66" t="n">
        <v>82.44</v>
      </c>
      <c r="P41" s="66" t="n">
        <v>159.34</v>
      </c>
      <c r="Q41" s="66" t="n">
        <v>273.98</v>
      </c>
      <c r="R41" s="66" t="n">
        <v>52.75</v>
      </c>
      <c r="S41" s="66" t="n">
        <v>77.82</v>
      </c>
      <c r="T41" s="66" t="n">
        <v>30.83</v>
      </c>
      <c r="U41" s="66"/>
      <c r="V41" s="66" t="n">
        <v>263.49</v>
      </c>
      <c r="W41" s="66"/>
      <c r="X41" s="66"/>
      <c r="Y41" s="66"/>
      <c r="Z41" s="66"/>
      <c r="AA41" s="66"/>
    </row>
    <row r="42" customFormat="false" ht="15" hidden="false" customHeight="true" outlineLevel="0" collapsed="false">
      <c r="A42" s="69" t="n">
        <v>45457</v>
      </c>
      <c r="B42" s="66" t="n">
        <v>525.31</v>
      </c>
      <c r="C42" s="66" t="n">
        <v>82.12</v>
      </c>
      <c r="D42" s="66" t="n">
        <v>1009.09</v>
      </c>
      <c r="E42" s="66" t="n">
        <v>169.45</v>
      </c>
      <c r="F42" s="66" t="n">
        <v>84.34</v>
      </c>
      <c r="G42" s="66" t="n">
        <v>96.36</v>
      </c>
      <c r="H42" s="66" t="n">
        <v>109.58</v>
      </c>
      <c r="I42" s="66" t="n">
        <v>81.11</v>
      </c>
      <c r="J42" s="66" t="n">
        <v>140.35</v>
      </c>
      <c r="K42" s="66" t="n">
        <v>131.52</v>
      </c>
      <c r="L42" s="66" t="n">
        <v>103.36</v>
      </c>
      <c r="M42" s="66" t="n">
        <v>23.57</v>
      </c>
      <c r="N42" s="66" t="n">
        <v>23.36</v>
      </c>
      <c r="O42" s="66" t="n">
        <v>85.92</v>
      </c>
      <c r="P42" s="66" t="n">
        <v>167.73</v>
      </c>
      <c r="Q42" s="66" t="n">
        <v>266.11</v>
      </c>
      <c r="R42" s="66" t="n">
        <v>53.48</v>
      </c>
      <c r="S42" s="66" t="n">
        <v>79.55</v>
      </c>
      <c r="T42" s="66" t="n">
        <v>31.51</v>
      </c>
      <c r="U42" s="66"/>
      <c r="V42" s="66" t="n">
        <v>275.51</v>
      </c>
      <c r="W42" s="66"/>
      <c r="X42" s="66"/>
      <c r="Y42" s="66"/>
      <c r="Z42" s="66"/>
      <c r="AA42" s="66"/>
    </row>
    <row r="43" customFormat="false" ht="15" hidden="false" customHeight="true" outlineLevel="0" collapsed="false">
      <c r="A43" s="69" t="n">
        <v>45464</v>
      </c>
      <c r="B43" s="66" t="n">
        <v>533.44</v>
      </c>
      <c r="C43" s="66" t="n">
        <v>84.34</v>
      </c>
      <c r="D43" s="66" t="n">
        <v>1017.63</v>
      </c>
      <c r="E43" s="66" t="n">
        <v>161.99</v>
      </c>
      <c r="F43" s="66" t="n">
        <v>85.25</v>
      </c>
      <c r="G43" s="66" t="n">
        <v>95.16</v>
      </c>
      <c r="H43" s="66" t="n">
        <v>111.09</v>
      </c>
      <c r="I43" s="66" t="n">
        <v>80.29</v>
      </c>
      <c r="J43" s="66" t="n">
        <v>138.55</v>
      </c>
      <c r="K43" s="66" t="n">
        <v>126.22</v>
      </c>
      <c r="L43" s="66" t="n">
        <v>101.57</v>
      </c>
      <c r="M43" s="66" t="n">
        <v>23.84</v>
      </c>
      <c r="N43" s="66" t="n">
        <v>23.76</v>
      </c>
      <c r="O43" s="66" t="n">
        <v>85.85</v>
      </c>
      <c r="P43" s="66" t="n">
        <v>169.14</v>
      </c>
      <c r="Q43" s="66" t="n">
        <v>270.59</v>
      </c>
      <c r="R43" s="66" t="n">
        <v>54.12</v>
      </c>
      <c r="S43" s="66" t="n">
        <v>80.75</v>
      </c>
      <c r="T43" s="66" t="n">
        <v>31.8</v>
      </c>
      <c r="U43" s="66"/>
      <c r="V43" s="66" t="n">
        <v>275.39</v>
      </c>
      <c r="W43" s="66"/>
      <c r="X43" s="66"/>
      <c r="Y43" s="66"/>
      <c r="Z43" s="66"/>
      <c r="AA43" s="66"/>
    </row>
    <row r="44" customFormat="false" ht="15" hidden="false" customHeight="true" outlineLevel="0" collapsed="false">
      <c r="A44" s="69" t="n">
        <v>45471</v>
      </c>
      <c r="B44" s="66" t="n">
        <v>555.54</v>
      </c>
      <c r="C44" s="66" t="n">
        <v>87.62</v>
      </c>
      <c r="D44" s="66" t="n">
        <v>1004.01</v>
      </c>
      <c r="E44" s="66" t="n">
        <v>157.3</v>
      </c>
      <c r="F44" s="66" t="n">
        <v>86.67</v>
      </c>
      <c r="G44" s="66" t="n">
        <v>95.8</v>
      </c>
      <c r="H44" s="66" t="n">
        <v>111.42</v>
      </c>
      <c r="I44" s="66" t="n">
        <v>81.08</v>
      </c>
      <c r="J44" s="66" t="n">
        <v>130.59</v>
      </c>
      <c r="K44" s="66" t="n">
        <v>123.2</v>
      </c>
      <c r="L44" s="66" t="n">
        <v>104.27</v>
      </c>
      <c r="M44" s="66" t="n">
        <v>25.33</v>
      </c>
      <c r="N44" s="66" t="n">
        <v>23.9</v>
      </c>
      <c r="O44" s="66" t="n">
        <v>86.01</v>
      </c>
      <c r="P44" s="66" t="n">
        <v>169</v>
      </c>
      <c r="Q44" s="66" t="n">
        <v>258.05</v>
      </c>
      <c r="R44" s="66" t="n">
        <v>54.38</v>
      </c>
      <c r="S44" s="66" t="n">
        <v>82.32</v>
      </c>
      <c r="T44" s="66" t="n">
        <v>31.26</v>
      </c>
      <c r="U44" s="66"/>
      <c r="V44" s="66" t="n">
        <v>269.87</v>
      </c>
      <c r="W44" s="66"/>
      <c r="X44" s="66"/>
      <c r="Y44" s="66"/>
      <c r="Z44" s="66"/>
      <c r="AA44" s="66"/>
    </row>
    <row r="45" customFormat="false" ht="15" hidden="false" customHeight="true" outlineLevel="0" collapsed="false">
      <c r="A45" s="69" t="n">
        <v>45478</v>
      </c>
      <c r="B45" s="66" t="n">
        <v>578.34</v>
      </c>
      <c r="C45" s="66" t="n">
        <v>91.54</v>
      </c>
      <c r="D45" s="66" t="n">
        <v>1054.81</v>
      </c>
      <c r="E45" s="66" t="n">
        <v>166.88</v>
      </c>
      <c r="F45" s="66" t="n">
        <v>85.24</v>
      </c>
      <c r="G45" s="66" t="n">
        <v>97.42</v>
      </c>
      <c r="H45" s="66" t="n">
        <v>110.51</v>
      </c>
      <c r="I45" s="66" t="n">
        <v>84.1</v>
      </c>
      <c r="J45" s="66" t="n">
        <v>130.66</v>
      </c>
      <c r="K45" s="66" t="n">
        <v>125.48</v>
      </c>
      <c r="L45" s="66" t="n">
        <v>106.27</v>
      </c>
      <c r="M45" s="66" t="n">
        <v>27.23</v>
      </c>
      <c r="N45" s="66" t="n">
        <v>23.68</v>
      </c>
      <c r="O45" s="66" t="n">
        <v>88.68</v>
      </c>
      <c r="P45" s="66" t="n">
        <v>178.9</v>
      </c>
      <c r="Q45" s="66" t="n">
        <v>265.81</v>
      </c>
      <c r="R45" s="66" t="n">
        <v>54.19</v>
      </c>
      <c r="S45" s="66" t="n">
        <v>81.42</v>
      </c>
      <c r="T45" s="66" t="n">
        <v>31.62</v>
      </c>
      <c r="U45" s="66"/>
      <c r="V45" s="66" t="n">
        <v>267.88</v>
      </c>
      <c r="W45" s="66"/>
      <c r="X45" s="66"/>
      <c r="Y45" s="66"/>
      <c r="Z45" s="66"/>
      <c r="AA45" s="66"/>
    </row>
    <row r="46" customFormat="false" ht="15" hidden="false" customHeight="true" outlineLevel="0" collapsed="false">
      <c r="A46" s="69" t="n">
        <v>45485</v>
      </c>
      <c r="B46" s="66" t="n">
        <v>559.05</v>
      </c>
      <c r="C46" s="66" t="n">
        <v>90.47</v>
      </c>
      <c r="D46" s="66" t="n">
        <v>1065.4</v>
      </c>
      <c r="E46" s="66" t="n">
        <v>166.62</v>
      </c>
      <c r="F46" s="66" t="n">
        <v>89.99</v>
      </c>
      <c r="G46" s="66" t="n">
        <v>92.83</v>
      </c>
      <c r="H46" s="66" t="n">
        <v>115.16</v>
      </c>
      <c r="I46" s="66" t="n">
        <v>84.34</v>
      </c>
      <c r="J46" s="66" t="n">
        <v>132.72</v>
      </c>
      <c r="K46" s="66" t="n">
        <v>128.88</v>
      </c>
      <c r="L46" s="66" t="n">
        <v>111.55</v>
      </c>
      <c r="M46" s="66" t="n">
        <v>28.07</v>
      </c>
      <c r="N46" s="66" t="n">
        <v>24.48</v>
      </c>
      <c r="O46" s="66" t="n">
        <v>88.5</v>
      </c>
      <c r="P46" s="66" t="n">
        <v>182.16</v>
      </c>
      <c r="Q46" s="66" t="n">
        <v>261.27</v>
      </c>
      <c r="R46" s="66" t="n">
        <v>54.49</v>
      </c>
      <c r="S46" s="66" t="n">
        <v>83.89</v>
      </c>
      <c r="T46" s="66" t="n">
        <v>30.95</v>
      </c>
      <c r="U46" s="66"/>
      <c r="V46" s="66" t="n">
        <v>273.98</v>
      </c>
      <c r="W46" s="66"/>
      <c r="X46" s="66"/>
      <c r="Y46" s="66"/>
      <c r="Z46" s="66"/>
      <c r="AA46" s="66"/>
    </row>
    <row r="47" customFormat="false" ht="15" hidden="false" customHeight="true" outlineLevel="0" collapsed="false">
      <c r="A47" s="69" t="n">
        <v>45492</v>
      </c>
      <c r="B47" s="66" t="n">
        <v>551</v>
      </c>
      <c r="C47" s="66" t="n">
        <v>82.64</v>
      </c>
      <c r="D47" s="66" t="n">
        <v>878.98</v>
      </c>
      <c r="E47" s="66" t="n">
        <v>154.16</v>
      </c>
      <c r="F47" s="66" t="n">
        <v>92.37</v>
      </c>
      <c r="G47" s="66" t="n">
        <v>76.24</v>
      </c>
      <c r="H47" s="66" t="n">
        <v>116.79</v>
      </c>
      <c r="I47" s="66" t="n">
        <v>74.98</v>
      </c>
      <c r="J47" s="66" t="n">
        <v>113.55</v>
      </c>
      <c r="K47" s="66" t="n">
        <v>117.6</v>
      </c>
      <c r="L47" s="66" t="n">
        <v>114.9</v>
      </c>
      <c r="M47" s="66" t="n">
        <v>28.58</v>
      </c>
      <c r="N47" s="66" t="n">
        <v>24.93</v>
      </c>
      <c r="O47" s="66" t="n">
        <v>84.92</v>
      </c>
      <c r="P47" s="66" t="n">
        <v>161.18</v>
      </c>
      <c r="Q47" s="66" t="n">
        <v>260.99</v>
      </c>
      <c r="R47" s="66" t="n">
        <v>55.18</v>
      </c>
      <c r="S47" s="66" t="n">
        <v>87.43</v>
      </c>
      <c r="T47" s="66" t="n">
        <v>30.82</v>
      </c>
      <c r="U47" s="66"/>
      <c r="V47" s="66" t="n">
        <v>266.11</v>
      </c>
      <c r="W47" s="66"/>
      <c r="X47" s="66"/>
      <c r="Y47" s="66"/>
      <c r="Z47" s="66"/>
      <c r="AA47" s="66"/>
    </row>
    <row r="48" customFormat="false" ht="15" hidden="false" customHeight="true" outlineLevel="0" collapsed="false">
      <c r="A48" s="69" t="n">
        <v>45499</v>
      </c>
      <c r="B48" s="66" t="n">
        <v>542.44</v>
      </c>
      <c r="C48" s="66" t="n">
        <v>79.8</v>
      </c>
      <c r="D48" s="66" t="n">
        <v>872.13</v>
      </c>
      <c r="E48" s="66" t="n">
        <v>148.56</v>
      </c>
      <c r="F48" s="66" t="n">
        <v>95.72</v>
      </c>
      <c r="G48" s="66" t="n">
        <v>64.04</v>
      </c>
      <c r="H48" s="66" t="n">
        <v>119.26</v>
      </c>
      <c r="I48" s="66" t="n">
        <v>77.43</v>
      </c>
      <c r="J48" s="66" t="n">
        <v>108.73</v>
      </c>
      <c r="K48" s="66" t="n">
        <v>112.75</v>
      </c>
      <c r="L48" s="66" t="n">
        <v>113.9</v>
      </c>
      <c r="M48" s="66" t="n">
        <v>27.18</v>
      </c>
      <c r="N48" s="66" t="n">
        <v>25.35</v>
      </c>
      <c r="O48" s="66" t="n">
        <v>83.32</v>
      </c>
      <c r="P48" s="66" t="n">
        <v>157.46</v>
      </c>
      <c r="Q48" s="66" t="n">
        <v>255.09</v>
      </c>
      <c r="R48" s="66" t="n">
        <v>55.24</v>
      </c>
      <c r="S48" s="66" t="n">
        <v>87.36</v>
      </c>
      <c r="T48" s="66" t="n">
        <v>31.12</v>
      </c>
      <c r="U48" s="66"/>
      <c r="V48" s="66" t="n">
        <v>270.59</v>
      </c>
      <c r="W48" s="66"/>
      <c r="X48" s="66"/>
      <c r="Y48" s="66"/>
      <c r="Z48" s="66"/>
      <c r="AA48" s="66"/>
    </row>
    <row r="49" customFormat="false" ht="15" hidden="false" customHeight="true" outlineLevel="0" collapsed="false">
      <c r="A49" s="69" t="n">
        <v>45506</v>
      </c>
      <c r="B49" s="66" t="n">
        <v>526.17</v>
      </c>
      <c r="C49" s="66" t="n">
        <v>79.83</v>
      </c>
      <c r="D49" s="66" t="n">
        <v>796.01</v>
      </c>
      <c r="E49" s="66" t="n">
        <v>140.91</v>
      </c>
      <c r="F49" s="66" t="n">
        <v>88.88</v>
      </c>
      <c r="G49" s="66" t="n">
        <v>54.47</v>
      </c>
      <c r="H49" s="66" t="n">
        <v>117.54</v>
      </c>
      <c r="I49" s="66" t="n">
        <v>68.46</v>
      </c>
      <c r="J49" s="66" t="n">
        <v>92.12</v>
      </c>
      <c r="K49" s="66" t="n">
        <v>106.97</v>
      </c>
      <c r="L49" s="66" t="n">
        <v>115.11</v>
      </c>
      <c r="M49" s="66" t="n">
        <v>24.74</v>
      </c>
      <c r="N49" s="66" t="n">
        <v>24.84</v>
      </c>
      <c r="O49" s="66" t="n">
        <v>80.84</v>
      </c>
      <c r="P49" s="66" t="n">
        <v>145.71</v>
      </c>
      <c r="Q49" s="66" t="n">
        <v>262.1</v>
      </c>
      <c r="R49" s="66" t="n">
        <v>55.5</v>
      </c>
      <c r="S49" s="66" t="n">
        <v>87.46</v>
      </c>
      <c r="T49" s="66" t="n">
        <v>30.92</v>
      </c>
      <c r="U49" s="66"/>
      <c r="V49" s="66" t="n">
        <v>258.05</v>
      </c>
      <c r="W49" s="66"/>
      <c r="X49" s="66"/>
      <c r="Y49" s="66"/>
      <c r="Z49" s="66"/>
      <c r="AA49" s="66"/>
    </row>
    <row r="50" customFormat="false" ht="15" hidden="false" customHeight="true" outlineLevel="0" collapsed="false">
      <c r="A50" s="69" t="n">
        <v>45513</v>
      </c>
      <c r="B50" s="66" t="n">
        <v>536.3</v>
      </c>
      <c r="C50" s="66" t="n">
        <v>83.95</v>
      </c>
      <c r="D50" s="66" t="n">
        <v>846.36</v>
      </c>
      <c r="E50" s="66" t="n">
        <v>145.26</v>
      </c>
      <c r="F50" s="66" t="n">
        <v>87.31</v>
      </c>
      <c r="G50" s="66" t="n">
        <v>60.22</v>
      </c>
      <c r="H50" s="66" t="n">
        <v>116.35</v>
      </c>
      <c r="I50" s="66" t="n">
        <v>73.43</v>
      </c>
      <c r="J50" s="66" t="n">
        <v>92.5</v>
      </c>
      <c r="K50" s="66" t="n">
        <v>104.46</v>
      </c>
      <c r="L50" s="66" t="n">
        <v>113.18</v>
      </c>
      <c r="M50" s="66" t="n">
        <v>30.01</v>
      </c>
      <c r="N50" s="66" t="n">
        <v>24.64</v>
      </c>
      <c r="O50" s="66" t="n">
        <v>82.24</v>
      </c>
      <c r="P50" s="66" t="n">
        <v>162.49</v>
      </c>
      <c r="Q50" s="66" t="n">
        <v>255.9</v>
      </c>
      <c r="R50" s="66" t="n">
        <v>55.88</v>
      </c>
      <c r="S50" s="66" t="n">
        <v>90.17</v>
      </c>
      <c r="T50" s="66" t="n">
        <v>30.3</v>
      </c>
      <c r="U50" s="66"/>
      <c r="V50" s="66" t="n">
        <v>265.81</v>
      </c>
      <c r="W50" s="66"/>
      <c r="X50" s="66"/>
      <c r="Y50" s="66"/>
      <c r="Z50" s="66"/>
      <c r="AA50" s="66"/>
    </row>
    <row r="51" customFormat="false" ht="15" hidden="false" customHeight="true" outlineLevel="0" collapsed="false">
      <c r="A51" s="69" t="n">
        <v>45520</v>
      </c>
      <c r="B51" s="66" t="n">
        <v>553.46</v>
      </c>
      <c r="C51" s="66" t="n">
        <v>88.47</v>
      </c>
      <c r="D51" s="66" t="n">
        <v>903.52</v>
      </c>
      <c r="E51" s="66" t="n">
        <v>162.37</v>
      </c>
      <c r="F51" s="66" t="n">
        <v>89.81</v>
      </c>
      <c r="G51" s="66" t="n">
        <v>65.64</v>
      </c>
      <c r="H51" s="66" t="n">
        <v>119.33</v>
      </c>
      <c r="I51" s="66" t="n">
        <v>80.74</v>
      </c>
      <c r="J51" s="66" t="n">
        <v>107.32</v>
      </c>
      <c r="K51" s="66" t="n">
        <v>124.24</v>
      </c>
      <c r="L51" s="66" t="n">
        <v>114.06</v>
      </c>
      <c r="M51" s="66" t="n">
        <v>32.08</v>
      </c>
      <c r="N51" s="66" t="n">
        <v>25.2</v>
      </c>
      <c r="O51" s="66" t="n">
        <v>86.93</v>
      </c>
      <c r="P51" s="66" t="n">
        <v>169.71</v>
      </c>
      <c r="Q51" s="66" t="n">
        <v>263.41</v>
      </c>
      <c r="R51" s="66" t="n">
        <v>55.84</v>
      </c>
      <c r="S51" s="66" t="n">
        <v>89.99</v>
      </c>
      <c r="T51" s="66" t="n">
        <v>31.46</v>
      </c>
      <c r="U51" s="66"/>
      <c r="V51" s="66" t="n">
        <v>261.27</v>
      </c>
      <c r="W51" s="66"/>
      <c r="X51" s="66"/>
      <c r="Y51" s="66"/>
      <c r="Z51" s="66"/>
      <c r="AA51" s="66"/>
    </row>
    <row r="52" customFormat="false" ht="15" hidden="false" customHeight="true" outlineLevel="0" collapsed="false">
      <c r="A52" s="69" t="n">
        <v>45527</v>
      </c>
      <c r="B52" s="66" t="n">
        <v>558.3</v>
      </c>
      <c r="C52" s="66" t="n">
        <v>88.78</v>
      </c>
      <c r="D52" s="66" t="n">
        <v>892.3</v>
      </c>
      <c r="E52" s="66" t="n">
        <v>162.99</v>
      </c>
      <c r="F52" s="66" t="n">
        <v>92.6</v>
      </c>
      <c r="G52" s="66" t="n">
        <v>67.89</v>
      </c>
      <c r="H52" s="66" t="n">
        <v>121.81</v>
      </c>
      <c r="I52" s="66" t="n">
        <v>80.57</v>
      </c>
      <c r="J52" s="66" t="n">
        <v>102.21</v>
      </c>
      <c r="K52" s="66" t="n">
        <v>129.01</v>
      </c>
      <c r="L52" s="66" t="n">
        <v>119.64</v>
      </c>
      <c r="M52" s="66" t="n">
        <v>31.78</v>
      </c>
      <c r="N52" s="66" t="n">
        <v>25.67</v>
      </c>
      <c r="O52" s="66" t="n">
        <v>88.13</v>
      </c>
      <c r="P52" s="66" t="n">
        <v>166.54</v>
      </c>
      <c r="Q52" s="66" t="n">
        <v>263.47</v>
      </c>
      <c r="R52" s="66" t="n">
        <v>54.19</v>
      </c>
      <c r="S52" s="66" t="n">
        <v>86.35</v>
      </c>
      <c r="T52" s="66" t="n">
        <v>31.94</v>
      </c>
      <c r="U52" s="66"/>
      <c r="V52" s="66" t="n">
        <v>260.99</v>
      </c>
      <c r="W52" s="66"/>
      <c r="X52" s="66"/>
      <c r="Y52" s="66"/>
      <c r="Z52" s="66"/>
      <c r="AA52" s="66"/>
    </row>
    <row r="53" customFormat="false" ht="15" hidden="false" customHeight="true" outlineLevel="0" collapsed="false">
      <c r="A53" s="69" t="n">
        <v>45534</v>
      </c>
      <c r="B53" s="66" t="n">
        <v>574.41</v>
      </c>
      <c r="C53" s="66" t="n">
        <v>88.35</v>
      </c>
      <c r="D53" s="66" t="n">
        <v>888.97</v>
      </c>
      <c r="E53" s="66" t="n">
        <v>159.52</v>
      </c>
      <c r="F53" s="66" t="n">
        <v>92.65</v>
      </c>
      <c r="G53" s="66" t="n">
        <v>69.32</v>
      </c>
      <c r="H53" s="66" t="n">
        <v>123.48</v>
      </c>
      <c r="I53" s="66" t="n">
        <v>80.72</v>
      </c>
      <c r="J53" s="66" t="n">
        <v>95.64</v>
      </c>
      <c r="K53" s="66" t="n">
        <v>119.04</v>
      </c>
      <c r="L53" s="66" t="n">
        <v>118.67</v>
      </c>
      <c r="M53" s="66" t="n">
        <v>31.48</v>
      </c>
      <c r="N53" s="66" t="n">
        <v>25.99</v>
      </c>
      <c r="O53" s="66" t="n">
        <v>87.78</v>
      </c>
      <c r="P53" s="66" t="n">
        <v>166.95</v>
      </c>
      <c r="Q53" s="66" t="n">
        <v>272.27</v>
      </c>
      <c r="R53" s="66" t="n">
        <v>52.96</v>
      </c>
      <c r="S53" s="66" t="n">
        <v>84.72</v>
      </c>
      <c r="T53" s="66" t="n">
        <v>32.51</v>
      </c>
      <c r="U53" s="66"/>
      <c r="V53" s="66" t="n">
        <v>255.09</v>
      </c>
      <c r="W53" s="66"/>
      <c r="X53" s="66"/>
      <c r="Y53" s="66"/>
      <c r="Z53" s="66"/>
      <c r="AA53" s="66"/>
    </row>
    <row r="54" customFormat="false" ht="15" hidden="false" customHeight="true" outlineLevel="0" collapsed="false">
      <c r="A54" s="69" t="n">
        <v>45541</v>
      </c>
      <c r="B54" s="66" t="n">
        <v>563.41</v>
      </c>
      <c r="C54" s="66" t="n">
        <v>78.58</v>
      </c>
      <c r="D54" s="66" t="n">
        <v>740.38</v>
      </c>
      <c r="E54" s="66" t="n">
        <v>134.23</v>
      </c>
      <c r="F54" s="66" t="n">
        <v>87.4</v>
      </c>
      <c r="G54" s="66" t="n">
        <v>61.6</v>
      </c>
      <c r="H54" s="66" t="n">
        <v>120.84</v>
      </c>
      <c r="I54" s="66" t="n">
        <v>69.23</v>
      </c>
      <c r="J54" s="66" t="n">
        <v>85.84</v>
      </c>
      <c r="K54" s="66" t="n">
        <v>102.55</v>
      </c>
      <c r="L54" s="66" t="n">
        <v>118.13</v>
      </c>
      <c r="M54" s="66" t="n">
        <v>30.33</v>
      </c>
      <c r="N54" s="66" t="n">
        <v>25.21</v>
      </c>
      <c r="O54" s="66" t="n">
        <v>82.53</v>
      </c>
      <c r="P54" s="66" t="n">
        <v>152.48</v>
      </c>
      <c r="Q54" s="66" t="n">
        <v>275.22</v>
      </c>
      <c r="R54" s="66" t="n">
        <v>51.14</v>
      </c>
      <c r="S54" s="66" t="n">
        <v>82.2</v>
      </c>
      <c r="T54" s="66" t="n">
        <v>31.58</v>
      </c>
      <c r="U54" s="66"/>
      <c r="V54" s="66" t="n">
        <v>262.1</v>
      </c>
      <c r="W54" s="66"/>
      <c r="X54" s="66"/>
      <c r="Y54" s="66"/>
      <c r="Z54" s="66"/>
      <c r="AA54" s="66"/>
    </row>
    <row r="55" customFormat="false" ht="15" hidden="false" customHeight="true" outlineLevel="0" collapsed="false">
      <c r="A55" s="69" t="n">
        <v>45548</v>
      </c>
      <c r="B55" s="66" t="n">
        <v>536.87</v>
      </c>
      <c r="C55" s="66" t="n">
        <v>89.94</v>
      </c>
      <c r="D55" s="66" t="n">
        <v>802.9</v>
      </c>
      <c r="E55" s="66" t="n">
        <v>164.3</v>
      </c>
      <c r="F55" s="66" t="n">
        <v>89.92</v>
      </c>
      <c r="G55" s="66" t="n">
        <v>64.78</v>
      </c>
      <c r="H55" s="66" t="n">
        <v>123.08</v>
      </c>
      <c r="I55" s="66" t="n">
        <v>74.03</v>
      </c>
      <c r="J55" s="66" t="n">
        <v>90.65</v>
      </c>
      <c r="K55" s="66" t="n">
        <v>118.78</v>
      </c>
      <c r="L55" s="66" t="n">
        <v>120.68</v>
      </c>
      <c r="M55" s="66" t="n">
        <v>35.59</v>
      </c>
      <c r="N55" s="66" t="n">
        <v>25.63</v>
      </c>
      <c r="O55" s="66" t="n">
        <v>87.61</v>
      </c>
      <c r="P55" s="66" t="n">
        <v>168.34</v>
      </c>
      <c r="Q55" s="66" t="n">
        <v>283.08</v>
      </c>
      <c r="R55" s="66" t="n">
        <v>51.29</v>
      </c>
      <c r="S55" s="66" t="n">
        <v>83.62</v>
      </c>
      <c r="T55" s="66" t="n">
        <v>31.53</v>
      </c>
      <c r="U55" s="66"/>
      <c r="V55" s="66" t="n">
        <v>255.9</v>
      </c>
      <c r="W55" s="66"/>
      <c r="X55" s="66"/>
      <c r="Y55" s="66"/>
      <c r="Z55" s="66"/>
      <c r="AA55" s="66"/>
    </row>
    <row r="56" customFormat="false" ht="15" hidden="false" customHeight="true" outlineLevel="0" collapsed="false">
      <c r="A56" s="69" t="n">
        <v>45555</v>
      </c>
      <c r="B56" s="66" t="n">
        <v>522.3</v>
      </c>
      <c r="C56" s="66" t="n">
        <v>96.11</v>
      </c>
      <c r="D56" s="66" t="n">
        <v>782.17</v>
      </c>
      <c r="E56" s="66" t="n">
        <v>168.19</v>
      </c>
      <c r="F56" s="66" t="n">
        <v>92.64</v>
      </c>
      <c r="G56" s="66" t="n">
        <v>74.96</v>
      </c>
      <c r="H56" s="66" t="n">
        <v>124.57</v>
      </c>
      <c r="I56" s="66" t="n">
        <v>74.76</v>
      </c>
      <c r="J56" s="66" t="n">
        <v>90.33</v>
      </c>
      <c r="K56" s="66" t="n">
        <v>115.69</v>
      </c>
      <c r="L56" s="66" t="n">
        <v>117.36</v>
      </c>
      <c r="M56" s="66" t="n">
        <v>37.2</v>
      </c>
      <c r="N56" s="66" t="n">
        <v>25.97</v>
      </c>
      <c r="O56" s="66" t="n">
        <v>89.03</v>
      </c>
      <c r="P56" s="66" t="n">
        <v>169.89</v>
      </c>
      <c r="Q56" s="66" t="n">
        <v>280.54</v>
      </c>
      <c r="R56" s="66" t="n">
        <v>53.45</v>
      </c>
      <c r="S56" s="66" t="n">
        <v>88.39</v>
      </c>
      <c r="T56" s="66" t="n">
        <v>32.04</v>
      </c>
      <c r="U56" s="66"/>
      <c r="V56" s="66" t="n">
        <v>263.41</v>
      </c>
      <c r="W56" s="66"/>
      <c r="X56" s="66"/>
      <c r="Y56" s="66"/>
      <c r="Z56" s="66"/>
      <c r="AA56" s="66"/>
    </row>
    <row r="57" customFormat="false" ht="15" hidden="false" customHeight="true" outlineLevel="0" collapsed="false">
      <c r="A57" s="69" t="n">
        <v>45562</v>
      </c>
      <c r="B57" s="66" t="n">
        <v>515.48</v>
      </c>
      <c r="C57" s="66" t="n">
        <v>95.07</v>
      </c>
      <c r="D57" s="66" t="n">
        <v>827.67</v>
      </c>
      <c r="E57" s="66" t="n">
        <v>169.75</v>
      </c>
      <c r="F57" s="66" t="n">
        <v>92.68</v>
      </c>
      <c r="G57" s="66" t="n">
        <v>71.46</v>
      </c>
      <c r="H57" s="66" t="n">
        <v>125.53</v>
      </c>
      <c r="I57" s="66" t="n">
        <v>77.08</v>
      </c>
      <c r="J57" s="66" t="n">
        <v>106.83</v>
      </c>
      <c r="K57" s="66" t="n">
        <v>121.08</v>
      </c>
      <c r="L57" s="66" t="n">
        <v>117.47</v>
      </c>
      <c r="M57" s="66" t="n">
        <v>36.84</v>
      </c>
      <c r="N57" s="66" t="n">
        <v>26.13</v>
      </c>
      <c r="O57" s="66" t="n">
        <v>88.91</v>
      </c>
      <c r="P57" s="66" t="n">
        <v>173.68</v>
      </c>
      <c r="Q57" s="66" t="n">
        <v>271.08</v>
      </c>
      <c r="R57" s="66" t="n">
        <v>53.9</v>
      </c>
      <c r="S57" s="66" t="n">
        <v>89.61</v>
      </c>
      <c r="T57" s="66" t="n">
        <v>33.09</v>
      </c>
      <c r="U57" s="66"/>
      <c r="V57" s="66" t="n">
        <v>263.47</v>
      </c>
      <c r="W57" s="66"/>
      <c r="X57" s="66"/>
      <c r="Y57" s="66"/>
      <c r="Z57" s="66"/>
      <c r="AA57" s="66"/>
    </row>
    <row r="58" customFormat="false" ht="15" hidden="false" customHeight="true" outlineLevel="0" collapsed="false">
      <c r="A58" s="69" t="n">
        <v>45569</v>
      </c>
      <c r="B58" s="66" t="n">
        <v>507.22</v>
      </c>
      <c r="C58" s="66" t="n">
        <v>98.99</v>
      </c>
      <c r="D58" s="66" t="n">
        <v>819.27</v>
      </c>
      <c r="E58" s="66" t="n">
        <v>173.63</v>
      </c>
      <c r="F58" s="66" t="n">
        <v>92.94</v>
      </c>
      <c r="G58" s="66" t="n">
        <v>73.06</v>
      </c>
      <c r="H58" s="66" t="n">
        <v>125.03</v>
      </c>
      <c r="I58" s="66" t="n">
        <v>77.57</v>
      </c>
      <c r="J58" s="66" t="n">
        <v>101.61</v>
      </c>
      <c r="K58" s="66" t="n">
        <v>124.59</v>
      </c>
      <c r="L58" s="66" t="n">
        <v>114.51</v>
      </c>
      <c r="M58" s="66" t="n">
        <v>40.01</v>
      </c>
      <c r="N58" s="66" t="n">
        <v>26.26</v>
      </c>
      <c r="O58" s="66" t="n">
        <v>90.24</v>
      </c>
      <c r="P58" s="66" t="n">
        <v>176.8</v>
      </c>
      <c r="Q58" s="66" t="n">
        <v>273.8</v>
      </c>
      <c r="R58" s="66" t="n">
        <v>54.08</v>
      </c>
      <c r="S58" s="66" t="n">
        <v>89.25</v>
      </c>
      <c r="T58" s="66" t="n">
        <v>33.2</v>
      </c>
      <c r="U58" s="66"/>
      <c r="V58" s="66" t="n">
        <v>272.27</v>
      </c>
      <c r="W58" s="66"/>
      <c r="X58" s="66"/>
      <c r="Y58" s="66"/>
      <c r="Z58" s="66"/>
      <c r="AA58" s="66"/>
    </row>
    <row r="59" customFormat="false" ht="15" hidden="false" customHeight="true" outlineLevel="0" collapsed="false">
      <c r="A59" s="69" t="n">
        <v>45576</v>
      </c>
      <c r="B59" s="66" t="n">
        <v>495.42</v>
      </c>
      <c r="C59" s="66" t="n">
        <v>104.23</v>
      </c>
      <c r="D59" s="66" t="n">
        <v>826.83</v>
      </c>
      <c r="E59" s="66" t="n">
        <v>178.39</v>
      </c>
      <c r="F59" s="66" t="n">
        <v>94.05</v>
      </c>
      <c r="G59" s="66" t="n">
        <v>80.05</v>
      </c>
      <c r="H59" s="66" t="n">
        <v>125.1</v>
      </c>
      <c r="I59" s="66" t="n">
        <v>79.18</v>
      </c>
      <c r="J59" s="66" t="n">
        <v>106.37</v>
      </c>
      <c r="K59" s="66" t="n">
        <v>134.44</v>
      </c>
      <c r="L59" s="66" t="n">
        <v>112.47</v>
      </c>
      <c r="M59" s="66" t="n">
        <v>43.51</v>
      </c>
      <c r="N59" s="66" t="n">
        <v>26.56</v>
      </c>
      <c r="O59" s="66" t="n">
        <v>92.19</v>
      </c>
      <c r="P59" s="66" t="n">
        <v>186.21</v>
      </c>
      <c r="Q59" s="66" t="n">
        <v>273.71</v>
      </c>
      <c r="R59" s="66" t="n">
        <v>51.36</v>
      </c>
      <c r="S59" s="66" t="n">
        <v>83.92</v>
      </c>
      <c r="T59" s="66" t="n">
        <v>31.83</v>
      </c>
      <c r="U59" s="66"/>
      <c r="V59" s="66" t="n">
        <v>275.22</v>
      </c>
      <c r="W59" s="66"/>
      <c r="X59" s="66"/>
      <c r="Y59" s="66"/>
      <c r="Z59" s="66"/>
      <c r="AA59" s="66"/>
    </row>
    <row r="60" customFormat="false" ht="15" hidden="false" customHeight="true" outlineLevel="0" collapsed="false">
      <c r="A60" s="69" t="n">
        <v>45583</v>
      </c>
      <c r="B60" s="66" t="n">
        <v>494.9</v>
      </c>
      <c r="C60" s="66" t="n">
        <v>100.5</v>
      </c>
      <c r="D60" s="66" t="n">
        <v>711.34</v>
      </c>
      <c r="E60" s="66" t="n">
        <v>176.83</v>
      </c>
      <c r="F60" s="66" t="n">
        <v>95.23</v>
      </c>
      <c r="G60" s="66" t="n">
        <v>77.54</v>
      </c>
      <c r="H60" s="66" t="n">
        <v>127.52</v>
      </c>
      <c r="I60" s="66" t="n">
        <v>66.84</v>
      </c>
      <c r="J60" s="66" t="n">
        <v>110.58</v>
      </c>
      <c r="K60" s="66" t="n">
        <v>137.63</v>
      </c>
      <c r="L60" s="66" t="n">
        <v>114.58</v>
      </c>
      <c r="M60" s="66" t="n">
        <v>42.97</v>
      </c>
      <c r="N60" s="66" t="n">
        <v>26.81</v>
      </c>
      <c r="O60" s="66" t="n">
        <v>92.59</v>
      </c>
      <c r="P60" s="66" t="n">
        <v>195.94</v>
      </c>
      <c r="Q60" s="66" t="n">
        <v>286.3</v>
      </c>
      <c r="R60" s="66" t="n">
        <v>53.75</v>
      </c>
      <c r="S60" s="66" t="n">
        <v>89.08</v>
      </c>
      <c r="T60" s="66" t="n">
        <v>32.58</v>
      </c>
      <c r="U60" s="66"/>
      <c r="V60" s="66" t="n">
        <v>283.08</v>
      </c>
      <c r="W60" s="66"/>
      <c r="X60" s="66"/>
      <c r="Y60" s="66"/>
      <c r="Z60" s="66"/>
      <c r="AA60" s="66"/>
    </row>
    <row r="61" customFormat="false" ht="15" hidden="false" customHeight="true" outlineLevel="0" collapsed="false">
      <c r="A61" s="69" t="n">
        <v>45590</v>
      </c>
      <c r="B61" s="66" t="n">
        <v>483.72</v>
      </c>
      <c r="C61" s="66" t="n">
        <v>98.52</v>
      </c>
      <c r="D61" s="66" t="n">
        <v>699.97</v>
      </c>
      <c r="E61" s="66" t="n">
        <v>170.06</v>
      </c>
      <c r="F61" s="66" t="n">
        <v>92.06</v>
      </c>
      <c r="G61" s="66" t="n">
        <v>75.15</v>
      </c>
      <c r="H61" s="66" t="n">
        <v>124.51</v>
      </c>
      <c r="I61" s="66" t="n">
        <v>66.31</v>
      </c>
      <c r="J61" s="66" t="n">
        <v>107.36</v>
      </c>
      <c r="K61" s="66" t="n">
        <v>141.16</v>
      </c>
      <c r="L61" s="66" t="n">
        <v>109.94</v>
      </c>
      <c r="M61" s="66" t="n">
        <v>44.86</v>
      </c>
      <c r="N61" s="66" t="n">
        <v>26.19</v>
      </c>
      <c r="O61" s="66" t="n">
        <v>91.23</v>
      </c>
      <c r="P61" s="66" t="n">
        <v>198.54</v>
      </c>
      <c r="Q61" s="66" t="n">
        <v>277.55</v>
      </c>
      <c r="R61" s="66" t="n">
        <v>54.41</v>
      </c>
      <c r="S61" s="66" t="n">
        <v>90.53</v>
      </c>
      <c r="T61" s="66" t="n">
        <v>33.14</v>
      </c>
      <c r="U61" s="66"/>
      <c r="V61" s="66" t="n">
        <v>280.54</v>
      </c>
      <c r="W61" s="66"/>
      <c r="X61" s="66"/>
      <c r="Y61" s="66"/>
      <c r="Z61" s="66"/>
      <c r="AA61" s="66"/>
    </row>
    <row r="62" customFormat="false" ht="15" hidden="false" customHeight="true" outlineLevel="0" collapsed="false">
      <c r="A62" s="69" t="n">
        <v>45597</v>
      </c>
      <c r="B62" s="66" t="n">
        <v>482.8</v>
      </c>
      <c r="C62" s="66" t="n">
        <v>98.54</v>
      </c>
      <c r="D62" s="66" t="n">
        <v>665.15</v>
      </c>
      <c r="E62" s="66" t="n">
        <v>166.04</v>
      </c>
      <c r="F62" s="66" t="n">
        <v>91.84</v>
      </c>
      <c r="G62" s="66" t="n">
        <v>75.78</v>
      </c>
      <c r="H62" s="66" t="n">
        <v>124.39</v>
      </c>
      <c r="I62" s="66" t="n">
        <v>65.94</v>
      </c>
      <c r="J62" s="66" t="n">
        <v>99.22</v>
      </c>
      <c r="K62" s="66" t="n">
        <v>135.04</v>
      </c>
      <c r="L62" s="66" t="n">
        <v>106.07</v>
      </c>
      <c r="M62" s="66" t="n">
        <v>41.92</v>
      </c>
      <c r="N62" s="66" t="n">
        <v>26.15</v>
      </c>
      <c r="O62" s="66" t="n">
        <v>89.98</v>
      </c>
      <c r="P62" s="66" t="n">
        <v>188.3</v>
      </c>
      <c r="Q62" s="66" t="n">
        <v>286.42</v>
      </c>
      <c r="R62" s="66" t="n">
        <v>54.8</v>
      </c>
      <c r="S62" s="66" t="n">
        <v>90.34</v>
      </c>
      <c r="T62" s="66" t="n">
        <v>33.21</v>
      </c>
      <c r="U62" s="66"/>
      <c r="V62" s="66" t="n">
        <v>271.08</v>
      </c>
      <c r="W62" s="66"/>
      <c r="X62" s="66"/>
      <c r="Y62" s="66"/>
      <c r="Z62" s="66"/>
      <c r="AA62" s="66"/>
    </row>
    <row r="63" customFormat="false" ht="15" hidden="false" customHeight="true" outlineLevel="0" collapsed="false">
      <c r="A63" s="69" t="n">
        <v>45604</v>
      </c>
      <c r="B63" s="66" t="n">
        <v>494.68</v>
      </c>
      <c r="C63" s="66" t="n">
        <v>100.11</v>
      </c>
      <c r="D63" s="66" t="n">
        <v>659.96</v>
      </c>
      <c r="E63" s="66" t="n">
        <v>180.51</v>
      </c>
      <c r="F63" s="66" t="n">
        <v>99.98</v>
      </c>
      <c r="G63" s="66" t="n">
        <v>82.51</v>
      </c>
      <c r="H63" s="66" t="n">
        <v>128.71</v>
      </c>
      <c r="I63" s="66" t="n">
        <v>67.72</v>
      </c>
      <c r="J63" s="66" t="n">
        <v>111.33</v>
      </c>
      <c r="K63" s="66" t="n">
        <v>147.23</v>
      </c>
      <c r="L63" s="66" t="n">
        <v>108.34</v>
      </c>
      <c r="M63" s="66" t="n">
        <v>58.39</v>
      </c>
      <c r="N63" s="66" t="n">
        <v>27.06</v>
      </c>
      <c r="O63" s="66" t="n">
        <v>95.36</v>
      </c>
      <c r="P63" s="66" t="n">
        <v>196.35</v>
      </c>
      <c r="Q63" s="66" t="n">
        <v>303.3</v>
      </c>
      <c r="R63" s="66" t="n">
        <v>54.37</v>
      </c>
      <c r="S63" s="66" t="n">
        <v>91.69</v>
      </c>
      <c r="T63" s="66" t="n">
        <v>33.83</v>
      </c>
      <c r="U63" s="66"/>
      <c r="V63" s="66" t="n">
        <v>273.8</v>
      </c>
      <c r="W63" s="66"/>
      <c r="X63" s="66"/>
      <c r="Y63" s="66"/>
      <c r="Z63" s="66"/>
      <c r="AA63" s="66"/>
    </row>
    <row r="64" customFormat="false" ht="15" hidden="false" customHeight="true" outlineLevel="0" collapsed="false">
      <c r="A64" s="69" t="n">
        <v>45611</v>
      </c>
      <c r="B64" s="66" t="n">
        <v>503.37</v>
      </c>
      <c r="C64" s="66" t="n">
        <v>93.6</v>
      </c>
      <c r="D64" s="66" t="n">
        <v>649.28</v>
      </c>
      <c r="E64" s="66" t="n">
        <v>162.03</v>
      </c>
      <c r="F64" s="66" t="n">
        <v>98.04</v>
      </c>
      <c r="G64" s="66" t="n">
        <v>84.19</v>
      </c>
      <c r="H64" s="66" t="n">
        <v>128.87</v>
      </c>
      <c r="I64" s="66" t="n">
        <v>60.53</v>
      </c>
      <c r="J64" s="66" t="n">
        <v>95.85</v>
      </c>
      <c r="K64" s="66" t="n">
        <v>141.6</v>
      </c>
      <c r="L64" s="66" t="n">
        <v>106.09</v>
      </c>
      <c r="M64" s="66" t="n">
        <v>65.77</v>
      </c>
      <c r="N64" s="66" t="n">
        <v>26.64</v>
      </c>
      <c r="O64" s="66" t="n">
        <v>92.42</v>
      </c>
      <c r="P64" s="66" t="n">
        <v>181.53</v>
      </c>
      <c r="Q64" s="66" t="n">
        <v>305.62</v>
      </c>
      <c r="R64" s="66" t="n">
        <v>54.86</v>
      </c>
      <c r="S64" s="66" t="n">
        <v>93.67</v>
      </c>
      <c r="T64" s="66" t="n">
        <v>33.95</v>
      </c>
      <c r="U64" s="66"/>
      <c r="V64" s="66" t="n">
        <v>273.71</v>
      </c>
      <c r="W64" s="66"/>
      <c r="X64" s="66"/>
      <c r="Y64" s="66"/>
      <c r="Z64" s="66"/>
      <c r="AA64" s="66"/>
    </row>
    <row r="65" customFormat="false" ht="15" hidden="false" customHeight="true" outlineLevel="0" collapsed="false">
      <c r="A65" s="69" t="n">
        <v>45618</v>
      </c>
      <c r="B65" s="66" t="n">
        <v>512.15</v>
      </c>
      <c r="C65" s="66" t="n">
        <v>101.62</v>
      </c>
      <c r="D65" s="66" t="n">
        <v>663.32</v>
      </c>
      <c r="E65" s="66" t="n">
        <v>161.43</v>
      </c>
      <c r="F65" s="66" t="n">
        <v>101.62</v>
      </c>
      <c r="G65" s="66" t="n">
        <v>93.07</v>
      </c>
      <c r="H65" s="66" t="n">
        <v>132.37</v>
      </c>
      <c r="I65" s="66" t="n">
        <v>63.18</v>
      </c>
      <c r="J65" s="66" t="n">
        <v>102.11</v>
      </c>
      <c r="K65" s="66" t="n">
        <v>141.57</v>
      </c>
      <c r="L65" s="66" t="n">
        <v>108.31</v>
      </c>
      <c r="M65" s="66" t="n">
        <v>64.35</v>
      </c>
      <c r="N65" s="66" t="n">
        <v>27.31</v>
      </c>
      <c r="O65" s="66" t="n">
        <v>94.07</v>
      </c>
      <c r="P65" s="66" t="n">
        <v>185.5</v>
      </c>
      <c r="Q65" s="66" t="n">
        <v>305.9</v>
      </c>
      <c r="R65" s="66" t="n">
        <v>55.27</v>
      </c>
      <c r="S65" s="66" t="n">
        <v>94.07</v>
      </c>
      <c r="T65" s="66" t="n">
        <v>33.79</v>
      </c>
      <c r="U65" s="66"/>
      <c r="V65" s="66" t="n">
        <v>286.3</v>
      </c>
      <c r="W65" s="66"/>
      <c r="X65" s="66"/>
      <c r="Y65" s="66"/>
      <c r="Z65" s="66"/>
      <c r="AA65" s="66"/>
    </row>
    <row r="66" customFormat="false" ht="15" hidden="false" customHeight="true" outlineLevel="0" collapsed="false">
      <c r="A66" s="69" t="n">
        <v>45625</v>
      </c>
      <c r="B66" s="66" t="n">
        <v>515.93</v>
      </c>
      <c r="C66" s="66" t="n">
        <v>101.46</v>
      </c>
      <c r="D66" s="66" t="n">
        <v>676.86</v>
      </c>
      <c r="E66" s="66" t="n">
        <v>159.32</v>
      </c>
      <c r="F66" s="66" t="n">
        <v>102.31</v>
      </c>
      <c r="G66" s="66" t="n">
        <v>86.49</v>
      </c>
      <c r="H66" s="66" t="n">
        <v>133.61</v>
      </c>
      <c r="I66" s="66" t="n">
        <v>63.92</v>
      </c>
      <c r="J66" s="66" t="n">
        <v>97.45</v>
      </c>
      <c r="K66" s="66" t="n">
        <v>137.88</v>
      </c>
      <c r="L66" s="66" t="n">
        <v>109.23</v>
      </c>
      <c r="M66" s="66" t="n">
        <v>67.08</v>
      </c>
      <c r="N66" s="66" t="n">
        <v>27.48</v>
      </c>
      <c r="O66" s="66" t="n">
        <v>95.3</v>
      </c>
      <c r="P66" s="66" t="n">
        <v>180.21</v>
      </c>
      <c r="Q66" s="66" t="n">
        <v>310.99</v>
      </c>
      <c r="R66" s="66" t="n">
        <v>55.4</v>
      </c>
      <c r="S66" s="66" t="n">
        <v>92.69</v>
      </c>
      <c r="T66" s="66" t="n">
        <v>33.14</v>
      </c>
      <c r="U66" s="66"/>
      <c r="V66" s="66" t="n">
        <v>277.55</v>
      </c>
      <c r="W66" s="66"/>
      <c r="X66" s="66"/>
      <c r="Y66" s="66"/>
      <c r="Z66" s="66"/>
      <c r="AA66" s="66"/>
    </row>
    <row r="67" customFormat="false" ht="15" hidden="false" customHeight="true" outlineLevel="0" collapsed="false">
      <c r="A67" s="69" t="n">
        <v>45632</v>
      </c>
      <c r="B67" s="66" t="n">
        <v>552.96</v>
      </c>
      <c r="C67" s="66" t="n">
        <v>108.25</v>
      </c>
      <c r="D67" s="66" t="n">
        <v>698.91</v>
      </c>
      <c r="E67" s="66" t="n">
        <v>176.47</v>
      </c>
      <c r="F67" s="66" t="n">
        <v>100.18</v>
      </c>
      <c r="G67" s="66" t="n">
        <v>91.41</v>
      </c>
      <c r="H67" s="66" t="n">
        <v>130.23</v>
      </c>
      <c r="I67" s="66" t="n">
        <v>64.05</v>
      </c>
      <c r="J67" s="66" t="n">
        <v>100.65</v>
      </c>
      <c r="K67" s="66" t="n">
        <v>142.07</v>
      </c>
      <c r="L67" s="66" t="n">
        <v>104.76</v>
      </c>
      <c r="M67" s="66" t="n">
        <v>76.34</v>
      </c>
      <c r="N67" s="66" t="n">
        <v>26.82</v>
      </c>
      <c r="O67" s="66" t="n">
        <v>97.14</v>
      </c>
      <c r="P67" s="66" t="n">
        <v>198.13</v>
      </c>
      <c r="Q67" s="66" t="n">
        <v>306.97</v>
      </c>
      <c r="R67" s="66" t="n">
        <v>54.44</v>
      </c>
      <c r="S67" s="66" t="n">
        <v>91.42</v>
      </c>
      <c r="T67" s="66" t="n">
        <v>33.16</v>
      </c>
      <c r="U67" s="66"/>
      <c r="V67" s="66" t="n">
        <v>286.42</v>
      </c>
      <c r="W67" s="66"/>
      <c r="X67" s="66"/>
      <c r="Y67" s="66"/>
      <c r="Z67" s="66"/>
      <c r="AA67" s="66"/>
    </row>
    <row r="68" customFormat="false" ht="15" hidden="false" customHeight="true" outlineLevel="0" collapsed="false">
      <c r="A68" s="69" t="n">
        <v>45639</v>
      </c>
      <c r="B68" s="66" t="n">
        <v>465.69</v>
      </c>
      <c r="C68" s="66" t="n">
        <v>112.37</v>
      </c>
      <c r="D68" s="66" t="n">
        <v>708.38</v>
      </c>
      <c r="E68" s="66" t="n">
        <v>220.97</v>
      </c>
      <c r="F68" s="66" t="n">
        <v>98.94</v>
      </c>
      <c r="G68" s="66" t="n">
        <v>92</v>
      </c>
      <c r="H68" s="66" t="n">
        <v>127.6</v>
      </c>
      <c r="I68" s="66" t="n">
        <v>64.58</v>
      </c>
      <c r="J68" s="66" t="n">
        <v>101.97</v>
      </c>
      <c r="K68" s="66" t="n">
        <v>133.9</v>
      </c>
      <c r="L68" s="66" t="n">
        <v>103.95</v>
      </c>
      <c r="M68" s="66" t="n">
        <v>76.07</v>
      </c>
      <c r="N68" s="66" t="n">
        <v>26.42</v>
      </c>
      <c r="O68" s="66" t="n">
        <v>96.23</v>
      </c>
      <c r="P68" s="66" t="n">
        <v>196.77</v>
      </c>
      <c r="Q68" s="66" t="n">
        <v>310.65</v>
      </c>
      <c r="R68" s="66" t="n">
        <v>56.54</v>
      </c>
      <c r="S68" s="66" t="n">
        <v>96.89</v>
      </c>
      <c r="T68" s="66" t="n">
        <v>35.73</v>
      </c>
      <c r="U68" s="66"/>
      <c r="V68" s="66" t="n">
        <v>303.3</v>
      </c>
      <c r="W68" s="66"/>
      <c r="X68" s="66"/>
      <c r="Y68" s="66"/>
      <c r="Z68" s="66"/>
      <c r="AA68" s="66"/>
    </row>
    <row r="69" customFormat="false" ht="15" hidden="false" customHeight="true" outlineLevel="0" collapsed="false">
      <c r="A69" s="69" t="n">
        <v>45646</v>
      </c>
      <c r="B69" s="66" t="n">
        <v>447.17</v>
      </c>
      <c r="C69" s="66" t="n">
        <v>112.81</v>
      </c>
      <c r="D69" s="66" t="n">
        <v>695.66</v>
      </c>
      <c r="E69" s="66" t="n">
        <v>217.03</v>
      </c>
      <c r="F69" s="66" t="n">
        <v>93.61</v>
      </c>
      <c r="G69" s="66" t="n">
        <v>90.57</v>
      </c>
      <c r="H69" s="66" t="n">
        <v>123.57</v>
      </c>
      <c r="I69" s="66" t="n">
        <v>62.17</v>
      </c>
      <c r="J69" s="66" t="n">
        <v>89.66</v>
      </c>
      <c r="K69" s="66" t="n">
        <v>134.35</v>
      </c>
      <c r="L69" s="66" t="n">
        <v>97.48</v>
      </c>
      <c r="M69" s="66" t="n">
        <v>80.55</v>
      </c>
      <c r="N69" s="66" t="n">
        <v>25.63</v>
      </c>
      <c r="O69" s="66" t="n">
        <v>94.07</v>
      </c>
      <c r="P69" s="66" t="n">
        <v>193.07</v>
      </c>
      <c r="Q69" s="66" t="n">
        <v>313.59</v>
      </c>
      <c r="R69" s="66" t="n">
        <v>55.61</v>
      </c>
      <c r="S69" s="66" t="n">
        <v>93.9</v>
      </c>
      <c r="T69" s="66" t="n">
        <v>35.18</v>
      </c>
      <c r="U69" s="66"/>
      <c r="V69" s="66" t="n">
        <v>305.62</v>
      </c>
      <c r="W69" s="66"/>
      <c r="X69" s="66"/>
      <c r="Y69" s="66"/>
      <c r="Z69" s="66"/>
      <c r="AA69" s="66"/>
    </row>
    <row r="70" customFormat="false" ht="15" hidden="false" customHeight="true" outlineLevel="0" collapsed="false">
      <c r="A70" s="69" t="n">
        <v>45653</v>
      </c>
      <c r="B70" s="66" t="n">
        <v>446.48</v>
      </c>
      <c r="C70" s="66" t="n">
        <v>113.03</v>
      </c>
      <c r="D70" s="66" t="n">
        <v>703.46</v>
      </c>
      <c r="E70" s="66" t="n">
        <v>238.27</v>
      </c>
      <c r="F70" s="66" t="n">
        <v>93.98</v>
      </c>
      <c r="G70" s="66" t="n">
        <v>88.75</v>
      </c>
      <c r="H70" s="66" t="n">
        <v>124.13</v>
      </c>
      <c r="I70" s="66" t="n">
        <v>63.7</v>
      </c>
      <c r="J70" s="66" t="n">
        <v>88.18</v>
      </c>
      <c r="K70" s="66" t="n">
        <v>136.65</v>
      </c>
      <c r="L70" s="66" t="n">
        <v>99.29</v>
      </c>
      <c r="M70" s="66" t="n">
        <v>79.08</v>
      </c>
      <c r="N70" s="66" t="n">
        <v>25.8</v>
      </c>
      <c r="O70" s="66" t="n">
        <v>95.26</v>
      </c>
      <c r="P70" s="66" t="n">
        <v>197.4</v>
      </c>
      <c r="Q70" s="66" t="n">
        <v>314.52</v>
      </c>
      <c r="R70" s="66" t="n">
        <v>56.57</v>
      </c>
      <c r="S70" s="66" t="n">
        <v>95.58</v>
      </c>
      <c r="T70" s="66" t="n">
        <v>36.54</v>
      </c>
      <c r="U70" s="66"/>
      <c r="V70" s="66" t="n">
        <v>305.9</v>
      </c>
      <c r="W70" s="66"/>
      <c r="X70" s="66"/>
      <c r="Y70" s="66"/>
      <c r="Z70" s="66"/>
      <c r="AA70" s="66"/>
    </row>
    <row r="71" customFormat="false" ht="15" hidden="false" customHeight="true" outlineLevel="0" collapsed="false">
      <c r="A71" s="69" t="n">
        <v>45660</v>
      </c>
      <c r="B71" s="66" t="n">
        <v>430.57</v>
      </c>
      <c r="C71" s="66" t="n">
        <v>115.2</v>
      </c>
      <c r="D71" s="66" t="n">
        <v>704.22</v>
      </c>
      <c r="E71" s="66" t="n">
        <v>229.2</v>
      </c>
      <c r="F71" s="66" t="n">
        <v>94.72</v>
      </c>
      <c r="G71" s="66" t="n">
        <v>89.75</v>
      </c>
      <c r="H71" s="66" t="n">
        <v>124.06</v>
      </c>
      <c r="I71" s="66" t="n">
        <v>64.9</v>
      </c>
      <c r="J71" s="66" t="n">
        <v>89.53</v>
      </c>
      <c r="K71" s="66" t="n">
        <v>144.09</v>
      </c>
      <c r="L71" s="66" t="n">
        <v>99.66</v>
      </c>
      <c r="M71" s="66" t="n">
        <v>79.89</v>
      </c>
      <c r="N71" s="66" t="n">
        <v>25.77</v>
      </c>
      <c r="O71" s="66" t="n">
        <v>95.55</v>
      </c>
      <c r="P71" s="66" t="n">
        <v>204.23</v>
      </c>
      <c r="Q71" s="66" t="n">
        <v>310.82</v>
      </c>
      <c r="R71" s="66" t="n">
        <v>57.09</v>
      </c>
      <c r="S71" s="66" t="n">
        <v>96.83</v>
      </c>
      <c r="T71" s="66" t="n">
        <v>36.61</v>
      </c>
      <c r="U71" s="66"/>
      <c r="V71" s="66" t="n">
        <v>310.99</v>
      </c>
      <c r="W71" s="66"/>
      <c r="X71" s="66"/>
      <c r="Y71" s="66"/>
      <c r="Z71" s="66"/>
      <c r="AA71" s="66"/>
    </row>
    <row r="72" customFormat="false" ht="15" hidden="false" customHeight="true" outlineLevel="0" collapsed="false">
      <c r="A72" s="69" t="n">
        <v>45667</v>
      </c>
      <c r="B72" s="66" t="n">
        <v>405.92</v>
      </c>
      <c r="C72" s="66" t="n">
        <v>114.34</v>
      </c>
      <c r="D72" s="66" t="n">
        <v>728.52</v>
      </c>
      <c r="E72" s="66" t="n">
        <v>221.08</v>
      </c>
      <c r="F72" s="66" t="n">
        <v>92.23</v>
      </c>
      <c r="G72" s="66" t="n">
        <v>87.21</v>
      </c>
      <c r="H72" s="66" t="n">
        <v>120.96</v>
      </c>
      <c r="I72" s="66" t="n">
        <v>67.48</v>
      </c>
      <c r="J72" s="66" t="n">
        <v>98.96</v>
      </c>
      <c r="K72" s="66" t="n">
        <v>135.56</v>
      </c>
      <c r="L72" s="66" t="n">
        <v>97.74</v>
      </c>
      <c r="M72" s="66" t="n">
        <v>67.26</v>
      </c>
      <c r="N72" s="66" t="n">
        <v>25.37</v>
      </c>
      <c r="O72" s="66" t="n">
        <v>94.26</v>
      </c>
      <c r="P72" s="66" t="n">
        <v>204</v>
      </c>
      <c r="Q72" s="66" t="n">
        <v>303.72</v>
      </c>
      <c r="R72" s="66" t="n">
        <v>57.62</v>
      </c>
      <c r="S72" s="66" t="n">
        <v>98.7</v>
      </c>
      <c r="T72" s="66" t="n">
        <v>36.58</v>
      </c>
      <c r="U72" s="66"/>
      <c r="V72" s="66" t="n">
        <v>306.97</v>
      </c>
      <c r="W72" s="66"/>
      <c r="X72" s="66"/>
      <c r="Y72" s="66"/>
      <c r="Z72" s="66"/>
      <c r="AA72" s="66"/>
    </row>
    <row r="73" customFormat="false" ht="15" hidden="false" customHeight="true" outlineLevel="0" collapsed="false">
      <c r="A73" s="69" t="n">
        <v>45674</v>
      </c>
      <c r="B73" s="66" t="n">
        <v>429.99</v>
      </c>
      <c r="C73" s="66" t="n">
        <v>119.95</v>
      </c>
      <c r="D73" s="66" t="n">
        <v>745.59</v>
      </c>
      <c r="E73" s="66" t="n">
        <v>234.02</v>
      </c>
      <c r="F73" s="66" t="n">
        <v>96.74</v>
      </c>
      <c r="G73" s="66" t="n">
        <v>89.25</v>
      </c>
      <c r="H73" s="66" t="n">
        <v>126.81</v>
      </c>
      <c r="I73" s="66" t="n">
        <v>74.83</v>
      </c>
      <c r="J73" s="66" t="n">
        <v>105.34</v>
      </c>
      <c r="K73" s="66" t="n">
        <v>137.35</v>
      </c>
      <c r="L73" s="66" t="n">
        <v>103.29</v>
      </c>
      <c r="M73" s="66" t="n">
        <v>71.77</v>
      </c>
      <c r="N73" s="66" t="n">
        <v>26.29</v>
      </c>
      <c r="O73" s="66" t="n">
        <v>97.29</v>
      </c>
      <c r="P73" s="66" t="n">
        <v>207.06</v>
      </c>
      <c r="Q73" s="66" t="n">
        <v>315.47</v>
      </c>
      <c r="R73" s="66" t="n">
        <v>57.85</v>
      </c>
      <c r="S73" s="66" t="n">
        <v>97.77</v>
      </c>
      <c r="T73" s="66" t="n">
        <v>34.97</v>
      </c>
      <c r="U73" s="66"/>
      <c r="V73" s="66" t="n">
        <v>310.65</v>
      </c>
      <c r="W73" s="66"/>
      <c r="X73" s="66"/>
      <c r="Y73" s="66"/>
      <c r="Z73" s="66"/>
      <c r="AA73" s="66"/>
    </row>
    <row r="74" customFormat="false" ht="15" hidden="false" customHeight="true" outlineLevel="0" collapsed="false">
      <c r="A74" s="69" t="n">
        <v>45681</v>
      </c>
      <c r="B74" s="66" t="n">
        <v>435.38</v>
      </c>
      <c r="C74" s="66" t="n">
        <v>129.17</v>
      </c>
      <c r="D74" s="66" t="n">
        <v>721.85</v>
      </c>
      <c r="E74" s="66" t="n">
        <v>241.18</v>
      </c>
      <c r="F74" s="66" t="n">
        <v>97.23</v>
      </c>
      <c r="G74" s="66" t="n">
        <v>93.73</v>
      </c>
      <c r="H74" s="66" t="n">
        <v>127.09</v>
      </c>
      <c r="I74" s="66" t="n">
        <v>74.07</v>
      </c>
      <c r="J74" s="66" t="n">
        <v>102.79</v>
      </c>
      <c r="K74" s="66" t="n">
        <v>142.25</v>
      </c>
      <c r="L74" s="66" t="n">
        <v>112.21</v>
      </c>
      <c r="M74" s="66" t="n">
        <v>78.98</v>
      </c>
      <c r="N74" s="66" t="n">
        <v>26.36</v>
      </c>
      <c r="O74" s="66" t="n">
        <v>99.93</v>
      </c>
      <c r="P74" s="66" t="n">
        <v>217.22</v>
      </c>
      <c r="Q74" s="66" t="n">
        <v>325.91</v>
      </c>
      <c r="R74" s="66" t="n">
        <v>57.2</v>
      </c>
      <c r="S74" s="66" t="n">
        <v>95.58</v>
      </c>
      <c r="T74" s="66" t="n">
        <v>33.9</v>
      </c>
      <c r="U74" s="66"/>
      <c r="V74" s="66" t="n">
        <v>313.59</v>
      </c>
      <c r="W74" s="66"/>
      <c r="X74" s="66"/>
      <c r="Y74" s="66"/>
      <c r="Z74" s="66"/>
      <c r="AA74" s="66"/>
    </row>
    <row r="75" customFormat="false" ht="15" hidden="false" customHeight="true" outlineLevel="0" collapsed="false">
      <c r="A75" s="69" t="n">
        <v>45688</v>
      </c>
      <c r="B75" s="66" t="n">
        <v>437.45</v>
      </c>
      <c r="C75" s="66" t="n">
        <v>115.23</v>
      </c>
      <c r="D75" s="66" t="n">
        <v>728.81</v>
      </c>
      <c r="E75" s="66" t="n">
        <v>218.09</v>
      </c>
      <c r="F75" s="66" t="n">
        <v>95.76</v>
      </c>
      <c r="G75" s="66" t="n">
        <v>99.52</v>
      </c>
      <c r="H75" s="66" t="n">
        <v>126.76</v>
      </c>
      <c r="I75" s="66" t="n">
        <v>72.93</v>
      </c>
      <c r="J75" s="66" t="n">
        <v>90.89</v>
      </c>
      <c r="K75" s="66" t="n">
        <v>119.76</v>
      </c>
      <c r="L75" s="66" t="n">
        <v>112.51</v>
      </c>
      <c r="M75" s="66" t="n">
        <v>82.49</v>
      </c>
      <c r="N75" s="66" t="n">
        <v>26.14</v>
      </c>
      <c r="O75" s="66" t="n">
        <v>98.66</v>
      </c>
      <c r="P75" s="66" t="n">
        <v>204.93</v>
      </c>
      <c r="Q75" s="66" t="n">
        <v>337.36</v>
      </c>
      <c r="R75" s="66" t="n">
        <v>57.74</v>
      </c>
      <c r="S75" s="66" t="n">
        <v>96.59</v>
      </c>
      <c r="T75" s="66" t="n">
        <v>34.21</v>
      </c>
      <c r="U75" s="66"/>
      <c r="V75" s="66" t="n">
        <v>314.52</v>
      </c>
      <c r="W75" s="66"/>
      <c r="X75" s="66"/>
      <c r="Y75" s="66"/>
      <c r="Z75" s="66"/>
      <c r="AA75" s="66"/>
    </row>
    <row r="76" customFormat="false" ht="15" hidden="false" customHeight="true" outlineLevel="0" collapsed="false">
      <c r="A76" s="69" t="n">
        <v>45695</v>
      </c>
      <c r="B76" s="66" t="n">
        <v>433.07</v>
      </c>
      <c r="C76" s="66" t="n">
        <v>118.47</v>
      </c>
      <c r="D76" s="66" t="n">
        <v>717.37</v>
      </c>
      <c r="E76" s="66" t="n">
        <v>221.63</v>
      </c>
      <c r="F76" s="66" t="n">
        <v>94.65</v>
      </c>
      <c r="G76" s="66" t="n">
        <v>105.4</v>
      </c>
      <c r="H76" s="66" t="n">
        <v>126.15</v>
      </c>
      <c r="I76" s="66" t="n">
        <v>73.86</v>
      </c>
      <c r="J76" s="66" t="n">
        <v>91.95</v>
      </c>
      <c r="K76" s="66" t="n">
        <v>129.5</v>
      </c>
      <c r="L76" s="66" t="n">
        <v>110.72</v>
      </c>
      <c r="M76" s="66" t="n">
        <v>110.85</v>
      </c>
      <c r="N76" s="66" t="n">
        <v>25.88</v>
      </c>
      <c r="O76" s="66" t="n">
        <v>100.62</v>
      </c>
      <c r="P76" s="66" t="n">
        <v>201.79</v>
      </c>
      <c r="Q76" s="66" t="n">
        <v>343.5</v>
      </c>
      <c r="R76" s="66" t="n">
        <v>57.08</v>
      </c>
      <c r="S76" s="66" t="n">
        <v>96.89</v>
      </c>
      <c r="T76" s="66" t="n">
        <v>34.47</v>
      </c>
      <c r="U76" s="66"/>
      <c r="V76" s="66" t="n">
        <v>310.82</v>
      </c>
      <c r="W76" s="66"/>
      <c r="X76" s="66"/>
      <c r="Y76" s="66"/>
      <c r="Z76" s="66"/>
      <c r="AA76" s="66"/>
    </row>
    <row r="77" customFormat="false" ht="15" hidden="false" customHeight="true" outlineLevel="0" collapsed="false">
      <c r="A77" s="69" t="n">
        <v>45702</v>
      </c>
      <c r="B77" s="66" t="n">
        <v>460.16</v>
      </c>
      <c r="C77" s="66" t="n">
        <v>106.87</v>
      </c>
      <c r="D77" s="66" t="n">
        <v>742.44</v>
      </c>
      <c r="E77" s="66" t="n">
        <v>229.69</v>
      </c>
      <c r="F77" s="66" t="n">
        <v>94.94</v>
      </c>
      <c r="G77" s="66" t="n">
        <v>112.93</v>
      </c>
      <c r="H77" s="66" t="n">
        <v>127.66</v>
      </c>
      <c r="I77" s="66" t="n">
        <v>74.16</v>
      </c>
      <c r="J77" s="66" t="n">
        <v>99.14</v>
      </c>
      <c r="K77" s="66" t="n">
        <v>138.49</v>
      </c>
      <c r="L77" s="66" t="n">
        <v>114.02</v>
      </c>
      <c r="M77" s="66" t="n">
        <v>119.16</v>
      </c>
      <c r="N77" s="66" t="n">
        <v>26.1</v>
      </c>
      <c r="O77" s="66" t="n">
        <v>101.64</v>
      </c>
      <c r="P77" s="66" t="n">
        <v>199.62</v>
      </c>
      <c r="Q77" s="66" t="n">
        <v>349.81</v>
      </c>
      <c r="R77" s="66" t="n">
        <v>55.98</v>
      </c>
      <c r="S77" s="66" t="n">
        <v>95.58</v>
      </c>
      <c r="T77" s="66" t="n">
        <v>34.46</v>
      </c>
      <c r="U77" s="66"/>
      <c r="V77" s="66" t="n">
        <v>303.72</v>
      </c>
      <c r="W77" s="66"/>
      <c r="X77" s="66"/>
      <c r="Y77" s="66"/>
      <c r="Z77" s="66"/>
      <c r="AA77" s="66"/>
    </row>
    <row r="78" customFormat="false" ht="15" hidden="false" customHeight="true" outlineLevel="0" collapsed="false">
      <c r="A78" s="69" t="n">
        <v>45709</v>
      </c>
      <c r="B78" s="66" t="n">
        <v>444.32</v>
      </c>
      <c r="C78" s="66" t="n">
        <v>98.3</v>
      </c>
      <c r="D78" s="66" t="n">
        <v>728.28</v>
      </c>
      <c r="E78" s="66" t="n">
        <v>215.51</v>
      </c>
      <c r="F78" s="66" t="n">
        <v>91.47</v>
      </c>
      <c r="G78" s="66" t="n">
        <v>101.67</v>
      </c>
      <c r="H78" s="66" t="n">
        <v>128.59</v>
      </c>
      <c r="I78" s="66" t="n">
        <v>74.51</v>
      </c>
      <c r="J78" s="66" t="n">
        <v>98.46</v>
      </c>
      <c r="K78" s="66" t="n">
        <v>134.08</v>
      </c>
      <c r="L78" s="66" t="n">
        <v>114.14</v>
      </c>
      <c r="M78" s="66" t="n">
        <v>101.35</v>
      </c>
      <c r="N78" s="66" t="n">
        <v>26.49</v>
      </c>
      <c r="O78" s="66" t="n">
        <v>98.53</v>
      </c>
      <c r="P78" s="66" t="n">
        <v>194.08</v>
      </c>
      <c r="Q78" s="66" t="n">
        <v>344.59</v>
      </c>
      <c r="R78" s="66" t="n">
        <v>57.27</v>
      </c>
      <c r="S78" s="66" t="n">
        <v>98.65</v>
      </c>
      <c r="T78" s="66" t="n">
        <v>35.79</v>
      </c>
      <c r="U78" s="66"/>
      <c r="V78" s="66" t="n">
        <v>315.47</v>
      </c>
      <c r="W78" s="66"/>
      <c r="X78" s="66"/>
      <c r="Y78" s="66"/>
      <c r="Z78" s="66"/>
      <c r="AA78" s="66"/>
    </row>
    <row r="79" customFormat="false" ht="15" hidden="false" customHeight="true" outlineLevel="0" collapsed="false">
      <c r="A79" s="69" t="n">
        <v>45716</v>
      </c>
      <c r="B79" s="66" t="n">
        <v>438.56</v>
      </c>
      <c r="C79" s="66" t="n">
        <v>93.05</v>
      </c>
      <c r="D79" s="66" t="n">
        <v>700.49</v>
      </c>
      <c r="E79" s="66" t="n">
        <v>196.56</v>
      </c>
      <c r="F79" s="66" t="n">
        <v>90.44</v>
      </c>
      <c r="G79" s="66" t="n">
        <v>97.42</v>
      </c>
      <c r="H79" s="66" t="n">
        <v>129.91</v>
      </c>
      <c r="I79" s="66" t="n">
        <v>70.18</v>
      </c>
      <c r="J79" s="66" t="n">
        <v>93.27</v>
      </c>
      <c r="K79" s="66" t="n">
        <v>124.59</v>
      </c>
      <c r="L79" s="66" t="n">
        <v>116.92</v>
      </c>
      <c r="M79" s="66" t="n">
        <v>84.92</v>
      </c>
      <c r="N79" s="66" t="n">
        <v>26.8</v>
      </c>
      <c r="O79" s="66" t="n">
        <v>98.42</v>
      </c>
      <c r="P79" s="66" t="n">
        <v>176.74</v>
      </c>
      <c r="Q79" s="66" t="n">
        <v>358.6</v>
      </c>
      <c r="R79" s="66" t="n">
        <v>58.07</v>
      </c>
      <c r="S79" s="66" t="n">
        <v>101.33</v>
      </c>
      <c r="T79" s="66" t="n">
        <v>35.88</v>
      </c>
      <c r="U79" s="66"/>
      <c r="V79" s="66" t="n">
        <v>325.91</v>
      </c>
      <c r="W79" s="66"/>
      <c r="X79" s="66"/>
      <c r="Y79" s="66"/>
      <c r="Z79" s="66"/>
      <c r="AA79" s="66"/>
    </row>
    <row r="80" customFormat="false" ht="15" hidden="false" customHeight="true" outlineLevel="0" collapsed="false">
      <c r="A80" s="69" t="n">
        <v>45723</v>
      </c>
      <c r="B80" s="66" t="n">
        <v>449.4</v>
      </c>
      <c r="C80" s="66" t="n">
        <v>83.36</v>
      </c>
      <c r="D80" s="66" t="n">
        <v>723.35</v>
      </c>
      <c r="E80" s="66" t="n">
        <v>192.16</v>
      </c>
      <c r="F80" s="66" t="n">
        <v>86.38</v>
      </c>
      <c r="G80" s="66" t="n">
        <v>83.38</v>
      </c>
      <c r="H80" s="66" t="n">
        <v>126.34</v>
      </c>
      <c r="I80" s="66" t="n">
        <v>70.42</v>
      </c>
      <c r="J80" s="66" t="n">
        <v>92.6</v>
      </c>
      <c r="K80" s="66" t="n">
        <v>112.4</v>
      </c>
      <c r="L80" s="66" t="n">
        <v>113.14</v>
      </c>
      <c r="M80" s="66" t="n">
        <v>84.91</v>
      </c>
      <c r="N80" s="66" t="n">
        <v>26.73</v>
      </c>
      <c r="O80" s="66" t="n">
        <v>93.24</v>
      </c>
      <c r="P80" s="66" t="n">
        <v>173.38</v>
      </c>
      <c r="Q80" s="66" t="n">
        <v>341.41</v>
      </c>
      <c r="R80" s="66" t="n">
        <v>57.47</v>
      </c>
      <c r="S80" s="66" t="n">
        <v>100.04</v>
      </c>
      <c r="T80" s="66" t="n">
        <v>35.51</v>
      </c>
      <c r="U80" s="66"/>
      <c r="V80" s="66" t="n">
        <v>337.36</v>
      </c>
      <c r="W80" s="66"/>
      <c r="X80" s="66"/>
      <c r="Y80" s="66"/>
      <c r="Z80" s="66"/>
      <c r="AA80" s="66"/>
    </row>
    <row r="81" customFormat="false" ht="15" hidden="false" customHeight="true" outlineLevel="0" collapsed="false">
      <c r="A81" s="69" t="n">
        <v>45730</v>
      </c>
      <c r="B81" s="66" t="n">
        <v>394.74</v>
      </c>
      <c r="C81" s="66" t="n">
        <v>83.51</v>
      </c>
      <c r="D81" s="66" t="n">
        <v>705.35</v>
      </c>
      <c r="E81" s="66" t="n">
        <v>192.73</v>
      </c>
      <c r="F81" s="66" t="n">
        <v>84.76</v>
      </c>
      <c r="G81" s="66" t="n">
        <v>88.43</v>
      </c>
      <c r="H81" s="66" t="n">
        <v>125.28</v>
      </c>
      <c r="I81" s="66" t="n">
        <v>70.59</v>
      </c>
      <c r="J81" s="66" t="n">
        <v>100.4</v>
      </c>
      <c r="K81" s="66" t="n">
        <v>121.36</v>
      </c>
      <c r="L81" s="66" t="n">
        <v>105.57</v>
      </c>
      <c r="M81" s="66" t="n">
        <v>86.24</v>
      </c>
      <c r="N81" s="66" t="n">
        <v>25.96</v>
      </c>
      <c r="O81" s="66" t="n">
        <v>92.57</v>
      </c>
      <c r="P81" s="66" t="n">
        <v>170.44</v>
      </c>
      <c r="Q81" s="66" t="n">
        <v>328.04</v>
      </c>
      <c r="R81" s="66" t="n">
        <v>57.17</v>
      </c>
      <c r="S81" s="66" t="n">
        <v>102.03</v>
      </c>
      <c r="T81" s="66" t="n">
        <v>35.2</v>
      </c>
      <c r="U81" s="66"/>
      <c r="V81" s="66" t="n">
        <v>343.5</v>
      </c>
      <c r="W81" s="66"/>
      <c r="X81" s="66"/>
      <c r="Y81" s="66"/>
      <c r="Z81" s="66"/>
      <c r="AA81" s="66"/>
    </row>
    <row r="82" customFormat="false" ht="15" hidden="false" customHeight="true" outlineLevel="0" collapsed="false">
      <c r="A82" s="69" t="n">
        <v>45737</v>
      </c>
      <c r="B82" s="66" t="n">
        <v>387.26</v>
      </c>
      <c r="C82" s="66" t="n">
        <v>83.13</v>
      </c>
      <c r="D82" s="66" t="n">
        <v>707.54</v>
      </c>
      <c r="E82" s="66" t="n">
        <v>189.47</v>
      </c>
      <c r="F82" s="66" t="n">
        <v>85.58</v>
      </c>
      <c r="G82" s="66" t="n">
        <v>90.56</v>
      </c>
      <c r="H82" s="66" t="n">
        <v>125.88</v>
      </c>
      <c r="I82" s="66" t="n">
        <v>69.95</v>
      </c>
      <c r="J82" s="66" t="n">
        <v>94.36</v>
      </c>
      <c r="K82" s="66" t="n">
        <v>117.4</v>
      </c>
      <c r="L82" s="66" t="n">
        <v>103.21</v>
      </c>
      <c r="M82" s="66" t="n">
        <v>90.96</v>
      </c>
      <c r="N82" s="66" t="n">
        <v>26.07</v>
      </c>
      <c r="O82" s="66" t="n">
        <v>92.92</v>
      </c>
      <c r="P82" s="66" t="n">
        <v>173.69</v>
      </c>
      <c r="Q82" s="66" t="n">
        <v>331.86</v>
      </c>
      <c r="R82" s="66" t="n">
        <v>58.27</v>
      </c>
      <c r="S82" s="66" t="n">
        <v>103.06</v>
      </c>
      <c r="T82" s="66" t="n">
        <v>35.61</v>
      </c>
      <c r="U82" s="66"/>
      <c r="V82" s="66" t="n">
        <v>349.81</v>
      </c>
      <c r="W82" s="66"/>
      <c r="X82" s="66"/>
      <c r="Y82" s="66"/>
      <c r="Z82" s="66"/>
      <c r="AA82" s="66"/>
    </row>
    <row r="83" customFormat="false" ht="15" hidden="false" customHeight="true" outlineLevel="0" collapsed="false">
      <c r="A83" s="69" t="n">
        <v>45744</v>
      </c>
      <c r="B83" s="66" t="n">
        <v>385.71</v>
      </c>
      <c r="C83" s="66" t="n">
        <v>77.94</v>
      </c>
      <c r="D83" s="66" t="n">
        <v>666.41</v>
      </c>
      <c r="E83" s="66" t="n">
        <v>167.19</v>
      </c>
      <c r="F83" s="66" t="n">
        <v>85.18</v>
      </c>
      <c r="G83" s="66" t="n">
        <v>89.28</v>
      </c>
      <c r="H83" s="66" t="n">
        <v>125.85</v>
      </c>
      <c r="I83" s="66" t="n">
        <v>66.69</v>
      </c>
      <c r="J83" s="66" t="n">
        <v>88.1</v>
      </c>
      <c r="K83" s="66" t="n">
        <v>109.39</v>
      </c>
      <c r="L83" s="66" t="n">
        <v>105.14</v>
      </c>
      <c r="M83" s="66" t="n">
        <v>85.85</v>
      </c>
      <c r="N83" s="66" t="n">
        <v>26.14</v>
      </c>
      <c r="O83" s="66" t="n">
        <v>91.09</v>
      </c>
      <c r="P83" s="66" t="n">
        <v>162.41</v>
      </c>
      <c r="Q83" s="66" t="n">
        <v>338.97</v>
      </c>
      <c r="R83" s="66" t="n">
        <v>57.57</v>
      </c>
      <c r="S83" s="66" t="n">
        <v>99.91</v>
      </c>
      <c r="T83" s="66" t="n">
        <v>35.49</v>
      </c>
      <c r="U83" s="66"/>
      <c r="V83" s="66" t="n">
        <v>344.59</v>
      </c>
      <c r="W83" s="66"/>
      <c r="X83" s="66"/>
      <c r="Y83" s="66"/>
      <c r="Z83" s="66"/>
      <c r="AA83" s="66"/>
    </row>
    <row r="84" customFormat="false" ht="15" hidden="false" customHeight="true" outlineLevel="0" collapsed="false">
      <c r="A84" s="69" t="n">
        <v>45751</v>
      </c>
      <c r="B84" s="66" t="n">
        <v>349.07</v>
      </c>
      <c r="C84" s="66" t="n">
        <v>64.37</v>
      </c>
      <c r="D84" s="66" t="n">
        <v>598.21</v>
      </c>
      <c r="E84" s="66" t="n">
        <v>144.62</v>
      </c>
      <c r="F84" s="66" t="n">
        <v>76.26</v>
      </c>
      <c r="G84" s="66" t="n">
        <v>80.41</v>
      </c>
      <c r="H84" s="66" t="n">
        <v>115.74</v>
      </c>
      <c r="I84" s="66" t="n">
        <v>57.08</v>
      </c>
      <c r="J84" s="66" t="n">
        <v>64.56</v>
      </c>
      <c r="K84" s="66" t="n">
        <v>94.07</v>
      </c>
      <c r="L84" s="66" t="n">
        <v>93.51</v>
      </c>
      <c r="M84" s="66" t="n">
        <v>74.01</v>
      </c>
      <c r="N84" s="66" t="n">
        <v>23.96</v>
      </c>
      <c r="O84" s="66" t="n">
        <v>81.34</v>
      </c>
      <c r="P84" s="66" t="n">
        <v>144.28</v>
      </c>
      <c r="Q84" s="66" t="n">
        <v>309.59</v>
      </c>
      <c r="R84" s="66" t="n">
        <v>55.98</v>
      </c>
      <c r="S84" s="66" t="n">
        <v>99.8</v>
      </c>
      <c r="T84" s="66" t="n">
        <v>35.32</v>
      </c>
      <c r="U84" s="66"/>
      <c r="V84" s="66" t="n">
        <v>358.6</v>
      </c>
      <c r="W84" s="66"/>
      <c r="X84" s="66"/>
      <c r="Y84" s="66"/>
      <c r="Z84" s="66"/>
      <c r="AA84" s="66"/>
    </row>
    <row r="85" customFormat="false" ht="15" hidden="false" customHeight="true" outlineLevel="0" collapsed="false">
      <c r="A85" s="69" t="n">
        <v>45758</v>
      </c>
      <c r="B85" s="66" t="n">
        <v>352.47</v>
      </c>
      <c r="C85" s="66" t="n">
        <v>72.67</v>
      </c>
      <c r="D85" s="66" t="n">
        <v>660.71</v>
      </c>
      <c r="E85" s="66" t="n">
        <v>179.86</v>
      </c>
      <c r="F85" s="66" t="n">
        <v>77.22</v>
      </c>
      <c r="G85" s="66" t="n">
        <v>94.47</v>
      </c>
      <c r="H85" s="66" t="n">
        <v>117.6</v>
      </c>
      <c r="I85" s="66" t="n">
        <v>66.36</v>
      </c>
      <c r="J85" s="66" t="n">
        <v>69.37</v>
      </c>
      <c r="K85" s="66" t="n">
        <v>110.65</v>
      </c>
      <c r="L85" s="66" t="n">
        <v>91.6</v>
      </c>
      <c r="M85" s="66" t="n">
        <v>88.55</v>
      </c>
      <c r="N85" s="66" t="n">
        <v>23.98</v>
      </c>
      <c r="O85" s="66" t="n">
        <v>88.75</v>
      </c>
      <c r="P85" s="66" t="n">
        <v>154.38</v>
      </c>
      <c r="Q85" s="66" t="n">
        <v>329.63</v>
      </c>
      <c r="R85" s="66" t="n">
        <v>53.76</v>
      </c>
      <c r="S85" s="66" t="n">
        <v>94.54</v>
      </c>
      <c r="T85" s="66" t="n">
        <v>34.81</v>
      </c>
      <c r="U85" s="66"/>
      <c r="V85" s="66" t="n">
        <v>341.41</v>
      </c>
      <c r="W85" s="66"/>
      <c r="X85" s="66"/>
      <c r="Y85" s="66"/>
      <c r="Z85" s="66"/>
      <c r="AA85" s="66"/>
    </row>
    <row r="86" customFormat="false" ht="15" hidden="false" customHeight="true" outlineLevel="0" collapsed="false">
      <c r="A86" s="69" t="n">
        <v>45765</v>
      </c>
      <c r="B86" s="66" t="n">
        <v>348.8</v>
      </c>
      <c r="C86" s="66" t="n">
        <v>71.2</v>
      </c>
      <c r="D86" s="66" t="n">
        <v>632.4</v>
      </c>
      <c r="E86" s="66" t="n">
        <v>169.04</v>
      </c>
      <c r="F86" s="66" t="n">
        <v>78.66</v>
      </c>
      <c r="G86" s="66" t="n">
        <v>93.9</v>
      </c>
      <c r="H86" s="66" t="n">
        <v>119.33</v>
      </c>
      <c r="I86" s="66" t="n">
        <v>62.81</v>
      </c>
      <c r="J86" s="66" t="n">
        <v>68.63</v>
      </c>
      <c r="K86" s="66" t="n">
        <v>101.23</v>
      </c>
      <c r="L86" s="66" t="n">
        <v>97.19</v>
      </c>
      <c r="M86" s="66" t="n">
        <v>93.78</v>
      </c>
      <c r="N86" s="66" t="n">
        <v>24.09</v>
      </c>
      <c r="O86" s="66" t="n">
        <v>87.21</v>
      </c>
      <c r="P86" s="66" t="n">
        <v>149.13</v>
      </c>
      <c r="Q86" s="66" t="n">
        <v>325.88</v>
      </c>
      <c r="R86" s="66" t="n">
        <v>52.61</v>
      </c>
      <c r="S86" s="66" t="n">
        <v>93.86</v>
      </c>
      <c r="T86" s="66" t="n">
        <v>34.09</v>
      </c>
      <c r="U86" s="66"/>
      <c r="V86" s="66" t="n">
        <v>328.04</v>
      </c>
      <c r="W86" s="66"/>
      <c r="X86" s="66"/>
      <c r="Y86" s="66"/>
      <c r="Z86" s="66"/>
      <c r="AA86" s="66"/>
    </row>
    <row r="87" customFormat="false" ht="15" hidden="false" customHeight="true" outlineLevel="0" collapsed="false">
      <c r="A87" s="69" t="n">
        <v>45772</v>
      </c>
      <c r="B87" s="66" t="n">
        <v>367.72</v>
      </c>
      <c r="C87" s="66" t="n">
        <v>77.91</v>
      </c>
      <c r="D87" s="66" t="n">
        <v>669.06</v>
      </c>
      <c r="E87" s="66" t="n">
        <v>190.12</v>
      </c>
      <c r="F87" s="66" t="n">
        <v>80.87</v>
      </c>
      <c r="G87" s="66" t="n">
        <v>106.22</v>
      </c>
      <c r="H87" s="66" t="n">
        <v>121.04</v>
      </c>
      <c r="I87" s="66" t="n">
        <v>68.77</v>
      </c>
      <c r="J87" s="66" t="n">
        <v>79.58</v>
      </c>
      <c r="K87" s="66" t="n">
        <v>110.73</v>
      </c>
      <c r="L87" s="66" t="n">
        <v>97.32</v>
      </c>
      <c r="M87" s="66" t="n">
        <v>112.78</v>
      </c>
      <c r="N87" s="66" t="n">
        <v>24.33</v>
      </c>
      <c r="O87" s="66" t="n">
        <v>92.9</v>
      </c>
      <c r="P87" s="66" t="n">
        <v>162.26</v>
      </c>
      <c r="Q87" s="66" t="n">
        <v>331.38</v>
      </c>
      <c r="R87" s="66" t="n">
        <v>52.8</v>
      </c>
      <c r="S87" s="66" t="n">
        <v>94.22</v>
      </c>
      <c r="T87" s="66" t="n">
        <v>34.67</v>
      </c>
      <c r="U87" s="66"/>
      <c r="V87" s="66" t="n">
        <v>331.86</v>
      </c>
      <c r="W87" s="66"/>
      <c r="X87" s="66"/>
      <c r="Y87" s="66"/>
      <c r="Z87" s="66"/>
      <c r="AA87" s="66"/>
    </row>
    <row r="88" customFormat="false" ht="15" hidden="false" customHeight="true" outlineLevel="0" collapsed="false">
      <c r="A88" s="69" t="n">
        <v>45779</v>
      </c>
      <c r="B88" s="66" t="n">
        <v>380.87</v>
      </c>
      <c r="C88" s="66" t="n">
        <v>91.02</v>
      </c>
      <c r="D88" s="66" t="n">
        <v>684.08</v>
      </c>
      <c r="E88" s="66" t="n">
        <v>201.32</v>
      </c>
      <c r="F88" s="66" t="n">
        <v>83.61</v>
      </c>
      <c r="G88" s="66" t="n">
        <v>110.14</v>
      </c>
      <c r="H88" s="66" t="n">
        <v>123.05</v>
      </c>
      <c r="I88" s="66" t="n">
        <v>69.12</v>
      </c>
      <c r="J88" s="66" t="n">
        <v>80.51</v>
      </c>
      <c r="K88" s="66" t="n">
        <v>114.21</v>
      </c>
      <c r="L88" s="66" t="n">
        <v>100.34</v>
      </c>
      <c r="M88" s="66" t="n">
        <v>124.28</v>
      </c>
      <c r="N88" s="66" t="n">
        <v>24.7</v>
      </c>
      <c r="O88" s="66" t="n">
        <v>96.64</v>
      </c>
      <c r="P88" s="66" t="n">
        <v>176.2</v>
      </c>
      <c r="Q88" s="66" t="n">
        <v>343.67</v>
      </c>
      <c r="R88" s="66" t="n">
        <v>51.81</v>
      </c>
      <c r="S88" s="66" t="n">
        <v>92.19</v>
      </c>
      <c r="T88" s="66" t="n">
        <v>34.1</v>
      </c>
      <c r="U88" s="66"/>
      <c r="V88" s="66" t="n">
        <v>338.97</v>
      </c>
      <c r="W88" s="66"/>
      <c r="X88" s="66"/>
      <c r="Y88" s="66"/>
      <c r="Z88" s="66"/>
      <c r="AA88" s="66"/>
    </row>
    <row r="89" customFormat="false" ht="15" hidden="false" customHeight="true" outlineLevel="0" collapsed="false">
      <c r="A89" s="69" t="n">
        <v>45786</v>
      </c>
      <c r="B89" s="66" t="n">
        <v>383.28</v>
      </c>
      <c r="C89" s="66" t="n">
        <v>86.52</v>
      </c>
      <c r="D89" s="66" t="n">
        <v>699.81</v>
      </c>
      <c r="E89" s="66" t="n">
        <v>205.83</v>
      </c>
      <c r="F89" s="66" t="n">
        <v>84.58</v>
      </c>
      <c r="G89" s="66" t="n">
        <v>102.64</v>
      </c>
      <c r="H89" s="66" t="n">
        <v>122.9</v>
      </c>
      <c r="I89" s="66" t="n">
        <v>69.43</v>
      </c>
      <c r="J89" s="66" t="n">
        <v>85.64</v>
      </c>
      <c r="K89" s="66" t="n">
        <v>116.36</v>
      </c>
      <c r="L89" s="66" t="n">
        <v>101.77</v>
      </c>
      <c r="M89" s="66" t="n">
        <v>117.3</v>
      </c>
      <c r="N89" s="66" t="n">
        <v>24.38</v>
      </c>
      <c r="O89" s="66" t="n">
        <v>97.31</v>
      </c>
      <c r="P89" s="66" t="n">
        <v>173.49</v>
      </c>
      <c r="Q89" s="66" t="n">
        <v>348.55</v>
      </c>
      <c r="R89" s="66" t="n">
        <v>46.6</v>
      </c>
      <c r="S89" s="66" t="n">
        <v>82.32</v>
      </c>
      <c r="T89" s="66" t="n">
        <v>30.95</v>
      </c>
      <c r="U89" s="66"/>
      <c r="V89" s="66" t="n">
        <v>309.59</v>
      </c>
      <c r="W89" s="66"/>
      <c r="X89" s="66"/>
      <c r="Y89" s="66"/>
      <c r="Z89" s="66"/>
      <c r="AA89" s="66"/>
    </row>
    <row r="90" customFormat="false" ht="15" hidden="false" customHeight="true" outlineLevel="0" collapsed="false">
      <c r="A90" s="69" t="n">
        <v>45793</v>
      </c>
      <c r="B90" s="66" t="n">
        <v>417.13</v>
      </c>
      <c r="C90" s="66" t="n">
        <v>96.42</v>
      </c>
      <c r="D90" s="66" t="n">
        <v>741.32</v>
      </c>
      <c r="E90" s="66" t="n">
        <v>226</v>
      </c>
      <c r="F90" s="66" t="n">
        <v>88.72</v>
      </c>
      <c r="G90" s="66" t="n">
        <v>109.82</v>
      </c>
      <c r="H90" s="66" t="n">
        <v>126.84</v>
      </c>
      <c r="I90" s="66" t="n">
        <v>78.33</v>
      </c>
      <c r="J90" s="66" t="n">
        <v>97.75</v>
      </c>
      <c r="K90" s="66" t="n">
        <v>135.06</v>
      </c>
      <c r="L90" s="66" t="n">
        <v>105.23</v>
      </c>
      <c r="M90" s="66" t="n">
        <v>129.52</v>
      </c>
      <c r="N90" s="66" t="n">
        <v>25.21</v>
      </c>
      <c r="O90" s="66" t="n">
        <v>103.95</v>
      </c>
      <c r="P90" s="66" t="n">
        <v>190.88</v>
      </c>
      <c r="Q90" s="66" t="n">
        <v>361.59</v>
      </c>
      <c r="R90" s="66" t="n">
        <v>49.54</v>
      </c>
      <c r="S90" s="66" t="n">
        <v>89.82</v>
      </c>
      <c r="T90" s="66" t="n">
        <v>31.56</v>
      </c>
      <c r="U90" s="66"/>
      <c r="V90" s="66" t="n">
        <v>329.63</v>
      </c>
      <c r="W90" s="66"/>
      <c r="X90" s="66"/>
      <c r="Y90" s="66"/>
      <c r="Z90" s="66"/>
      <c r="AA90" s="66"/>
    </row>
    <row r="91" customFormat="false" ht="15" hidden="false" customHeight="true" outlineLevel="0" collapsed="false">
      <c r="A91" s="69" t="n">
        <v>45800</v>
      </c>
      <c r="B91" s="66" t="n">
        <v>407.69</v>
      </c>
      <c r="C91" s="66" t="n">
        <v>91.2</v>
      </c>
      <c r="D91" s="66" t="n">
        <v>725.86</v>
      </c>
      <c r="E91" s="66" t="n">
        <v>226.11</v>
      </c>
      <c r="F91" s="66" t="n">
        <v>85.17</v>
      </c>
      <c r="G91" s="66" t="n">
        <v>113.9</v>
      </c>
      <c r="H91" s="66" t="n">
        <v>123.56</v>
      </c>
      <c r="I91" s="66" t="n">
        <v>75.15</v>
      </c>
      <c r="J91" s="66" t="n">
        <v>93.13</v>
      </c>
      <c r="K91" s="66" t="n">
        <v>130.96</v>
      </c>
      <c r="L91" s="66" t="n">
        <v>99.04</v>
      </c>
      <c r="M91" s="66" t="n">
        <v>123.31</v>
      </c>
      <c r="N91" s="66" t="n">
        <v>24.53</v>
      </c>
      <c r="O91" s="66" t="n">
        <v>101.63</v>
      </c>
      <c r="P91" s="66" t="n">
        <v>188.68</v>
      </c>
      <c r="Q91" s="66" t="n">
        <v>350.12</v>
      </c>
      <c r="R91" s="66" t="n">
        <v>48.74</v>
      </c>
      <c r="S91" s="66" t="n">
        <v>88.26</v>
      </c>
      <c r="T91" s="66" t="n">
        <v>31.78</v>
      </c>
      <c r="U91" s="66"/>
      <c r="V91" s="66"/>
      <c r="W91" s="66"/>
      <c r="X91" s="66"/>
      <c r="Y91" s="66"/>
      <c r="Z91" s="66"/>
      <c r="AA91" s="66"/>
    </row>
    <row r="92" customFormat="false" ht="15" hidden="false" customHeight="true" outlineLevel="0" collapsed="false">
      <c r="A92" s="69" t="n">
        <v>45807</v>
      </c>
      <c r="B92" s="66" t="n">
        <v>415.09</v>
      </c>
      <c r="C92" s="66" t="n">
        <v>86.64</v>
      </c>
      <c r="D92" s="66" t="n">
        <v>730.1</v>
      </c>
      <c r="E92" s="66" t="n">
        <v>239.31</v>
      </c>
      <c r="F92" s="66" t="n">
        <v>86.17</v>
      </c>
      <c r="G92" s="66" t="n">
        <v>117.84</v>
      </c>
      <c r="H92" s="66" t="n">
        <v>124.36</v>
      </c>
      <c r="I92" s="66" t="n">
        <v>75.12</v>
      </c>
      <c r="J92" s="66" t="n">
        <v>94.22</v>
      </c>
      <c r="K92" s="66" t="n">
        <v>134.79</v>
      </c>
      <c r="L92" s="66" t="n">
        <v>103.38</v>
      </c>
      <c r="M92" s="66" t="n">
        <v>131.78</v>
      </c>
      <c r="N92" s="66" t="n">
        <v>24.8</v>
      </c>
      <c r="O92" s="66" t="n">
        <v>104.1</v>
      </c>
      <c r="P92" s="66" t="n">
        <v>190</v>
      </c>
      <c r="Q92" s="66" t="n">
        <v>361.66</v>
      </c>
      <c r="R92" s="66" t="n">
        <v>51.09</v>
      </c>
      <c r="S92" s="66" t="n">
        <v>94.02</v>
      </c>
      <c r="T92" s="66" t="n">
        <v>32.83</v>
      </c>
      <c r="U92" s="66"/>
      <c r="V92" s="66" t="n">
        <v>331.38</v>
      </c>
      <c r="W92" s="66"/>
      <c r="X92" s="66"/>
      <c r="Y92" s="66"/>
      <c r="Z92" s="66"/>
      <c r="AA92" s="66"/>
    </row>
    <row r="93" customFormat="false" ht="15" hidden="false" customHeight="true" outlineLevel="0" collapsed="false">
      <c r="A93" s="69" t="n">
        <v>45814</v>
      </c>
      <c r="B93" s="66" t="n">
        <v>416.92</v>
      </c>
      <c r="C93" s="66" t="n">
        <v>97.25</v>
      </c>
      <c r="D93" s="66" t="n">
        <v>746.2</v>
      </c>
      <c r="E93" s="66" t="n">
        <v>244.11</v>
      </c>
      <c r="F93" s="66" t="n">
        <v>87.76</v>
      </c>
      <c r="G93" s="66" t="n">
        <v>117.1</v>
      </c>
      <c r="H93" s="66" t="n">
        <v>124.82</v>
      </c>
      <c r="I93" s="66" t="n">
        <v>80.19</v>
      </c>
      <c r="J93" s="66" t="n">
        <v>108.28</v>
      </c>
      <c r="K93" s="66" t="n">
        <v>141.36</v>
      </c>
      <c r="L93" s="66" t="n">
        <v>103.56</v>
      </c>
      <c r="M93" s="66" t="n">
        <v>127.72</v>
      </c>
      <c r="N93" s="66" t="n">
        <v>25.15</v>
      </c>
      <c r="O93" s="66" t="n">
        <v>105.65</v>
      </c>
      <c r="P93" s="66" t="n">
        <v>201.66</v>
      </c>
      <c r="Q93" s="66" t="n">
        <v>366.64</v>
      </c>
      <c r="R93" s="66" t="n">
        <v>51.49</v>
      </c>
      <c r="S93" s="66" t="n">
        <v>97.8</v>
      </c>
      <c r="T93" s="66" t="n">
        <v>33.46</v>
      </c>
      <c r="U93" s="66"/>
      <c r="V93" s="66" t="n">
        <v>343.67</v>
      </c>
      <c r="W93" s="66"/>
      <c r="X93" s="66"/>
      <c r="Y93" s="66"/>
      <c r="Z93" s="66"/>
      <c r="AA93" s="66"/>
    </row>
    <row r="94" customFormat="false" ht="15" hidden="false" customHeight="true" outlineLevel="0" collapsed="false">
      <c r="A94" s="69" t="n">
        <v>45821</v>
      </c>
      <c r="B94" s="66" t="n">
        <v>391.68</v>
      </c>
      <c r="C94" s="66" t="n">
        <v>92.35</v>
      </c>
      <c r="D94" s="66" t="n">
        <v>754.11</v>
      </c>
      <c r="E94" s="66" t="n">
        <v>245.86</v>
      </c>
      <c r="F94" s="66" t="n">
        <v>87.23</v>
      </c>
      <c r="G94" s="66" t="n">
        <v>120.15</v>
      </c>
      <c r="H94" s="66" t="n">
        <v>124.38</v>
      </c>
      <c r="I94" s="66" t="n">
        <v>86.11</v>
      </c>
      <c r="J94" s="66" t="n">
        <v>115.31</v>
      </c>
      <c r="K94" s="66" t="n">
        <v>141.62</v>
      </c>
      <c r="L94" s="66" t="n">
        <v>102.12</v>
      </c>
      <c r="M94" s="66" t="n">
        <v>137.4</v>
      </c>
      <c r="N94" s="66" t="n">
        <v>25.49</v>
      </c>
      <c r="O94" s="66" t="n">
        <v>104.9</v>
      </c>
      <c r="P94" s="66" t="n">
        <v>208.23</v>
      </c>
      <c r="Q94" s="66" t="n">
        <v>349.44</v>
      </c>
      <c r="R94" s="66" t="n">
        <v>51.63</v>
      </c>
      <c r="S94" s="66" t="n">
        <v>98.48</v>
      </c>
      <c r="T94" s="66" t="n">
        <v>33.4</v>
      </c>
      <c r="U94" s="66"/>
      <c r="V94" s="66" t="n">
        <v>348.55</v>
      </c>
      <c r="W94" s="66"/>
      <c r="X94" s="66"/>
      <c r="Y94" s="66"/>
      <c r="Z94" s="66"/>
      <c r="AA94" s="66"/>
    </row>
    <row r="95" customFormat="false" ht="15" hidden="false" customHeight="true" outlineLevel="0" collapsed="false">
      <c r="A95" s="69" t="n">
        <v>45828</v>
      </c>
      <c r="B95" s="66" t="n">
        <v>376.92</v>
      </c>
      <c r="C95" s="66" t="n">
        <v>86.25</v>
      </c>
      <c r="D95" s="66" t="n">
        <v>749.68</v>
      </c>
      <c r="E95" s="66" t="n">
        <v>247.72</v>
      </c>
      <c r="F95" s="66" t="n">
        <v>87.38</v>
      </c>
      <c r="G95" s="66" t="n">
        <v>119.07</v>
      </c>
      <c r="H95" s="66" t="n">
        <v>124.75</v>
      </c>
      <c r="I95" s="66" t="n">
        <v>84.36</v>
      </c>
      <c r="J95" s="66" t="n">
        <v>123.29</v>
      </c>
      <c r="K95" s="66" t="n">
        <v>143.5</v>
      </c>
      <c r="L95" s="66" t="n">
        <v>101.57</v>
      </c>
      <c r="M95" s="66" t="n">
        <v>137.3</v>
      </c>
      <c r="N95" s="66" t="n">
        <v>25.3</v>
      </c>
      <c r="O95" s="66" t="n">
        <v>105.64</v>
      </c>
      <c r="P95" s="66" t="n">
        <v>206.66</v>
      </c>
      <c r="Q95" s="66" t="n">
        <v>335.29</v>
      </c>
      <c r="R95" s="66" t="n">
        <v>52.52</v>
      </c>
      <c r="S95" s="66" t="n">
        <v>105.2</v>
      </c>
      <c r="T95" s="66" t="n">
        <v>34.84</v>
      </c>
      <c r="U95" s="66"/>
      <c r="V95" s="66" t="n">
        <v>361.59</v>
      </c>
      <c r="W95" s="66"/>
      <c r="X95" s="66"/>
      <c r="Y95" s="66"/>
      <c r="Z95" s="66"/>
      <c r="AA95" s="66"/>
    </row>
    <row r="96" customFormat="false" ht="15" hidden="false" customHeight="true" outlineLevel="0" collapsed="false">
      <c r="A96" s="69" t="n">
        <v>45835</v>
      </c>
      <c r="B96" s="66" t="n">
        <v>385.83</v>
      </c>
      <c r="C96" s="66" t="n">
        <v>99.39</v>
      </c>
      <c r="D96" s="66" t="n">
        <v>788.74</v>
      </c>
      <c r="E96" s="66" t="n">
        <v>266.9</v>
      </c>
      <c r="F96" s="66" t="n">
        <v>89.61</v>
      </c>
      <c r="G96" s="66" t="n">
        <v>124.83</v>
      </c>
      <c r="H96" s="66" t="n">
        <v>126.47</v>
      </c>
      <c r="I96" s="66" t="n">
        <v>88.32</v>
      </c>
      <c r="J96" s="66" t="n">
        <v>124.44</v>
      </c>
      <c r="K96" s="66" t="n">
        <v>157.36</v>
      </c>
      <c r="L96" s="66" t="n">
        <v>101.5</v>
      </c>
      <c r="M96" s="66" t="n">
        <v>130.74</v>
      </c>
      <c r="N96" s="66" t="n">
        <v>25.25</v>
      </c>
      <c r="O96" s="66" t="n">
        <v>110.73</v>
      </c>
      <c r="P96" s="66" t="n">
        <v>225.46</v>
      </c>
      <c r="Q96" s="66" t="n">
        <v>345.24</v>
      </c>
      <c r="R96" s="66" t="n">
        <v>52.04</v>
      </c>
      <c r="S96" s="66" t="n">
        <v>102.85</v>
      </c>
      <c r="T96" s="66" t="n">
        <v>33.63</v>
      </c>
      <c r="U96" s="66"/>
      <c r="V96" s="66" t="n">
        <v>350.12</v>
      </c>
      <c r="W96" s="66"/>
      <c r="X96" s="66"/>
      <c r="Y96" s="66"/>
      <c r="Z96" s="66"/>
      <c r="AA96" s="66"/>
    </row>
    <row r="97" customFormat="false" ht="15" hidden="false" customHeight="true" outlineLevel="0" collapsed="false">
      <c r="A97" s="69" t="n">
        <v>45842</v>
      </c>
      <c r="B97" s="66" t="n">
        <v>379.31</v>
      </c>
      <c r="C97" s="66" t="n">
        <v>102.52</v>
      </c>
      <c r="D97" s="66" t="n">
        <v>787.3</v>
      </c>
      <c r="E97" s="66" t="n">
        <v>272.68</v>
      </c>
      <c r="F97" s="66" t="n">
        <v>93.34</v>
      </c>
      <c r="G97" s="66" t="n">
        <v>128.52</v>
      </c>
      <c r="H97" s="66" t="n">
        <v>130.79</v>
      </c>
      <c r="I97" s="66" t="n">
        <v>91.76</v>
      </c>
      <c r="J97" s="66" t="n">
        <v>121.98</v>
      </c>
      <c r="K97" s="66" t="n">
        <v>158.95</v>
      </c>
      <c r="L97" s="66" t="n">
        <v>103.81</v>
      </c>
      <c r="M97" s="66" t="n">
        <v>134.36</v>
      </c>
      <c r="N97" s="66" t="n">
        <v>26.17</v>
      </c>
      <c r="O97" s="66" t="n">
        <v>111.39</v>
      </c>
      <c r="P97" s="66" t="n">
        <v>231.61</v>
      </c>
      <c r="Q97" s="66" t="n">
        <v>355.39</v>
      </c>
      <c r="R97" s="66" t="n">
        <v>52.63</v>
      </c>
      <c r="S97" s="66" t="n">
        <v>105.35</v>
      </c>
      <c r="T97" s="66" t="n">
        <v>33.89</v>
      </c>
      <c r="U97" s="66"/>
      <c r="V97" s="66" t="n">
        <v>361.66</v>
      </c>
      <c r="W97" s="66"/>
      <c r="X97" s="66"/>
      <c r="Y97" s="66"/>
      <c r="Z97" s="66"/>
      <c r="AA97" s="66"/>
    </row>
    <row r="98" customFormat="false" ht="15" hidden="false" customHeight="true" outlineLevel="0" collapsed="false">
      <c r="A98" s="69" t="n">
        <v>45849</v>
      </c>
      <c r="B98" s="66" t="n">
        <v>363.35</v>
      </c>
      <c r="C98" s="66" t="n">
        <v>108.57</v>
      </c>
      <c r="D98" s="66" t="n">
        <v>794.67</v>
      </c>
      <c r="E98" s="66" t="n">
        <v>271.89</v>
      </c>
      <c r="F98" s="66" t="n">
        <v>93.22</v>
      </c>
      <c r="G98" s="66" t="n">
        <v>119.61</v>
      </c>
      <c r="H98" s="66" t="n">
        <v>130.35</v>
      </c>
      <c r="I98" s="66" t="n">
        <v>91.76</v>
      </c>
      <c r="J98" s="66" t="n">
        <v>124.33</v>
      </c>
      <c r="K98" s="66" t="n">
        <v>164.52</v>
      </c>
      <c r="L98" s="66" t="n">
        <v>104.91</v>
      </c>
      <c r="M98" s="66" t="n">
        <v>142.1</v>
      </c>
      <c r="N98" s="66" t="n">
        <v>26.15</v>
      </c>
      <c r="O98" s="66" t="n">
        <v>111.05</v>
      </c>
      <c r="P98" s="66" t="n">
        <v>227.27</v>
      </c>
      <c r="Q98" s="66" t="n">
        <v>344.56</v>
      </c>
      <c r="R98" s="66" t="n">
        <v>52.7</v>
      </c>
      <c r="S98" s="66" t="n">
        <v>106.92</v>
      </c>
      <c r="T98" s="66" t="n">
        <v>34.69</v>
      </c>
      <c r="U98" s="66"/>
      <c r="V98" s="66" t="n">
        <v>366.64</v>
      </c>
      <c r="W98" s="66"/>
      <c r="X98" s="66"/>
      <c r="Y98" s="66"/>
      <c r="Z98" s="66"/>
      <c r="AA98" s="66"/>
    </row>
    <row r="99" customFormat="false" ht="15" hidden="false" customHeight="true" outlineLevel="0" collapsed="false">
      <c r="A99" s="69" t="n">
        <v>45856</v>
      </c>
      <c r="B99" s="66" t="n">
        <v>365.79</v>
      </c>
      <c r="C99" s="66" t="n">
        <v>111.78</v>
      </c>
      <c r="D99" s="66" t="n">
        <v>727.93</v>
      </c>
      <c r="E99" s="66" t="n">
        <v>280.77</v>
      </c>
      <c r="F99" s="66" t="n">
        <v>92.12</v>
      </c>
      <c r="G99" s="66" t="n">
        <v>118.99</v>
      </c>
      <c r="H99" s="66" t="n">
        <v>129.8</v>
      </c>
      <c r="I99" s="66" t="n">
        <v>92.41</v>
      </c>
      <c r="J99" s="66" t="n">
        <v>114.21</v>
      </c>
      <c r="K99" s="66" t="n">
        <v>171.99</v>
      </c>
      <c r="L99" s="66" t="n">
        <v>102.61</v>
      </c>
      <c r="M99" s="66" t="n">
        <v>153.52</v>
      </c>
      <c r="N99" s="66" t="n">
        <v>25.86</v>
      </c>
      <c r="O99" s="66" t="n">
        <v>112.7</v>
      </c>
      <c r="P99" s="66" t="n">
        <v>237.13</v>
      </c>
      <c r="Q99" s="66" t="n">
        <v>345.67</v>
      </c>
      <c r="R99" s="66" t="n">
        <v>52.59</v>
      </c>
      <c r="S99" s="66" t="n">
        <v>106.16</v>
      </c>
      <c r="T99" s="66" t="n">
        <v>35.07</v>
      </c>
      <c r="U99" s="66"/>
      <c r="V99" s="66" t="n">
        <v>349.44</v>
      </c>
      <c r="W99" s="66"/>
      <c r="X99" s="66"/>
      <c r="Y99" s="66"/>
      <c r="Z99" s="66"/>
      <c r="AA99" s="66"/>
    </row>
    <row r="100" customFormat="false" ht="15" hidden="false" customHeight="true" outlineLevel="0" collapsed="false">
      <c r="A100" s="69" t="n">
        <v>45863</v>
      </c>
      <c r="B100" s="66" t="n">
        <v>370.74</v>
      </c>
      <c r="C100" s="66" t="n">
        <v>114.28</v>
      </c>
      <c r="D100" s="66" t="n">
        <v>704.81</v>
      </c>
      <c r="E100" s="66" t="n">
        <v>287.55</v>
      </c>
      <c r="F100" s="66" t="n">
        <v>93.48</v>
      </c>
      <c r="G100" s="66" t="n">
        <v>116.98</v>
      </c>
      <c r="H100" s="66" t="n">
        <v>132.16</v>
      </c>
      <c r="I100" s="66" t="n">
        <v>89.53</v>
      </c>
      <c r="J100" s="66" t="n">
        <v>111.08</v>
      </c>
      <c r="K100" s="66" t="n">
        <v>173.08</v>
      </c>
      <c r="L100" s="66" t="n">
        <v>105.99</v>
      </c>
      <c r="M100" s="66" t="n">
        <v>158.8</v>
      </c>
      <c r="N100" s="66" t="n">
        <v>26.14</v>
      </c>
      <c r="O100" s="66" t="n">
        <v>113.89</v>
      </c>
      <c r="P100" s="66" t="n">
        <v>242.26</v>
      </c>
      <c r="Q100" s="66" t="n">
        <v>353.59</v>
      </c>
      <c r="R100" s="66" t="n">
        <v>52.75</v>
      </c>
      <c r="S100" s="66" t="n">
        <v>106.91</v>
      </c>
      <c r="T100" s="66" t="n">
        <v>35.03</v>
      </c>
      <c r="U100" s="66"/>
      <c r="V100" s="66" t="n">
        <v>335.29</v>
      </c>
      <c r="W100" s="66"/>
      <c r="X100" s="66"/>
      <c r="Y100" s="66"/>
      <c r="Z100" s="66"/>
      <c r="AA100" s="66"/>
    </row>
    <row r="101" customFormat="false" ht="15" hidden="false" customHeight="true" outlineLevel="0" collapsed="false">
      <c r="A101" s="69" t="n">
        <v>45870</v>
      </c>
      <c r="B101" s="66" t="n">
        <v>347.8</v>
      </c>
      <c r="C101" s="66" t="n">
        <v>117.57</v>
      </c>
      <c r="D101" s="66" t="n">
        <v>685.31</v>
      </c>
      <c r="E101" s="66" t="n">
        <v>286.02</v>
      </c>
      <c r="F101" s="66" t="n">
        <v>88.78</v>
      </c>
      <c r="G101" s="66" t="n">
        <v>111.67</v>
      </c>
      <c r="H101" s="66" t="n">
        <v>128.19</v>
      </c>
      <c r="I101" s="66" t="n">
        <v>88</v>
      </c>
      <c r="J101" s="66" t="n">
        <v>104.71</v>
      </c>
      <c r="K101" s="66" t="n">
        <v>173.3</v>
      </c>
      <c r="L101" s="66" t="n">
        <v>100.82</v>
      </c>
      <c r="M101" s="66" t="n">
        <v>154.27</v>
      </c>
      <c r="N101" s="66" t="n">
        <v>25.24</v>
      </c>
      <c r="O101" s="66" t="n">
        <v>112.1</v>
      </c>
      <c r="P101" s="66" t="n">
        <v>232.01</v>
      </c>
      <c r="Q101" s="66" t="n">
        <v>336.07</v>
      </c>
      <c r="R101" s="66" t="n">
        <v>54.27</v>
      </c>
      <c r="S101" s="66" t="n">
        <v>111.84</v>
      </c>
      <c r="T101" s="66" t="n">
        <v>35.33</v>
      </c>
      <c r="U101" s="66"/>
      <c r="V101" s="66" t="n">
        <v>345.24</v>
      </c>
      <c r="W101" s="66"/>
      <c r="X101" s="66"/>
      <c r="Y101" s="66"/>
      <c r="Z101" s="66"/>
      <c r="AA101" s="66"/>
    </row>
    <row r="102" customFormat="false" ht="15" hidden="false" customHeight="true" outlineLevel="0" collapsed="false">
      <c r="A102" s="69" t="n">
        <v>45877</v>
      </c>
      <c r="B102" s="66" t="n">
        <v>341.05</v>
      </c>
      <c r="C102" s="66" t="n">
        <v>139.18</v>
      </c>
      <c r="D102" s="66" t="n">
        <v>717.59</v>
      </c>
      <c r="E102" s="66" t="n">
        <v>302.2</v>
      </c>
      <c r="F102" s="66" t="n">
        <v>90.85</v>
      </c>
      <c r="G102" s="66" t="n">
        <v>106.12</v>
      </c>
      <c r="H102" s="66" t="n">
        <v>130.26</v>
      </c>
      <c r="I102" s="66" t="n">
        <v>90.79</v>
      </c>
      <c r="J102" s="66" t="n">
        <v>118.7</v>
      </c>
      <c r="K102" s="66" t="n">
        <v>182.25</v>
      </c>
      <c r="L102" s="66" t="n">
        <v>101.56</v>
      </c>
      <c r="M102" s="66" t="n">
        <v>186.96</v>
      </c>
      <c r="N102" s="66" t="n">
        <v>25.72</v>
      </c>
      <c r="O102" s="66" t="n">
        <v>116.02</v>
      </c>
      <c r="P102" s="66" t="n">
        <v>238.54</v>
      </c>
      <c r="Q102" s="66" t="n">
        <v>333.52</v>
      </c>
      <c r="R102" s="66" t="n">
        <v>54.16</v>
      </c>
      <c r="S102" s="66" t="n">
        <v>112.51</v>
      </c>
      <c r="T102" s="66" t="n">
        <v>35.77</v>
      </c>
      <c r="U102" s="66"/>
      <c r="V102" s="66"/>
      <c r="W102" s="66"/>
      <c r="X102" s="66"/>
      <c r="Y102" s="66"/>
      <c r="Z102" s="66"/>
      <c r="AA102" s="66"/>
    </row>
    <row r="103" customFormat="false" ht="15" hidden="false" customHeight="true" outlineLevel="0" collapsed="false">
      <c r="A103" s="69" t="n">
        <v>45884</v>
      </c>
      <c r="B103" s="66" t="n">
        <v>354.85</v>
      </c>
      <c r="C103" s="66" t="n">
        <v>137.3</v>
      </c>
      <c r="D103" s="66" t="n">
        <v>737.3</v>
      </c>
      <c r="E103" s="66" t="n">
        <v>303.56</v>
      </c>
      <c r="F103" s="66" t="n">
        <v>93.56</v>
      </c>
      <c r="G103" s="66" t="n">
        <v>106.97</v>
      </c>
      <c r="H103" s="66" t="n">
        <v>132.26</v>
      </c>
      <c r="I103" s="66" t="n">
        <v>86.84</v>
      </c>
      <c r="J103" s="66" t="n">
        <v>120.68</v>
      </c>
      <c r="K103" s="66" t="n">
        <v>180.01</v>
      </c>
      <c r="L103" s="66" t="n">
        <v>102.43</v>
      </c>
      <c r="M103" s="66" t="n">
        <v>177.17</v>
      </c>
      <c r="N103" s="66" t="n">
        <v>26.15</v>
      </c>
      <c r="O103" s="66" t="n">
        <v>116.14</v>
      </c>
      <c r="P103" s="66" t="n">
        <v>235.63</v>
      </c>
      <c r="Q103" s="66" t="n">
        <v>341.74</v>
      </c>
      <c r="R103" s="66" t="n">
        <v>54.36</v>
      </c>
      <c r="S103" s="66" t="n">
        <v>112.17</v>
      </c>
      <c r="T103" s="66" t="n">
        <v>35.84</v>
      </c>
      <c r="U103" s="66"/>
      <c r="V103" s="66" t="n">
        <v>344.56</v>
      </c>
      <c r="W103" s="66"/>
      <c r="X103" s="66"/>
      <c r="Y103" s="66"/>
      <c r="Z103" s="66"/>
      <c r="AA103" s="66"/>
    </row>
    <row r="104" customFormat="false" ht="15" hidden="false" customHeight="true" outlineLevel="0" collapsed="false">
      <c r="A104" s="69" t="n">
        <v>45891</v>
      </c>
      <c r="B104" s="66" t="n">
        <v>362.09</v>
      </c>
      <c r="C104" s="66" t="n">
        <v>133.25</v>
      </c>
      <c r="D104" s="66" t="n">
        <v>749.95</v>
      </c>
      <c r="E104" s="66" t="n">
        <v>291.33</v>
      </c>
      <c r="F104" s="66" t="n">
        <v>97.28</v>
      </c>
      <c r="G104" s="66" t="n">
        <v>105.14</v>
      </c>
      <c r="H104" s="66" t="n">
        <v>136.08</v>
      </c>
      <c r="I104" s="66" t="n">
        <v>86.56</v>
      </c>
      <c r="J104" s="66" t="n">
        <v>117.49</v>
      </c>
      <c r="K104" s="66" t="n">
        <v>177.55</v>
      </c>
      <c r="L104" s="66" t="n">
        <v>107.9</v>
      </c>
      <c r="M104" s="66" t="n">
        <v>158.74</v>
      </c>
      <c r="N104" s="66" t="n">
        <v>26.75</v>
      </c>
      <c r="O104" s="66" t="n">
        <v>115.35</v>
      </c>
      <c r="P104" s="66" t="n">
        <v>229.82</v>
      </c>
      <c r="Q104" s="66" t="n">
        <v>347.26</v>
      </c>
      <c r="R104" s="66" t="n">
        <v>54.69</v>
      </c>
      <c r="S104" s="66" t="n">
        <v>113.83</v>
      </c>
      <c r="T104" s="66" t="n">
        <v>35.08</v>
      </c>
      <c r="U104" s="66"/>
      <c r="V104" s="66" t="n">
        <v>345.67</v>
      </c>
      <c r="W104" s="66"/>
      <c r="X104" s="66"/>
      <c r="Y104" s="66"/>
      <c r="Z104" s="66"/>
      <c r="AA104" s="66"/>
    </row>
    <row r="105" customFormat="false" ht="15" hidden="false" customHeight="true" outlineLevel="0" collapsed="false">
      <c r="A105" s="69" t="n">
        <v>45898</v>
      </c>
      <c r="B105" s="66" t="n">
        <v>356.7</v>
      </c>
      <c r="C105" s="66" t="n">
        <v>136.55</v>
      </c>
      <c r="D105" s="66" t="n">
        <v>737.76</v>
      </c>
      <c r="E105" s="66" t="n">
        <v>294.69</v>
      </c>
      <c r="F105" s="66" t="n">
        <v>98.1</v>
      </c>
      <c r="G105" s="66" t="n">
        <v>105.93</v>
      </c>
      <c r="H105" s="66" t="n">
        <v>135.78</v>
      </c>
      <c r="I105" s="66" t="n">
        <v>86.73</v>
      </c>
      <c r="J105" s="66" t="n">
        <v>118.82</v>
      </c>
      <c r="K105" s="66" t="n">
        <v>173.75</v>
      </c>
      <c r="L105" s="66" t="n">
        <v>109.34</v>
      </c>
      <c r="M105" s="66" t="n">
        <v>156.71</v>
      </c>
      <c r="N105" s="66" t="n">
        <v>26.72</v>
      </c>
      <c r="O105" s="66" t="n">
        <v>115.32</v>
      </c>
      <c r="P105" s="66" t="n">
        <v>227.73</v>
      </c>
      <c r="Q105" s="66" t="n">
        <v>348.99</v>
      </c>
      <c r="R105" s="66" t="n">
        <v>55.08</v>
      </c>
      <c r="S105" s="66" t="n">
        <v>115.03</v>
      </c>
      <c r="T105" s="66" t="n">
        <v>35.85</v>
      </c>
      <c r="U105" s="66"/>
      <c r="V105" s="66" t="n">
        <v>353.59</v>
      </c>
      <c r="W105" s="66"/>
      <c r="X105" s="66"/>
      <c r="Y105" s="66"/>
      <c r="Z105" s="66"/>
      <c r="AA105" s="66"/>
    </row>
    <row r="106" customFormat="false" ht="15" hidden="false" customHeight="true" outlineLevel="0" collapsed="false">
      <c r="A106" s="69" t="n">
        <v>45905</v>
      </c>
      <c r="B106" s="66" t="n">
        <v>348.97</v>
      </c>
      <c r="C106" s="66" t="n">
        <v>142.85</v>
      </c>
      <c r="D106" s="66" t="n">
        <v>776.58</v>
      </c>
      <c r="E106" s="66" t="n">
        <v>331.85</v>
      </c>
      <c r="F106" s="66" t="n">
        <v>99.17</v>
      </c>
      <c r="G106" s="66" t="n">
        <v>104.41</v>
      </c>
      <c r="H106" s="66" t="n">
        <v>135.66</v>
      </c>
      <c r="I106" s="66" t="n">
        <v>90.02</v>
      </c>
      <c r="J106" s="66" t="n">
        <v>131.16</v>
      </c>
      <c r="K106" s="66" t="n">
        <v>166.61</v>
      </c>
      <c r="L106" s="66" t="n">
        <v>109.22</v>
      </c>
      <c r="M106" s="66" t="n">
        <v>153.11</v>
      </c>
      <c r="N106" s="66" t="n">
        <v>26.45</v>
      </c>
      <c r="O106" s="66" t="n">
        <v>115.89</v>
      </c>
      <c r="P106" s="66" t="n">
        <v>240.1</v>
      </c>
      <c r="Q106" s="66" t="n">
        <v>340.5</v>
      </c>
      <c r="R106" s="66" t="n">
        <v>53.81</v>
      </c>
      <c r="S106" s="66" t="n">
        <v>113.23</v>
      </c>
      <c r="T106" s="66" t="n">
        <v>34.35</v>
      </c>
      <c r="U106" s="66"/>
      <c r="V106" s="66" t="n">
        <v>336.07</v>
      </c>
      <c r="W106" s="66"/>
      <c r="X106" s="66"/>
      <c r="Y106" s="66"/>
      <c r="Z106" s="66"/>
      <c r="AA106" s="66"/>
    </row>
    <row r="107" customFormat="false" ht="15" hidden="false" customHeight="true" outlineLevel="0" collapsed="false">
      <c r="A107" s="69" t="n">
        <v>45912</v>
      </c>
      <c r="B107" s="66" t="n">
        <v>349.36</v>
      </c>
      <c r="C107" s="66" t="n">
        <v>139.39</v>
      </c>
      <c r="D107" s="66" t="n">
        <v>808.54</v>
      </c>
      <c r="E107" s="66" t="n">
        <v>356.6</v>
      </c>
      <c r="F107" s="66" t="n">
        <v>98.38</v>
      </c>
      <c r="G107" s="66" t="n">
        <v>109.03</v>
      </c>
      <c r="H107" s="66" t="n">
        <v>135.84</v>
      </c>
      <c r="I107" s="66" t="n">
        <v>95.88</v>
      </c>
      <c r="J107" s="66" t="n">
        <v>156.98</v>
      </c>
      <c r="K107" s="66" t="n">
        <v>177.4</v>
      </c>
      <c r="L107" s="66" t="n">
        <v>110.85</v>
      </c>
      <c r="M107" s="66" t="n">
        <v>171.43</v>
      </c>
      <c r="N107" s="66" t="n">
        <v>26.3</v>
      </c>
      <c r="O107" s="66" t="n">
        <v>119.28</v>
      </c>
      <c r="P107" s="66" t="n">
        <v>255.81</v>
      </c>
      <c r="Q107" s="66" t="n">
        <v>336.74</v>
      </c>
      <c r="R107" s="66" t="n">
        <v>55.32</v>
      </c>
      <c r="S107" s="66" t="n">
        <v>117.19</v>
      </c>
      <c r="T107" s="66" t="n">
        <v>34.69</v>
      </c>
      <c r="U107" s="66"/>
      <c r="V107" s="66" t="n">
        <v>333.52</v>
      </c>
      <c r="W107" s="66"/>
      <c r="X107" s="66"/>
      <c r="Y107" s="66"/>
      <c r="Z107" s="66"/>
      <c r="AA107" s="66"/>
    </row>
    <row r="108" customFormat="false" ht="15" hidden="false" customHeight="true" outlineLevel="0" collapsed="false">
      <c r="A108" s="69" t="n">
        <v>45919</v>
      </c>
      <c r="B108" s="66" t="n">
        <v>365.9</v>
      </c>
      <c r="C108" s="66" t="n">
        <v>149.61</v>
      </c>
      <c r="D108" s="66" t="n">
        <v>926.05</v>
      </c>
      <c r="E108" s="66" t="n">
        <v>341.81</v>
      </c>
      <c r="F108" s="66" t="n">
        <v>98.94</v>
      </c>
      <c r="G108" s="66" t="n">
        <v>125.64</v>
      </c>
      <c r="H108" s="66" t="n">
        <v>135.46</v>
      </c>
      <c r="I108" s="66" t="n">
        <v>103.92</v>
      </c>
      <c r="J108" s="66" t="n">
        <v>162.47</v>
      </c>
      <c r="K108" s="66" t="n">
        <v>176.25</v>
      </c>
      <c r="L108" s="66" t="n">
        <v>110.05</v>
      </c>
      <c r="M108" s="66" t="n">
        <v>182.39</v>
      </c>
      <c r="N108" s="66" t="n">
        <v>26.15</v>
      </c>
      <c r="O108" s="66" t="n">
        <v>120.72</v>
      </c>
      <c r="P108" s="66" t="n">
        <v>262.1</v>
      </c>
      <c r="Q108" s="66" t="n">
        <v>338.9</v>
      </c>
      <c r="R108" s="66" t="n">
        <v>55.8</v>
      </c>
      <c r="S108" s="66" t="n">
        <v>117.31</v>
      </c>
      <c r="T108" s="66" t="n">
        <v>36.06</v>
      </c>
      <c r="U108" s="66"/>
      <c r="V108" s="66" t="n">
        <v>341.74</v>
      </c>
      <c r="W108" s="66"/>
      <c r="X108" s="66"/>
      <c r="Y108" s="66"/>
      <c r="Z108" s="66"/>
      <c r="AA108" s="66"/>
    </row>
    <row r="109" customFormat="false" ht="15" hidden="false" customHeight="true" outlineLevel="0" collapsed="false">
      <c r="A109" s="69" t="n">
        <v>45926</v>
      </c>
      <c r="B109" s="66" t="n">
        <v>360.37</v>
      </c>
      <c r="C109" s="66" t="n">
        <v>142.5</v>
      </c>
      <c r="D109" s="66" t="n">
        <v>945.29</v>
      </c>
      <c r="E109" s="66" t="n">
        <v>332.06</v>
      </c>
      <c r="F109" s="66" t="n">
        <v>99.24</v>
      </c>
      <c r="G109" s="66" t="n">
        <v>120.36</v>
      </c>
      <c r="H109" s="66" t="n">
        <v>136.5</v>
      </c>
      <c r="I109" s="66" t="n">
        <v>105.86</v>
      </c>
      <c r="J109" s="66" t="n">
        <v>157.02</v>
      </c>
      <c r="K109" s="66" t="n">
        <v>177.76</v>
      </c>
      <c r="L109" s="66" t="n">
        <v>110.71</v>
      </c>
      <c r="M109" s="66" t="n">
        <v>177.57</v>
      </c>
      <c r="N109" s="66" t="n">
        <v>26.29</v>
      </c>
      <c r="O109" s="66" t="n">
        <v>119.57</v>
      </c>
      <c r="P109" s="66" t="n">
        <v>270.5</v>
      </c>
      <c r="Q109" s="66" t="n">
        <v>334.69</v>
      </c>
      <c r="R109" s="66" t="n">
        <v>55.67</v>
      </c>
      <c r="S109" s="66" t="n">
        <v>116.51</v>
      </c>
      <c r="T109" s="66" t="n">
        <v>36.99</v>
      </c>
      <c r="U109" s="66"/>
      <c r="V109" s="66" t="n">
        <v>347.26</v>
      </c>
      <c r="W109" s="66"/>
      <c r="X109" s="66"/>
      <c r="Y109" s="66"/>
      <c r="Z109" s="66"/>
      <c r="AA109" s="66"/>
    </row>
    <row r="110" customFormat="false" ht="15" hidden="false" customHeight="true" outlineLevel="0" collapsed="false">
      <c r="A110" s="69" t="n">
        <v>45933</v>
      </c>
      <c r="B110" s="66" t="n">
        <v>346.74</v>
      </c>
      <c r="C110" s="66" t="n">
        <v>145.5</v>
      </c>
      <c r="D110" s="66" t="n">
        <v>1025.47</v>
      </c>
      <c r="E110" s="66" t="n">
        <v>335.87</v>
      </c>
      <c r="F110" s="66" t="n">
        <v>99.35</v>
      </c>
      <c r="G110" s="66" t="n">
        <v>122.47</v>
      </c>
      <c r="H110" s="66" t="n">
        <v>138.19</v>
      </c>
      <c r="I110" s="66" t="n">
        <v>109.56</v>
      </c>
      <c r="J110" s="66" t="n">
        <v>187.65</v>
      </c>
      <c r="K110" s="66" t="n">
        <v>187.17</v>
      </c>
      <c r="L110" s="66" t="n">
        <v>113.5</v>
      </c>
      <c r="M110" s="66" t="n">
        <v>173.07</v>
      </c>
      <c r="N110" s="66" t="n">
        <v>26.48</v>
      </c>
      <c r="O110" s="66" t="n">
        <v>119.08</v>
      </c>
      <c r="P110" s="66" t="n">
        <v>289.13</v>
      </c>
      <c r="Q110" s="66" t="n">
        <v>347.06</v>
      </c>
      <c r="R110" s="66" t="n">
        <v>55.68</v>
      </c>
      <c r="S110" s="66" t="n">
        <v>116.48</v>
      </c>
      <c r="T110" s="66" t="n">
        <v>37.33</v>
      </c>
      <c r="U110" s="66"/>
      <c r="V110" s="66" t="n">
        <v>348.99</v>
      </c>
      <c r="W110" s="66"/>
      <c r="X110" s="66"/>
      <c r="Y110" s="66"/>
      <c r="Z110" s="66"/>
      <c r="AA110" s="66"/>
    </row>
    <row r="111" customFormat="false" ht="15" hidden="false" customHeight="true" outlineLevel="0" collapsed="false">
      <c r="A111" s="69" t="n">
        <v>45940</v>
      </c>
      <c r="B111" s="66" t="n">
        <v>337.51</v>
      </c>
      <c r="C111" s="66" t="n">
        <v>154.1</v>
      </c>
      <c r="D111" s="66" t="n">
        <v>930.06</v>
      </c>
      <c r="E111" s="66" t="n">
        <v>322.23</v>
      </c>
      <c r="F111" s="66" t="n">
        <v>93.95</v>
      </c>
      <c r="G111" s="66" t="n">
        <v>123.42</v>
      </c>
      <c r="H111" s="66" t="n">
        <v>133.41</v>
      </c>
      <c r="I111" s="66" t="n">
        <v>97.75</v>
      </c>
      <c r="J111" s="66" t="n">
        <v>181.42</v>
      </c>
      <c r="K111" s="66" t="n">
        <v>182.72</v>
      </c>
      <c r="L111" s="66" t="n">
        <v>107.84</v>
      </c>
      <c r="M111" s="66" t="n">
        <v>175.44</v>
      </c>
      <c r="N111" s="66" t="n">
        <v>25.64</v>
      </c>
      <c r="O111" s="66" t="n">
        <v>117.51</v>
      </c>
      <c r="P111" s="66" t="n">
        <v>277.72</v>
      </c>
      <c r="Q111" s="66" t="n">
        <v>340.92</v>
      </c>
      <c r="R111" s="66" t="n">
        <v>55.78</v>
      </c>
      <c r="S111" s="66" t="n">
        <v>117.05</v>
      </c>
      <c r="T111" s="66" t="n">
        <v>37.61</v>
      </c>
      <c r="U111" s="66"/>
      <c r="V111" s="66" t="n">
        <v>340.5</v>
      </c>
      <c r="W111" s="66"/>
      <c r="X111" s="66"/>
      <c r="Y111" s="66"/>
      <c r="Z111" s="66"/>
      <c r="AA111" s="66"/>
    </row>
    <row r="112" customFormat="false" ht="15" hidden="false" customHeight="true" outlineLevel="0" collapsed="false">
      <c r="A112" s="69" t="n">
        <v>45947</v>
      </c>
      <c r="B112" s="66" t="n">
        <v>333.26</v>
      </c>
      <c r="C112" s="66" t="n">
        <v>143.1</v>
      </c>
      <c r="D112" s="66" t="n">
        <v>1022.53</v>
      </c>
      <c r="E112" s="66" t="n">
        <v>346.75</v>
      </c>
      <c r="F112" s="66" t="n">
        <v>95.79</v>
      </c>
      <c r="G112" s="66" t="n">
        <v>121.16</v>
      </c>
      <c r="H112" s="66" t="n">
        <v>135.37</v>
      </c>
      <c r="I112" s="66" t="n">
        <v>110.07</v>
      </c>
      <c r="J112" s="66" t="n">
        <v>202.18</v>
      </c>
      <c r="K112" s="66" t="n">
        <v>182.78</v>
      </c>
      <c r="L112" s="66" t="n">
        <v>120.3</v>
      </c>
      <c r="M112" s="66" t="n">
        <v>178.15</v>
      </c>
      <c r="N112" s="66" t="n">
        <v>25.88</v>
      </c>
      <c r="O112" s="66" t="n">
        <v>119.41</v>
      </c>
      <c r="P112" s="66" t="n">
        <v>291.99</v>
      </c>
      <c r="Q112" s="66" t="n">
        <v>339.18</v>
      </c>
      <c r="R112" s="66" t="n">
        <v>56.54</v>
      </c>
      <c r="S112" s="66" t="n">
        <v>120.48</v>
      </c>
      <c r="T112" s="66" t="n">
        <v>37.5</v>
      </c>
      <c r="U112" s="66"/>
      <c r="V112" s="66" t="n">
        <v>336.74</v>
      </c>
      <c r="W112" s="66"/>
      <c r="X112" s="66"/>
      <c r="Y112" s="66"/>
      <c r="Z112" s="66"/>
      <c r="AA112" s="66"/>
    </row>
    <row r="113" customFormat="false" ht="15" hidden="false" customHeight="true" outlineLevel="0" collapsed="false">
      <c r="A113" s="69" t="n">
        <v>45954</v>
      </c>
      <c r="B113" s="66" t="n">
        <v>353.52</v>
      </c>
      <c r="C113" s="66" t="n">
        <v>153.82</v>
      </c>
      <c r="D113" s="66" t="n">
        <v>1026.34</v>
      </c>
      <c r="E113" s="66" t="n">
        <v>351.52</v>
      </c>
      <c r="F113" s="66" t="n">
        <v>98.61</v>
      </c>
      <c r="G113" s="66" t="n">
        <v>131.83</v>
      </c>
      <c r="H113" s="66" t="n">
        <v>137.67</v>
      </c>
      <c r="I113" s="66" t="n">
        <v>117.65</v>
      </c>
      <c r="J113" s="66" t="n">
        <v>218.81</v>
      </c>
      <c r="K113" s="66" t="n">
        <v>185.81</v>
      </c>
      <c r="L113" s="66" t="n">
        <v>122.58</v>
      </c>
      <c r="M113" s="66" t="n">
        <v>184.63</v>
      </c>
      <c r="N113" s="66" t="n">
        <v>26.11</v>
      </c>
      <c r="O113" s="66" t="n">
        <v>120.69</v>
      </c>
      <c r="P113" s="66" t="n">
        <v>291.87</v>
      </c>
      <c r="Q113" s="66" t="n">
        <v>344.62</v>
      </c>
      <c r="R113" s="66" t="n">
        <v>57.16</v>
      </c>
      <c r="S113" s="66" t="n">
        <v>121.93</v>
      </c>
      <c r="T113" s="66" t="n">
        <v>37.45</v>
      </c>
      <c r="U113" s="66"/>
      <c r="V113" s="66" t="n">
        <v>338.9</v>
      </c>
      <c r="W113" s="66"/>
      <c r="X113" s="66"/>
      <c r="Y113" s="66"/>
      <c r="Z113" s="66"/>
      <c r="AA113" s="66"/>
    </row>
    <row r="114" customFormat="false" ht="15" hidden="false" customHeight="true" outlineLevel="0" collapsed="false">
      <c r="A114" s="69" t="n">
        <v>45961</v>
      </c>
      <c r="B114" s="66" t="n">
        <v>340.31</v>
      </c>
      <c r="C114" s="66" t="n">
        <v>157.69</v>
      </c>
      <c r="D114" s="66" t="n">
        <v>1054.17</v>
      </c>
      <c r="E114" s="66" t="n">
        <v>366.9</v>
      </c>
      <c r="F114" s="66" t="n">
        <v>96.52</v>
      </c>
      <c r="G114" s="66" t="n">
        <v>135.75</v>
      </c>
      <c r="H114" s="66" t="n">
        <v>134.39</v>
      </c>
      <c r="I114" s="66" t="n">
        <v>120.23</v>
      </c>
      <c r="J114" s="66" t="n">
        <v>223.55</v>
      </c>
      <c r="K114" s="66" t="n">
        <v>202.01</v>
      </c>
      <c r="L114" s="66" t="n">
        <v>120.31</v>
      </c>
      <c r="M114" s="66" t="n">
        <v>200.47</v>
      </c>
      <c r="N114" s="66" t="n">
        <v>25.84</v>
      </c>
      <c r="O114" s="66" t="n">
        <v>120.68</v>
      </c>
      <c r="P114" s="66" t="n">
        <v>297.28</v>
      </c>
      <c r="Q114" s="66" t="n">
        <v>338.04</v>
      </c>
      <c r="R114" s="66" t="n">
        <v>57.25</v>
      </c>
      <c r="S114" s="66" t="n">
        <v>120.58</v>
      </c>
      <c r="T114" s="66" t="n">
        <v>37.74</v>
      </c>
      <c r="U114" s="66"/>
      <c r="V114" s="66" t="n">
        <v>334.69</v>
      </c>
      <c r="W114" s="66"/>
      <c r="X114" s="66"/>
      <c r="Y114" s="66"/>
      <c r="Z114" s="66"/>
      <c r="AA114" s="66"/>
    </row>
    <row r="115" customFormat="false" ht="15" hidden="false" customHeight="true" outlineLevel="0" collapsed="false">
      <c r="A115" s="69" t="n">
        <v>45968</v>
      </c>
      <c r="B115" s="66" t="n">
        <v>326.95</v>
      </c>
      <c r="C115" s="66" t="n">
        <v>134.65</v>
      </c>
      <c r="D115" s="66" t="n">
        <v>1012.1</v>
      </c>
      <c r="E115" s="66" t="n">
        <v>346.85</v>
      </c>
      <c r="F115" s="66" t="n">
        <v>96.46</v>
      </c>
      <c r="G115" s="66" t="n">
        <v>134.95</v>
      </c>
      <c r="H115" s="66" t="n">
        <v>135.39</v>
      </c>
      <c r="I115" s="66" t="n">
        <v>118.7</v>
      </c>
      <c r="J115" s="66" t="n">
        <v>237.69</v>
      </c>
      <c r="K115" s="66" t="n">
        <v>187.7</v>
      </c>
      <c r="L115" s="66" t="n">
        <v>121.78</v>
      </c>
      <c r="M115" s="66" t="n">
        <v>177.93</v>
      </c>
      <c r="N115" s="66" t="n">
        <v>25.81</v>
      </c>
      <c r="O115" s="66" t="n">
        <v>117.54</v>
      </c>
      <c r="P115" s="66" t="n">
        <v>283.5</v>
      </c>
      <c r="Q115" s="66" t="n">
        <v>333.35</v>
      </c>
      <c r="R115" s="66" t="n">
        <v>57.28</v>
      </c>
      <c r="S115" s="66" t="n">
        <v>120.09</v>
      </c>
      <c r="T115" s="66" t="n">
        <v>37.87</v>
      </c>
      <c r="U115" s="66"/>
      <c r="V115" s="66" t="n">
        <v>347.06</v>
      </c>
      <c r="W115" s="66"/>
      <c r="X115" s="66"/>
      <c r="Y115" s="66"/>
      <c r="Z115" s="66"/>
      <c r="AA115" s="66"/>
    </row>
    <row r="116" customFormat="false" ht="15" hidden="false" customHeight="true" outlineLevel="0" collapsed="false">
      <c r="A116" s="69" t="n">
        <v>45975</v>
      </c>
      <c r="B116" s="66" t="n">
        <v>331.11</v>
      </c>
      <c r="C116" s="66" t="n">
        <v>131.37</v>
      </c>
      <c r="D116" s="66" t="n">
        <v>1002.17</v>
      </c>
      <c r="E116" s="66" t="n">
        <v>339.93</v>
      </c>
      <c r="F116" s="66" t="n">
        <v>96.32</v>
      </c>
      <c r="G116" s="66" t="n">
        <v>134.39</v>
      </c>
      <c r="H116" s="66" t="n">
        <v>135.81</v>
      </c>
      <c r="I116" s="66" t="n">
        <v>112.82</v>
      </c>
      <c r="J116" s="66" t="n">
        <v>246.59</v>
      </c>
      <c r="K116" s="66" t="n">
        <v>189.72</v>
      </c>
      <c r="L116" s="66" t="n">
        <v>119.09</v>
      </c>
      <c r="M116" s="66" t="n">
        <v>174.01</v>
      </c>
      <c r="N116" s="66" t="n">
        <v>26.32</v>
      </c>
      <c r="O116" s="66" t="n">
        <v>116.84</v>
      </c>
      <c r="P116" s="66" t="n">
        <v>281.84</v>
      </c>
      <c r="Q116" s="66" t="n">
        <v>328.05</v>
      </c>
      <c r="R116" s="66" t="n">
        <v>56.33</v>
      </c>
      <c r="S116" s="66" t="n">
        <v>118.5</v>
      </c>
      <c r="T116" s="66" t="n">
        <v>36.58</v>
      </c>
      <c r="U116" s="66"/>
      <c r="V116" s="66" t="n">
        <v>340.92</v>
      </c>
      <c r="W116" s="66"/>
      <c r="X116" s="66"/>
      <c r="Y116" s="66"/>
      <c r="Z116" s="66"/>
      <c r="AA116" s="66"/>
    </row>
    <row r="117" customFormat="false" ht="15" hidden="false" customHeight="true" outlineLevel="0" collapsed="false">
      <c r="A117" s="69" t="n">
        <v>45982</v>
      </c>
      <c r="B117" s="66" t="n">
        <v>324.19</v>
      </c>
      <c r="C117" s="66" t="n">
        <v>117.43</v>
      </c>
      <c r="D117" s="66" t="n">
        <v>961.95</v>
      </c>
      <c r="E117" s="66" t="n">
        <v>337.69</v>
      </c>
      <c r="F117" s="66" t="n">
        <v>95.57</v>
      </c>
      <c r="G117" s="66" t="n">
        <v>122.67</v>
      </c>
      <c r="H117" s="66" t="n">
        <v>135.14</v>
      </c>
      <c r="I117" s="66" t="n">
        <v>109.31</v>
      </c>
      <c r="J117" s="66" t="n">
        <v>207.17</v>
      </c>
      <c r="K117" s="66" t="n">
        <v>178.45</v>
      </c>
      <c r="L117" s="66" t="n">
        <v>121.96</v>
      </c>
      <c r="M117" s="66" t="n">
        <v>154.85</v>
      </c>
      <c r="N117" s="66" t="n">
        <v>26.18</v>
      </c>
      <c r="O117" s="66" t="n">
        <v>113.34</v>
      </c>
      <c r="P117" s="66" t="n">
        <v>272.18</v>
      </c>
      <c r="Q117" s="66" t="n">
        <v>326.02</v>
      </c>
      <c r="R117" s="66" t="n">
        <v>57.48</v>
      </c>
      <c r="S117" s="66" t="n">
        <v>120.42</v>
      </c>
      <c r="T117" s="66" t="n">
        <v>37.09</v>
      </c>
      <c r="U117" s="66"/>
      <c r="V117" s="66" t="n">
        <v>339.18</v>
      </c>
      <c r="W117" s="66"/>
      <c r="X117" s="66"/>
      <c r="Y117" s="66"/>
      <c r="Z117" s="66"/>
      <c r="AA117" s="66"/>
    </row>
    <row r="118" customFormat="false" ht="15" hidden="false" customHeight="true" outlineLevel="0" collapsed="false">
      <c r="A118" s="69" t="n">
        <v>45989</v>
      </c>
      <c r="B118" s="66" t="n">
        <v>320.13</v>
      </c>
      <c r="C118" s="66" t="n">
        <v>130.68</v>
      </c>
      <c r="D118" s="66" t="n">
        <v>1054.93</v>
      </c>
      <c r="E118" s="66" t="n">
        <v>399.99</v>
      </c>
      <c r="F118" s="66" t="n">
        <v>99.81</v>
      </c>
      <c r="G118" s="66" t="n">
        <v>127.29</v>
      </c>
      <c r="H118" s="66" t="n">
        <v>138.62</v>
      </c>
      <c r="I118" s="66" t="n">
        <v>117.11</v>
      </c>
      <c r="J118" s="66" t="n">
        <v>236.25</v>
      </c>
      <c r="K118" s="66" t="n">
        <v>176.58</v>
      </c>
      <c r="L118" s="66" t="n">
        <v>124.62</v>
      </c>
      <c r="M118" s="66" t="n">
        <v>168.45</v>
      </c>
      <c r="N118" s="66" t="n">
        <v>26.66</v>
      </c>
      <c r="O118" s="66" t="n">
        <v>119.11</v>
      </c>
      <c r="P118" s="66" t="n">
        <v>288.46</v>
      </c>
      <c r="Q118" s="66" t="n">
        <v>332.44</v>
      </c>
      <c r="R118" s="66" t="n">
        <v>58.55</v>
      </c>
      <c r="S118" s="66" t="n">
        <v>121.71</v>
      </c>
      <c r="T118" s="66" t="n">
        <v>38.06</v>
      </c>
      <c r="U118" s="66"/>
      <c r="V118" s="66" t="n">
        <v>344.62</v>
      </c>
      <c r="W118" s="66"/>
      <c r="X118" s="66"/>
      <c r="Y118" s="66"/>
      <c r="Z118" s="66"/>
      <c r="AA118" s="66"/>
    </row>
    <row r="119" customFormat="false" ht="15" hidden="false" customHeight="true" outlineLevel="0" collapsed="false">
      <c r="A119" s="69" t="n">
        <v>45996</v>
      </c>
      <c r="B119" s="66" t="n">
        <v>346.26</v>
      </c>
      <c r="C119" s="66" t="n">
        <v>128.59</v>
      </c>
      <c r="D119" s="66" t="n">
        <v>1094.21</v>
      </c>
      <c r="E119" s="66" t="n">
        <v>387.36</v>
      </c>
      <c r="F119" s="66" t="n">
        <v>101.56</v>
      </c>
      <c r="G119" s="66" t="n">
        <v>128.01</v>
      </c>
      <c r="H119" s="66" t="n">
        <v>136.97</v>
      </c>
      <c r="I119" s="66" t="n">
        <v>121</v>
      </c>
      <c r="J119" s="66" t="n">
        <v>236.99</v>
      </c>
      <c r="K119" s="66" t="n">
        <v>181.98</v>
      </c>
      <c r="L119" s="66" t="n">
        <v>124.08</v>
      </c>
      <c r="M119" s="66" t="n">
        <v>181.76</v>
      </c>
      <c r="N119" s="66" t="n">
        <v>26.77</v>
      </c>
      <c r="O119" s="66" t="n">
        <v>119.84</v>
      </c>
      <c r="P119" s="66" t="n">
        <v>291.63</v>
      </c>
      <c r="Q119" s="66" t="n">
        <v>329.26</v>
      </c>
      <c r="R119" s="66" t="n">
        <v>59.1</v>
      </c>
      <c r="S119" s="66" t="n">
        <v>121.7</v>
      </c>
      <c r="T119" s="66" t="n">
        <v>37.82</v>
      </c>
      <c r="U119" s="66"/>
      <c r="V119" s="66" t="n">
        <v>338.04</v>
      </c>
      <c r="W119" s="66"/>
      <c r="X119" s="66"/>
      <c r="Y119" s="66"/>
      <c r="Z119" s="66"/>
      <c r="AA119" s="66"/>
    </row>
    <row r="120" customFormat="false" ht="15" hidden="false" customHeight="true" outlineLevel="0" collapsed="false">
      <c r="A120" s="69" t="n">
        <v>46003</v>
      </c>
      <c r="B120" s="66" t="n">
        <v>356.43</v>
      </c>
      <c r="C120" s="66" t="n">
        <v>124.76</v>
      </c>
      <c r="D120" s="66" t="n">
        <v>1075.68</v>
      </c>
      <c r="E120" s="66" t="n">
        <v>357.27</v>
      </c>
      <c r="F120" s="66" t="n">
        <v>103.74</v>
      </c>
      <c r="G120" s="66" t="n">
        <v>126.19</v>
      </c>
      <c r="H120" s="66" t="n">
        <v>139.19</v>
      </c>
      <c r="I120" s="66" t="n">
        <v>118.95</v>
      </c>
      <c r="J120" s="66" t="n">
        <v>240.9</v>
      </c>
      <c r="K120" s="66" t="n">
        <v>174.61</v>
      </c>
      <c r="L120" s="66" t="n">
        <v>126.22</v>
      </c>
      <c r="M120" s="66" t="n">
        <v>183.57</v>
      </c>
      <c r="N120" s="66" t="n">
        <v>27.02</v>
      </c>
      <c r="O120" s="66" t="n">
        <v>118.1</v>
      </c>
      <c r="P120" s="66" t="n">
        <v>289.76</v>
      </c>
      <c r="Q120" s="66" t="n">
        <v>345.75</v>
      </c>
      <c r="R120" s="66" t="n">
        <v>57.71</v>
      </c>
      <c r="S120" s="66" t="n">
        <v>118.53</v>
      </c>
      <c r="T120" s="66" t="n">
        <v>37.88</v>
      </c>
      <c r="U120" s="66"/>
      <c r="V120" s="66" t="n">
        <v>333.35</v>
      </c>
      <c r="W120" s="66"/>
      <c r="X120" s="66"/>
      <c r="Y120" s="66"/>
      <c r="Z120" s="66"/>
      <c r="AA120" s="66"/>
    </row>
    <row r="121" customFormat="false" ht="15" hidden="false" customHeight="true" outlineLevel="0" collapsed="false">
      <c r="A121" s="69" t="n">
        <v>46010</v>
      </c>
      <c r="B121" s="66" t="n">
        <v>355.86</v>
      </c>
      <c r="C121" s="66" t="n">
        <v>131.12</v>
      </c>
      <c r="D121" s="66" t="n">
        <v>1050.97</v>
      </c>
      <c r="E121" s="66" t="n">
        <v>337.85</v>
      </c>
      <c r="F121" s="66" t="n">
        <v>102.8</v>
      </c>
      <c r="G121" s="66" t="n">
        <v>120.32</v>
      </c>
      <c r="H121" s="66" t="n">
        <v>138.55</v>
      </c>
      <c r="I121" s="66" t="n">
        <v>124.11</v>
      </c>
      <c r="J121" s="66" t="n">
        <v>265.66</v>
      </c>
      <c r="K121" s="66" t="n">
        <v>180.57</v>
      </c>
      <c r="L121" s="66" t="n">
        <v>124.32</v>
      </c>
      <c r="M121" s="66" t="n">
        <v>193.38</v>
      </c>
      <c r="N121" s="66" t="n">
        <v>26.8</v>
      </c>
      <c r="O121" s="66" t="n">
        <v>118.53</v>
      </c>
      <c r="P121" s="66" t="n">
        <v>286.7</v>
      </c>
      <c r="Q121" s="66" t="n">
        <v>347.17</v>
      </c>
      <c r="R121" s="66" t="n">
        <v>57.82</v>
      </c>
      <c r="S121" s="66" t="n">
        <v>117.83</v>
      </c>
      <c r="T121" s="66" t="n">
        <v>38.3</v>
      </c>
      <c r="U121" s="66"/>
      <c r="V121" s="66" t="n">
        <v>328.05</v>
      </c>
      <c r="W121" s="66"/>
      <c r="X121" s="66"/>
      <c r="Y121" s="66"/>
      <c r="Z121" s="66"/>
      <c r="AA121" s="66"/>
    </row>
    <row r="122" customFormat="false" ht="15" hidden="false" customHeight="true" outlineLevel="0" collapsed="false">
      <c r="A122" s="69" t="n">
        <v>46017</v>
      </c>
      <c r="B122" s="66" t="n">
        <v>353.8</v>
      </c>
      <c r="C122" s="66" t="n">
        <v>131.84</v>
      </c>
      <c r="D122" s="66" t="n">
        <v>1067.62</v>
      </c>
      <c r="E122" s="66" t="n">
        <v>350.2</v>
      </c>
      <c r="F122" s="66" t="n">
        <v>102.71</v>
      </c>
      <c r="G122" s="66" t="n">
        <v>120.3</v>
      </c>
      <c r="H122" s="66" t="n">
        <v>139.28</v>
      </c>
      <c r="I122" s="66" t="n">
        <v>127.49</v>
      </c>
      <c r="J122" s="66" t="n">
        <v>284.51</v>
      </c>
      <c r="K122" s="66" t="n">
        <v>190.09</v>
      </c>
      <c r="L122" s="66" t="n">
        <v>125.76</v>
      </c>
      <c r="M122" s="66" t="n">
        <v>188.71</v>
      </c>
      <c r="N122" s="66" t="n">
        <v>26.98</v>
      </c>
      <c r="O122" s="66" t="n">
        <v>120.66</v>
      </c>
      <c r="P122" s="66" t="n">
        <v>300.48</v>
      </c>
      <c r="Q122" s="66" t="n">
        <v>352.88</v>
      </c>
      <c r="R122" s="66" t="n">
        <v>56.24</v>
      </c>
      <c r="S122" s="66" t="n">
        <v>114.3</v>
      </c>
      <c r="T122" s="66" t="n">
        <v>37.53</v>
      </c>
      <c r="U122" s="66"/>
      <c r="V122" s="66" t="n">
        <v>326.02</v>
      </c>
      <c r="W122" s="66"/>
      <c r="X122" s="66"/>
      <c r="Y122" s="66"/>
      <c r="Z122" s="66"/>
      <c r="AA122" s="66"/>
    </row>
    <row r="123" customFormat="false" ht="15" hidden="false" customHeight="true" outlineLevel="0" collapsed="false">
      <c r="A123" s="69" t="n">
        <v>46024</v>
      </c>
      <c r="B123" s="66" t="n">
        <v>333.3</v>
      </c>
      <c r="C123" s="66" t="n">
        <v>133.6</v>
      </c>
      <c r="D123" s="66" t="n">
        <v>1158.22</v>
      </c>
      <c r="E123" s="66" t="n">
        <v>345.71</v>
      </c>
      <c r="F123" s="66" t="n">
        <v>102.14</v>
      </c>
      <c r="G123" s="66" t="n">
        <v>113.39</v>
      </c>
      <c r="H123" s="66" t="n">
        <v>139.29</v>
      </c>
      <c r="I123" s="66" t="n">
        <v>126.98</v>
      </c>
      <c r="J123" s="66" t="n">
        <v>315.24</v>
      </c>
      <c r="K123" s="66" t="n">
        <v>188.41</v>
      </c>
      <c r="L123" s="66" t="n">
        <v>126.1</v>
      </c>
      <c r="M123" s="66" t="n">
        <v>167.86</v>
      </c>
      <c r="N123" s="66" t="n">
        <v>27.06</v>
      </c>
      <c r="O123" s="66" t="n">
        <v>118.96</v>
      </c>
      <c r="P123" s="66" t="n">
        <v>317.12</v>
      </c>
      <c r="Q123" s="66" t="n">
        <v>344.41</v>
      </c>
      <c r="R123" s="66" t="n">
        <v>58.81</v>
      </c>
      <c r="S123" s="66" t="n">
        <v>120.12</v>
      </c>
      <c r="T123" s="66" t="n">
        <v>38.82</v>
      </c>
      <c r="U123" s="66"/>
      <c r="V123" s="66" t="n">
        <v>332.44</v>
      </c>
      <c r="W123" s="66"/>
      <c r="X123" s="66"/>
      <c r="Y123" s="66"/>
      <c r="Z123" s="66"/>
      <c r="AA123" s="66"/>
    </row>
    <row r="124" customFormat="false" ht="15" hidden="false" customHeight="true" outlineLevel="0" collapsed="false">
      <c r="A124" s="69" t="n">
        <v>46031</v>
      </c>
      <c r="B124" s="66" t="n">
        <v>333.95</v>
      </c>
      <c r="C124" s="66" t="n">
        <v>122.89</v>
      </c>
      <c r="D124" s="66" t="n">
        <v>1267.79</v>
      </c>
      <c r="E124" s="66" t="n">
        <v>343.08</v>
      </c>
      <c r="F124" s="66" t="n">
        <v>106.31</v>
      </c>
      <c r="G124" s="66" t="n">
        <v>117.65</v>
      </c>
      <c r="H124" s="66" t="n">
        <v>142.21</v>
      </c>
      <c r="I124" s="66" t="n">
        <v>139.48</v>
      </c>
      <c r="J124" s="66" t="n">
        <v>344.89</v>
      </c>
      <c r="K124" s="66" t="n">
        <v>184.43</v>
      </c>
      <c r="L124" s="66" t="n">
        <v>126.44</v>
      </c>
      <c r="M124" s="66" t="n">
        <v>177.49</v>
      </c>
      <c r="N124" s="66" t="n">
        <v>27.86</v>
      </c>
      <c r="O124" s="66" t="n">
        <v>119.31</v>
      </c>
      <c r="P124" s="66" t="n">
        <v>321.11</v>
      </c>
      <c r="Q124" s="66" t="n">
        <v>347.68</v>
      </c>
      <c r="R124" s="66" t="n">
        <v>58.82</v>
      </c>
      <c r="S124" s="66" t="n">
        <v>120.85</v>
      </c>
      <c r="T124" s="66" t="n">
        <v>39.42</v>
      </c>
      <c r="U124" s="66"/>
      <c r="V124" s="66" t="n">
        <v>329.26</v>
      </c>
      <c r="W124" s="66"/>
      <c r="X124" s="66"/>
      <c r="Y124" s="66"/>
      <c r="Z124" s="66"/>
      <c r="AA124" s="66"/>
    </row>
    <row r="125" customFormat="false" ht="15" hidden="false" customHeight="true" outlineLevel="0" collapsed="false">
      <c r="A125" s="69" t="n">
        <v>46038</v>
      </c>
      <c r="B125" s="66" t="n">
        <v>296.12</v>
      </c>
      <c r="C125" s="66" t="n">
        <v>129.83</v>
      </c>
      <c r="D125" s="66" t="n">
        <v>1352.07</v>
      </c>
      <c r="E125" s="66" t="n">
        <v>349.78</v>
      </c>
      <c r="F125" s="66" t="n">
        <v>107.48</v>
      </c>
      <c r="G125" s="66" t="n">
        <v>113.47</v>
      </c>
      <c r="H125" s="66" t="n">
        <v>144.06</v>
      </c>
      <c r="I125" s="66" t="n">
        <v>156.2</v>
      </c>
      <c r="J125" s="66" t="n">
        <v>362.54</v>
      </c>
      <c r="K125" s="66" t="n">
        <v>185.8</v>
      </c>
      <c r="L125" s="66" t="n">
        <v>130.16</v>
      </c>
      <c r="M125" s="66" t="n">
        <v>170.96</v>
      </c>
      <c r="N125" s="66" t="n">
        <v>28.21</v>
      </c>
      <c r="O125" s="66" t="n">
        <v>119.28</v>
      </c>
      <c r="P125" s="66" t="n">
        <v>339.73</v>
      </c>
      <c r="Q125" s="66" t="n">
        <v>326.34</v>
      </c>
      <c r="R125" s="66" t="n">
        <v>58.18</v>
      </c>
      <c r="S125" s="66" t="n">
        <v>119.1</v>
      </c>
      <c r="T125" s="66" t="n">
        <v>39.7</v>
      </c>
      <c r="U125" s="66"/>
      <c r="V125" s="66" t="n">
        <v>345.75</v>
      </c>
      <c r="W125" s="66"/>
      <c r="X125" s="66"/>
      <c r="Y125" s="66"/>
      <c r="Z125" s="66"/>
      <c r="AA125" s="66"/>
    </row>
    <row r="126" customFormat="false" ht="15" hidden="false" customHeight="true" outlineLevel="0" collapsed="false">
      <c r="A126" s="69" t="n">
        <v>46045</v>
      </c>
      <c r="B126" s="66" t="n">
        <v>301.07</v>
      </c>
      <c r="C126" s="66" t="n">
        <v>136.34</v>
      </c>
      <c r="D126" s="66" t="n">
        <v>1382.4</v>
      </c>
      <c r="E126" s="66" t="n">
        <v>318.3</v>
      </c>
      <c r="F126" s="66" t="n">
        <v>107.46</v>
      </c>
      <c r="G126" s="66" t="n">
        <v>113.12</v>
      </c>
      <c r="H126" s="66" t="n">
        <v>144.42</v>
      </c>
      <c r="I126" s="66" t="n">
        <v>150.72</v>
      </c>
      <c r="J126" s="66" t="n">
        <v>399.42</v>
      </c>
      <c r="K126" s="66" t="n">
        <v>187.23</v>
      </c>
      <c r="L126" s="66" t="n">
        <v>124.24</v>
      </c>
      <c r="M126" s="66" t="n">
        <v>169.6</v>
      </c>
      <c r="N126" s="66" t="n">
        <v>28.44</v>
      </c>
      <c r="O126" s="66" t="n">
        <v>117.22</v>
      </c>
      <c r="P126" s="66" t="n">
        <v>332.26</v>
      </c>
      <c r="Q126" s="66" t="n">
        <v>324.23</v>
      </c>
      <c r="R126" s="66" t="n">
        <v>58.62</v>
      </c>
      <c r="S126" s="66" t="n">
        <v>119.53</v>
      </c>
      <c r="T126" s="66" t="n">
        <v>39.53</v>
      </c>
      <c r="U126" s="66"/>
      <c r="V126" s="66" t="n">
        <v>347.17</v>
      </c>
      <c r="W126" s="66"/>
      <c r="X126" s="66"/>
      <c r="Y126" s="66"/>
      <c r="Z126" s="66"/>
      <c r="AA126" s="66"/>
    </row>
    <row r="127" customFormat="false" ht="15" hidden="false" customHeight="true" outlineLevel="0" collapsed="false">
      <c r="A127" s="69" t="n">
        <v>46052</v>
      </c>
      <c r="B127" s="66" t="n">
        <v>293.25</v>
      </c>
      <c r="C127" s="66" t="n">
        <v>141.74</v>
      </c>
      <c r="D127" s="66" t="n">
        <v>1416.2</v>
      </c>
      <c r="E127" s="66" t="n">
        <v>329.48</v>
      </c>
      <c r="F127" s="66" t="n">
        <v>108.24</v>
      </c>
      <c r="G127" s="66" t="n">
        <v>110.35</v>
      </c>
      <c r="H127" s="66" t="n">
        <v>146.93</v>
      </c>
      <c r="I127" s="66" t="n">
        <v>142.27</v>
      </c>
      <c r="J127" s="66" t="n">
        <v>414.64</v>
      </c>
      <c r="K127" s="66" t="n">
        <v>190.68</v>
      </c>
      <c r="L127" s="66" t="n">
        <v>127.57</v>
      </c>
      <c r="M127" s="66" t="n">
        <v>146.59</v>
      </c>
      <c r="N127" s="66" t="n">
        <v>29.1</v>
      </c>
      <c r="O127" s="66" t="n">
        <v>119.15</v>
      </c>
      <c r="P127" s="66" t="n">
        <v>327.98</v>
      </c>
      <c r="Q127" s="66" t="n">
        <v>319.91</v>
      </c>
      <c r="R127" s="66" t="n">
        <v>59.34</v>
      </c>
      <c r="S127" s="66" t="n">
        <v>121.38</v>
      </c>
      <c r="T127" s="66" t="n">
        <v>39.79</v>
      </c>
      <c r="U127" s="66"/>
      <c r="V127" s="66" t="n">
        <v>352.88</v>
      </c>
      <c r="W127" s="66"/>
      <c r="X127" s="66"/>
      <c r="Y127" s="66"/>
      <c r="Z127" s="66"/>
      <c r="AA127" s="66"/>
    </row>
    <row r="128" customFormat="false" ht="15" hidden="false" customHeight="true" outlineLevel="0" collapsed="false">
      <c r="A128" s="69" t="n">
        <v>46059</v>
      </c>
      <c r="B128" s="66" t="n">
        <v>268.38</v>
      </c>
      <c r="C128" s="66" t="n">
        <v>137.49</v>
      </c>
      <c r="D128" s="66" t="n">
        <v>1406.25</v>
      </c>
      <c r="E128" s="66" t="n">
        <v>331.1</v>
      </c>
      <c r="F128" s="66" t="n">
        <v>114.1</v>
      </c>
      <c r="G128" s="66" t="n">
        <v>98.88</v>
      </c>
      <c r="H128" s="66" t="n">
        <v>151.79</v>
      </c>
      <c r="I128" s="66" t="n">
        <v>143.76</v>
      </c>
      <c r="J128" s="66" t="n">
        <v>394.46</v>
      </c>
      <c r="K128" s="66" t="n">
        <v>184.98</v>
      </c>
      <c r="L128" s="66" t="n">
        <v>133.82</v>
      </c>
      <c r="M128" s="66" t="n">
        <v>135.9</v>
      </c>
      <c r="N128" s="66" t="n">
        <v>30.71</v>
      </c>
      <c r="O128" s="66" t="n">
        <v>119.12</v>
      </c>
      <c r="P128" s="66" t="n">
        <v>346.13</v>
      </c>
      <c r="Q128" s="66" t="n">
        <v>329.6</v>
      </c>
      <c r="R128" s="66" t="n">
        <v>58.09</v>
      </c>
      <c r="S128" s="66" t="n">
        <v>119.67</v>
      </c>
      <c r="T128" s="66" t="n">
        <v>39.42</v>
      </c>
      <c r="U128" s="66"/>
      <c r="V128" s="66" t="n">
        <v>344.41</v>
      </c>
      <c r="W128" s="66"/>
      <c r="X128" s="66"/>
      <c r="Y128" s="66"/>
      <c r="Z128" s="66"/>
      <c r="AA128" s="66"/>
    </row>
    <row r="129" customFormat="false" ht="15" hidden="false" customHeight="true" outlineLevel="0" collapsed="false">
      <c r="A129" s="69" t="n">
        <v>46066</v>
      </c>
      <c r="B129" s="66" t="n">
        <v>263.97</v>
      </c>
      <c r="C129" s="66" t="n">
        <v>141.59</v>
      </c>
      <c r="D129" s="66" t="n">
        <v>1401.73</v>
      </c>
      <c r="E129" s="66" t="n">
        <v>323.39</v>
      </c>
      <c r="F129" s="66" t="n">
        <v>113.81</v>
      </c>
      <c r="G129" s="66" t="n">
        <v>107.41</v>
      </c>
      <c r="H129" s="66" t="n">
        <v>154.23</v>
      </c>
      <c r="I129" s="66" t="n">
        <v>145.87</v>
      </c>
      <c r="J129" s="66" t="n">
        <v>411.42</v>
      </c>
      <c r="K129" s="66" t="n">
        <v>182.38</v>
      </c>
      <c r="L129" s="66" t="n">
        <v>135.79</v>
      </c>
      <c r="M129" s="66" t="n">
        <v>131.41</v>
      </c>
      <c r="N129" s="66" t="n">
        <v>30.85</v>
      </c>
      <c r="O129" s="66" t="n">
        <v>117.54</v>
      </c>
      <c r="P129" s="66" t="n">
        <v>363.5</v>
      </c>
      <c r="Q129" s="66" t="n">
        <v>312.85</v>
      </c>
      <c r="R129" s="66" t="n">
        <v>59.16</v>
      </c>
      <c r="S129" s="66" t="n">
        <v>120.03</v>
      </c>
      <c r="T129" s="66" t="n">
        <v>40.43</v>
      </c>
      <c r="U129" s="66"/>
      <c r="V129" s="66" t="n">
        <v>347.68</v>
      </c>
      <c r="W129" s="66"/>
      <c r="X129" s="66"/>
      <c r="Y129" s="66"/>
      <c r="Z129" s="66"/>
      <c r="AA129" s="66"/>
    </row>
    <row r="130" customFormat="false" ht="15" hidden="false" customHeight="true" outlineLevel="0" collapsed="false">
      <c r="A130" s="69" t="n">
        <v>46073</v>
      </c>
      <c r="B130" s="66" t="n">
        <v>258.61</v>
      </c>
      <c r="C130" s="66" t="n">
        <v>132.79</v>
      </c>
      <c r="D130" s="66" t="n">
        <v>1464.49</v>
      </c>
      <c r="E130" s="66" t="n">
        <v>330.83</v>
      </c>
      <c r="F130" s="66" t="n">
        <v>114.45</v>
      </c>
      <c r="G130" s="66" t="n">
        <v>97.15</v>
      </c>
      <c r="H130" s="66" t="n">
        <v>153.13</v>
      </c>
      <c r="I130" s="66" t="n">
        <v>149.24</v>
      </c>
      <c r="J130" s="66" t="n">
        <v>427.92</v>
      </c>
      <c r="K130" s="66" t="n">
        <v>189.38</v>
      </c>
      <c r="L130" s="66" t="n">
        <v>138.27</v>
      </c>
      <c r="M130" s="66" t="n">
        <v>135.24</v>
      </c>
      <c r="N130" s="66" t="n">
        <v>30.85</v>
      </c>
      <c r="O130" s="66" t="n">
        <v>119.24</v>
      </c>
      <c r="P130" s="66" t="n">
        <v>367.65</v>
      </c>
      <c r="Q130" s="66" t="n">
        <v>319.69</v>
      </c>
      <c r="R130" s="66" t="n">
        <v>58.92</v>
      </c>
      <c r="S130" s="66" t="n">
        <v>120</v>
      </c>
      <c r="T130" s="66" t="n">
        <v>39.61</v>
      </c>
      <c r="U130" s="66"/>
      <c r="V130" s="66" t="n">
        <v>326.34</v>
      </c>
      <c r="W130" s="66"/>
      <c r="X130" s="66"/>
      <c r="Y130" s="66"/>
      <c r="Z130" s="66"/>
      <c r="AA130" s="66"/>
    </row>
    <row r="131" customFormat="false" ht="15" hidden="false" customHeight="true" outlineLevel="0" collapsed="false">
      <c r="A131" s="69" t="n">
        <v>46080</v>
      </c>
      <c r="B131" s="66" t="n">
        <v>262.41</v>
      </c>
      <c r="C131" s="66" t="n">
        <v>133.5</v>
      </c>
      <c r="D131" s="66" t="n">
        <v>1445.53</v>
      </c>
      <c r="E131" s="66" t="n">
        <v>317.8</v>
      </c>
      <c r="F131" s="66" t="n">
        <v>111.91</v>
      </c>
      <c r="G131" s="66" t="n">
        <v>93</v>
      </c>
      <c r="H131" s="66" t="n">
        <v>152.62</v>
      </c>
      <c r="I131" s="66" t="n">
        <v>152.09</v>
      </c>
      <c r="J131" s="66" t="n">
        <v>412.13</v>
      </c>
      <c r="K131" s="66" t="n">
        <v>176.78</v>
      </c>
      <c r="L131" s="66" t="n">
        <v>139.31</v>
      </c>
      <c r="M131" s="66" t="n">
        <v>137.19</v>
      </c>
      <c r="N131" s="66" t="n">
        <v>31.01</v>
      </c>
      <c r="O131" s="66" t="n">
        <v>118.76</v>
      </c>
      <c r="P131" s="66" t="n">
        <v>371.66</v>
      </c>
      <c r="Q131" s="66" t="n">
        <v>318.89</v>
      </c>
      <c r="R131" s="66" t="n">
        <v>59.22</v>
      </c>
      <c r="S131" s="66" t="n">
        <v>117.92</v>
      </c>
      <c r="T131" s="66" t="n">
        <v>39.86</v>
      </c>
      <c r="U131" s="66"/>
      <c r="V131" s="66" t="n">
        <v>324.23</v>
      </c>
      <c r="W131" s="66"/>
      <c r="X131" s="66"/>
      <c r="Y131" s="66"/>
      <c r="Z131" s="66"/>
      <c r="AA131" s="66"/>
    </row>
    <row r="132" customFormat="false" ht="15" hidden="false" customHeight="true" outlineLevel="0" collapsed="false">
      <c r="A132" s="69" t="n">
        <v>46087</v>
      </c>
      <c r="B132" s="66" t="n">
        <v>283.62</v>
      </c>
      <c r="C132" s="66" t="n">
        <v>132.89</v>
      </c>
      <c r="D132" s="66" t="n">
        <v>1288.32</v>
      </c>
      <c r="E132" s="66" t="n">
        <v>328.67</v>
      </c>
      <c r="F132" s="66" t="n">
        <v>107.62</v>
      </c>
      <c r="G132" s="66" t="n">
        <v>107.25</v>
      </c>
      <c r="H132" s="66" t="n">
        <v>148.85</v>
      </c>
      <c r="I132" s="66" t="n">
        <v>134.13</v>
      </c>
      <c r="J132" s="66" t="n">
        <v>370.09</v>
      </c>
      <c r="K132" s="66" t="n">
        <v>177.4</v>
      </c>
      <c r="L132" s="66" t="n">
        <v>131.46</v>
      </c>
      <c r="M132" s="66" t="n">
        <v>157.16</v>
      </c>
      <c r="N132" s="66" t="n">
        <v>30.38</v>
      </c>
      <c r="O132" s="66" t="n">
        <v>117.53</v>
      </c>
      <c r="P132" s="66" t="n">
        <v>336.25</v>
      </c>
      <c r="Q132" s="66" t="n">
        <v>316.12</v>
      </c>
      <c r="R132" s="66" t="n">
        <v>59.43</v>
      </c>
      <c r="S132" s="66" t="n">
        <v>119.87</v>
      </c>
      <c r="T132" s="66" t="n">
        <v>39.47</v>
      </c>
      <c r="U132" s="66"/>
      <c r="V132" s="66" t="n">
        <v>319.91</v>
      </c>
      <c r="W132" s="66"/>
      <c r="X132" s="66"/>
      <c r="Y132" s="66"/>
      <c r="Z132" s="66"/>
      <c r="AA132" s="66"/>
    </row>
    <row r="133" customFormat="false" ht="15" hidden="false" customHeight="true" outlineLevel="0" collapsed="false">
      <c r="A133" s="69" t="n">
        <v>46094</v>
      </c>
      <c r="B133" s="66" t="n">
        <v>249.32</v>
      </c>
      <c r="C133" s="66" t="n">
        <v>133.57</v>
      </c>
      <c r="D133" s="66" t="n">
        <v>1341.02</v>
      </c>
      <c r="E133" s="66" t="n">
        <v>320.39</v>
      </c>
      <c r="F133" s="66" t="n">
        <v>105.56</v>
      </c>
      <c r="G133" s="66" t="n">
        <v>110.44</v>
      </c>
      <c r="H133" s="66" t="n">
        <v>147.04</v>
      </c>
      <c r="I133" s="66" t="n">
        <v>141.52</v>
      </c>
      <c r="J133" s="66" t="n">
        <v>425.89</v>
      </c>
      <c r="K133" s="66" t="n">
        <v>179.84</v>
      </c>
      <c r="L133" s="66" t="n">
        <v>128.73</v>
      </c>
      <c r="M133" s="66" t="n">
        <v>150.95</v>
      </c>
      <c r="N133" s="66" t="n">
        <v>30.06</v>
      </c>
      <c r="O133" s="66" t="n">
        <v>115.49</v>
      </c>
      <c r="P133" s="66" t="n">
        <v>335.67</v>
      </c>
      <c r="Q133" s="66" t="n">
        <v>305.94</v>
      </c>
      <c r="R133" s="66" t="n">
        <v>58.05</v>
      </c>
      <c r="S133" s="66" t="n">
        <v>119.84</v>
      </c>
      <c r="T133" s="66" t="n">
        <v>40.43</v>
      </c>
      <c r="U133" s="66"/>
      <c r="V133" s="66" t="n">
        <v>329.6</v>
      </c>
      <c r="W133" s="66"/>
      <c r="X133" s="66"/>
      <c r="Y133" s="66"/>
      <c r="Z133" s="66"/>
      <c r="AA133" s="66"/>
    </row>
    <row r="134" customFormat="false" ht="15" hidden="false" customHeight="true" outlineLevel="0" collapsed="false">
      <c r="A134" s="69" t="n">
        <v>46101</v>
      </c>
      <c r="B134" s="66" t="n">
        <v>248.15</v>
      </c>
      <c r="C134" s="66" t="n">
        <v>131.22</v>
      </c>
      <c r="D134" s="66" t="n">
        <v>1312.68</v>
      </c>
      <c r="E134" s="66" t="n">
        <v>308.81</v>
      </c>
      <c r="F134" s="66" t="n">
        <v>105.35</v>
      </c>
      <c r="G134" s="66" t="n">
        <v>102.25</v>
      </c>
      <c r="H134" s="66" t="n">
        <v>143.6</v>
      </c>
      <c r="I134" s="66" t="n">
        <v>149.51</v>
      </c>
      <c r="J134" s="66" t="n">
        <v>422.66</v>
      </c>
      <c r="K134" s="66" t="n">
        <v>172.31</v>
      </c>
      <c r="L134" s="66" t="n">
        <v>126.09</v>
      </c>
      <c r="M134" s="66" t="n">
        <v>150.68</v>
      </c>
      <c r="N134" s="66" t="n">
        <v>29.66</v>
      </c>
      <c r="O134" s="66" t="n">
        <v>113.1</v>
      </c>
      <c r="P134" s="66" t="n">
        <v>327.59</v>
      </c>
      <c r="Q134" s="66" t="n">
        <v>300.44</v>
      </c>
      <c r="R134" s="66" t="n">
        <v>57.51</v>
      </c>
      <c r="S134" s="66" t="n">
        <v>118.25</v>
      </c>
      <c r="T134" s="66" t="n">
        <v>40.26</v>
      </c>
      <c r="U134" s="66"/>
      <c r="V134" s="66" t="n">
        <v>312.85</v>
      </c>
      <c r="W134" s="66"/>
      <c r="X134" s="66"/>
      <c r="Y134" s="66"/>
      <c r="Z134" s="66"/>
      <c r="AA134" s="66"/>
    </row>
    <row r="135" customFormat="false" ht="15" hidden="false" customHeight="true" outlineLevel="0" collapsed="false">
      <c r="A135" s="69" t="n">
        <v>46108</v>
      </c>
      <c r="B135" s="66" t="n">
        <v>234.84</v>
      </c>
      <c r="C135" s="66" t="n">
        <v>120.77</v>
      </c>
      <c r="D135" s="66" t="n">
        <v>1297.95</v>
      </c>
      <c r="E135" s="66" t="n">
        <v>299.66</v>
      </c>
      <c r="F135" s="66" t="n">
        <v>108.47</v>
      </c>
      <c r="G135" s="66" t="n">
        <v>92.39</v>
      </c>
      <c r="H135" s="66" t="n">
        <v>147.11</v>
      </c>
      <c r="I135" s="66" t="n">
        <v>143.97</v>
      </c>
      <c r="J135" s="66" t="n">
        <v>357.02</v>
      </c>
      <c r="K135" s="66" t="n">
        <v>167.14</v>
      </c>
      <c r="L135" s="66" t="n">
        <v>126.96</v>
      </c>
      <c r="M135" s="66" t="n">
        <v>143.06</v>
      </c>
      <c r="N135" s="66" t="n">
        <v>29.96</v>
      </c>
      <c r="O135" s="66" t="n">
        <v>109.96</v>
      </c>
      <c r="P135" s="66" t="n">
        <v>325.1</v>
      </c>
      <c r="Q135" s="66" t="n">
        <v>294.36</v>
      </c>
      <c r="R135" s="66" t="n">
        <v>58.15</v>
      </c>
      <c r="S135" s="66" t="n">
        <v>119.96</v>
      </c>
      <c r="T135" s="66" t="n">
        <v>40.34</v>
      </c>
      <c r="U135" s="66"/>
      <c r="V135" s="66" t="n">
        <v>319.69</v>
      </c>
      <c r="W135" s="66"/>
      <c r="X135" s="66"/>
      <c r="Y135" s="66"/>
      <c r="Z135" s="66"/>
      <c r="AA135" s="66"/>
    </row>
    <row r="136" customFormat="false" ht="15" hidden="false" customHeight="true" outlineLevel="0" collapsed="false">
      <c r="A136" s="69" t="n">
        <v>46115</v>
      </c>
      <c r="B136" s="66" t="n">
        <v>242.92</v>
      </c>
      <c r="C136" s="66" t="n">
        <v>126.68</v>
      </c>
      <c r="D136" s="66" t="n">
        <v>1312.66</v>
      </c>
      <c r="E136" s="66" t="n">
        <v>313.48</v>
      </c>
      <c r="F136" s="66" t="n">
        <v>110.65</v>
      </c>
      <c r="G136" s="66" t="n">
        <v>99.78</v>
      </c>
      <c r="H136" s="66" t="n">
        <v>149.24</v>
      </c>
      <c r="I136" s="66" t="n">
        <v>151.32</v>
      </c>
      <c r="J136" s="66" t="n">
        <v>366.18</v>
      </c>
      <c r="K136" s="66" t="n">
        <v>176.99</v>
      </c>
      <c r="L136" s="66" t="n">
        <v>131.76</v>
      </c>
      <c r="M136" s="66" t="n">
        <v>148.46</v>
      </c>
      <c r="N136" s="66" t="n">
        <v>30.08</v>
      </c>
      <c r="O136" s="66" t="n">
        <v>114.38</v>
      </c>
      <c r="P136" s="66" t="n">
        <v>337.34</v>
      </c>
      <c r="Q136" s="66" t="n">
        <v>299.62</v>
      </c>
      <c r="R136" s="66" t="n">
        <v>58.04</v>
      </c>
      <c r="S136" s="66" t="n">
        <v>119.47</v>
      </c>
      <c r="T136" s="66" t="n">
        <v>40.48</v>
      </c>
      <c r="U136" s="66"/>
      <c r="V136" s="66" t="n">
        <v>318.89</v>
      </c>
      <c r="W136" s="66"/>
      <c r="X136" s="66"/>
      <c r="Y136" s="66"/>
      <c r="Z136" s="66"/>
      <c r="AA136" s="66"/>
    </row>
    <row r="137" customFormat="false" ht="15" hidden="false" customHeight="true" outlineLevel="0" collapsed="false">
      <c r="A137" s="69" t="n">
        <v>46122</v>
      </c>
      <c r="B137" s="66" t="n">
        <v>225.35</v>
      </c>
      <c r="C137" s="66" t="n">
        <v>147.35</v>
      </c>
      <c r="D137" s="66" t="n">
        <v>1473.15</v>
      </c>
      <c r="E137" s="66" t="n">
        <v>370.29</v>
      </c>
      <c r="F137" s="66" t="n">
        <v>113.94</v>
      </c>
      <c r="G137" s="66" t="n">
        <v>94.75</v>
      </c>
      <c r="H137" s="66" t="n">
        <v>150.01</v>
      </c>
      <c r="I137" s="66" t="n">
        <v>173.31</v>
      </c>
      <c r="J137" s="66" t="n">
        <v>420.53</v>
      </c>
      <c r="K137" s="66" t="n">
        <v>188.2</v>
      </c>
      <c r="L137" s="66" t="n">
        <v>135.13</v>
      </c>
      <c r="M137" s="66" t="n">
        <v>128.06</v>
      </c>
      <c r="N137" s="66" t="n">
        <v>30.08</v>
      </c>
      <c r="O137" s="66" t="n">
        <v>122.95</v>
      </c>
      <c r="P137" s="66" t="n">
        <v>368.74</v>
      </c>
      <c r="Q137" s="66" t="n">
        <v>303.17</v>
      </c>
      <c r="R137" s="66" t="n">
        <v>56.85</v>
      </c>
      <c r="S137" s="66" t="n">
        <v>118.24</v>
      </c>
      <c r="T137" s="66" t="n">
        <v>40.11</v>
      </c>
      <c r="U137" s="66"/>
      <c r="V137" s="66" t="n">
        <v>316.12</v>
      </c>
      <c r="W137" s="66"/>
      <c r="X137" s="66"/>
      <c r="Y137" s="66"/>
      <c r="Z137" s="66"/>
      <c r="AA137" s="66"/>
    </row>
    <row r="138" customFormat="false" ht="15" hidden="false" customHeight="true" outlineLevel="0" collapsed="false">
      <c r="A138" s="69" t="n">
        <v>46129</v>
      </c>
      <c r="B138" s="66" t="n">
        <v>244.45</v>
      </c>
      <c r="C138" s="66" t="n">
        <v>164.23</v>
      </c>
      <c r="D138" s="66" t="n">
        <v>1454.74</v>
      </c>
      <c r="E138" s="66" t="n">
        <v>405.16</v>
      </c>
      <c r="F138" s="66" t="n">
        <v>116.71</v>
      </c>
      <c r="G138" s="66" t="n">
        <v>105.99</v>
      </c>
      <c r="H138" s="66" t="n">
        <v>150.7</v>
      </c>
      <c r="I138" s="66" t="n">
        <v>178.71</v>
      </c>
      <c r="J138" s="66" t="n">
        <v>455</v>
      </c>
      <c r="K138" s="66" t="n">
        <v>201.22</v>
      </c>
      <c r="L138" s="66" t="n">
        <v>142.92</v>
      </c>
      <c r="M138" s="66" t="n">
        <v>146.39</v>
      </c>
      <c r="N138" s="66" t="n">
        <v>30.56</v>
      </c>
      <c r="O138" s="66" t="n">
        <v>127.89</v>
      </c>
      <c r="P138" s="66" t="n">
        <v>368.65</v>
      </c>
      <c r="Q138" s="66" t="n">
        <v>315.78</v>
      </c>
      <c r="R138" s="66" t="n">
        <v>56.56</v>
      </c>
      <c r="S138" s="66" t="n">
        <v>116.18</v>
      </c>
      <c r="T138" s="66" t="n">
        <v>39.2</v>
      </c>
      <c r="U138" s="66"/>
      <c r="V138" s="66" t="n">
        <v>305.94</v>
      </c>
      <c r="W138" s="66"/>
      <c r="X138" s="66"/>
      <c r="Y138" s="66"/>
      <c r="Z138" s="66"/>
      <c r="AA138" s="66"/>
    </row>
    <row r="139" customFormat="false" ht="15" hidden="false" customHeight="true" outlineLevel="0" collapsed="false">
      <c r="A139" s="69" t="n">
        <v>46136</v>
      </c>
      <c r="B139" s="66" t="n">
        <v>245.44</v>
      </c>
      <c r="C139" s="66" t="n">
        <v>176.91</v>
      </c>
      <c r="D139" s="66" t="n">
        <v>1452.64</v>
      </c>
      <c r="E139" s="66" t="n">
        <v>421.32</v>
      </c>
      <c r="F139" s="66" t="n">
        <v>118.14</v>
      </c>
      <c r="G139" s="66" t="n">
        <v>112.03</v>
      </c>
      <c r="H139" s="66" t="n">
        <v>149.48</v>
      </c>
      <c r="I139" s="66" t="n">
        <v>193.04</v>
      </c>
      <c r="J139" s="66" t="n">
        <v>496.64</v>
      </c>
      <c r="K139" s="66" t="n">
        <v>207.8</v>
      </c>
      <c r="L139" s="66" t="n">
        <v>139.96</v>
      </c>
      <c r="M139" s="66" t="n">
        <v>143.09</v>
      </c>
      <c r="N139" s="66" t="n">
        <v>30.71</v>
      </c>
      <c r="O139" s="66" t="n">
        <v>131.1</v>
      </c>
      <c r="P139" s="66" t="n">
        <v>400.45</v>
      </c>
      <c r="Q139" s="66" t="n">
        <v>308.21</v>
      </c>
      <c r="R139" s="66" t="n">
        <v>55.76</v>
      </c>
      <c r="S139" s="66" t="n">
        <v>113.78</v>
      </c>
      <c r="T139" s="66" t="n">
        <v>39.24</v>
      </c>
      <c r="U139" s="66"/>
      <c r="V139" s="66" t="n">
        <v>300.44</v>
      </c>
      <c r="W139" s="66"/>
      <c r="X139" s="66"/>
      <c r="Y139" s="66"/>
      <c r="Z139" s="66"/>
      <c r="AA139" s="66"/>
    </row>
    <row r="140" customFormat="false" ht="15" hidden="false" customHeight="true" outlineLevel="0" collapsed="false">
      <c r="A140" s="69" t="n">
        <v>46143</v>
      </c>
      <c r="B140" s="66" t="n">
        <v>250.71</v>
      </c>
      <c r="C140" s="66" t="n">
        <v>172.7</v>
      </c>
      <c r="D140" s="66" t="n">
        <v>1425.18</v>
      </c>
      <c r="E140" s="66" t="n">
        <v>419.85</v>
      </c>
      <c r="F140" s="66" t="n">
        <v>119.13</v>
      </c>
      <c r="G140" s="66" t="n">
        <v>113.91</v>
      </c>
      <c r="H140" s="66" t="n">
        <v>152.16</v>
      </c>
      <c r="I140" s="66" t="n">
        <v>172.21</v>
      </c>
      <c r="J140" s="66" t="n">
        <v>542.13</v>
      </c>
      <c r="K140" s="66" t="n">
        <v>198</v>
      </c>
      <c r="L140" s="66" t="n">
        <v>139.29</v>
      </c>
      <c r="M140" s="66" t="n">
        <v>144.07</v>
      </c>
      <c r="N140" s="66" t="n">
        <v>31.36</v>
      </c>
      <c r="O140" s="66" t="n">
        <v>134</v>
      </c>
      <c r="P140" s="66" t="n">
        <v>395.68</v>
      </c>
      <c r="Q140" s="66" t="n">
        <v>326.74</v>
      </c>
      <c r="R140" s="66" t="n">
        <v>54.13</v>
      </c>
      <c r="S140" s="66" t="n">
        <v>110.31</v>
      </c>
      <c r="T140" s="66" t="n">
        <v>38.75</v>
      </c>
      <c r="U140" s="66"/>
      <c r="V140" s="66" t="n">
        <v>294.36</v>
      </c>
      <c r="W140" s="66"/>
      <c r="X140" s="66"/>
      <c r="Y140" s="66"/>
      <c r="Z140" s="66"/>
      <c r="AA140" s="66"/>
    </row>
    <row r="141" customFormat="false" ht="15" hidden="false" customHeight="true" outlineLevel="0" collapsed="false">
      <c r="A141" s="69" t="n">
        <v>46150</v>
      </c>
      <c r="B141" s="66" t="n">
        <v>253.04</v>
      </c>
      <c r="C141" s="66" t="n">
        <v>141.77</v>
      </c>
      <c r="D141" s="66" t="n">
        <v>1589.96</v>
      </c>
      <c r="E141" s="66" t="n">
        <v>428.54</v>
      </c>
      <c r="F141" s="66" t="n">
        <v>119.01</v>
      </c>
      <c r="G141" s="66" t="n">
        <v>131.94</v>
      </c>
      <c r="H141" s="66" t="n">
        <v>149.85</v>
      </c>
      <c r="I141" s="66" t="n">
        <v>186.47</v>
      </c>
      <c r="J141" s="66" t="n">
        <v>746.7</v>
      </c>
      <c r="K141" s="66" t="n">
        <v>214.71</v>
      </c>
      <c r="L141" s="66" t="n">
        <v>141.92</v>
      </c>
      <c r="M141" s="66" t="n">
        <v>137.8</v>
      </c>
      <c r="N141" s="66" t="n">
        <v>31.12</v>
      </c>
      <c r="O141" s="66" t="n">
        <v>143.36</v>
      </c>
      <c r="P141" s="66" t="n">
        <v>409.62</v>
      </c>
      <c r="Q141" s="66" t="n">
        <v>317.54</v>
      </c>
      <c r="R141" s="66" t="n">
        <v>55.59</v>
      </c>
      <c r="S141" s="66" t="n">
        <v>114.74</v>
      </c>
      <c r="T141" s="66" t="n">
        <v>39.84</v>
      </c>
      <c r="U141" s="66"/>
      <c r="V141" s="66"/>
      <c r="W141" s="66"/>
      <c r="X141" s="66"/>
      <c r="Y141" s="66"/>
      <c r="Z141" s="66"/>
      <c r="AA141" s="66"/>
    </row>
    <row r="142" customFormat="false" ht="15" hidden="false" customHeight="true" outlineLevel="0" collapsed="false">
      <c r="A142" s="69" t="n">
        <v>46157</v>
      </c>
      <c r="B142" s="66" t="n">
        <v>247.6</v>
      </c>
      <c r="C142" s="66" t="n">
        <v>141.97</v>
      </c>
      <c r="D142" s="66" t="n">
        <v>1499.87</v>
      </c>
      <c r="E142" s="66" t="n">
        <v>423.75</v>
      </c>
      <c r="F142" s="66" t="n">
        <v>116.44</v>
      </c>
      <c r="G142" s="66" t="n">
        <v>148.52</v>
      </c>
      <c r="H142" s="66" t="n">
        <v>148.55</v>
      </c>
      <c r="I142" s="66" t="n">
        <v>180</v>
      </c>
      <c r="J142" s="66" t="n">
        <v>724.55</v>
      </c>
      <c r="K142" s="66" t="n">
        <v>224.81</v>
      </c>
      <c r="L142" s="66" t="n">
        <v>138.42</v>
      </c>
      <c r="M142" s="66" t="n">
        <v>133.99</v>
      </c>
      <c r="N142" s="66" t="n">
        <v>31.22</v>
      </c>
      <c r="O142" s="66" t="n">
        <v>143.03</v>
      </c>
      <c r="P142" s="66" t="n">
        <v>402.33</v>
      </c>
      <c r="Q142" s="66" t="n">
        <v>325.15</v>
      </c>
      <c r="R142" s="66" t="n">
        <v>57.62</v>
      </c>
      <c r="S142" s="66" t="n">
        <v>123.34</v>
      </c>
      <c r="T142" s="66" t="n">
        <v>39.64</v>
      </c>
      <c r="U142" s="66"/>
      <c r="V142" s="66" t="n">
        <v>303.17</v>
      </c>
      <c r="W142" s="66"/>
      <c r="X142" s="66"/>
      <c r="Y142" s="66"/>
      <c r="Z142" s="66"/>
      <c r="AA142" s="66"/>
    </row>
    <row r="143" customFormat="false" ht="15" hidden="false" customHeight="true" outlineLevel="0" collapsed="false">
      <c r="A143" s="69" t="n">
        <v>46164</v>
      </c>
      <c r="B143" s="66" t="n">
        <v>244.76</v>
      </c>
      <c r="C143" s="66" t="n">
        <v>154.03</v>
      </c>
      <c r="D143" s="66" t="n">
        <v>1630.79</v>
      </c>
      <c r="E143" s="66" t="n">
        <v>412.73</v>
      </c>
      <c r="F143" s="66" t="n">
        <v>119.2</v>
      </c>
      <c r="G143" s="66" t="n">
        <v>165.87</v>
      </c>
      <c r="H143" s="66" t="n">
        <v>153.27</v>
      </c>
      <c r="I143" s="66" t="n">
        <v>188.62</v>
      </c>
      <c r="J143" s="66" t="n">
        <v>750.88</v>
      </c>
      <c r="K143" s="66" t="n">
        <v>214.84</v>
      </c>
      <c r="L143" s="66" t="n">
        <v>143.71</v>
      </c>
      <c r="M143" s="66" t="n">
        <v>136.88</v>
      </c>
      <c r="N143" s="66" t="n">
        <v>32.31</v>
      </c>
      <c r="O143" s="66" t="n">
        <v>144.48</v>
      </c>
      <c r="P143" s="66" t="n">
        <v>402.5</v>
      </c>
      <c r="Q143" s="66" t="n">
        <v>328.27</v>
      </c>
      <c r="R143" s="66" t="n">
        <v>58.66</v>
      </c>
      <c r="S143" s="66" t="n">
        <v>128.3</v>
      </c>
      <c r="T143" s="66" t="n">
        <v>41.76</v>
      </c>
      <c r="U143" s="66"/>
      <c r="V143" s="66" t="n">
        <v>315.78</v>
      </c>
      <c r="W143" s="66"/>
      <c r="X143" s="66"/>
      <c r="Y143" s="66"/>
      <c r="Z143" s="66"/>
      <c r="AA143" s="66"/>
    </row>
    <row r="144" customFormat="false" ht="15" hidden="false" customHeight="true" outlineLevel="0" collapsed="false">
      <c r="A144" s="69" t="n">
        <v>46171</v>
      </c>
      <c r="B144" s="66" t="n">
        <v>259.21</v>
      </c>
      <c r="C144" s="66" t="n">
        <v>159.47</v>
      </c>
      <c r="D144" s="66" t="n">
        <v>1610.68</v>
      </c>
      <c r="E144" s="66" t="n">
        <v>445.25</v>
      </c>
      <c r="F144" s="66" t="n">
        <v>119.22</v>
      </c>
      <c r="G144" s="66" t="n">
        <v>182.75</v>
      </c>
      <c r="H144" s="66" t="n">
        <v>152.49</v>
      </c>
      <c r="I144" s="66" t="n">
        <v>191.95</v>
      </c>
      <c r="J144" s="66" t="n">
        <v>970.85</v>
      </c>
      <c r="K144" s="66" t="n">
        <v>210.66</v>
      </c>
      <c r="L144" s="66" t="n">
        <v>141.31</v>
      </c>
      <c r="M144" s="66" t="n">
        <v>156.54</v>
      </c>
      <c r="N144" s="66" t="n">
        <v>31.99</v>
      </c>
      <c r="O144" s="66" t="n">
        <v>150.11</v>
      </c>
      <c r="P144" s="66" t="n">
        <v>416.36</v>
      </c>
      <c r="Q144" s="66" t="n">
        <v>325.75</v>
      </c>
      <c r="R144" s="66" t="n">
        <v>58.99</v>
      </c>
      <c r="S144" s="66" t="n">
        <v>131.52</v>
      </c>
      <c r="T144" s="66" t="n">
        <v>41.52</v>
      </c>
      <c r="U144" s="66"/>
      <c r="V144" s="66" t="n">
        <v>308.21</v>
      </c>
      <c r="W144" s="66"/>
      <c r="X144" s="66"/>
      <c r="Y144" s="66"/>
      <c r="Z144" s="66"/>
      <c r="AA144" s="66"/>
    </row>
    <row r="145" customFormat="false" ht="15" hidden="false" customHeight="true" outlineLevel="0" collapsed="false">
      <c r="A145" s="69" t="n">
        <v>46178</v>
      </c>
      <c r="B145" s="66" t="n">
        <v>251.44</v>
      </c>
      <c r="C145" s="66" t="n">
        <v>154.27</v>
      </c>
      <c r="D145" s="66" t="n">
        <v>1639.62</v>
      </c>
      <c r="E145" s="66" t="n">
        <v>384.42</v>
      </c>
      <c r="F145" s="66" t="n">
        <v>118.87</v>
      </c>
      <c r="G145" s="66" t="n">
        <v>167.76</v>
      </c>
      <c r="H145" s="66" t="n">
        <v>152.92</v>
      </c>
      <c r="I145" s="66" t="n">
        <v>192.7</v>
      </c>
      <c r="J145" s="66" t="n">
        <v>863.88</v>
      </c>
      <c r="K145" s="66" t="n">
        <v>204.87</v>
      </c>
      <c r="L145" s="66" t="n">
        <v>142.37</v>
      </c>
      <c r="M145" s="66" t="n">
        <v>135.53</v>
      </c>
      <c r="N145" s="66" t="n">
        <v>31.79</v>
      </c>
      <c r="O145" s="66" t="n">
        <v>143.82</v>
      </c>
      <c r="P145" s="66" t="n">
        <v>413.09</v>
      </c>
      <c r="Q145" s="66" t="n">
        <v>322.97</v>
      </c>
      <c r="R145" s="66" t="n">
        <v>58.86</v>
      </c>
      <c r="S145" s="66" t="n">
        <v>134.42</v>
      </c>
      <c r="T145" s="66" t="n">
        <v>42.59</v>
      </c>
      <c r="U145" s="66"/>
      <c r="V145" s="66" t="n">
        <v>326.74</v>
      </c>
      <c r="W145" s="66"/>
      <c r="X145" s="66"/>
      <c r="Y145" s="66"/>
      <c r="Z145" s="66"/>
      <c r="AA145" s="66"/>
    </row>
    <row r="146" customFormat="false" ht="15" hidden="false" customHeight="true" outlineLevel="0" collapsed="false">
      <c r="A146" s="69" t="n">
        <v>46185</v>
      </c>
      <c r="B146" s="66" t="n">
        <v>204.02</v>
      </c>
      <c r="C146" s="66" t="n">
        <v>163.24</v>
      </c>
      <c r="D146" s="66" t="n">
        <v>1861.14</v>
      </c>
      <c r="E146" s="66" t="n">
        <v>380.77</v>
      </c>
      <c r="F146" s="66" t="n">
        <v>123.97</v>
      </c>
      <c r="G146" s="66" t="n">
        <v>170.7</v>
      </c>
      <c r="H146" s="66" t="n">
        <v>156.3</v>
      </c>
      <c r="I146" s="66" t="n">
        <v>254.25</v>
      </c>
      <c r="J146" s="66" t="n">
        <v>981.46</v>
      </c>
      <c r="K146" s="66" t="n">
        <v>204.96</v>
      </c>
      <c r="L146" s="66" t="n">
        <v>146.51</v>
      </c>
      <c r="M146" s="66" t="n">
        <v>127.99</v>
      </c>
      <c r="N146" s="66" t="n">
        <v>32.3</v>
      </c>
      <c r="O146" s="66" t="n">
        <v>152</v>
      </c>
      <c r="P146" s="66" t="n">
        <v>422.8</v>
      </c>
      <c r="Q146" s="66" t="n">
        <v>321.79</v>
      </c>
      <c r="R146" s="66" t="n">
        <v>59.61</v>
      </c>
      <c r="S146" s="66" t="n">
        <v>143.81</v>
      </c>
      <c r="T146" s="66" t="n">
        <v>43.62</v>
      </c>
      <c r="U146" s="66"/>
      <c r="V146" s="66" t="n">
        <v>317.54</v>
      </c>
      <c r="W146" s="66"/>
      <c r="X146" s="66"/>
      <c r="Y146" s="66"/>
      <c r="Z146" s="66"/>
      <c r="AA146" s="66"/>
    </row>
    <row r="147" customFormat="false" ht="15" hidden="false" customHeight="true" outlineLevel="0" collapsed="false">
      <c r="A147" s="69" t="n">
        <v>46192</v>
      </c>
      <c r="B147" s="66" t="n">
        <v>195.16</v>
      </c>
      <c r="C147" s="66" t="n">
        <v>169.67</v>
      </c>
      <c r="D147" s="66" t="n">
        <v>1927.19</v>
      </c>
      <c r="E147" s="66" t="n">
        <v>409.95</v>
      </c>
      <c r="F147" s="66" t="n">
        <v>121.6</v>
      </c>
      <c r="G147" s="66" t="n">
        <v>171.21</v>
      </c>
      <c r="H147" s="66" t="n">
        <v>152.05</v>
      </c>
      <c r="I147" s="66" t="n">
        <v>259.27</v>
      </c>
      <c r="J147" s="66" t="n">
        <v>1133.82</v>
      </c>
      <c r="K147" s="66" t="n">
        <v>210.45</v>
      </c>
      <c r="L147" s="66" t="n">
        <v>139.43</v>
      </c>
      <c r="M147" s="66" t="n">
        <v>128.47</v>
      </c>
      <c r="N147" s="66" t="n">
        <v>31.36</v>
      </c>
      <c r="O147" s="66" t="n">
        <v>159.39</v>
      </c>
      <c r="P147" s="66" t="n">
        <v>460.88</v>
      </c>
      <c r="Q147" s="66" t="n">
        <v>326.63</v>
      </c>
      <c r="R147" s="66" t="n">
        <v>59.77</v>
      </c>
      <c r="S147" s="66" t="n">
        <v>143.48</v>
      </c>
      <c r="T147" s="66" t="n">
        <v>42.5</v>
      </c>
      <c r="U147" s="66"/>
      <c r="V147" s="66" t="n">
        <v>325.15</v>
      </c>
      <c r="W147" s="66"/>
      <c r="X147" s="66"/>
      <c r="Y147" s="66"/>
      <c r="Z147" s="66"/>
      <c r="AA147" s="66"/>
    </row>
    <row r="148" customFormat="false" ht="15" hidden="false" customHeight="true" outlineLevel="0" collapsed="false">
      <c r="A148" s="69" t="n">
        <v>46199</v>
      </c>
      <c r="B148" s="66" t="n">
        <v>202.73</v>
      </c>
      <c r="C148" s="66" t="n">
        <v>157.6</v>
      </c>
      <c r="D148" s="66" t="n">
        <v>1792.3</v>
      </c>
      <c r="E148" s="66" t="n">
        <v>364.36</v>
      </c>
      <c r="F148" s="66" t="n">
        <v>124.53</v>
      </c>
      <c r="G148" s="66" t="n">
        <v>175.27</v>
      </c>
      <c r="H148" s="66" t="n">
        <v>156.87</v>
      </c>
      <c r="I148" s="66" t="n">
        <v>248.36</v>
      </c>
      <c r="J148" s="66" t="n">
        <v>1132.16</v>
      </c>
      <c r="K148" s="66" t="n">
        <v>192.31</v>
      </c>
      <c r="L148" s="66" t="n">
        <v>138.87</v>
      </c>
      <c r="M148" s="66" t="n">
        <v>112.93</v>
      </c>
      <c r="N148" s="66" t="n">
        <v>31.84</v>
      </c>
      <c r="O148" s="66" t="n">
        <v>153.95</v>
      </c>
      <c r="P148" s="66" t="n">
        <v>431.19</v>
      </c>
      <c r="Q148" s="66" t="n">
        <v>335.61</v>
      </c>
      <c r="R148" s="66" t="n">
        <v>60.21</v>
      </c>
      <c r="S148" s="66" t="n">
        <v>144.94</v>
      </c>
      <c r="T148" s="66" t="n">
        <v>44.18</v>
      </c>
      <c r="U148" s="66"/>
      <c r="V148" s="66" t="n">
        <v>328.27</v>
      </c>
      <c r="W148" s="66"/>
      <c r="X148" s="66"/>
      <c r="Y148" s="66"/>
      <c r="Z148" s="66"/>
      <c r="AA148" s="66"/>
    </row>
    <row r="149" customFormat="false" ht="15" hidden="false" customHeight="true" outlineLevel="0" collapsed="false">
      <c r="A149" s="69" t="n">
        <v>46206</v>
      </c>
      <c r="B149" s="66" t="n">
        <v>219.72</v>
      </c>
      <c r="C149" s="66" t="n">
        <v>159.99</v>
      </c>
      <c r="D149" s="66" t="n">
        <v>1767.03</v>
      </c>
      <c r="E149" s="66" t="n">
        <v>359.79</v>
      </c>
      <c r="F149" s="66" t="n">
        <v>123.11</v>
      </c>
      <c r="G149" s="66" t="n">
        <v>193.98</v>
      </c>
      <c r="H149" s="66" t="n">
        <v>157.78</v>
      </c>
      <c r="I149" s="66" t="n">
        <v>235.28</v>
      </c>
      <c r="J149" s="66" t="n">
        <v>975.41</v>
      </c>
      <c r="K149" s="66" t="n">
        <v>194.61</v>
      </c>
      <c r="L149" s="66" t="n">
        <v>138.33</v>
      </c>
      <c r="M149" s="66" t="n">
        <v>129.3</v>
      </c>
      <c r="N149" s="66" t="n">
        <v>32.13</v>
      </c>
      <c r="O149" s="66" t="n">
        <v>150.58</v>
      </c>
      <c r="P149" s="66" t="n">
        <v>433</v>
      </c>
      <c r="Q149" s="66" t="n">
        <v>361.46</v>
      </c>
      <c r="R149" s="66" t="n">
        <v>61.15</v>
      </c>
      <c r="S149" s="66" t="n">
        <v>150.59</v>
      </c>
      <c r="T149" s="66" t="n">
        <v>46.57</v>
      </c>
      <c r="U149" s="66"/>
      <c r="V149" s="66" t="n">
        <v>325.75</v>
      </c>
      <c r="W149" s="66"/>
      <c r="X149" s="66"/>
      <c r="Y149" s="66"/>
      <c r="Z149" s="66"/>
      <c r="AA149" s="66"/>
    </row>
    <row r="150" customFormat="false" ht="15" hidden="false" customHeight="true" outlineLevel="0" collapsed="false">
      <c r="A150" s="69" t="n">
        <v>46213</v>
      </c>
      <c r="B150" s="66" t="n">
        <v>223.64</v>
      </c>
      <c r="C150" s="66" t="n">
        <v>186.96</v>
      </c>
      <c r="D150" s="66" t="n">
        <v>1795</v>
      </c>
      <c r="E150" s="66" t="n">
        <v>399.24</v>
      </c>
      <c r="F150" s="66" t="n">
        <v>123.55</v>
      </c>
      <c r="G150" s="66" t="n">
        <v>187.18</v>
      </c>
      <c r="H150" s="66" t="n">
        <v>158.15</v>
      </c>
      <c r="I150" s="66" t="n">
        <v>231.26</v>
      </c>
      <c r="J150" s="66" t="n">
        <v>979.3</v>
      </c>
      <c r="K150" s="66" t="n">
        <v>210.72</v>
      </c>
      <c r="L150" s="66" t="n">
        <v>139.76</v>
      </c>
      <c r="M150" s="66" t="n">
        <v>126.79</v>
      </c>
      <c r="N150" s="66" t="n">
        <v>32.14</v>
      </c>
      <c r="O150" s="66" t="n">
        <v>153.5</v>
      </c>
      <c r="P150" s="66" t="n">
        <v>432.95</v>
      </c>
      <c r="Q150" s="66" t="n">
        <v>348.32</v>
      </c>
      <c r="R150" s="66" t="n">
        <v>58.9</v>
      </c>
      <c r="S150" s="66" t="n">
        <v>144.28</v>
      </c>
      <c r="T150" s="66" t="n">
        <v>46.05</v>
      </c>
      <c r="U150" s="66"/>
      <c r="V150" s="66" t="n">
        <v>322.97</v>
      </c>
      <c r="W150" s="66"/>
      <c r="X150" s="66"/>
      <c r="Y150" s="66"/>
      <c r="Z150" s="66"/>
      <c r="AA150" s="66"/>
    </row>
    <row r="151" customFormat="false" ht="15" hidden="false" customHeight="true" outlineLevel="0" collapsed="false">
      <c r="A151" s="69" t="n">
        <v>46220</v>
      </c>
      <c r="B151" s="66" t="n">
        <v>237.25</v>
      </c>
      <c r="C151" s="66" t="n">
        <v>168.61</v>
      </c>
      <c r="D151" s="66" t="n">
        <v>1745.32</v>
      </c>
      <c r="E151" s="66" t="n">
        <v>370.16</v>
      </c>
      <c r="F151" s="66" t="n">
        <v>124.94</v>
      </c>
      <c r="G151" s="66" t="n">
        <v>203.08</v>
      </c>
      <c r="H151" s="66" t="n">
        <v>160.51</v>
      </c>
      <c r="I151" s="66" t="n">
        <v>212.51</v>
      </c>
      <c r="J151" s="66" t="n">
        <v>848.95</v>
      </c>
      <c r="K151" s="66" t="n">
        <v>202.58</v>
      </c>
      <c r="L151" s="66" t="n">
        <v>148.61</v>
      </c>
      <c r="M151" s="66" t="n">
        <v>132.38</v>
      </c>
      <c r="N151" s="66" t="n">
        <v>32.65</v>
      </c>
      <c r="O151" s="66" t="n">
        <v>143.66</v>
      </c>
      <c r="P151" s="66" t="n">
        <v>397.3</v>
      </c>
      <c r="Q151" s="66" t="n">
        <v>357.9</v>
      </c>
      <c r="R151" s="66" t="n">
        <v>59.86</v>
      </c>
      <c r="S151" s="66" t="n">
        <v>152.48</v>
      </c>
      <c r="T151" s="66" t="n">
        <v>46.29</v>
      </c>
      <c r="U151" s="66"/>
      <c r="V151" s="66" t="n">
        <v>321.79</v>
      </c>
      <c r="W151" s="66"/>
      <c r="X151" s="66"/>
      <c r="Y151" s="66"/>
      <c r="Z151" s="66"/>
      <c r="AA151" s="66"/>
    </row>
    <row r="152" customFormat="false" ht="15" hidden="false" customHeight="true" outlineLevel="0" collapsed="false">
      <c r="A152" s="69" t="n">
        <v>46227</v>
      </c>
      <c r="B152" s="66" t="n">
        <v>225.11</v>
      </c>
      <c r="C152" s="66" t="n">
        <v>173.99</v>
      </c>
      <c r="D152" s="66" t="n">
        <v>1754.82</v>
      </c>
      <c r="E152" s="66" t="n">
        <v>381.23</v>
      </c>
      <c r="F152" s="66" t="n">
        <v>124.87</v>
      </c>
      <c r="G152" s="66" t="n">
        <v>183.28</v>
      </c>
      <c r="H152" s="66" t="n">
        <v>161.66</v>
      </c>
      <c r="I152" s="66" t="n">
        <v>210.28</v>
      </c>
      <c r="J152" s="66" t="n">
        <v>920.95</v>
      </c>
      <c r="K152" s="66" t="n">
        <v>206.61</v>
      </c>
      <c r="L152" s="66" t="n">
        <v>146.47</v>
      </c>
      <c r="M152" s="66" t="n">
        <v>122.92</v>
      </c>
      <c r="N152" s="66" t="n">
        <v>33.03</v>
      </c>
      <c r="O152" s="66" t="n">
        <v>146.27</v>
      </c>
      <c r="P152" s="66" t="n">
        <v>402.33</v>
      </c>
      <c r="Q152" s="66" t="n">
        <v>355.08</v>
      </c>
      <c r="R152" s="66" t="n">
        <v>61.34</v>
      </c>
      <c r="S152" s="66" t="n">
        <v>159.9</v>
      </c>
      <c r="T152" s="66" t="n">
        <v>45.25</v>
      </c>
      <c r="U152" s="66"/>
      <c r="V152" s="66"/>
      <c r="W152" s="66"/>
      <c r="X152" s="66"/>
      <c r="Y152" s="66"/>
      <c r="Z152" s="66"/>
      <c r="AA152" s="66"/>
    </row>
    <row r="153" customFormat="false" ht="15" hidden="false" customHeight="true" outlineLevel="0" collapsed="false">
      <c r="A153" s="69" t="n">
        <v>46234</v>
      </c>
      <c r="B153" s="66" t="n">
        <v>250.41</v>
      </c>
      <c r="C153" s="66" t="n">
        <v>180.35</v>
      </c>
      <c r="D153" s="66" t="n">
        <v>1629</v>
      </c>
      <c r="E153" s="66" t="n">
        <v>388.57</v>
      </c>
      <c r="F153" s="66" t="n">
        <v>124.87</v>
      </c>
      <c r="G153" s="66" t="n">
        <v>190.86</v>
      </c>
      <c r="H153" s="66" t="n">
        <v>159.89</v>
      </c>
      <c r="I153" s="66" t="n">
        <v>182.61</v>
      </c>
      <c r="J153" s="66" t="n">
        <v>823.03</v>
      </c>
      <c r="K153" s="66" t="n">
        <v>200.53</v>
      </c>
      <c r="L153" s="66" t="n">
        <v>143.47</v>
      </c>
      <c r="M153" s="66" t="n">
        <v>123.06</v>
      </c>
      <c r="N153" s="66" t="n">
        <v>33.21</v>
      </c>
      <c r="O153" s="66" t="n">
        <v>143.6</v>
      </c>
      <c r="P153" s="66" t="n">
        <v>403.17</v>
      </c>
      <c r="Q153" s="89" t="n">
        <v>365.45</v>
      </c>
      <c r="R153" s="66" t="n">
        <v>59.42</v>
      </c>
      <c r="S153" s="66" t="n">
        <v>154.2</v>
      </c>
      <c r="T153" s="66" t="n">
        <v>46.19</v>
      </c>
      <c r="U153" s="66"/>
      <c r="V153" s="66" t="n">
        <v>335.61</v>
      </c>
      <c r="W153" s="66"/>
      <c r="X153" s="66"/>
      <c r="Y153" s="66"/>
      <c r="Z153" s="66"/>
      <c r="AA153" s="66"/>
    </row>
    <row r="154" customFormat="false" ht="15" hidden="false" customHeight="true" outlineLevel="0" collapsed="false">
      <c r="A154" s="69" t="n">
        <v>46241</v>
      </c>
      <c r="B154" s="66" t="n">
        <v>265.21</v>
      </c>
      <c r="C154" s="66" t="n">
        <v>188.67</v>
      </c>
      <c r="D154" s="66" t="n">
        <v>1740.99</v>
      </c>
      <c r="E154" s="66" t="n">
        <v>426.98</v>
      </c>
      <c r="F154" s="66" t="n">
        <v>126.47</v>
      </c>
      <c r="G154" s="66" t="n">
        <v>214.42</v>
      </c>
      <c r="H154" s="66" t="n">
        <v>160.58</v>
      </c>
      <c r="I154" s="66" t="n">
        <v>197.89</v>
      </c>
      <c r="J154" s="66" t="n">
        <v>877.57</v>
      </c>
      <c r="K154" s="66" t="n">
        <v>223.71</v>
      </c>
      <c r="L154" s="66" t="n">
        <v>139.06</v>
      </c>
      <c r="M154" s="66" t="n">
        <v>172.01</v>
      </c>
      <c r="N154" s="66" t="n">
        <v>33.63</v>
      </c>
      <c r="O154" s="66" t="n">
        <v>149.45</v>
      </c>
      <c r="P154" s="66" t="n">
        <v>418.92</v>
      </c>
      <c r="Q154" s="66" t="n">
        <v>361.83</v>
      </c>
      <c r="R154" s="66" t="n">
        <v>59.39</v>
      </c>
      <c r="S154" s="66" t="n">
        <v>150.83</v>
      </c>
      <c r="T154" s="66" t="n">
        <v>47</v>
      </c>
      <c r="U154" s="66"/>
      <c r="V154" s="66"/>
      <c r="W154" s="66"/>
      <c r="X154" s="66"/>
      <c r="Y154" s="66"/>
      <c r="Z154" s="66"/>
      <c r="AA154" s="66"/>
    </row>
    <row r="155" customFormat="false" ht="15" hidden="false" customHeight="true" outlineLevel="0" collapsed="false">
      <c r="A155" s="69" t="n">
        <v>46248</v>
      </c>
      <c r="B155" s="66" t="n">
        <v>264.02</v>
      </c>
      <c r="C155" s="66" t="n">
        <v>198.82</v>
      </c>
      <c r="D155" s="66" t="n">
        <v>1844.08</v>
      </c>
      <c r="E155" s="66" t="n">
        <v>392.28</v>
      </c>
      <c r="F155" s="66" t="n">
        <v>128.31</v>
      </c>
      <c r="G155" s="66" t="n">
        <v>216.95</v>
      </c>
      <c r="H155" s="66" t="n">
        <v>164.15</v>
      </c>
      <c r="I155" s="66" t="n">
        <v>203.49</v>
      </c>
      <c r="J155" s="66" t="n">
        <v>971.66</v>
      </c>
      <c r="K155" s="66" t="n">
        <v>224.91</v>
      </c>
      <c r="L155" s="66" t="n">
        <v>139.92</v>
      </c>
      <c r="M155" s="66" t="n">
        <v>174.04</v>
      </c>
      <c r="N155" s="66" t="n">
        <v>34.25</v>
      </c>
      <c r="O155" s="66" t="n">
        <v>153.06</v>
      </c>
      <c r="P155" s="66" t="n">
        <v>425.21</v>
      </c>
      <c r="Q155" s="89" t="n">
        <v>364.15</v>
      </c>
      <c r="R155" s="66" t="n">
        <v>60.51</v>
      </c>
      <c r="S155" s="66" t="n">
        <v>153.75</v>
      </c>
      <c r="T155" s="66" t="n">
        <v>47.39</v>
      </c>
      <c r="U155" s="66"/>
      <c r="V155" s="66" t="n">
        <v>348.32</v>
      </c>
      <c r="W155" s="66"/>
      <c r="X155" s="66"/>
      <c r="Y155" s="66"/>
      <c r="Z155" s="66"/>
      <c r="AA155" s="66"/>
    </row>
    <row r="156" customFormat="false" ht="15" hidden="false" customHeight="true" outlineLevel="0" collapsed="false">
      <c r="A156" s="69" t="n">
        <v>46255</v>
      </c>
      <c r="B156" s="66" t="n">
        <v>275.3</v>
      </c>
      <c r="C156" s="66" t="n">
        <v>188.65</v>
      </c>
      <c r="D156" s="66" t="n">
        <v>1763.76</v>
      </c>
      <c r="E156" s="66" t="n">
        <v>367.78</v>
      </c>
      <c r="F156" s="66" t="n">
        <v>126.04</v>
      </c>
      <c r="G156" s="66" t="n">
        <v>191.95</v>
      </c>
      <c r="H156" s="66" t="n">
        <v>162.75</v>
      </c>
      <c r="I156" s="66" t="n">
        <v>183.99</v>
      </c>
      <c r="J156" s="66" t="n">
        <v>966.78</v>
      </c>
      <c r="K156" s="66" t="n">
        <v>214.48</v>
      </c>
      <c r="L156" s="66" t="n">
        <v>140.68</v>
      </c>
      <c r="M156" s="66" t="n">
        <v>179.94</v>
      </c>
      <c r="N156" s="66" t="n">
        <v>34.83</v>
      </c>
      <c r="O156" s="66" t="n">
        <v>148.49</v>
      </c>
      <c r="P156" s="66" t="n">
        <v>417.83</v>
      </c>
      <c r="Q156" s="66" t="n">
        <v>371.04</v>
      </c>
      <c r="R156" s="66" t="n">
        <v>58.51</v>
      </c>
      <c r="S156" s="66" t="n">
        <v>143.89</v>
      </c>
      <c r="T156" s="66" t="n">
        <v>47.8</v>
      </c>
      <c r="U156" s="66"/>
      <c r="V156" s="66" t="n">
        <v>357.9</v>
      </c>
      <c r="W156" s="66"/>
      <c r="X156" s="66"/>
      <c r="Y156" s="66"/>
      <c r="Z156" s="66"/>
      <c r="AA156" s="66"/>
    </row>
    <row r="157" customFormat="false" ht="15" hidden="false" customHeight="true" outlineLevel="0" collapsed="false">
      <c r="A157" s="69" t="n">
        <v>46262</v>
      </c>
      <c r="B157" s="66" t="n">
        <v>291.52</v>
      </c>
      <c r="C157" s="66" t="n">
        <v>195.38</v>
      </c>
      <c r="D157" s="66" t="n">
        <v>1696.16</v>
      </c>
      <c r="E157" s="66" t="n">
        <v>368.12</v>
      </c>
      <c r="F157" s="66" t="n">
        <v>125.16</v>
      </c>
      <c r="G157" s="66" t="n">
        <v>218.4</v>
      </c>
      <c r="H157" s="66" t="n">
        <v>162.46</v>
      </c>
      <c r="I157" s="66" t="n">
        <v>175.54</v>
      </c>
      <c r="J157" s="66" t="n">
        <v>932.86</v>
      </c>
      <c r="K157" s="66" t="n">
        <v>217.31</v>
      </c>
      <c r="L157" s="66" t="n">
        <v>139.59</v>
      </c>
      <c r="M157" s="66" t="n">
        <v>186.29</v>
      </c>
      <c r="N157" s="66" t="n">
        <v>34.62</v>
      </c>
      <c r="O157" s="66" t="n">
        <v>146.54</v>
      </c>
      <c r="P157" s="66" t="n">
        <v>416.4</v>
      </c>
      <c r="Q157" s="66" t="n">
        <v>381.6</v>
      </c>
      <c r="R157" s="66" t="n">
        <v>57.96</v>
      </c>
      <c r="S157" s="66" t="n">
        <v>146.51</v>
      </c>
      <c r="T157" s="66" t="n">
        <v>48.14</v>
      </c>
      <c r="U157" s="66"/>
      <c r="V157" s="66" t="n">
        <v>355.08</v>
      </c>
      <c r="W157" s="66"/>
      <c r="X157" s="66"/>
      <c r="Y157" s="66"/>
      <c r="Z157" s="66"/>
      <c r="AA157" s="66"/>
    </row>
    <row r="158" customFormat="false" ht="15" hidden="false" customHeight="true" outlineLevel="0" collapsed="false">
      <c r="A158" s="69" t="n">
        <v>46269</v>
      </c>
      <c r="B158" s="66" t="n">
        <v>266.51</v>
      </c>
      <c r="C158" s="66" t="n">
        <v>193.78</v>
      </c>
      <c r="D158" s="66" t="n">
        <v>1714.88</v>
      </c>
      <c r="E158" s="66" t="n">
        <v>357.25</v>
      </c>
      <c r="F158" s="66" t="n">
        <v>126.52</v>
      </c>
      <c r="G158" s="66" t="n">
        <v>213.1</v>
      </c>
      <c r="H158" s="66" t="n">
        <v>162.91</v>
      </c>
      <c r="I158" s="66" t="n">
        <v>185.6</v>
      </c>
      <c r="J158" s="66" t="n">
        <v>1016.59</v>
      </c>
      <c r="K158" s="66" t="n">
        <v>230.1</v>
      </c>
      <c r="L158" s="66" t="n">
        <v>136.26</v>
      </c>
      <c r="M158" s="66" t="n">
        <v>174.33</v>
      </c>
      <c r="N158" s="66" t="n">
        <v>34.52</v>
      </c>
      <c r="O158" s="66" t="n">
        <v>149.48</v>
      </c>
      <c r="P158" s="66" t="n">
        <v>427.76</v>
      </c>
      <c r="Q158" s="66" t="n">
        <v>375.07</v>
      </c>
      <c r="R158" s="66" t="n">
        <v>58.25</v>
      </c>
      <c r="S158" s="66" t="n">
        <v>143.83</v>
      </c>
      <c r="T158" s="66" t="n">
        <v>49.74</v>
      </c>
      <c r="U158" s="66"/>
      <c r="V158" s="66" t="n">
        <v>365.45</v>
      </c>
      <c r="W158" s="66"/>
      <c r="X158" s="66"/>
      <c r="Y158" s="66"/>
      <c r="Z158" s="66"/>
      <c r="AA158" s="66"/>
    </row>
    <row r="159" customFormat="false" ht="15" hidden="false" customHeight="true" outlineLevel="0" collapsed="false">
      <c r="A159" s="69" t="n">
        <v>46276</v>
      </c>
      <c r="B159" s="66" t="n">
        <v>252.23</v>
      </c>
      <c r="C159" s="66" t="n">
        <v>199.59</v>
      </c>
      <c r="D159" s="66" t="n">
        <v>1698.3</v>
      </c>
      <c r="E159" s="66" t="n">
        <v>361.33</v>
      </c>
      <c r="F159" s="66" t="n">
        <v>124.5</v>
      </c>
      <c r="G159" s="66" t="n">
        <v>206.74</v>
      </c>
      <c r="H159" s="66" t="n">
        <v>161.03</v>
      </c>
      <c r="I159" s="66" t="n">
        <v>180.64</v>
      </c>
      <c r="J159" s="66" t="n">
        <v>975.26</v>
      </c>
      <c r="K159" s="66" t="n">
        <v>218.29</v>
      </c>
      <c r="L159" s="66" t="n">
        <v>134.68</v>
      </c>
      <c r="M159" s="66" t="n">
        <v>167.23</v>
      </c>
      <c r="N159" s="66" t="n">
        <v>33.85</v>
      </c>
      <c r="O159" s="66" t="n">
        <v>148.07</v>
      </c>
      <c r="P159" s="66" t="n">
        <v>432.08</v>
      </c>
      <c r="Q159" s="66" t="n">
        <v>370.45</v>
      </c>
      <c r="R159" s="66" t="n">
        <v>59.74</v>
      </c>
      <c r="S159" s="66" t="n">
        <v>149.69</v>
      </c>
      <c r="T159" s="66" t="n">
        <v>51.46</v>
      </c>
      <c r="U159" s="66"/>
      <c r="V159" s="66" t="n">
        <v>361.83</v>
      </c>
      <c r="W159" s="66"/>
      <c r="X159" s="66"/>
      <c r="Y159" s="66"/>
      <c r="Z159" s="66"/>
      <c r="AA159" s="66"/>
    </row>
    <row r="160" customFormat="false" ht="15" hidden="false" customHeight="true" outlineLevel="0" collapsed="false">
      <c r="A160" s="69" t="n">
        <v>46283</v>
      </c>
      <c r="B160" s="66" t="n">
        <v>248.92</v>
      </c>
      <c r="C160" s="66" t="n">
        <v>199.39</v>
      </c>
      <c r="D160" s="66" t="n">
        <v>1679.92</v>
      </c>
      <c r="E160" s="66" t="n">
        <v>356.96</v>
      </c>
      <c r="F160" s="66" t="n">
        <v>121.96</v>
      </c>
      <c r="G160" s="66" t="n">
        <v>237.65</v>
      </c>
      <c r="H160" s="66" t="n">
        <v>158.24</v>
      </c>
      <c r="I160" s="66" t="n">
        <v>176.99</v>
      </c>
      <c r="J160" s="66" t="n">
        <v>1015.8</v>
      </c>
      <c r="K160" s="66" t="n">
        <v>222.27</v>
      </c>
      <c r="L160" s="66" t="n">
        <v>134.84</v>
      </c>
      <c r="M160" s="66" t="n">
        <v>177.64</v>
      </c>
      <c r="N160" s="66" t="n">
        <v>33.41</v>
      </c>
      <c r="O160" s="66" t="n">
        <v>148.97</v>
      </c>
      <c r="P160" s="66" t="n">
        <v>434.67</v>
      </c>
      <c r="Q160" s="66" t="n">
        <v>368.29</v>
      </c>
      <c r="R160" s="66" t="n">
        <v>60.53</v>
      </c>
      <c r="S160" s="66" t="n">
        <v>153.31</v>
      </c>
      <c r="T160" s="66" t="n">
        <v>53.71</v>
      </c>
      <c r="U160" s="66"/>
      <c r="V160" s="66" t="n">
        <v>364.15</v>
      </c>
      <c r="W160" s="66"/>
      <c r="X160" s="66"/>
      <c r="Y160" s="66"/>
      <c r="Z160" s="66"/>
      <c r="AA160" s="66"/>
    </row>
    <row r="161" customFormat="false" ht="15" hidden="false" customHeight="true" outlineLevel="0" collapsed="false">
      <c r="A161" s="69" t="n">
        <v>46290</v>
      </c>
      <c r="B161" s="66" t="n">
        <v>235.47</v>
      </c>
      <c r="C161" s="66" t="n">
        <v>206.55</v>
      </c>
      <c r="D161" s="66" t="n">
        <v>1743.94</v>
      </c>
      <c r="E161" s="66" t="n">
        <v>352.81</v>
      </c>
      <c r="F161" s="66" t="n">
        <v>120.41</v>
      </c>
      <c r="G161" s="66" t="n">
        <v>252.13</v>
      </c>
      <c r="H161" s="66" t="n">
        <v>154.73</v>
      </c>
      <c r="I161" s="66" t="n">
        <v>187.92</v>
      </c>
      <c r="J161" s="66" t="n">
        <v>1082.28</v>
      </c>
      <c r="K161" s="66" t="n">
        <v>225.07</v>
      </c>
      <c r="L161" s="66" t="n">
        <v>133.05</v>
      </c>
      <c r="M161" s="66" t="n">
        <v>189.67</v>
      </c>
      <c r="N161" s="66" t="n">
        <v>33.21</v>
      </c>
      <c r="O161" s="66" t="n">
        <v>152.92</v>
      </c>
      <c r="P161" s="66" t="n">
        <v>450.61</v>
      </c>
      <c r="Q161" s="66" t="n">
        <v>367.38</v>
      </c>
      <c r="R161" s="66" t="n">
        <v>59.84</v>
      </c>
      <c r="S161" s="66" t="n">
        <v>148.73</v>
      </c>
      <c r="T161" s="66" t="n">
        <v>55.45</v>
      </c>
      <c r="U161" s="66"/>
      <c r="V161" s="66" t="n">
        <v>371.04</v>
      </c>
      <c r="W161" s="66"/>
      <c r="X161" s="66"/>
      <c r="Y161" s="66"/>
      <c r="Z161" s="66"/>
      <c r="AA161" s="66"/>
    </row>
    <row r="162" customFormat="false" ht="15" hidden="false" customHeight="true" outlineLevel="0" collapsed="false">
      <c r="A162" s="69" t="n">
        <v>46297</v>
      </c>
      <c r="B162" s="66" t="n">
        <v>231.01</v>
      </c>
      <c r="C162" s="66" t="n">
        <v>204.92</v>
      </c>
      <c r="D162" s="66" t="n">
        <v>1771.41</v>
      </c>
      <c r="E162" s="66" t="n">
        <v>349.57</v>
      </c>
      <c r="F162" s="66" t="n">
        <v>119.55</v>
      </c>
      <c r="G162" s="66" t="n">
        <v>259.25</v>
      </c>
      <c r="H162" s="66" t="n">
        <v>153.65</v>
      </c>
      <c r="I162" s="66" t="n">
        <v>189.17</v>
      </c>
      <c r="J162" s="66" t="n">
        <v>1053.98</v>
      </c>
      <c r="K162" s="66" t="n">
        <v>228.86</v>
      </c>
      <c r="L162" s="66" t="n">
        <v>132.44</v>
      </c>
      <c r="M162" s="66" t="n">
        <v>187.48</v>
      </c>
      <c r="N162" s="66" t="n">
        <v>33.01</v>
      </c>
      <c r="O162" s="66" t="n">
        <v>151.18</v>
      </c>
      <c r="P162" s="66" t="n">
        <v>452.88</v>
      </c>
      <c r="Q162" s="66" t="n">
        <v>367.74</v>
      </c>
      <c r="R162" s="66" t="n">
        <v>59.47</v>
      </c>
      <c r="S162" s="66" t="n">
        <v>146.78</v>
      </c>
      <c r="T162" s="66" t="n">
        <v>55.66</v>
      </c>
      <c r="U162" s="66"/>
      <c r="V162" s="66" t="n">
        <v>381.6</v>
      </c>
      <c r="W162" s="66"/>
      <c r="X162" s="66"/>
      <c r="Y162" s="66"/>
      <c r="Z162" s="66"/>
      <c r="AA162" s="66"/>
    </row>
    <row r="163" customFormat="false" ht="15" hidden="false" customHeight="true" outlineLevel="0" collapsed="false">
      <c r="A163" s="69" t="n">
        <v>46269</v>
      </c>
      <c r="B163" s="66" t="n">
        <v>266.51</v>
      </c>
      <c r="C163" s="66" t="n">
        <v>193.78</v>
      </c>
      <c r="D163" s="66" t="n">
        <v>1714.88</v>
      </c>
      <c r="E163" s="66" t="n">
        <v>357.9</v>
      </c>
      <c r="F163" s="66" t="n">
        <v>213.1</v>
      </c>
      <c r="G163" s="66" t="n">
        <v>185.6</v>
      </c>
      <c r="H163" s="66" t="n">
        <v>1016.59</v>
      </c>
      <c r="I163" s="66" t="n">
        <v>230.36</v>
      </c>
      <c r="J163" s="66" t="n">
        <v>137.34</v>
      </c>
      <c r="K163" s="66" t="n">
        <v>174.33</v>
      </c>
      <c r="L163" s="66" t="n">
        <v>428.91</v>
      </c>
      <c r="M163" s="66" t="n">
        <v>280.53</v>
      </c>
      <c r="N163" s="66" t="n">
        <v>546.12</v>
      </c>
      <c r="O163" s="66" t="n">
        <v>126.93</v>
      </c>
      <c r="P163" s="66"/>
      <c r="Q163" s="66" t="n">
        <v>69.72</v>
      </c>
      <c r="R163" s="66" t="n">
        <v>59.87</v>
      </c>
      <c r="S163" s="66" t="n">
        <v>149.72</v>
      </c>
      <c r="T163" s="66" t="n">
        <v>55.29</v>
      </c>
      <c r="U163" s="66"/>
      <c r="V163" s="66" t="n">
        <v>375.07</v>
      </c>
      <c r="W163" s="66"/>
      <c r="X163" s="66"/>
      <c r="Y163" s="66"/>
      <c r="Z163" s="66"/>
      <c r="AA163" s="66"/>
    </row>
    <row r="164" customFormat="false" ht="15" hidden="false" customHeight="true" outlineLevel="0" collapsed="false"/>
    <row r="165" customFormat="false" ht="15" hidden="false" customHeight="true" outlineLevel="0" collapsed="false">
      <c r="A165" s="90" t="n">
        <f aca="false">COUNT(A3:A163)</f>
        <v>161</v>
      </c>
      <c r="B165" s="90" t="s">
        <v>278</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13" activePane="bottomLeft" state="frozen"/>
      <selection pane="topLeft" activeCell="A1" activeCellId="0" sqref="A1"/>
      <selection pane="bottomLeft" activeCell="H53" activeCellId="0" sqref="H53"/>
    </sheetView>
  </sheetViews>
  <sheetFormatPr defaultColWidth="8.66796875" defaultRowHeight="14.2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10.2"/>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91" t="s">
        <v>81</v>
      </c>
      <c r="B1" s="91" t="s">
        <v>279</v>
      </c>
      <c r="C1" s="91" t="s">
        <v>280</v>
      </c>
      <c r="D1" s="92" t="s">
        <v>281</v>
      </c>
      <c r="E1" s="92" t="s">
        <v>282</v>
      </c>
      <c r="F1" s="91" t="s">
        <v>283</v>
      </c>
      <c r="G1" s="91" t="s">
        <v>284</v>
      </c>
      <c r="H1" s="91" t="s">
        <v>285</v>
      </c>
      <c r="I1" s="91" t="s">
        <v>286</v>
      </c>
      <c r="J1" s="91" t="s">
        <v>287</v>
      </c>
    </row>
    <row r="2" customFormat="false" ht="15" hidden="false" customHeight="true" outlineLevel="0" collapsed="false">
      <c r="A2" s="93" t="str">
        <f aca="false">IF(Scoring!A3="","",Scoring!A3)</f>
        <v>MU</v>
      </c>
      <c r="B2" s="94" t="str">
        <f aca="false">IF(Scoring!B3="","",Scoring!B3)</f>
        <v>Micron Technology</v>
      </c>
      <c r="C2" s="95" t="n">
        <f aca="false">IF(Scoring!C3="","",Scoring!C3)</f>
        <v>46278</v>
      </c>
      <c r="D2" s="96" t="n">
        <f aca="false">IF(Scoring!N3="","",Scoring!N3)</f>
        <v>3.35714285714286</v>
      </c>
      <c r="E2" s="97" t="n">
        <f aca="false">IF(Scoring!AF3="","",Scoring!AF3)</f>
        <v>67.8</v>
      </c>
      <c r="F2" s="65" t="str">
        <f aca="false">IF(Scoring!AG3&lt;&gt;"",Scoring!AG3,IF(Scoring!AH3="OK","PENDING",""))</f>
        <v>BUY</v>
      </c>
      <c r="G2" s="65" t="str">
        <f aca="false">IF(Scoring!AH3="","",Scoring!AH3)</f>
        <v>OK</v>
      </c>
      <c r="H2" s="65" t="str">
        <f aca="false">IF(Scoring!AI3="","",Scoring!AI3)</f>
        <v>OK</v>
      </c>
      <c r="I2" s="65" t="str">
        <f aca="false">IF(Scoring!AJ3="","",Scoring!AJ3)</f>
        <v>OK</v>
      </c>
      <c r="J2" s="65" t="str">
        <f aca="false">IF(Scoring!AK3="","",Scoring!AK3)</f>
        <v>OK</v>
      </c>
    </row>
    <row r="3" customFormat="false" ht="15" hidden="false" customHeight="true" outlineLevel="0" collapsed="false">
      <c r="A3" s="93" t="str">
        <f aca="false">IF(Scoring!A4="","",Scoring!A4)</f>
        <v>AVGO</v>
      </c>
      <c r="B3" s="94" t="str">
        <f aca="false">IF(Scoring!B4="","",Scoring!B4)</f>
        <v>Broadcom Inc.</v>
      </c>
      <c r="C3" s="95" t="n">
        <f aca="false">IF(Scoring!C4="","",Scoring!C4)</f>
        <v>46278</v>
      </c>
      <c r="D3" s="96" t="n">
        <f aca="false">IF(Scoring!N4="","",Scoring!N4)</f>
        <v>3.14285714285714</v>
      </c>
      <c r="E3" s="97" t="n">
        <f aca="false">IF(Scoring!AF4="","",Scoring!AF4)</f>
        <v>67.8</v>
      </c>
      <c r="F3" s="65" t="str">
        <f aca="false">IF(Scoring!AG4&lt;&gt;"",Scoring!AG4,IF(Scoring!AH4="OK","PENDING",""))</f>
        <v>BUY</v>
      </c>
      <c r="G3" s="65" t="str">
        <f aca="false">IF(Scoring!AH4="","",Scoring!AH4)</f>
        <v>OK</v>
      </c>
      <c r="H3" s="65" t="str">
        <f aca="false">IF(Scoring!AI4="","",Scoring!AI4)</f>
        <v>OK</v>
      </c>
      <c r="I3" s="65" t="str">
        <f aca="false">IF(Scoring!AJ4="","",Scoring!AJ4)</f>
        <v>AVOID</v>
      </c>
      <c r="J3" s="65" t="str">
        <f aca="false">IF(Scoring!AK4="","",Scoring!AK4)</f>
        <v>OK</v>
      </c>
    </row>
    <row r="4" customFormat="false" ht="15" hidden="false" customHeight="true" outlineLevel="0" collapsed="false">
      <c r="A4" s="93" t="str">
        <f aca="false">IF(Scoring!A5="","",Scoring!A5)</f>
        <v>PLTR</v>
      </c>
      <c r="B4" s="94" t="str">
        <f aca="false">IF(Scoring!B5="","",Scoring!B5)</f>
        <v>Palantir Technologies</v>
      </c>
      <c r="C4" s="95" t="n">
        <f aca="false">IF(Scoring!C5="","",Scoring!C5)</f>
        <v>46278</v>
      </c>
      <c r="D4" s="96" t="n">
        <f aca="false">IF(Scoring!N5="","",Scoring!N5)</f>
        <v>4.07142857142857</v>
      </c>
      <c r="E4" s="97" t="n">
        <f aca="false">IF(Scoring!AF5="","",Scoring!AF5)</f>
        <v>76.2</v>
      </c>
      <c r="F4" s="65" t="str">
        <f aca="false">IF(Scoring!AG5&lt;&gt;"",Scoring!AG5,IF(Scoring!AH5="OK","PENDING",""))</f>
        <v>BUY</v>
      </c>
      <c r="G4" s="65" t="str">
        <f aca="false">IF(Scoring!AH5="","",Scoring!AH5)</f>
        <v>OK</v>
      </c>
      <c r="H4" s="65" t="str">
        <f aca="false">IF(Scoring!AI5="","",Scoring!AI5)</f>
        <v>OK</v>
      </c>
      <c r="I4" s="65" t="str">
        <f aca="false">IF(Scoring!AJ5="","",Scoring!AJ5)</f>
        <v>OK</v>
      </c>
      <c r="J4" s="65" t="str">
        <f aca="false">IF(Scoring!AK5="","",Scoring!AK5)</f>
        <v>OK</v>
      </c>
    </row>
    <row r="5" customFormat="false" ht="15" hidden="false" customHeight="true" outlineLevel="0" collapsed="false">
      <c r="A5" s="93" t="str">
        <f aca="false">IF(Scoring!A6="","",Scoring!A6)</f>
        <v>NVDA</v>
      </c>
      <c r="B5" s="94" t="str">
        <f aca="false">IF(Scoring!B6="","",Scoring!B6)</f>
        <v>NVIDIA Corporation</v>
      </c>
      <c r="C5" s="95" t="n">
        <f aca="false">IF(Scoring!C6="","",Scoring!C6)</f>
        <v>46278</v>
      </c>
      <c r="D5" s="96" t="n">
        <f aca="false">IF(Scoring!N6="","",Scoring!N6)</f>
        <v>4.28571428571429</v>
      </c>
      <c r="E5" s="97" t="n">
        <f aca="false">IF(Scoring!AF6="","",Scoring!AF6)</f>
        <v>89.2</v>
      </c>
      <c r="F5" s="65" t="str">
        <f aca="false">IF(Scoring!AG6&lt;&gt;"",Scoring!AG6,IF(Scoring!AH6="OK","PENDING",""))</f>
        <v>STRONG BUY</v>
      </c>
      <c r="G5" s="65" t="str">
        <f aca="false">IF(Scoring!AH6="","",Scoring!AH6)</f>
        <v>OK</v>
      </c>
      <c r="H5" s="65" t="str">
        <f aca="false">IF(Scoring!AI6="","",Scoring!AI6)</f>
        <v>OK</v>
      </c>
      <c r="I5" s="65" t="str">
        <f aca="false">IF(Scoring!AJ6="","",Scoring!AJ6)</f>
        <v>OK</v>
      </c>
      <c r="J5" s="65" t="str">
        <f aca="false">IF(Scoring!AK6="","",Scoring!AK6)</f>
        <v>OK</v>
      </c>
    </row>
    <row r="6" customFormat="false" ht="15" hidden="false" customHeight="true" outlineLevel="0" collapsed="false">
      <c r="A6" s="93" t="str">
        <f aca="false">IF(Scoring!A7="","",Scoring!A7)</f>
        <v>VRTX</v>
      </c>
      <c r="B6" s="94" t="str">
        <f aca="false">IF(Scoring!B7="","",Scoring!B7)</f>
        <v>Vertex Pharmaceuticals</v>
      </c>
      <c r="C6" s="95" t="n">
        <f aca="false">IF(Scoring!C7="","",Scoring!C7)</f>
        <v>46278</v>
      </c>
      <c r="D6" s="96" t="n">
        <f aca="false">IF(Scoring!N7="","",Scoring!N7)</f>
        <v>3.14285714285714</v>
      </c>
      <c r="E6" s="97" t="n">
        <f aca="false">IF(Scoring!AF7="","",Scoring!AF7)</f>
        <v>66.6</v>
      </c>
      <c r="F6" s="65" t="str">
        <f aca="false">IF(Scoring!AG7&lt;&gt;"",Scoring!AG7,IF(Scoring!AH7="OK","PENDING",""))</f>
        <v>BUY</v>
      </c>
      <c r="G6" s="65" t="str">
        <f aca="false">IF(Scoring!AH7="","",Scoring!AH7)</f>
        <v>OK</v>
      </c>
      <c r="H6" s="65" t="str">
        <f aca="false">IF(Scoring!AI7="","",Scoring!AI7)</f>
        <v>OK</v>
      </c>
      <c r="I6" s="65" t="str">
        <f aca="false">IF(Scoring!AJ7="","",Scoring!AJ7)</f>
        <v>AVOID</v>
      </c>
      <c r="J6" s="65" t="str">
        <f aca="false">IF(Scoring!AK7="","",Scoring!AK7)</f>
        <v>OK</v>
      </c>
    </row>
    <row r="7" customFormat="false" ht="15" hidden="false" customHeight="true" outlineLevel="0" collapsed="false">
      <c r="A7" s="93" t="str">
        <f aca="false">IF(Scoring!A8="","",Scoring!A8)</f>
        <v>PLD</v>
      </c>
      <c r="B7" s="94" t="str">
        <f aca="false">IF(Scoring!B8="","",Scoring!B8)</f>
        <v>Prologis Inc. (REIT-adapted)</v>
      </c>
      <c r="C7" s="95" t="n">
        <f aca="false">IF(Scoring!C8="","",Scoring!C8)</f>
        <v>46278</v>
      </c>
      <c r="D7" s="96" t="n">
        <f aca="false">IF(Scoring!N8="","",Scoring!N8)</f>
        <v>3.92857142857143</v>
      </c>
      <c r="E7" s="97" t="n">
        <f aca="false">IF(Scoring!AF8="","",Scoring!AF8)</f>
        <v>76</v>
      </c>
      <c r="F7" s="65" t="str">
        <f aca="false">IF(Scoring!AG8&lt;&gt;"",Scoring!AG8,IF(Scoring!AH8="OK","PENDING",""))</f>
        <v>BUY</v>
      </c>
      <c r="G7" s="65" t="str">
        <f aca="false">IF(Scoring!AH8="","",Scoring!AH8)</f>
        <v>OK</v>
      </c>
      <c r="H7" s="65" t="str">
        <f aca="false">IF(Scoring!AI8="","",Scoring!AI8)</f>
        <v>OK</v>
      </c>
      <c r="I7" s="65" t="str">
        <f aca="false">IF(Scoring!AJ8="","",Scoring!AJ8)</f>
        <v>OK</v>
      </c>
      <c r="J7" s="65" t="str">
        <f aca="false">IF(Scoring!AK8="","",Scoring!AK8)</f>
        <v>OK</v>
      </c>
    </row>
    <row r="8" customFormat="false" ht="15" hidden="true" customHeight="true" outlineLevel="1" collapsed="false">
      <c r="A8" s="93" t="str">
        <f aca="false">IF(Scoring!A9="","",Scoring!A9)</f>
        <v>SFM</v>
      </c>
      <c r="B8" s="94" t="str">
        <f aca="false">IF(Scoring!B9="","",Scoring!B9)</f>
        <v>Sprouts Farmers Market</v>
      </c>
      <c r="C8" s="95" t="n">
        <f aca="false">IF(Scoring!C9="","",Scoring!C9)</f>
        <v>46240</v>
      </c>
      <c r="D8" s="96" t="n">
        <f aca="false">IF(Scoring!N9="","",Scoring!N9)</f>
        <v>1.85714285714286</v>
      </c>
      <c r="E8" s="97" t="str">
        <f aca="false">IF(Scoring!AF9="","",Scoring!AF9)</f>
        <v/>
      </c>
      <c r="F8" s="65" t="str">
        <f aca="false">IF(Scoring!AG9&lt;&gt;"",Scoring!AG9,IF(Scoring!AH9="OK","PENDING",""))</f>
        <v/>
      </c>
      <c r="G8" s="65" t="str">
        <f aca="false">IF(Scoring!AH9="","",Scoring!AH9)</f>
        <v>FAIL</v>
      </c>
      <c r="H8" s="65" t="str">
        <f aca="false">IF(Scoring!AI9="","",Scoring!AI9)</f>
        <v>REVIEW</v>
      </c>
      <c r="I8" s="65" t="str">
        <f aca="false">IF(Scoring!AJ9="","",Scoring!AJ9)</f>
        <v>AVOID</v>
      </c>
      <c r="J8" s="65" t="str">
        <f aca="false">IF(Scoring!AK9="","",Scoring!AK9)</f>
        <v>OK</v>
      </c>
    </row>
    <row r="9" customFormat="false" ht="15" hidden="true" customHeight="true" outlineLevel="1" collapsed="false">
      <c r="A9" s="93" t="str">
        <f aca="false">IF(Scoring!A10="","",Scoring!A10)</f>
        <v>ONON</v>
      </c>
      <c r="B9" s="94" t="str">
        <f aca="false">IF(Scoring!B10="","",Scoring!B10)</f>
        <v>On Holding AG</v>
      </c>
      <c r="C9" s="95" t="n">
        <f aca="false">IF(Scoring!C10="","",Scoring!C10)</f>
        <v>46240</v>
      </c>
      <c r="D9" s="96" t="n">
        <f aca="false">IF(Scoring!N10="","",Scoring!N10)</f>
        <v>2.64285714285714</v>
      </c>
      <c r="E9" s="97" t="str">
        <f aca="false">IF(Scoring!AF10="","",Scoring!AF10)</f>
        <v/>
      </c>
      <c r="F9" s="65" t="str">
        <f aca="false">IF(Scoring!AG10&lt;&gt;"",Scoring!AG10,IF(Scoring!AH10="OK","PENDING",""))</f>
        <v/>
      </c>
      <c r="G9" s="65" t="str">
        <f aca="false">IF(Scoring!AH10="","",Scoring!AH10)</f>
        <v>FAIL</v>
      </c>
      <c r="H9" s="65" t="str">
        <f aca="false">IF(Scoring!AI10="","",Scoring!AI10)</f>
        <v>OK</v>
      </c>
      <c r="I9" s="65" t="str">
        <f aca="false">IF(Scoring!AJ10="","",Scoring!AJ10)</f>
        <v>AVOID</v>
      </c>
      <c r="J9" s="65" t="str">
        <f aca="false">IF(Scoring!AK10="","",Scoring!AK10)</f>
        <v>OK</v>
      </c>
    </row>
    <row r="10" customFormat="false" ht="15" hidden="true" customHeight="true" outlineLevel="1" collapsed="false">
      <c r="A10" s="93" t="str">
        <f aca="false">IF(Scoring!A11="","",Scoring!A11)</f>
        <v>TSLA</v>
      </c>
      <c r="B10" s="94" t="str">
        <f aca="false">IF(Scoring!B11="","",Scoring!B11)</f>
        <v>Tesla Inc.</v>
      </c>
      <c r="C10" s="95" t="n">
        <f aca="false">IF(Scoring!C11="","",Scoring!C11)</f>
        <v>46240</v>
      </c>
      <c r="D10" s="96" t="n">
        <f aca="false">IF(Scoring!N11="","",Scoring!N11)</f>
        <v>1.92857142857143</v>
      </c>
      <c r="E10" s="97" t="str">
        <f aca="false">IF(Scoring!AF11="","",Scoring!AF11)</f>
        <v/>
      </c>
      <c r="F10" s="65" t="str">
        <f aca="false">IF(Scoring!AG11&lt;&gt;"",Scoring!AG11,IF(Scoring!AH11="OK","PENDING",""))</f>
        <v/>
      </c>
      <c r="G10" s="65" t="str">
        <f aca="false">IF(Scoring!AH11="","",Scoring!AH11)</f>
        <v>FAIL</v>
      </c>
      <c r="H10" s="65" t="str">
        <f aca="false">IF(Scoring!AI11="","",Scoring!AI11)</f>
        <v>REVIEW</v>
      </c>
      <c r="I10" s="65" t="str">
        <f aca="false">IF(Scoring!AJ11="","",Scoring!AJ11)</f>
        <v>AVOID</v>
      </c>
      <c r="J10" s="65" t="str">
        <f aca="false">IF(Scoring!AK11="","",Scoring!AK11)</f>
        <v>OK</v>
      </c>
    </row>
    <row r="11" customFormat="false" ht="15" hidden="false" customHeight="true" outlineLevel="0" collapsed="false">
      <c r="A11" s="93" t="str">
        <f aca="false">IF(Scoring!A12="","",Scoring!A12)</f>
        <v>ADBE</v>
      </c>
      <c r="B11" s="94" t="str">
        <f aca="false">IF(Scoring!B12="","",Scoring!B12)</f>
        <v>Adobe Inc.</v>
      </c>
      <c r="C11" s="95" t="n">
        <f aca="false">IF(Scoring!C12="","",Scoring!C12)</f>
        <v>46278</v>
      </c>
      <c r="D11" s="96" t="n">
        <f aca="false">IF(Scoring!N12="","",Scoring!N12)</f>
        <v>4.57142857142857</v>
      </c>
      <c r="E11" s="97" t="n">
        <f aca="false">IF(Scoring!AF12="","",Scoring!AF12)</f>
        <v>85.8</v>
      </c>
      <c r="F11" s="65" t="str">
        <f aca="false">IF(Scoring!AG12&lt;&gt;"",Scoring!AG12,IF(Scoring!AH12="OK","PENDING",""))</f>
        <v>STRONG BUY</v>
      </c>
      <c r="G11" s="65" t="str">
        <f aca="false">IF(Scoring!AH12="","",Scoring!AH12)</f>
        <v>OK</v>
      </c>
      <c r="H11" s="65" t="str">
        <f aca="false">IF(Scoring!AI12="","",Scoring!AI12)</f>
        <v>OK</v>
      </c>
      <c r="I11" s="65" t="str">
        <f aca="false">IF(Scoring!AJ12="","",Scoring!AJ12)</f>
        <v>OK</v>
      </c>
      <c r="J11" s="65" t="str">
        <f aca="false">IF(Scoring!AK12="","",Scoring!AK12)</f>
        <v>OK</v>
      </c>
    </row>
    <row r="12" customFormat="false" ht="15" hidden="false" customHeight="true" outlineLevel="0" collapsed="false">
      <c r="A12" s="93" t="str">
        <f aca="false">IF(Scoring!A13="","",Scoring!A13)</f>
        <v>ANET</v>
      </c>
      <c r="B12" s="94" t="str">
        <f aca="false">IF(Scoring!B13="","",Scoring!B13)</f>
        <v>Arista Networks</v>
      </c>
      <c r="C12" s="95" t="n">
        <f aca="false">IF(Scoring!C13="","",Scoring!C13)</f>
        <v>46278</v>
      </c>
      <c r="D12" s="96" t="n">
        <f aca="false">IF(Scoring!N13="","",Scoring!N13)</f>
        <v>4.28571428571429</v>
      </c>
      <c r="E12" s="97" t="n">
        <f aca="false">IF(Scoring!AF13="","",Scoring!AF13)</f>
        <v>81</v>
      </c>
      <c r="F12" s="65" t="str">
        <f aca="false">IF(Scoring!AG13&lt;&gt;"",Scoring!AG13,IF(Scoring!AH13="OK","PENDING",""))</f>
        <v>STRONG BUY</v>
      </c>
      <c r="G12" s="65" t="str">
        <f aca="false">IF(Scoring!AH13="","",Scoring!AH13)</f>
        <v>OK</v>
      </c>
      <c r="H12" s="65" t="str">
        <f aca="false">IF(Scoring!AI13="","",Scoring!AI13)</f>
        <v>OK</v>
      </c>
      <c r="I12" s="65" t="str">
        <f aca="false">IF(Scoring!AJ13="","",Scoring!AJ13)</f>
        <v>OK</v>
      </c>
      <c r="J12" s="65" t="str">
        <f aca="false">IF(Scoring!AK13="","",Scoring!AK13)</f>
        <v>OK</v>
      </c>
    </row>
    <row r="13" customFormat="false" ht="15" hidden="false" customHeight="true" outlineLevel="0" collapsed="false">
      <c r="A13" s="93" t="str">
        <f aca="false">IF(Scoring!A14="","",Scoring!A14)</f>
        <v>ASML</v>
      </c>
      <c r="B13" s="94" t="str">
        <f aca="false">IF(Scoring!B14="","",Scoring!B14)</f>
        <v>ASML Holding</v>
      </c>
      <c r="C13" s="95" t="n">
        <f aca="false">IF(Scoring!C14="","",Scoring!C14)</f>
        <v>46278</v>
      </c>
      <c r="D13" s="96" t="n">
        <f aca="false">IF(Scoring!N14="","",Scoring!N14)</f>
        <v>3.85714285714286</v>
      </c>
      <c r="E13" s="97" t="n">
        <f aca="false">IF(Scoring!AF14="","",Scoring!AF14)</f>
        <v>77.2</v>
      </c>
      <c r="F13" s="65" t="str">
        <f aca="false">IF(Scoring!AG14&lt;&gt;"",Scoring!AG14,IF(Scoring!AH14="OK","PENDING",""))</f>
        <v>BUY</v>
      </c>
      <c r="G13" s="65" t="str">
        <f aca="false">IF(Scoring!AH14="","",Scoring!AH14)</f>
        <v>OK</v>
      </c>
      <c r="H13" s="65" t="str">
        <f aca="false">IF(Scoring!AI14="","",Scoring!AI14)</f>
        <v>OK</v>
      </c>
      <c r="I13" s="65" t="str">
        <f aca="false">IF(Scoring!AJ14="","",Scoring!AJ14)</f>
        <v>OK</v>
      </c>
      <c r="J13" s="65" t="str">
        <f aca="false">IF(Scoring!AK14="","",Scoring!AK14)</f>
        <v>OK</v>
      </c>
    </row>
    <row r="14" customFormat="false" ht="15" hidden="false" customHeight="true" outlineLevel="0" collapsed="false">
      <c r="A14" s="93" t="str">
        <f aca="false">IF(Scoring!A15="","",Scoring!A15)</f>
        <v>CRWD</v>
      </c>
      <c r="B14" s="94" t="str">
        <f aca="false">IF(Scoring!B15="","",Scoring!B15)</f>
        <v>CrowdStrike Holdings</v>
      </c>
      <c r="C14" s="95" t="n">
        <f aca="false">IF(Scoring!C15="","",Scoring!C15)</f>
        <v>46278</v>
      </c>
      <c r="D14" s="96" t="n">
        <f aca="false">IF(Scoring!N15="","",Scoring!N15)</f>
        <v>3.5</v>
      </c>
      <c r="E14" s="97" t="n">
        <f aca="false">IF(Scoring!AF15="","",Scoring!AF15)</f>
        <v>63.4</v>
      </c>
      <c r="F14" s="65" t="str">
        <f aca="false">IF(Scoring!AG15&lt;&gt;"",Scoring!AG15,IF(Scoring!AH15="OK","PENDING",""))</f>
        <v>WATCH LIST</v>
      </c>
      <c r="G14" s="65" t="str">
        <f aca="false">IF(Scoring!AH15="","",Scoring!AH15)</f>
        <v>OK</v>
      </c>
      <c r="H14" s="65" t="str">
        <f aca="false">IF(Scoring!AI15="","",Scoring!AI15)</f>
        <v>OK</v>
      </c>
      <c r="I14" s="65" t="str">
        <f aca="false">IF(Scoring!AJ15="","",Scoring!AJ15)</f>
        <v>AVOID</v>
      </c>
      <c r="J14" s="65" t="str">
        <f aca="false">IF(Scoring!AK15="","",Scoring!AK15)</f>
        <v>OK</v>
      </c>
    </row>
    <row r="15" customFormat="false" ht="15" hidden="false" customHeight="true" outlineLevel="0" collapsed="false">
      <c r="A15" s="93" t="str">
        <f aca="false">IF(Scoring!A16="","",Scoring!A16)</f>
        <v>KLAC</v>
      </c>
      <c r="B15" s="94" t="str">
        <f aca="false">IF(Scoring!B16="","",Scoring!B16)</f>
        <v>KLA Corporation</v>
      </c>
      <c r="C15" s="95" t="n">
        <f aca="false">IF(Scoring!C16="","",Scoring!C16)</f>
        <v>46278</v>
      </c>
      <c r="D15" s="96" t="n">
        <f aca="false">IF(Scoring!N16="","",Scoring!N16)</f>
        <v>3.71428571428572</v>
      </c>
      <c r="E15" s="97" t="n">
        <f aca="false">IF(Scoring!AF16="","",Scoring!AF16)</f>
        <v>72.6</v>
      </c>
      <c r="F15" s="65" t="str">
        <f aca="false">IF(Scoring!AG16&lt;&gt;"",Scoring!AG16,IF(Scoring!AH16="OK","PENDING",""))</f>
        <v>BUY</v>
      </c>
      <c r="G15" s="65" t="str">
        <f aca="false">IF(Scoring!AH16="","",Scoring!AH16)</f>
        <v>OK</v>
      </c>
      <c r="H15" s="65" t="str">
        <f aca="false">IF(Scoring!AI16="","",Scoring!AI16)</f>
        <v>OK</v>
      </c>
      <c r="I15" s="65" t="str">
        <f aca="false">IF(Scoring!AJ16="","",Scoring!AJ16)</f>
        <v>OK</v>
      </c>
      <c r="J15" s="65" t="str">
        <f aca="false">IF(Scoring!AK16="","",Scoring!AK16)</f>
        <v>OK</v>
      </c>
    </row>
    <row r="16" customFormat="false" ht="15" hidden="false" customHeight="true" outlineLevel="0" collapsed="false">
      <c r="A16" s="93" t="str">
        <f aca="false">IF(Scoring!A17="","",Scoring!A17)</f>
        <v>TSM</v>
      </c>
      <c r="B16" s="94" t="str">
        <f aca="false">IF(Scoring!B17="","",Scoring!B17)</f>
        <v>Taiwan Semiconductor Mfg.</v>
      </c>
      <c r="C16" s="95" t="n">
        <f aca="false">IF(Scoring!C17="","",Scoring!C17)</f>
        <v>46278</v>
      </c>
      <c r="D16" s="96" t="n">
        <f aca="false">IF(Scoring!N17="","",Scoring!N17)</f>
        <v>4.21428571428571</v>
      </c>
      <c r="E16" s="97" t="n">
        <f aca="false">IF(Scoring!AF17="","",Scoring!AF17)</f>
        <v>84</v>
      </c>
      <c r="F16" s="65" t="str">
        <f aca="false">IF(Scoring!AG17&lt;&gt;"",Scoring!AG17,IF(Scoring!AH17="OK","PENDING",""))</f>
        <v>STRONG BUY</v>
      </c>
      <c r="G16" s="65" t="str">
        <f aca="false">IF(Scoring!AH17="","",Scoring!AH17)</f>
        <v>OK</v>
      </c>
      <c r="H16" s="65" t="str">
        <f aca="false">IF(Scoring!AI17="","",Scoring!AI17)</f>
        <v>OK</v>
      </c>
      <c r="I16" s="65" t="str">
        <f aca="false">IF(Scoring!AJ17="","",Scoring!AJ17)</f>
        <v>OK</v>
      </c>
      <c r="J16" s="65" t="str">
        <f aca="false">IF(Scoring!AK17="","",Scoring!AK17)</f>
        <v>OK</v>
      </c>
    </row>
    <row r="17" customFormat="false" ht="15" hidden="false" customHeight="true" outlineLevel="0" collapsed="false">
      <c r="A17" s="93" t="str">
        <f aca="false">IF(Scoring!A18="","",Scoring!A18)</f>
        <v>VRT</v>
      </c>
      <c r="B17" s="94" t="str">
        <f aca="false">IF(Scoring!B18="","",Scoring!B18)</f>
        <v>Vertiv Holdings</v>
      </c>
      <c r="C17" s="95" t="n">
        <f aca="false">IF(Scoring!C18="","",Scoring!C18)</f>
        <v>46278</v>
      </c>
      <c r="D17" s="96" t="n">
        <f aca="false">IF(Scoring!N18="","",Scoring!N18)</f>
        <v>3.92857142857143</v>
      </c>
      <c r="E17" s="97" t="n">
        <f aca="false">IF(Scoring!AF18="","",Scoring!AF18)</f>
        <v>76.8</v>
      </c>
      <c r="F17" s="65" t="str">
        <f aca="false">IF(Scoring!AG18&lt;&gt;"",Scoring!AG18,IF(Scoring!AH18="OK","PENDING",""))</f>
        <v>BUY</v>
      </c>
      <c r="G17" s="65" t="str">
        <f aca="false">IF(Scoring!AH18="","",Scoring!AH18)</f>
        <v>OK</v>
      </c>
      <c r="H17" s="65" t="str">
        <f aca="false">IF(Scoring!AI18="","",Scoring!AI18)</f>
        <v>OK</v>
      </c>
      <c r="I17" s="65" t="str">
        <f aca="false">IF(Scoring!AJ18="","",Scoring!AJ18)</f>
        <v>OK</v>
      </c>
      <c r="J17" s="65" t="str">
        <f aca="false">IF(Scoring!AK18="","",Scoring!AK18)</f>
        <v>OK</v>
      </c>
    </row>
    <row r="18" customFormat="false" ht="15" hidden="false" customHeight="true" outlineLevel="0" collapsed="false">
      <c r="A18" s="93" t="str">
        <f aca="false">IF(Scoring!A19="","",Scoring!A19)</f>
        <v>COST</v>
      </c>
      <c r="B18" s="94" t="str">
        <f aca="false">IF(Scoring!B19="","",Scoring!B19)</f>
        <v>Costco Wholesale Corp.</v>
      </c>
      <c r="C18" s="95" t="n">
        <f aca="false">IF(Scoring!C19="","",Scoring!C19)</f>
        <v>46245</v>
      </c>
      <c r="D18" s="96" t="n">
        <f aca="false">IF(Scoring!N19="","",Scoring!N19)</f>
        <v>4.14285714285714</v>
      </c>
      <c r="E18" s="97" t="n">
        <f aca="false">IF(Scoring!AF19="","",Scoring!AF19)</f>
        <v>77.4</v>
      </c>
      <c r="F18" s="65" t="str">
        <f aca="false">IF(Scoring!AG19&lt;&gt;"",Scoring!AG19,IF(Scoring!AH19="OK","PENDING",""))</f>
        <v>BUY</v>
      </c>
      <c r="G18" s="65" t="str">
        <f aca="false">IF(Scoring!AH19="","",Scoring!AH19)</f>
        <v>OK</v>
      </c>
      <c r="H18" s="65" t="str">
        <f aca="false">IF(Scoring!AI19="","",Scoring!AI19)</f>
        <v>OK</v>
      </c>
      <c r="I18" s="65" t="str">
        <f aca="false">IF(Scoring!AJ19="","",Scoring!AJ19)</f>
        <v>OK</v>
      </c>
      <c r="J18" s="65" t="str">
        <f aca="false">IF(Scoring!AK19="","",Scoring!AK19)</f>
        <v>OK</v>
      </c>
    </row>
    <row r="19" customFormat="false" ht="15" hidden="false" customHeight="true" outlineLevel="0" collapsed="false">
      <c r="A19" s="93" t="str">
        <f aca="false">IF(Scoring!A20="","",Scoring!A20)</f>
        <v>V</v>
      </c>
      <c r="B19" s="94" t="str">
        <f aca="false">IF(Scoring!B20="","",Scoring!B20)</f>
        <v>Visa Inc.</v>
      </c>
      <c r="C19" s="95" t="n">
        <f aca="false">IF(Scoring!C20="","",Scoring!C20)</f>
        <v>46278</v>
      </c>
      <c r="D19" s="96" t="n">
        <f aca="false">IF(Scoring!N20="","",Scoring!N20)</f>
        <v>3.64285714285714</v>
      </c>
      <c r="E19" s="97" t="n">
        <f aca="false">IF(Scoring!AF20="","",Scoring!AF20)</f>
        <v>73.4</v>
      </c>
      <c r="F19" s="65" t="str">
        <f aca="false">IF(Scoring!AG20&lt;&gt;"",Scoring!AG20,IF(Scoring!AH20="OK","PENDING",""))</f>
        <v>BUY</v>
      </c>
      <c r="G19" s="65" t="str">
        <f aca="false">IF(Scoring!AH20="","",Scoring!AH20)</f>
        <v>OK</v>
      </c>
      <c r="H19" s="65" t="str">
        <f aca="false">IF(Scoring!AI20="","",Scoring!AI20)</f>
        <v>OK</v>
      </c>
      <c r="I19" s="65" t="str">
        <f aca="false">IF(Scoring!AJ20="","",Scoring!AJ20)</f>
        <v>OK</v>
      </c>
      <c r="J19" s="65" t="str">
        <f aca="false">IF(Scoring!AK20="","",Scoring!AK20)</f>
        <v>OK</v>
      </c>
    </row>
    <row r="20" customFormat="false" ht="15" hidden="true" customHeight="true" outlineLevel="1" collapsed="false">
      <c r="A20" s="93" t="str">
        <f aca="false">IF(Scoring!A21="","",Scoring!A21)</f>
        <v>NEE</v>
      </c>
      <c r="B20" s="94" t="str">
        <f aca="false">IF(Scoring!B21="","",Scoring!B21)</f>
        <v>NextEra Energy Inc.</v>
      </c>
      <c r="C20" s="95" t="n">
        <f aca="false">IF(Scoring!C21="","",Scoring!C21)</f>
        <v>46245</v>
      </c>
      <c r="D20" s="96" t="n">
        <f aca="false">IF(Scoring!N21="","",Scoring!N21)</f>
        <v>2.5</v>
      </c>
      <c r="E20" s="97" t="str">
        <f aca="false">IF(Scoring!AF21="","",Scoring!AF21)</f>
        <v/>
      </c>
      <c r="F20" s="65" t="str">
        <f aca="false">IF(Scoring!AG21&lt;&gt;"",Scoring!AG21,IF(Scoring!AH21="OK","PENDING",""))</f>
        <v/>
      </c>
      <c r="G20" s="65" t="str">
        <f aca="false">IF(Scoring!AH21="","",Scoring!AH21)</f>
        <v>FAIL</v>
      </c>
      <c r="H20" s="65" t="str">
        <f aca="false">IF(Scoring!AI21="","",Scoring!AI21)</f>
        <v>REVIEW</v>
      </c>
      <c r="I20" s="65" t="str">
        <f aca="false">IF(Scoring!AJ21="","",Scoring!AJ21)</f>
        <v>AVOID</v>
      </c>
      <c r="J20" s="65" t="str">
        <f aca="false">IF(Scoring!AK21="","",Scoring!AK21)</f>
        <v>OK</v>
      </c>
    </row>
    <row r="21" customFormat="false" ht="15" hidden="true" customHeight="true" outlineLevel="1" collapsed="false">
      <c r="A21" s="93" t="str">
        <f aca="false">IF(Scoring!A22="","",Scoring!A22)</f>
        <v>CRK</v>
      </c>
      <c r="B21" s="94" t="str">
        <f aca="false">IF(Scoring!B22="","",Scoring!B22)</f>
        <v>Comstock Resources Inc.</v>
      </c>
      <c r="C21" s="95" t="n">
        <f aca="false">IF(Scoring!C22="","",Scoring!C22)</f>
        <v>46245</v>
      </c>
      <c r="D21" s="96" t="n">
        <f aca="false">IF(Scoring!N22="","",Scoring!N22)</f>
        <v>1.21428571428571</v>
      </c>
      <c r="E21" s="97" t="str">
        <f aca="false">IF(Scoring!AF22="","",Scoring!AF22)</f>
        <v/>
      </c>
      <c r="F21" s="65" t="str">
        <f aca="false">IF(Scoring!AG22&lt;&gt;"",Scoring!AG22,IF(Scoring!AH22="OK","PENDING",""))</f>
        <v/>
      </c>
      <c r="G21" s="65" t="str">
        <f aca="false">IF(Scoring!AH22="","",Scoring!AH22)</f>
        <v>FAIL</v>
      </c>
      <c r="H21" s="65" t="str">
        <f aca="false">IF(Scoring!AI22="","",Scoring!AI22)</f>
        <v>REVIEW</v>
      </c>
      <c r="I21" s="65" t="str">
        <f aca="false">IF(Scoring!AJ22="","",Scoring!AJ22)</f>
        <v>AVOID</v>
      </c>
      <c r="J21" s="65" t="str">
        <f aca="false">IF(Scoring!AK22="","",Scoring!AK22)</f>
        <v>OK</v>
      </c>
    </row>
    <row r="22" customFormat="false" ht="15" hidden="false" customHeight="true" outlineLevel="0" collapsed="false">
      <c r="A22" s="93" t="str">
        <f aca="false">IF(Scoring!A23="","",Scoring!A23)</f>
        <v>ET</v>
      </c>
      <c r="B22" s="94" t="str">
        <f aca="false">IF(Scoring!B23="","",Scoring!B23)</f>
        <v>Energy Transfer LP</v>
      </c>
      <c r="C22" s="95" t="n">
        <f aca="false">IF(Scoring!C23="","",Scoring!C23)</f>
        <v>46276</v>
      </c>
      <c r="D22" s="96" t="n">
        <f aca="false">IF(Scoring!N23="","",Scoring!N23)</f>
        <v>3.07142857142857</v>
      </c>
      <c r="E22" s="97" t="str">
        <f aca="false">IF(Scoring!AF23="","",Scoring!AF23)</f>
        <v/>
      </c>
      <c r="F22" s="65" t="str">
        <f aca="false">IF(Scoring!AG23&lt;&gt;"",Scoring!AG23,IF(Scoring!AH23="OK","PENDING",""))</f>
        <v>PENDING</v>
      </c>
      <c r="G22" s="65" t="str">
        <f aca="false">IF(Scoring!AH23="","",Scoring!AH23)</f>
        <v>OK</v>
      </c>
      <c r="H22" s="65" t="str">
        <f aca="false">IF(Scoring!AI23="","",Scoring!AI23)</f>
        <v>REVIEW</v>
      </c>
      <c r="I22" s="65" t="str">
        <f aca="false">IF(Scoring!AJ23="","",Scoring!AJ23)</f>
        <v>AVOID</v>
      </c>
      <c r="J22" s="65" t="str">
        <f aca="false">IF(Scoring!AK23="","",Scoring!AK23)</f>
        <v>OK</v>
      </c>
    </row>
    <row r="23" customFormat="false" ht="15" hidden="true" customHeight="true" outlineLevel="1" collapsed="false">
      <c r="A23" s="93" t="str">
        <f aca="false">IF(Scoring!A24="","",Scoring!A24)</f>
        <v>LBRT</v>
      </c>
      <c r="B23" s="94" t="str">
        <f aca="false">IF(Scoring!B24="","",Scoring!B24)</f>
        <v>Liberty Energy Inc.</v>
      </c>
      <c r="C23" s="95" t="n">
        <f aca="false">IF(Scoring!C24="","",Scoring!C24)</f>
        <v>46245</v>
      </c>
      <c r="D23" s="96" t="n">
        <f aca="false">IF(Scoring!N24="","",Scoring!N24)</f>
        <v>2.07142857142857</v>
      </c>
      <c r="E23" s="97" t="str">
        <f aca="false">IF(Scoring!AF24="","",Scoring!AF24)</f>
        <v/>
      </c>
      <c r="F23" s="65" t="str">
        <f aca="false">IF(Scoring!AG24&lt;&gt;"",Scoring!AG24,IF(Scoring!AH24="OK","PENDING",""))</f>
        <v/>
      </c>
      <c r="G23" s="65" t="str">
        <f aca="false">IF(Scoring!AH24="","",Scoring!AH24)</f>
        <v>FAIL</v>
      </c>
      <c r="H23" s="65" t="str">
        <f aca="false">IF(Scoring!AI24="","",Scoring!AI24)</f>
        <v>REVIEW</v>
      </c>
      <c r="I23" s="65" t="str">
        <f aca="false">IF(Scoring!AJ24="","",Scoring!AJ24)</f>
        <v>AVOID</v>
      </c>
      <c r="J23" s="65" t="str">
        <f aca="false">IF(Scoring!AK24="","",Scoring!AK24)</f>
        <v>OK</v>
      </c>
    </row>
    <row r="24" customFormat="false" ht="15" hidden="true" customHeight="true" outlineLevel="1" collapsed="false">
      <c r="A24" s="93" t="str">
        <f aca="false">IF(Scoring!A25="","",Scoring!A25)</f>
        <v>NOV</v>
      </c>
      <c r="B24" s="94" t="str">
        <f aca="false">IF(Scoring!B25="","",Scoring!B25)</f>
        <v>NOV Inc.</v>
      </c>
      <c r="C24" s="95" t="n">
        <f aca="false">IF(Scoring!C25="","",Scoring!C25)</f>
        <v>46245</v>
      </c>
      <c r="D24" s="96" t="n">
        <f aca="false">IF(Scoring!N25="","",Scoring!N25)</f>
        <v>2.64285714285714</v>
      </c>
      <c r="E24" s="97" t="str">
        <f aca="false">IF(Scoring!AF25="","",Scoring!AF25)</f>
        <v/>
      </c>
      <c r="F24" s="65" t="str">
        <f aca="false">IF(Scoring!AG25&lt;&gt;"",Scoring!AG25,IF(Scoring!AH25="OK","PENDING",""))</f>
        <v/>
      </c>
      <c r="G24" s="65" t="str">
        <f aca="false">IF(Scoring!AH25="","",Scoring!AH25)</f>
        <v>FAIL</v>
      </c>
      <c r="H24" s="65" t="str">
        <f aca="false">IF(Scoring!AI25="","",Scoring!AI25)</f>
        <v>OK</v>
      </c>
      <c r="I24" s="65" t="str">
        <f aca="false">IF(Scoring!AJ25="","",Scoring!AJ25)</f>
        <v>AVOID</v>
      </c>
      <c r="J24" s="65" t="str">
        <f aca="false">IF(Scoring!AK25="","",Scoring!AK25)</f>
        <v>OK</v>
      </c>
    </row>
    <row r="25" customFormat="false" ht="15" hidden="true" customHeight="true" outlineLevel="1" collapsed="false">
      <c r="A25" s="93" t="str">
        <f aca="false">IF(Scoring!A26="","",Scoring!A26)</f>
        <v>CE</v>
      </c>
      <c r="B25" s="94" t="str">
        <f aca="false">IF(Scoring!B26="","",Scoring!B26)</f>
        <v>Celanese Corp.</v>
      </c>
      <c r="C25" s="95" t="n">
        <f aca="false">IF(Scoring!C26="","",Scoring!C26)</f>
        <v>46245</v>
      </c>
      <c r="D25" s="96" t="n">
        <f aca="false">IF(Scoring!N26="","",Scoring!N26)</f>
        <v>1.78571428571429</v>
      </c>
      <c r="E25" s="97" t="str">
        <f aca="false">IF(Scoring!AF26="","",Scoring!AF26)</f>
        <v/>
      </c>
      <c r="F25" s="65" t="str">
        <f aca="false">IF(Scoring!AG26&lt;&gt;"",Scoring!AG26,IF(Scoring!AH26="OK","PENDING",""))</f>
        <v/>
      </c>
      <c r="G25" s="65" t="str">
        <f aca="false">IF(Scoring!AH26="","",Scoring!AH26)</f>
        <v>FAIL</v>
      </c>
      <c r="H25" s="65" t="str">
        <f aca="false">IF(Scoring!AI26="","",Scoring!AI26)</f>
        <v>REVIEW</v>
      </c>
      <c r="I25" s="65" t="str">
        <f aca="false">IF(Scoring!AJ26="","",Scoring!AJ26)</f>
        <v>AVOID</v>
      </c>
      <c r="J25" s="65" t="str">
        <f aca="false">IF(Scoring!AK26="","",Scoring!AK26)</f>
        <v>OK</v>
      </c>
    </row>
    <row r="26" customFormat="false" ht="15" hidden="true" customHeight="true" outlineLevel="1" collapsed="false">
      <c r="A26" s="93" t="str">
        <f aca="false">IF(Scoring!A27="","",Scoring!A27)</f>
        <v>CLF</v>
      </c>
      <c r="B26" s="94" t="str">
        <f aca="false">IF(Scoring!B27="","",Scoring!B27)</f>
        <v>Cleveland-Cliffs Inc.</v>
      </c>
      <c r="C26" s="95" t="n">
        <f aca="false">IF(Scoring!C27="","",Scoring!C27)</f>
        <v>46245</v>
      </c>
      <c r="D26" s="96" t="n">
        <f aca="false">IF(Scoring!N27="","",Scoring!N27)</f>
        <v>1.85714285714286</v>
      </c>
      <c r="E26" s="97" t="str">
        <f aca="false">IF(Scoring!AF27="","",Scoring!AF27)</f>
        <v/>
      </c>
      <c r="F26" s="65" t="str">
        <f aca="false">IF(Scoring!AG27&lt;&gt;"",Scoring!AG27,IF(Scoring!AH27="OK","PENDING",""))</f>
        <v/>
      </c>
      <c r="G26" s="65" t="str">
        <f aca="false">IF(Scoring!AH27="","",Scoring!AH27)</f>
        <v>FAIL</v>
      </c>
      <c r="H26" s="65" t="str">
        <f aca="false">IF(Scoring!AI27="","",Scoring!AI27)</f>
        <v>REVIEW</v>
      </c>
      <c r="I26" s="65" t="str">
        <f aca="false">IF(Scoring!AJ27="","",Scoring!AJ27)</f>
        <v>AVOID</v>
      </c>
      <c r="J26" s="65" t="str">
        <f aca="false">IF(Scoring!AK27="","",Scoring!AK27)</f>
        <v>OK</v>
      </c>
    </row>
    <row r="27" customFormat="false" ht="15" hidden="false" customHeight="true" outlineLevel="0" collapsed="false">
      <c r="A27" s="93" t="str">
        <f aca="false">IF(Scoring!A28="","",Scoring!A28)</f>
        <v>LIN</v>
      </c>
      <c r="B27" s="94" t="str">
        <f aca="false">IF(Scoring!B28="","",Scoring!B28)</f>
        <v>Linde plc</v>
      </c>
      <c r="C27" s="95" t="n">
        <f aca="false">IF(Scoring!C28="","",Scoring!C28)</f>
        <v>46276</v>
      </c>
      <c r="D27" s="96" t="n">
        <f aca="false">IF(Scoring!N28="","",Scoring!N28)</f>
        <v>3.07142857142857</v>
      </c>
      <c r="E27" s="97" t="str">
        <f aca="false">IF(Scoring!AF28="","",Scoring!AF28)</f>
        <v/>
      </c>
      <c r="F27" s="65" t="str">
        <f aca="false">IF(Scoring!AG28&lt;&gt;"",Scoring!AG28,IF(Scoring!AH28="OK","PENDING",""))</f>
        <v>PENDING</v>
      </c>
      <c r="G27" s="65" t="str">
        <f aca="false">IF(Scoring!AH28="","",Scoring!AH28)</f>
        <v>OK</v>
      </c>
      <c r="H27" s="65" t="str">
        <f aca="false">IF(Scoring!AI28="","",Scoring!AI28)</f>
        <v>OK</v>
      </c>
      <c r="I27" s="65" t="str">
        <f aca="false">IF(Scoring!AJ28="","",Scoring!AJ28)</f>
        <v>AVOID</v>
      </c>
      <c r="J27" s="65" t="str">
        <f aca="false">IF(Scoring!AK28="","",Scoring!AK28)</f>
        <v>OK</v>
      </c>
    </row>
    <row r="28" customFormat="false" ht="15" hidden="true" customHeight="true" outlineLevel="1" collapsed="false">
      <c r="A28" s="93" t="str">
        <f aca="false">IF(Scoring!A29="","",Scoring!A29)</f>
        <v>DEO</v>
      </c>
      <c r="B28" s="94" t="str">
        <f aca="false">IF(Scoring!B29="","",Scoring!B29)</f>
        <v>Diageo plc</v>
      </c>
      <c r="C28" s="95" t="n">
        <f aca="false">IF(Scoring!C29="","",Scoring!C29)</f>
        <v>46245</v>
      </c>
      <c r="D28" s="96" t="n">
        <f aca="false">IF(Scoring!N29="","",Scoring!N29)</f>
        <v>2.35714285714286</v>
      </c>
      <c r="E28" s="97" t="str">
        <f aca="false">IF(Scoring!AF29="","",Scoring!AF29)</f>
        <v/>
      </c>
      <c r="F28" s="65" t="str">
        <f aca="false">IF(Scoring!AG29&lt;&gt;"",Scoring!AG29,IF(Scoring!AH29="OK","PENDING",""))</f>
        <v/>
      </c>
      <c r="G28" s="65" t="str">
        <f aca="false">IF(Scoring!AH29="","",Scoring!AH29)</f>
        <v>FAIL</v>
      </c>
      <c r="H28" s="65" t="str">
        <f aca="false">IF(Scoring!AI29="","",Scoring!AI29)</f>
        <v>OK</v>
      </c>
      <c r="I28" s="65" t="str">
        <f aca="false">IF(Scoring!AJ29="","",Scoring!AJ29)</f>
        <v>AVOID</v>
      </c>
      <c r="J28" s="65" t="str">
        <f aca="false">IF(Scoring!AK29="","",Scoring!AK29)</f>
        <v>OK</v>
      </c>
    </row>
    <row r="29" customFormat="false" ht="15" hidden="true" customHeight="true" outlineLevel="1" collapsed="false">
      <c r="A29" s="93" t="str">
        <f aca="false">IF(Scoring!A30="","",Scoring!A30)</f>
        <v>EL</v>
      </c>
      <c r="B29" s="94" t="str">
        <f aca="false">IF(Scoring!B30="","",Scoring!B30)</f>
        <v>Estee Lauder Companies</v>
      </c>
      <c r="C29" s="95" t="n">
        <f aca="false">IF(Scoring!C30="","",Scoring!C30)</f>
        <v>46245</v>
      </c>
      <c r="D29" s="96" t="n">
        <f aca="false">IF(Scoring!N30="","",Scoring!N30)</f>
        <v>2.14285714285714</v>
      </c>
      <c r="E29" s="97" t="str">
        <f aca="false">IF(Scoring!AF30="","",Scoring!AF30)</f>
        <v/>
      </c>
      <c r="F29" s="65" t="str">
        <f aca="false">IF(Scoring!AG30&lt;&gt;"",Scoring!AG30,IF(Scoring!AH30="OK","PENDING",""))</f>
        <v/>
      </c>
      <c r="G29" s="65" t="str">
        <f aca="false">IF(Scoring!AH30="","",Scoring!AH30)</f>
        <v>FAIL</v>
      </c>
      <c r="H29" s="65" t="str">
        <f aca="false">IF(Scoring!AI30="","",Scoring!AI30)</f>
        <v>REVIEW</v>
      </c>
      <c r="I29" s="65" t="str">
        <f aca="false">IF(Scoring!AJ30="","",Scoring!AJ30)</f>
        <v>AVOID</v>
      </c>
      <c r="J29" s="65" t="str">
        <f aca="false">IF(Scoring!AK30="","",Scoring!AK30)</f>
        <v>OK</v>
      </c>
    </row>
    <row r="30" customFormat="false" ht="15" hidden="true" customHeight="true" outlineLevel="1" collapsed="false">
      <c r="A30" s="93" t="str">
        <f aca="false">IF(Scoring!A31="","",Scoring!A31)</f>
        <v>HRL</v>
      </c>
      <c r="B30" s="94" t="str">
        <f aca="false">IF(Scoring!B31="","",Scoring!B31)</f>
        <v>Hormel Foods Corp.</v>
      </c>
      <c r="C30" s="95" t="n">
        <f aca="false">IF(Scoring!C31="","",Scoring!C31)</f>
        <v>46245</v>
      </c>
      <c r="D30" s="96" t="n">
        <f aca="false">IF(Scoring!N31="","",Scoring!N31)</f>
        <v>1.92857142857143</v>
      </c>
      <c r="E30" s="97" t="str">
        <f aca="false">IF(Scoring!AF31="","",Scoring!AF31)</f>
        <v/>
      </c>
      <c r="F30" s="65" t="str">
        <f aca="false">IF(Scoring!AG31&lt;&gt;"",Scoring!AG31,IF(Scoring!AH31="OK","PENDING",""))</f>
        <v/>
      </c>
      <c r="G30" s="65" t="str">
        <f aca="false">IF(Scoring!AH31="","",Scoring!AH31)</f>
        <v>FAIL</v>
      </c>
      <c r="H30" s="65" t="str">
        <f aca="false">IF(Scoring!AI31="","",Scoring!AI31)</f>
        <v>REVIEW</v>
      </c>
      <c r="I30" s="65" t="str">
        <f aca="false">IF(Scoring!AJ31="","",Scoring!AJ31)</f>
        <v>AVOID</v>
      </c>
      <c r="J30" s="65" t="str">
        <f aca="false">IF(Scoring!AK31="","",Scoring!AK31)</f>
        <v>OK</v>
      </c>
    </row>
    <row r="31" customFormat="false" ht="15" hidden="false" customHeight="true" outlineLevel="0" collapsed="false">
      <c r="A31" s="93" t="str">
        <f aca="false">IF(Scoring!A32="","",Scoring!A32)</f>
        <v>PG</v>
      </c>
      <c r="B31" s="94" t="str">
        <f aca="false">IF(Scoring!B32="","",Scoring!B32)</f>
        <v>Procter &amp; Gamble Co.</v>
      </c>
      <c r="C31" s="95" t="n">
        <f aca="false">IF(Scoring!C32="","",Scoring!C32)</f>
        <v>46278</v>
      </c>
      <c r="D31" s="96" t="n">
        <f aca="false">IF(Scoring!N32="","",Scoring!N32)</f>
        <v>4</v>
      </c>
      <c r="E31" s="97" t="str">
        <f aca="false">IF(Scoring!AF32="","",Scoring!AF32)</f>
        <v/>
      </c>
      <c r="F31" s="65" t="str">
        <f aca="false">IF(Scoring!AG32&lt;&gt;"",Scoring!AG32,IF(Scoring!AH32="OK","PENDING",""))</f>
        <v>PENDING</v>
      </c>
      <c r="G31" s="65" t="str">
        <f aca="false">IF(Scoring!AH32="","",Scoring!AH32)</f>
        <v>OK</v>
      </c>
      <c r="H31" s="65" t="str">
        <f aca="false">IF(Scoring!AI32="","",Scoring!AI32)</f>
        <v>OK</v>
      </c>
      <c r="I31" s="65" t="str">
        <f aca="false">IF(Scoring!AJ32="","",Scoring!AJ32)</f>
        <v>OK</v>
      </c>
      <c r="J31" s="65" t="str">
        <f aca="false">IF(Scoring!AK32="","",Scoring!AK32)</f>
        <v>OK</v>
      </c>
    </row>
    <row r="32" customFormat="false" ht="15" hidden="false" customHeight="true" outlineLevel="0" collapsed="false">
      <c r="A32" s="93" t="str">
        <f aca="false">IF(Scoring!A33="","",Scoring!A33)</f>
        <v>CMG</v>
      </c>
      <c r="B32" s="94" t="str">
        <f aca="false">IF(Scoring!B33="","",Scoring!B33)</f>
        <v>Chipotle Mexican Grill</v>
      </c>
      <c r="C32" s="95" t="n">
        <f aca="false">IF(Scoring!C33="","",Scoring!C33)</f>
        <v>46245</v>
      </c>
      <c r="D32" s="96" t="n">
        <f aca="false">IF(Scoring!N33="","",Scoring!N33)</f>
        <v>3.71428571428571</v>
      </c>
      <c r="E32" s="97" t="str">
        <f aca="false">IF(Scoring!AF33="","",Scoring!AF33)</f>
        <v/>
      </c>
      <c r="F32" s="65" t="str">
        <f aca="false">IF(Scoring!AG33&lt;&gt;"",Scoring!AG33,IF(Scoring!AH33="OK","PENDING",""))</f>
        <v>PENDING</v>
      </c>
      <c r="G32" s="65" t="str">
        <f aca="false">IF(Scoring!AH33="","",Scoring!AH33)</f>
        <v>OK</v>
      </c>
      <c r="H32" s="65" t="str">
        <f aca="false">IF(Scoring!AI33="","",Scoring!AI33)</f>
        <v>OK</v>
      </c>
      <c r="I32" s="65" t="str">
        <f aca="false">IF(Scoring!AJ33="","",Scoring!AJ33)</f>
        <v>OK</v>
      </c>
      <c r="J32" s="65" t="str">
        <f aca="false">IF(Scoring!AK33="","",Scoring!AK33)</f>
        <v>OK</v>
      </c>
    </row>
    <row r="33" customFormat="false" ht="15" hidden="false" customHeight="true" outlineLevel="0" collapsed="false">
      <c r="A33" s="93" t="str">
        <f aca="false">IF(Scoring!A34="","",Scoring!A34)</f>
        <v>DPZ</v>
      </c>
      <c r="B33" s="94" t="str">
        <f aca="false">IF(Scoring!B34="","",Scoring!B34)</f>
        <v>Domino's Pizza Inc.</v>
      </c>
      <c r="C33" s="95" t="n">
        <f aca="false">IF(Scoring!C34="","",Scoring!C34)</f>
        <v>46278</v>
      </c>
      <c r="D33" s="96" t="n">
        <f aca="false">IF(Scoring!N34="","",Scoring!N34)</f>
        <v>3.92857142857143</v>
      </c>
      <c r="E33" s="97" t="str">
        <f aca="false">IF(Scoring!AF34="","",Scoring!AF34)</f>
        <v/>
      </c>
      <c r="F33" s="65" t="str">
        <f aca="false">IF(Scoring!AG34&lt;&gt;"",Scoring!AG34,IF(Scoring!AH34="OK","PENDING",""))</f>
        <v>PENDING</v>
      </c>
      <c r="G33" s="65" t="str">
        <f aca="false">IF(Scoring!AH34="","",Scoring!AH34)</f>
        <v>OK</v>
      </c>
      <c r="H33" s="65" t="str">
        <f aca="false">IF(Scoring!AI34="","",Scoring!AI34)</f>
        <v>OK</v>
      </c>
      <c r="I33" s="65" t="str">
        <f aca="false">IF(Scoring!AJ34="","",Scoring!AJ34)</f>
        <v>OK</v>
      </c>
      <c r="J33" s="65" t="str">
        <f aca="false">IF(Scoring!AK34="","",Scoring!AK34)</f>
        <v>OK</v>
      </c>
    </row>
    <row r="34" customFormat="false" ht="15" hidden="true" customHeight="true" outlineLevel="1" collapsed="false">
      <c r="A34" s="93" t="str">
        <f aca="false">IF(Scoring!A35="","",Scoring!A35)</f>
        <v>PZZA</v>
      </c>
      <c r="B34" s="94" t="str">
        <f aca="false">IF(Scoring!B35="","",Scoring!B35)</f>
        <v>Papa John's Intl.</v>
      </c>
      <c r="C34" s="95" t="n">
        <f aca="false">IF(Scoring!C35="","",Scoring!C35)</f>
        <v>46245</v>
      </c>
      <c r="D34" s="96" t="n">
        <f aca="false">IF(Scoring!N35="","",Scoring!N35)</f>
        <v>1.35714285714286</v>
      </c>
      <c r="E34" s="97" t="str">
        <f aca="false">IF(Scoring!AF35="","",Scoring!AF35)</f>
        <v/>
      </c>
      <c r="F34" s="65" t="str">
        <f aca="false">IF(Scoring!AG35&lt;&gt;"",Scoring!AG35,IF(Scoring!AH35="OK","PENDING",""))</f>
        <v/>
      </c>
      <c r="G34" s="65" t="str">
        <f aca="false">IF(Scoring!AH35="","",Scoring!AH35)</f>
        <v>FAIL</v>
      </c>
      <c r="H34" s="65" t="str">
        <f aca="false">IF(Scoring!AI35="","",Scoring!AI35)</f>
        <v>REVIEW</v>
      </c>
      <c r="I34" s="65" t="str">
        <f aca="false">IF(Scoring!AJ35="","",Scoring!AJ35)</f>
        <v>AVOID</v>
      </c>
      <c r="J34" s="65" t="str">
        <f aca="false">IF(Scoring!AK35="","",Scoring!AK35)</f>
        <v>OK</v>
      </c>
    </row>
    <row r="35" customFormat="false" ht="15" hidden="false" customHeight="true" outlineLevel="0" collapsed="false">
      <c r="A35" s="93" t="str">
        <f aca="false">IF(Scoring!A36="","",Scoring!A36)</f>
        <v>YUM</v>
      </c>
      <c r="B35" s="94" t="str">
        <f aca="false">IF(Scoring!B36="","",Scoring!B36)</f>
        <v>Yum! Brands Inc.</v>
      </c>
      <c r="C35" s="95" t="n">
        <f aca="false">IF(Scoring!C36="","",Scoring!C36)</f>
        <v>46278</v>
      </c>
      <c r="D35" s="96" t="n">
        <f aca="false">IF(Scoring!N36="","",Scoring!N36)</f>
        <v>3.78571428571429</v>
      </c>
      <c r="E35" s="97" t="str">
        <f aca="false">IF(Scoring!AF36="","",Scoring!AF36)</f>
        <v/>
      </c>
      <c r="F35" s="65" t="str">
        <f aca="false">IF(Scoring!AG36&lt;&gt;"",Scoring!AG36,IF(Scoring!AH36="OK","PENDING",""))</f>
        <v>PENDING</v>
      </c>
      <c r="G35" s="65" t="str">
        <f aca="false">IF(Scoring!AH36="","",Scoring!AH36)</f>
        <v>OK</v>
      </c>
      <c r="H35" s="65" t="str">
        <f aca="false">IF(Scoring!AI36="","",Scoring!AI36)</f>
        <v>OK</v>
      </c>
      <c r="I35" s="65" t="str">
        <f aca="false">IF(Scoring!AJ36="","",Scoring!AJ36)</f>
        <v>OK</v>
      </c>
      <c r="J35" s="65" t="str">
        <f aca="false">IF(Scoring!AK36="","",Scoring!AK36)</f>
        <v>OK</v>
      </c>
    </row>
    <row r="36" customFormat="false" ht="15" hidden="true" customHeight="true" outlineLevel="1" collapsed="false">
      <c r="A36" s="93" t="str">
        <f aca="false">IF(Scoring!A37="","",Scoring!A37)</f>
        <v>NKE</v>
      </c>
      <c r="B36" s="94" t="str">
        <f aca="false">IF(Scoring!B37="","",Scoring!B37)</f>
        <v>Nike Inc.</v>
      </c>
      <c r="C36" s="95" t="n">
        <f aca="false">IF(Scoring!C37="","",Scoring!C37)</f>
        <v>46246</v>
      </c>
      <c r="D36" s="96" t="n">
        <f aca="false">IF(Scoring!N37="","",Scoring!N37)</f>
        <v>1.57142857142857</v>
      </c>
      <c r="E36" s="97" t="str">
        <f aca="false">IF(Scoring!AF37="","",Scoring!AF37)</f>
        <v/>
      </c>
      <c r="F36" s="65" t="str">
        <f aca="false">IF(Scoring!AG37&lt;&gt;"",Scoring!AG37,IF(Scoring!AH37="OK","PENDING",""))</f>
        <v/>
      </c>
      <c r="G36" s="65" t="str">
        <f aca="false">IF(Scoring!AH37="","",Scoring!AH37)</f>
        <v>FAIL</v>
      </c>
      <c r="H36" s="65" t="str">
        <f aca="false">IF(Scoring!AI37="","",Scoring!AI37)</f>
        <v>REVIEW</v>
      </c>
      <c r="I36" s="65" t="str">
        <f aca="false">IF(Scoring!AJ37="","",Scoring!AJ37)</f>
        <v>AVOID</v>
      </c>
      <c r="J36" s="65" t="str">
        <f aca="false">IF(Scoring!AK37="","",Scoring!AK37)</f>
        <v>OK</v>
      </c>
    </row>
    <row r="37" customFormat="false" ht="15" hidden="true" customHeight="true" outlineLevel="1" collapsed="false">
      <c r="A37" s="93" t="str">
        <f aca="false">IF(Scoring!A38="","",Scoring!A38)</f>
        <v>VFC</v>
      </c>
      <c r="B37" s="94" t="str">
        <f aca="false">IF(Scoring!B38="","",Scoring!B38)</f>
        <v>V.F. Corporation</v>
      </c>
      <c r="C37" s="95" t="n">
        <f aca="false">IF(Scoring!C38="","",Scoring!C38)</f>
        <v>46246</v>
      </c>
      <c r="D37" s="96" t="n">
        <f aca="false">IF(Scoring!N38="","",Scoring!N38)</f>
        <v>2.85714285714286</v>
      </c>
      <c r="E37" s="97" t="str">
        <f aca="false">IF(Scoring!AF38="","",Scoring!AF38)</f>
        <v/>
      </c>
      <c r="F37" s="65" t="str">
        <f aca="false">IF(Scoring!AG38&lt;&gt;"",Scoring!AG38,IF(Scoring!AH38="OK","PENDING",""))</f>
        <v/>
      </c>
      <c r="G37" s="65" t="str">
        <f aca="false">IF(Scoring!AH38="","",Scoring!AH38)</f>
        <v>FAIL</v>
      </c>
      <c r="H37" s="65" t="str">
        <f aca="false">IF(Scoring!AI38="","",Scoring!AI38)</f>
        <v>OK</v>
      </c>
      <c r="I37" s="65" t="str">
        <f aca="false">IF(Scoring!AJ38="","",Scoring!AJ38)</f>
        <v>OK</v>
      </c>
      <c r="J37" s="65" t="str">
        <f aca="false">IF(Scoring!AK38="","",Scoring!AK38)</f>
        <v>OK</v>
      </c>
    </row>
    <row r="38" customFormat="false" ht="15" hidden="true" customHeight="true" outlineLevel="1" collapsed="false">
      <c r="A38" s="93" t="str">
        <f aca="false">IF(Scoring!A39="","",Scoring!A39)</f>
        <v>GOOS</v>
      </c>
      <c r="B38" s="94" t="str">
        <f aca="false">IF(Scoring!B39="","",Scoring!B39)</f>
        <v>Canada Goose Holdings</v>
      </c>
      <c r="C38" s="95" t="n">
        <f aca="false">IF(Scoring!C39="","",Scoring!C39)</f>
        <v>46246</v>
      </c>
      <c r="D38" s="96" t="n">
        <f aca="false">IF(Scoring!N39="","",Scoring!N39)</f>
        <v>2.5</v>
      </c>
      <c r="E38" s="97" t="str">
        <f aca="false">IF(Scoring!AF39="","",Scoring!AF39)</f>
        <v/>
      </c>
      <c r="F38" s="65" t="str">
        <f aca="false">IF(Scoring!AG39&lt;&gt;"",Scoring!AG39,IF(Scoring!AH39="OK","PENDING",""))</f>
        <v/>
      </c>
      <c r="G38" s="65" t="str">
        <f aca="false">IF(Scoring!AH39="","",Scoring!AH39)</f>
        <v>FAIL</v>
      </c>
      <c r="H38" s="65" t="str">
        <f aca="false">IF(Scoring!AI39="","",Scoring!AI39)</f>
        <v>REVIEW</v>
      </c>
      <c r="I38" s="65" t="str">
        <f aca="false">IF(Scoring!AJ39="","",Scoring!AJ39)</f>
        <v>AVOID</v>
      </c>
      <c r="J38" s="65" t="str">
        <f aca="false">IF(Scoring!AK39="","",Scoring!AK39)</f>
        <v>OK</v>
      </c>
    </row>
    <row r="39" customFormat="false" ht="15" hidden="true" customHeight="true" outlineLevel="1" collapsed="false">
      <c r="A39" s="93" t="str">
        <f aca="false">IF(Scoring!A40="","",Scoring!A40)</f>
        <v>AAP</v>
      </c>
      <c r="B39" s="94" t="str">
        <f aca="false">IF(Scoring!B40="","",Scoring!B40)</f>
        <v>Advance Auto Parts Inc.</v>
      </c>
      <c r="C39" s="95" t="n">
        <f aca="false">IF(Scoring!C40="","",Scoring!C40)</f>
        <v>46246</v>
      </c>
      <c r="D39" s="96" t="n">
        <f aca="false">IF(Scoring!N40="","",Scoring!N40)</f>
        <v>1.35714285714286</v>
      </c>
      <c r="E39" s="97" t="str">
        <f aca="false">IF(Scoring!AF40="","",Scoring!AF40)</f>
        <v/>
      </c>
      <c r="F39" s="65" t="str">
        <f aca="false">IF(Scoring!AG40&lt;&gt;"",Scoring!AG40,IF(Scoring!AH40="OK","PENDING",""))</f>
        <v/>
      </c>
      <c r="G39" s="65" t="str">
        <f aca="false">IF(Scoring!AH40="","",Scoring!AH40)</f>
        <v>FAIL</v>
      </c>
      <c r="H39" s="65" t="str">
        <f aca="false">IF(Scoring!AI40="","",Scoring!AI40)</f>
        <v>REVIEW</v>
      </c>
      <c r="I39" s="65" t="str">
        <f aca="false">IF(Scoring!AJ40="","",Scoring!AJ40)</f>
        <v>AVOID</v>
      </c>
      <c r="J39" s="65" t="str">
        <f aca="false">IF(Scoring!AK40="","",Scoring!AK40)</f>
        <v>OK</v>
      </c>
    </row>
    <row r="40" customFormat="false" ht="15" hidden="true" customHeight="true" outlineLevel="1" collapsed="false">
      <c r="A40" s="93" t="str">
        <f aca="false">IF(Scoring!A41="","",Scoring!A41)</f>
        <v>BABA</v>
      </c>
      <c r="B40" s="94" t="str">
        <f aca="false">IF(Scoring!B41="","",Scoring!B41)</f>
        <v>Alibaba Group Holding Ltd.</v>
      </c>
      <c r="C40" s="95" t="n">
        <f aca="false">IF(Scoring!C41="","",Scoring!C41)</f>
        <v>46246</v>
      </c>
      <c r="D40" s="96" t="n">
        <f aca="false">IF(Scoring!N41="","",Scoring!N41)</f>
        <v>2.78571428571429</v>
      </c>
      <c r="E40" s="97" t="str">
        <f aca="false">IF(Scoring!AF41="","",Scoring!AF41)</f>
        <v/>
      </c>
      <c r="F40" s="65" t="str">
        <f aca="false">IF(Scoring!AG41&lt;&gt;"",Scoring!AG41,IF(Scoring!AH41="OK","PENDING",""))</f>
        <v/>
      </c>
      <c r="G40" s="65" t="str">
        <f aca="false">IF(Scoring!AH41="","",Scoring!AH41)</f>
        <v>FAIL</v>
      </c>
      <c r="H40" s="65" t="str">
        <f aca="false">IF(Scoring!AI41="","",Scoring!AI41)</f>
        <v>OK</v>
      </c>
      <c r="I40" s="65" t="str">
        <f aca="false">IF(Scoring!AJ41="","",Scoring!AJ41)</f>
        <v>AVOID</v>
      </c>
      <c r="J40" s="65" t="str">
        <f aca="false">IF(Scoring!AK41="","",Scoring!AK41)</f>
        <v>OK</v>
      </c>
    </row>
    <row r="41" customFormat="false" ht="15" hidden="false" customHeight="true" outlineLevel="0" collapsed="false">
      <c r="A41" s="93" t="str">
        <f aca="false">IF(Scoring!A42="","",Scoring!A42)</f>
        <v>ETSY</v>
      </c>
      <c r="B41" s="94" t="str">
        <f aca="false">IF(Scoring!B42="","",Scoring!B42)</f>
        <v>Etsy Inc.</v>
      </c>
      <c r="C41" s="95" t="n">
        <f aca="false">IF(Scoring!C42="","",Scoring!C42)</f>
        <v>46246</v>
      </c>
      <c r="D41" s="96" t="n">
        <f aca="false">IF(Scoring!N42="","",Scoring!N42)</f>
        <v>3.42857142857143</v>
      </c>
      <c r="E41" s="97" t="str">
        <f aca="false">IF(Scoring!AF42="","",Scoring!AF42)</f>
        <v/>
      </c>
      <c r="F41" s="65" t="str">
        <f aca="false">IF(Scoring!AG42&lt;&gt;"",Scoring!AG42,IF(Scoring!AH42="OK","PENDING",""))</f>
        <v>PENDING</v>
      </c>
      <c r="G41" s="65" t="str">
        <f aca="false">IF(Scoring!AH42="","",Scoring!AH42)</f>
        <v>OK</v>
      </c>
      <c r="H41" s="65" t="str">
        <f aca="false">IF(Scoring!AI42="","",Scoring!AI42)</f>
        <v>OK</v>
      </c>
      <c r="I41" s="65" t="str">
        <f aca="false">IF(Scoring!AJ42="","",Scoring!AJ42)</f>
        <v>OK</v>
      </c>
      <c r="J41" s="65" t="str">
        <f aca="false">IF(Scoring!AK42="","",Scoring!AK42)</f>
        <v>OK</v>
      </c>
    </row>
    <row r="42" customFormat="false" ht="15" hidden="false" customHeight="true" outlineLevel="0" collapsed="false">
      <c r="A42" s="93" t="str">
        <f aca="false">IF(Scoring!A43="","",Scoring!A43)</f>
        <v>GE</v>
      </c>
      <c r="B42" s="94" t="str">
        <f aca="false">IF(Scoring!B43="","",Scoring!B43)</f>
        <v>GE Aerospace</v>
      </c>
      <c r="C42" s="95" t="n">
        <f aca="false">IF(Scoring!C43="","",Scoring!C43)</f>
        <v>46278</v>
      </c>
      <c r="D42" s="96" t="n">
        <f aca="false">IF(Scoring!N43="","",Scoring!N43)</f>
        <v>4.14285714285714</v>
      </c>
      <c r="E42" s="97" t="n">
        <f aca="false">IF(Scoring!AF43="","",Scoring!AF43)</f>
        <v>84.2</v>
      </c>
      <c r="F42" s="65" t="str">
        <f aca="false">IF(Scoring!AG43&lt;&gt;"",Scoring!AG43,IF(Scoring!AH43="OK","PENDING",""))</f>
        <v>STRONG BUY</v>
      </c>
      <c r="G42" s="65" t="str">
        <f aca="false">IF(Scoring!AH43="","",Scoring!AH43)</f>
        <v>OK</v>
      </c>
      <c r="H42" s="65" t="str">
        <f aca="false">IF(Scoring!AI43="","",Scoring!AI43)</f>
        <v>OK</v>
      </c>
      <c r="I42" s="65" t="str">
        <f aca="false">IF(Scoring!AJ43="","",Scoring!AJ43)</f>
        <v>OK</v>
      </c>
      <c r="J42" s="65" t="str">
        <f aca="false">IF(Scoring!AK43="","",Scoring!AK43)</f>
        <v>OK</v>
      </c>
    </row>
    <row r="43" customFormat="false" ht="15" hidden="false" customHeight="true" outlineLevel="0" collapsed="false">
      <c r="A43" s="93" t="str">
        <f aca="false">IF(Scoring!A44="","",Scoring!A44)</f>
        <v>PH</v>
      </c>
      <c r="B43" s="94" t="str">
        <f aca="false">IF(Scoring!B44="","",Scoring!B44)</f>
        <v>Parker-Hannifin Corporation</v>
      </c>
      <c r="C43" s="95" t="n">
        <f aca="false">IF(Scoring!C44="","",Scoring!C44)</f>
        <v>46247</v>
      </c>
      <c r="D43" s="96" t="n">
        <f aca="false">IF(Scoring!N44="","",Scoring!N44)</f>
        <v>3.28571428571429</v>
      </c>
      <c r="E43" s="97" t="str">
        <f aca="false">IF(Scoring!AF44="","",Scoring!AF44)</f>
        <v/>
      </c>
      <c r="F43" s="65" t="str">
        <f aca="false">IF(Scoring!AG44&lt;&gt;"",Scoring!AG44,IF(Scoring!AH44="OK","PENDING",""))</f>
        <v>PENDING</v>
      </c>
      <c r="G43" s="65" t="str">
        <f aca="false">IF(Scoring!AH44="","",Scoring!AH44)</f>
        <v>OK</v>
      </c>
      <c r="H43" s="65" t="str">
        <f aca="false">IF(Scoring!AI44="","",Scoring!AI44)</f>
        <v>OK</v>
      </c>
      <c r="I43" s="65" t="str">
        <f aca="false">IF(Scoring!AJ44="","",Scoring!AJ44)</f>
        <v>OK</v>
      </c>
      <c r="J43" s="65" t="str">
        <f aca="false">IF(Scoring!AK44="","",Scoring!AK44)</f>
        <v>OK</v>
      </c>
    </row>
    <row r="44" customFormat="false" ht="15" hidden="false" customHeight="true" outlineLevel="0" collapsed="false">
      <c r="A44" s="93" t="str">
        <f aca="false">IF(Scoring!A45="","",Scoring!A45)</f>
        <v>ETN</v>
      </c>
      <c r="B44" s="94" t="str">
        <f aca="false">IF(Scoring!B45="","",Scoring!B45)</f>
        <v>Eaton Corporation plc</v>
      </c>
      <c r="C44" s="95" t="n">
        <f aca="false">IF(Scoring!C45="","",Scoring!C45)</f>
        <v>46247</v>
      </c>
      <c r="D44" s="96" t="n">
        <f aca="false">IF(Scoring!N45="","",Scoring!N45)</f>
        <v>3.5</v>
      </c>
      <c r="E44" s="97" t="str">
        <f aca="false">IF(Scoring!AF45="","",Scoring!AF45)</f>
        <v/>
      </c>
      <c r="F44" s="65" t="str">
        <f aca="false">IF(Scoring!AG45&lt;&gt;"",Scoring!AG45,IF(Scoring!AH45="OK","PENDING",""))</f>
        <v>PENDING</v>
      </c>
      <c r="G44" s="65" t="str">
        <f aca="false">IF(Scoring!AH45="","",Scoring!AH45)</f>
        <v>OK</v>
      </c>
      <c r="H44" s="65" t="str">
        <f aca="false">IF(Scoring!AI45="","",Scoring!AI45)</f>
        <v>OK</v>
      </c>
      <c r="I44" s="65" t="str">
        <f aca="false">IF(Scoring!AJ45="","",Scoring!AJ45)</f>
        <v>OK</v>
      </c>
      <c r="J44" s="65" t="str">
        <f aca="false">IF(Scoring!AK45="","",Scoring!AK45)</f>
        <v>OK</v>
      </c>
    </row>
    <row r="45" customFormat="false" ht="15" hidden="true" customHeight="true" outlineLevel="1" collapsed="false">
      <c r="A45" s="93" t="str">
        <f aca="false">IF(Scoring!A46="","",Scoring!A46)</f>
        <v>DIS</v>
      </c>
      <c r="B45" s="94" t="str">
        <f aca="false">IF(Scoring!B46="","",Scoring!B46)</f>
        <v>The Walt Disney Company</v>
      </c>
      <c r="C45" s="95" t="n">
        <f aca="false">IF(Scoring!C46="","",Scoring!C46)</f>
        <v>46258</v>
      </c>
      <c r="D45" s="96" t="n">
        <f aca="false">IF(Scoring!N46="","",Scoring!N46)</f>
        <v>2.92857142857143</v>
      </c>
      <c r="E45" s="97" t="str">
        <f aca="false">IF(Scoring!AF46="","",Scoring!AF46)</f>
        <v/>
      </c>
      <c r="F45" s="65" t="str">
        <f aca="false">IF(Scoring!AG46&lt;&gt;"",Scoring!AG46,IF(Scoring!AH46="OK","PENDING",""))</f>
        <v/>
      </c>
      <c r="G45" s="65" t="str">
        <f aca="false">IF(Scoring!AH46="","",Scoring!AH46)</f>
        <v>FAIL</v>
      </c>
      <c r="H45" s="65" t="str">
        <f aca="false">IF(Scoring!AI46="","",Scoring!AI46)</f>
        <v>OK</v>
      </c>
      <c r="I45" s="65" t="str">
        <f aca="false">IF(Scoring!AJ46="","",Scoring!AJ46)</f>
        <v>AVOID</v>
      </c>
      <c r="J45" s="65" t="str">
        <f aca="false">IF(Scoring!AK46="","",Scoring!AK46)</f>
        <v>OK</v>
      </c>
    </row>
    <row r="46" customFormat="false" ht="15" hidden="false" customHeight="true" outlineLevel="0" collapsed="false">
      <c r="A46" s="93" t="str">
        <f aca="false">IF(Scoring!A47="","",Scoring!A47)</f>
        <v>NFLX</v>
      </c>
      <c r="B46" s="94" t="str">
        <f aca="false">IF(Scoring!B47="","",Scoring!B47)</f>
        <v>Netflix, Inc.</v>
      </c>
      <c r="C46" s="95" t="n">
        <f aca="false">IF(Scoring!C47="","",Scoring!C47)</f>
        <v>46278</v>
      </c>
      <c r="D46" s="96" t="n">
        <f aca="false">IF(Scoring!N47="","",Scoring!N47)</f>
        <v>4.21428571428571</v>
      </c>
      <c r="E46" s="97" t="n">
        <f aca="false">IF(Scoring!AF47="","",Scoring!AF47)</f>
        <v>83.8</v>
      </c>
      <c r="F46" s="65" t="str">
        <f aca="false">IF(Scoring!AG47&lt;&gt;"",Scoring!AG47,IF(Scoring!AH47="OK","PENDING",""))</f>
        <v>STRONG BUY</v>
      </c>
      <c r="G46" s="65" t="str">
        <f aca="false">IF(Scoring!AH47="","",Scoring!AH47)</f>
        <v>OK</v>
      </c>
      <c r="H46" s="65" t="str">
        <f aca="false">IF(Scoring!AI47="","",Scoring!AI47)</f>
        <v>OK</v>
      </c>
      <c r="I46" s="65" t="str">
        <f aca="false">IF(Scoring!AJ47="","",Scoring!AJ47)</f>
        <v>OK</v>
      </c>
      <c r="J46" s="65" t="str">
        <f aca="false">IF(Scoring!AK47="","",Scoring!AK47)</f>
        <v>OK</v>
      </c>
    </row>
    <row r="47" customFormat="false" ht="14.25" hidden="false" customHeight="true" outlineLevel="0" collapsed="false">
      <c r="A47" s="98" t="str">
        <f aca="false">IF(Scoring!A48="","",Scoring!A48)</f>
        <v>KGS</v>
      </c>
      <c r="B47" s="98" t="str">
        <f aca="false">IF(Scoring!B48="","",Scoring!B48)</f>
        <v>Kodiak Gas Services, Inc.</v>
      </c>
      <c r="C47" s="99" t="n">
        <f aca="false">IF(Scoring!C48="","",Scoring!C48)</f>
        <v>46276</v>
      </c>
      <c r="D47" s="100" t="n">
        <f aca="false">IF(Scoring!N48="","",Scoring!N48)</f>
        <v>4</v>
      </c>
      <c r="E47" s="98" t="str">
        <f aca="false">IF(Scoring!AF48="","",Scoring!AF48)</f>
        <v/>
      </c>
      <c r="F47" s="98" t="str">
        <f aca="false">IF(Scoring!AG48&lt;&gt;"",Scoring!AG48,IF(Scoring!AH48="OK","PENDING",""))</f>
        <v>PENDING</v>
      </c>
      <c r="G47" s="98" t="str">
        <f aca="false">IF(Scoring!AH48="","",Scoring!AH48)</f>
        <v>OK</v>
      </c>
      <c r="H47" s="98" t="str">
        <f aca="false">IF(Scoring!AI48="","",Scoring!AI48)</f>
        <v>OK</v>
      </c>
      <c r="I47" s="98" t="str">
        <f aca="false">IF(Scoring!AJ48="","",Scoring!AJ48)</f>
        <v>OK</v>
      </c>
      <c r="J47" s="98" t="str">
        <f aca="false">IF(Scoring!AK48="","",Scoring!AK48)</f>
        <v>OK</v>
      </c>
    </row>
    <row r="48" customFormat="false" ht="15" hidden="false" customHeight="true" outlineLevel="0" collapsed="false">
      <c r="A48" s="98" t="str">
        <f aca="false">IF(Scoring!A49="","",Scoring!A49)</f>
        <v>ABT</v>
      </c>
      <c r="B48" s="98" t="str">
        <f aca="false">IF(Scoring!B49="","",Scoring!B49)</f>
        <v>Abbott Laboratories</v>
      </c>
      <c r="C48" s="101" t="n">
        <f aca="false">IF(Scoring!C49="","",Scoring!C49)</f>
        <v>46278</v>
      </c>
      <c r="D48" s="100" t="n">
        <f aca="false">IF(Scoring!N49="","",Scoring!N49)</f>
        <v>3.5</v>
      </c>
      <c r="E48" s="98" t="n">
        <f aca="false">IF(Scoring!AF49="","",Scoring!AF49)</f>
        <v>70.8</v>
      </c>
      <c r="F48" s="98" t="str">
        <f aca="false">IF(Scoring!AG49&lt;&gt;"",Scoring!AG49,IF(Scoring!AH49="OK","PENDING",""))</f>
        <v>BUY</v>
      </c>
      <c r="G48" s="98" t="str">
        <f aca="false">IF(Scoring!AH49="","",Scoring!AH49)</f>
        <v>OK</v>
      </c>
      <c r="H48" s="98" t="str">
        <f aca="false">IF(Scoring!AI49="","",Scoring!AI49)</f>
        <v>OK</v>
      </c>
      <c r="I48" s="98" t="str">
        <f aca="false">IF(Scoring!AJ49="","",Scoring!AJ49)</f>
        <v>OK</v>
      </c>
      <c r="J48" s="98" t="str">
        <f aca="false">IF(Scoring!AK49="","",Scoring!AK49)</f>
        <v>OK</v>
      </c>
    </row>
    <row r="49" customFormat="false" ht="15.75" hidden="false" customHeight="true" outlineLevel="0" collapsed="false">
      <c r="A49" s="102" t="str">
        <f aca="false">IF(Scoring!A50="","",Scoring!A50)</f>
        <v>SLB</v>
      </c>
      <c r="B49" s="103" t="str">
        <f aca="false">IF(Scoring!B50="","",Scoring!B50)</f>
        <v>SLB N.V.</v>
      </c>
      <c r="C49" s="101" t="n">
        <f aca="false">IF(Scoring!C50="","",Scoring!C50)</f>
        <v>46278</v>
      </c>
      <c r="D49" s="100" t="n">
        <f aca="false">IF(Scoring!N50="","",Scoring!N50)</f>
        <v>3.5</v>
      </c>
      <c r="E49" s="98" t="n">
        <f aca="false">IF(Scoring!AF50="","",Scoring!AF50)</f>
        <v>72.4</v>
      </c>
      <c r="F49" s="98" t="str">
        <f aca="false">IF(Scoring!AG50&lt;&gt;"",Scoring!AG50,IF(Scoring!AH50="OK","PENDING",""))</f>
        <v>BUY</v>
      </c>
      <c r="G49" s="98" t="str">
        <f aca="false">IF(Scoring!AH50="","",Scoring!AH50)</f>
        <v>OK</v>
      </c>
      <c r="H49" s="98" t="str">
        <f aca="false">IF(Scoring!AI50="","",Scoring!AI50)</f>
        <v>OK</v>
      </c>
      <c r="I49" s="98" t="str">
        <f aca="false">IF(Scoring!AJ50="","",Scoring!AJ50)</f>
        <v>OK</v>
      </c>
      <c r="J49" s="98" t="str">
        <f aca="false">IF(Scoring!AK50="","",Scoring!AK50)</f>
        <v>OK</v>
      </c>
    </row>
    <row r="51" customFormat="false" ht="14.25" hidden="false" customHeight="true" outlineLevel="0" collapsed="false">
      <c r="A51" s="1" t="s">
        <v>288</v>
      </c>
    </row>
    <row r="52" customFormat="false" ht="15" hidden="false" customHeight="true" outlineLevel="0" collapsed="false">
      <c r="A52" s="104" t="n">
        <f aca="false">SUBTOTAL(103,A2:A50)</f>
        <v>29</v>
      </c>
      <c r="B52" s="104" t="s">
        <v>289</v>
      </c>
    </row>
  </sheetData>
  <conditionalFormatting sqref="F2:F46">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G2:G46">
    <cfRule type="cellIs" priority="7" operator="equal" aboveAverage="0" equalAverage="0" bottom="0" percent="0" rank="0" text="" dxfId="0">
      <formula>"FAIL"</formula>
    </cfRule>
  </conditionalFormatting>
  <conditionalFormatting sqref="I2:I46">
    <cfRule type="cellIs" priority="8" operator="equal" aboveAverage="0" equalAverage="0" bottom="0" percent="0" rank="0" text="" dxfId="0">
      <formula>"AVOID"</formula>
    </cfRule>
  </conditionalFormatting>
  <conditionalFormatting sqref="H2:H46">
    <cfRule type="cellIs" priority="9" operator="equal" aboveAverage="0" equalAverage="0" bottom="0" percent="0" rank="0" text="" dxfId="19">
      <formula>"REVIEW"</formula>
    </cfRule>
  </conditionalFormatting>
  <conditionalFormatting sqref="J2:J46">
    <cfRule type="cellIs" priority="10" operator="equal" aboveAverage="0" equalAverage="0" bottom="0" percent="0" rank="0" text="" dxfId="19">
      <formula>"CAP AT BUY"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AI43" activePane="bottomRight" state="frozen"/>
      <selection pane="topLeft" activeCell="A1" activeCellId="0" sqref="A1"/>
      <selection pane="topRight" activeCell="AI1" activeCellId="0" sqref="AI1"/>
      <selection pane="bottomLeft" activeCell="A43" activeCellId="0" sqref="A43"/>
      <selection pane="bottomRight" activeCell="AM55" activeCellId="0" sqref="AM55"/>
    </sheetView>
  </sheetViews>
  <sheetFormatPr defaultColWidth="8.66796875" defaultRowHeight="13.5" customHeight="false" zeroHeight="false" outlineLevelRow="1" outlineLevelCol="1"/>
  <cols>
    <col collapsed="false" customWidth="true" hidden="false" outlineLevel="0" max="1" min="1" style="24" width="8"/>
    <col collapsed="false" customWidth="true" hidden="false" outlineLevel="0" max="2" min="2" style="24" width="19.79"/>
    <col collapsed="false" customWidth="true" hidden="false" outlineLevel="0" max="3" min="3" style="24" width="10"/>
    <col collapsed="false" customWidth="true" hidden="false" outlineLevel="1" max="4" min="4" style="24" width="8.76"/>
    <col collapsed="false" customWidth="true" hidden="false" outlineLevel="1" max="5" min="5" style="24" width="7.11"/>
    <col collapsed="false" customWidth="true" hidden="false" outlineLevel="1" max="6" min="6" style="24" width="7.67"/>
    <col collapsed="false" customWidth="true" hidden="false" outlineLevel="1" max="7" min="7" style="24" width="6.77"/>
    <col collapsed="false" customWidth="true" hidden="false" outlineLevel="1" max="8" min="8" style="24" width="7.22"/>
    <col collapsed="false" customWidth="true" hidden="false" outlineLevel="1" max="9" min="9" style="24" width="6.44"/>
    <col collapsed="false" customWidth="true" hidden="false" outlineLevel="1" max="10" min="10" style="24" width="7.88"/>
    <col collapsed="false" customWidth="true" hidden="false" outlineLevel="1" max="11" min="11" style="24" width="6.44"/>
    <col collapsed="false" customWidth="true" hidden="false" outlineLevel="1" max="12" min="12" style="24" width="7.44"/>
    <col collapsed="false" customWidth="true" hidden="false" outlineLevel="1" max="13" min="13" style="24" width="9.56"/>
    <col collapsed="false" customWidth="true" hidden="false" outlineLevel="1" max="14" min="14" style="24" width="8.76"/>
    <col collapsed="false" customWidth="true" hidden="false" outlineLevel="1" max="15" min="15" style="24" width="7.56"/>
    <col collapsed="false" customWidth="true" hidden="false" outlineLevel="1" max="16" min="16" style="24" width="8.76"/>
    <col collapsed="false" customWidth="true" hidden="false" outlineLevel="1" max="17" min="17" style="24" width="6.44"/>
    <col collapsed="false" customWidth="true" hidden="false" outlineLevel="1" max="18" min="18" style="24" width="6.88"/>
    <col collapsed="false" customWidth="true" hidden="false" outlineLevel="1" max="19" min="19" style="24" width="6.33"/>
    <col collapsed="false" customWidth="true" hidden="false" outlineLevel="1" max="20" min="20" style="24" width="7.76"/>
    <col collapsed="false" customWidth="true" hidden="false" outlineLevel="1" max="21" min="21" style="24" width="6.33"/>
    <col collapsed="false" customWidth="true" hidden="false" outlineLevel="1" max="22" min="22" style="24" width="8.76"/>
    <col collapsed="false" customWidth="true" hidden="false" outlineLevel="1" max="23" min="23" style="24" width="6.33"/>
    <col collapsed="false" customWidth="true" hidden="false" outlineLevel="1" max="24" min="24" style="24" width="7.11"/>
    <col collapsed="false" customWidth="true" hidden="false" outlineLevel="1" max="25" min="25" style="24" width="8"/>
    <col collapsed="false" customWidth="true" hidden="false" outlineLevel="1" max="26" min="26" style="24" width="6.11"/>
    <col collapsed="false" customWidth="true" hidden="false" outlineLevel="1" max="27" min="27" style="24" width="9.56"/>
    <col collapsed="false" customWidth="true" hidden="false" outlineLevel="1" max="28" min="28" style="24" width="6.88"/>
    <col collapsed="false" customWidth="true" hidden="false" outlineLevel="1" max="29" min="29" style="24" width="8"/>
    <col collapsed="false" customWidth="true" hidden="false" outlineLevel="1" max="30" min="30" style="24" width="6.56"/>
    <col collapsed="false" customWidth="true" hidden="false" outlineLevel="1" max="31" min="31" style="24" width="7.67"/>
    <col collapsed="false" customWidth="true" hidden="false" outlineLevel="1" max="32" min="32" style="24" width="9"/>
    <col collapsed="false" customWidth="true" hidden="false" outlineLevel="0" max="33" min="33" style="24" width="12"/>
    <col collapsed="false" customWidth="true" hidden="false" outlineLevel="0" max="34" min="34" style="24" width="8"/>
    <col collapsed="false" customWidth="true" hidden="false" outlineLevel="0" max="35" min="35" style="24" width="6.44"/>
    <col collapsed="false" customWidth="true" hidden="false" outlineLevel="0" max="36" min="36" style="24" width="7"/>
    <col collapsed="false" customWidth="true" hidden="false" outlineLevel="0" max="37" min="37" style="24" width="7.67"/>
    <col collapsed="false" customWidth="true" hidden="false" outlineLevel="0" max="38" min="38" style="24" width="16.22"/>
    <col collapsed="false" customWidth="true" hidden="false" outlineLevel="0" max="39" min="39" style="24" width="24.78"/>
    <col collapsed="false" customWidth="true" hidden="true" outlineLevel="1" max="40" min="40" style="24" width="13.67"/>
    <col collapsed="false" customWidth="true" hidden="true" outlineLevel="1" max="41" min="41" style="24" width="14.11"/>
    <col collapsed="false" customWidth="true" hidden="true" outlineLevel="1" max="45" min="42" style="24" width="10"/>
    <col collapsed="false" customWidth="false" hidden="false" outlineLevel="0" max="16384" min="46" style="24" width="8.67"/>
  </cols>
  <sheetData>
    <row r="1" customFormat="false" ht="21.75" hidden="false" customHeight="true" outlineLevel="0" collapsed="false">
      <c r="D1" s="105" t="s">
        <v>290</v>
      </c>
      <c r="E1" s="105"/>
      <c r="F1" s="105"/>
      <c r="G1" s="105"/>
      <c r="H1" s="105"/>
      <c r="I1" s="105"/>
      <c r="J1" s="105"/>
      <c r="K1" s="105"/>
      <c r="L1" s="105"/>
      <c r="M1" s="105"/>
      <c r="N1" s="105"/>
      <c r="O1" s="105"/>
      <c r="P1" s="105" t="s">
        <v>291</v>
      </c>
      <c r="Q1" s="105"/>
      <c r="R1" s="105"/>
      <c r="S1" s="105"/>
      <c r="T1" s="105"/>
      <c r="U1" s="105"/>
      <c r="V1" s="105"/>
      <c r="W1" s="105"/>
      <c r="X1" s="105"/>
      <c r="Y1" s="106" t="s">
        <v>292</v>
      </c>
      <c r="Z1" s="106"/>
      <c r="AA1" s="106"/>
      <c r="AB1" s="106"/>
      <c r="AC1" s="106"/>
      <c r="AD1" s="106"/>
      <c r="AE1" s="106"/>
      <c r="AH1" s="107" t="s">
        <v>293</v>
      </c>
      <c r="AI1" s="107"/>
      <c r="AJ1" s="107"/>
      <c r="AK1" s="107"/>
      <c r="AL1" s="107" t="s">
        <v>294</v>
      </c>
      <c r="AM1" s="107"/>
      <c r="AN1" s="108" t="s">
        <v>295</v>
      </c>
      <c r="AO1" s="108"/>
      <c r="AP1" s="108"/>
      <c r="AQ1" s="108"/>
      <c r="AR1" s="108"/>
      <c r="AS1" s="108"/>
    </row>
    <row r="2" customFormat="false" ht="39.75" hidden="false" customHeight="true" outlineLevel="0" collapsed="false">
      <c r="A2" s="109" t="s">
        <v>81</v>
      </c>
      <c r="B2" s="109" t="s">
        <v>279</v>
      </c>
      <c r="C2" s="109" t="s">
        <v>296</v>
      </c>
      <c r="D2" s="109" t="s">
        <v>297</v>
      </c>
      <c r="E2" s="109" t="s">
        <v>298</v>
      </c>
      <c r="F2" s="109" t="s">
        <v>299</v>
      </c>
      <c r="G2" s="109" t="s">
        <v>298</v>
      </c>
      <c r="H2" s="109" t="s">
        <v>300</v>
      </c>
      <c r="I2" s="109" t="s">
        <v>298</v>
      </c>
      <c r="J2" s="109" t="s">
        <v>301</v>
      </c>
      <c r="K2" s="109" t="s">
        <v>298</v>
      </c>
      <c r="L2" s="109" t="s">
        <v>302</v>
      </c>
      <c r="M2" s="109" t="s">
        <v>303</v>
      </c>
      <c r="N2" s="109" t="s">
        <v>304</v>
      </c>
      <c r="O2" s="109" t="s">
        <v>305</v>
      </c>
      <c r="P2" s="109" t="s">
        <v>306</v>
      </c>
      <c r="Q2" s="109" t="s">
        <v>298</v>
      </c>
      <c r="R2" s="109" t="s">
        <v>307</v>
      </c>
      <c r="S2" s="109" t="s">
        <v>298</v>
      </c>
      <c r="T2" s="109" t="s">
        <v>308</v>
      </c>
      <c r="U2" s="109" t="s">
        <v>298</v>
      </c>
      <c r="V2" s="109" t="s">
        <v>309</v>
      </c>
      <c r="W2" s="109" t="s">
        <v>298</v>
      </c>
      <c r="X2" s="109" t="s">
        <v>310</v>
      </c>
      <c r="Y2" s="109" t="s">
        <v>311</v>
      </c>
      <c r="Z2" s="109" t="s">
        <v>298</v>
      </c>
      <c r="AA2" s="109" t="s">
        <v>312</v>
      </c>
      <c r="AB2" s="109" t="s">
        <v>298</v>
      </c>
      <c r="AC2" s="109" t="s">
        <v>313</v>
      </c>
      <c r="AD2" s="109" t="s">
        <v>298</v>
      </c>
      <c r="AE2" s="109" t="s">
        <v>314</v>
      </c>
      <c r="AF2" s="109" t="s">
        <v>315</v>
      </c>
      <c r="AG2" s="109" t="s">
        <v>283</v>
      </c>
      <c r="AH2" s="110" t="s">
        <v>316</v>
      </c>
      <c r="AI2" s="110" t="s">
        <v>317</v>
      </c>
      <c r="AJ2" s="110" t="s">
        <v>318</v>
      </c>
      <c r="AK2" s="110" t="s">
        <v>319</v>
      </c>
      <c r="AL2" s="107" t="s">
        <v>320</v>
      </c>
      <c r="AM2" s="92" t="s">
        <v>321</v>
      </c>
      <c r="AN2" s="111" t="s">
        <v>322</v>
      </c>
      <c r="AO2" s="111" t="s">
        <v>323</v>
      </c>
      <c r="AP2" s="111" t="s">
        <v>324</v>
      </c>
      <c r="AQ2" s="111" t="s">
        <v>325</v>
      </c>
      <c r="AR2" s="111" t="s">
        <v>326</v>
      </c>
      <c r="AS2" s="112" t="s">
        <v>327</v>
      </c>
    </row>
    <row r="3" customFormat="false" ht="15" hidden="false" customHeight="true" outlineLevel="0" collapsed="false">
      <c r="A3" s="62" t="s">
        <v>108</v>
      </c>
      <c r="B3" s="113" t="s">
        <v>109</v>
      </c>
      <c r="C3" s="114" t="n">
        <v>46278</v>
      </c>
      <c r="D3" s="115" t="n">
        <v>3</v>
      </c>
      <c r="E3" s="115" t="s">
        <v>328</v>
      </c>
      <c r="F3" s="115" t="n">
        <v>3</v>
      </c>
      <c r="G3" s="115" t="s">
        <v>328</v>
      </c>
      <c r="H3" s="115" t="n">
        <v>4</v>
      </c>
      <c r="I3" s="115" t="s">
        <v>329</v>
      </c>
      <c r="J3" s="115" t="n">
        <v>5</v>
      </c>
      <c r="K3" s="115" t="s">
        <v>329</v>
      </c>
      <c r="L3" s="115" t="n">
        <v>2</v>
      </c>
      <c r="M3" s="115" t="s">
        <v>328</v>
      </c>
      <c r="N3" s="116" t="n">
        <f aca="false">IF(COUNT(D3,F3,H3,J3,L3)=0,"",(D3*0.2+F3*0.15+H3*0.15+J3*0.1+L3*0.1)/(IF(D3&lt;&gt;"",0.2,0)+IF(F3&lt;&gt;"",0.15,0)+IF(H3&lt;&gt;"",0.15,0)+IF(J3&lt;&gt;"",0.1,0)+IF(L3&lt;&gt;"",0.1,0)))</f>
        <v>3.35714285714286</v>
      </c>
      <c r="O3" s="117" t="n">
        <f aca="false">IF(COUNT(D3,F3,H3,J3,L3)=0,"",D3*0.2+F3*0.15+H3*0.15+J3*0.1+L3*0.1)</f>
        <v>2.35</v>
      </c>
      <c r="P3" s="115" t="n">
        <v>4</v>
      </c>
      <c r="Q3" s="115" t="s">
        <v>328</v>
      </c>
      <c r="R3" s="115" t="n">
        <v>5</v>
      </c>
      <c r="S3" s="115" t="s">
        <v>328</v>
      </c>
      <c r="T3" s="115" t="n">
        <v>5</v>
      </c>
      <c r="U3" s="115" t="s">
        <v>329</v>
      </c>
      <c r="V3" s="115" t="n">
        <v>1</v>
      </c>
      <c r="W3" s="115" t="s">
        <v>329</v>
      </c>
      <c r="X3" s="117" t="n">
        <f aca="false">IF(COUNT(P3,R3,T3,V3)=0,"",P3*0.08+R3*0.06+T3*0.03+V3*0.08)</f>
        <v>0.85</v>
      </c>
      <c r="Y3" s="115" t="n">
        <v>5</v>
      </c>
      <c r="Z3" s="115" t="s">
        <v>329</v>
      </c>
      <c r="AA3" s="115" t="n">
        <v>3</v>
      </c>
      <c r="AB3" s="115" t="s">
        <v>328</v>
      </c>
      <c r="AC3" s="115" t="n">
        <v>3</v>
      </c>
      <c r="AD3" s="115" t="s">
        <v>330</v>
      </c>
      <c r="AE3" s="117" t="n">
        <f aca="false">IF(COUNT(Y3,AA3,AC3)=0,"",Y3*0.02+AA3*0.02+AC3*0.01)</f>
        <v>0.19</v>
      </c>
      <c r="AF3" s="97" t="n">
        <f aca="false">IF(OR(COUNT(D3,F3,H3,J3,L3)&lt;5,COUNT(P3,R3,T3,V3)&lt;4,COUNT(Y3,AA3,AC3)&lt;3),"",(O3+X3+AE3)*20)</f>
        <v>67.8</v>
      </c>
      <c r="AG3" s="93" t="str">
        <f aca="false">IF(AF3="","",IF(AF3&gt;=80,"STRONG BUY",IF(AF3&gt;=65,"BUY",IF(AF3&gt;=50,"WATCH LIST",IF(AF3&gt;=35,"AVOID","PASS")))))</f>
        <v>BUY</v>
      </c>
      <c r="AH3" s="93" t="str">
        <f aca="false">IF(N3="","",IF(N3&lt;3,"FAIL","OK"))</f>
        <v>OK</v>
      </c>
      <c r="AI3" s="93" t="str">
        <f aca="false">IF(COUNT(D3:L3)=0,"",IF(COUNTIF(D3:L3,1)&gt;0,"REVIEW","OK"))</f>
        <v>OK</v>
      </c>
      <c r="AJ3" s="93" t="str">
        <f aca="false">IF(COUNT(D3:L3)=0,"",IF(COUNTIF(D3:L3,"&lt;=2")&gt;=2,"AVOID","OK"))</f>
        <v>OK</v>
      </c>
      <c r="AK3" s="93" t="str">
        <f aca="false">IF(COUNTA(E3:M3)=0,"",IF(COUNTIF(E3:M3,"L")&gt;=2,"CAP AT BUY","OK"))</f>
        <v>OK</v>
      </c>
      <c r="AL3" s="118" t="s">
        <v>331</v>
      </c>
      <c r="AM3" s="119" t="s">
        <v>332</v>
      </c>
      <c r="AN3" s="120" t="n">
        <v>17525000000</v>
      </c>
      <c r="AO3" s="121" t="n">
        <v>8539000000</v>
      </c>
      <c r="AP3" s="115" t="str">
        <f aca="false">IF(OR(AN3="",AO3=""),"",IF(AN3&gt;AO3,"OK","LOW CONF"))</f>
        <v>OK</v>
      </c>
      <c r="AQ3" s="122" t="n">
        <v>9.159</v>
      </c>
      <c r="AR3" s="117" t="n">
        <v>115.76</v>
      </c>
      <c r="AS3" s="123" t="str">
        <f aca="false">IF(OR(AQ3="",AR3=""),"",IF(AQ3&lt;AR3,"Decreased",IF(AQ3&gt;AR3,"Increased","Flat")))</f>
        <v>Decreased</v>
      </c>
    </row>
    <row r="4" customFormat="false" ht="15" hidden="false" customHeight="true" outlineLevel="0" collapsed="false">
      <c r="A4" s="62" t="s">
        <v>165</v>
      </c>
      <c r="B4" s="113" t="s">
        <v>166</v>
      </c>
      <c r="C4" s="114" t="n">
        <v>46278</v>
      </c>
      <c r="D4" s="115" t="n">
        <v>2</v>
      </c>
      <c r="E4" s="115" t="s">
        <v>328</v>
      </c>
      <c r="F4" s="115" t="n">
        <v>3</v>
      </c>
      <c r="G4" s="115" t="s">
        <v>328</v>
      </c>
      <c r="H4" s="115" t="n">
        <v>5</v>
      </c>
      <c r="I4" s="115" t="s">
        <v>329</v>
      </c>
      <c r="J4" s="115" t="n">
        <v>4</v>
      </c>
      <c r="K4" s="115" t="s">
        <v>328</v>
      </c>
      <c r="L4" s="115" t="n">
        <v>2</v>
      </c>
      <c r="M4" s="115" t="s">
        <v>328</v>
      </c>
      <c r="N4" s="116" t="n">
        <f aca="false">IF(COUNT(D4,F4,H4,J4,L4)=0,"",(D4*0.2+F4*0.15+H4*0.15+J4*0.1+L4*0.1)/(IF(D4&lt;&gt;"",0.2,0)+IF(F4&lt;&gt;"",0.15,0)+IF(H4&lt;&gt;"",0.15,0)+IF(J4&lt;&gt;"",0.1,0)+IF(L4&lt;&gt;"",0.1,0)))</f>
        <v>3.14285714285714</v>
      </c>
      <c r="O4" s="117" t="n">
        <f aca="false">IF(COUNT(D4,F4,H4,J4,L4)=0,"",D4*0.2+F4*0.15+H4*0.15+J4*0.1+L4*0.1)</f>
        <v>2.2</v>
      </c>
      <c r="P4" s="115" t="n">
        <v>4</v>
      </c>
      <c r="Q4" s="115" t="s">
        <v>329</v>
      </c>
      <c r="R4" s="115" t="n">
        <v>4</v>
      </c>
      <c r="S4" s="115" t="s">
        <v>330</v>
      </c>
      <c r="T4" s="115" t="n">
        <v>4</v>
      </c>
      <c r="U4" s="115" t="s">
        <v>328</v>
      </c>
      <c r="V4" s="115" t="n">
        <v>4</v>
      </c>
      <c r="W4" s="115" t="s">
        <v>328</v>
      </c>
      <c r="X4" s="117" t="n">
        <f aca="false">IF(COUNT(P4,R4,T4,V4)=0,"",P4*0.08+R4*0.06+T4*0.03+V4*0.08)</f>
        <v>1</v>
      </c>
      <c r="Y4" s="115" t="n">
        <v>3</v>
      </c>
      <c r="Z4" s="115" t="s">
        <v>328</v>
      </c>
      <c r="AA4" s="115" t="n">
        <v>5</v>
      </c>
      <c r="AB4" s="115" t="s">
        <v>329</v>
      </c>
      <c r="AC4" s="115" t="n">
        <v>3</v>
      </c>
      <c r="AD4" s="115" t="s">
        <v>328</v>
      </c>
      <c r="AE4" s="117" t="n">
        <f aca="false">IF(COUNT(Y4,AA4,AC4)=0,"",Y4*0.02+AA4*0.02+AC4*0.01)</f>
        <v>0.19</v>
      </c>
      <c r="AF4" s="97" t="n">
        <f aca="false">IF(OR(COUNT(D4,F4,H4,J4,L4)&lt;5,COUNT(P4,R4,T4,V4)&lt;4,COUNT(Y4,AA4,AC4)&lt;3),"",(O4+X4+AE4)*20)</f>
        <v>67.8</v>
      </c>
      <c r="AG4" s="93" t="str">
        <f aca="false">IF(AF4="","",IF(AF4&gt;=80,"STRONG BUY",IF(AF4&gt;=65,"BUY",IF(AF4&gt;=50,"WATCH LIST",IF(AF4&gt;=35,"AVOID","PASS")))))</f>
        <v>BUY</v>
      </c>
      <c r="AH4" s="93" t="str">
        <f aca="false">IF(N4="","",IF(N4&lt;3,"FAIL","OK"))</f>
        <v>OK</v>
      </c>
      <c r="AI4" s="93" t="str">
        <f aca="false">IF(COUNT(D4:L4)=0,"",IF(COUNTIF(D4:L4,1)&gt;0,"REVIEW","OK"))</f>
        <v>OK</v>
      </c>
      <c r="AJ4" s="93" t="str">
        <f aca="false">IF(COUNT(D4:L4)=0,"",IF(COUNTIF(D4:L4,"&lt;=2")&gt;=2,"AVOID","OK"))</f>
        <v>AVOID</v>
      </c>
      <c r="AK4" s="93" t="str">
        <f aca="false">IF(COUNTA(E4:M4)=0,"",IF(COUNTIF(E4:M4,"L")&gt;=2,"CAP AT BUY","OK"))</f>
        <v>OK</v>
      </c>
      <c r="AL4" s="118" t="s">
        <v>331</v>
      </c>
      <c r="AM4" s="119" t="s">
        <v>332</v>
      </c>
      <c r="AN4" s="115"/>
      <c r="AO4" s="93"/>
      <c r="AP4" s="115" t="str">
        <f aca="false">IF(OR(AN4="",AO4=""),"",IF(AN4&gt;AO4,"OK","LOW CONF"))</f>
        <v/>
      </c>
      <c r="AQ4" s="115"/>
      <c r="AR4" s="93"/>
      <c r="AS4" s="123" t="str">
        <f aca="false">IF(OR(AQ4="",AR4=""),"",IF(AQ4&lt;AR4,"Decreased",IF(AQ4&gt;AR4,"Increased","Flat")))</f>
        <v/>
      </c>
    </row>
    <row r="5" customFormat="false" ht="15" hidden="false" customHeight="true" outlineLevel="0" collapsed="false">
      <c r="A5" s="62" t="s">
        <v>112</v>
      </c>
      <c r="B5" s="113" t="s">
        <v>113</v>
      </c>
      <c r="C5" s="114" t="n">
        <v>46278</v>
      </c>
      <c r="D5" s="115" t="n">
        <v>3</v>
      </c>
      <c r="E5" s="115" t="s">
        <v>328</v>
      </c>
      <c r="F5" s="115" t="n">
        <v>4</v>
      </c>
      <c r="G5" s="115" t="s">
        <v>328</v>
      </c>
      <c r="H5" s="115" t="n">
        <v>5</v>
      </c>
      <c r="I5" s="115" t="s">
        <v>328</v>
      </c>
      <c r="J5" s="115" t="n">
        <v>4</v>
      </c>
      <c r="K5" s="115" t="s">
        <v>328</v>
      </c>
      <c r="L5" s="115" t="n">
        <v>5</v>
      </c>
      <c r="M5" s="115" t="s">
        <v>328</v>
      </c>
      <c r="N5" s="116" t="n">
        <f aca="false">IF(COUNT(D5,F5,H5,J5,L5)=0,"",(D5*0.2+F5*0.15+H5*0.15+J5*0.1+L5*0.1)/(IF(D5&lt;&gt;"",0.2,0)+IF(F5&lt;&gt;"",0.15,0)+IF(H5&lt;&gt;"",0.15,0)+IF(J5&lt;&gt;"",0.1,0)+IF(L5&lt;&gt;"",0.1,0)))</f>
        <v>4.07142857142857</v>
      </c>
      <c r="O5" s="117" t="n">
        <f aca="false">IF(COUNT(D5,F5,H5,J5,L5)=0,"",D5*0.2+F5*0.15+H5*0.15+J5*0.1+L5*0.1)</f>
        <v>2.85</v>
      </c>
      <c r="P5" s="115" t="n">
        <v>3</v>
      </c>
      <c r="Q5" s="115" t="s">
        <v>328</v>
      </c>
      <c r="R5" s="115" t="n">
        <v>5</v>
      </c>
      <c r="S5" s="115" t="s">
        <v>329</v>
      </c>
      <c r="T5" s="115" t="n">
        <v>3</v>
      </c>
      <c r="U5" s="115" t="s">
        <v>328</v>
      </c>
      <c r="V5" s="115" t="n">
        <v>2</v>
      </c>
      <c r="W5" s="115" t="s">
        <v>328</v>
      </c>
      <c r="X5" s="117" t="n">
        <f aca="false">IF(COUNT(P5,R5,T5,V5)=0,"",P5*0.08+R5*0.06+T5*0.03+V5*0.08)</f>
        <v>0.79</v>
      </c>
      <c r="Y5" s="115" t="n">
        <v>3</v>
      </c>
      <c r="Z5" s="115" t="s">
        <v>330</v>
      </c>
      <c r="AA5" s="115" t="n">
        <v>4</v>
      </c>
      <c r="AB5" s="115" t="s">
        <v>328</v>
      </c>
      <c r="AC5" s="115" t="n">
        <v>3</v>
      </c>
      <c r="AD5" s="115" t="s">
        <v>330</v>
      </c>
      <c r="AE5" s="117" t="n">
        <f aca="false">IF(COUNT(Y5,AA5,AC5)=0,"",Y5*0.02+AA5*0.02+AC5*0.01)</f>
        <v>0.17</v>
      </c>
      <c r="AF5" s="97" t="n">
        <f aca="false">IF(OR(COUNT(D5,F5,H5,J5,L5)&lt;5,COUNT(P5,R5,T5,V5)&lt;4,COUNT(Y5,AA5,AC5)&lt;3),"",(O5+X5+AE5)*20)</f>
        <v>76.2</v>
      </c>
      <c r="AG5" s="93" t="str">
        <f aca="false">IF(AF5="","",IF(AF5&gt;=80,"STRONG BUY",IF(AF5&gt;=65,"BUY",IF(AF5&gt;=50,"WATCH LIST",IF(AF5&gt;=35,"AVOID","PASS")))))</f>
        <v>BUY</v>
      </c>
      <c r="AH5" s="93" t="str">
        <f aca="false">IF(N5="","",IF(N5&lt;3,"FAIL","OK"))</f>
        <v>OK</v>
      </c>
      <c r="AI5" s="93" t="str">
        <f aca="false">IF(COUNT(D5:L5)=0,"",IF(COUNTIF(D5:L5,1)&gt;0,"REVIEW","OK"))</f>
        <v>OK</v>
      </c>
      <c r="AJ5" s="93" t="str">
        <f aca="false">IF(COUNT(D5:L5)=0,"",IF(COUNTIF(D5:L5,"&lt;=2")&gt;=2,"AVOID","OK"))</f>
        <v>OK</v>
      </c>
      <c r="AK5" s="93" t="str">
        <f aca="false">IF(COUNTA(E5:M5)=0,"",IF(COUNTIF(E5:M5,"L")&gt;=2,"CAP AT BUY","OK"))</f>
        <v>OK</v>
      </c>
      <c r="AL5" s="118" t="s">
        <v>331</v>
      </c>
      <c r="AM5" s="119" t="s">
        <v>333</v>
      </c>
      <c r="AN5" s="115"/>
      <c r="AO5" s="93"/>
      <c r="AP5" s="115" t="str">
        <f aca="false">IF(OR(AN5="",AO5=""),"",IF(AN5&gt;AO5,"OK","LOW CONF"))</f>
        <v/>
      </c>
      <c r="AQ5" s="115"/>
      <c r="AR5" s="93"/>
      <c r="AS5" s="123" t="str">
        <f aca="false">IF(OR(AQ5="",AR5=""),"",IF(AQ5&lt;AR5,"Decreased",IF(AQ5&gt;AR5,"Increased","Flat")))</f>
        <v/>
      </c>
    </row>
    <row r="6" customFormat="false" ht="15" hidden="false" customHeight="true" outlineLevel="0" collapsed="false">
      <c r="A6" s="62" t="s">
        <v>110</v>
      </c>
      <c r="B6" s="113" t="s">
        <v>111</v>
      </c>
      <c r="C6" s="114" t="n">
        <v>46278</v>
      </c>
      <c r="D6" s="115" t="n">
        <v>3</v>
      </c>
      <c r="E6" s="115" t="s">
        <v>328</v>
      </c>
      <c r="F6" s="115" t="n">
        <v>5</v>
      </c>
      <c r="G6" s="115" t="s">
        <v>328</v>
      </c>
      <c r="H6" s="115" t="n">
        <v>5</v>
      </c>
      <c r="I6" s="115" t="s">
        <v>329</v>
      </c>
      <c r="J6" s="115" t="n">
        <v>4</v>
      </c>
      <c r="K6" s="115" t="s">
        <v>329</v>
      </c>
      <c r="L6" s="115" t="n">
        <v>5</v>
      </c>
      <c r="M6" s="115" t="s">
        <v>328</v>
      </c>
      <c r="N6" s="116" t="n">
        <f aca="false">IF(COUNT(D6,F6,H6,J6,L6)=0,"",(D6*0.2+F6*0.15+H6*0.15+J6*0.1+L6*0.1)/(IF(D6&lt;&gt;"",0.2,0)+IF(F6&lt;&gt;"",0.15,0)+IF(H6&lt;&gt;"",0.15,0)+IF(J6&lt;&gt;"",0.1,0)+IF(L6&lt;&gt;"",0.1,0)))</f>
        <v>4.28571428571429</v>
      </c>
      <c r="O6" s="117" t="n">
        <f aca="false">IF(COUNT(D6,F6,H6,J6,L6)=0,"",D6*0.2+F6*0.15+H6*0.15+J6*0.1+L6*0.1)</f>
        <v>3</v>
      </c>
      <c r="P6" s="115" t="n">
        <v>5</v>
      </c>
      <c r="Q6" s="115" t="s">
        <v>329</v>
      </c>
      <c r="R6" s="115" t="n">
        <v>5</v>
      </c>
      <c r="S6" s="115" t="s">
        <v>329</v>
      </c>
      <c r="T6" s="115" t="n">
        <v>5</v>
      </c>
      <c r="U6" s="115" t="s">
        <v>329</v>
      </c>
      <c r="V6" s="115" t="n">
        <v>5</v>
      </c>
      <c r="W6" s="115" t="s">
        <v>328</v>
      </c>
      <c r="X6" s="117" t="n">
        <f aca="false">IF(COUNT(P6,R6,T6,V6)=0,"",P6*0.08+R6*0.06+T6*0.03+V6*0.08)</f>
        <v>1.25</v>
      </c>
      <c r="Y6" s="115" t="n">
        <v>4</v>
      </c>
      <c r="Z6" s="115" t="s">
        <v>328</v>
      </c>
      <c r="AA6" s="115" t="n">
        <v>5</v>
      </c>
      <c r="AB6" s="115" t="s">
        <v>328</v>
      </c>
      <c r="AC6" s="115" t="n">
        <v>3</v>
      </c>
      <c r="AD6" s="115" t="s">
        <v>330</v>
      </c>
      <c r="AE6" s="117" t="n">
        <f aca="false">IF(COUNT(Y6,AA6,AC6)=0,"",Y6*0.02+AA6*0.02+AC6*0.01)</f>
        <v>0.21</v>
      </c>
      <c r="AF6" s="97" t="n">
        <f aca="false">IF(OR(COUNT(D6,F6,H6,J6,L6)&lt;5,COUNT(P6,R6,T6,V6)&lt;4,COUNT(Y6,AA6,AC6)&lt;3),"",(O6+X6+AE6)*20)</f>
        <v>89.2</v>
      </c>
      <c r="AG6" s="93" t="str">
        <f aca="false">IF(AF6="","",IF(AF6&gt;=80,"STRONG BUY",IF(AF6&gt;=65,"BUY",IF(AF6&gt;=50,"WATCH LIST",IF(AF6&gt;=35,"AVOID","PASS")))))</f>
        <v>STRONG BUY</v>
      </c>
      <c r="AH6" s="93" t="str">
        <f aca="false">IF(N6="","",IF(N6&lt;3,"FAIL","OK"))</f>
        <v>OK</v>
      </c>
      <c r="AI6" s="93" t="str">
        <f aca="false">IF(COUNT(D6:L6)=0,"",IF(COUNTIF(D6:L6,1)&gt;0,"REVIEW","OK"))</f>
        <v>OK</v>
      </c>
      <c r="AJ6" s="93" t="str">
        <f aca="false">IF(COUNT(D6:L6)=0,"",IF(COUNTIF(D6:L6,"&lt;=2")&gt;=2,"AVOID","OK"))</f>
        <v>OK</v>
      </c>
      <c r="AK6" s="93" t="str">
        <f aca="false">IF(COUNTA(E6:M6)=0,"",IF(COUNTIF(E6:M6,"L")&gt;=2,"CAP AT BUY","OK"))</f>
        <v>OK</v>
      </c>
      <c r="AL6" s="118" t="s">
        <v>331</v>
      </c>
      <c r="AM6" s="119" t="s">
        <v>332</v>
      </c>
      <c r="AN6" s="115"/>
      <c r="AO6" s="93"/>
      <c r="AP6" s="115" t="str">
        <f aca="false">IF(OR(AN6="",AO6=""),"",IF(AN6&gt;AO6,"OK","LOW CONF"))</f>
        <v/>
      </c>
      <c r="AQ6" s="115"/>
      <c r="AR6" s="93"/>
      <c r="AS6" s="123" t="str">
        <f aca="false">IF(OR(AQ6="",AR6=""),"",IF(AQ6&lt;AR6,"Decreased",IF(AQ6&gt;AR6,"Increased","Flat")))</f>
        <v/>
      </c>
    </row>
    <row r="7" customFormat="false" ht="15" hidden="false" customHeight="true" outlineLevel="0" collapsed="false">
      <c r="A7" s="62" t="s">
        <v>167</v>
      </c>
      <c r="B7" s="113" t="s">
        <v>168</v>
      </c>
      <c r="C7" s="114" t="n">
        <v>46278</v>
      </c>
      <c r="D7" s="115" t="n">
        <v>2</v>
      </c>
      <c r="E7" s="115" t="s">
        <v>328</v>
      </c>
      <c r="F7" s="115" t="n">
        <v>4</v>
      </c>
      <c r="G7" s="115" t="s">
        <v>328</v>
      </c>
      <c r="H7" s="115" t="n">
        <v>4</v>
      </c>
      <c r="I7" s="115" t="s">
        <v>328</v>
      </c>
      <c r="J7" s="115" t="n">
        <v>4</v>
      </c>
      <c r="K7" s="115" t="s">
        <v>328</v>
      </c>
      <c r="L7" s="115" t="n">
        <v>2</v>
      </c>
      <c r="M7" s="115" t="s">
        <v>328</v>
      </c>
      <c r="N7" s="116" t="n">
        <f aca="false">IF(COUNT(D7,F7,H7,J7,L7)=0,"",(D7*0.2+F7*0.15+H7*0.15+J7*0.1+L7*0.1)/(IF(D7&lt;&gt;"",0.2,0)+IF(F7&lt;&gt;"",0.15,0)+IF(H7&lt;&gt;"",0.15,0)+IF(J7&lt;&gt;"",0.1,0)+IF(L7&lt;&gt;"",0.1,0)))</f>
        <v>3.14285714285714</v>
      </c>
      <c r="O7" s="117" t="n">
        <f aca="false">IF(COUNT(D7,F7,H7,J7,L7)=0,"",D7*0.2+F7*0.15+H7*0.15+J7*0.1+L7*0.1)</f>
        <v>2.2</v>
      </c>
      <c r="P7" s="115" t="n">
        <v>3</v>
      </c>
      <c r="Q7" s="115" t="s">
        <v>328</v>
      </c>
      <c r="R7" s="115" t="n">
        <v>4</v>
      </c>
      <c r="S7" s="115" t="s">
        <v>328</v>
      </c>
      <c r="T7" s="115" t="n">
        <v>4</v>
      </c>
      <c r="U7" s="115" t="s">
        <v>328</v>
      </c>
      <c r="V7" s="115" t="n">
        <v>4</v>
      </c>
      <c r="W7" s="115" t="s">
        <v>328</v>
      </c>
      <c r="X7" s="117" t="n">
        <f aca="false">IF(COUNT(P7,R7,T7,V7)=0,"",P7*0.08+R7*0.06+T7*0.03+V7*0.08)</f>
        <v>0.92</v>
      </c>
      <c r="Y7" s="115" t="n">
        <v>4</v>
      </c>
      <c r="Z7" s="115" t="s">
        <v>328</v>
      </c>
      <c r="AA7" s="115" t="n">
        <v>5</v>
      </c>
      <c r="AB7" s="115" t="s">
        <v>329</v>
      </c>
      <c r="AC7" s="115" t="n">
        <v>3</v>
      </c>
      <c r="AD7" s="115" t="s">
        <v>330</v>
      </c>
      <c r="AE7" s="117" t="n">
        <f aca="false">IF(COUNT(Y7,AA7,AC7)=0,"",Y7*0.02+AA7*0.02+AC7*0.01)</f>
        <v>0.21</v>
      </c>
      <c r="AF7" s="97" t="n">
        <f aca="false">IF(OR(COUNT(D7,F7,H7,J7,L7)&lt;5,COUNT(P7,R7,T7,V7)&lt;4,COUNT(Y7,AA7,AC7)&lt;3),"",(O7+X7+AE7)*20)</f>
        <v>66.6</v>
      </c>
      <c r="AG7" s="93" t="str">
        <f aca="false">IF(AF7="","",IF(AF7&gt;=80,"STRONG BUY",IF(AF7&gt;=65,"BUY",IF(AF7&gt;=50,"WATCH LIST",IF(AF7&gt;=35,"AVOID","PASS")))))</f>
        <v>BUY</v>
      </c>
      <c r="AH7" s="93" t="str">
        <f aca="false">IF(N7="","",IF(N7&lt;3,"FAIL","OK"))</f>
        <v>OK</v>
      </c>
      <c r="AI7" s="93" t="str">
        <f aca="false">IF(COUNT(D7:L7)=0,"",IF(COUNTIF(D7:L7,1)&gt;0,"REVIEW","OK"))</f>
        <v>OK</v>
      </c>
      <c r="AJ7" s="93" t="str">
        <f aca="false">IF(COUNT(D7:L7)=0,"",IF(COUNTIF(D7:L7,"&lt;=2")&gt;=2,"AVOID","OK"))</f>
        <v>AVOID</v>
      </c>
      <c r="AK7" s="93" t="str">
        <f aca="false">IF(COUNTA(E7:M7)=0,"",IF(COUNTIF(E7:M7,"L")&gt;=2,"CAP AT BUY","OK"))</f>
        <v>OK</v>
      </c>
      <c r="AL7" s="118" t="s">
        <v>334</v>
      </c>
      <c r="AM7" s="119" t="s">
        <v>335</v>
      </c>
      <c r="AN7" s="120" t="n">
        <v>3631400000</v>
      </c>
      <c r="AO7" s="121" t="n">
        <v>3953200000</v>
      </c>
      <c r="AP7" s="115" t="str">
        <f aca="false">IF(OR(AN7="",AO7=""),"",IF(AN7&gt;AO7,"OK","LOW CONF"))</f>
        <v>LOW CONF</v>
      </c>
      <c r="AQ7" s="122" t="n">
        <v>0.636</v>
      </c>
      <c r="AR7" s="117" t="n">
        <v>-1.784</v>
      </c>
      <c r="AS7" s="123" t="str">
        <f aca="false">IF(OR(AQ7="",AR7=""),"",IF(AQ7&lt;AR7,"Decreased",IF(AQ7&gt;AR7,"Increased","Flat")))</f>
        <v>Increased</v>
      </c>
    </row>
    <row r="8" customFormat="false" ht="15" hidden="false" customHeight="true" outlineLevel="0" collapsed="false">
      <c r="A8" s="62" t="s">
        <v>170</v>
      </c>
      <c r="B8" s="113" t="s">
        <v>336</v>
      </c>
      <c r="C8" s="114" t="n">
        <v>46278</v>
      </c>
      <c r="D8" s="115" t="n">
        <v>4</v>
      </c>
      <c r="E8" s="115" t="s">
        <v>328</v>
      </c>
      <c r="F8" s="115" t="n">
        <v>2</v>
      </c>
      <c r="G8" s="115" t="s">
        <v>330</v>
      </c>
      <c r="H8" s="115" t="n">
        <v>5</v>
      </c>
      <c r="I8" s="115" t="s">
        <v>329</v>
      </c>
      <c r="J8" s="115" t="n">
        <v>4</v>
      </c>
      <c r="K8" s="115" t="s">
        <v>328</v>
      </c>
      <c r="L8" s="115" t="n">
        <v>5</v>
      </c>
      <c r="M8" s="115" t="s">
        <v>329</v>
      </c>
      <c r="N8" s="116" t="n">
        <f aca="false">IF(COUNT(D8,F8,H8,J8,L8)=0,"",(D8*0.2+F8*0.15+H8*0.15+J8*0.1+L8*0.1)/(IF(D8&lt;&gt;"",0.2,0)+IF(F8&lt;&gt;"",0.15,0)+IF(H8&lt;&gt;"",0.15,0)+IF(J8&lt;&gt;"",0.1,0)+IF(L8&lt;&gt;"",0.1,0)))</f>
        <v>3.92857142857143</v>
      </c>
      <c r="O8" s="117" t="n">
        <f aca="false">IF(COUNT(D8,F8,H8,J8,L8)=0,"",D8*0.2+F8*0.15+H8*0.15+J8*0.1+L8*0.1)</f>
        <v>2.75</v>
      </c>
      <c r="P8" s="115" t="n">
        <v>5</v>
      </c>
      <c r="Q8" s="115" t="s">
        <v>329</v>
      </c>
      <c r="R8" s="115" t="n">
        <v>3</v>
      </c>
      <c r="S8" s="115" t="s">
        <v>330</v>
      </c>
      <c r="T8" s="115" t="n">
        <v>4</v>
      </c>
      <c r="U8" s="115" t="s">
        <v>330</v>
      </c>
      <c r="V8" s="115" t="n">
        <v>2</v>
      </c>
      <c r="W8" s="115" t="s">
        <v>329</v>
      </c>
      <c r="X8" s="117" t="n">
        <f aca="false">IF(COUNT(P8,R8,T8,V8)=0,"",P8*0.08+R8*0.06+T8*0.03+V8*0.08)</f>
        <v>0.86</v>
      </c>
      <c r="Y8" s="115" t="n">
        <v>4</v>
      </c>
      <c r="Z8" s="115" t="s">
        <v>330</v>
      </c>
      <c r="AA8" s="115" t="n">
        <v>4</v>
      </c>
      <c r="AB8" s="115" t="s">
        <v>328</v>
      </c>
      <c r="AC8" s="115" t="n">
        <v>3</v>
      </c>
      <c r="AD8" s="115" t="s">
        <v>330</v>
      </c>
      <c r="AE8" s="117" t="n">
        <f aca="false">IF(COUNT(Y8,AA8,AC8)=0,"",Y8*0.02+AA8*0.02+AC8*0.01)</f>
        <v>0.19</v>
      </c>
      <c r="AF8" s="97" t="n">
        <f aca="false">IF(OR(COUNT(D8,F8,H8,J8,L8)&lt;5,COUNT(P8,R8,T8,V8)&lt;4,COUNT(Y8,AA8,AC8)&lt;3),"",(O8+X8+AE8)*20)</f>
        <v>76</v>
      </c>
      <c r="AG8" s="93" t="str">
        <f aca="false">IF(AF8="","",IF(AF8&gt;=80,"STRONG BUY",IF(AF8&gt;=65,"BUY",IF(AF8&gt;=50,"WATCH LIST",IF(AF8&gt;=35,"AVOID","PASS")))))</f>
        <v>BUY</v>
      </c>
      <c r="AH8" s="93" t="str">
        <f aca="false">IF(N8="","",IF(N8&lt;3,"FAIL","OK"))</f>
        <v>OK</v>
      </c>
      <c r="AI8" s="93" t="str">
        <f aca="false">IF(COUNT(D8:L8)=0,"",IF(COUNTIF(D8:L8,1)&gt;0,"REVIEW","OK"))</f>
        <v>OK</v>
      </c>
      <c r="AJ8" s="93" t="str">
        <f aca="false">IF(COUNT(D8:L8)=0,"",IF(COUNTIF(D8:L8,"&lt;=2")&gt;=2,"AVOID","OK"))</f>
        <v>OK</v>
      </c>
      <c r="AK8" s="93" t="str">
        <f aca="false">IF(COUNTA(E8:M8)=0,"",IF(COUNTIF(E8:M8,"L")&gt;=2,"CAP AT BUY","OK"))</f>
        <v>OK</v>
      </c>
      <c r="AL8" s="118" t="s">
        <v>337</v>
      </c>
      <c r="AM8" s="119" t="s">
        <v>338</v>
      </c>
      <c r="AN8" s="115"/>
      <c r="AO8" s="93"/>
      <c r="AP8" s="115" t="str">
        <f aca="false">IF(OR(AN8="",AO8=""),"",IF(AN8&gt;AO8,"OK","LOW CONF"))</f>
        <v/>
      </c>
      <c r="AQ8" s="115"/>
      <c r="AR8" s="93"/>
      <c r="AS8" s="123" t="str">
        <f aca="false">IF(OR(AQ8="",AR8=""),"",IF(AQ8&lt;AR8,"Decreased",IF(AQ8&gt;AR8,"Increased","Flat")))</f>
        <v/>
      </c>
    </row>
    <row r="9" customFormat="false" ht="15" hidden="true" customHeight="true" outlineLevel="1" collapsed="false">
      <c r="A9" s="62" t="s">
        <v>173</v>
      </c>
      <c r="B9" s="113" t="s">
        <v>174</v>
      </c>
      <c r="C9" s="114" t="n">
        <v>46240</v>
      </c>
      <c r="D9" s="115" t="n">
        <v>2</v>
      </c>
      <c r="E9" s="115" t="s">
        <v>328</v>
      </c>
      <c r="F9" s="115" t="n">
        <v>2</v>
      </c>
      <c r="G9" s="115" t="s">
        <v>328</v>
      </c>
      <c r="H9" s="115" t="n">
        <v>2</v>
      </c>
      <c r="I9" s="115" t="s">
        <v>328</v>
      </c>
      <c r="J9" s="115" t="n">
        <v>2</v>
      </c>
      <c r="K9" s="115" t="s">
        <v>328</v>
      </c>
      <c r="L9" s="115" t="n">
        <v>1</v>
      </c>
      <c r="M9" s="115" t="s">
        <v>329</v>
      </c>
      <c r="N9" s="116" t="n">
        <f aca="false">IF(COUNT(D9,F9,H9,J9,L9)=0,"",(D9*0.2+F9*0.15+H9*0.15+J9*0.1+L9*0.1)/(IF(D9&lt;&gt;"",0.2,0)+IF(F9&lt;&gt;"",0.15,0)+IF(H9&lt;&gt;"",0.15,0)+IF(J9&lt;&gt;"",0.1,0)+IF(L9&lt;&gt;"",0.1,0)))</f>
        <v>1.85714285714286</v>
      </c>
      <c r="O9" s="117" t="n">
        <f aca="false">IF(COUNT(D9,F9,H9,J9,L9)=0,"",D9*0.2+F9*0.15+H9*0.15+J9*0.1+L9*0.1)</f>
        <v>1.3</v>
      </c>
      <c r="P9" s="115"/>
      <c r="Q9" s="115"/>
      <c r="R9" s="115"/>
      <c r="S9" s="115"/>
      <c r="T9" s="115"/>
      <c r="U9" s="115"/>
      <c r="V9" s="115"/>
      <c r="W9" s="115"/>
      <c r="X9" s="117" t="str">
        <f aca="false">IF(COUNT(P9,R9,T9,V9)=0,"",P9*0.08+R9*0.06+T9*0.03+V9*0.08)</f>
        <v/>
      </c>
      <c r="Y9" s="115"/>
      <c r="Z9" s="115"/>
      <c r="AA9" s="115"/>
      <c r="AB9" s="115"/>
      <c r="AC9" s="115"/>
      <c r="AD9" s="115"/>
      <c r="AE9" s="117" t="str">
        <f aca="false">IF(COUNT(Y9,AA9,AC9)=0,"",Y9*0.02+AA9*0.02+AC9*0.01)</f>
        <v/>
      </c>
      <c r="AF9" s="97" t="str">
        <f aca="false">IF(OR(COUNT(D9,F9,H9,J9,L9)&lt;5,COUNT(P9,R9,T9,V9)&lt;4,COUNT(Y9,AA9,AC9)&lt;3),"",(O9+X9+AE9)*20)</f>
        <v/>
      </c>
      <c r="AG9" s="93" t="str">
        <f aca="false">IF(AF9="","",IF(AF9&gt;=80,"STRONG BUY",IF(AF9&gt;=65,"BUY",IF(AF9&gt;=50,"WATCH LIST",IF(AF9&gt;=35,"AVOID","PASS")))))</f>
        <v/>
      </c>
      <c r="AH9" s="93" t="str">
        <f aca="false">IF(N9="","",IF(N9&lt;3,"FAIL","OK"))</f>
        <v>FAIL</v>
      </c>
      <c r="AI9" s="93" t="str">
        <f aca="false">IF(COUNT(D9:L9)=0,"",IF(COUNTIF(D9:L9,1)&gt;0,"REVIEW","OK"))</f>
        <v>REVIEW</v>
      </c>
      <c r="AJ9" s="93" t="str">
        <f aca="false">IF(COUNT(D9:L9)=0,"",IF(COUNTIF(D9:L9,"&lt;=2")&gt;=2,"AVOID","OK"))</f>
        <v>AVOID</v>
      </c>
      <c r="AK9" s="93" t="str">
        <f aca="false">IF(COUNTA(E9:M9)=0,"",IF(COUNTIF(E9:M9,"L")&gt;=2,"CAP AT BUY","OK"))</f>
        <v>OK</v>
      </c>
      <c r="AL9" s="118" t="s">
        <v>339</v>
      </c>
      <c r="AM9" s="119" t="s">
        <v>340</v>
      </c>
      <c r="AN9" s="120" t="n">
        <v>715998000</v>
      </c>
      <c r="AO9" s="121" t="n">
        <v>523670000</v>
      </c>
      <c r="AP9" s="115" t="str">
        <f aca="false">IF(OR(AN9="",AO9=""),"",IF(AN9&gt;AO9,"OK","LOW CONF"))</f>
        <v>OK</v>
      </c>
      <c r="AQ9" s="122" t="n">
        <v>4.155</v>
      </c>
      <c r="AR9" s="117" t="n">
        <v>4.048</v>
      </c>
      <c r="AS9" s="123" t="str">
        <f aca="false">IF(OR(AQ9="",AR9=""),"",IF(AQ9&lt;AR9,"Decreased",IF(AQ9&gt;AR9,"Increased","Flat")))</f>
        <v>Increased</v>
      </c>
    </row>
    <row r="10" customFormat="false" ht="15" hidden="true" customHeight="true" outlineLevel="1" collapsed="false">
      <c r="A10" s="62" t="s">
        <v>184</v>
      </c>
      <c r="B10" s="113" t="s">
        <v>185</v>
      </c>
      <c r="C10" s="114" t="n">
        <v>46240</v>
      </c>
      <c r="D10" s="115" t="n">
        <v>2</v>
      </c>
      <c r="E10" s="115" t="s">
        <v>328</v>
      </c>
      <c r="F10" s="115" t="n">
        <v>4</v>
      </c>
      <c r="G10" s="115" t="s">
        <v>329</v>
      </c>
      <c r="H10" s="115" t="n">
        <v>3</v>
      </c>
      <c r="I10" s="115" t="s">
        <v>328</v>
      </c>
      <c r="J10" s="115" t="n">
        <v>2</v>
      </c>
      <c r="K10" s="115" t="s">
        <v>328</v>
      </c>
      <c r="L10" s="115" t="n">
        <v>2</v>
      </c>
      <c r="M10" s="115" t="s">
        <v>329</v>
      </c>
      <c r="N10" s="116" t="n">
        <f aca="false">IF(COUNT(D10,F10,H10,J10,L10)=0,"",(D10*0.2+F10*0.15+H10*0.15+J10*0.1+L10*0.1)/(IF(D10&lt;&gt;"",0.2,0)+IF(F10&lt;&gt;"",0.15,0)+IF(H10&lt;&gt;"",0.15,0)+IF(J10&lt;&gt;"",0.1,0)+IF(L10&lt;&gt;"",0.1,0)))</f>
        <v>2.64285714285714</v>
      </c>
      <c r="O10" s="117" t="n">
        <f aca="false">IF(COUNT(D10,F10,H10,J10,L10)=0,"",D10*0.2+F10*0.15+H10*0.15+J10*0.1+L10*0.1)</f>
        <v>1.85</v>
      </c>
      <c r="P10" s="115"/>
      <c r="Q10" s="115"/>
      <c r="R10" s="115"/>
      <c r="S10" s="115"/>
      <c r="T10" s="115"/>
      <c r="U10" s="115"/>
      <c r="V10" s="115"/>
      <c r="W10" s="115"/>
      <c r="X10" s="117" t="str">
        <f aca="false">IF(COUNT(P10,R10,T10,V10)=0,"",P10*0.08+R10*0.06+T10*0.03+V10*0.08)</f>
        <v/>
      </c>
      <c r="Y10" s="115"/>
      <c r="Z10" s="115"/>
      <c r="AA10" s="115"/>
      <c r="AB10" s="115"/>
      <c r="AC10" s="115"/>
      <c r="AD10" s="115"/>
      <c r="AE10" s="117" t="str">
        <f aca="false">IF(COUNT(Y10,AA10,AC10)=0,"",Y10*0.02+AA10*0.02+AC10*0.01)</f>
        <v/>
      </c>
      <c r="AF10" s="97" t="str">
        <f aca="false">IF(OR(COUNT(D10,F10,H10,J10,L10)&lt;5,COUNT(P10,R10,T10,V10)&lt;4,COUNT(Y10,AA10,AC10)&lt;3),"",(O10+X10+AE10)*20)</f>
        <v/>
      </c>
      <c r="AG10" s="93" t="str">
        <f aca="false">IF(AF10="","",IF(AF10&gt;=80,"STRONG BUY",IF(AF10&gt;=65,"BUY",IF(AF10&gt;=50,"WATCH LIST",IF(AF10&gt;=35,"AVOID","PASS")))))</f>
        <v/>
      </c>
      <c r="AH10" s="93" t="str">
        <f aca="false">IF(N10="","",IF(N10&lt;3,"FAIL","OK"))</f>
        <v>FAIL</v>
      </c>
      <c r="AI10" s="93" t="str">
        <f aca="false">IF(COUNT(D10:L10)=0,"",IF(COUNTIF(D10:L10,1)&gt;0,"REVIEW","OK"))</f>
        <v>OK</v>
      </c>
      <c r="AJ10" s="93" t="str">
        <f aca="false">IF(COUNT(D10:L10)=0,"",IF(COUNTIF(D10:L10,"&lt;=2")&gt;=2,"AVOID","OK"))</f>
        <v>AVOID</v>
      </c>
      <c r="AK10" s="93" t="str">
        <f aca="false">IF(COUNTA(E10:M10)=0,"",IF(COUNTIF(E10:M10,"L")&gt;=2,"CAP AT BUY","OK"))</f>
        <v>OK</v>
      </c>
      <c r="AL10" s="118" t="s">
        <v>341</v>
      </c>
      <c r="AM10" s="119" t="s">
        <v>342</v>
      </c>
      <c r="AN10" s="120" t="n">
        <v>359500000</v>
      </c>
      <c r="AO10" s="121" t="n">
        <v>203700000</v>
      </c>
      <c r="AP10" s="115" t="str">
        <f aca="false">IF(OR(AN10="",AO10=""),"",IF(AN10&gt;AO10,"OK","LOW CONF"))</f>
        <v>OK</v>
      </c>
      <c r="AQ10" s="122" t="n">
        <v>1.857</v>
      </c>
      <c r="AR10" s="117" t="n">
        <v>0.78</v>
      </c>
      <c r="AS10" s="123" t="str">
        <f aca="false">IF(OR(AQ10="",AR10=""),"",IF(AQ10&lt;AR10,"Decreased",IF(AQ10&gt;AR10,"Increased","Flat")))</f>
        <v>Increased</v>
      </c>
    </row>
    <row r="11" customFormat="false" ht="15" hidden="true" customHeight="true" outlineLevel="1" collapsed="false">
      <c r="A11" s="62" t="s">
        <v>176</v>
      </c>
      <c r="B11" s="113" t="s">
        <v>177</v>
      </c>
      <c r="C11" s="114" t="n">
        <v>46240</v>
      </c>
      <c r="D11" s="115" t="n">
        <v>1</v>
      </c>
      <c r="E11" s="115" t="s">
        <v>329</v>
      </c>
      <c r="F11" s="115" t="n">
        <v>2</v>
      </c>
      <c r="G11" s="115" t="s">
        <v>328</v>
      </c>
      <c r="H11" s="115" t="n">
        <v>3</v>
      </c>
      <c r="I11" s="115" t="s">
        <v>328</v>
      </c>
      <c r="J11" s="115" t="n">
        <v>3</v>
      </c>
      <c r="K11" s="115" t="s">
        <v>328</v>
      </c>
      <c r="L11" s="115" t="n">
        <v>1</v>
      </c>
      <c r="M11" s="115" t="s">
        <v>329</v>
      </c>
      <c r="N11" s="116" t="n">
        <f aca="false">IF(COUNT(D11,F11,H11,J11,L11)=0,"",(D11*0.2+F11*0.15+H11*0.15+J11*0.1+L11*0.1)/(IF(D11&lt;&gt;"",0.2,0)+IF(F11&lt;&gt;"",0.15,0)+IF(H11&lt;&gt;"",0.15,0)+IF(J11&lt;&gt;"",0.1,0)+IF(L11&lt;&gt;"",0.1,0)))</f>
        <v>1.92857142857143</v>
      </c>
      <c r="O11" s="117" t="n">
        <f aca="false">IF(COUNT(D11,F11,H11,J11,L11)=0,"",D11*0.2+F11*0.15+H11*0.15+J11*0.1+L11*0.1)</f>
        <v>1.35</v>
      </c>
      <c r="P11" s="115"/>
      <c r="Q11" s="115"/>
      <c r="R11" s="115"/>
      <c r="S11" s="115"/>
      <c r="T11" s="115"/>
      <c r="U11" s="115"/>
      <c r="V11" s="115"/>
      <c r="W11" s="115"/>
      <c r="X11" s="117" t="str">
        <f aca="false">IF(COUNT(P11,R11,T11,V11)=0,"",P11*0.08+R11*0.06+T11*0.03+V11*0.08)</f>
        <v/>
      </c>
      <c r="Y11" s="115"/>
      <c r="Z11" s="115"/>
      <c r="AA11" s="115"/>
      <c r="AB11" s="115"/>
      <c r="AC11" s="115"/>
      <c r="AD11" s="115"/>
      <c r="AE11" s="117" t="str">
        <f aca="false">IF(COUNT(Y11,AA11,AC11)=0,"",Y11*0.02+AA11*0.02+AC11*0.01)</f>
        <v/>
      </c>
      <c r="AF11" s="97" t="str">
        <f aca="false">IF(OR(COUNT(D11,F11,H11,J11,L11)&lt;5,COUNT(P11,R11,T11,V11)&lt;4,COUNT(Y11,AA11,AC11)&lt;3),"",(O11+X11+AE11)*20)</f>
        <v/>
      </c>
      <c r="AG11" s="93" t="str">
        <f aca="false">IF(AF11="","",IF(AF11&gt;=80,"STRONG BUY",IF(AF11&gt;=65,"BUY",IF(AF11&gt;=50,"WATCH LIST",IF(AF11&gt;=35,"AVOID","PASS")))))</f>
        <v/>
      </c>
      <c r="AH11" s="93" t="str">
        <f aca="false">IF(N11="","",IF(N11&lt;3,"FAIL","OK"))</f>
        <v>FAIL</v>
      </c>
      <c r="AI11" s="93" t="str">
        <f aca="false">IF(COUNT(D11:L11)=0,"",IF(COUNTIF(D11:L11,1)&gt;0,"REVIEW","OK"))</f>
        <v>REVIEW</v>
      </c>
      <c r="AJ11" s="93" t="str">
        <f aca="false">IF(COUNT(D11:L11)=0,"",IF(COUNTIF(D11:L11,"&lt;=2")&gt;=2,"AVOID","OK"))</f>
        <v>AVOID</v>
      </c>
      <c r="AK11" s="93" t="str">
        <f aca="false">IF(COUNTA(E11:M11)=0,"",IF(COUNTIF(E11:M11,"L")&gt;=2,"CAP AT BUY","OK"))</f>
        <v>OK</v>
      </c>
      <c r="AL11" s="118" t="s">
        <v>341</v>
      </c>
      <c r="AM11" s="119" t="s">
        <v>343</v>
      </c>
      <c r="AN11" s="120" t="n">
        <v>14747000000</v>
      </c>
      <c r="AO11" s="121" t="n">
        <v>3794000000</v>
      </c>
      <c r="AP11" s="115" t="str">
        <f aca="false">IF(OR(AN11="",AO11=""),"",IF(AN11&gt;AO11,"OK","LOW CONF"))</f>
        <v>OK</v>
      </c>
      <c r="AQ11" s="122" t="n">
        <v>2.366</v>
      </c>
      <c r="AR11" s="117" t="n">
        <v>3.804</v>
      </c>
      <c r="AS11" s="123" t="str">
        <f aca="false">IF(OR(AQ11="",AR11=""),"",IF(AQ11&lt;AR11,"Decreased",IF(AQ11&gt;AR11,"Increased","Flat")))</f>
        <v>Decreased</v>
      </c>
    </row>
    <row r="12" customFormat="false" ht="15" hidden="false" customHeight="true" outlineLevel="0" collapsed="false">
      <c r="A12" s="62" t="s">
        <v>95</v>
      </c>
      <c r="B12" s="113" t="s">
        <v>96</v>
      </c>
      <c r="C12" s="114" t="n">
        <v>46278</v>
      </c>
      <c r="D12" s="115" t="n">
        <v>5</v>
      </c>
      <c r="E12" s="115" t="s">
        <v>328</v>
      </c>
      <c r="F12" s="115" t="n">
        <v>4</v>
      </c>
      <c r="G12" s="115" t="s">
        <v>328</v>
      </c>
      <c r="H12" s="115" t="n">
        <v>4</v>
      </c>
      <c r="I12" s="115" t="s">
        <v>328</v>
      </c>
      <c r="J12" s="115" t="n">
        <v>5</v>
      </c>
      <c r="K12" s="115" t="s">
        <v>329</v>
      </c>
      <c r="L12" s="115" t="n">
        <v>5</v>
      </c>
      <c r="M12" s="115" t="s">
        <v>328</v>
      </c>
      <c r="N12" s="116" t="n">
        <f aca="false">IF(COUNT(D12,F12,H12,J12,L12)=0,"",(D12*0.2+F12*0.15+H12*0.15+J12*0.1+L12*0.1)/(IF(D12&lt;&gt;"",0.2,0)+IF(F12&lt;&gt;"",0.15,0)+IF(H12&lt;&gt;"",0.15,0)+IF(J12&lt;&gt;"",0.1,0)+IF(L12&lt;&gt;"",0.1,0)))</f>
        <v>4.57142857142857</v>
      </c>
      <c r="O12" s="117" t="n">
        <f aca="false">IF(COUNT(D12,F12,H12,J12,L12)=0,"",D12*0.2+F12*0.15+H12*0.15+J12*0.1+L12*0.1)</f>
        <v>3.2</v>
      </c>
      <c r="P12" s="115" t="n">
        <v>3</v>
      </c>
      <c r="Q12" s="115" t="s">
        <v>328</v>
      </c>
      <c r="R12" s="115" t="n">
        <v>5</v>
      </c>
      <c r="S12" s="115" t="s">
        <v>329</v>
      </c>
      <c r="T12" s="115" t="n">
        <v>1</v>
      </c>
      <c r="U12" s="115" t="s">
        <v>329</v>
      </c>
      <c r="V12" s="115" t="n">
        <v>5</v>
      </c>
      <c r="W12" s="115" t="s">
        <v>329</v>
      </c>
      <c r="X12" s="117" t="n">
        <f aca="false">IF(COUNT(P12,R12,T12,V12)=0,"",P12*0.08+R12*0.06+T12*0.03+V12*0.08)</f>
        <v>0.97</v>
      </c>
      <c r="Y12" s="115" t="n">
        <v>2</v>
      </c>
      <c r="Z12" s="115" t="s">
        <v>328</v>
      </c>
      <c r="AA12" s="115" t="n">
        <v>3</v>
      </c>
      <c r="AB12" s="115" t="s">
        <v>328</v>
      </c>
      <c r="AC12" s="115" t="n">
        <v>2</v>
      </c>
      <c r="AD12" s="115" t="s">
        <v>330</v>
      </c>
      <c r="AE12" s="117" t="n">
        <f aca="false">IF(COUNT(Y12,AA12,AC12)=0,"",Y12*0.02+AA12*0.02+AC12*0.01)</f>
        <v>0.12</v>
      </c>
      <c r="AF12" s="97" t="n">
        <f aca="false">IF(OR(COUNT(D12,F12,H12,J12,L12)&lt;5,COUNT(P12,R12,T12,V12)&lt;4,COUNT(Y12,AA12,AC12)&lt;3),"",(O12+X12+AE12)*20)</f>
        <v>85.8</v>
      </c>
      <c r="AG12" s="93" t="str">
        <f aca="false">IF(AF12="","",IF(AF12&gt;=80,"STRONG BUY",IF(AF12&gt;=65,"BUY",IF(AF12&gt;=50,"WATCH LIST",IF(AF12&gt;=35,"AVOID","PASS")))))</f>
        <v>STRONG BUY</v>
      </c>
      <c r="AH12" s="93" t="str">
        <f aca="false">IF(N12="","",IF(N12&lt;3,"FAIL","OK"))</f>
        <v>OK</v>
      </c>
      <c r="AI12" s="93" t="str">
        <f aca="false">IF(COUNT(D12:L12)=0,"",IF(COUNTIF(D12:L12,1)&gt;0,"REVIEW","OK"))</f>
        <v>OK</v>
      </c>
      <c r="AJ12" s="93" t="str">
        <f aca="false">IF(COUNT(D12:L12)=0,"",IF(COUNTIF(D12:L12,"&lt;=2")&gt;=2,"AVOID","OK"))</f>
        <v>OK</v>
      </c>
      <c r="AK12" s="93" t="str">
        <f aca="false">IF(COUNTA(E12:M12)=0,"",IF(COUNTIF(E12:M12,"L")&gt;=2,"CAP AT BUY","OK"))</f>
        <v>OK</v>
      </c>
      <c r="AL12" s="118" t="s">
        <v>331</v>
      </c>
      <c r="AM12" s="119" t="s">
        <v>344</v>
      </c>
      <c r="AN12" s="115"/>
      <c r="AO12" s="93"/>
      <c r="AP12" s="115" t="str">
        <f aca="false">IF(OR(AN12="",AO12=""),"",IF(AN12&gt;AO12,"OK","LOW CONF"))</f>
        <v/>
      </c>
      <c r="AQ12" s="115"/>
      <c r="AR12" s="93"/>
      <c r="AS12" s="123" t="str">
        <f aca="false">IF(OR(AQ12="",AR12=""),"",IF(AQ12&lt;AR12,"Decreased",IF(AQ12&gt;AR12,"Increased","Flat")))</f>
        <v/>
      </c>
    </row>
    <row r="13" customFormat="false" ht="15" hidden="false" customHeight="true" outlineLevel="0" collapsed="false">
      <c r="A13" s="62" t="s">
        <v>100</v>
      </c>
      <c r="B13" s="113" t="s">
        <v>101</v>
      </c>
      <c r="C13" s="114" t="n">
        <v>46278</v>
      </c>
      <c r="D13" s="115" t="n">
        <v>3</v>
      </c>
      <c r="E13" s="115" t="s">
        <v>328</v>
      </c>
      <c r="F13" s="115" t="n">
        <v>5</v>
      </c>
      <c r="G13" s="115" t="s">
        <v>328</v>
      </c>
      <c r="H13" s="115" t="n">
        <v>5</v>
      </c>
      <c r="I13" s="115" t="s">
        <v>329</v>
      </c>
      <c r="J13" s="115" t="n">
        <v>4</v>
      </c>
      <c r="K13" s="115" t="s">
        <v>328</v>
      </c>
      <c r="L13" s="115" t="n">
        <v>5</v>
      </c>
      <c r="M13" s="115" t="s">
        <v>328</v>
      </c>
      <c r="N13" s="116" t="n">
        <f aca="false">IF(COUNT(D13,F13,H13,J13,L13)=0,"",(D13*0.2+F13*0.15+H13*0.15+J13*0.1+L13*0.1)/(IF(D13&lt;&gt;"",0.2,0)+IF(F13&lt;&gt;"",0.15,0)+IF(H13&lt;&gt;"",0.15,0)+IF(J13&lt;&gt;"",0.1,0)+IF(L13&lt;&gt;"",0.1,0)))</f>
        <v>4.28571428571429</v>
      </c>
      <c r="O13" s="117" t="n">
        <f aca="false">IF(COUNT(D13,F13,H13,J13,L13)=0,"",D13*0.2+F13*0.15+H13*0.15+J13*0.1+L13*0.1)</f>
        <v>3</v>
      </c>
      <c r="P13" s="115" t="n">
        <v>4</v>
      </c>
      <c r="Q13" s="115" t="s">
        <v>329</v>
      </c>
      <c r="R13" s="115" t="n">
        <v>5</v>
      </c>
      <c r="S13" s="115" t="s">
        <v>329</v>
      </c>
      <c r="T13" s="115" t="n">
        <v>5</v>
      </c>
      <c r="U13" s="115" t="s">
        <v>328</v>
      </c>
      <c r="V13" s="115" t="n">
        <v>1</v>
      </c>
      <c r="W13" s="115" t="s">
        <v>329</v>
      </c>
      <c r="X13" s="117" t="n">
        <f aca="false">IF(COUNT(P13,R13,T13,V13)=0,"",P13*0.08+R13*0.06+T13*0.03+V13*0.08)</f>
        <v>0.85</v>
      </c>
      <c r="Y13" s="115" t="n">
        <v>4</v>
      </c>
      <c r="Z13" s="115" t="s">
        <v>328</v>
      </c>
      <c r="AA13" s="115" t="n">
        <v>5</v>
      </c>
      <c r="AB13" s="115" t="s">
        <v>329</v>
      </c>
      <c r="AC13" s="115" t="n">
        <v>2</v>
      </c>
      <c r="AD13" s="115" t="s">
        <v>328</v>
      </c>
      <c r="AE13" s="117" t="n">
        <f aca="false">IF(COUNT(Y13,AA13,AC13)=0,"",Y13*0.02+AA13*0.02+AC13*0.01)</f>
        <v>0.2</v>
      </c>
      <c r="AF13" s="97" t="n">
        <f aca="false">IF(OR(COUNT(D13,F13,H13,J13,L13)&lt;5,COUNT(P13,R13,T13,V13)&lt;4,COUNT(Y13,AA13,AC13)&lt;3),"",(O13+X13+AE13)*20)</f>
        <v>81</v>
      </c>
      <c r="AG13" s="93" t="str">
        <f aca="false">IF(AF13="","",IF(AF13&gt;=80,"STRONG BUY",IF(AF13&gt;=65,"BUY",IF(AF13&gt;=50,"WATCH LIST",IF(AF13&gt;=35,"AVOID","PASS")))))</f>
        <v>STRONG BUY</v>
      </c>
      <c r="AH13" s="93" t="str">
        <f aca="false">IF(N13="","",IF(N13&lt;3,"FAIL","OK"))</f>
        <v>OK</v>
      </c>
      <c r="AI13" s="93" t="str">
        <f aca="false">IF(COUNT(D13:L13)=0,"",IF(COUNTIF(D13:L13,1)&gt;0,"REVIEW","OK"))</f>
        <v>OK</v>
      </c>
      <c r="AJ13" s="93" t="str">
        <f aca="false">IF(COUNT(D13:L13)=0,"",IF(COUNTIF(D13:L13,"&lt;=2")&gt;=2,"AVOID","OK"))</f>
        <v>OK</v>
      </c>
      <c r="AK13" s="93" t="str">
        <f aca="false">IF(COUNTA(E13:M13)=0,"",IF(COUNTIF(E13:M13,"L")&gt;=2,"CAP AT BUY","OK"))</f>
        <v>OK</v>
      </c>
      <c r="AL13" s="118" t="s">
        <v>331</v>
      </c>
      <c r="AM13" s="119" t="s">
        <v>345</v>
      </c>
      <c r="AN13" s="115"/>
      <c r="AO13" s="93"/>
      <c r="AP13" s="115" t="str">
        <f aca="false">IF(OR(AN13="",AO13=""),"",IF(AN13&gt;AO13,"OK","LOW CONF"))</f>
        <v/>
      </c>
      <c r="AQ13" s="115"/>
      <c r="AR13" s="93"/>
      <c r="AS13" s="123" t="str">
        <f aca="false">IF(OR(AQ13="",AR13=""),"",IF(AQ13&lt;AR13,"Decreased",IF(AQ13&gt;AR13,"Increased","Flat")))</f>
        <v/>
      </c>
    </row>
    <row r="14" customFormat="false" ht="15" hidden="false" customHeight="true" outlineLevel="0" collapsed="false">
      <c r="A14" s="62" t="s">
        <v>102</v>
      </c>
      <c r="B14" s="113" t="s">
        <v>103</v>
      </c>
      <c r="C14" s="114" t="n">
        <v>46278</v>
      </c>
      <c r="D14" s="115" t="n">
        <v>3</v>
      </c>
      <c r="E14" s="115" t="s">
        <v>328</v>
      </c>
      <c r="F14" s="115" t="n">
        <v>3</v>
      </c>
      <c r="G14" s="115" t="s">
        <v>328</v>
      </c>
      <c r="H14" s="115" t="n">
        <v>5</v>
      </c>
      <c r="I14" s="115" t="s">
        <v>329</v>
      </c>
      <c r="J14" s="115" t="n">
        <v>4</v>
      </c>
      <c r="K14" s="115" t="s">
        <v>328</v>
      </c>
      <c r="L14" s="115" t="n">
        <v>5</v>
      </c>
      <c r="M14" s="115" t="s">
        <v>328</v>
      </c>
      <c r="N14" s="116" t="n">
        <f aca="false">IF(COUNT(D14,F14,H14,J14,L14)=0,"",(D14*0.2+F14*0.15+H14*0.15+J14*0.1+L14*0.1)/(IF(D14&lt;&gt;"",0.2,0)+IF(F14&lt;&gt;"",0.15,0)+IF(H14&lt;&gt;"",0.15,0)+IF(J14&lt;&gt;"",0.1,0)+IF(L14&lt;&gt;"",0.1,0)))</f>
        <v>3.85714285714286</v>
      </c>
      <c r="O14" s="117" t="n">
        <f aca="false">IF(COUNT(D14,F14,H14,J14,L14)=0,"",D14*0.2+F14*0.15+H14*0.15+J14*0.1+L14*0.1)</f>
        <v>2.7</v>
      </c>
      <c r="P14" s="115" t="n">
        <v>4</v>
      </c>
      <c r="Q14" s="115" t="s">
        <v>328</v>
      </c>
      <c r="R14" s="115" t="n">
        <v>5</v>
      </c>
      <c r="S14" s="115" t="s">
        <v>329</v>
      </c>
      <c r="T14" s="115" t="n">
        <v>5</v>
      </c>
      <c r="U14" s="115" t="s">
        <v>329</v>
      </c>
      <c r="V14" s="115" t="n">
        <v>2</v>
      </c>
      <c r="W14" s="115" t="s">
        <v>328</v>
      </c>
      <c r="X14" s="117" t="n">
        <f aca="false">IF(COUNT(P14,R14,T14,V14)=0,"",P14*0.08+R14*0.06+T14*0.03+V14*0.08)</f>
        <v>0.93</v>
      </c>
      <c r="Y14" s="115" t="n">
        <v>5</v>
      </c>
      <c r="Z14" s="115" t="s">
        <v>328</v>
      </c>
      <c r="AA14" s="115" t="n">
        <v>5</v>
      </c>
      <c r="AB14" s="115" t="s">
        <v>329</v>
      </c>
      <c r="AC14" s="115" t="n">
        <v>3</v>
      </c>
      <c r="AD14" s="115" t="s">
        <v>330</v>
      </c>
      <c r="AE14" s="117" t="n">
        <f aca="false">IF(COUNT(Y14,AA14,AC14)=0,"",Y14*0.02+AA14*0.02+AC14*0.01)</f>
        <v>0.23</v>
      </c>
      <c r="AF14" s="97" t="n">
        <f aca="false">IF(OR(COUNT(D14,F14,H14,J14,L14)&lt;5,COUNT(P14,R14,T14,V14)&lt;4,COUNT(Y14,AA14,AC14)&lt;3),"",(O14+X14+AE14)*20)</f>
        <v>77.2</v>
      </c>
      <c r="AG14" s="93" t="str">
        <f aca="false">IF(AF14="","",IF(AF14&gt;=80,"STRONG BUY",IF(AF14&gt;=65,"BUY",IF(AF14&gt;=50,"WATCH LIST",IF(AF14&gt;=35,"AVOID","PASS")))))</f>
        <v>BUY</v>
      </c>
      <c r="AH14" s="93" t="str">
        <f aca="false">IF(N14="","",IF(N14&lt;3,"FAIL","OK"))</f>
        <v>OK</v>
      </c>
      <c r="AI14" s="93" t="str">
        <f aca="false">IF(COUNT(D14:L14)=0,"",IF(COUNTIF(D14:L14,1)&gt;0,"REVIEW","OK"))</f>
        <v>OK</v>
      </c>
      <c r="AJ14" s="93" t="str">
        <f aca="false">IF(COUNT(D14:L14)=0,"",IF(COUNTIF(D14:L14,"&lt;=2")&gt;=2,"AVOID","OK"))</f>
        <v>OK</v>
      </c>
      <c r="AK14" s="93" t="str">
        <f aca="false">IF(COUNTA(E14:M14)=0,"",IF(COUNTIF(E14:M14,"L")&gt;=2,"CAP AT BUY","OK"))</f>
        <v>OK</v>
      </c>
      <c r="AL14" s="118" t="s">
        <v>331</v>
      </c>
      <c r="AM14" s="119" t="s">
        <v>346</v>
      </c>
      <c r="AN14" s="115"/>
      <c r="AO14" s="93"/>
      <c r="AP14" s="115" t="str">
        <f aca="false">IF(OR(AN14="",AO14=""),"",IF(AN14&gt;AO14,"OK","LOW CONF"))</f>
        <v/>
      </c>
      <c r="AQ14" s="115"/>
      <c r="AR14" s="93"/>
      <c r="AS14" s="123" t="str">
        <f aca="false">IF(OR(AQ14="",AR14=""),"",IF(AQ14&lt;AR14,"Decreased",IF(AQ14&gt;AR14,"Increased","Flat")))</f>
        <v/>
      </c>
    </row>
    <row r="15" customFormat="false" ht="15" hidden="false" customHeight="true" outlineLevel="0" collapsed="false">
      <c r="A15" s="62" t="s">
        <v>104</v>
      </c>
      <c r="B15" s="113" t="s">
        <v>105</v>
      </c>
      <c r="C15" s="114" t="n">
        <v>46278</v>
      </c>
      <c r="D15" s="115" t="n">
        <v>2</v>
      </c>
      <c r="E15" s="115" t="s">
        <v>328</v>
      </c>
      <c r="F15" s="115" t="n">
        <v>5</v>
      </c>
      <c r="G15" s="115" t="s">
        <v>328</v>
      </c>
      <c r="H15" s="115" t="n">
        <v>4</v>
      </c>
      <c r="I15" s="115" t="s">
        <v>328</v>
      </c>
      <c r="J15" s="115" t="n">
        <v>5</v>
      </c>
      <c r="K15" s="115" t="s">
        <v>329</v>
      </c>
      <c r="L15" s="115" t="n">
        <v>2</v>
      </c>
      <c r="M15" s="115" t="s">
        <v>328</v>
      </c>
      <c r="N15" s="116" t="n">
        <f aca="false">IF(COUNT(D15,F15,H15,J15,L15)=0,"",(D15*0.2+F15*0.15+H15*0.15+J15*0.1+L15*0.1)/(IF(D15&lt;&gt;"",0.2,0)+IF(F15&lt;&gt;"",0.15,0)+IF(H15&lt;&gt;"",0.15,0)+IF(J15&lt;&gt;"",0.1,0)+IF(L15&lt;&gt;"",0.1,0)))</f>
        <v>3.5</v>
      </c>
      <c r="O15" s="117" t="n">
        <f aca="false">IF(COUNT(D15,F15,H15,J15,L15)=0,"",D15*0.2+F15*0.15+H15*0.15+J15*0.1+L15*0.1)</f>
        <v>2.45</v>
      </c>
      <c r="P15" s="115" t="n">
        <v>3</v>
      </c>
      <c r="Q15" s="115" t="s">
        <v>328</v>
      </c>
      <c r="R15" s="115" t="n">
        <v>2</v>
      </c>
      <c r="S15" s="115" t="s">
        <v>328</v>
      </c>
      <c r="T15" s="115" t="n">
        <v>4</v>
      </c>
      <c r="U15" s="115" t="s">
        <v>329</v>
      </c>
      <c r="V15" s="115" t="n">
        <v>1</v>
      </c>
      <c r="W15" s="115" t="s">
        <v>329</v>
      </c>
      <c r="X15" s="117" t="n">
        <f aca="false">IF(COUNT(P15,R15,T15,V15)=0,"",P15*0.08+R15*0.06+T15*0.03+V15*0.08)</f>
        <v>0.56</v>
      </c>
      <c r="Y15" s="115" t="n">
        <v>4</v>
      </c>
      <c r="Z15" s="115" t="s">
        <v>328</v>
      </c>
      <c r="AA15" s="115" t="n">
        <v>3</v>
      </c>
      <c r="AB15" s="115" t="s">
        <v>328</v>
      </c>
      <c r="AC15" s="115" t="n">
        <v>2</v>
      </c>
      <c r="AD15" s="115" t="s">
        <v>328</v>
      </c>
      <c r="AE15" s="117" t="n">
        <f aca="false">IF(COUNT(Y15,AA15,AC15)=0,"",Y15*0.02+AA15*0.02+AC15*0.01)</f>
        <v>0.16</v>
      </c>
      <c r="AF15" s="97" t="n">
        <f aca="false">IF(OR(COUNT(D15,F15,H15,J15,L15)&lt;5,COUNT(P15,R15,T15,V15)&lt;4,COUNT(Y15,AA15,AC15)&lt;3),"",(O15+X15+AE15)*20)</f>
        <v>63.4</v>
      </c>
      <c r="AG15" s="93" t="str">
        <f aca="false">IF(AF15="","",IF(AF15&gt;=80,"STRONG BUY",IF(AF15&gt;=65,"BUY",IF(AF15&gt;=50,"WATCH LIST",IF(AF15&gt;=35,"AVOID","PASS")))))</f>
        <v>WATCH LIST</v>
      </c>
      <c r="AH15" s="93" t="str">
        <f aca="false">IF(N15="","",IF(N15&lt;3,"FAIL","OK"))</f>
        <v>OK</v>
      </c>
      <c r="AI15" s="93" t="str">
        <f aca="false">IF(COUNT(D15:L15)=0,"",IF(COUNTIF(D15:L15,1)&gt;0,"REVIEW","OK"))</f>
        <v>OK</v>
      </c>
      <c r="AJ15" s="93" t="str">
        <f aca="false">IF(COUNT(D15:L15)=0,"",IF(COUNTIF(D15:L15,"&lt;=2")&gt;=2,"AVOID","OK"))</f>
        <v>AVOID</v>
      </c>
      <c r="AK15" s="93" t="str">
        <f aca="false">IF(COUNTA(E15:M15)=0,"",IF(COUNTIF(E15:M15,"L")&gt;=2,"CAP AT BUY","OK"))</f>
        <v>OK</v>
      </c>
      <c r="AL15" s="118" t="s">
        <v>331</v>
      </c>
      <c r="AM15" s="119" t="s">
        <v>333</v>
      </c>
      <c r="AN15" s="115"/>
      <c r="AO15" s="93"/>
      <c r="AP15" s="115" t="str">
        <f aca="false">IF(OR(AN15="",AO15=""),"",IF(AN15&gt;AO15,"OK","LOW CONF"))</f>
        <v/>
      </c>
      <c r="AQ15" s="115"/>
      <c r="AR15" s="93"/>
      <c r="AS15" s="123" t="str">
        <f aca="false">IF(OR(AQ15="",AR15=""),"",IF(AQ15&lt;AR15,"Decreased",IF(AQ15&gt;AR15,"Increased","Flat")))</f>
        <v/>
      </c>
    </row>
    <row r="16" customFormat="false" ht="15" hidden="false" customHeight="true" outlineLevel="0" collapsed="false">
      <c r="A16" s="62" t="s">
        <v>106</v>
      </c>
      <c r="B16" s="113" t="s">
        <v>107</v>
      </c>
      <c r="C16" s="114" t="n">
        <v>46278</v>
      </c>
      <c r="D16" s="115" t="n">
        <v>3</v>
      </c>
      <c r="E16" s="115" t="s">
        <v>328</v>
      </c>
      <c r="F16" s="115" t="n">
        <v>3</v>
      </c>
      <c r="G16" s="115" t="s">
        <v>328</v>
      </c>
      <c r="H16" s="115" t="n">
        <v>5</v>
      </c>
      <c r="I16" s="115" t="s">
        <v>329</v>
      </c>
      <c r="J16" s="115" t="n">
        <v>3</v>
      </c>
      <c r="K16" s="115" t="s">
        <v>328</v>
      </c>
      <c r="L16" s="115" t="n">
        <v>5</v>
      </c>
      <c r="M16" s="115" t="s">
        <v>328</v>
      </c>
      <c r="N16" s="116" t="n">
        <f aca="false">IF(COUNT(D16,F16,H16,J16,L16)=0,"",(D16*0.2+F16*0.15+H16*0.15+J16*0.1+L16*0.1)/(IF(D16&lt;&gt;"",0.2,0)+IF(F16&lt;&gt;"",0.15,0)+IF(H16&lt;&gt;"",0.15,0)+IF(J16&lt;&gt;"",0.1,0)+IF(L16&lt;&gt;"",0.1,0)))</f>
        <v>3.71428571428572</v>
      </c>
      <c r="O16" s="117" t="n">
        <f aca="false">IF(COUNT(D16,F16,H16,J16,L16)=0,"",D16*0.2+F16*0.15+H16*0.15+J16*0.1+L16*0.1)</f>
        <v>2.6</v>
      </c>
      <c r="P16" s="115" t="n">
        <v>4</v>
      </c>
      <c r="Q16" s="115" t="s">
        <v>329</v>
      </c>
      <c r="R16" s="115" t="n">
        <v>5</v>
      </c>
      <c r="S16" s="115" t="s">
        <v>329</v>
      </c>
      <c r="T16" s="115" t="n">
        <v>3</v>
      </c>
      <c r="U16" s="115" t="s">
        <v>328</v>
      </c>
      <c r="V16" s="115" t="n">
        <v>2</v>
      </c>
      <c r="W16" s="115" t="s">
        <v>328</v>
      </c>
      <c r="X16" s="117" t="n">
        <f aca="false">IF(COUNT(P16,R16,T16,V16)=0,"",P16*0.08+R16*0.06+T16*0.03+V16*0.08)</f>
        <v>0.87</v>
      </c>
      <c r="Y16" s="115" t="n">
        <v>2</v>
      </c>
      <c r="Z16" s="115" t="s">
        <v>328</v>
      </c>
      <c r="AA16" s="115" t="n">
        <v>5</v>
      </c>
      <c r="AB16" s="115" t="s">
        <v>329</v>
      </c>
      <c r="AC16" s="115" t="n">
        <v>2</v>
      </c>
      <c r="AD16" s="115" t="s">
        <v>330</v>
      </c>
      <c r="AE16" s="117" t="n">
        <f aca="false">IF(COUNT(Y16,AA16,AC16)=0,"",Y16*0.02+AA16*0.02+AC16*0.01)</f>
        <v>0.16</v>
      </c>
      <c r="AF16" s="97" t="n">
        <f aca="false">IF(OR(COUNT(D16,F16,H16,J16,L16)&lt;5,COUNT(P16,R16,T16,V16)&lt;4,COUNT(Y16,AA16,AC16)&lt;3),"",(O16+X16+AE16)*20)</f>
        <v>72.6</v>
      </c>
      <c r="AG16" s="93" t="str">
        <f aca="false">IF(AF16="","",IF(AF16&gt;=80,"STRONG BUY",IF(AF16&gt;=65,"BUY",IF(AF16&gt;=50,"WATCH LIST",IF(AF16&gt;=35,"AVOID","PASS")))))</f>
        <v>BUY</v>
      </c>
      <c r="AH16" s="93" t="str">
        <f aca="false">IF(N16="","",IF(N16&lt;3,"FAIL","OK"))</f>
        <v>OK</v>
      </c>
      <c r="AI16" s="93" t="str">
        <f aca="false">IF(COUNT(D16:L16)=0,"",IF(COUNTIF(D16:L16,1)&gt;0,"REVIEW","OK"))</f>
        <v>OK</v>
      </c>
      <c r="AJ16" s="93" t="str">
        <f aca="false">IF(COUNT(D16:L16)=0,"",IF(COUNTIF(D16:L16,"&lt;=2")&gt;=2,"AVOID","OK"))</f>
        <v>OK</v>
      </c>
      <c r="AK16" s="93" t="str">
        <f aca="false">IF(COUNTA(E16:M16)=0,"",IF(COUNTIF(E16:M16,"L")&gt;=2,"CAP AT BUY","OK"))</f>
        <v>OK</v>
      </c>
      <c r="AL16" s="118" t="s">
        <v>331</v>
      </c>
      <c r="AM16" s="119" t="s">
        <v>346</v>
      </c>
      <c r="AN16" s="120" t="n">
        <v>4143079000</v>
      </c>
      <c r="AO16" s="121" t="n">
        <v>4830771000</v>
      </c>
      <c r="AP16" s="115" t="str">
        <f aca="false">IF(OR(AN16="",AO16=""),"",IF(AN16&gt;AO16,"OK","LOW CONF"))</f>
        <v>LOW CONF</v>
      </c>
      <c r="AQ16" s="122" t="n">
        <v>1.633</v>
      </c>
      <c r="AR16" s="117" t="n">
        <v>1.625</v>
      </c>
      <c r="AS16" s="123" t="str">
        <f aca="false">IF(OR(AQ16="",AR16=""),"",IF(AQ16&lt;AR16,"Decreased",IF(AQ16&gt;AR16,"Increased","Flat")))</f>
        <v>Increased</v>
      </c>
    </row>
    <row r="17" customFormat="false" ht="15" hidden="false" customHeight="true" outlineLevel="0" collapsed="false">
      <c r="A17" s="62" t="s">
        <v>114</v>
      </c>
      <c r="B17" s="113" t="s">
        <v>347</v>
      </c>
      <c r="C17" s="114" t="n">
        <v>46278</v>
      </c>
      <c r="D17" s="115" t="n">
        <v>5</v>
      </c>
      <c r="E17" s="115" t="s">
        <v>328</v>
      </c>
      <c r="F17" s="115" t="n">
        <v>2</v>
      </c>
      <c r="G17" s="115" t="s">
        <v>328</v>
      </c>
      <c r="H17" s="115" t="n">
        <v>5</v>
      </c>
      <c r="I17" s="115" t="s">
        <v>329</v>
      </c>
      <c r="J17" s="115" t="n">
        <v>4</v>
      </c>
      <c r="K17" s="115" t="s">
        <v>328</v>
      </c>
      <c r="L17" s="115" t="n">
        <v>5</v>
      </c>
      <c r="M17" s="115" t="s">
        <v>328</v>
      </c>
      <c r="N17" s="116" t="n">
        <f aca="false">IF(COUNT(D17,F17,H17,J17,L17)=0,"",(D17*0.2+F17*0.15+H17*0.15+J17*0.1+L17*0.1)/(IF(D17&lt;&gt;"",0.2,0)+IF(F17&lt;&gt;"",0.15,0)+IF(H17&lt;&gt;"",0.15,0)+IF(J17&lt;&gt;"",0.1,0)+IF(L17&lt;&gt;"",0.1,0)))</f>
        <v>4.21428571428571</v>
      </c>
      <c r="O17" s="117" t="n">
        <f aca="false">IF(COUNT(D17,F17,H17,J17,L17)=0,"",D17*0.2+F17*0.15+H17*0.15+J17*0.1+L17*0.1)</f>
        <v>2.95</v>
      </c>
      <c r="P17" s="115" t="n">
        <v>4</v>
      </c>
      <c r="Q17" s="115" t="s">
        <v>329</v>
      </c>
      <c r="R17" s="115" t="n">
        <v>5</v>
      </c>
      <c r="S17" s="115" t="s">
        <v>329</v>
      </c>
      <c r="T17" s="115" t="n">
        <v>4</v>
      </c>
      <c r="U17" s="115" t="s">
        <v>328</v>
      </c>
      <c r="V17" s="115" t="n">
        <v>4</v>
      </c>
      <c r="W17" s="115" t="s">
        <v>328</v>
      </c>
      <c r="X17" s="117" t="n">
        <f aca="false">IF(COUNT(P17,R17,T17,V17)=0,"",P17*0.08+R17*0.06+T17*0.03+V17*0.08)</f>
        <v>1.06</v>
      </c>
      <c r="Y17" s="115" t="n">
        <v>3</v>
      </c>
      <c r="Z17" s="115" t="s">
        <v>328</v>
      </c>
      <c r="AA17" s="115" t="n">
        <v>5</v>
      </c>
      <c r="AB17" s="115" t="s">
        <v>329</v>
      </c>
      <c r="AC17" s="115" t="n">
        <v>3</v>
      </c>
      <c r="AD17" s="115" t="s">
        <v>330</v>
      </c>
      <c r="AE17" s="117" t="n">
        <f aca="false">IF(COUNT(Y17,AA17,AC17)=0,"",Y17*0.02+AA17*0.02+AC17*0.01)</f>
        <v>0.19</v>
      </c>
      <c r="AF17" s="97" t="n">
        <f aca="false">IF(OR(COUNT(D17,F17,H17,J17,L17)&lt;5,COUNT(P17,R17,T17,V17)&lt;4,COUNT(Y17,AA17,AC17)&lt;3),"",(O17+X17+AE17)*20)</f>
        <v>84</v>
      </c>
      <c r="AG17" s="93" t="str">
        <f aca="false">IF(AF17="","",IF(AF17&gt;=80,"STRONG BUY",IF(AF17&gt;=65,"BUY",IF(AF17&gt;=50,"WATCH LIST",IF(AF17&gt;=35,"AVOID","PASS")))))</f>
        <v>STRONG BUY</v>
      </c>
      <c r="AH17" s="93" t="str">
        <f aca="false">IF(N17="","",IF(N17&lt;3,"FAIL","OK"))</f>
        <v>OK</v>
      </c>
      <c r="AI17" s="93" t="str">
        <f aca="false">IF(COUNT(D17:L17)=0,"",IF(COUNTIF(D17:L17,1)&gt;0,"REVIEW","OK"))</f>
        <v>OK</v>
      </c>
      <c r="AJ17" s="93" t="str">
        <f aca="false">IF(COUNT(D17:L17)=0,"",IF(COUNTIF(D17:L17,"&lt;=2")&gt;=2,"AVOID","OK"))</f>
        <v>OK</v>
      </c>
      <c r="AK17" s="93" t="str">
        <f aca="false">IF(COUNTA(E17:M17)=0,"",IF(COUNTIF(E17:M17,"L")&gt;=2,"CAP AT BUY","OK"))</f>
        <v>OK</v>
      </c>
      <c r="AL17" s="119" t="s">
        <v>331</v>
      </c>
      <c r="AM17" s="119" t="s">
        <v>332</v>
      </c>
      <c r="AN17" s="115"/>
      <c r="AO17" s="93"/>
      <c r="AP17" s="115" t="str">
        <f aca="false">IF(OR(AN17="",AO17=""),"",IF(AN17&gt;AO17,"OK","LOW CONF"))</f>
        <v/>
      </c>
      <c r="AQ17" s="115"/>
      <c r="AR17" s="93"/>
      <c r="AS17" s="123" t="str">
        <f aca="false">IF(OR(AQ17="",AR17=""),"",IF(AQ17&lt;AR17,"Decreased",IF(AQ17&gt;AR17,"Increased","Flat")))</f>
        <v/>
      </c>
    </row>
    <row r="18" customFormat="false" ht="15" hidden="false" customHeight="true" outlineLevel="0" collapsed="false">
      <c r="A18" s="62" t="s">
        <v>116</v>
      </c>
      <c r="B18" s="113" t="s">
        <v>117</v>
      </c>
      <c r="C18" s="114" t="n">
        <v>46278</v>
      </c>
      <c r="D18" s="115" t="n">
        <v>3</v>
      </c>
      <c r="E18" s="115" t="s">
        <v>328</v>
      </c>
      <c r="F18" s="115" t="n">
        <v>5</v>
      </c>
      <c r="G18" s="115" t="s">
        <v>328</v>
      </c>
      <c r="H18" s="115" t="n">
        <v>4</v>
      </c>
      <c r="I18" s="115" t="s">
        <v>328</v>
      </c>
      <c r="J18" s="115" t="n">
        <v>4</v>
      </c>
      <c r="K18" s="115" t="s">
        <v>328</v>
      </c>
      <c r="L18" s="115" t="n">
        <v>4</v>
      </c>
      <c r="M18" s="115" t="s">
        <v>328</v>
      </c>
      <c r="N18" s="116" t="n">
        <f aca="false">IF(COUNT(D18,F18,H18,J18,L18)=0,"",(D18*0.2+F18*0.15+H18*0.15+J18*0.1+L18*0.1)/(IF(D18&lt;&gt;"",0.2,0)+IF(F18&lt;&gt;"",0.15,0)+IF(H18&lt;&gt;"",0.15,0)+IF(J18&lt;&gt;"",0.1,0)+IF(L18&lt;&gt;"",0.1,0)))</f>
        <v>3.92857142857143</v>
      </c>
      <c r="O18" s="117" t="n">
        <f aca="false">IF(COUNT(D18,F18,H18,J18,L18)=0,"",D18*0.2+F18*0.15+H18*0.15+J18*0.1+L18*0.1)</f>
        <v>2.75</v>
      </c>
      <c r="P18" s="115" t="n">
        <v>4</v>
      </c>
      <c r="Q18" s="115" t="s">
        <v>328</v>
      </c>
      <c r="R18" s="115" t="n">
        <v>5</v>
      </c>
      <c r="S18" s="115" t="s">
        <v>329</v>
      </c>
      <c r="T18" s="115" t="n">
        <v>4</v>
      </c>
      <c r="U18" s="115" t="s">
        <v>328</v>
      </c>
      <c r="V18" s="115" t="n">
        <v>2</v>
      </c>
      <c r="W18" s="115" t="s">
        <v>328</v>
      </c>
      <c r="X18" s="117" t="n">
        <f aca="false">IF(COUNT(P18,R18,T18,V18)=0,"",P18*0.08+R18*0.06+T18*0.03+V18*0.08)</f>
        <v>0.9</v>
      </c>
      <c r="Y18" s="115" t="n">
        <v>4</v>
      </c>
      <c r="Z18" s="115" t="s">
        <v>328</v>
      </c>
      <c r="AA18" s="115" t="n">
        <v>4</v>
      </c>
      <c r="AB18" s="115" t="s">
        <v>328</v>
      </c>
      <c r="AC18" s="115" t="n">
        <v>3</v>
      </c>
      <c r="AD18" s="115" t="s">
        <v>330</v>
      </c>
      <c r="AE18" s="117" t="n">
        <f aca="false">IF(COUNT(Y18,AA18,AC18)=0,"",Y18*0.02+AA18*0.02+AC18*0.01)</f>
        <v>0.19</v>
      </c>
      <c r="AF18" s="97" t="n">
        <f aca="false">IF(OR(COUNT(D18,F18,H18,J18,L18)&lt;5,COUNT(P18,R18,T18,V18)&lt;4,COUNT(Y18,AA18,AC18)&lt;3),"",(O18+X18+AE18)*20)</f>
        <v>76.8</v>
      </c>
      <c r="AG18" s="93" t="str">
        <f aca="false">IF(AF18="","",IF(AF18&gt;=80,"STRONG BUY",IF(AF18&gt;=65,"BUY",IF(AF18&gt;=50,"WATCH LIST",IF(AF18&gt;=35,"AVOID","PASS")))))</f>
        <v>BUY</v>
      </c>
      <c r="AH18" s="93" t="str">
        <f aca="false">IF(N18="","",IF(N18&lt;3,"FAIL","OK"))</f>
        <v>OK</v>
      </c>
      <c r="AI18" s="93" t="str">
        <f aca="false">IF(COUNT(D18:L18)=0,"",IF(COUNTIF(D18:L18,1)&gt;0,"REVIEW","OK"))</f>
        <v>OK</v>
      </c>
      <c r="AJ18" s="93" t="str">
        <f aca="false">IF(COUNT(D18:L18)=0,"",IF(COUNTIF(D18:L18,"&lt;=2")&gt;=2,"AVOID","OK"))</f>
        <v>OK</v>
      </c>
      <c r="AK18" s="93" t="str">
        <f aca="false">IF(COUNTA(E18:M18)=0,"",IF(COUNTIF(E18:M18,"L")&gt;=2,"CAP AT BUY","OK"))</f>
        <v>OK</v>
      </c>
      <c r="AL18" s="119" t="s">
        <v>348</v>
      </c>
      <c r="AM18" s="119" t="s">
        <v>349</v>
      </c>
      <c r="AN18" s="120" t="n">
        <v>2113800000</v>
      </c>
      <c r="AO18" s="121" t="n">
        <v>1332800000</v>
      </c>
      <c r="AP18" s="115" t="str">
        <f aca="false">IF(OR(AN18="",AO18=""),"",IF(AN18&gt;AO18,"OK","LOW CONF"))</f>
        <v>OK</v>
      </c>
      <c r="AQ18" s="122" t="n">
        <v>1.71</v>
      </c>
      <c r="AR18" s="117" t="n">
        <v>2.771</v>
      </c>
      <c r="AS18" s="123" t="str">
        <f aca="false">IF(OR(AQ18="",AR18=""),"",IF(AQ18&lt;AR18,"Decreased",IF(AQ18&gt;AR18,"Increased","Flat")))</f>
        <v>Decreased</v>
      </c>
    </row>
    <row r="19" customFormat="false" ht="15" hidden="false" customHeight="true" outlineLevel="0" collapsed="false">
      <c r="A19" s="62" t="s">
        <v>232</v>
      </c>
      <c r="B19" s="113" t="s">
        <v>350</v>
      </c>
      <c r="C19" s="114" t="n">
        <v>46245</v>
      </c>
      <c r="D19" s="115" t="n">
        <v>3</v>
      </c>
      <c r="E19" s="115" t="s">
        <v>328</v>
      </c>
      <c r="F19" s="115" t="n">
        <v>5</v>
      </c>
      <c r="G19" s="115" t="s">
        <v>329</v>
      </c>
      <c r="H19" s="115" t="n">
        <v>5</v>
      </c>
      <c r="I19" s="115" t="s">
        <v>329</v>
      </c>
      <c r="J19" s="115" t="n">
        <v>4</v>
      </c>
      <c r="K19" s="115" t="s">
        <v>328</v>
      </c>
      <c r="L19" s="115" t="n">
        <v>4</v>
      </c>
      <c r="M19" s="115" t="s">
        <v>329</v>
      </c>
      <c r="N19" s="116" t="n">
        <f aca="false">IF(COUNT(D19,F19,H19,J19,L19)=0,"",(D19*0.2+F19*0.15+H19*0.15+J19*0.1+L19*0.1)/(IF(D19&lt;&gt;"",0.2,0)+IF(F19&lt;&gt;"",0.15,0)+IF(H19&lt;&gt;"",0.15,0)+IF(J19&lt;&gt;"",0.1,0)+IF(L19&lt;&gt;"",0.1,0)))</f>
        <v>4.14285714285714</v>
      </c>
      <c r="O19" s="117" t="n">
        <f aca="false">IF(COUNT(D19,F19,H19,J19,L19)=0,"",D19*0.2+F19*0.15+H19*0.15+J19*0.1+L19*0.1)</f>
        <v>2.9</v>
      </c>
      <c r="P19" s="115" t="n">
        <v>3</v>
      </c>
      <c r="Q19" s="115" t="s">
        <v>330</v>
      </c>
      <c r="R19" s="115" t="n">
        <v>5</v>
      </c>
      <c r="S19" s="115" t="s">
        <v>329</v>
      </c>
      <c r="T19" s="115" t="n">
        <v>5</v>
      </c>
      <c r="U19" s="115" t="s">
        <v>329</v>
      </c>
      <c r="V19" s="115" t="n">
        <v>1</v>
      </c>
      <c r="W19" s="115" t="s">
        <v>329</v>
      </c>
      <c r="X19" s="117" t="n">
        <f aca="false">IF(COUNT(P19,R19,T19,V19)=0,"",P19*0.08+R19*0.06+T19*0.03+V19*0.08)</f>
        <v>0.77</v>
      </c>
      <c r="Y19" s="115" t="n">
        <v>4</v>
      </c>
      <c r="Z19" s="115" t="s">
        <v>328</v>
      </c>
      <c r="AA19" s="115" t="n">
        <v>4</v>
      </c>
      <c r="AB19" s="115" t="s">
        <v>328</v>
      </c>
      <c r="AC19" s="115" t="n">
        <v>4</v>
      </c>
      <c r="AD19" s="115" t="s">
        <v>328</v>
      </c>
      <c r="AE19" s="117" t="n">
        <f aca="false">IF(COUNT(Y19,AA19,AC19)=0,"",Y19*0.02+AA19*0.02+AC19*0.01)</f>
        <v>0.2</v>
      </c>
      <c r="AF19" s="97" t="n">
        <f aca="false">IF(OR(COUNT(D19,F19,H19,J19,L19)&lt;5,COUNT(P19,R19,T19,V19)&lt;4,COUNT(Y19,AA19,AC19)&lt;3),"",(O19+X19+AE19)*20)</f>
        <v>77.4</v>
      </c>
      <c r="AG19" s="93" t="str">
        <f aca="false">IF(AF19="","",IF(AF19&gt;=80,"STRONG BUY",IF(AF19&gt;=65,"BUY",IF(AF19&gt;=50,"WATCH LIST",IF(AF19&gt;=35,"AVOID","PASS")))))</f>
        <v>BUY</v>
      </c>
      <c r="AH19" s="93" t="str">
        <f aca="false">IF(N19="","",IF(N19&lt;3,"FAIL","OK"))</f>
        <v>OK</v>
      </c>
      <c r="AI19" s="93" t="str">
        <f aca="false">IF(COUNT(D19:L19)=0,"",IF(COUNTIF(D19:L19,1)&gt;0,"REVIEW","OK"))</f>
        <v>OK</v>
      </c>
      <c r="AJ19" s="93" t="str">
        <f aca="false">IF(COUNT(D19:L19)=0,"",IF(COUNTIF(D19:L19,"&lt;=2")&gt;=2,"AVOID","OK"))</f>
        <v>OK</v>
      </c>
      <c r="AK19" s="93" t="str">
        <f aca="false">IF(COUNTA(E19:M19)=0,"",IF(COUNTIF(E19:M19,"L")&gt;=2,"CAP AT BUY","OK"))</f>
        <v>OK</v>
      </c>
      <c r="AL19" s="119" t="s">
        <v>339</v>
      </c>
      <c r="AM19" s="119" t="s">
        <v>351</v>
      </c>
      <c r="AN19" s="115"/>
      <c r="AO19" s="93"/>
      <c r="AP19" s="115" t="str">
        <f aca="false">IF(OR(AN19="",AO19=""),"",IF(AN19&gt;AO19,"OK","LOW CONF"))</f>
        <v/>
      </c>
      <c r="AQ19" s="115"/>
      <c r="AR19" s="93"/>
      <c r="AS19" s="123" t="str">
        <f aca="false">IF(OR(AQ19="",AR19=""),"",IF(AQ19&lt;AR19,"Decreased",IF(AQ19&gt;AR19,"Increased","Flat")))</f>
        <v/>
      </c>
    </row>
    <row r="20" customFormat="false" ht="15" hidden="false" customHeight="true" outlineLevel="0" collapsed="false">
      <c r="A20" s="62" t="s">
        <v>118</v>
      </c>
      <c r="B20" s="113" t="s">
        <v>119</v>
      </c>
      <c r="C20" s="114" t="n">
        <v>46278</v>
      </c>
      <c r="D20" s="115" t="n">
        <v>3</v>
      </c>
      <c r="E20" s="115" t="s">
        <v>328</v>
      </c>
      <c r="F20" s="115" t="n">
        <v>4</v>
      </c>
      <c r="G20" s="115" t="s">
        <v>328</v>
      </c>
      <c r="H20" s="115" t="n">
        <v>5</v>
      </c>
      <c r="I20" s="115" t="s">
        <v>329</v>
      </c>
      <c r="J20" s="115" t="n">
        <v>4</v>
      </c>
      <c r="K20" s="115" t="s">
        <v>328</v>
      </c>
      <c r="L20" s="115" t="n">
        <v>2</v>
      </c>
      <c r="M20" s="115" t="s">
        <v>328</v>
      </c>
      <c r="N20" s="116" t="n">
        <f aca="false">IF(COUNT(D20,F20,H20,J20,L20)=0,"",(D20*0.2+F20*0.15+H20*0.15+J20*0.1+L20*0.1)/(IF(D20&lt;&gt;"",0.2,0)+IF(F20&lt;&gt;"",0.15,0)+IF(H20&lt;&gt;"",0.15,0)+IF(J20&lt;&gt;"",0.1,0)+IF(L20&lt;&gt;"",0.1,0)))</f>
        <v>3.64285714285714</v>
      </c>
      <c r="O20" s="117" t="n">
        <f aca="false">IF(COUNT(D20,F20,H20,J20,L20)=0,"",D20*0.2+F20*0.15+H20*0.15+J20*0.1+L20*0.1)</f>
        <v>2.55</v>
      </c>
      <c r="P20" s="115" t="n">
        <v>4</v>
      </c>
      <c r="Q20" s="115" t="s">
        <v>328</v>
      </c>
      <c r="R20" s="115" t="n">
        <v>5</v>
      </c>
      <c r="S20" s="115" t="s">
        <v>329</v>
      </c>
      <c r="T20" s="115" t="n">
        <v>3</v>
      </c>
      <c r="U20" s="115" t="s">
        <v>328</v>
      </c>
      <c r="V20" s="115" t="n">
        <v>3</v>
      </c>
      <c r="W20" s="115" t="s">
        <v>328</v>
      </c>
      <c r="X20" s="117" t="n">
        <f aca="false">IF(COUNT(P20,R20,T20,V20)=0,"",P20*0.08+R20*0.06+T20*0.03+V20*0.08)</f>
        <v>0.95</v>
      </c>
      <c r="Y20" s="115" t="n">
        <v>3</v>
      </c>
      <c r="Z20" s="115" t="s">
        <v>328</v>
      </c>
      <c r="AA20" s="115" t="n">
        <v>4</v>
      </c>
      <c r="AB20" s="115" t="s">
        <v>328</v>
      </c>
      <c r="AC20" s="115" t="n">
        <v>3</v>
      </c>
      <c r="AD20" s="115" t="s">
        <v>330</v>
      </c>
      <c r="AE20" s="117" t="n">
        <f aca="false">IF(COUNT(Y20,AA20,AC20)=0,"",Y20*0.02+AA20*0.02+AC20*0.01)</f>
        <v>0.17</v>
      </c>
      <c r="AF20" s="97" t="n">
        <f aca="false">IF(OR(COUNT(D20,F20,H20,J20,L20)&lt;5,COUNT(P20,R20,T20,V20)&lt;4,COUNT(Y20,AA20,AC20)&lt;3),"",(O20+X20+AE20)*20)</f>
        <v>73.4</v>
      </c>
      <c r="AG20" s="93" t="str">
        <f aca="false">IF(AF20="","",IF(AF20&gt;=80,"STRONG BUY",IF(AF20&gt;=65,"BUY",IF(AF20&gt;=50,"WATCH LIST",IF(AF20&gt;=35,"AVOID","PASS")))))</f>
        <v>BUY</v>
      </c>
      <c r="AH20" s="93" t="str">
        <f aca="false">IF(N20="","",IF(N20&lt;3,"FAIL","OK"))</f>
        <v>OK</v>
      </c>
      <c r="AI20" s="93" t="str">
        <f aca="false">IF(COUNT(D20:L20)=0,"",IF(COUNTIF(D20:L20,1)&gt;0,"REVIEW","OK"))</f>
        <v>OK</v>
      </c>
      <c r="AJ20" s="93" t="str">
        <f aca="false">IF(COUNT(D20:L20)=0,"",IF(COUNTIF(D20:L20,"&lt;=2")&gt;=2,"AVOID","OK"))</f>
        <v>OK</v>
      </c>
      <c r="AK20" s="93" t="str">
        <f aca="false">IF(COUNTA(E20:M20)=0,"",IF(COUNTIF(E20:M20,"L")&gt;=2,"CAP AT BUY","OK"))</f>
        <v>OK</v>
      </c>
      <c r="AL20" s="119" t="s">
        <v>352</v>
      </c>
      <c r="AM20" s="119" t="s">
        <v>353</v>
      </c>
      <c r="AN20" s="120" t="n">
        <v>23059000000</v>
      </c>
      <c r="AO20" s="121" t="n">
        <v>20058000000</v>
      </c>
      <c r="AP20" s="115" t="str">
        <f aca="false">IF(OR(AN20="",AO20=""),"",IF(AN20&gt;AO20,"OK","LOW CONF"))</f>
        <v>OK</v>
      </c>
      <c r="AQ20" s="122" t="n">
        <v>1.167</v>
      </c>
      <c r="AR20" s="117" t="n">
        <v>1.115</v>
      </c>
      <c r="AS20" s="123" t="str">
        <f aca="false">IF(OR(AQ20="",AR20=""),"",IF(AQ20&lt;AR20,"Decreased",IF(AQ20&gt;AR20,"Increased","Flat")))</f>
        <v>Increased</v>
      </c>
    </row>
    <row r="21" customFormat="false" ht="15" hidden="true" customHeight="true" outlineLevel="1" collapsed="false">
      <c r="A21" s="62" t="s">
        <v>253</v>
      </c>
      <c r="B21" s="113" t="s">
        <v>354</v>
      </c>
      <c r="C21" s="114" t="n">
        <v>46245</v>
      </c>
      <c r="D21" s="115" t="n">
        <v>1</v>
      </c>
      <c r="E21" s="115" t="s">
        <v>329</v>
      </c>
      <c r="F21" s="115" t="n">
        <v>3</v>
      </c>
      <c r="G21" s="115" t="s">
        <v>328</v>
      </c>
      <c r="H21" s="115" t="n">
        <v>4</v>
      </c>
      <c r="I21" s="115" t="s">
        <v>328</v>
      </c>
      <c r="J21" s="115" t="n">
        <v>4</v>
      </c>
      <c r="K21" s="115" t="s">
        <v>328</v>
      </c>
      <c r="L21" s="115" t="n">
        <v>1</v>
      </c>
      <c r="M21" s="115" t="s">
        <v>329</v>
      </c>
      <c r="N21" s="116" t="n">
        <f aca="false">IF(COUNT(D21,F21,H21,J21,L21)=0,"",(D21*0.2+F21*0.15+H21*0.15+J21*0.1+L21*0.1)/(IF(D21&lt;&gt;"",0.2,0)+IF(F21&lt;&gt;"",0.15,0)+IF(H21&lt;&gt;"",0.15,0)+IF(J21&lt;&gt;"",0.1,0)+IF(L21&lt;&gt;"",0.1,0)))</f>
        <v>2.5</v>
      </c>
      <c r="O21" s="117" t="n">
        <f aca="false">IF(COUNT(D21,F21,H21,J21,L21)=0,"",D21*0.2+F21*0.15+H21*0.15+J21*0.1+L21*0.1)</f>
        <v>1.75</v>
      </c>
      <c r="P21" s="115"/>
      <c r="Q21" s="115"/>
      <c r="R21" s="115"/>
      <c r="S21" s="115"/>
      <c r="T21" s="115"/>
      <c r="U21" s="115"/>
      <c r="V21" s="115"/>
      <c r="W21" s="115"/>
      <c r="X21" s="117" t="str">
        <f aca="false">IF(COUNT(P21,R21,T21,V21)=0,"",P21*0.08+R21*0.06+T21*0.03+V21*0.08)</f>
        <v/>
      </c>
      <c r="Y21" s="115"/>
      <c r="Z21" s="115"/>
      <c r="AA21" s="115"/>
      <c r="AB21" s="115"/>
      <c r="AC21" s="115"/>
      <c r="AD21" s="115"/>
      <c r="AE21" s="117" t="str">
        <f aca="false">IF(COUNT(Y21,AA21,AC21)=0,"",Y21*0.02+AA21*0.02+AC21*0.01)</f>
        <v/>
      </c>
      <c r="AF21" s="97" t="str">
        <f aca="false">IF(OR(COUNT(D21,F21,H21,J21,L21)&lt;5,COUNT(P21,R21,T21,V21)&lt;4,COUNT(Y21,AA21,AC21)&lt;3),"",(O21+X21+AE21)*20)</f>
        <v/>
      </c>
      <c r="AG21" s="93" t="str">
        <f aca="false">IF(AF21="","",IF(AF21&gt;=80,"STRONG BUY",IF(AF21&gt;=65,"BUY",IF(AF21&gt;=50,"WATCH LIST",IF(AF21&gt;=35,"AVOID","PASS")))))</f>
        <v/>
      </c>
      <c r="AH21" s="93" t="str">
        <f aca="false">IF(N21="","",IF(N21&lt;3,"FAIL","OK"))</f>
        <v>FAIL</v>
      </c>
      <c r="AI21" s="93" t="str">
        <f aca="false">IF(COUNT(D21:L21)=0,"",IF(COUNTIF(D21:L21,1)&gt;0,"REVIEW","OK"))</f>
        <v>REVIEW</v>
      </c>
      <c r="AJ21" s="93" t="str">
        <f aca="false">IF(COUNT(D21:L21)=0,"",IF(COUNTIF(D21:L21,"&lt;=2")&gt;=2,"AVOID","OK"))</f>
        <v>AVOID</v>
      </c>
      <c r="AK21" s="93" t="str">
        <f aca="false">IF(COUNTA(E21:M21)=0,"",IF(COUNTIF(E21:M21,"L")&gt;=2,"CAP AT BUY","OK"))</f>
        <v>OK</v>
      </c>
      <c r="AL21" s="119" t="s">
        <v>355</v>
      </c>
      <c r="AM21" s="119" t="s">
        <v>356</v>
      </c>
      <c r="AN21" s="115"/>
      <c r="AO21" s="93"/>
      <c r="AP21" s="115" t="str">
        <f aca="false">IF(OR(AN21="",AO21=""),"",IF(AN21&gt;AO21,"OK","LOW CONF"))</f>
        <v/>
      </c>
      <c r="AQ21" s="115"/>
      <c r="AR21" s="93"/>
      <c r="AS21" s="123" t="str">
        <f aca="false">IF(OR(AQ21="",AR21=""),"",IF(AQ21&lt;AR21,"Decreased",IF(AQ21&gt;AR21,"Increased","Flat")))</f>
        <v/>
      </c>
    </row>
    <row r="22" customFormat="false" ht="15" hidden="true" customHeight="true" outlineLevel="1" collapsed="false">
      <c r="A22" s="62" t="s">
        <v>233</v>
      </c>
      <c r="B22" s="113" t="s">
        <v>357</v>
      </c>
      <c r="C22" s="114" t="n">
        <v>46245</v>
      </c>
      <c r="D22" s="115" t="n">
        <v>1</v>
      </c>
      <c r="E22" s="115" t="s">
        <v>329</v>
      </c>
      <c r="F22" s="115" t="n">
        <v>1</v>
      </c>
      <c r="G22" s="115" t="s">
        <v>329</v>
      </c>
      <c r="H22" s="115" t="n">
        <v>2</v>
      </c>
      <c r="I22" s="115" t="s">
        <v>328</v>
      </c>
      <c r="J22" s="115" t="n">
        <v>1</v>
      </c>
      <c r="K22" s="115" t="s">
        <v>329</v>
      </c>
      <c r="L22" s="115" t="n">
        <v>1</v>
      </c>
      <c r="M22" s="115" t="s">
        <v>329</v>
      </c>
      <c r="N22" s="116" t="n">
        <f aca="false">IF(COUNT(D22,F22,H22,J22,L22)=0,"",(D22*0.2+F22*0.15+H22*0.15+J22*0.1+L22*0.1)/(IF(D22&lt;&gt;"",0.2,0)+IF(F22&lt;&gt;"",0.15,0)+IF(H22&lt;&gt;"",0.15,0)+IF(J22&lt;&gt;"",0.1,0)+IF(L22&lt;&gt;"",0.1,0)))</f>
        <v>1.21428571428571</v>
      </c>
      <c r="O22" s="117" t="n">
        <f aca="false">IF(COUNT(D22,F22,H22,J22,L22)=0,"",D22*0.2+F22*0.15+H22*0.15+J22*0.1+L22*0.1)</f>
        <v>0.85</v>
      </c>
      <c r="P22" s="115"/>
      <c r="Q22" s="115"/>
      <c r="R22" s="115"/>
      <c r="S22" s="115"/>
      <c r="T22" s="115"/>
      <c r="U22" s="115"/>
      <c r="V22" s="115"/>
      <c r="W22" s="115"/>
      <c r="X22" s="117" t="str">
        <f aca="false">IF(COUNT(P22,R22,T22,V22)=0,"",P22*0.08+R22*0.06+T22*0.03+V22*0.08)</f>
        <v/>
      </c>
      <c r="Y22" s="115"/>
      <c r="Z22" s="115"/>
      <c r="AA22" s="115"/>
      <c r="AB22" s="115"/>
      <c r="AC22" s="115"/>
      <c r="AD22" s="115"/>
      <c r="AE22" s="117" t="str">
        <f aca="false">IF(COUNT(Y22,AA22,AC22)=0,"",Y22*0.02+AA22*0.02+AC22*0.01)</f>
        <v/>
      </c>
      <c r="AF22" s="97" t="str">
        <f aca="false">IF(OR(COUNT(D22,F22,H22,J22,L22)&lt;5,COUNT(P22,R22,T22,V22)&lt;4,COUNT(Y22,AA22,AC22)&lt;3),"",(O22+X22+AE22)*20)</f>
        <v/>
      </c>
      <c r="AG22" s="93" t="str">
        <f aca="false">IF(AF22="","",IF(AF22&gt;=80,"STRONG BUY",IF(AF22&gt;=65,"BUY",IF(AF22&gt;=50,"WATCH LIST",IF(AF22&gt;=35,"AVOID","PASS")))))</f>
        <v/>
      </c>
      <c r="AH22" s="93" t="str">
        <f aca="false">IF(N22="","",IF(N22&lt;3,"FAIL","OK"))</f>
        <v>FAIL</v>
      </c>
      <c r="AI22" s="93" t="str">
        <f aca="false">IF(COUNT(D22:L22)=0,"",IF(COUNTIF(D22:L22,1)&gt;0,"REVIEW","OK"))</f>
        <v>REVIEW</v>
      </c>
      <c r="AJ22" s="93" t="str">
        <f aca="false">IF(COUNT(D22:L22)=0,"",IF(COUNTIF(D22:L22,"&lt;=2")&gt;=2,"AVOID","OK"))</f>
        <v>AVOID</v>
      </c>
      <c r="AK22" s="93" t="str">
        <f aca="false">IF(COUNTA(E22:M22)=0,"",IF(COUNTIF(E22:M22,"L")&gt;=2,"CAP AT BUY","OK"))</f>
        <v>OK</v>
      </c>
      <c r="AL22" s="119" t="s">
        <v>358</v>
      </c>
      <c r="AM22" s="119" t="s">
        <v>359</v>
      </c>
      <c r="AN22" s="115"/>
      <c r="AO22" s="93"/>
      <c r="AP22" s="115" t="str">
        <f aca="false">IF(OR(AN22="",AO22=""),"",IF(AN22&gt;AO22,"OK","LOW CONF"))</f>
        <v/>
      </c>
      <c r="AQ22" s="115"/>
      <c r="AR22" s="93"/>
      <c r="AS22" s="123" t="str">
        <f aca="false">IF(OR(AQ22="",AR22=""),"",IF(AQ22&lt;AR22,"Decreased",IF(AQ22&gt;AR22,"Increased","Flat")))</f>
        <v/>
      </c>
    </row>
    <row r="23" customFormat="false" ht="15" hidden="false" customHeight="true" outlineLevel="0" collapsed="false">
      <c r="A23" s="62" t="s">
        <v>240</v>
      </c>
      <c r="B23" s="113" t="s">
        <v>360</v>
      </c>
      <c r="C23" s="114" t="n">
        <v>46276</v>
      </c>
      <c r="D23" s="115" t="n">
        <v>4</v>
      </c>
      <c r="E23" s="115" t="s">
        <v>328</v>
      </c>
      <c r="F23" s="115" t="n">
        <v>1</v>
      </c>
      <c r="G23" s="115" t="s">
        <v>328</v>
      </c>
      <c r="H23" s="115" t="n">
        <v>4</v>
      </c>
      <c r="I23" s="115" t="s">
        <v>328</v>
      </c>
      <c r="J23" s="115" t="n">
        <v>4</v>
      </c>
      <c r="K23" s="115" t="s">
        <v>328</v>
      </c>
      <c r="L23" s="115" t="n">
        <v>2</v>
      </c>
      <c r="M23" s="115" t="s">
        <v>328</v>
      </c>
      <c r="N23" s="116" t="n">
        <f aca="false">IF(COUNT(D23,F23,H23,J23,L23)=0,"",(D23*0.2+F23*0.15+H23*0.15+J23*0.1+L23*0.1)/(IF(D23&lt;&gt;"",0.2,0)+IF(F23&lt;&gt;"",0.15,0)+IF(H23&lt;&gt;"",0.15,0)+IF(J23&lt;&gt;"",0.1,0)+IF(L23&lt;&gt;"",0.1,0)))</f>
        <v>3.07142857142857</v>
      </c>
      <c r="O23" s="117" t="n">
        <f aca="false">IF(COUNT(D23,F23,H23,J23,L23)=0,"",D23*0.2+F23*0.15+H23*0.15+J23*0.1+L23*0.1)</f>
        <v>2.15</v>
      </c>
      <c r="P23" s="115"/>
      <c r="Q23" s="115"/>
      <c r="R23" s="115"/>
      <c r="S23" s="115"/>
      <c r="T23" s="115"/>
      <c r="U23" s="115"/>
      <c r="V23" s="115"/>
      <c r="W23" s="115"/>
      <c r="X23" s="117" t="str">
        <f aca="false">IF(COUNT(P23,R23,T23,V23)=0,"",P23*0.08+R23*0.06+T23*0.03+V23*0.08)</f>
        <v/>
      </c>
      <c r="Y23" s="115"/>
      <c r="Z23" s="115"/>
      <c r="AA23" s="115"/>
      <c r="AB23" s="115"/>
      <c r="AC23" s="115"/>
      <c r="AD23" s="115"/>
      <c r="AE23" s="117" t="str">
        <f aca="false">IF(COUNT(Y23,AA23,AC23)=0,"",Y23*0.02+AA23*0.02+AC23*0.01)</f>
        <v/>
      </c>
      <c r="AF23" s="97" t="str">
        <f aca="false">IF(OR(COUNT(D23,F23,H23,J23,L23)&lt;5,COUNT(P23,R23,T23,V23)&lt;4,COUNT(Y23,AA23,AC23)&lt;3),"",(O23+X23+AE23)*20)</f>
        <v/>
      </c>
      <c r="AG23" s="93" t="str">
        <f aca="false">IF(AF23="","",IF(AF23&gt;=80,"STRONG BUY",IF(AF23&gt;=65,"BUY",IF(AF23&gt;=50,"WATCH LIST",IF(AF23&gt;=35,"AVOID","PASS")))))</f>
        <v/>
      </c>
      <c r="AH23" s="93" t="str">
        <f aca="false">IF(N23="","",IF(N23&lt;3,"FAIL","OK"))</f>
        <v>OK</v>
      </c>
      <c r="AI23" s="93" t="str">
        <f aca="false">IF(COUNT(D23:L23)=0,"",IF(COUNTIF(D23:L23,1)&gt;0,"REVIEW","OK"))</f>
        <v>REVIEW</v>
      </c>
      <c r="AJ23" s="93" t="str">
        <f aca="false">IF(COUNT(D23:L23)=0,"",IF(COUNTIF(D23:L23,"&lt;=2")&gt;=2,"AVOID","OK"))</f>
        <v>AVOID</v>
      </c>
      <c r="AK23" s="93" t="str">
        <f aca="false">IF(COUNTA(E23:M23)=0,"",IF(COUNTIF(E23:M23,"L")&gt;=2,"CAP AT BUY","OK"))</f>
        <v>OK</v>
      </c>
      <c r="AL23" s="119" t="s">
        <v>358</v>
      </c>
      <c r="AM23" s="119" t="s">
        <v>361</v>
      </c>
      <c r="AN23" s="115"/>
      <c r="AO23" s="93"/>
      <c r="AP23" s="115" t="str">
        <f aca="false">IF(OR(AN23="",AO23=""),"",IF(AN23&gt;AO23,"OK","LOW CONF"))</f>
        <v/>
      </c>
      <c r="AQ23" s="115"/>
      <c r="AR23" s="93"/>
      <c r="AS23" s="123" t="str">
        <f aca="false">IF(OR(AQ23="",AR23=""),"",IF(AQ23&lt;AR23,"Decreased",IF(AQ23&gt;AR23,"Increased","Flat")))</f>
        <v/>
      </c>
    </row>
    <row r="24" customFormat="false" ht="15" hidden="true" customHeight="true" outlineLevel="1" collapsed="false">
      <c r="A24" s="62" t="s">
        <v>249</v>
      </c>
      <c r="B24" s="113" t="s">
        <v>362</v>
      </c>
      <c r="C24" s="114" t="n">
        <v>46245</v>
      </c>
      <c r="D24" s="115" t="n">
        <v>2</v>
      </c>
      <c r="E24" s="115" t="s">
        <v>330</v>
      </c>
      <c r="F24" s="115" t="n">
        <v>2</v>
      </c>
      <c r="G24" s="115" t="s">
        <v>328</v>
      </c>
      <c r="H24" s="115" t="n">
        <v>3</v>
      </c>
      <c r="I24" s="115" t="s">
        <v>328</v>
      </c>
      <c r="J24" s="115" t="n">
        <v>2</v>
      </c>
      <c r="K24" s="115" t="s">
        <v>328</v>
      </c>
      <c r="L24" s="115" t="n">
        <v>1</v>
      </c>
      <c r="M24" s="115" t="s">
        <v>329</v>
      </c>
      <c r="N24" s="116" t="n">
        <f aca="false">IF(COUNT(D24,F24,H24,J24,L24)=0,"",(D24*0.2+F24*0.15+H24*0.15+J24*0.1+L24*0.1)/(IF(D24&lt;&gt;"",0.2,0)+IF(F24&lt;&gt;"",0.15,0)+IF(H24&lt;&gt;"",0.15,0)+IF(J24&lt;&gt;"",0.1,0)+IF(L24&lt;&gt;"",0.1,0)))</f>
        <v>2.07142857142857</v>
      </c>
      <c r="O24" s="117" t="n">
        <f aca="false">IF(COUNT(D24,F24,H24,J24,L24)=0,"",D24*0.2+F24*0.15+H24*0.15+J24*0.1+L24*0.1)</f>
        <v>1.45</v>
      </c>
      <c r="P24" s="115"/>
      <c r="Q24" s="115"/>
      <c r="R24" s="115"/>
      <c r="S24" s="115"/>
      <c r="T24" s="115"/>
      <c r="U24" s="115"/>
      <c r="V24" s="115"/>
      <c r="W24" s="115"/>
      <c r="X24" s="117" t="str">
        <f aca="false">IF(COUNT(P24,R24,T24,V24)=0,"",P24*0.08+R24*0.06+T24*0.03+V24*0.08)</f>
        <v/>
      </c>
      <c r="Y24" s="115"/>
      <c r="Z24" s="115"/>
      <c r="AA24" s="115"/>
      <c r="AB24" s="115"/>
      <c r="AC24" s="115"/>
      <c r="AD24" s="115"/>
      <c r="AE24" s="117" t="str">
        <f aca="false">IF(COUNT(Y24,AA24,AC24)=0,"",Y24*0.02+AA24*0.02+AC24*0.01)</f>
        <v/>
      </c>
      <c r="AF24" s="97" t="str">
        <f aca="false">IF(OR(COUNT(D24,F24,H24,J24,L24)&lt;5,COUNT(P24,R24,T24,V24)&lt;4,COUNT(Y24,AA24,AC24)&lt;3),"",(O24+X24+AE24)*20)</f>
        <v/>
      </c>
      <c r="AG24" s="93" t="str">
        <f aca="false">IF(AF24="","",IF(AF24&gt;=80,"STRONG BUY",IF(AF24&gt;=65,"BUY",IF(AF24&gt;=50,"WATCH LIST",IF(AF24&gt;=35,"AVOID","PASS")))))</f>
        <v/>
      </c>
      <c r="AH24" s="93" t="str">
        <f aca="false">IF(N24="","",IF(N24&lt;3,"FAIL","OK"))</f>
        <v>FAIL</v>
      </c>
      <c r="AI24" s="93" t="str">
        <f aca="false">IF(COUNT(D24:L24)=0,"",IF(COUNTIF(D24:L24,1)&gt;0,"REVIEW","OK"))</f>
        <v>REVIEW</v>
      </c>
      <c r="AJ24" s="93" t="str">
        <f aca="false">IF(COUNT(D24:L24)=0,"",IF(COUNTIF(D24:L24,"&lt;=2")&gt;=2,"AVOID","OK"))</f>
        <v>AVOID</v>
      </c>
      <c r="AK24" s="93" t="str">
        <f aca="false">IF(COUNTA(E24:M24)=0,"",IF(COUNTIF(E24:M24,"L")&gt;=2,"CAP AT BUY","OK"))</f>
        <v>OK</v>
      </c>
      <c r="AL24" s="119" t="s">
        <v>358</v>
      </c>
      <c r="AM24" s="119" t="s">
        <v>363</v>
      </c>
      <c r="AN24" s="115"/>
      <c r="AO24" s="93"/>
      <c r="AP24" s="115" t="str">
        <f aca="false">IF(OR(AN24="",AO24=""),"",IF(AN24&gt;AO24,"OK","LOW CONF"))</f>
        <v/>
      </c>
      <c r="AQ24" s="115"/>
      <c r="AR24" s="93"/>
      <c r="AS24" s="123" t="str">
        <f aca="false">IF(OR(AQ24="",AR24=""),"",IF(AQ24&lt;AR24,"Decreased",IF(AQ24&gt;AR24,"Increased","Flat")))</f>
        <v/>
      </c>
    </row>
    <row r="25" customFormat="false" ht="15" hidden="true" customHeight="true" outlineLevel="1" collapsed="false">
      <c r="A25" s="62" t="s">
        <v>258</v>
      </c>
      <c r="B25" s="113" t="s">
        <v>364</v>
      </c>
      <c r="C25" s="114" t="n">
        <v>46245</v>
      </c>
      <c r="D25" s="115" t="n">
        <v>3</v>
      </c>
      <c r="E25" s="115" t="s">
        <v>328</v>
      </c>
      <c r="F25" s="115" t="n">
        <v>2</v>
      </c>
      <c r="G25" s="115" t="s">
        <v>329</v>
      </c>
      <c r="H25" s="115" t="n">
        <v>3</v>
      </c>
      <c r="I25" s="115" t="s">
        <v>328</v>
      </c>
      <c r="J25" s="115" t="n">
        <v>3</v>
      </c>
      <c r="K25" s="115" t="s">
        <v>328</v>
      </c>
      <c r="L25" s="115" t="n">
        <v>2</v>
      </c>
      <c r="M25" s="115" t="s">
        <v>329</v>
      </c>
      <c r="N25" s="116" t="n">
        <f aca="false">IF(COUNT(D25,F25,H25,J25,L25)=0,"",(D25*0.2+F25*0.15+H25*0.15+J25*0.1+L25*0.1)/(IF(D25&lt;&gt;"",0.2,0)+IF(F25&lt;&gt;"",0.15,0)+IF(H25&lt;&gt;"",0.15,0)+IF(J25&lt;&gt;"",0.1,0)+IF(L25&lt;&gt;"",0.1,0)))</f>
        <v>2.64285714285714</v>
      </c>
      <c r="O25" s="117" t="n">
        <f aca="false">IF(COUNT(D25,F25,H25,J25,L25)=0,"",D25*0.2+F25*0.15+H25*0.15+J25*0.1+L25*0.1)</f>
        <v>1.85</v>
      </c>
      <c r="P25" s="115"/>
      <c r="Q25" s="115"/>
      <c r="R25" s="115"/>
      <c r="S25" s="115"/>
      <c r="T25" s="115"/>
      <c r="U25" s="115"/>
      <c r="V25" s="115"/>
      <c r="W25" s="115"/>
      <c r="X25" s="117" t="str">
        <f aca="false">IF(COUNT(P25,R25,T25,V25)=0,"",P25*0.08+R25*0.06+T25*0.03+V25*0.08)</f>
        <v/>
      </c>
      <c r="Y25" s="115"/>
      <c r="Z25" s="115"/>
      <c r="AA25" s="115"/>
      <c r="AB25" s="115"/>
      <c r="AC25" s="115"/>
      <c r="AD25" s="115"/>
      <c r="AE25" s="117" t="str">
        <f aca="false">IF(COUNT(Y25,AA25,AC25)=0,"",Y25*0.02+AA25*0.02+AC25*0.01)</f>
        <v/>
      </c>
      <c r="AF25" s="97" t="str">
        <f aca="false">IF(OR(COUNT(D25,F25,H25,J25,L25)&lt;5,COUNT(P25,R25,T25,V25)&lt;4,COUNT(Y25,AA25,AC25)&lt;3),"",(O25+X25+AE25)*20)</f>
        <v/>
      </c>
      <c r="AG25" s="93" t="str">
        <f aca="false">IF(AF25="","",IF(AF25&gt;=80,"STRONG BUY",IF(AF25&gt;=65,"BUY",IF(AF25&gt;=50,"WATCH LIST",IF(AF25&gt;=35,"AVOID","PASS")))))</f>
        <v/>
      </c>
      <c r="AH25" s="93" t="str">
        <f aca="false">IF(N25="","",IF(N25&lt;3,"FAIL","OK"))</f>
        <v>FAIL</v>
      </c>
      <c r="AI25" s="93" t="str">
        <f aca="false">IF(COUNT(D25:L25)=0,"",IF(COUNTIF(D25:L25,1)&gt;0,"REVIEW","OK"))</f>
        <v>OK</v>
      </c>
      <c r="AJ25" s="93" t="str">
        <f aca="false">IF(COUNT(D25:L25)=0,"",IF(COUNTIF(D25:L25,"&lt;=2")&gt;=2,"AVOID","OK"))</f>
        <v>AVOID</v>
      </c>
      <c r="AK25" s="93" t="str">
        <f aca="false">IF(COUNTA(E25:M25)=0,"",IF(COUNTIF(E25:M25,"L")&gt;=2,"CAP AT BUY","OK"))</f>
        <v>OK</v>
      </c>
      <c r="AL25" s="119" t="s">
        <v>358</v>
      </c>
      <c r="AM25" s="119" t="s">
        <v>363</v>
      </c>
      <c r="AN25" s="115"/>
      <c r="AO25" s="93"/>
      <c r="AP25" s="115" t="str">
        <f aca="false">IF(OR(AN25="",AO25=""),"",IF(AN25&gt;AO25,"OK","LOW CONF"))</f>
        <v/>
      </c>
      <c r="AQ25" s="115"/>
      <c r="AR25" s="93"/>
      <c r="AS25" s="123" t="str">
        <f aca="false">IF(OR(AQ25="",AR25=""),"",IF(AQ25&lt;AR25,"Decreased",IF(AQ25&gt;AR25,"Increased","Flat")))</f>
        <v/>
      </c>
    </row>
    <row r="26" customFormat="false" ht="15" hidden="true" customHeight="true" outlineLevel="1" collapsed="false">
      <c r="A26" s="62" t="s">
        <v>228</v>
      </c>
      <c r="B26" s="113" t="s">
        <v>365</v>
      </c>
      <c r="C26" s="114" t="n">
        <v>46245</v>
      </c>
      <c r="D26" s="115" t="n">
        <v>2</v>
      </c>
      <c r="E26" s="115" t="s">
        <v>328</v>
      </c>
      <c r="F26" s="115" t="n">
        <v>1</v>
      </c>
      <c r="G26" s="115" t="s">
        <v>329</v>
      </c>
      <c r="H26" s="115" t="n">
        <v>2</v>
      </c>
      <c r="I26" s="115" t="s">
        <v>328</v>
      </c>
      <c r="J26" s="115" t="n">
        <v>2</v>
      </c>
      <c r="K26" s="115" t="s">
        <v>328</v>
      </c>
      <c r="L26" s="115" t="n">
        <v>2</v>
      </c>
      <c r="M26" s="115" t="s">
        <v>328</v>
      </c>
      <c r="N26" s="116" t="n">
        <f aca="false">IF(COUNT(D26,F26,H26,J26,L26)=0,"",(D26*0.2+F26*0.15+H26*0.15+J26*0.1+L26*0.1)/(IF(D26&lt;&gt;"",0.2,0)+IF(F26&lt;&gt;"",0.15,0)+IF(H26&lt;&gt;"",0.15,0)+IF(J26&lt;&gt;"",0.1,0)+IF(L26&lt;&gt;"",0.1,0)))</f>
        <v>1.78571428571429</v>
      </c>
      <c r="O26" s="117" t="n">
        <f aca="false">IF(COUNT(D26,F26,H26,J26,L26)=0,"",D26*0.2+F26*0.15+H26*0.15+J26*0.1+L26*0.1)</f>
        <v>1.25</v>
      </c>
      <c r="P26" s="115"/>
      <c r="Q26" s="115"/>
      <c r="R26" s="115"/>
      <c r="S26" s="115"/>
      <c r="T26" s="115"/>
      <c r="U26" s="115"/>
      <c r="V26" s="115"/>
      <c r="W26" s="115"/>
      <c r="X26" s="117" t="str">
        <f aca="false">IF(COUNT(P26,R26,T26,V26)=0,"",P26*0.08+R26*0.06+T26*0.03+V26*0.08)</f>
        <v/>
      </c>
      <c r="Y26" s="115"/>
      <c r="Z26" s="115"/>
      <c r="AA26" s="115"/>
      <c r="AB26" s="115"/>
      <c r="AC26" s="115"/>
      <c r="AD26" s="115"/>
      <c r="AE26" s="117" t="str">
        <f aca="false">IF(COUNT(Y26,AA26,AC26)=0,"",Y26*0.02+AA26*0.02+AC26*0.01)</f>
        <v/>
      </c>
      <c r="AF26" s="97" t="str">
        <f aca="false">IF(OR(COUNT(D26,F26,H26,J26,L26)&lt;5,COUNT(P26,R26,T26,V26)&lt;4,COUNT(Y26,AA26,AC26)&lt;3),"",(O26+X26+AE26)*20)</f>
        <v/>
      </c>
      <c r="AG26" s="93" t="str">
        <f aca="false">IF(AF26="","",IF(AF26&gt;=80,"STRONG BUY",IF(AF26&gt;=65,"BUY",IF(AF26&gt;=50,"WATCH LIST",IF(AF26&gt;=35,"AVOID","PASS")))))</f>
        <v/>
      </c>
      <c r="AH26" s="93" t="str">
        <f aca="false">IF(N26="","",IF(N26&lt;3,"FAIL","OK"))</f>
        <v>FAIL</v>
      </c>
      <c r="AI26" s="93" t="str">
        <f aca="false">IF(COUNT(D26:L26)=0,"",IF(COUNTIF(D26:L26,1)&gt;0,"REVIEW","OK"))</f>
        <v>REVIEW</v>
      </c>
      <c r="AJ26" s="93" t="str">
        <f aca="false">IF(COUNT(D26:L26)=0,"",IF(COUNTIF(D26:L26,"&lt;=2")&gt;=2,"AVOID","OK"))</f>
        <v>AVOID</v>
      </c>
      <c r="AK26" s="93" t="str">
        <f aca="false">IF(COUNTA(E26:M26)=0,"",IF(COUNTIF(E26:M26,"L")&gt;=2,"CAP AT BUY","OK"))</f>
        <v>OK</v>
      </c>
      <c r="AL26" s="119" t="s">
        <v>366</v>
      </c>
      <c r="AM26" s="119" t="s">
        <v>367</v>
      </c>
      <c r="AN26" s="115"/>
      <c r="AO26" s="93"/>
      <c r="AP26" s="115" t="str">
        <f aca="false">IF(OR(AN26="",AO26=""),"",IF(AN26&gt;AO26,"OK","LOW CONF"))</f>
        <v/>
      </c>
      <c r="AQ26" s="115"/>
      <c r="AR26" s="93"/>
      <c r="AS26" s="123" t="str">
        <f aca="false">IF(OR(AQ26="",AR26=""),"",IF(AQ26&lt;AR26,"Decreased",IF(AQ26&gt;AR26,"Increased","Flat")))</f>
        <v/>
      </c>
    </row>
    <row r="27" customFormat="false" ht="15" hidden="true" customHeight="true" outlineLevel="1" collapsed="false">
      <c r="A27" s="62" t="s">
        <v>229</v>
      </c>
      <c r="B27" s="113" t="s">
        <v>368</v>
      </c>
      <c r="C27" s="114" t="n">
        <v>46245</v>
      </c>
      <c r="D27" s="115" t="n">
        <v>2</v>
      </c>
      <c r="E27" s="115" t="s">
        <v>329</v>
      </c>
      <c r="F27" s="115" t="n">
        <v>2</v>
      </c>
      <c r="G27" s="115" t="s">
        <v>328</v>
      </c>
      <c r="H27" s="115" t="n">
        <v>2</v>
      </c>
      <c r="I27" s="115" t="s">
        <v>328</v>
      </c>
      <c r="J27" s="115" t="n">
        <v>2</v>
      </c>
      <c r="K27" s="115" t="s">
        <v>328</v>
      </c>
      <c r="L27" s="115" t="n">
        <v>1</v>
      </c>
      <c r="M27" s="115" t="s">
        <v>329</v>
      </c>
      <c r="N27" s="116" t="n">
        <f aca="false">IF(COUNT(D27,F27,H27,J27,L27)=0,"",(D27*0.2+F27*0.15+H27*0.15+J27*0.1+L27*0.1)/(IF(D27&lt;&gt;"",0.2,0)+IF(F27&lt;&gt;"",0.15,0)+IF(H27&lt;&gt;"",0.15,0)+IF(J27&lt;&gt;"",0.1,0)+IF(L27&lt;&gt;"",0.1,0)))</f>
        <v>1.85714285714286</v>
      </c>
      <c r="O27" s="117" t="n">
        <f aca="false">IF(COUNT(D27,F27,H27,J27,L27)=0,"",D27*0.2+F27*0.15+H27*0.15+J27*0.1+L27*0.1)</f>
        <v>1.3</v>
      </c>
      <c r="P27" s="115"/>
      <c r="Q27" s="115"/>
      <c r="R27" s="115"/>
      <c r="S27" s="115"/>
      <c r="T27" s="115"/>
      <c r="U27" s="115"/>
      <c r="V27" s="115"/>
      <c r="W27" s="115"/>
      <c r="X27" s="117" t="str">
        <f aca="false">IF(COUNT(P27,R27,T27,V27)=0,"",P27*0.08+R27*0.06+T27*0.03+V27*0.08)</f>
        <v/>
      </c>
      <c r="Y27" s="115"/>
      <c r="Z27" s="115"/>
      <c r="AA27" s="115"/>
      <c r="AB27" s="115"/>
      <c r="AC27" s="115"/>
      <c r="AD27" s="115"/>
      <c r="AE27" s="117" t="str">
        <f aca="false">IF(COUNT(Y27,AA27,AC27)=0,"",Y27*0.02+AA27*0.02+AC27*0.01)</f>
        <v/>
      </c>
      <c r="AF27" s="97" t="str">
        <f aca="false">IF(OR(COUNT(D27,F27,H27,J27,L27)&lt;5,COUNT(P27,R27,T27,V27)&lt;4,COUNT(Y27,AA27,AC27)&lt;3),"",(O27+X27+AE27)*20)</f>
        <v/>
      </c>
      <c r="AG27" s="93" t="str">
        <f aca="false">IF(AF27="","",IF(AF27&gt;=80,"STRONG BUY",IF(AF27&gt;=65,"BUY",IF(AF27&gt;=50,"WATCH LIST",IF(AF27&gt;=35,"AVOID","PASS")))))</f>
        <v/>
      </c>
      <c r="AH27" s="93" t="str">
        <f aca="false">IF(N27="","",IF(N27&lt;3,"FAIL","OK"))</f>
        <v>FAIL</v>
      </c>
      <c r="AI27" s="93" t="str">
        <f aca="false">IF(COUNT(D27:L27)=0,"",IF(COUNTIF(D27:L27,1)&gt;0,"REVIEW","OK"))</f>
        <v>REVIEW</v>
      </c>
      <c r="AJ27" s="93" t="str">
        <f aca="false">IF(COUNT(D27:L27)=0,"",IF(COUNTIF(D27:L27,"&lt;=2")&gt;=2,"AVOID","OK"))</f>
        <v>AVOID</v>
      </c>
      <c r="AK27" s="93" t="str">
        <f aca="false">IF(COUNTA(E27:M27)=0,"",IF(COUNTIF(E27:M27,"L")&gt;=2,"CAP AT BUY","OK"))</f>
        <v>OK</v>
      </c>
      <c r="AL27" s="119" t="s">
        <v>366</v>
      </c>
      <c r="AM27" s="119" t="s">
        <v>369</v>
      </c>
      <c r="AN27" s="115"/>
      <c r="AO27" s="93"/>
      <c r="AP27" s="115" t="str">
        <f aca="false">IF(OR(AN27="",AO27=""),"",IF(AN27&gt;AO27,"OK","LOW CONF"))</f>
        <v/>
      </c>
      <c r="AQ27" s="115"/>
      <c r="AR27" s="93"/>
      <c r="AS27" s="123" t="str">
        <f aca="false">IF(OR(AQ27="",AR27=""),"",IF(AQ27&lt;AR27,"Decreased",IF(AQ27&gt;AR27,"Increased","Flat")))</f>
        <v/>
      </c>
    </row>
    <row r="28" customFormat="false" ht="15" hidden="false" customHeight="true" outlineLevel="0" collapsed="false">
      <c r="A28" s="62" t="s">
        <v>251</v>
      </c>
      <c r="B28" s="113" t="s">
        <v>370</v>
      </c>
      <c r="C28" s="124" t="n">
        <v>46276</v>
      </c>
      <c r="D28" s="115" t="n">
        <v>2</v>
      </c>
      <c r="E28" s="115" t="s">
        <v>328</v>
      </c>
      <c r="F28" s="115" t="n">
        <v>2</v>
      </c>
      <c r="G28" s="115" t="s">
        <v>328</v>
      </c>
      <c r="H28" s="115" t="n">
        <v>5</v>
      </c>
      <c r="I28" s="115" t="s">
        <v>329</v>
      </c>
      <c r="J28" s="115" t="n">
        <v>5</v>
      </c>
      <c r="K28" s="115" t="s">
        <v>329</v>
      </c>
      <c r="L28" s="115" t="n">
        <v>2</v>
      </c>
      <c r="M28" s="115" t="s">
        <v>328</v>
      </c>
      <c r="N28" s="116" t="n">
        <f aca="false">IF(COUNT(D28,F28,H28,J28,L28)=0,"",(D28*0.2+F28*0.15+H28*0.15+J28*0.1+L28*0.1)/(IF(D28&lt;&gt;"",0.2,0)+IF(F28&lt;&gt;"",0.15,0)+IF(H28&lt;&gt;"",0.15,0)+IF(J28&lt;&gt;"",0.1,0)+IF(L28&lt;&gt;"",0.1,0)))</f>
        <v>3.07142857142857</v>
      </c>
      <c r="O28" s="93" t="n">
        <f aca="false">IF(COUNT(D28,F28,H28,J28,L28)=0,"",D28*0.2+F28*0.15+H28*0.15+J28*0.1+L28*0.1)</f>
        <v>2.15</v>
      </c>
      <c r="P28" s="115"/>
      <c r="Q28" s="115"/>
      <c r="R28" s="115"/>
      <c r="S28" s="115"/>
      <c r="T28" s="115"/>
      <c r="U28" s="115"/>
      <c r="V28" s="115"/>
      <c r="W28" s="115"/>
      <c r="X28" s="65" t="str">
        <f aca="false">IF(COUNT(P28,R28,T28,V28)=0,"",P28*0.08+R28*0.06+T28*0.03+V28*0.08)</f>
        <v/>
      </c>
      <c r="Y28" s="115"/>
      <c r="Z28" s="115"/>
      <c r="AA28" s="115"/>
      <c r="AB28" s="115"/>
      <c r="AC28" s="115"/>
      <c r="AD28" s="115"/>
      <c r="AE28" s="65" t="str">
        <f aca="false">IF(COUNT(Y28,AA28,AC28)=0,"",Y28*0.02+AA28*0.02+AC28*0.01)</f>
        <v/>
      </c>
      <c r="AF28" s="93" t="str">
        <f aca="false">IF(OR(COUNT(D28,F28,H28,J28,L28)&lt;5,COUNT(P28,R28,T28,V28)&lt;4,COUNT(Y28,AA28,AC28)&lt;3),"",(O28+X28+AE28)*20)</f>
        <v/>
      </c>
      <c r="AG28" s="93" t="str">
        <f aca="false">IF(AF28="","",IF(AF28&gt;=80,"STRONG BUY",IF(AF28&gt;=65,"BUY",IF(AF28&gt;=50,"WATCH LIST",IF(AF28&gt;=35,"AVOID","PASS")))))</f>
        <v/>
      </c>
      <c r="AH28" s="93" t="str">
        <f aca="false">IF(N28="","",IF(N28&lt;3,"FAIL","OK"))</f>
        <v>OK</v>
      </c>
      <c r="AI28" s="93" t="str">
        <f aca="false">IF(COUNT(D28:L28)=0,"",IF(COUNTIF(D28:L28,1)&gt;0,"REVIEW","OK"))</f>
        <v>OK</v>
      </c>
      <c r="AJ28" s="93" t="str">
        <f aca="false">IF(COUNT(D28:L28)=0,"",IF(COUNTIF(D28:L28,"&lt;=2")&gt;=2,"AVOID","OK"))</f>
        <v>AVOID</v>
      </c>
      <c r="AK28" s="93" t="str">
        <f aca="false">IF(COUNTA(E28:M28)=0,"",IF(COUNTIF(E28:M28,"L")&gt;=2,"CAP AT BUY","OK"))</f>
        <v>OK</v>
      </c>
      <c r="AL28" s="119" t="s">
        <v>366</v>
      </c>
      <c r="AM28" s="119" t="s">
        <v>371</v>
      </c>
      <c r="AN28" s="115"/>
      <c r="AO28" s="93"/>
      <c r="AP28" s="115" t="str">
        <f aca="false">IF(OR(AN28="",AO28=""),"",IF(AN28&gt;AO28,"OK","LOW CONF"))</f>
        <v/>
      </c>
      <c r="AQ28" s="115"/>
      <c r="AR28" s="93"/>
      <c r="AS28" s="125" t="str">
        <f aca="false">IF(OR(AQ28="",AR28=""),"",IF(AQ28&lt;AR28,"Decreased",IF(AQ28&gt;AR28,"Increased","Flat")))</f>
        <v/>
      </c>
    </row>
    <row r="29" customFormat="false" ht="15" hidden="true" customHeight="true" outlineLevel="1" collapsed="false">
      <c r="A29" s="62" t="s">
        <v>234</v>
      </c>
      <c r="B29" s="113" t="s">
        <v>372</v>
      </c>
      <c r="C29" s="124" t="n">
        <v>46245</v>
      </c>
      <c r="D29" s="115" t="n">
        <v>2</v>
      </c>
      <c r="E29" s="115" t="s">
        <v>328</v>
      </c>
      <c r="F29" s="115" t="n">
        <v>2</v>
      </c>
      <c r="G29" s="115" t="s">
        <v>328</v>
      </c>
      <c r="H29" s="115" t="n">
        <v>3</v>
      </c>
      <c r="I29" s="115" t="s">
        <v>328</v>
      </c>
      <c r="J29" s="115" t="n">
        <v>3</v>
      </c>
      <c r="K29" s="115" t="s">
        <v>328</v>
      </c>
      <c r="L29" s="115" t="n">
        <v>2</v>
      </c>
      <c r="M29" s="115" t="s">
        <v>329</v>
      </c>
      <c r="N29" s="116" t="n">
        <f aca="false">IF(COUNT(D29,F29,H29,J29,L29)=0,"",(D29*0.2+F29*0.15+H29*0.15+J29*0.1+L29*0.1)/(IF(D29&lt;&gt;"",0.2,0)+IF(F29&lt;&gt;"",0.15,0)+IF(H29&lt;&gt;"",0.15,0)+IF(J29&lt;&gt;"",0.1,0)+IF(L29&lt;&gt;"",0.1,0)))</f>
        <v>2.35714285714286</v>
      </c>
      <c r="O29" s="93" t="n">
        <f aca="false">IF(COUNT(D29,F29,H29,J29,L29)=0,"",D29*0.2+F29*0.15+H29*0.15+J29*0.1+L29*0.1)</f>
        <v>1.65</v>
      </c>
      <c r="P29" s="115"/>
      <c r="Q29" s="115"/>
      <c r="R29" s="115"/>
      <c r="S29" s="115"/>
      <c r="T29" s="115"/>
      <c r="U29" s="115"/>
      <c r="V29" s="115"/>
      <c r="W29" s="115"/>
      <c r="X29" s="65" t="str">
        <f aca="false">IF(COUNT(P29,R29,T29,V29)=0,"",P29*0.08+R29*0.06+T29*0.03+V29*0.08)</f>
        <v/>
      </c>
      <c r="Y29" s="115"/>
      <c r="Z29" s="115"/>
      <c r="AA29" s="115"/>
      <c r="AB29" s="115"/>
      <c r="AC29" s="115"/>
      <c r="AD29" s="115"/>
      <c r="AE29" s="65" t="str">
        <f aca="false">IF(COUNT(Y29,AA29,AC29)=0,"",Y29*0.02+AA29*0.02+AC29*0.01)</f>
        <v/>
      </c>
      <c r="AF29" s="93" t="str">
        <f aca="false">IF(OR(COUNT(D29,F29,H29,J29,L29)&lt;5,COUNT(P29,R29,T29,V29)&lt;4,COUNT(Y29,AA29,AC29)&lt;3),"",(O29+X29+AE29)*20)</f>
        <v/>
      </c>
      <c r="AG29" s="93" t="str">
        <f aca="false">IF(AF29="","",IF(AF29&gt;=80,"STRONG BUY",IF(AF29&gt;=65,"BUY",IF(AF29&gt;=50,"WATCH LIST",IF(AF29&gt;=35,"AVOID","PASS")))))</f>
        <v/>
      </c>
      <c r="AH29" s="93" t="str">
        <f aca="false">IF(N29="","",IF(N29&lt;3,"FAIL","OK"))</f>
        <v>FAIL</v>
      </c>
      <c r="AI29" s="93" t="str">
        <f aca="false">IF(COUNT(D29:L29)=0,"",IF(COUNTIF(D29:L29,1)&gt;0,"REVIEW","OK"))</f>
        <v>OK</v>
      </c>
      <c r="AJ29" s="93" t="str">
        <f aca="false">IF(COUNT(D29:L29)=0,"",IF(COUNTIF(D29:L29,"&lt;=2")&gt;=2,"AVOID","OK"))</f>
        <v>AVOID</v>
      </c>
      <c r="AK29" s="93" t="str">
        <f aca="false">IF(COUNTA(E29:M29)=0,"",IF(COUNTIF(E29:M29,"L")&gt;=2,"CAP AT BUY","OK"))</f>
        <v>OK</v>
      </c>
      <c r="AL29" s="119" t="s">
        <v>339</v>
      </c>
      <c r="AM29" s="119" t="s">
        <v>373</v>
      </c>
      <c r="AN29" s="115"/>
      <c r="AO29" s="93"/>
      <c r="AP29" s="115" t="str">
        <f aca="false">IF(OR(AN29="",AO29=""),"",IF(AN29&gt;AO29,"OK","LOW CONF"))</f>
        <v/>
      </c>
      <c r="AQ29" s="115"/>
      <c r="AR29" s="93"/>
      <c r="AS29" s="125" t="str">
        <f aca="false">IF(OR(AQ29="",AR29=""),"",IF(AQ29&lt;AR29,"Decreased",IF(AQ29&gt;AR29,"Increased","Flat")))</f>
        <v/>
      </c>
    </row>
    <row r="30" customFormat="false" ht="15" hidden="true" customHeight="true" outlineLevel="1" collapsed="false">
      <c r="A30" s="62" t="s">
        <v>238</v>
      </c>
      <c r="B30" s="113" t="s">
        <v>374</v>
      </c>
      <c r="C30" s="124" t="n">
        <v>46245</v>
      </c>
      <c r="D30" s="115" t="n">
        <v>2</v>
      </c>
      <c r="E30" s="115" t="s">
        <v>328</v>
      </c>
      <c r="F30" s="115" t="n">
        <v>1</v>
      </c>
      <c r="G30" s="115" t="s">
        <v>329</v>
      </c>
      <c r="H30" s="115" t="n">
        <v>3</v>
      </c>
      <c r="I30" s="115" t="s">
        <v>328</v>
      </c>
      <c r="J30" s="115" t="n">
        <v>2</v>
      </c>
      <c r="K30" s="115" t="s">
        <v>328</v>
      </c>
      <c r="L30" s="115" t="n">
        <v>3</v>
      </c>
      <c r="M30" s="115" t="s">
        <v>328</v>
      </c>
      <c r="N30" s="116" t="n">
        <f aca="false">IF(COUNT(D30,F30,H30,J30,L30)=0,"",(D30*0.2+F30*0.15+H30*0.15+J30*0.1+L30*0.1)/(IF(D30&lt;&gt;"",0.2,0)+IF(F30&lt;&gt;"",0.15,0)+IF(H30&lt;&gt;"",0.15,0)+IF(J30&lt;&gt;"",0.1,0)+IF(L30&lt;&gt;"",0.1,0)))</f>
        <v>2.14285714285714</v>
      </c>
      <c r="O30" s="93" t="n">
        <f aca="false">IF(COUNT(D30,F30,H30,J30,L30)=0,"",D30*0.2+F30*0.15+H30*0.15+J30*0.1+L30*0.1)</f>
        <v>1.5</v>
      </c>
      <c r="P30" s="115"/>
      <c r="Q30" s="115"/>
      <c r="R30" s="115"/>
      <c r="S30" s="115"/>
      <c r="T30" s="115"/>
      <c r="U30" s="115"/>
      <c r="V30" s="115"/>
      <c r="W30" s="115"/>
      <c r="X30" s="65" t="str">
        <f aca="false">IF(COUNT(P30,R30,T30,V30)=0,"",P30*0.08+R30*0.06+T30*0.03+V30*0.08)</f>
        <v/>
      </c>
      <c r="Y30" s="115"/>
      <c r="Z30" s="115"/>
      <c r="AA30" s="115"/>
      <c r="AB30" s="115"/>
      <c r="AC30" s="115"/>
      <c r="AD30" s="115"/>
      <c r="AE30" s="65" t="str">
        <f aca="false">IF(COUNT(Y30,AA30,AC30)=0,"",Y30*0.02+AA30*0.02+AC30*0.01)</f>
        <v/>
      </c>
      <c r="AF30" s="93" t="str">
        <f aca="false">IF(OR(COUNT(D30,F30,H30,J30,L30)&lt;5,COUNT(P30,R30,T30,V30)&lt;4,COUNT(Y30,AA30,AC30)&lt;3),"",(O30+X30+AE30)*20)</f>
        <v/>
      </c>
      <c r="AG30" s="93" t="str">
        <f aca="false">IF(AF30="","",IF(AF30&gt;=80,"STRONG BUY",IF(AF30&gt;=65,"BUY",IF(AF30&gt;=50,"WATCH LIST",IF(AF30&gt;=35,"AVOID","PASS")))))</f>
        <v/>
      </c>
      <c r="AH30" s="93" t="str">
        <f aca="false">IF(N30="","",IF(N30&lt;3,"FAIL","OK"))</f>
        <v>FAIL</v>
      </c>
      <c r="AI30" s="93" t="str">
        <f aca="false">IF(COUNT(D30:L30)=0,"",IF(COUNTIF(D30:L30,1)&gt;0,"REVIEW","OK"))</f>
        <v>REVIEW</v>
      </c>
      <c r="AJ30" s="93" t="str">
        <f aca="false">IF(COUNT(D30:L30)=0,"",IF(COUNTIF(D30:L30,"&lt;=2")&gt;=2,"AVOID","OK"))</f>
        <v>AVOID</v>
      </c>
      <c r="AK30" s="93" t="str">
        <f aca="false">IF(COUNTA(E30:M30)=0,"",IF(COUNTIF(E30:M30,"L")&gt;=2,"CAP AT BUY","OK"))</f>
        <v>OK</v>
      </c>
      <c r="AL30" s="119" t="s">
        <v>339</v>
      </c>
      <c r="AM30" s="119" t="s">
        <v>375</v>
      </c>
      <c r="AN30" s="115"/>
      <c r="AO30" s="93"/>
      <c r="AP30" s="115" t="str">
        <f aca="false">IF(OR(AN30="",AO30=""),"",IF(AN30&gt;AO30,"OK","LOW CONF"))</f>
        <v/>
      </c>
      <c r="AQ30" s="115"/>
      <c r="AR30" s="93"/>
      <c r="AS30" s="125" t="str">
        <f aca="false">IF(OR(AQ30="",AR30=""),"",IF(AQ30&lt;AR30,"Decreased",IF(AQ30&gt;AR30,"Increased","Flat")))</f>
        <v/>
      </c>
    </row>
    <row r="31" customFormat="false" ht="15" hidden="true" customHeight="true" outlineLevel="1" collapsed="false">
      <c r="A31" s="62" t="s">
        <v>248</v>
      </c>
      <c r="B31" s="113" t="s">
        <v>376</v>
      </c>
      <c r="C31" s="124" t="n">
        <v>46245</v>
      </c>
      <c r="D31" s="115" t="n">
        <v>1</v>
      </c>
      <c r="E31" s="115" t="s">
        <v>329</v>
      </c>
      <c r="F31" s="115" t="n">
        <v>2</v>
      </c>
      <c r="G31" s="115" t="s">
        <v>328</v>
      </c>
      <c r="H31" s="115" t="n">
        <v>3</v>
      </c>
      <c r="I31" s="115" t="s">
        <v>328</v>
      </c>
      <c r="J31" s="115" t="n">
        <v>3</v>
      </c>
      <c r="K31" s="115" t="s">
        <v>328</v>
      </c>
      <c r="L31" s="115" t="n">
        <v>1</v>
      </c>
      <c r="M31" s="115" t="s">
        <v>329</v>
      </c>
      <c r="N31" s="116" t="n">
        <f aca="false">IF(COUNT(D31,F31,H31,J31,L31)=0,"",(D31*0.2+F31*0.15+H31*0.15+J31*0.1+L31*0.1)/(IF(D31&lt;&gt;"",0.2,0)+IF(F31&lt;&gt;"",0.15,0)+IF(H31&lt;&gt;"",0.15,0)+IF(J31&lt;&gt;"",0.1,0)+IF(L31&lt;&gt;"",0.1,0)))</f>
        <v>1.92857142857143</v>
      </c>
      <c r="O31" s="93" t="n">
        <f aca="false">IF(COUNT(D31,F31,H31,J31,L31)=0,"",D31*0.2+F31*0.15+H31*0.15+J31*0.1+L31*0.1)</f>
        <v>1.35</v>
      </c>
      <c r="P31" s="115"/>
      <c r="Q31" s="115"/>
      <c r="R31" s="115"/>
      <c r="S31" s="115"/>
      <c r="T31" s="115"/>
      <c r="U31" s="115"/>
      <c r="V31" s="115"/>
      <c r="W31" s="115"/>
      <c r="X31" s="65" t="str">
        <f aca="false">IF(COUNT(P31,R31,T31,V31)=0,"",P31*0.08+R31*0.06+T31*0.03+V31*0.08)</f>
        <v/>
      </c>
      <c r="Y31" s="115"/>
      <c r="Z31" s="115"/>
      <c r="AA31" s="115"/>
      <c r="AB31" s="115"/>
      <c r="AC31" s="115"/>
      <c r="AD31" s="115"/>
      <c r="AE31" s="65" t="str">
        <f aca="false">IF(COUNT(Y31,AA31,AC31)=0,"",Y31*0.02+AA31*0.02+AC31*0.01)</f>
        <v/>
      </c>
      <c r="AF31" s="93" t="str">
        <f aca="false">IF(OR(COUNT(D31,F31,H31,J31,L31)&lt;5,COUNT(P31,R31,T31,V31)&lt;4,COUNT(Y31,AA31,AC31)&lt;3),"",(O31+X31+AE31)*20)</f>
        <v/>
      </c>
      <c r="AG31" s="93" t="str">
        <f aca="false">IF(AF31="","",IF(AF31&gt;=80,"STRONG BUY",IF(AF31&gt;=65,"BUY",IF(AF31&gt;=50,"WATCH LIST",IF(AF31&gt;=35,"AVOID","PASS")))))</f>
        <v/>
      </c>
      <c r="AH31" s="93" t="str">
        <f aca="false">IF(N31="","",IF(N31&lt;3,"FAIL","OK"))</f>
        <v>FAIL</v>
      </c>
      <c r="AI31" s="93" t="str">
        <f aca="false">IF(COUNT(D31:L31)=0,"",IF(COUNTIF(D31:L31,1)&gt;0,"REVIEW","OK"))</f>
        <v>REVIEW</v>
      </c>
      <c r="AJ31" s="93" t="str">
        <f aca="false">IF(COUNT(D31:L31)=0,"",IF(COUNTIF(D31:L31,"&lt;=2")&gt;=2,"AVOID","OK"))</f>
        <v>AVOID</v>
      </c>
      <c r="AK31" s="93" t="str">
        <f aca="false">IF(COUNTA(E31:M31)=0,"",IF(COUNTIF(E31:M31,"L")&gt;=2,"CAP AT BUY","OK"))</f>
        <v>OK</v>
      </c>
      <c r="AL31" s="119" t="s">
        <v>339</v>
      </c>
      <c r="AM31" s="119" t="s">
        <v>377</v>
      </c>
      <c r="AN31" s="115"/>
      <c r="AO31" s="93"/>
      <c r="AP31" s="115" t="str">
        <f aca="false">IF(OR(AN31="",AO31=""),"",IF(AN31&gt;AO31,"OK","LOW CONF"))</f>
        <v/>
      </c>
      <c r="AQ31" s="115"/>
      <c r="AR31" s="93"/>
      <c r="AS31" s="125" t="str">
        <f aca="false">IF(OR(AQ31="",AR31=""),"",IF(AQ31&lt;AR31,"Decreased",IF(AQ31&gt;AR31,"Increased","Flat")))</f>
        <v/>
      </c>
    </row>
    <row r="32" customFormat="false" ht="15" hidden="false" customHeight="true" outlineLevel="0" collapsed="false">
      <c r="A32" s="62" t="s">
        <v>262</v>
      </c>
      <c r="B32" s="113" t="s">
        <v>378</v>
      </c>
      <c r="C32" s="124" t="n">
        <v>46278</v>
      </c>
      <c r="D32" s="115" t="n">
        <v>4</v>
      </c>
      <c r="E32" s="115" t="s">
        <v>328</v>
      </c>
      <c r="F32" s="115" t="n">
        <v>3</v>
      </c>
      <c r="G32" s="115" t="s">
        <v>328</v>
      </c>
      <c r="H32" s="115" t="n">
        <v>5</v>
      </c>
      <c r="I32" s="115" t="s">
        <v>329</v>
      </c>
      <c r="J32" s="115" t="n">
        <v>4</v>
      </c>
      <c r="K32" s="115" t="s">
        <v>328</v>
      </c>
      <c r="L32" s="115" t="n">
        <v>4</v>
      </c>
      <c r="M32" s="115" t="s">
        <v>328</v>
      </c>
      <c r="N32" s="116" t="n">
        <f aca="false">IF(COUNT(D32,F32,H32,J32,L32)=0,"",(D32*0.2+F32*0.15+H32*0.15+J32*0.1+L32*0.1)/(IF(D32&lt;&gt;"",0.2,0)+IF(F32&lt;&gt;"",0.15,0)+IF(H32&lt;&gt;"",0.15,0)+IF(J32&lt;&gt;"",0.1,0)+IF(L32&lt;&gt;"",0.1,0)))</f>
        <v>4</v>
      </c>
      <c r="O32" s="93" t="n">
        <f aca="false">IF(COUNT(D32,F32,H32,J32,L32)=0,"",D32*0.2+F32*0.15+H32*0.15+J32*0.1+L32*0.1)</f>
        <v>2.8</v>
      </c>
      <c r="P32" s="115"/>
      <c r="Q32" s="115"/>
      <c r="R32" s="115"/>
      <c r="S32" s="115"/>
      <c r="T32" s="115"/>
      <c r="U32" s="115"/>
      <c r="V32" s="115"/>
      <c r="W32" s="115"/>
      <c r="X32" s="65" t="str">
        <f aca="false">IF(COUNT(P32,R32,T32,V32)=0,"",P32*0.08+R32*0.06+T32*0.03+V32*0.08)</f>
        <v/>
      </c>
      <c r="Y32" s="115"/>
      <c r="Z32" s="115"/>
      <c r="AA32" s="115"/>
      <c r="AB32" s="115"/>
      <c r="AC32" s="115"/>
      <c r="AD32" s="115"/>
      <c r="AE32" s="65" t="str">
        <f aca="false">IF(COUNT(Y32,AA32,AC32)=0,"",Y32*0.02+AA32*0.02+AC32*0.01)</f>
        <v/>
      </c>
      <c r="AF32" s="93" t="str">
        <f aca="false">IF(OR(COUNT(D32,F32,H32,J32,L32)&lt;5,COUNT(P32,R32,T32,V32)&lt;4,COUNT(Y32,AA32,AC32)&lt;3),"",(O32+X32+AE32)*20)</f>
        <v/>
      </c>
      <c r="AG32" s="93" t="str">
        <f aca="false">IF(AF32="","",IF(AF32&gt;=80,"STRONG BUY",IF(AF32&gt;=65,"BUY",IF(AF32&gt;=50,"WATCH LIST",IF(AF32&gt;=35,"AVOID","PASS")))))</f>
        <v/>
      </c>
      <c r="AH32" s="93" t="str">
        <f aca="false">IF(N32="","",IF(N32&lt;3,"FAIL","OK"))</f>
        <v>OK</v>
      </c>
      <c r="AI32" s="93" t="str">
        <f aca="false">IF(COUNT(D32:L32)=0,"",IF(COUNTIF(D32:L32,1)&gt;0,"REVIEW","OK"))</f>
        <v>OK</v>
      </c>
      <c r="AJ32" s="93" t="str">
        <f aca="false">IF(COUNT(D32:L32)=0,"",IF(COUNTIF(D32:L32,"&lt;=2")&gt;=2,"AVOID","OK"))</f>
        <v>OK</v>
      </c>
      <c r="AK32" s="93" t="str">
        <f aca="false">IF(COUNTA(E32:M32)=0,"",IF(COUNTIF(E32:M32,"L")&gt;=2,"CAP AT BUY","OK"))</f>
        <v>OK</v>
      </c>
      <c r="AL32" s="119" t="s">
        <v>339</v>
      </c>
      <c r="AM32" s="119" t="s">
        <v>375</v>
      </c>
      <c r="AN32" s="115"/>
      <c r="AO32" s="93"/>
      <c r="AP32" s="115" t="str">
        <f aca="false">IF(OR(AN32="",AO32=""),"",IF(AN32&gt;AO32,"OK","LOW CONF"))</f>
        <v/>
      </c>
      <c r="AQ32" s="115"/>
      <c r="AR32" s="93"/>
      <c r="AS32" s="125" t="str">
        <f aca="false">IF(OR(AQ32="",AR32=""),"",IF(AQ32&lt;AR32,"Decreased",IF(AQ32&gt;AR32,"Increased","Flat")))</f>
        <v/>
      </c>
    </row>
    <row r="33" customFormat="false" ht="15" hidden="false" customHeight="true" outlineLevel="0" collapsed="false">
      <c r="A33" s="62" t="s">
        <v>230</v>
      </c>
      <c r="B33" s="113" t="s">
        <v>379</v>
      </c>
      <c r="C33" s="124" t="n">
        <v>46245</v>
      </c>
      <c r="D33" s="115" t="n">
        <v>4</v>
      </c>
      <c r="E33" s="115" t="s">
        <v>329</v>
      </c>
      <c r="F33" s="115" t="n">
        <v>4</v>
      </c>
      <c r="G33" s="115" t="s">
        <v>329</v>
      </c>
      <c r="H33" s="115" t="n">
        <v>4</v>
      </c>
      <c r="I33" s="115" t="s">
        <v>329</v>
      </c>
      <c r="J33" s="115" t="n">
        <v>3</v>
      </c>
      <c r="K33" s="115" t="s">
        <v>328</v>
      </c>
      <c r="L33" s="115" t="n">
        <v>3</v>
      </c>
      <c r="M33" s="115" t="s">
        <v>329</v>
      </c>
      <c r="N33" s="116" t="n">
        <f aca="false">IF(COUNT(D33,F33,H33,J33,L33)=0,"",(D33*0.2+F33*0.15+H33*0.15+J33*0.1+L33*0.1)/(IF(D33&lt;&gt;"",0.2,0)+IF(F33&lt;&gt;"",0.15,0)+IF(H33&lt;&gt;"",0.15,0)+IF(J33&lt;&gt;"",0.1,0)+IF(L33&lt;&gt;"",0.1,0)))</f>
        <v>3.71428571428571</v>
      </c>
      <c r="O33" s="93" t="n">
        <f aca="false">IF(COUNT(D33,F33,H33,J33,L33)=0,"",D33*0.2+F33*0.15+H33*0.15+J33*0.1+L33*0.1)</f>
        <v>2.6</v>
      </c>
      <c r="P33" s="115"/>
      <c r="Q33" s="115"/>
      <c r="R33" s="115"/>
      <c r="S33" s="115"/>
      <c r="T33" s="115"/>
      <c r="U33" s="115"/>
      <c r="V33" s="115"/>
      <c r="W33" s="115"/>
      <c r="X33" s="65" t="str">
        <f aca="false">IF(COUNT(P33,R33,T33,V33)=0,"",P33*0.08+R33*0.06+T33*0.03+V33*0.08)</f>
        <v/>
      </c>
      <c r="Y33" s="115"/>
      <c r="Z33" s="115"/>
      <c r="AA33" s="115"/>
      <c r="AB33" s="115"/>
      <c r="AC33" s="115"/>
      <c r="AD33" s="115"/>
      <c r="AE33" s="65" t="str">
        <f aca="false">IF(COUNT(Y33,AA33,AC33)=0,"",Y33*0.02+AA33*0.02+AC33*0.01)</f>
        <v/>
      </c>
      <c r="AF33" s="93" t="str">
        <f aca="false">IF(OR(COUNT(D33,F33,H33,J33,L33)&lt;5,COUNT(P33,R33,T33,V33)&lt;4,COUNT(Y33,AA33,AC33)&lt;3),"",(O33+X33+AE33)*20)</f>
        <v/>
      </c>
      <c r="AG33" s="93" t="str">
        <f aca="false">IF(AF33="","",IF(AF33&gt;=80,"STRONG BUY",IF(AF33&gt;=65,"BUY",IF(AF33&gt;=50,"WATCH LIST",IF(AF33&gt;=35,"AVOID","PASS")))))</f>
        <v/>
      </c>
      <c r="AH33" s="93" t="str">
        <f aca="false">IF(N33="","",IF(N33&lt;3,"FAIL","OK"))</f>
        <v>OK</v>
      </c>
      <c r="AI33" s="93" t="str">
        <f aca="false">IF(COUNT(D33:L33)=0,"",IF(COUNTIF(D33:L33,1)&gt;0,"REVIEW","OK"))</f>
        <v>OK</v>
      </c>
      <c r="AJ33" s="93" t="str">
        <f aca="false">IF(COUNT(D33:L33)=0,"",IF(COUNTIF(D33:L33,"&lt;=2")&gt;=2,"AVOID","OK"))</f>
        <v>OK</v>
      </c>
      <c r="AK33" s="93" t="str">
        <f aca="false">IF(COUNTA(E33:M33)=0,"",IF(COUNTIF(E33:M33,"L")&gt;=2,"CAP AT BUY","OK"))</f>
        <v>OK</v>
      </c>
      <c r="AL33" s="119" t="s">
        <v>341</v>
      </c>
      <c r="AM33" s="119" t="s">
        <v>380</v>
      </c>
      <c r="AN33" s="115"/>
      <c r="AO33" s="93"/>
      <c r="AP33" s="115" t="str">
        <f aca="false">IF(OR(AN33="",AO33=""),"",IF(AN33&gt;AO33,"OK","LOW CONF"))</f>
        <v/>
      </c>
      <c r="AQ33" s="115"/>
      <c r="AR33" s="93"/>
      <c r="AS33" s="125" t="str">
        <f aca="false">IF(OR(AQ33="",AR33=""),"",IF(AQ33&lt;AR33,"Decreased",IF(AQ33&gt;AR33,"Increased","Flat")))</f>
        <v/>
      </c>
    </row>
    <row r="34" customFormat="false" ht="15" hidden="false" customHeight="true" outlineLevel="0" collapsed="false">
      <c r="A34" s="62" t="s">
        <v>237</v>
      </c>
      <c r="B34" s="113" t="s">
        <v>381</v>
      </c>
      <c r="C34" s="124" t="n">
        <v>46278</v>
      </c>
      <c r="D34" s="115" t="n">
        <v>5</v>
      </c>
      <c r="E34" s="115" t="s">
        <v>328</v>
      </c>
      <c r="F34" s="115" t="n">
        <v>2</v>
      </c>
      <c r="G34" s="115" t="s">
        <v>328</v>
      </c>
      <c r="H34" s="115" t="n">
        <v>5</v>
      </c>
      <c r="I34" s="115" t="s">
        <v>329</v>
      </c>
      <c r="J34" s="115" t="n">
        <v>4</v>
      </c>
      <c r="K34" s="115" t="s">
        <v>329</v>
      </c>
      <c r="L34" s="115" t="n">
        <v>3</v>
      </c>
      <c r="M34" s="115" t="s">
        <v>328</v>
      </c>
      <c r="N34" s="116" t="n">
        <f aca="false">IF(COUNT(D34,F34,H34,J34,L34)=0,"",(D34*0.2+F34*0.15+H34*0.15+J34*0.1+L34*0.1)/(IF(D34&lt;&gt;"",0.2,0)+IF(F34&lt;&gt;"",0.15,0)+IF(H34&lt;&gt;"",0.15,0)+IF(J34&lt;&gt;"",0.1,0)+IF(L34&lt;&gt;"",0.1,0)))</f>
        <v>3.92857142857143</v>
      </c>
      <c r="O34" s="93" t="n">
        <f aca="false">IF(COUNT(D34,F34,H34,J34,L34)=0,"",D34*0.2+F34*0.15+H34*0.15+J34*0.1+L34*0.1)</f>
        <v>2.75</v>
      </c>
      <c r="P34" s="115"/>
      <c r="Q34" s="115"/>
      <c r="R34" s="115"/>
      <c r="S34" s="115"/>
      <c r="T34" s="115"/>
      <c r="U34" s="115"/>
      <c r="V34" s="115"/>
      <c r="W34" s="115"/>
      <c r="X34" s="65" t="str">
        <f aca="false">IF(COUNT(P34,R34,T34,V34)=0,"",P34*0.08+R34*0.06+T34*0.03+V34*0.08)</f>
        <v/>
      </c>
      <c r="Y34" s="115"/>
      <c r="Z34" s="115"/>
      <c r="AA34" s="115"/>
      <c r="AB34" s="115"/>
      <c r="AC34" s="115"/>
      <c r="AD34" s="115"/>
      <c r="AE34" s="65" t="str">
        <f aca="false">IF(COUNT(Y34,AA34,AC34)=0,"",Y34*0.02+AA34*0.02+AC34*0.01)</f>
        <v/>
      </c>
      <c r="AF34" s="93" t="str">
        <f aca="false">IF(OR(COUNT(D34,F34,H34,J34,L34)&lt;5,COUNT(P34,R34,T34,V34)&lt;4,COUNT(Y34,AA34,AC34)&lt;3),"",(O34+X34+AE34)*20)</f>
        <v/>
      </c>
      <c r="AG34" s="93" t="str">
        <f aca="false">IF(AF34="","",IF(AF34&gt;=80,"STRONG BUY",IF(AF34&gt;=65,"BUY",IF(AF34&gt;=50,"WATCH LIST",IF(AF34&gt;=35,"AVOID","PASS")))))</f>
        <v/>
      </c>
      <c r="AH34" s="93" t="str">
        <f aca="false">IF(N34="","",IF(N34&lt;3,"FAIL","OK"))</f>
        <v>OK</v>
      </c>
      <c r="AI34" s="93" t="str">
        <f aca="false">IF(COUNT(D34:L34)=0,"",IF(COUNTIF(D34:L34,1)&gt;0,"REVIEW","OK"))</f>
        <v>OK</v>
      </c>
      <c r="AJ34" s="93" t="str">
        <f aca="false">IF(COUNT(D34:L34)=0,"",IF(COUNTIF(D34:L34,"&lt;=2")&gt;=2,"AVOID","OK"))</f>
        <v>OK</v>
      </c>
      <c r="AK34" s="93" t="str">
        <f aca="false">IF(COUNTA(E34:M34)=0,"",IF(COUNTIF(E34:M34,"L")&gt;=2,"CAP AT BUY","OK"))</f>
        <v>OK</v>
      </c>
      <c r="AL34" s="119" t="s">
        <v>341</v>
      </c>
      <c r="AM34" s="119" t="s">
        <v>380</v>
      </c>
      <c r="AN34" s="115"/>
      <c r="AO34" s="93"/>
      <c r="AP34" s="115" t="str">
        <f aca="false">IF(OR(AN34="",AO34=""),"",IF(AN34&gt;AO34,"OK","LOW CONF"))</f>
        <v/>
      </c>
      <c r="AQ34" s="115"/>
      <c r="AR34" s="93"/>
      <c r="AS34" s="125" t="str">
        <f aca="false">IF(OR(AQ34="",AR34=""),"",IF(AQ34&lt;AR34,"Decreased",IF(AQ34&gt;AR34,"Increased","Flat")))</f>
        <v/>
      </c>
    </row>
    <row r="35" customFormat="false" ht="15" hidden="true" customHeight="true" outlineLevel="1" collapsed="false">
      <c r="A35" s="62" t="s">
        <v>266</v>
      </c>
      <c r="B35" s="113" t="s">
        <v>382</v>
      </c>
      <c r="C35" s="124" t="n">
        <v>46245</v>
      </c>
      <c r="D35" s="115" t="n">
        <v>1</v>
      </c>
      <c r="E35" s="115" t="s">
        <v>329</v>
      </c>
      <c r="F35" s="115" t="n">
        <v>1</v>
      </c>
      <c r="G35" s="115" t="s">
        <v>329</v>
      </c>
      <c r="H35" s="115" t="n">
        <v>2</v>
      </c>
      <c r="I35" s="115" t="s">
        <v>328</v>
      </c>
      <c r="J35" s="115" t="n">
        <v>2</v>
      </c>
      <c r="K35" s="115" t="s">
        <v>328</v>
      </c>
      <c r="L35" s="115" t="n">
        <v>1</v>
      </c>
      <c r="M35" s="115" t="s">
        <v>329</v>
      </c>
      <c r="N35" s="116" t="n">
        <f aca="false">IF(COUNT(D35,F35,H35,J35,L35)=0,"",(D35*0.2+F35*0.15+H35*0.15+J35*0.1+L35*0.1)/(IF(D35&lt;&gt;"",0.2,0)+IF(F35&lt;&gt;"",0.15,0)+IF(H35&lt;&gt;"",0.15,0)+IF(J35&lt;&gt;"",0.1,0)+IF(L35&lt;&gt;"",0.1,0)))</f>
        <v>1.35714285714286</v>
      </c>
      <c r="O35" s="93" t="n">
        <f aca="false">IF(COUNT(D35,F35,H35,J35,L35)=0,"",D35*0.2+F35*0.15+H35*0.15+J35*0.1+L35*0.1)</f>
        <v>0.95</v>
      </c>
      <c r="P35" s="115"/>
      <c r="Q35" s="115"/>
      <c r="R35" s="115"/>
      <c r="S35" s="115"/>
      <c r="T35" s="115"/>
      <c r="U35" s="115"/>
      <c r="V35" s="115"/>
      <c r="W35" s="115"/>
      <c r="X35" s="65" t="str">
        <f aca="false">IF(COUNT(P35,R35,T35,V35)=0,"",P35*0.08+R35*0.06+T35*0.03+V35*0.08)</f>
        <v/>
      </c>
      <c r="Y35" s="115"/>
      <c r="Z35" s="115"/>
      <c r="AA35" s="115"/>
      <c r="AB35" s="115"/>
      <c r="AC35" s="115"/>
      <c r="AD35" s="115"/>
      <c r="AE35" s="65" t="str">
        <f aca="false">IF(COUNT(Y35,AA35,AC35)=0,"",Y35*0.02+AA35*0.02+AC35*0.01)</f>
        <v/>
      </c>
      <c r="AF35" s="93" t="str">
        <f aca="false">IF(OR(COUNT(D35,F35,H35,J35,L35)&lt;5,COUNT(P35,R35,T35,V35)&lt;4,COUNT(Y35,AA35,AC35)&lt;3),"",(O35+X35+AE35)*20)</f>
        <v/>
      </c>
      <c r="AG35" s="93" t="str">
        <f aca="false">IF(AF35="","",IF(AF35&gt;=80,"STRONG BUY",IF(AF35&gt;=65,"BUY",IF(AF35&gt;=50,"WATCH LIST",IF(AF35&gt;=35,"AVOID","PASS")))))</f>
        <v/>
      </c>
      <c r="AH35" s="93" t="str">
        <f aca="false">IF(N35="","",IF(N35&lt;3,"FAIL","OK"))</f>
        <v>FAIL</v>
      </c>
      <c r="AI35" s="93" t="str">
        <f aca="false">IF(COUNT(D35:L35)=0,"",IF(COUNTIF(D35:L35,1)&gt;0,"REVIEW","OK"))</f>
        <v>REVIEW</v>
      </c>
      <c r="AJ35" s="93" t="str">
        <f aca="false">IF(COUNT(D35:L35)=0,"",IF(COUNTIF(D35:L35,"&lt;=2")&gt;=2,"AVOID","OK"))</f>
        <v>AVOID</v>
      </c>
      <c r="AK35" s="93" t="str">
        <f aca="false">IF(COUNTA(E35:M35)=0,"",IF(COUNTIF(E35:M35,"L")&gt;=2,"CAP AT BUY","OK"))</f>
        <v>OK</v>
      </c>
      <c r="AL35" s="119" t="s">
        <v>341</v>
      </c>
      <c r="AM35" s="119" t="s">
        <v>380</v>
      </c>
      <c r="AN35" s="115"/>
      <c r="AO35" s="93"/>
      <c r="AP35" s="115" t="str">
        <f aca="false">IF(OR(AN35="",AO35=""),"",IF(AN35&gt;AO35,"OK","LOW CONF"))</f>
        <v/>
      </c>
      <c r="AQ35" s="115"/>
      <c r="AR35" s="93"/>
      <c r="AS35" s="125" t="str">
        <f aca="false">IF(OR(AQ35="",AR35=""),"",IF(AQ35&lt;AR35,"Decreased",IF(AQ35&gt;AR35,"Increased","Flat")))</f>
        <v/>
      </c>
    </row>
    <row r="36" customFormat="false" ht="15" hidden="false" customHeight="true" outlineLevel="0" collapsed="false">
      <c r="A36" s="62" t="s">
        <v>272</v>
      </c>
      <c r="B36" s="113" t="s">
        <v>383</v>
      </c>
      <c r="C36" s="124" t="n">
        <v>46278</v>
      </c>
      <c r="D36" s="115" t="n">
        <v>4</v>
      </c>
      <c r="E36" s="115" t="s">
        <v>328</v>
      </c>
      <c r="F36" s="115" t="n">
        <v>3</v>
      </c>
      <c r="G36" s="115" t="s">
        <v>328</v>
      </c>
      <c r="H36" s="115" t="n">
        <v>4</v>
      </c>
      <c r="I36" s="115" t="s">
        <v>328</v>
      </c>
      <c r="J36" s="115" t="n">
        <v>4</v>
      </c>
      <c r="K36" s="115" t="s">
        <v>329</v>
      </c>
      <c r="L36" s="115" t="n">
        <v>4</v>
      </c>
      <c r="M36" s="115" t="s">
        <v>328</v>
      </c>
      <c r="N36" s="116" t="n">
        <f aca="false">IF(COUNT(D36,F36,H36,J36,L36)=0,"",(D36*0.2+F36*0.15+H36*0.15+J36*0.1+L36*0.1)/(IF(D36&lt;&gt;"",0.2,0)+IF(F36&lt;&gt;"",0.15,0)+IF(H36&lt;&gt;"",0.15,0)+IF(J36&lt;&gt;"",0.1,0)+IF(L36&lt;&gt;"",0.1,0)))</f>
        <v>3.78571428571429</v>
      </c>
      <c r="O36" s="93" t="n">
        <f aca="false">IF(COUNT(D36,F36,H36,J36,L36)=0,"",D36*0.2+F36*0.15+H36*0.15+J36*0.1+L36*0.1)</f>
        <v>2.65</v>
      </c>
      <c r="P36" s="115"/>
      <c r="Q36" s="115"/>
      <c r="R36" s="115"/>
      <c r="S36" s="115"/>
      <c r="T36" s="115"/>
      <c r="U36" s="115"/>
      <c r="V36" s="115"/>
      <c r="W36" s="115"/>
      <c r="X36" s="65" t="str">
        <f aca="false">IF(COUNT(P36,R36,T36,V36)=0,"",P36*0.08+R36*0.06+T36*0.03+V36*0.08)</f>
        <v/>
      </c>
      <c r="Y36" s="115"/>
      <c r="Z36" s="115"/>
      <c r="AA36" s="115"/>
      <c r="AB36" s="115"/>
      <c r="AC36" s="115"/>
      <c r="AD36" s="115"/>
      <c r="AE36" s="65" t="str">
        <f aca="false">IF(COUNT(Y36,AA36,AC36)=0,"",Y36*0.02+AA36*0.02+AC36*0.01)</f>
        <v/>
      </c>
      <c r="AF36" s="93" t="str">
        <f aca="false">IF(OR(COUNT(D36,F36,H36,J36,L36)&lt;5,COUNT(P36,R36,T36,V36)&lt;4,COUNT(Y36,AA36,AC36)&lt;3),"",(O36+X36+AE36)*20)</f>
        <v/>
      </c>
      <c r="AG36" s="93" t="str">
        <f aca="false">IF(AF36="","",IF(AF36&gt;=80,"STRONG BUY",IF(AF36&gt;=65,"BUY",IF(AF36&gt;=50,"WATCH LIST",IF(AF36&gt;=35,"AVOID","PASS")))))</f>
        <v/>
      </c>
      <c r="AH36" s="93" t="str">
        <f aca="false">IF(N36="","",IF(N36&lt;3,"FAIL","OK"))</f>
        <v>OK</v>
      </c>
      <c r="AI36" s="93" t="str">
        <f aca="false">IF(COUNT(D36:L36)=0,"",IF(COUNTIF(D36:L36,1)&gt;0,"REVIEW","OK"))</f>
        <v>OK</v>
      </c>
      <c r="AJ36" s="93" t="str">
        <f aca="false">IF(COUNT(D36:L36)=0,"",IF(COUNTIF(D36:L36,"&lt;=2")&gt;=2,"AVOID","OK"))</f>
        <v>OK</v>
      </c>
      <c r="AK36" s="93" t="str">
        <f aca="false">IF(COUNTA(E36:M36)=0,"",IF(COUNTIF(E36:M36,"L")&gt;=2,"CAP AT BUY","OK"))</f>
        <v>OK</v>
      </c>
      <c r="AL36" s="119" t="s">
        <v>341</v>
      </c>
      <c r="AM36" s="119" t="s">
        <v>380</v>
      </c>
      <c r="AN36" s="115"/>
      <c r="AO36" s="93"/>
      <c r="AP36" s="115" t="str">
        <f aca="false">IF(OR(AN36="",AO36=""),"",IF(AN36&gt;AO36,"OK","LOW CONF"))</f>
        <v/>
      </c>
      <c r="AQ36" s="115"/>
      <c r="AR36" s="93"/>
      <c r="AS36" s="125" t="str">
        <f aca="false">IF(OR(AQ36="",AR36=""),"",IF(AQ36&lt;AR36,"Decreased",IF(AQ36&gt;AR36,"Increased","Flat")))</f>
        <v/>
      </c>
    </row>
    <row r="37" customFormat="false" ht="15" hidden="true" customHeight="true" outlineLevel="1" collapsed="false">
      <c r="A37" s="62" t="s">
        <v>255</v>
      </c>
      <c r="B37" s="113" t="s">
        <v>384</v>
      </c>
      <c r="C37" s="124" t="n">
        <v>46246</v>
      </c>
      <c r="D37" s="115" t="n">
        <v>1</v>
      </c>
      <c r="E37" s="115" t="s">
        <v>329</v>
      </c>
      <c r="F37" s="115" t="n">
        <v>1</v>
      </c>
      <c r="G37" s="115" t="s">
        <v>329</v>
      </c>
      <c r="H37" s="115" t="n">
        <v>3</v>
      </c>
      <c r="I37" s="115" t="s">
        <v>328</v>
      </c>
      <c r="J37" s="115" t="n">
        <v>2</v>
      </c>
      <c r="K37" s="115" t="s">
        <v>328</v>
      </c>
      <c r="L37" s="115" t="n">
        <v>1</v>
      </c>
      <c r="M37" s="115" t="s">
        <v>329</v>
      </c>
      <c r="N37" s="116" t="n">
        <f aca="false">IF(COUNT(D37,F37,H37,J37,L37)=0,"",(D37*0.2+F37*0.15+H37*0.15+J37*0.1+L37*0.1)/(IF(D37&lt;&gt;"",0.2,0)+IF(F37&lt;&gt;"",0.15,0)+IF(H37&lt;&gt;"",0.15,0)+IF(J37&lt;&gt;"",0.1,0)+IF(L37&lt;&gt;"",0.1,0)))</f>
        <v>1.57142857142857</v>
      </c>
      <c r="O37" s="93" t="n">
        <f aca="false">IF(COUNT(D37,F37,H37,J37,L37)=0,"",D37*0.2+F37*0.15+H37*0.15+J37*0.1+L37*0.1)</f>
        <v>1.1</v>
      </c>
      <c r="P37" s="115"/>
      <c r="Q37" s="115"/>
      <c r="R37" s="115"/>
      <c r="S37" s="115"/>
      <c r="T37" s="115"/>
      <c r="U37" s="115"/>
      <c r="V37" s="115"/>
      <c r="W37" s="115"/>
      <c r="X37" s="65" t="str">
        <f aca="false">IF(COUNT(P37,R37,T37,V37)=0,"",P37*0.08+R37*0.06+T37*0.03+V37*0.08)</f>
        <v/>
      </c>
      <c r="Y37" s="115"/>
      <c r="Z37" s="115"/>
      <c r="AA37" s="115"/>
      <c r="AB37" s="115"/>
      <c r="AC37" s="115"/>
      <c r="AD37" s="115"/>
      <c r="AE37" s="65" t="str">
        <f aca="false">IF(COUNT(Y37,AA37,AC37)=0,"",Y37*0.02+AA37*0.02+AC37*0.01)</f>
        <v/>
      </c>
      <c r="AF37" s="93" t="str">
        <f aca="false">IF(OR(COUNT(D37,F37,H37,J37,L37)&lt;5,COUNT(P37,R37,T37,V37)&lt;4,COUNT(Y37,AA37,AC37)&lt;3),"",(O37+X37+AE37)*20)</f>
        <v/>
      </c>
      <c r="AG37" s="93" t="str">
        <f aca="false">IF(AF37="","",IF(AF37&gt;=80,"STRONG BUY",IF(AF37&gt;=65,"BUY",IF(AF37&gt;=50,"WATCH LIST",IF(AF37&gt;=35,"AVOID","PASS")))))</f>
        <v/>
      </c>
      <c r="AH37" s="93" t="str">
        <f aca="false">IF(N37="","",IF(N37&lt;3,"FAIL","OK"))</f>
        <v>FAIL</v>
      </c>
      <c r="AI37" s="93" t="str">
        <f aca="false">IF(COUNT(D37:L37)=0,"",IF(COUNTIF(D37:L37,1)&gt;0,"REVIEW","OK"))</f>
        <v>REVIEW</v>
      </c>
      <c r="AJ37" s="93" t="str">
        <f aca="false">IF(COUNT(D37:L37)=0,"",IF(COUNTIF(D37:L37,"&lt;=2")&gt;=2,"AVOID","OK"))</f>
        <v>AVOID</v>
      </c>
      <c r="AK37" s="93" t="str">
        <f aca="false">IF(COUNTA(E37:M37)=0,"",IF(COUNTIF(E37:M37,"L")&gt;=2,"CAP AT BUY","OK"))</f>
        <v>OK</v>
      </c>
      <c r="AL37" s="119" t="s">
        <v>341</v>
      </c>
      <c r="AM37" s="119" t="s">
        <v>342</v>
      </c>
      <c r="AN37" s="115"/>
      <c r="AO37" s="93"/>
      <c r="AP37" s="115" t="str">
        <f aca="false">IF(OR(AN37="",AO37=""),"",IF(AN37&gt;AO37,"OK","LOW CONF"))</f>
        <v/>
      </c>
      <c r="AQ37" s="115"/>
      <c r="AR37" s="93"/>
      <c r="AS37" s="125" t="str">
        <f aca="false">IF(OR(AQ37="",AR37=""),"",IF(AQ37&lt;AR37,"Decreased",IF(AQ37&gt;AR37,"Increased","Flat")))</f>
        <v/>
      </c>
    </row>
    <row r="38" customFormat="false" ht="15" hidden="true" customHeight="true" outlineLevel="1" collapsed="false">
      <c r="A38" s="62" t="s">
        <v>270</v>
      </c>
      <c r="B38" s="113" t="s">
        <v>385</v>
      </c>
      <c r="C38" s="124" t="n">
        <v>46246</v>
      </c>
      <c r="D38" s="115" t="n">
        <v>3</v>
      </c>
      <c r="E38" s="115" t="s">
        <v>328</v>
      </c>
      <c r="F38" s="115" t="n">
        <v>3</v>
      </c>
      <c r="G38" s="115" t="s">
        <v>328</v>
      </c>
      <c r="H38" s="115" t="n">
        <v>3</v>
      </c>
      <c r="I38" s="115" t="s">
        <v>328</v>
      </c>
      <c r="J38" s="115" t="n">
        <v>2</v>
      </c>
      <c r="K38" s="115" t="s">
        <v>328</v>
      </c>
      <c r="L38" s="115" t="n">
        <v>3</v>
      </c>
      <c r="M38" s="115" t="s">
        <v>328</v>
      </c>
      <c r="N38" s="116" t="n">
        <f aca="false">IF(COUNT(D38,F38,H38,J38,L38)=0,"",(D38*0.2+F38*0.15+H38*0.15+J38*0.1+L38*0.1)/(IF(D38&lt;&gt;"",0.2,0)+IF(F38&lt;&gt;"",0.15,0)+IF(H38&lt;&gt;"",0.15,0)+IF(J38&lt;&gt;"",0.1,0)+IF(L38&lt;&gt;"",0.1,0)))</f>
        <v>2.85714285714286</v>
      </c>
      <c r="O38" s="93" t="n">
        <f aca="false">IF(COUNT(D38,F38,H38,J38,L38)=0,"",D38*0.2+F38*0.15+H38*0.15+J38*0.1+L38*0.1)</f>
        <v>2</v>
      </c>
      <c r="P38" s="115"/>
      <c r="Q38" s="115"/>
      <c r="R38" s="115"/>
      <c r="S38" s="115"/>
      <c r="T38" s="115"/>
      <c r="U38" s="115"/>
      <c r="V38" s="115"/>
      <c r="W38" s="115"/>
      <c r="X38" s="65" t="str">
        <f aca="false">IF(COUNT(P38,R38,T38,V38)=0,"",P38*0.08+R38*0.06+T38*0.03+V38*0.08)</f>
        <v/>
      </c>
      <c r="Y38" s="115"/>
      <c r="Z38" s="115"/>
      <c r="AA38" s="115"/>
      <c r="AB38" s="115"/>
      <c r="AC38" s="115"/>
      <c r="AD38" s="115"/>
      <c r="AE38" s="65" t="str">
        <f aca="false">IF(COUNT(Y38,AA38,AC38)=0,"",Y38*0.02+AA38*0.02+AC38*0.01)</f>
        <v/>
      </c>
      <c r="AF38" s="93" t="str">
        <f aca="false">IF(OR(COUNT(D38,F38,H38,J38,L38)&lt;5,COUNT(P38,R38,T38,V38)&lt;4,COUNT(Y38,AA38,AC38)&lt;3),"",(O38+X38+AE38)*20)</f>
        <v/>
      </c>
      <c r="AG38" s="93" t="str">
        <f aca="false">IF(AF38="","",IF(AF38&gt;=80,"STRONG BUY",IF(AF38&gt;=65,"BUY",IF(AF38&gt;=50,"WATCH LIST",IF(AF38&gt;=35,"AVOID","PASS")))))</f>
        <v/>
      </c>
      <c r="AH38" s="93" t="str">
        <f aca="false">IF(N38="","",IF(N38&lt;3,"FAIL","OK"))</f>
        <v>FAIL</v>
      </c>
      <c r="AI38" s="93" t="str">
        <f aca="false">IF(COUNT(D38:L38)=0,"",IF(COUNTIF(D38:L38,1)&gt;0,"REVIEW","OK"))</f>
        <v>OK</v>
      </c>
      <c r="AJ38" s="93" t="str">
        <f aca="false">IF(COUNT(D38:L38)=0,"",IF(COUNTIF(D38:L38,"&lt;=2")&gt;=2,"AVOID","OK"))</f>
        <v>OK</v>
      </c>
      <c r="AK38" s="93" t="str">
        <f aca="false">IF(COUNTA(E38:M38)=0,"",IF(COUNTIF(E38:M38,"L")&gt;=2,"CAP AT BUY","OK"))</f>
        <v>OK</v>
      </c>
      <c r="AL38" s="119" t="s">
        <v>341</v>
      </c>
      <c r="AM38" s="119" t="s">
        <v>386</v>
      </c>
      <c r="AN38" s="115"/>
      <c r="AO38" s="93"/>
      <c r="AP38" s="115" t="str">
        <f aca="false">IF(OR(AN38="",AO38=""),"",IF(AN38&gt;AO38,"OK","LOW CONF"))</f>
        <v/>
      </c>
      <c r="AQ38" s="115"/>
      <c r="AR38" s="93"/>
      <c r="AS38" s="125" t="str">
        <f aca="false">IF(OR(AQ38="",AR38=""),"",IF(AQ38&lt;AR38,"Decreased",IF(AQ38&gt;AR38,"Increased","Flat")))</f>
        <v/>
      </c>
    </row>
    <row r="39" customFormat="false" ht="15" hidden="true" customHeight="true" outlineLevel="1" collapsed="false">
      <c r="A39" s="62" t="s">
        <v>247</v>
      </c>
      <c r="B39" s="113" t="s">
        <v>387</v>
      </c>
      <c r="C39" s="124" t="n">
        <v>46246</v>
      </c>
      <c r="D39" s="115" t="n">
        <v>2</v>
      </c>
      <c r="E39" s="115" t="s">
        <v>330</v>
      </c>
      <c r="F39" s="115" t="n">
        <v>4</v>
      </c>
      <c r="G39" s="115" t="s">
        <v>329</v>
      </c>
      <c r="H39" s="115" t="n">
        <v>3</v>
      </c>
      <c r="I39" s="115" t="s">
        <v>328</v>
      </c>
      <c r="J39" s="115" t="n">
        <v>2</v>
      </c>
      <c r="K39" s="115" t="s">
        <v>328</v>
      </c>
      <c r="L39" s="115" t="n">
        <v>1</v>
      </c>
      <c r="M39" s="115" t="s">
        <v>329</v>
      </c>
      <c r="N39" s="116" t="n">
        <f aca="false">IF(COUNT(D39,F39,H39,J39,L39)=0,"",(D39*0.2+F39*0.15+H39*0.15+J39*0.1+L39*0.1)/(IF(D39&lt;&gt;"",0.2,0)+IF(F39&lt;&gt;"",0.15,0)+IF(H39&lt;&gt;"",0.15,0)+IF(J39&lt;&gt;"",0.1,0)+IF(L39&lt;&gt;"",0.1,0)))</f>
        <v>2.5</v>
      </c>
      <c r="O39" s="93" t="n">
        <f aca="false">IF(COUNT(D39,F39,H39,J39,L39)=0,"",D39*0.2+F39*0.15+H39*0.15+J39*0.1+L39*0.1)</f>
        <v>1.75</v>
      </c>
      <c r="P39" s="115"/>
      <c r="Q39" s="115"/>
      <c r="R39" s="115"/>
      <c r="S39" s="115"/>
      <c r="T39" s="115"/>
      <c r="U39" s="115"/>
      <c r="V39" s="115"/>
      <c r="W39" s="115"/>
      <c r="X39" s="65" t="str">
        <f aca="false">IF(COUNT(P39,R39,T39,V39)=0,"",P39*0.08+R39*0.06+T39*0.03+V39*0.08)</f>
        <v/>
      </c>
      <c r="Y39" s="115"/>
      <c r="Z39" s="115"/>
      <c r="AA39" s="115"/>
      <c r="AB39" s="115"/>
      <c r="AC39" s="115"/>
      <c r="AD39" s="115"/>
      <c r="AE39" s="65" t="str">
        <f aca="false">IF(COUNT(Y39,AA39,AC39)=0,"",Y39*0.02+AA39*0.02+AC39*0.01)</f>
        <v/>
      </c>
      <c r="AF39" s="93" t="str">
        <f aca="false">IF(OR(COUNT(D39,F39,H39,J39,L39)&lt;5,COUNT(P39,R39,T39,V39)&lt;4,COUNT(Y39,AA39,AC39)&lt;3),"",(O39+X39+AE39)*20)</f>
        <v/>
      </c>
      <c r="AG39" s="93" t="str">
        <f aca="false">IF(AF39="","",IF(AF39&gt;=80,"STRONG BUY",IF(AF39&gt;=65,"BUY",IF(AF39&gt;=50,"WATCH LIST",IF(AF39&gt;=35,"AVOID","PASS")))))</f>
        <v/>
      </c>
      <c r="AH39" s="93" t="str">
        <f aca="false">IF(N39="","",IF(N39&lt;3,"FAIL","OK"))</f>
        <v>FAIL</v>
      </c>
      <c r="AI39" s="93" t="str">
        <f aca="false">IF(COUNT(D39:L39)=0,"",IF(COUNTIF(D39:L39,1)&gt;0,"REVIEW","OK"))</f>
        <v>REVIEW</v>
      </c>
      <c r="AJ39" s="93" t="str">
        <f aca="false">IF(COUNT(D39:L39)=0,"",IF(COUNTIF(D39:L39,"&lt;=2")&gt;=2,"AVOID","OK"))</f>
        <v>AVOID</v>
      </c>
      <c r="AK39" s="93" t="str">
        <f aca="false">IF(COUNTA(E39:M39)=0,"",IF(COUNTIF(E39:M39,"L")&gt;=2,"CAP AT BUY","OK"))</f>
        <v>OK</v>
      </c>
      <c r="AL39" s="119" t="s">
        <v>341</v>
      </c>
      <c r="AM39" s="119" t="s">
        <v>386</v>
      </c>
      <c r="AN39" s="115"/>
      <c r="AO39" s="93"/>
      <c r="AP39" s="115" t="str">
        <f aca="false">IF(OR(AN39="",AO39=""),"",IF(AN39&gt;AO39,"OK","LOW CONF"))</f>
        <v/>
      </c>
      <c r="AQ39" s="115"/>
      <c r="AR39" s="93"/>
      <c r="AS39" s="125" t="str">
        <f aca="false">IF(OR(AQ39="",AR39=""),"",IF(AQ39&lt;AR39,"Decreased",IF(AQ39&gt;AR39,"Increased","Flat")))</f>
        <v/>
      </c>
    </row>
    <row r="40" customFormat="false" ht="15" hidden="true" customHeight="true" outlineLevel="1" collapsed="false">
      <c r="A40" s="62" t="s">
        <v>224</v>
      </c>
      <c r="B40" s="113" t="s">
        <v>388</v>
      </c>
      <c r="C40" s="124" t="n">
        <v>46246</v>
      </c>
      <c r="D40" s="115" t="n">
        <v>1</v>
      </c>
      <c r="E40" s="115" t="s">
        <v>329</v>
      </c>
      <c r="F40" s="115" t="n">
        <v>1</v>
      </c>
      <c r="G40" s="115" t="s">
        <v>329</v>
      </c>
      <c r="H40" s="115" t="n">
        <v>2</v>
      </c>
      <c r="I40" s="115" t="s">
        <v>328</v>
      </c>
      <c r="J40" s="115" t="n">
        <v>2</v>
      </c>
      <c r="K40" s="115" t="s">
        <v>328</v>
      </c>
      <c r="L40" s="115" t="n">
        <v>1</v>
      </c>
      <c r="M40" s="115" t="s">
        <v>329</v>
      </c>
      <c r="N40" s="116" t="n">
        <f aca="false">IF(COUNT(D40,F40,H40,J40,L40)=0,"",(D40*0.2+F40*0.15+H40*0.15+J40*0.1+L40*0.1)/(IF(D40&lt;&gt;"",0.2,0)+IF(F40&lt;&gt;"",0.15,0)+IF(H40&lt;&gt;"",0.15,0)+IF(J40&lt;&gt;"",0.1,0)+IF(L40&lt;&gt;"",0.1,0)))</f>
        <v>1.35714285714286</v>
      </c>
      <c r="O40" s="93" t="n">
        <f aca="false">IF(COUNT(D40,F40,H40,J40,L40)=0,"",D40*0.2+F40*0.15+H40*0.15+J40*0.1+L40*0.1)</f>
        <v>0.95</v>
      </c>
      <c r="P40" s="115"/>
      <c r="Q40" s="115"/>
      <c r="R40" s="115"/>
      <c r="S40" s="115"/>
      <c r="T40" s="115"/>
      <c r="U40" s="115"/>
      <c r="V40" s="115"/>
      <c r="W40" s="115"/>
      <c r="X40" s="65" t="str">
        <f aca="false">IF(COUNT(P40,R40,T40,V40)=0,"",P40*0.08+R40*0.06+T40*0.03+V40*0.08)</f>
        <v/>
      </c>
      <c r="Y40" s="115"/>
      <c r="Z40" s="115"/>
      <c r="AA40" s="115"/>
      <c r="AB40" s="115"/>
      <c r="AC40" s="115"/>
      <c r="AD40" s="115"/>
      <c r="AE40" s="65" t="str">
        <f aca="false">IF(COUNT(Y40,AA40,AC40)=0,"",Y40*0.02+AA40*0.02+AC40*0.01)</f>
        <v/>
      </c>
      <c r="AF40" s="93" t="str">
        <f aca="false">IF(OR(COUNT(D40,F40,H40,J40,L40)&lt;5,COUNT(P40,R40,T40,V40)&lt;4,COUNT(Y40,AA40,AC40)&lt;3),"",(O40+X40+AE40)*20)</f>
        <v/>
      </c>
      <c r="AG40" s="93" t="str">
        <f aca="false">IF(AF40="","",IF(AF40&gt;=80,"STRONG BUY",IF(AF40&gt;=65,"BUY",IF(AF40&gt;=50,"WATCH LIST",IF(AF40&gt;=35,"AVOID","PASS")))))</f>
        <v/>
      </c>
      <c r="AH40" s="93" t="str">
        <f aca="false">IF(N40="","",IF(N40&lt;3,"FAIL","OK"))</f>
        <v>FAIL</v>
      </c>
      <c r="AI40" s="93" t="str">
        <f aca="false">IF(COUNT(D40:L40)=0,"",IF(COUNTIF(D40:L40,1)&gt;0,"REVIEW","OK"))</f>
        <v>REVIEW</v>
      </c>
      <c r="AJ40" s="93" t="str">
        <f aca="false">IF(COUNT(D40:L40)=0,"",IF(COUNTIF(D40:L40,"&lt;=2")&gt;=2,"AVOID","OK"))</f>
        <v>AVOID</v>
      </c>
      <c r="AK40" s="93" t="str">
        <f aca="false">IF(COUNTA(E40:M40)=0,"",IF(COUNTIF(E40:M40,"L")&gt;=2,"CAP AT BUY","OK"))</f>
        <v>OK</v>
      </c>
      <c r="AL40" s="119" t="s">
        <v>341</v>
      </c>
      <c r="AM40" s="119" t="s">
        <v>389</v>
      </c>
      <c r="AN40" s="115"/>
      <c r="AO40" s="93"/>
      <c r="AP40" s="115" t="str">
        <f aca="false">IF(OR(AN40="",AO40=""),"",IF(AN40&gt;AO40,"OK","LOW CONF"))</f>
        <v/>
      </c>
      <c r="AQ40" s="115"/>
      <c r="AR40" s="93"/>
      <c r="AS40" s="125" t="str">
        <f aca="false">IF(OR(AQ40="",AR40=""),"",IF(AQ40&lt;AR40,"Decreased",IF(AQ40&gt;AR40,"Increased","Flat")))</f>
        <v/>
      </c>
    </row>
    <row r="41" customFormat="false" ht="15" hidden="true" customHeight="true" outlineLevel="1" collapsed="false">
      <c r="A41" s="62" t="s">
        <v>226</v>
      </c>
      <c r="B41" s="113" t="s">
        <v>390</v>
      </c>
      <c r="C41" s="124" t="n">
        <v>46246</v>
      </c>
      <c r="D41" s="115" t="n">
        <v>2</v>
      </c>
      <c r="E41" s="115" t="s">
        <v>328</v>
      </c>
      <c r="F41" s="115" t="n">
        <v>3</v>
      </c>
      <c r="G41" s="115" t="s">
        <v>329</v>
      </c>
      <c r="H41" s="115" t="n">
        <v>4</v>
      </c>
      <c r="I41" s="115" t="s">
        <v>328</v>
      </c>
      <c r="J41" s="115" t="n">
        <v>3</v>
      </c>
      <c r="K41" s="115" t="s">
        <v>328</v>
      </c>
      <c r="L41" s="115" t="n">
        <v>2</v>
      </c>
      <c r="M41" s="115" t="s">
        <v>329</v>
      </c>
      <c r="N41" s="116" t="n">
        <f aca="false">IF(COUNT(D41,F41,H41,J41,L41)=0,"",(D41*0.2+F41*0.15+H41*0.15+J41*0.1+L41*0.1)/(IF(D41&lt;&gt;"",0.2,0)+IF(F41&lt;&gt;"",0.15,0)+IF(H41&lt;&gt;"",0.15,0)+IF(J41&lt;&gt;"",0.1,0)+IF(L41&lt;&gt;"",0.1,0)))</f>
        <v>2.78571428571429</v>
      </c>
      <c r="O41" s="93" t="n">
        <f aca="false">IF(COUNT(D41,F41,H41,J41,L41)=0,"",D41*0.2+F41*0.15+H41*0.15+J41*0.1+L41*0.1)</f>
        <v>1.95</v>
      </c>
      <c r="P41" s="115"/>
      <c r="Q41" s="115"/>
      <c r="R41" s="115"/>
      <c r="S41" s="115"/>
      <c r="T41" s="115"/>
      <c r="U41" s="115"/>
      <c r="V41" s="115"/>
      <c r="W41" s="115"/>
      <c r="X41" s="65" t="str">
        <f aca="false">IF(COUNT(P41,R41,T41,V41)=0,"",P41*0.08+R41*0.06+T41*0.03+V41*0.08)</f>
        <v/>
      </c>
      <c r="Y41" s="115"/>
      <c r="Z41" s="115"/>
      <c r="AA41" s="115"/>
      <c r="AB41" s="115"/>
      <c r="AC41" s="115"/>
      <c r="AD41" s="115"/>
      <c r="AE41" s="65" t="str">
        <f aca="false">IF(COUNT(Y41,AA41,AC41)=0,"",Y41*0.02+AA41*0.02+AC41*0.01)</f>
        <v/>
      </c>
      <c r="AF41" s="93" t="str">
        <f aca="false">IF(OR(COUNT(D41,F41,H41,J41,L41)&lt;5,COUNT(P41,R41,T41,V41)&lt;4,COUNT(Y41,AA41,AC41)&lt;3),"",(O41+X41+AE41)*20)</f>
        <v/>
      </c>
      <c r="AG41" s="93" t="str">
        <f aca="false">IF(AF41="","",IF(AF41&gt;=80,"STRONG BUY",IF(AF41&gt;=65,"BUY",IF(AF41&gt;=50,"WATCH LIST",IF(AF41&gt;=35,"AVOID","PASS")))))</f>
        <v/>
      </c>
      <c r="AH41" s="93" t="str">
        <f aca="false">IF(N41="","",IF(N41&lt;3,"FAIL","OK"))</f>
        <v>FAIL</v>
      </c>
      <c r="AI41" s="93" t="str">
        <f aca="false">IF(COUNT(D41:L41)=0,"",IF(COUNTIF(D41:L41,1)&gt;0,"REVIEW","OK"))</f>
        <v>OK</v>
      </c>
      <c r="AJ41" s="93" t="str">
        <f aca="false">IF(COUNT(D41:L41)=0,"",IF(COUNTIF(D41:L41,"&lt;=2")&gt;=2,"AVOID","OK"))</f>
        <v>AVOID</v>
      </c>
      <c r="AK41" s="93" t="str">
        <f aca="false">IF(COUNTA(E41:M41)=0,"",IF(COUNTIF(E41:M41,"L")&gt;=2,"CAP AT BUY","OK"))</f>
        <v>OK</v>
      </c>
      <c r="AL41" s="119" t="s">
        <v>341</v>
      </c>
      <c r="AM41" s="119" t="s">
        <v>391</v>
      </c>
      <c r="AN41" s="115"/>
      <c r="AO41" s="93"/>
      <c r="AP41" s="115" t="str">
        <f aca="false">IF(OR(AN41="",AO41=""),"",IF(AN41&gt;AO41,"OK","LOW CONF"))</f>
        <v/>
      </c>
      <c r="AQ41" s="115"/>
      <c r="AR41" s="93"/>
      <c r="AS41" s="125" t="str">
        <f aca="false">IF(OR(AQ41="",AR41=""),"",IF(AQ41&lt;AR41,"Decreased",IF(AQ41&gt;AR41,"Increased","Flat")))</f>
        <v/>
      </c>
    </row>
    <row r="42" customFormat="false" ht="15" hidden="false" customHeight="true" outlineLevel="0" collapsed="false">
      <c r="A42" s="62" t="s">
        <v>244</v>
      </c>
      <c r="B42" s="113" t="s">
        <v>392</v>
      </c>
      <c r="C42" s="124" t="n">
        <v>46246</v>
      </c>
      <c r="D42" s="115" t="n">
        <v>4</v>
      </c>
      <c r="E42" s="115" t="s">
        <v>329</v>
      </c>
      <c r="F42" s="115" t="n">
        <v>3</v>
      </c>
      <c r="G42" s="115" t="s">
        <v>329</v>
      </c>
      <c r="H42" s="115" t="n">
        <v>3</v>
      </c>
      <c r="I42" s="115" t="s">
        <v>328</v>
      </c>
      <c r="J42" s="115" t="n">
        <v>3</v>
      </c>
      <c r="K42" s="115" t="s">
        <v>328</v>
      </c>
      <c r="L42" s="115" t="n">
        <v>4</v>
      </c>
      <c r="M42" s="115" t="s">
        <v>329</v>
      </c>
      <c r="N42" s="116" t="n">
        <f aca="false">IF(COUNT(D42,F42,H42,J42,L42)=0,"",(D42*0.2+F42*0.15+H42*0.15+J42*0.1+L42*0.1)/(IF(D42&lt;&gt;"",0.2,0)+IF(F42&lt;&gt;"",0.15,0)+IF(H42&lt;&gt;"",0.15,0)+IF(J42&lt;&gt;"",0.1,0)+IF(L42&lt;&gt;"",0.1,0)))</f>
        <v>3.42857142857143</v>
      </c>
      <c r="O42" s="93" t="n">
        <f aca="false">IF(COUNT(D42,F42,H42,J42,L42)=0,"",D42*0.2+F42*0.15+H42*0.15+J42*0.1+L42*0.1)</f>
        <v>2.4</v>
      </c>
      <c r="P42" s="115"/>
      <c r="Q42" s="115"/>
      <c r="R42" s="115"/>
      <c r="S42" s="115"/>
      <c r="T42" s="115"/>
      <c r="U42" s="115"/>
      <c r="V42" s="115"/>
      <c r="W42" s="115"/>
      <c r="X42" s="65" t="str">
        <f aca="false">IF(COUNT(P42,R42,T42,V42)=0,"",P42*0.08+R42*0.06+T42*0.03+V42*0.08)</f>
        <v/>
      </c>
      <c r="Y42" s="115"/>
      <c r="Z42" s="115"/>
      <c r="AA42" s="115"/>
      <c r="AB42" s="115"/>
      <c r="AC42" s="115"/>
      <c r="AD42" s="115"/>
      <c r="AE42" s="65" t="str">
        <f aca="false">IF(COUNT(Y42,AA42,AC42)=0,"",Y42*0.02+AA42*0.02+AC42*0.01)</f>
        <v/>
      </c>
      <c r="AF42" s="93" t="str">
        <f aca="false">IF(OR(COUNT(D42,F42,H42,J42,L42)&lt;5,COUNT(P42,R42,T42,V42)&lt;4,COUNT(Y42,AA42,AC42)&lt;3),"",(O42+X42+AE42)*20)</f>
        <v/>
      </c>
      <c r="AG42" s="93" t="str">
        <f aca="false">IF(AF42="","",IF(AF42&gt;=80,"STRONG BUY",IF(AF42&gt;=65,"BUY",IF(AF42&gt;=50,"WATCH LIST",IF(AF42&gt;=35,"AVOID","PASS")))))</f>
        <v/>
      </c>
      <c r="AH42" s="93" t="str">
        <f aca="false">IF(N42="","",IF(N42&lt;3,"FAIL","OK"))</f>
        <v>OK</v>
      </c>
      <c r="AI42" s="93" t="str">
        <f aca="false">IF(COUNT(D42:L42)=0,"",IF(COUNTIF(D42:L42,1)&gt;0,"REVIEW","OK"))</f>
        <v>OK</v>
      </c>
      <c r="AJ42" s="93" t="str">
        <f aca="false">IF(COUNT(D42:L42)=0,"",IF(COUNTIF(D42:L42,"&lt;=2")&gt;=2,"AVOID","OK"))</f>
        <v>OK</v>
      </c>
      <c r="AK42" s="93" t="str">
        <f aca="false">IF(COUNTA(E42:M42)=0,"",IF(COUNTIF(E42:M42,"L")&gt;=2,"CAP AT BUY","OK"))</f>
        <v>OK</v>
      </c>
      <c r="AL42" s="119" t="s">
        <v>341</v>
      </c>
      <c r="AM42" s="119" t="s">
        <v>391</v>
      </c>
      <c r="AN42" s="115"/>
      <c r="AO42" s="93"/>
      <c r="AP42" s="115" t="str">
        <f aca="false">IF(OR(AN42="",AO42=""),"",IF(AN42&gt;AO42,"OK","LOW CONF"))</f>
        <v/>
      </c>
      <c r="AQ42" s="115"/>
      <c r="AR42" s="93"/>
      <c r="AS42" s="125" t="str">
        <f aca="false">IF(OR(AQ42="",AR42=""),"",IF(AQ42&lt;AR42,"Decreased",IF(AQ42&gt;AR42,"Increased","Flat")))</f>
        <v/>
      </c>
    </row>
    <row r="43" customFormat="false" ht="15" hidden="false" customHeight="true" outlineLevel="0" collapsed="false">
      <c r="A43" s="62" t="s">
        <v>140</v>
      </c>
      <c r="B43" s="113" t="s">
        <v>141</v>
      </c>
      <c r="C43" s="124" t="n">
        <v>46278</v>
      </c>
      <c r="D43" s="115" t="n">
        <v>4</v>
      </c>
      <c r="E43" s="115" t="s">
        <v>328</v>
      </c>
      <c r="F43" s="115" t="n">
        <v>5</v>
      </c>
      <c r="G43" s="115" t="s">
        <v>328</v>
      </c>
      <c r="H43" s="115" t="n">
        <v>5</v>
      </c>
      <c r="I43" s="115" t="s">
        <v>328</v>
      </c>
      <c r="J43" s="115" t="n">
        <v>4</v>
      </c>
      <c r="K43" s="115" t="s">
        <v>328</v>
      </c>
      <c r="L43" s="115" t="n">
        <v>2</v>
      </c>
      <c r="M43" s="115" t="s">
        <v>328</v>
      </c>
      <c r="N43" s="116" t="n">
        <f aca="false">IF(COUNT(D43,F43,H43,J43,L43)=0,"",(D43*0.2+F43*0.15+H43*0.15+J43*0.1+L43*0.1)/(IF(D43&lt;&gt;"",0.2,0)+IF(F43&lt;&gt;"",0.15,0)+IF(H43&lt;&gt;"",0.15,0)+IF(J43&lt;&gt;"",0.1,0)+IF(L43&lt;&gt;"",0.1,0)))</f>
        <v>4.14285714285714</v>
      </c>
      <c r="O43" s="93" t="n">
        <f aca="false">IF(COUNT(D43,F43,H43,J43,L43)=0,"",D43*0.2+F43*0.15+H43*0.15+J43*0.1+L43*0.1)</f>
        <v>2.9</v>
      </c>
      <c r="P43" s="115" t="n">
        <v>5</v>
      </c>
      <c r="Q43" s="115" t="s">
        <v>329</v>
      </c>
      <c r="R43" s="115" t="n">
        <v>5</v>
      </c>
      <c r="S43" s="115" t="s">
        <v>330</v>
      </c>
      <c r="T43" s="115" t="n">
        <v>3</v>
      </c>
      <c r="U43" s="115" t="s">
        <v>328</v>
      </c>
      <c r="V43" s="115" t="n">
        <v>4</v>
      </c>
      <c r="W43" s="115" t="s">
        <v>328</v>
      </c>
      <c r="X43" s="65" t="n">
        <f aca="false">IF(COUNT(P43,R43,T43,V43)=0,"",P43*0.08+R43*0.06+T43*0.03+V43*0.08)</f>
        <v>1.11</v>
      </c>
      <c r="Y43" s="115" t="n">
        <v>5</v>
      </c>
      <c r="Z43" s="115" t="s">
        <v>328</v>
      </c>
      <c r="AA43" s="115" t="n">
        <v>4</v>
      </c>
      <c r="AB43" s="115" t="s">
        <v>328</v>
      </c>
      <c r="AC43" s="115" t="n">
        <v>2</v>
      </c>
      <c r="AD43" s="115" t="s">
        <v>328</v>
      </c>
      <c r="AE43" s="65" t="n">
        <f aca="false">IF(COUNT(Y43,AA43,AC43)=0,"",Y43*0.02+AA43*0.02+AC43*0.01)</f>
        <v>0.2</v>
      </c>
      <c r="AF43" s="93" t="n">
        <f aca="false">IF(OR(COUNT(D43,F43,H43,J43,L43)&lt;5,COUNT(P43,R43,T43,V43)&lt;4,COUNT(Y43,AA43,AC43)&lt;3),"",(O43+X43+AE43)*20)</f>
        <v>84.2</v>
      </c>
      <c r="AG43" s="93" t="str">
        <f aca="false">IF(AF43="","",IF(AF43&gt;=80,"STRONG BUY",IF(AF43&gt;=65,"BUY",IF(AF43&gt;=50,"WATCH LIST",IF(AF43&gt;=35,"AVOID","PASS")))))</f>
        <v>STRONG BUY</v>
      </c>
      <c r="AH43" s="93" t="str">
        <f aca="false">IF(N43="","",IF(N43&lt;3,"FAIL","OK"))</f>
        <v>OK</v>
      </c>
      <c r="AI43" s="93" t="str">
        <f aca="false">IF(COUNT(D43:L43)=0,"",IF(COUNTIF(D43:L43,1)&gt;0,"REVIEW","OK"))</f>
        <v>OK</v>
      </c>
      <c r="AJ43" s="93" t="str">
        <f aca="false">IF(COUNT(D43:L43)=0,"",IF(COUNTIF(D43:L43,"&lt;=2")&gt;=2,"AVOID","OK"))</f>
        <v>OK</v>
      </c>
      <c r="AK43" s="93" t="str">
        <f aca="false">IF(COUNTA(E43:M43)=0,"",IF(COUNTIF(E43:M43,"L")&gt;=2,"CAP AT BUY","OK"))</f>
        <v>OK</v>
      </c>
      <c r="AL43" s="119" t="s">
        <v>348</v>
      </c>
      <c r="AM43" s="119" t="s">
        <v>393</v>
      </c>
      <c r="AN43" s="115"/>
      <c r="AO43" s="93"/>
      <c r="AP43" s="115" t="str">
        <f aca="false">IF(OR(AN43="",AO43=""),"",IF(AN43&gt;AO43,"OK","LOW CONF"))</f>
        <v/>
      </c>
      <c r="AQ43" s="115"/>
      <c r="AR43" s="93"/>
      <c r="AS43" s="125" t="str">
        <f aca="false">IF(OR(AQ43="",AR43=""),"",IF(AQ43&lt;AR43,"Decreased",IF(AQ43&gt;AR43,"Increased","Flat")))</f>
        <v/>
      </c>
    </row>
    <row r="44" customFormat="false" ht="15" hidden="false" customHeight="true" outlineLevel="0" collapsed="false">
      <c r="A44" s="62" t="s">
        <v>264</v>
      </c>
      <c r="B44" s="113" t="s">
        <v>394</v>
      </c>
      <c r="C44" s="124" t="n">
        <v>46247</v>
      </c>
      <c r="D44" s="115" t="n">
        <v>4</v>
      </c>
      <c r="E44" s="115" t="s">
        <v>328</v>
      </c>
      <c r="F44" s="115" t="n">
        <v>3</v>
      </c>
      <c r="G44" s="115" t="s">
        <v>328</v>
      </c>
      <c r="H44" s="115" t="n">
        <v>3</v>
      </c>
      <c r="I44" s="115" t="s">
        <v>328</v>
      </c>
      <c r="J44" s="115" t="n">
        <v>2</v>
      </c>
      <c r="K44" s="115" t="s">
        <v>328</v>
      </c>
      <c r="L44" s="115" t="n">
        <v>4</v>
      </c>
      <c r="M44" s="115" t="s">
        <v>328</v>
      </c>
      <c r="N44" s="116" t="n">
        <f aca="false">IF(COUNT(D44,F44,H44,J44,L44)=0,"",(D44*0.2+F44*0.15+H44*0.15+J44*0.1+L44*0.1)/(IF(D44&lt;&gt;"",0.2,0)+IF(F44&lt;&gt;"",0.15,0)+IF(H44&lt;&gt;"",0.15,0)+IF(J44&lt;&gt;"",0.1,0)+IF(L44&lt;&gt;"",0.1,0)))</f>
        <v>3.28571428571429</v>
      </c>
      <c r="O44" s="93" t="n">
        <f aca="false">IF(COUNT(D44,F44,H44,J44,L44)=0,"",D44*0.2+F44*0.15+H44*0.15+J44*0.1+L44*0.1)</f>
        <v>2.3</v>
      </c>
      <c r="P44" s="115"/>
      <c r="Q44" s="115"/>
      <c r="R44" s="115"/>
      <c r="S44" s="115"/>
      <c r="T44" s="115"/>
      <c r="U44" s="115"/>
      <c r="V44" s="115"/>
      <c r="W44" s="115"/>
      <c r="X44" s="65" t="str">
        <f aca="false">IF(COUNT(P44,R44,T44,V44)=0,"",P44*0.08+R44*0.06+T44*0.03+V44*0.08)</f>
        <v/>
      </c>
      <c r="Y44" s="115"/>
      <c r="Z44" s="115"/>
      <c r="AA44" s="115" t="n">
        <v>4</v>
      </c>
      <c r="AB44" s="115" t="s">
        <v>328</v>
      </c>
      <c r="AC44" s="115"/>
      <c r="AD44" s="115"/>
      <c r="AE44" s="65" t="n">
        <f aca="false">IF(COUNT(Y44,AA44,AC44)=0,"",Y44*0.02+AA44*0.02+AC44*0.01)</f>
        <v>0.08</v>
      </c>
      <c r="AF44" s="93" t="str">
        <f aca="false">IF(OR(COUNT(D44,F44,H44,J44,L44)&lt;5,COUNT(P44,R44,T44,V44)&lt;4,COUNT(Y44,AA44,AC44)&lt;3),"",(O44+X44+AE44)*20)</f>
        <v/>
      </c>
      <c r="AG44" s="93" t="str">
        <f aca="false">IF(AF44="","",IF(AF44&gt;=80,"STRONG BUY",IF(AF44&gt;=65,"BUY",IF(AF44&gt;=50,"WATCH LIST",IF(AF44&gt;=35,"AVOID","PASS")))))</f>
        <v/>
      </c>
      <c r="AH44" s="93" t="str">
        <f aca="false">IF(N44="","",IF(N44&lt;3,"FAIL","OK"))</f>
        <v>OK</v>
      </c>
      <c r="AI44" s="93" t="str">
        <f aca="false">IF(COUNT(D44:L44)=0,"",IF(COUNTIF(D44:L44,1)&gt;0,"REVIEW","OK"))</f>
        <v>OK</v>
      </c>
      <c r="AJ44" s="93" t="str">
        <f aca="false">IF(COUNT(D44:L44)=0,"",IF(COUNTIF(D44:L44,"&lt;=2")&gt;=2,"AVOID","OK"))</f>
        <v>OK</v>
      </c>
      <c r="AK44" s="93" t="str">
        <f aca="false">IF(COUNTA(E44:M44)=0,"",IF(COUNTIF(E44:M44,"L")&gt;=2,"CAP AT BUY","OK"))</f>
        <v>OK</v>
      </c>
      <c r="AL44" s="119" t="s">
        <v>348</v>
      </c>
      <c r="AM44" s="119" t="s">
        <v>395</v>
      </c>
      <c r="AN44" s="115"/>
      <c r="AO44" s="93"/>
      <c r="AP44" s="115" t="str">
        <f aca="false">IF(OR(AN44="",AO44=""),"",IF(AN44&gt;AO44,"OK","LOW CONF"))</f>
        <v/>
      </c>
      <c r="AQ44" s="115"/>
      <c r="AR44" s="93"/>
      <c r="AS44" s="125" t="str">
        <f aca="false">IF(OR(AQ44="",AR44=""),"",IF(AQ44&lt;AR44,"Decreased",IF(AQ44&gt;AR44,"Increased","Flat")))</f>
        <v/>
      </c>
    </row>
    <row r="45" customFormat="false" ht="15" hidden="false" customHeight="true" outlineLevel="0" collapsed="false">
      <c r="A45" s="62" t="s">
        <v>242</v>
      </c>
      <c r="B45" s="113" t="s">
        <v>396</v>
      </c>
      <c r="C45" s="124" t="n">
        <v>46247</v>
      </c>
      <c r="D45" s="115" t="n">
        <v>4</v>
      </c>
      <c r="E45" s="115" t="s">
        <v>328</v>
      </c>
      <c r="F45" s="115" t="n">
        <v>3</v>
      </c>
      <c r="G45" s="115" t="s">
        <v>328</v>
      </c>
      <c r="H45" s="115" t="n">
        <v>4</v>
      </c>
      <c r="I45" s="115" t="s">
        <v>328</v>
      </c>
      <c r="J45" s="115" t="n">
        <v>3</v>
      </c>
      <c r="K45" s="115" t="s">
        <v>328</v>
      </c>
      <c r="L45" s="115" t="n">
        <v>3</v>
      </c>
      <c r="M45" s="115" t="s">
        <v>328</v>
      </c>
      <c r="N45" s="116" t="n">
        <f aca="false">IF(COUNT(D45,F45,H45,J45,L45)=0,"",(D45*0.2+F45*0.15+H45*0.15+J45*0.1+L45*0.1)/(IF(D45&lt;&gt;"",0.2,0)+IF(F45&lt;&gt;"",0.15,0)+IF(H45&lt;&gt;"",0.15,0)+IF(J45&lt;&gt;"",0.1,0)+IF(L45&lt;&gt;"",0.1,0)))</f>
        <v>3.5</v>
      </c>
      <c r="O45" s="93" t="n">
        <f aca="false">IF(COUNT(D45,F45,H45,J45,L45)=0,"",D45*0.2+F45*0.15+H45*0.15+J45*0.1+L45*0.1)</f>
        <v>2.45</v>
      </c>
      <c r="P45" s="115"/>
      <c r="Q45" s="115"/>
      <c r="R45" s="115"/>
      <c r="S45" s="115"/>
      <c r="T45" s="115"/>
      <c r="U45" s="115"/>
      <c r="V45" s="115"/>
      <c r="W45" s="115"/>
      <c r="X45" s="65" t="str">
        <f aca="false">IF(COUNT(P45,R45,T45,V45)=0,"",P45*0.08+R45*0.06+T45*0.03+V45*0.08)</f>
        <v/>
      </c>
      <c r="Y45" s="115"/>
      <c r="Z45" s="115"/>
      <c r="AA45" s="115" t="n">
        <v>4</v>
      </c>
      <c r="AB45" s="115" t="s">
        <v>328</v>
      </c>
      <c r="AC45" s="115"/>
      <c r="AD45" s="115"/>
      <c r="AE45" s="65" t="n">
        <f aca="false">IF(COUNT(Y45,AA45,AC45)=0,"",Y45*0.02+AA45*0.02+AC45*0.01)</f>
        <v>0.08</v>
      </c>
      <c r="AF45" s="93" t="str">
        <f aca="false">IF(OR(COUNT(D45,F45,H45,J45,L45)&lt;5,COUNT(P45,R45,T45,V45)&lt;4,COUNT(Y45,AA45,AC45)&lt;3),"",(O45+X45+AE45)*20)</f>
        <v/>
      </c>
      <c r="AG45" s="93" t="str">
        <f aca="false">IF(AF45="","",IF(AF45&gt;=80,"STRONG BUY",IF(AF45&gt;=65,"BUY",IF(AF45&gt;=50,"WATCH LIST",IF(AF45&gt;=35,"AVOID","PASS")))))</f>
        <v/>
      </c>
      <c r="AH45" s="93" t="str">
        <f aca="false">IF(N45="","",IF(N45&lt;3,"FAIL","OK"))</f>
        <v>OK</v>
      </c>
      <c r="AI45" s="93" t="str">
        <f aca="false">IF(COUNT(D45:L45)=0,"",IF(COUNTIF(D45:L45,1)&gt;0,"REVIEW","OK"))</f>
        <v>OK</v>
      </c>
      <c r="AJ45" s="93" t="str">
        <f aca="false">IF(COUNT(D45:L45)=0,"",IF(COUNTIF(D45:L45,"&lt;=2")&gt;=2,"AVOID","OK"))</f>
        <v>OK</v>
      </c>
      <c r="AK45" s="93" t="str">
        <f aca="false">IF(COUNTA(E45:M45)=0,"",IF(COUNTIF(E45:M45,"L")&gt;=2,"CAP AT BUY","OK"))</f>
        <v>OK</v>
      </c>
      <c r="AL45" s="119" t="s">
        <v>348</v>
      </c>
      <c r="AM45" s="119" t="s">
        <v>395</v>
      </c>
      <c r="AN45" s="115"/>
      <c r="AO45" s="93"/>
      <c r="AP45" s="115" t="str">
        <f aca="false">IF(OR(AN45="",AO45=""),"",IF(AN45&gt;AO45,"OK","LOW CONF"))</f>
        <v/>
      </c>
      <c r="AQ45" s="115"/>
      <c r="AR45" s="93"/>
      <c r="AS45" s="125" t="str">
        <f aca="false">IF(OR(AQ45="",AR45=""),"",IF(AQ45&lt;AR45,"Decreased",IF(AQ45&gt;AR45,"Increased","Flat")))</f>
        <v/>
      </c>
    </row>
    <row r="46" customFormat="false" ht="15" hidden="true" customHeight="true" outlineLevel="1" collapsed="false">
      <c r="A46" s="62" t="s">
        <v>235</v>
      </c>
      <c r="B46" s="113" t="s">
        <v>397</v>
      </c>
      <c r="C46" s="124" t="n">
        <v>46258</v>
      </c>
      <c r="D46" s="115" t="n">
        <v>4</v>
      </c>
      <c r="E46" s="115" t="s">
        <v>328</v>
      </c>
      <c r="F46" s="115" t="n">
        <v>2</v>
      </c>
      <c r="G46" s="115" t="s">
        <v>328</v>
      </c>
      <c r="H46" s="115" t="n">
        <v>3</v>
      </c>
      <c r="I46" s="115" t="s">
        <v>328</v>
      </c>
      <c r="J46" s="115" t="n">
        <v>2</v>
      </c>
      <c r="K46" s="115" t="s">
        <v>328</v>
      </c>
      <c r="L46" s="115" t="n">
        <v>3</v>
      </c>
      <c r="M46" s="115" t="s">
        <v>328</v>
      </c>
      <c r="N46" s="116" t="n">
        <f aca="false">IF(COUNT(D46,F46,H46,J46,L46)=0,"",(D46*0.2+F46*0.15+H46*0.15+J46*0.1+L46*0.1)/(IF(D46&lt;&gt;"",0.2,0)+IF(F46&lt;&gt;"",0.15,0)+IF(H46&lt;&gt;"",0.15,0)+IF(J46&lt;&gt;"",0.1,0)+IF(L46&lt;&gt;"",0.1,0)))</f>
        <v>2.92857142857143</v>
      </c>
      <c r="O46" s="93" t="n">
        <f aca="false">IF(COUNT(D46,F46,H46,J46,L46)=0,"",D46*0.2+F46*0.15+H46*0.15+J46*0.1+L46*0.1)</f>
        <v>2.05</v>
      </c>
      <c r="P46" s="115"/>
      <c r="Q46" s="115"/>
      <c r="R46" s="115"/>
      <c r="S46" s="115"/>
      <c r="T46" s="115"/>
      <c r="U46" s="115"/>
      <c r="V46" s="115"/>
      <c r="W46" s="115"/>
      <c r="X46" s="65" t="str">
        <f aca="false">IF(COUNT(P46,R46,T46,V46)=0,"",P46*0.08+R46*0.06+T46*0.03+V46*0.08)</f>
        <v/>
      </c>
      <c r="Y46" s="115"/>
      <c r="Z46" s="115"/>
      <c r="AA46" s="115"/>
      <c r="AB46" s="115"/>
      <c r="AC46" s="115"/>
      <c r="AD46" s="115"/>
      <c r="AE46" s="65" t="str">
        <f aca="false">IF(COUNT(Y46,AA46,AC46)=0,"",Y46*0.02+AA46*0.02+AC46*0.01)</f>
        <v/>
      </c>
      <c r="AF46" s="93" t="str">
        <f aca="false">IF(OR(COUNT(D46,F46,H46,J46,L46)&lt;5,COUNT(P46,R46,T46,V46)&lt;4,COUNT(Y46,AA46,AC46)&lt;3),"",(O46+X46+AE46)*20)</f>
        <v/>
      </c>
      <c r="AG46" s="93" t="str">
        <f aca="false">IF(AF46="","",IF(AF46&gt;=80,"STRONG BUY",IF(AF46&gt;=65,"BUY",IF(AF46&gt;=50,"WATCH LIST",IF(AF46&gt;=35,"AVOID","PASS")))))</f>
        <v/>
      </c>
      <c r="AH46" s="93" t="str">
        <f aca="false">IF(N46="","",IF(N46&lt;3,"FAIL","OK"))</f>
        <v>FAIL</v>
      </c>
      <c r="AI46" s="93" t="str">
        <f aca="false">IF(COUNT(D46:L46)=0,"",IF(COUNTIF(D46:L46,1)&gt;0,"REVIEW","OK"))</f>
        <v>OK</v>
      </c>
      <c r="AJ46" s="93" t="str">
        <f aca="false">IF(COUNT(D46:L46)=0,"",IF(COUNTIF(D46:L46,"&lt;=2")&gt;=2,"AVOID","OK"))</f>
        <v>AVOID</v>
      </c>
      <c r="AK46" s="93" t="str">
        <f aca="false">IF(COUNTA(E46:M46)=0,"",IF(COUNTIF(E46:M46,"L")&gt;=2,"CAP AT BUY","OK"))</f>
        <v>OK</v>
      </c>
      <c r="AL46" s="119" t="s">
        <v>398</v>
      </c>
      <c r="AM46" s="119" t="s">
        <v>399</v>
      </c>
      <c r="AN46" s="115"/>
      <c r="AO46" s="93"/>
      <c r="AP46" s="115" t="str">
        <f aca="false">IF(OR(AN46="",AO46=""),"",IF(AN46&gt;AO46,"OK","LOW CONF"))</f>
        <v/>
      </c>
      <c r="AQ46" s="115"/>
      <c r="AR46" s="93"/>
      <c r="AS46" s="125" t="str">
        <f aca="false">IF(OR(AQ46="",AR46=""),"",IF(AQ46&lt;AR46,"Decreased",IF(AQ46&gt;AR46,"Increased","Flat")))</f>
        <v/>
      </c>
    </row>
    <row r="47" customFormat="false" ht="15" hidden="false" customHeight="true" outlineLevel="0" collapsed="false">
      <c r="A47" s="62" t="s">
        <v>143</v>
      </c>
      <c r="B47" s="113" t="s">
        <v>144</v>
      </c>
      <c r="C47" s="124" t="n">
        <v>46278</v>
      </c>
      <c r="D47" s="115" t="n">
        <v>4</v>
      </c>
      <c r="E47" s="115" t="s">
        <v>328</v>
      </c>
      <c r="F47" s="115" t="n">
        <v>4</v>
      </c>
      <c r="G47" s="115" t="s">
        <v>328</v>
      </c>
      <c r="H47" s="115" t="n">
        <v>5</v>
      </c>
      <c r="I47" s="115" t="s">
        <v>328</v>
      </c>
      <c r="J47" s="115" t="n">
        <v>4</v>
      </c>
      <c r="K47" s="115" t="s">
        <v>328</v>
      </c>
      <c r="L47" s="115" t="n">
        <v>4</v>
      </c>
      <c r="M47" s="115" t="s">
        <v>328</v>
      </c>
      <c r="N47" s="116" t="n">
        <f aca="false">IF(COUNT(D47,F47,H47,J47,L47)=0,"",(D47*0.2+F47*0.15+H47*0.15+J47*0.1+L47*0.1)/(IF(D47&lt;&gt;"",0.2,0)+IF(F47&lt;&gt;"",0.15,0)+IF(H47&lt;&gt;"",0.15,0)+IF(J47&lt;&gt;"",0.1,0)+IF(L47&lt;&gt;"",0.1,0)))</f>
        <v>4.21428571428571</v>
      </c>
      <c r="O47" s="93" t="n">
        <f aca="false">IF(COUNT(D47,F47,H47,J47,L47)=0,"",D47*0.2+F47*0.15+H47*0.15+J47*0.1+L47*0.1)</f>
        <v>2.95</v>
      </c>
      <c r="P47" s="115" t="n">
        <v>5</v>
      </c>
      <c r="Q47" s="115" t="s">
        <v>329</v>
      </c>
      <c r="R47" s="115" t="n">
        <v>5</v>
      </c>
      <c r="S47" s="115" t="s">
        <v>330</v>
      </c>
      <c r="T47" s="115" t="n">
        <v>1</v>
      </c>
      <c r="U47" s="115" t="s">
        <v>328</v>
      </c>
      <c r="V47" s="115" t="n">
        <v>4</v>
      </c>
      <c r="W47" s="115" t="s">
        <v>328</v>
      </c>
      <c r="X47" s="65" t="n">
        <f aca="false">IF(COUNT(P47,R47,T47,V47)=0,"",P47*0.08+R47*0.06+T47*0.03+V47*0.08)</f>
        <v>1.05</v>
      </c>
      <c r="Y47" s="115" t="n">
        <v>4</v>
      </c>
      <c r="Z47" s="115" t="s">
        <v>328</v>
      </c>
      <c r="AA47" s="115" t="n">
        <v>4</v>
      </c>
      <c r="AB47" s="115" t="s">
        <v>328</v>
      </c>
      <c r="AC47" s="115" t="n">
        <v>3</v>
      </c>
      <c r="AD47" s="115" t="s">
        <v>328</v>
      </c>
      <c r="AE47" s="65" t="n">
        <f aca="false">IF(COUNT(Y47,AA47,AC47)=0,"",Y47*0.02+AA47*0.02+AC47*0.01)</f>
        <v>0.19</v>
      </c>
      <c r="AF47" s="93" t="n">
        <f aca="false">IF(OR(COUNT(D47,F47,H47,J47,L47)&lt;5,COUNT(P47,R47,T47,V47)&lt;4,COUNT(Y47,AA47,AC47)&lt;3),"",(O47+X47+AE47)*20)</f>
        <v>83.8</v>
      </c>
      <c r="AG47" s="93" t="str">
        <f aca="false">IF(AF47="","",IF(AF47&gt;=80,"STRONG BUY",IF(AF47&gt;=65,"BUY",IF(AF47&gt;=50,"WATCH LIST",IF(AF47&gt;=35,"AVOID","PASS")))))</f>
        <v>STRONG BUY</v>
      </c>
      <c r="AH47" s="93" t="str">
        <f aca="false">IF(N47="","",IF(N47&lt;3,"FAIL","OK"))</f>
        <v>OK</v>
      </c>
      <c r="AI47" s="93" t="str">
        <f aca="false">IF(COUNT(D47:L47)=0,"",IF(COUNTIF(D47:L47,1)&gt;0,"REVIEW","OK"))</f>
        <v>OK</v>
      </c>
      <c r="AJ47" s="93" t="str">
        <f aca="false">IF(COUNT(D47:L47)=0,"",IF(COUNTIF(D47:L47,"&lt;=2")&gt;=2,"AVOID","OK"))</f>
        <v>OK</v>
      </c>
      <c r="AK47" s="93" t="str">
        <f aca="false">IF(COUNTA(E47:M47)=0,"",IF(COUNTIF(E47:M47,"L")&gt;=2,"CAP AT BUY","OK"))</f>
        <v>OK</v>
      </c>
      <c r="AL47" s="119" t="s">
        <v>398</v>
      </c>
      <c r="AM47" s="119" t="s">
        <v>399</v>
      </c>
      <c r="AN47" s="115"/>
      <c r="AO47" s="93"/>
      <c r="AP47" s="115" t="str">
        <f aca="false">IF(OR(AN47="",AO47=""),"",IF(AN47&gt;AO47,"OK","LOW CONF"))</f>
        <v/>
      </c>
      <c r="AQ47" s="115"/>
      <c r="AR47" s="93"/>
      <c r="AS47" s="125" t="str">
        <f aca="false">IF(OR(AQ47="",AR47=""),"",IF(AQ47&lt;AR47,"Decreased",IF(AQ47&gt;AR47,"Increased","Flat")))</f>
        <v/>
      </c>
    </row>
    <row r="48" customFormat="false" ht="15" hidden="false" customHeight="true" outlineLevel="0" collapsed="false">
      <c r="A48" s="62" t="s">
        <v>274</v>
      </c>
      <c r="B48" s="113" t="s">
        <v>400</v>
      </c>
      <c r="C48" s="114" t="n">
        <v>46276</v>
      </c>
      <c r="D48" s="115" t="n">
        <v>4</v>
      </c>
      <c r="E48" s="115" t="s">
        <v>328</v>
      </c>
      <c r="F48" s="115" t="n">
        <v>4</v>
      </c>
      <c r="G48" s="115" t="s">
        <v>328</v>
      </c>
      <c r="H48" s="115"/>
      <c r="I48" s="115"/>
      <c r="J48" s="115"/>
      <c r="K48" s="115"/>
      <c r="L48" s="115" t="n">
        <v>4</v>
      </c>
      <c r="M48" s="115" t="s">
        <v>328</v>
      </c>
      <c r="N48" s="116" t="n">
        <f aca="false">IF(COUNT(D48,F48,H48,J48,L48)=0,"",(D48*0.2+F48*0.15+H48*0.15+J48*0.1+L48*0.1)/(IF(D48&lt;&gt;"",0.2,0)+IF(F48&lt;&gt;"",0.15,0)+IF(H48&lt;&gt;"",0.15,0)+IF(J48&lt;&gt;"",0.1,0)+IF(L48&lt;&gt;"",0.1,0)))</f>
        <v>4</v>
      </c>
      <c r="O48" s="117" t="n">
        <f aca="false">IF(COUNT(D48,F48,H48,J48,L48)=0,"",D48*0.2+F48*0.15+H48*0.15+J48*0.1+L48*0.1)</f>
        <v>1.8</v>
      </c>
      <c r="P48" s="115"/>
      <c r="Q48" s="115"/>
      <c r="R48" s="115"/>
      <c r="S48" s="115"/>
      <c r="T48" s="115"/>
      <c r="U48" s="115"/>
      <c r="V48" s="115"/>
      <c r="W48" s="115"/>
      <c r="X48" s="117" t="str">
        <f aca="false">IF(COUNT(P48,R48,T48,V48)=0,"",P48*0.08+R48*0.06+T48*0.03+V48*0.08)</f>
        <v/>
      </c>
      <c r="Y48" s="115"/>
      <c r="Z48" s="115"/>
      <c r="AA48" s="115"/>
      <c r="AB48" s="115"/>
      <c r="AC48" s="115"/>
      <c r="AD48" s="115"/>
      <c r="AE48" s="117" t="str">
        <f aca="false">IF(COUNT(Y48,AA48,AC48)=0,"",Y48*0.02+AA48*0.02+AC48*0.01)</f>
        <v/>
      </c>
      <c r="AF48" s="93" t="str">
        <f aca="false">IF(OR(COUNT(D48,F48,H48,J48,L48)&lt;5,COUNT(P48,R48,T48,V48)&lt;4,COUNT(Y48,AA48,AC48)&lt;3),"",(O48+X48+AE48)*20)</f>
        <v/>
      </c>
      <c r="AG48" s="93" t="str">
        <f aca="false">IF(AF48="","",IF(AF48&gt;=80,"STRONG BUY",IF(AF48&gt;=65,"BUY",IF(AF48&gt;=50,"WATCH LIST",IF(AF48&gt;=35,"AVOID","PASS")))))</f>
        <v/>
      </c>
      <c r="AH48" s="93" t="str">
        <f aca="false">IF(N48="","",IF(N48&lt;3,"FAIL","OK"))</f>
        <v>OK</v>
      </c>
      <c r="AI48" s="93" t="str">
        <f aca="false">IF(COUNT(D48:L48)=0,"",IF(COUNTIF(D48:L48,1)&gt;0,"REVIEW","OK"))</f>
        <v>OK</v>
      </c>
      <c r="AJ48" s="93" t="str">
        <f aca="false">IF(COUNT(D48:L48)=0,"",IF(COUNTIF(D48:L48,"&lt;=2")&gt;=2,"AVOID","OK"))</f>
        <v>OK</v>
      </c>
      <c r="AK48" s="93" t="str">
        <f aca="false">IF(COUNTA(E48:M48)=0,"",IF(COUNTIF(E48:M48,"L")&gt;=2,"CAP AT BUY","OK"))</f>
        <v>OK</v>
      </c>
      <c r="AL48" s="119" t="s">
        <v>358</v>
      </c>
      <c r="AM48" s="119" t="s">
        <v>363</v>
      </c>
      <c r="AN48" s="115"/>
      <c r="AO48" s="93"/>
      <c r="AP48" s="115" t="str">
        <f aca="false">IF(OR(AN48="",AO48=""),"",IF(AN48&gt;AO48,"OK","LOW CONF"))</f>
        <v/>
      </c>
      <c r="AQ48" s="115"/>
      <c r="AR48" s="93"/>
      <c r="AS48" s="125" t="str">
        <f aca="false">IF(OR(AQ48="",AR48=""),"",IF(AQ48&lt;AR48,"Decreased",IF(AQ48&gt;AR48,"Increased","Flat")))</f>
        <v/>
      </c>
    </row>
    <row r="49" customFormat="false" ht="15" hidden="false" customHeight="true" outlineLevel="0" collapsed="false">
      <c r="A49" s="62" t="s">
        <v>401</v>
      </c>
      <c r="B49" s="113" t="s">
        <v>402</v>
      </c>
      <c r="C49" s="124" t="n">
        <v>46278</v>
      </c>
      <c r="D49" s="115" t="n">
        <v>3</v>
      </c>
      <c r="E49" s="115" t="s">
        <v>328</v>
      </c>
      <c r="F49" s="115" t="n">
        <v>2</v>
      </c>
      <c r="G49" s="115" t="s">
        <v>328</v>
      </c>
      <c r="H49" s="115" t="n">
        <v>5</v>
      </c>
      <c r="I49" s="115" t="s">
        <v>329</v>
      </c>
      <c r="J49" s="115" t="n">
        <v>4</v>
      </c>
      <c r="K49" s="115" t="s">
        <v>328</v>
      </c>
      <c r="L49" s="115" t="n">
        <v>4</v>
      </c>
      <c r="M49" s="115" t="s">
        <v>328</v>
      </c>
      <c r="N49" s="116" t="n">
        <f aca="false">IF(COUNT(D49,F49,H49,J49,L49)=0,"",(D49*0.2+F49*0.15+H49*0.15+J49*0.1+L49*0.1)/(IF(D49&lt;&gt;"",0.2,0)+IF(F49&lt;&gt;"",0.15,0)+IF(H49&lt;&gt;"",0.15,0)+IF(J49&lt;&gt;"",0.1,0)+IF(L49&lt;&gt;"",0.1,0)))</f>
        <v>3.5</v>
      </c>
      <c r="O49" s="93" t="n">
        <f aca="false">IF(COUNT(D49,F49,H49,J49,L49)=0,"",D49*0.2+F49*0.15+H49*0.15+J49*0.1+L49*0.1)</f>
        <v>2.45</v>
      </c>
      <c r="P49" s="115" t="n">
        <v>5</v>
      </c>
      <c r="Q49" s="115" t="s">
        <v>329</v>
      </c>
      <c r="R49" s="115" t="n">
        <v>3</v>
      </c>
      <c r="S49" s="115" t="s">
        <v>330</v>
      </c>
      <c r="T49" s="115" t="n">
        <v>1</v>
      </c>
      <c r="U49" s="115" t="s">
        <v>328</v>
      </c>
      <c r="V49" s="115" t="n">
        <v>4</v>
      </c>
      <c r="W49" s="115" t="s">
        <v>328</v>
      </c>
      <c r="X49" s="65" t="n">
        <f aca="false">IF(COUNT(P49,R49,T49,V49)=0,"",P49*0.08+R49*0.06+T49*0.03+V49*0.08)</f>
        <v>0.93</v>
      </c>
      <c r="Y49" s="115" t="n">
        <v>2</v>
      </c>
      <c r="Z49" s="115" t="s">
        <v>328</v>
      </c>
      <c r="AA49" s="115" t="n">
        <v>5</v>
      </c>
      <c r="AB49" s="115" t="s">
        <v>328</v>
      </c>
      <c r="AC49" s="115" t="n">
        <v>2</v>
      </c>
      <c r="AD49" s="115" t="s">
        <v>328</v>
      </c>
      <c r="AE49" s="65" t="n">
        <f aca="false">IF(COUNT(Y49,AA49,AC49)=0,"",Y49*0.02+AA49*0.02+AC49*0.01)</f>
        <v>0.16</v>
      </c>
      <c r="AF49" s="93" t="n">
        <f aca="false">IF(OR(COUNT(D49,F49,H49,J49,L49)&lt;5,COUNT(P49,R49,T49,V49)&lt;4,COUNT(Y49,AA49,AC49)&lt;3),"",(O49+X49+AE49)*20)</f>
        <v>70.8</v>
      </c>
      <c r="AG49" s="93" t="str">
        <f aca="false">IF(AF49="","",IF(AF49&gt;=80,"STRONG BUY",IF(AF49&gt;=65,"BUY",IF(AF49&gt;=50,"WATCH LIST",IF(AF49&gt;=35,"AVOID","PASS")))))</f>
        <v>BUY</v>
      </c>
      <c r="AH49" s="93" t="str">
        <f aca="false">IF(N49="","",IF(N49&lt;3,"FAIL","OK"))</f>
        <v>OK</v>
      </c>
      <c r="AI49" s="93" t="str">
        <f aca="false">IF(COUNT(D49:L49)=0,"",IF(COUNTIF(D49:L49,1)&gt;0,"REVIEW","OK"))</f>
        <v>OK</v>
      </c>
      <c r="AJ49" s="93" t="str">
        <f aca="false">IF(COUNT(D49:L49)=0,"",IF(COUNTIF(D49:L49,"&lt;=2")&gt;=2,"AVOID","OK"))</f>
        <v>OK</v>
      </c>
      <c r="AK49" s="93" t="str">
        <f aca="false">IF(COUNTA(E49:M49)=0,"",IF(COUNTIF(E49:M49,"L")&gt;=2,"CAP AT BUY","OK"))</f>
        <v>OK</v>
      </c>
      <c r="AL49" s="119" t="s">
        <v>334</v>
      </c>
      <c r="AM49" s="119" t="s">
        <v>403</v>
      </c>
      <c r="AN49" s="115"/>
      <c r="AO49" s="93"/>
      <c r="AP49" s="115" t="str">
        <f aca="false">IF(OR(AN49="",AO49=""),"",IF(AN49&gt;AO49,"OK","LOW CONF"))</f>
        <v/>
      </c>
      <c r="AQ49" s="115"/>
      <c r="AR49" s="93"/>
      <c r="AS49" s="125" t="str">
        <f aca="false">IF(OR(AQ49="",AR49=""),"",IF(AQ49&lt;AR49,"Decreased",IF(AQ49&gt;AR49,"Increased","Flat")))</f>
        <v/>
      </c>
    </row>
    <row r="50" customFormat="false" ht="15" hidden="false" customHeight="true" outlineLevel="0" collapsed="false">
      <c r="A50" s="62" t="s">
        <v>404</v>
      </c>
      <c r="B50" s="113" t="s">
        <v>405</v>
      </c>
      <c r="C50" s="124" t="n">
        <v>46278</v>
      </c>
      <c r="D50" s="115" t="n">
        <v>4</v>
      </c>
      <c r="E50" s="115" t="s">
        <v>328</v>
      </c>
      <c r="F50" s="115" t="n">
        <v>3</v>
      </c>
      <c r="G50" s="115" t="s">
        <v>328</v>
      </c>
      <c r="H50" s="115" t="n">
        <v>4</v>
      </c>
      <c r="I50" s="115" t="s">
        <v>328</v>
      </c>
      <c r="J50" s="115" t="n">
        <v>3</v>
      </c>
      <c r="K50" s="115" t="s">
        <v>328</v>
      </c>
      <c r="L50" s="115" t="n">
        <v>3</v>
      </c>
      <c r="M50" s="115" t="s">
        <v>328</v>
      </c>
      <c r="N50" s="116" t="n">
        <f aca="false">IF(COUNT(D50,F50,H50,J50,L50)=0,"",(D50*0.2+F50*0.15+H50*0.15+J50*0.1+L50*0.1)/(IF(D50&lt;&gt;"",0.2,0)+IF(F50&lt;&gt;"",0.15,0)+IF(H50&lt;&gt;"",0.15,0)+IF(J50&lt;&gt;"",0.1,0)+IF(L50&lt;&gt;"",0.1,0)))</f>
        <v>3.5</v>
      </c>
      <c r="O50" s="93" t="n">
        <f aca="false">IF(COUNT(D50,F50,H50,J50,L50)=0,"",D50*0.2+F50*0.15+H50*0.15+J50*0.1+L50*0.1)</f>
        <v>2.45</v>
      </c>
      <c r="P50" s="115" t="n">
        <v>4</v>
      </c>
      <c r="Q50" s="115" t="s">
        <v>328</v>
      </c>
      <c r="R50" s="115" t="n">
        <v>3</v>
      </c>
      <c r="S50" s="115" t="s">
        <v>330</v>
      </c>
      <c r="T50" s="115" t="n">
        <v>5</v>
      </c>
      <c r="U50" s="115" t="s">
        <v>328</v>
      </c>
      <c r="V50" s="115" t="n">
        <v>4</v>
      </c>
      <c r="W50" s="115" t="s">
        <v>328</v>
      </c>
      <c r="X50" s="65" t="n">
        <f aca="false">IF(COUNT(P50,R50,T50,V50)=0,"",P50*0.08+R50*0.06+T50*0.03+V50*0.08)</f>
        <v>0.97</v>
      </c>
      <c r="Y50" s="115" t="n">
        <v>5</v>
      </c>
      <c r="Z50" s="115" t="s">
        <v>328</v>
      </c>
      <c r="AA50" s="115" t="n">
        <v>4</v>
      </c>
      <c r="AB50" s="115" t="s">
        <v>328</v>
      </c>
      <c r="AC50" s="115" t="n">
        <v>2</v>
      </c>
      <c r="AD50" s="115" t="s">
        <v>328</v>
      </c>
      <c r="AE50" s="65" t="n">
        <f aca="false">IF(COUNT(Y50,AA50,AC50)=0,"",Y50*0.02+AA50*0.02+AC50*0.01)</f>
        <v>0.2</v>
      </c>
      <c r="AF50" s="93" t="n">
        <f aca="false">IF(OR(COUNT(D50,F50,H50,J50,L50)&lt;5,COUNT(P50,R50,T50,V50)&lt;4,COUNT(Y50,AA50,AC50)&lt;3),"",(O50+X50+AE50)*20)</f>
        <v>72.4</v>
      </c>
      <c r="AG50" s="93" t="str">
        <f aca="false">IF(AF50="","",IF(AF50&gt;=80,"STRONG BUY",IF(AF50&gt;=65,"BUY",IF(AF50&gt;=50,"WATCH LIST",IF(AF50&gt;=35,"AVOID","PASS")))))</f>
        <v>BUY</v>
      </c>
      <c r="AH50" s="93" t="str">
        <f aca="false">IF(N50="","",IF(N50&lt;3,"FAIL","OK"))</f>
        <v>OK</v>
      </c>
      <c r="AI50" s="93" t="str">
        <f aca="false">IF(COUNT(D50:L50)=0,"",IF(COUNTIF(D50:L50,1)&gt;0,"REVIEW","OK"))</f>
        <v>OK</v>
      </c>
      <c r="AJ50" s="93" t="str">
        <f aca="false">IF(COUNT(D50:L50)=0,"",IF(COUNTIF(D50:L50,"&lt;=2")&gt;=2,"AVOID","OK"))</f>
        <v>OK</v>
      </c>
      <c r="AK50" s="93" t="str">
        <f aca="false">IF(COUNTA(E50:M50)=0,"",IF(COUNTIF(E50:M50,"L")&gt;=2,"CAP AT BUY","OK"))</f>
        <v>OK</v>
      </c>
      <c r="AL50" s="119" t="s">
        <v>358</v>
      </c>
      <c r="AM50" s="119" t="s">
        <v>363</v>
      </c>
      <c r="AN50" s="115"/>
      <c r="AO50" s="93"/>
      <c r="AP50" s="115" t="str">
        <f aca="false">IF(OR(AN50="",AO50=""),"",IF(AN50&gt;AO50,"OK","LOW CONF"))</f>
        <v/>
      </c>
      <c r="AQ50" s="115"/>
      <c r="AR50" s="93"/>
      <c r="AS50" s="125" t="str">
        <f aca="false">IF(OR(AQ50="",AR50=""),"",IF(AQ50&lt;AR50,"Decreased",IF(AQ50&gt;AR50,"Increased","Flat")))</f>
        <v/>
      </c>
    </row>
    <row r="51" customFormat="false" ht="15" hidden="false" customHeight="true" outlineLevel="0" collapsed="false">
      <c r="A51" s="62"/>
      <c r="B51" s="113"/>
      <c r="C51" s="115"/>
      <c r="D51" s="115"/>
      <c r="E51" s="115"/>
      <c r="F51" s="115"/>
      <c r="G51" s="115"/>
      <c r="H51" s="115"/>
      <c r="I51" s="115"/>
      <c r="J51" s="115"/>
      <c r="K51" s="115"/>
      <c r="L51" s="115"/>
      <c r="M51" s="115"/>
      <c r="N51" s="116" t="str">
        <f aca="false">IF(COUNT(D51,F51,H51,J51,L51)=0,"",(D51*0.2+F51*0.15+H51*0.15+J51*0.1+L51*0.1)/(IF(D51&lt;&gt;"",0.2,0)+IF(F51&lt;&gt;"",0.15,0)+IF(H51&lt;&gt;"",0.15,0)+IF(J51&lt;&gt;"",0.1,0)+IF(L51&lt;&gt;"",0.1,0)))</f>
        <v/>
      </c>
      <c r="O51" s="93" t="str">
        <f aca="false">IF(COUNT(D51,F51,H51,J51,L51)=0,"",D51*0.2+F51*0.15+H51*0.15+J51*0.1+L51*0.1)</f>
        <v/>
      </c>
      <c r="P51" s="115"/>
      <c r="Q51" s="115"/>
      <c r="R51" s="115"/>
      <c r="S51" s="115"/>
      <c r="T51" s="115"/>
      <c r="U51" s="115"/>
      <c r="V51" s="115"/>
      <c r="W51" s="115"/>
      <c r="X51" s="65" t="str">
        <f aca="false">IF(COUNT(P51,R51,T51,V51)=0,"",P51*0.08+R51*0.06+T51*0.03+V51*0.08)</f>
        <v/>
      </c>
      <c r="Y51" s="115"/>
      <c r="Z51" s="115"/>
      <c r="AA51" s="115"/>
      <c r="AB51" s="115"/>
      <c r="AC51" s="115"/>
      <c r="AD51" s="115"/>
      <c r="AE51" s="65" t="str">
        <f aca="false">IF(COUNT(Y51,AA51,AC51)=0,"",Y51*0.02+AA51*0.02+AC51*0.01)</f>
        <v/>
      </c>
      <c r="AF51" s="93" t="str">
        <f aca="false">IF(OR(COUNT(D51,F51,H51,J51,L51)&lt;5,COUNT(P51,R51,T51,V51)&lt;4,COUNT(Y51,AA51,AC51)&lt;3),"",(O51+X51+AE51)*20)</f>
        <v/>
      </c>
      <c r="AG51" s="93" t="str">
        <f aca="false">IF(AF51="","",IF(AF51&gt;=80,"STRONG BUY",IF(AF51&gt;=65,"BUY",IF(AF51&gt;=50,"WATCH LIST",IF(AF51&gt;=35,"AVOID","PASS")))))</f>
        <v/>
      </c>
      <c r="AH51" s="93" t="str">
        <f aca="false">IF(N51="","",IF(N51&lt;3,"FAIL","OK"))</f>
        <v/>
      </c>
      <c r="AI51" s="93" t="str">
        <f aca="false">IF(COUNT(D51:L51)=0,"",IF(COUNTIF(D51:L51,1)&gt;0,"REVIEW","OK"))</f>
        <v/>
      </c>
      <c r="AJ51" s="93" t="str">
        <f aca="false">IF(COUNT(D51:L51)=0,"",IF(COUNTIF(D51:L51,"&lt;=2")&gt;=2,"AVOID","OK"))</f>
        <v/>
      </c>
      <c r="AK51" s="93" t="str">
        <f aca="false">IF(COUNTA(E51:M51)=0,"",IF(COUNTIF(E51:M51,"L")&gt;=2,"CAP AT BUY","OK"))</f>
        <v/>
      </c>
      <c r="AL51" s="119"/>
      <c r="AM51" s="119"/>
      <c r="AN51" s="115"/>
      <c r="AO51" s="93"/>
      <c r="AP51" s="115" t="str">
        <f aca="false">IF(OR(AN51="",AO51=""),"",IF(AN51&gt;AO51,"OK","LOW CONF"))</f>
        <v/>
      </c>
      <c r="AQ51" s="115"/>
      <c r="AR51" s="93"/>
      <c r="AS51" s="125" t="str">
        <f aca="false">IF(OR(AQ51="",AR51=""),"",IF(AQ51&lt;AR51,"Decreased",IF(AQ51&gt;AR51,"Increased","Flat")))</f>
        <v/>
      </c>
    </row>
    <row r="52" customFormat="false" ht="15" hidden="false" customHeight="true" outlineLevel="0" collapsed="false">
      <c r="A52" s="62"/>
      <c r="B52" s="113"/>
      <c r="C52" s="115"/>
      <c r="D52" s="115"/>
      <c r="E52" s="115"/>
      <c r="F52" s="115"/>
      <c r="G52" s="115"/>
      <c r="H52" s="115"/>
      <c r="I52" s="115"/>
      <c r="J52" s="115"/>
      <c r="K52" s="115"/>
      <c r="L52" s="115"/>
      <c r="M52" s="115"/>
      <c r="N52" s="116" t="str">
        <f aca="false">IF(COUNT(D52,F52,H52,J52,L52)=0,"",(D52*0.2+F52*0.15+H52*0.15+J52*0.1+L52*0.1)/(IF(D52&lt;&gt;"",0.2,0)+IF(F52&lt;&gt;"",0.15,0)+IF(H52&lt;&gt;"",0.15,0)+IF(J52&lt;&gt;"",0.1,0)+IF(L52&lt;&gt;"",0.1,0)))</f>
        <v/>
      </c>
      <c r="O52" s="93" t="str">
        <f aca="false">IF(COUNT(D52,F52,H52,J52,L52)=0,"",D52*0.2+F52*0.15+H52*0.15+J52*0.1+L52*0.1)</f>
        <v/>
      </c>
      <c r="P52" s="115"/>
      <c r="Q52" s="115"/>
      <c r="R52" s="115"/>
      <c r="S52" s="115"/>
      <c r="T52" s="115"/>
      <c r="U52" s="115"/>
      <c r="V52" s="115"/>
      <c r="W52" s="115"/>
      <c r="X52" s="65" t="str">
        <f aca="false">IF(COUNT(P52,R52,T52,V52)=0,"",P52*0.08+R52*0.06+T52*0.03+V52*0.08)</f>
        <v/>
      </c>
      <c r="Y52" s="115"/>
      <c r="Z52" s="115"/>
      <c r="AA52" s="115"/>
      <c r="AB52" s="115"/>
      <c r="AC52" s="115"/>
      <c r="AD52" s="115"/>
      <c r="AE52" s="65" t="str">
        <f aca="false">IF(COUNT(Y52,AA52,AC52)=0,"",Y52*0.02+AA52*0.02+AC52*0.01)</f>
        <v/>
      </c>
      <c r="AF52" s="93" t="str">
        <f aca="false">IF(OR(COUNT(D52,F52,H52,J52,L52)&lt;5,COUNT(P52,R52,T52,V52)&lt;4,COUNT(Y52,AA52,AC52)&lt;3),"",(O52+X52+AE52)*20)</f>
        <v/>
      </c>
      <c r="AG52" s="93" t="str">
        <f aca="false">IF(AF52="","",IF(AF52&gt;=80,"STRONG BUY",IF(AF52&gt;=65,"BUY",IF(AF52&gt;=50,"WATCH LIST",IF(AF52&gt;=35,"AVOID","PASS")))))</f>
        <v/>
      </c>
      <c r="AH52" s="93" t="str">
        <f aca="false">IF(N52="","",IF(N52&lt;3,"FAIL","OK"))</f>
        <v/>
      </c>
      <c r="AI52" s="93" t="str">
        <f aca="false">IF(COUNT(D52:L52)=0,"",IF(COUNTIF(D52:L52,1)&gt;0,"REVIEW","OK"))</f>
        <v/>
      </c>
      <c r="AJ52" s="93" t="str">
        <f aca="false">IF(COUNT(D52:L52)=0,"",IF(COUNTIF(D52:L52,"&lt;=2")&gt;=2,"AVOID","OK"))</f>
        <v/>
      </c>
      <c r="AK52" s="93" t="str">
        <f aca="false">IF(COUNTA(E52:M52)=0,"",IF(COUNTIF(E52:M52,"L")&gt;=2,"CAP AT BUY","OK"))</f>
        <v/>
      </c>
      <c r="AL52" s="119"/>
      <c r="AM52" s="119"/>
      <c r="AN52" s="115"/>
      <c r="AO52" s="93"/>
      <c r="AP52" s="115" t="str">
        <f aca="false">IF(OR(AN52="",AO52=""),"",IF(AN52&gt;AO52,"OK","LOW CONF"))</f>
        <v/>
      </c>
      <c r="AQ52" s="115"/>
      <c r="AR52" s="93"/>
      <c r="AS52" s="125" t="str">
        <f aca="false">IF(OR(AQ52="",AR52=""),"",IF(AQ52&lt;AR52,"Decreased",IF(AQ52&gt;AR52,"Increased","Flat")))</f>
        <v/>
      </c>
    </row>
    <row r="53" customFormat="false" ht="15" hidden="false" customHeight="true" outlineLevel="0" collapsed="false">
      <c r="A53" s="62"/>
      <c r="B53" s="113"/>
      <c r="C53" s="115"/>
      <c r="D53" s="115"/>
      <c r="E53" s="115"/>
      <c r="F53" s="115"/>
      <c r="G53" s="115"/>
      <c r="H53" s="115"/>
      <c r="I53" s="115"/>
      <c r="J53" s="115"/>
      <c r="K53" s="115"/>
      <c r="L53" s="115"/>
      <c r="M53" s="115"/>
      <c r="N53" s="116" t="str">
        <f aca="false">IF(COUNT(D53,F53,H53,J53,L53)=0,"",(D53*0.2+F53*0.15+H53*0.15+J53*0.1+L53*0.1)/(IF(D53&lt;&gt;"",0.2,0)+IF(F53&lt;&gt;"",0.15,0)+IF(H53&lt;&gt;"",0.15,0)+IF(J53&lt;&gt;"",0.1,0)+IF(L53&lt;&gt;"",0.1,0)))</f>
        <v/>
      </c>
      <c r="O53" s="93" t="str">
        <f aca="false">IF(COUNT(D53,F53,H53,J53,L53)=0,"",D53*0.2+F53*0.15+H53*0.15+J53*0.1+L53*0.1)</f>
        <v/>
      </c>
      <c r="P53" s="115"/>
      <c r="Q53" s="115"/>
      <c r="R53" s="115"/>
      <c r="S53" s="115"/>
      <c r="T53" s="115"/>
      <c r="U53" s="115"/>
      <c r="V53" s="115"/>
      <c r="W53" s="115"/>
      <c r="X53" s="65" t="str">
        <f aca="false">IF(COUNT(P53,R53,T53,V53)=0,"",P53*0.08+R53*0.06+T53*0.03+V53*0.08)</f>
        <v/>
      </c>
      <c r="Y53" s="115"/>
      <c r="Z53" s="115"/>
      <c r="AA53" s="115"/>
      <c r="AB53" s="115"/>
      <c r="AC53" s="115"/>
      <c r="AD53" s="115"/>
      <c r="AE53" s="65" t="str">
        <f aca="false">IF(COUNT(Y53,AA53,AC53)=0,"",Y53*0.02+AA53*0.02+AC53*0.01)</f>
        <v/>
      </c>
      <c r="AF53" s="93" t="str">
        <f aca="false">IF(OR(COUNT(D53,F53,H53,J53,L53)&lt;5,COUNT(P53,R53,T53,V53)&lt;4,COUNT(Y53,AA53,AC53)&lt;3),"",(O53+X53+AE53)*20)</f>
        <v/>
      </c>
      <c r="AG53" s="93" t="str">
        <f aca="false">IF(AF53="","",IF(AF53&gt;=80,"STRONG BUY",IF(AF53&gt;=65,"BUY",IF(AF53&gt;=50,"WATCH LIST",IF(AF53&gt;=35,"AVOID","PASS")))))</f>
        <v/>
      </c>
      <c r="AH53" s="93" t="str">
        <f aca="false">IF(N53="","",IF(N53&lt;3,"FAIL","OK"))</f>
        <v/>
      </c>
      <c r="AI53" s="93" t="str">
        <f aca="false">IF(COUNT(D53:L53)=0,"",IF(COUNTIF(D53:L53,1)&gt;0,"REVIEW","OK"))</f>
        <v/>
      </c>
      <c r="AJ53" s="93" t="str">
        <f aca="false">IF(COUNT(D53:L53)=0,"",IF(COUNTIF(D53:L53,"&lt;=2")&gt;=2,"AVOID","OK"))</f>
        <v/>
      </c>
      <c r="AK53" s="93" t="str">
        <f aca="false">IF(COUNTA(E53:M53)=0,"",IF(COUNTIF(E53:M53,"L")&gt;=2,"CAP AT BUY","OK"))</f>
        <v/>
      </c>
      <c r="AL53" s="119"/>
      <c r="AM53" s="119"/>
      <c r="AN53" s="115"/>
      <c r="AO53" s="93"/>
      <c r="AP53" s="115" t="str">
        <f aca="false">IF(OR(AN53="",AO53=""),"",IF(AN53&gt;AO53,"OK","LOW CONF"))</f>
        <v/>
      </c>
      <c r="AQ53" s="115"/>
      <c r="AR53" s="93"/>
      <c r="AS53" s="125" t="str">
        <f aca="false">IF(OR(AQ53="",AR53=""),"",IF(AQ53&lt;AR53,"Decreased",IF(AQ53&gt;AR53,"Increased","Flat")))</f>
        <v/>
      </c>
    </row>
    <row r="54" customFormat="false" ht="15" hidden="false" customHeight="true" outlineLevel="0" collapsed="false">
      <c r="A54" s="62"/>
      <c r="B54" s="113"/>
      <c r="C54" s="115"/>
      <c r="D54" s="115"/>
      <c r="E54" s="115"/>
      <c r="F54" s="115"/>
      <c r="G54" s="115"/>
      <c r="H54" s="115"/>
      <c r="I54" s="115"/>
      <c r="J54" s="115"/>
      <c r="K54" s="115"/>
      <c r="L54" s="115"/>
      <c r="M54" s="115"/>
      <c r="N54" s="116" t="str">
        <f aca="false">IF(COUNT(D54,F54,H54,J54,L54)=0,"",(D54*0.2+F54*0.15+H54*0.15+J54*0.1+L54*0.1)/(IF(D54&lt;&gt;"",0.2,0)+IF(F54&lt;&gt;"",0.15,0)+IF(H54&lt;&gt;"",0.15,0)+IF(J54&lt;&gt;"",0.1,0)+IF(L54&lt;&gt;"",0.1,0)))</f>
        <v/>
      </c>
      <c r="O54" s="93" t="str">
        <f aca="false">IF(COUNT(D54,F54,H54,J54,L54)=0,"",D54*0.2+F54*0.15+H54*0.15+J54*0.1+L54*0.1)</f>
        <v/>
      </c>
      <c r="P54" s="115"/>
      <c r="Q54" s="115"/>
      <c r="R54" s="115"/>
      <c r="S54" s="115"/>
      <c r="T54" s="115"/>
      <c r="U54" s="115"/>
      <c r="V54" s="115"/>
      <c r="W54" s="115"/>
      <c r="X54" s="65" t="str">
        <f aca="false">IF(COUNT(P54,R54,T54,V54)=0,"",P54*0.08+R54*0.06+T54*0.03+V54*0.08)</f>
        <v/>
      </c>
      <c r="Y54" s="115"/>
      <c r="Z54" s="115"/>
      <c r="AA54" s="115"/>
      <c r="AB54" s="115"/>
      <c r="AC54" s="115"/>
      <c r="AD54" s="115"/>
      <c r="AE54" s="65" t="str">
        <f aca="false">IF(COUNT(Y54,AA54,AC54)=0,"",Y54*0.02+AA54*0.02+AC54*0.01)</f>
        <v/>
      </c>
      <c r="AF54" s="93" t="str">
        <f aca="false">IF(OR(COUNT(D54,F54,H54,J54,L54)&lt;5,COUNT(P54,R54,T54,V54)&lt;4,COUNT(Y54,AA54,AC54)&lt;3),"",(O54+X54+AE54)*20)</f>
        <v/>
      </c>
      <c r="AG54" s="93" t="str">
        <f aca="false">IF(AF54="","",IF(AF54&gt;=80,"STRONG BUY",IF(AF54&gt;=65,"BUY",IF(AF54&gt;=50,"WATCH LIST",IF(AF54&gt;=35,"AVOID","PASS")))))</f>
        <v/>
      </c>
      <c r="AH54" s="93" t="str">
        <f aca="false">IF(N54="","",IF(N54&lt;3,"FAIL","OK"))</f>
        <v/>
      </c>
      <c r="AI54" s="93" t="str">
        <f aca="false">IF(COUNT(D54:L54)=0,"",IF(COUNTIF(D54:L54,1)&gt;0,"REVIEW","OK"))</f>
        <v/>
      </c>
      <c r="AJ54" s="93" t="str">
        <f aca="false">IF(COUNT(D54:L54)=0,"",IF(COUNTIF(D54:L54,"&lt;=2")&gt;=2,"AVOID","OK"))</f>
        <v/>
      </c>
      <c r="AK54" s="93" t="str">
        <f aca="false">IF(COUNTA(E54:M54)=0,"",IF(COUNTIF(E54:M54,"L")&gt;=2,"CAP AT BUY","OK"))</f>
        <v/>
      </c>
      <c r="AL54" s="119"/>
      <c r="AM54" s="119"/>
      <c r="AN54" s="115"/>
      <c r="AO54" s="93"/>
      <c r="AP54" s="115" t="str">
        <f aca="false">IF(OR(AN54="",AO54=""),"",IF(AN54&gt;AO54,"OK","LOW CONF"))</f>
        <v/>
      </c>
      <c r="AQ54" s="115"/>
      <c r="AR54" s="93"/>
      <c r="AS54" s="125" t="str">
        <f aca="false">IF(OR(AQ54="",AR54=""),"",IF(AQ54&lt;AR54,"Decreased",IF(AQ54&gt;AR54,"Increased","Flat")))</f>
        <v/>
      </c>
    </row>
    <row r="55" customFormat="false" ht="15" hidden="false" customHeight="true" outlineLevel="0" collapsed="false">
      <c r="A55" s="62"/>
      <c r="B55" s="113"/>
      <c r="C55" s="115"/>
      <c r="D55" s="115"/>
      <c r="E55" s="115"/>
      <c r="F55" s="115"/>
      <c r="G55" s="115"/>
      <c r="H55" s="115"/>
      <c r="I55" s="115"/>
      <c r="J55" s="115"/>
      <c r="K55" s="115"/>
      <c r="L55" s="115"/>
      <c r="M55" s="115"/>
      <c r="N55" s="116" t="str">
        <f aca="false">IF(COUNT(D55,F55,H55,J55,L55)=0,"",(D55*0.2+F55*0.15+H55*0.15+J55*0.1+L55*0.1)/(IF(D55&lt;&gt;"",0.2,0)+IF(F55&lt;&gt;"",0.15,0)+IF(H55&lt;&gt;"",0.15,0)+IF(J55&lt;&gt;"",0.1,0)+IF(L55&lt;&gt;"",0.1,0)))</f>
        <v/>
      </c>
      <c r="O55" s="93" t="str">
        <f aca="false">IF(COUNT(D55,F55,H55,J55,L55)=0,"",D55*0.2+F55*0.15+H55*0.15+J55*0.1+L55*0.1)</f>
        <v/>
      </c>
      <c r="P55" s="115"/>
      <c r="Q55" s="115"/>
      <c r="R55" s="115"/>
      <c r="S55" s="115"/>
      <c r="T55" s="115"/>
      <c r="U55" s="115"/>
      <c r="V55" s="115"/>
      <c r="W55" s="115"/>
      <c r="X55" s="65" t="str">
        <f aca="false">IF(COUNT(P55,R55,T55,V55)=0,"",P55*0.08+R55*0.06+T55*0.03+V55*0.08)</f>
        <v/>
      </c>
      <c r="Y55" s="115"/>
      <c r="Z55" s="115"/>
      <c r="AA55" s="115"/>
      <c r="AB55" s="115"/>
      <c r="AC55" s="115"/>
      <c r="AD55" s="115"/>
      <c r="AE55" s="65" t="str">
        <f aca="false">IF(COUNT(Y55,AA55,AC55)=0,"",Y55*0.02+AA55*0.02+AC55*0.01)</f>
        <v/>
      </c>
      <c r="AF55" s="93" t="str">
        <f aca="false">IF(OR(COUNT(D55,F55,H55,J55,L55)&lt;5,COUNT(P55,R55,T55,V55)&lt;4,COUNT(Y55,AA55,AC55)&lt;3),"",(O55+X55+AE55)*20)</f>
        <v/>
      </c>
      <c r="AG55" s="93" t="str">
        <f aca="false">IF(AF55="","",IF(AF55&gt;=80,"STRONG BUY",IF(AF55&gt;=65,"BUY",IF(AF55&gt;=50,"WATCH LIST",IF(AF55&gt;=35,"AVOID","PASS")))))</f>
        <v/>
      </c>
      <c r="AH55" s="93" t="str">
        <f aca="false">IF(N55="","",IF(N55&lt;3,"FAIL","OK"))</f>
        <v/>
      </c>
      <c r="AI55" s="93" t="str">
        <f aca="false">IF(COUNT(D55:L55)=0,"",IF(COUNTIF(D55:L55,1)&gt;0,"REVIEW","OK"))</f>
        <v/>
      </c>
      <c r="AJ55" s="93" t="str">
        <f aca="false">IF(COUNT(D55:L55)=0,"",IF(COUNTIF(D55:L55,"&lt;=2")&gt;=2,"AVOID","OK"))</f>
        <v/>
      </c>
      <c r="AK55" s="93" t="str">
        <f aca="false">IF(COUNTA(E55:M55)=0,"",IF(COUNTIF(E55:M55,"L")&gt;=2,"CAP AT BUY","OK"))</f>
        <v/>
      </c>
      <c r="AL55" s="119"/>
      <c r="AM55" s="119"/>
      <c r="AN55" s="115"/>
      <c r="AO55" s="93"/>
      <c r="AP55" s="115" t="str">
        <f aca="false">IF(OR(AN55="",AO55=""),"",IF(AN55&gt;AO55,"OK","LOW CONF"))</f>
        <v/>
      </c>
      <c r="AQ55" s="115"/>
      <c r="AR55" s="93"/>
      <c r="AS55" s="125" t="str">
        <f aca="false">IF(OR(AQ55="",AR55=""),"",IF(AQ55&lt;AR55,"Decreased",IF(AQ55&gt;AR55,"Increased","Flat")))</f>
        <v/>
      </c>
    </row>
    <row r="56" customFormat="false" ht="15" hidden="false" customHeight="true" outlineLevel="0" collapsed="false">
      <c r="A56" s="62"/>
      <c r="B56" s="113"/>
      <c r="C56" s="115"/>
      <c r="D56" s="115"/>
      <c r="E56" s="115"/>
      <c r="F56" s="115"/>
      <c r="G56" s="115"/>
      <c r="H56" s="115"/>
      <c r="I56" s="115"/>
      <c r="J56" s="115"/>
      <c r="K56" s="115"/>
      <c r="L56" s="115"/>
      <c r="M56" s="115"/>
      <c r="N56" s="116" t="str">
        <f aca="false">IF(COUNT(D56,F56,H56,J56,L56)=0,"",(D56*0.2+F56*0.15+H56*0.15+J56*0.1+L56*0.1)/(IF(D56&lt;&gt;"",0.2,0)+IF(F56&lt;&gt;"",0.15,0)+IF(H56&lt;&gt;"",0.15,0)+IF(J56&lt;&gt;"",0.1,0)+IF(L56&lt;&gt;"",0.1,0)))</f>
        <v/>
      </c>
      <c r="O56" s="93" t="str">
        <f aca="false">IF(COUNT(D56,F56,H56,J56,L56)=0,"",D56*0.2+F56*0.15+H56*0.15+J56*0.1+L56*0.1)</f>
        <v/>
      </c>
      <c r="P56" s="115"/>
      <c r="Q56" s="115"/>
      <c r="R56" s="115"/>
      <c r="S56" s="115"/>
      <c r="T56" s="115"/>
      <c r="U56" s="115"/>
      <c r="V56" s="115"/>
      <c r="W56" s="115"/>
      <c r="X56" s="65" t="str">
        <f aca="false">IF(COUNT(P56,R56,T56,V56)=0,"",P56*0.08+R56*0.06+T56*0.03+V56*0.08)</f>
        <v/>
      </c>
      <c r="Y56" s="115"/>
      <c r="Z56" s="115"/>
      <c r="AA56" s="115"/>
      <c r="AB56" s="115"/>
      <c r="AC56" s="115"/>
      <c r="AD56" s="115"/>
      <c r="AE56" s="65" t="str">
        <f aca="false">IF(COUNT(Y56,AA56,AC56)=0,"",Y56*0.02+AA56*0.02+AC56*0.01)</f>
        <v/>
      </c>
      <c r="AF56" s="93" t="str">
        <f aca="false">IF(OR(COUNT(D56,F56,H56,J56,L56)&lt;5,COUNT(P56,R56,T56,V56)&lt;4,COUNT(Y56,AA56,AC56)&lt;3),"",(O56+X56+AE56)*20)</f>
        <v/>
      </c>
      <c r="AG56" s="93" t="str">
        <f aca="false">IF(AF56="","",IF(AF56&gt;=80,"STRONG BUY",IF(AF56&gt;=65,"BUY",IF(AF56&gt;=50,"WATCH LIST",IF(AF56&gt;=35,"AVOID","PASS")))))</f>
        <v/>
      </c>
      <c r="AH56" s="93" t="str">
        <f aca="false">IF(N56="","",IF(N56&lt;3,"FAIL","OK"))</f>
        <v/>
      </c>
      <c r="AI56" s="93" t="str">
        <f aca="false">IF(COUNT(D56:L56)=0,"",IF(COUNTIF(D56:L56,1)&gt;0,"REVIEW","OK"))</f>
        <v/>
      </c>
      <c r="AJ56" s="93" t="str">
        <f aca="false">IF(COUNT(D56:L56)=0,"",IF(COUNTIF(D56:L56,"&lt;=2")&gt;=2,"AVOID","OK"))</f>
        <v/>
      </c>
      <c r="AK56" s="93" t="str">
        <f aca="false">IF(COUNTA(E56:M56)=0,"",IF(COUNTIF(E56:M56,"L")&gt;=2,"CAP AT BUY","OK"))</f>
        <v/>
      </c>
      <c r="AL56" s="119"/>
      <c r="AM56" s="119"/>
      <c r="AN56" s="115"/>
      <c r="AO56" s="93"/>
      <c r="AP56" s="115" t="str">
        <f aca="false">IF(OR(AN56="",AO56=""),"",IF(AN56&gt;AO56,"OK","LOW CONF"))</f>
        <v/>
      </c>
      <c r="AQ56" s="115"/>
      <c r="AR56" s="93"/>
      <c r="AS56" s="125" t="str">
        <f aca="false">IF(OR(AQ56="",AR56=""),"",IF(AQ56&lt;AR56,"Decreased",IF(AQ56&gt;AR56,"Increased","Flat")))</f>
        <v/>
      </c>
    </row>
    <row r="57" customFormat="false" ht="15" hidden="false" customHeight="true" outlineLevel="0" collapsed="false">
      <c r="A57" s="62"/>
      <c r="B57" s="113"/>
      <c r="C57" s="115"/>
      <c r="D57" s="115"/>
      <c r="E57" s="115"/>
      <c r="F57" s="115"/>
      <c r="G57" s="115"/>
      <c r="H57" s="115"/>
      <c r="I57" s="115"/>
      <c r="J57" s="115"/>
      <c r="K57" s="115"/>
      <c r="L57" s="115"/>
      <c r="M57" s="115"/>
      <c r="N57" s="116" t="str">
        <f aca="false">IF(COUNT(D57,F57,H57,J57,L57)=0,"",(D57*0.2+F57*0.15+H57*0.15+J57*0.1+L57*0.1)/(IF(D57&lt;&gt;"",0.2,0)+IF(F57&lt;&gt;"",0.15,0)+IF(H57&lt;&gt;"",0.15,0)+IF(J57&lt;&gt;"",0.1,0)+IF(L57&lt;&gt;"",0.1,0)))</f>
        <v/>
      </c>
      <c r="O57" s="93" t="str">
        <f aca="false">IF(COUNT(D57,F57,H57,J57,L57)=0,"",D57*0.2+F57*0.15+H57*0.15+J57*0.1+L57*0.1)</f>
        <v/>
      </c>
      <c r="P57" s="115"/>
      <c r="Q57" s="115"/>
      <c r="R57" s="115"/>
      <c r="S57" s="115"/>
      <c r="T57" s="115"/>
      <c r="U57" s="115"/>
      <c r="V57" s="115"/>
      <c r="W57" s="115"/>
      <c r="X57" s="65" t="str">
        <f aca="false">IF(COUNT(P57,R57,T57,V57)=0,"",P57*0.08+R57*0.06+T57*0.03+V57*0.08)</f>
        <v/>
      </c>
      <c r="Y57" s="115"/>
      <c r="Z57" s="115"/>
      <c r="AA57" s="115"/>
      <c r="AB57" s="115"/>
      <c r="AC57" s="115"/>
      <c r="AD57" s="115"/>
      <c r="AE57" s="65" t="str">
        <f aca="false">IF(COUNT(Y57,AA57,AC57)=0,"",Y57*0.02+AA57*0.02+AC57*0.01)</f>
        <v/>
      </c>
      <c r="AF57" s="93" t="str">
        <f aca="false">IF(OR(COUNT(D57,F57,H57,J57,L57)&lt;5,COUNT(P57,R57,T57,V57)&lt;4,COUNT(Y57,AA57,AC57)&lt;3),"",(O57+X57+AE57)*20)</f>
        <v/>
      </c>
      <c r="AG57" s="93" t="str">
        <f aca="false">IF(AF57="","",IF(AF57&gt;=80,"STRONG BUY",IF(AF57&gt;=65,"BUY",IF(AF57&gt;=50,"WATCH LIST",IF(AF57&gt;=35,"AVOID","PASS")))))</f>
        <v/>
      </c>
      <c r="AH57" s="93" t="str">
        <f aca="false">IF(N57="","",IF(N57&lt;3,"FAIL","OK"))</f>
        <v/>
      </c>
      <c r="AI57" s="93" t="str">
        <f aca="false">IF(COUNT(D57:L57)=0,"",IF(COUNTIF(D57:L57,1)&gt;0,"REVIEW","OK"))</f>
        <v/>
      </c>
      <c r="AJ57" s="93" t="str">
        <f aca="false">IF(COUNT(D57:L57)=0,"",IF(COUNTIF(D57:L57,"&lt;=2")&gt;=2,"AVOID","OK"))</f>
        <v/>
      </c>
      <c r="AK57" s="93" t="str">
        <f aca="false">IF(COUNTA(E57:M57)=0,"",IF(COUNTIF(E57:M57,"L")&gt;=2,"CAP AT BUY","OK"))</f>
        <v/>
      </c>
      <c r="AL57" s="119"/>
      <c r="AM57" s="119"/>
      <c r="AN57" s="115"/>
      <c r="AO57" s="93"/>
      <c r="AP57" s="115" t="str">
        <f aca="false">IF(OR(AN57="",AO57=""),"",IF(AN57&gt;AO57,"OK","LOW CONF"))</f>
        <v/>
      </c>
      <c r="AQ57" s="115"/>
      <c r="AR57" s="93"/>
      <c r="AS57" s="125" t="str">
        <f aca="false">IF(OR(AQ57="",AR57=""),"",IF(AQ57&lt;AR57,"Decreased",IF(AQ57&gt;AR57,"Increased","Flat")))</f>
        <v/>
      </c>
    </row>
    <row r="58" customFormat="false" ht="15" hidden="false" customHeight="true" outlineLevel="0" collapsed="false">
      <c r="A58" s="62"/>
      <c r="B58" s="113"/>
      <c r="C58" s="115"/>
      <c r="D58" s="115"/>
      <c r="E58" s="115"/>
      <c r="F58" s="115"/>
      <c r="G58" s="115"/>
      <c r="H58" s="115"/>
      <c r="I58" s="115"/>
      <c r="J58" s="115"/>
      <c r="K58" s="115"/>
      <c r="L58" s="115"/>
      <c r="M58" s="115"/>
      <c r="N58" s="116" t="str">
        <f aca="false">IF(COUNT(D58,F58,H58,J58,L58)=0,"",(D58*0.2+F58*0.15+H58*0.15+J58*0.1+L58*0.1)/(IF(D58&lt;&gt;"",0.2,0)+IF(F58&lt;&gt;"",0.15,0)+IF(H58&lt;&gt;"",0.15,0)+IF(J58&lt;&gt;"",0.1,0)+IF(L58&lt;&gt;"",0.1,0)))</f>
        <v/>
      </c>
      <c r="O58" s="93" t="str">
        <f aca="false">IF(COUNT(D58,F58,H58,J58,L58)=0,"",D58*0.2+F58*0.15+H58*0.15+J58*0.1+L58*0.1)</f>
        <v/>
      </c>
      <c r="P58" s="115"/>
      <c r="Q58" s="115"/>
      <c r="R58" s="115"/>
      <c r="S58" s="115"/>
      <c r="T58" s="115"/>
      <c r="U58" s="115"/>
      <c r="V58" s="115"/>
      <c r="W58" s="115"/>
      <c r="X58" s="65" t="str">
        <f aca="false">IF(COUNT(P58,R58,T58,V58)=0,"",P58*0.08+R58*0.06+T58*0.03+V58*0.08)</f>
        <v/>
      </c>
      <c r="Y58" s="115"/>
      <c r="Z58" s="115"/>
      <c r="AA58" s="115"/>
      <c r="AB58" s="115"/>
      <c r="AC58" s="115"/>
      <c r="AD58" s="115"/>
      <c r="AE58" s="65" t="str">
        <f aca="false">IF(COUNT(Y58,AA58,AC58)=0,"",Y58*0.02+AA58*0.02+AC58*0.01)</f>
        <v/>
      </c>
      <c r="AF58" s="93" t="str">
        <f aca="false">IF(OR(COUNT(D58,F58,H58,J58,L58)&lt;5,COUNT(P58,R58,T58,V58)&lt;4,COUNT(Y58,AA58,AC58)&lt;3),"",(O58+X58+AE58)*20)</f>
        <v/>
      </c>
      <c r="AG58" s="93" t="str">
        <f aca="false">IF(AF58="","",IF(AF58&gt;=80,"STRONG BUY",IF(AF58&gt;=65,"BUY",IF(AF58&gt;=50,"WATCH LIST",IF(AF58&gt;=35,"AVOID","PASS")))))</f>
        <v/>
      </c>
      <c r="AH58" s="93" t="str">
        <f aca="false">IF(N58="","",IF(N58&lt;3,"FAIL","OK"))</f>
        <v/>
      </c>
      <c r="AI58" s="93" t="str">
        <f aca="false">IF(COUNT(D58:L58)=0,"",IF(COUNTIF(D58:L58,1)&gt;0,"REVIEW","OK"))</f>
        <v/>
      </c>
      <c r="AJ58" s="93" t="str">
        <f aca="false">IF(COUNT(D58:L58)=0,"",IF(COUNTIF(D58:L58,"&lt;=2")&gt;=2,"AVOID","OK"))</f>
        <v/>
      </c>
      <c r="AK58" s="93" t="str">
        <f aca="false">IF(COUNTA(E58:M58)=0,"",IF(COUNTIF(E58:M58,"L")&gt;=2,"CAP AT BUY","OK"))</f>
        <v/>
      </c>
      <c r="AL58" s="119"/>
      <c r="AM58" s="119"/>
      <c r="AN58" s="115"/>
      <c r="AO58" s="93"/>
      <c r="AP58" s="115" t="str">
        <f aca="false">IF(OR(AN58="",AO58=""),"",IF(AN58&gt;AO58,"OK","LOW CONF"))</f>
        <v/>
      </c>
      <c r="AQ58" s="115"/>
      <c r="AR58" s="93"/>
      <c r="AS58" s="125" t="str">
        <f aca="false">IF(OR(AQ58="",AR58=""),"",IF(AQ58&lt;AR58,"Decreased",IF(AQ58&gt;AR58,"Increased","Flat")))</f>
        <v/>
      </c>
    </row>
    <row r="59" customFormat="false" ht="15" hidden="false" customHeight="true" outlineLevel="0" collapsed="false">
      <c r="A59" s="62"/>
      <c r="B59" s="113"/>
      <c r="C59" s="115"/>
      <c r="D59" s="115"/>
      <c r="E59" s="115"/>
      <c r="F59" s="115"/>
      <c r="G59" s="115"/>
      <c r="H59" s="115"/>
      <c r="I59" s="115"/>
      <c r="J59" s="115"/>
      <c r="K59" s="115"/>
      <c r="L59" s="115"/>
      <c r="M59" s="115"/>
      <c r="N59" s="116" t="str">
        <f aca="false">IF(COUNT(D59,F59,H59,J59,L59)=0,"",(D59*0.2+F59*0.15+H59*0.15+J59*0.1+L59*0.1)/(IF(D59&lt;&gt;"",0.2,0)+IF(F59&lt;&gt;"",0.15,0)+IF(H59&lt;&gt;"",0.15,0)+IF(J59&lt;&gt;"",0.1,0)+IF(L59&lt;&gt;"",0.1,0)))</f>
        <v/>
      </c>
      <c r="O59" s="93" t="str">
        <f aca="false">IF(COUNT(D59,F59,H59,J59,L59)=0,"",D59*0.2+F59*0.15+H59*0.15+J59*0.1+L59*0.1)</f>
        <v/>
      </c>
      <c r="P59" s="115"/>
      <c r="Q59" s="115"/>
      <c r="R59" s="115"/>
      <c r="S59" s="115"/>
      <c r="T59" s="115"/>
      <c r="U59" s="115"/>
      <c r="V59" s="115"/>
      <c r="W59" s="115"/>
      <c r="X59" s="65" t="str">
        <f aca="false">IF(COUNT(P59,R59,T59,V59)=0,"",P59*0.08+R59*0.06+T59*0.03+V59*0.08)</f>
        <v/>
      </c>
      <c r="Y59" s="115"/>
      <c r="Z59" s="115"/>
      <c r="AA59" s="115"/>
      <c r="AB59" s="115"/>
      <c r="AC59" s="115"/>
      <c r="AD59" s="115"/>
      <c r="AE59" s="65" t="str">
        <f aca="false">IF(COUNT(Y59,AA59,AC59)=0,"",Y59*0.02+AA59*0.02+AC59*0.01)</f>
        <v/>
      </c>
      <c r="AF59" s="93" t="str">
        <f aca="false">IF(OR(COUNT(D59,F59,H59,J59,L59)&lt;5,COUNT(P59,R59,T59,V59)&lt;4,COUNT(Y59,AA59,AC59)&lt;3),"",(O59+X59+AE59)*20)</f>
        <v/>
      </c>
      <c r="AG59" s="93" t="str">
        <f aca="false">IF(AF59="","",IF(AF59&gt;=80,"STRONG BUY",IF(AF59&gt;=65,"BUY",IF(AF59&gt;=50,"WATCH LIST",IF(AF59&gt;=35,"AVOID","PASS")))))</f>
        <v/>
      </c>
      <c r="AH59" s="93" t="str">
        <f aca="false">IF(N59="","",IF(N59&lt;3,"FAIL","OK"))</f>
        <v/>
      </c>
      <c r="AI59" s="93" t="str">
        <f aca="false">IF(COUNT(D59:L59)=0,"",IF(COUNTIF(D59:L59,1)&gt;0,"REVIEW","OK"))</f>
        <v/>
      </c>
      <c r="AJ59" s="93" t="str">
        <f aca="false">IF(COUNT(D59:L59)=0,"",IF(COUNTIF(D59:L59,"&lt;=2")&gt;=2,"AVOID","OK"))</f>
        <v/>
      </c>
      <c r="AK59" s="93" t="str">
        <f aca="false">IF(COUNTA(E59:M59)=0,"",IF(COUNTIF(E59:M59,"L")&gt;=2,"CAP AT BUY","OK"))</f>
        <v/>
      </c>
      <c r="AL59" s="119"/>
      <c r="AM59" s="119"/>
      <c r="AN59" s="115"/>
      <c r="AO59" s="93"/>
      <c r="AP59" s="115" t="str">
        <f aca="false">IF(OR(AN59="",AO59=""),"",IF(AN59&gt;AO59,"OK","LOW CONF"))</f>
        <v/>
      </c>
      <c r="AQ59" s="115"/>
      <c r="AR59" s="93"/>
      <c r="AS59" s="125" t="str">
        <f aca="false">IF(OR(AQ59="",AR59=""),"",IF(AQ59&lt;AR59,"Decreased",IF(AQ59&gt;AR59,"Increased","Flat")))</f>
        <v/>
      </c>
    </row>
    <row r="60" customFormat="false" ht="15" hidden="false" customHeight="true" outlineLevel="0" collapsed="false">
      <c r="A60" s="62"/>
      <c r="B60" s="113"/>
      <c r="C60" s="115"/>
      <c r="D60" s="115"/>
      <c r="E60" s="115"/>
      <c r="F60" s="115"/>
      <c r="G60" s="115"/>
      <c r="H60" s="115"/>
      <c r="I60" s="115"/>
      <c r="J60" s="115"/>
      <c r="K60" s="115"/>
      <c r="L60" s="115"/>
      <c r="M60" s="115"/>
      <c r="N60" s="116" t="str">
        <f aca="false">IF(COUNT(D60,F60,H60,J60,L60)=0,"",(D60*0.2+F60*0.15+H60*0.15+J60*0.1+L60*0.1)/(IF(D60&lt;&gt;"",0.2,0)+IF(F60&lt;&gt;"",0.15,0)+IF(H60&lt;&gt;"",0.15,0)+IF(J60&lt;&gt;"",0.1,0)+IF(L60&lt;&gt;"",0.1,0)))</f>
        <v/>
      </c>
      <c r="O60" s="93" t="str">
        <f aca="false">IF(COUNT(D60,F60,H60,J60,L60)=0,"",D60*0.2+F60*0.15+H60*0.15+J60*0.1+L60*0.1)</f>
        <v/>
      </c>
      <c r="P60" s="115"/>
      <c r="Q60" s="115"/>
      <c r="R60" s="115"/>
      <c r="S60" s="115"/>
      <c r="T60" s="115"/>
      <c r="U60" s="115"/>
      <c r="V60" s="115"/>
      <c r="W60" s="115"/>
      <c r="X60" s="65" t="str">
        <f aca="false">IF(COUNT(P60,R60,T60,V60)=0,"",P60*0.08+R60*0.06+T60*0.03+V60*0.08)</f>
        <v/>
      </c>
      <c r="Y60" s="115"/>
      <c r="Z60" s="115"/>
      <c r="AA60" s="115"/>
      <c r="AB60" s="115"/>
      <c r="AC60" s="115"/>
      <c r="AD60" s="115"/>
      <c r="AE60" s="65" t="str">
        <f aca="false">IF(COUNT(Y60,AA60,AC60)=0,"",Y60*0.02+AA60*0.02+AC60*0.01)</f>
        <v/>
      </c>
      <c r="AF60" s="93" t="str">
        <f aca="false">IF(OR(COUNT(D60,F60,H60,J60,L60)&lt;5,COUNT(P60,R60,T60,V60)&lt;4,COUNT(Y60,AA60,AC60)&lt;3),"",(O60+X60+AE60)*20)</f>
        <v/>
      </c>
      <c r="AG60" s="93" t="str">
        <f aca="false">IF(AF60="","",IF(AF60&gt;=80,"STRONG BUY",IF(AF60&gt;=65,"BUY",IF(AF60&gt;=50,"WATCH LIST",IF(AF60&gt;=35,"AVOID","PASS")))))</f>
        <v/>
      </c>
      <c r="AH60" s="93" t="str">
        <f aca="false">IF(N60="","",IF(N60&lt;3,"FAIL","OK"))</f>
        <v/>
      </c>
      <c r="AI60" s="93" t="str">
        <f aca="false">IF(COUNT(D60:L60)=0,"",IF(COUNTIF(D60:L60,1)&gt;0,"REVIEW","OK"))</f>
        <v/>
      </c>
      <c r="AJ60" s="93" t="str">
        <f aca="false">IF(COUNT(D60:L60)=0,"",IF(COUNTIF(D60:L60,"&lt;=2")&gt;=2,"AVOID","OK"))</f>
        <v/>
      </c>
      <c r="AK60" s="93" t="str">
        <f aca="false">IF(COUNTA(E60:M60)=0,"",IF(COUNTIF(E60:M60,"L")&gt;=2,"CAP AT BUY","OK"))</f>
        <v/>
      </c>
      <c r="AL60" s="119"/>
      <c r="AM60" s="119"/>
      <c r="AN60" s="115"/>
      <c r="AO60" s="93"/>
      <c r="AP60" s="115" t="str">
        <f aca="false">IF(OR(AN60="",AO60=""),"",IF(AN60&gt;AO60,"OK","LOW CONF"))</f>
        <v/>
      </c>
      <c r="AQ60" s="115"/>
      <c r="AR60" s="93"/>
      <c r="AS60" s="125" t="str">
        <f aca="false">IF(OR(AQ60="",AR60=""),"",IF(AQ60&lt;AR60,"Decreased",IF(AQ60&gt;AR60,"Increased","Flat")))</f>
        <v/>
      </c>
    </row>
    <row r="61" customFormat="false" ht="13.5" hidden="false" customHeight="true" outlineLevel="0" collapsed="false">
      <c r="AM61" s="126"/>
    </row>
    <row r="62" customFormat="false" ht="15.75" hidden="false" customHeight="true" outlineLevel="0" collapsed="false">
      <c r="A62" s="127" t="n">
        <f aca="false">SUBTOTAL(103,A3:A60)</f>
        <v>29</v>
      </c>
      <c r="B62" s="104" t="s">
        <v>289</v>
      </c>
    </row>
    <row r="63" customFormat="false" ht="13.5" hidden="false" customHeight="true" outlineLevel="0" collapsed="false">
      <c r="A63" s="1"/>
      <c r="C63" s="128"/>
      <c r="D63" s="1"/>
      <c r="E63" s="1"/>
      <c r="F63" s="1"/>
      <c r="G63" s="1"/>
      <c r="H63" s="1"/>
      <c r="I63" s="1"/>
      <c r="J63" s="1"/>
      <c r="K63" s="1"/>
      <c r="L63" s="1"/>
      <c r="M63" s="1"/>
      <c r="R63" s="1"/>
      <c r="S63" s="1"/>
      <c r="T63" s="1"/>
      <c r="U63" s="1"/>
      <c r="V63" s="1"/>
      <c r="W63" s="1"/>
      <c r="Y63" s="1"/>
      <c r="Z63" s="1"/>
      <c r="AA63" s="1"/>
      <c r="AB63" s="1"/>
      <c r="AC63" s="1"/>
      <c r="AD63" s="1"/>
    </row>
    <row r="64" customFormat="false" ht="13.5" hidden="false" customHeight="true" outlineLevel="0" collapsed="false">
      <c r="A64" s="1"/>
      <c r="C64" s="128"/>
      <c r="D64" s="1"/>
      <c r="E64" s="1"/>
      <c r="F64" s="1"/>
      <c r="G64" s="1"/>
      <c r="H64" s="1"/>
      <c r="I64" s="1"/>
      <c r="J64" s="1"/>
      <c r="K64" s="1"/>
      <c r="L64" s="1"/>
      <c r="M64" s="1"/>
      <c r="R64" s="1"/>
      <c r="S64" s="1"/>
      <c r="T64" s="1"/>
      <c r="U64" s="1"/>
      <c r="V64" s="1"/>
      <c r="W64" s="1"/>
      <c r="Y64" s="1"/>
      <c r="Z64" s="1"/>
      <c r="AA64" s="1"/>
      <c r="AB64" s="1"/>
      <c r="AC64" s="1"/>
      <c r="AD64" s="1"/>
    </row>
  </sheetData>
  <autoFilter ref="A2:AS62"/>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21">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21">
      <formula>"OK"</formula>
    </cfRule>
  </conditionalFormatting>
  <conditionalFormatting sqref="AI3:AI60">
    <cfRule type="cellIs" priority="11" operator="equal" aboveAverage="0" equalAverage="0" bottom="0" percent="0" rank="0" text="" dxfId="19">
      <formula>"REVIEW"</formula>
    </cfRule>
  </conditionalFormatting>
  <conditionalFormatting sqref="AK3:AK60">
    <cfRule type="cellIs" priority="12" operator="equal" aboveAverage="0" equalAverage="0" bottom="0" percent="0" rank="0" text="" dxfId="19">
      <formula>"CAP AT BUY"</formula>
    </cfRule>
  </conditionalFormatting>
  <conditionalFormatting sqref="N3:N60">
    <cfRule type="cellIs" priority="13" operator="greaterThanOrEqual" aboveAverage="0" equalAverage="0" bottom="0" percent="0" rank="0" text="" dxfId="21">
      <formula>3</formula>
    </cfRule>
  </conditionalFormatting>
  <conditionalFormatting sqref="AP3:AP60">
    <cfRule type="cellIs" priority="14" operator="equal" aboveAverage="0" equalAverage="0" bottom="0" percent="0" rank="0" text="" dxfId="19">
      <formula>"LOW CONF"</formula>
    </cfRule>
    <cfRule type="cellIs" priority="15" operator="equal" aboveAverage="0" equalAverage="0" bottom="0" percent="0" rank="0" text="" dxfId="21">
      <formula>"OK"</formula>
    </cfRule>
  </conditionalFormatting>
  <conditionalFormatting sqref="AS3:AS60">
    <cfRule type="cellIs" priority="16" operator="equal" aboveAverage="0" equalAverage="0" bottom="0" percent="0" rank="0" text="" dxfId="19">
      <formula>"Increased"</formula>
    </cfRule>
    <cfRule type="cellIs" priority="17" operator="equal" aboveAverage="0" equalAverage="0" bottom="0" percent="0" rank="0" text="" dxfId="21">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4" topLeftCell="G17" activePane="bottomRight" state="frozen"/>
      <selection pane="topLeft" activeCell="A1" activeCellId="0" sqref="A1"/>
      <selection pane="topRight" activeCell="G1" activeCellId="0" sqref="G1"/>
      <selection pane="bottomLeft" activeCell="A17" activeCellId="0" sqref="A17"/>
      <selection pane="bottomRight" activeCell="R9" activeCellId="0" sqref="R9"/>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24.78"/>
    <col collapsed="false" customWidth="true" hidden="false" outlineLevel="0" max="3" min="3" style="23" width="9"/>
    <col collapsed="false" customWidth="false" hidden="false" outlineLevel="0" max="5" min="4" style="23" width="8.67"/>
    <col collapsed="false" customWidth="true" hidden="false" outlineLevel="0" max="6" min="6" style="23" width="12.44"/>
    <col collapsed="false" customWidth="true" hidden="false" outlineLevel="0" max="7" min="7" style="23" width="13.34"/>
    <col collapsed="false" customWidth="true" hidden="false" outlineLevel="0" max="8" min="8" style="1" width="11.11"/>
    <col collapsed="false" customWidth="true" hidden="true" outlineLevel="0" max="9" min="9" style="23" width="10.88"/>
    <col collapsed="false" customWidth="true" hidden="false" outlineLevel="0" max="10" min="10" style="23" width="9"/>
    <col collapsed="false" customWidth="true" hidden="false" outlineLevel="0" max="11" min="11" style="23" width="8.56"/>
    <col collapsed="false" customWidth="true" hidden="false" outlineLevel="0" max="12" min="12" style="23" width="7.76"/>
    <col collapsed="false" customWidth="true" hidden="false" outlineLevel="0" max="13" min="13" style="23" width="6.77"/>
    <col collapsed="false" customWidth="true" hidden="false" outlineLevel="0" max="14" min="14" style="23" width="8"/>
    <col collapsed="false" customWidth="true" hidden="false" outlineLevel="0" max="15" min="15" style="23" width="7.44"/>
    <col collapsed="false" customWidth="true" hidden="false" outlineLevel="0" max="16" min="16" style="23" width="10.56"/>
    <col collapsed="false" customWidth="true" hidden="false" outlineLevel="0" max="18" min="18" style="1" width="28"/>
    <col collapsed="false" customWidth="true" hidden="false" outlineLevel="0" max="19" min="19" style="1" width="12.76"/>
  </cols>
  <sheetData>
    <row r="1" customFormat="false" ht="15" hidden="false" customHeight="true" outlineLevel="0" collapsed="false">
      <c r="A1" s="129" t="s">
        <v>406</v>
      </c>
      <c r="B1" s="129"/>
      <c r="C1" s="130"/>
      <c r="D1" s="130"/>
      <c r="E1" s="130"/>
      <c r="F1" s="130"/>
      <c r="G1" s="130"/>
      <c r="H1" s="129"/>
      <c r="I1" s="130"/>
      <c r="J1" s="130"/>
      <c r="K1" s="130"/>
      <c r="L1" s="130"/>
      <c r="M1" s="130"/>
      <c r="N1" s="130"/>
      <c r="O1" s="130"/>
      <c r="P1" s="130"/>
      <c r="Q1" s="129"/>
      <c r="R1" s="129"/>
      <c r="S1" s="129"/>
    </row>
    <row r="2" customFormat="false" ht="68.25" hidden="false" customHeight="true" outlineLevel="0" collapsed="false">
      <c r="A2" s="131" t="s">
        <v>81</v>
      </c>
      <c r="B2" s="131" t="s">
        <v>279</v>
      </c>
      <c r="C2" s="131" t="s">
        <v>407</v>
      </c>
      <c r="D2" s="131" t="s">
        <v>408</v>
      </c>
      <c r="E2" s="131" t="s">
        <v>409</v>
      </c>
      <c r="F2" s="131" t="s">
        <v>410</v>
      </c>
      <c r="G2" s="131" t="s">
        <v>411</v>
      </c>
      <c r="H2" s="131" t="s">
        <v>412</v>
      </c>
      <c r="I2" s="131" t="s">
        <v>413</v>
      </c>
      <c r="J2" s="131" t="s">
        <v>414</v>
      </c>
      <c r="K2" s="131" t="s">
        <v>415</v>
      </c>
      <c r="L2" s="131" t="s">
        <v>416</v>
      </c>
      <c r="M2" s="131" t="s">
        <v>417</v>
      </c>
      <c r="N2" s="131" t="s">
        <v>418</v>
      </c>
      <c r="O2" s="131" t="s">
        <v>419</v>
      </c>
      <c r="P2" s="131" t="s">
        <v>420</v>
      </c>
      <c r="Q2" s="131" t="s">
        <v>421</v>
      </c>
      <c r="R2" s="131" t="s">
        <v>422</v>
      </c>
      <c r="S2" s="131" t="s">
        <v>423</v>
      </c>
    </row>
    <row r="3" customFormat="false" ht="15" hidden="false" customHeight="true" outlineLevel="0" collapsed="false">
      <c r="A3" s="132" t="str">
        <f aca="false">IF(Scoring!A3="","",Scoring!A3)</f>
        <v>MU</v>
      </c>
      <c r="B3" s="132" t="str">
        <f aca="false">IF(Scoring!B3="","",Scoring!B3)</f>
        <v>Micron Technology</v>
      </c>
      <c r="C3" s="133" t="str">
        <f aca="false">IF(Scoring!AG3="","",IF(OR(Scoring!AG3="STRONG BUY",Scoring!AG3="BUY"),"PASS","FAIL"))</f>
        <v>PASS</v>
      </c>
      <c r="D3" s="133" t="str">
        <f aca="false">IF(Scoring!AH3="","",IF(Scoring!AH3="OK","PASS","FAIL"))</f>
        <v>PASS</v>
      </c>
      <c r="E3" s="133" t="str">
        <f aca="false">IF(Scoring!AI3="","",IF(Scoring!AI3="OK","PASS","FAIL — mandatory review required"))</f>
        <v>PASS</v>
      </c>
      <c r="F3" s="133"/>
      <c r="G3" s="133"/>
      <c r="H3" s="132" t="str">
        <f aca="false">IF(OR(F3="",G3=""),"",IF(AND(F3="Y",G3="Y"),"Standard initial size","50% of normal initial size + 90-day technical review"))</f>
        <v/>
      </c>
      <c r="I3" s="133"/>
      <c r="J3" s="133"/>
      <c r="K3" s="133" t="str">
        <f aca="false">IF(I3="","",IF(I3="N","PASS",IF(J3="Y","PASS — risk documented in thesis","FAIL — undocumented binary risk")))</f>
        <v/>
      </c>
      <c r="L3" s="133" t="str">
        <f aca="false">IF('Implied-Return Calculator'!S4="","",'Implied-Return Calculator'!S4)</f>
        <v/>
      </c>
      <c r="M3" s="133" t="str">
        <f aca="false">IF('Implied-Return Calculator'!T4="","",'Implied-Return Calculator'!T4)</f>
        <v/>
      </c>
      <c r="N3" s="133" t="str">
        <f aca="false">IF('Implied-Return Calculator'!U4="","",'Implied-Return Calculator'!U4)</f>
        <v/>
      </c>
      <c r="O3" s="133"/>
      <c r="P3" s="133"/>
      <c r="Q3" s="132" t="str">
        <f aca="false">IF(OR(N3="",O3=""),"",IF(N3&lt;=50,"PASS — within ceiling",IF(AND(O3&gt;0.3,L3="PASS"),"PASS — growth+bear case exception met","FAIL — exceeds 50x, exception not met")))</f>
        <v/>
      </c>
      <c r="R3" s="132" t="str">
        <f aca="false">IF(OR(C3="",D3="",E3="",K3="",L3="",M3="",N3="",Q3=""),"",IF(AND(C3="PASS",D3="PASS",LEFT(E3,4)="PASS",LEFT(K3,4)="PASS",L3="PASS",M3="PASS",N3="OK",LEFT(Q3,4)="PASS"),"YES","NO — see failing rule(s)"))</f>
        <v/>
      </c>
      <c r="S3" s="132" t="str">
        <f aca="false">IF(R3="","",IF(R3="YES","Initiate: "&amp;H3,"DO NOT ENTER — resolve failing Entry Rule(s) above first"))</f>
        <v/>
      </c>
    </row>
    <row r="4" customFormat="false" ht="15" hidden="false" customHeight="true" outlineLevel="0" collapsed="false">
      <c r="A4" s="132" t="str">
        <f aca="false">IF(Scoring!A4="","",Scoring!A4)</f>
        <v>AVGO</v>
      </c>
      <c r="B4" s="132" t="str">
        <f aca="false">IF(Scoring!B4="","",Scoring!B4)</f>
        <v>Broadcom Inc.</v>
      </c>
      <c r="C4" s="133" t="str">
        <f aca="false">IF(Scoring!AG4="","",IF(OR(Scoring!AG4="STRONG BUY",Scoring!AG4="BUY"),"PASS","FAIL"))</f>
        <v>PASS</v>
      </c>
      <c r="D4" s="133" t="str">
        <f aca="false">IF(Scoring!AH4="","",IF(Scoring!AH4="OK","PASS","FAIL"))</f>
        <v>PASS</v>
      </c>
      <c r="E4" s="133" t="str">
        <f aca="false">IF(Scoring!AI4="","",IF(Scoring!AI4="OK","PASS","FAIL — mandatory review required"))</f>
        <v>PASS</v>
      </c>
      <c r="F4" s="133"/>
      <c r="G4" s="133"/>
      <c r="H4" s="132" t="str">
        <f aca="false">IF(OR(F4="",G4=""),"",IF(AND(F4="Y",G4="Y"),"Standard initial size","50% of normal initial size + 90-day technical review"))</f>
        <v/>
      </c>
      <c r="I4" s="133"/>
      <c r="J4" s="133"/>
      <c r="K4" s="133" t="str">
        <f aca="false">IF(I4="","",IF(I4="N","PASS",IF(J4="Y","PASS — risk documented in thesis","FAIL — undocumented binary risk")))</f>
        <v/>
      </c>
      <c r="L4" s="133" t="str">
        <f aca="false">IF('Implied-Return Calculator'!S5="","",'Implied-Return Calculator'!S5)</f>
        <v/>
      </c>
      <c r="M4" s="133" t="str">
        <f aca="false">IF('Implied-Return Calculator'!T5="","",'Implied-Return Calculator'!T5)</f>
        <v/>
      </c>
      <c r="N4" s="133" t="str">
        <f aca="false">IF('Implied-Return Calculator'!U5="","",'Implied-Return Calculator'!U5)</f>
        <v/>
      </c>
      <c r="O4" s="133"/>
      <c r="P4" s="133"/>
      <c r="Q4" s="132" t="str">
        <f aca="false">IF(OR(N4="",O4=""),"",IF(N4&lt;=50,"PASS — within ceiling",IF(AND(O4&gt;0.3,L4="PASS"),"PASS — growth+bear case exception met","FAIL — exceeds 50x, exception not met")))</f>
        <v/>
      </c>
      <c r="R4" s="132" t="str">
        <f aca="false">IF(OR(C4="",D4="",E4="",K4="",L4="",M4="",N4="",Q4=""),"",IF(AND(C4="PASS",D4="PASS",LEFT(E4,4)="PASS",LEFT(K4,4)="PASS",L4="PASS",M4="PASS",N4="OK",LEFT(Q4,4)="PASS"),"YES","NO — see failing rule(s)"))</f>
        <v/>
      </c>
      <c r="S4" s="132" t="str">
        <f aca="false">IF(R4="","",IF(R4="YES","Initiate: "&amp;H4,"DO NOT ENTER — resolve failing Entry Rule(s) above first"))</f>
        <v/>
      </c>
    </row>
    <row r="5" customFormat="false" ht="15" hidden="false" customHeight="true" outlineLevel="0" collapsed="false">
      <c r="A5" s="132" t="str">
        <f aca="false">IF(Scoring!A5="","",Scoring!A5)</f>
        <v>PLTR</v>
      </c>
      <c r="B5" s="132" t="str">
        <f aca="false">IF(Scoring!B5="","",Scoring!B5)</f>
        <v>Palantir Technologies</v>
      </c>
      <c r="C5" s="133" t="str">
        <f aca="false">IF(Scoring!AG5="","",IF(OR(Scoring!AG5="STRONG BUY",Scoring!AG5="BUY"),"PASS","FAIL"))</f>
        <v>PASS</v>
      </c>
      <c r="D5" s="133" t="str">
        <f aca="false">IF(Scoring!AH5="","",IF(Scoring!AH5="OK","PASS","FAIL"))</f>
        <v>PASS</v>
      </c>
      <c r="E5" s="133" t="str">
        <f aca="false">IF(Scoring!AI5="","",IF(Scoring!AI5="OK","PASS","FAIL — mandatory review required"))</f>
        <v>PASS</v>
      </c>
      <c r="F5" s="133"/>
      <c r="G5" s="133"/>
      <c r="H5" s="132" t="str">
        <f aca="false">IF(OR(F5="",G5=""),"",IF(AND(F5="Y",G5="Y"),"Standard initial size","50% of normal initial size + 90-day technical review"))</f>
        <v/>
      </c>
      <c r="I5" s="133"/>
      <c r="J5" s="133"/>
      <c r="K5" s="133" t="str">
        <f aca="false">IF(I5="","",IF(I5="N","PASS",IF(J5="Y","PASS — risk documented in thesis","FAIL — undocumented binary risk")))</f>
        <v/>
      </c>
      <c r="L5" s="133" t="str">
        <f aca="false">IF('Implied-Return Calculator'!S6="","",'Implied-Return Calculator'!S6)</f>
        <v/>
      </c>
      <c r="M5" s="133" t="str">
        <f aca="false">IF('Implied-Return Calculator'!T6="","",'Implied-Return Calculator'!T6)</f>
        <v/>
      </c>
      <c r="N5" s="133" t="str">
        <f aca="false">IF('Implied-Return Calculator'!U6="","",'Implied-Return Calculator'!U6)</f>
        <v/>
      </c>
      <c r="O5" s="133"/>
      <c r="P5" s="133"/>
      <c r="Q5" s="132" t="str">
        <f aca="false">IF(OR(N5="",O5=""),"",IF(N5&lt;=50,"PASS — within ceiling",IF(AND(O5&gt;0.3,L5="PASS"),"PASS — growth+bear case exception met","FAIL — exceeds 50x, exception not met")))</f>
        <v/>
      </c>
      <c r="R5" s="132" t="str">
        <f aca="false">IF(OR(C5="",D5="",E5="",K5="",L5="",M5="",N5="",Q5=""),"",IF(AND(C5="PASS",D5="PASS",LEFT(E5,4)="PASS",LEFT(K5,4)="PASS",L5="PASS",M5="PASS",N5="OK",LEFT(Q5,4)="PASS"),"YES","NO — see failing rule(s)"))</f>
        <v/>
      </c>
      <c r="S5" s="132" t="str">
        <f aca="false">IF(R5="","",IF(R5="YES","Initiate: "&amp;H5,"DO NOT ENTER — resolve failing Entry Rule(s) above first"))</f>
        <v/>
      </c>
    </row>
    <row r="6" customFormat="false" ht="15" hidden="false" customHeight="true" outlineLevel="0" collapsed="false">
      <c r="A6" s="132" t="str">
        <f aca="false">IF(Scoring!A6="","",Scoring!A6)</f>
        <v>NVDA</v>
      </c>
      <c r="B6" s="132" t="str">
        <f aca="false">IF(Scoring!B6="","",Scoring!B6)</f>
        <v>NVIDIA Corporation</v>
      </c>
      <c r="C6" s="133" t="str">
        <f aca="false">IF(Scoring!AG6="","",IF(OR(Scoring!AG6="STRONG BUY",Scoring!AG6="BUY"),"PASS","FAIL"))</f>
        <v>PASS</v>
      </c>
      <c r="D6" s="133" t="str">
        <f aca="false">IF(Scoring!AH6="","",IF(Scoring!AH6="OK","PASS","FAIL"))</f>
        <v>PASS</v>
      </c>
      <c r="E6" s="133" t="str">
        <f aca="false">IF(Scoring!AI6="","",IF(Scoring!AI6="OK","PASS","FAIL — mandatory review required"))</f>
        <v>PASS</v>
      </c>
      <c r="F6" s="133"/>
      <c r="G6" s="133"/>
      <c r="H6" s="132" t="str">
        <f aca="false">IF(OR(F6="",G6=""),"",IF(AND(F6="Y",G6="Y"),"Standard initial size","50% of normal initial size + 90-day technical review"))</f>
        <v/>
      </c>
      <c r="I6" s="133"/>
      <c r="J6" s="133"/>
      <c r="K6" s="133" t="str">
        <f aca="false">IF(I6="","",IF(I6="N","PASS",IF(J6="Y","PASS — risk documented in thesis","FAIL — undocumented binary risk")))</f>
        <v/>
      </c>
      <c r="L6" s="133" t="str">
        <f aca="false">IF('Implied-Return Calculator'!S7="","",'Implied-Return Calculator'!S7)</f>
        <v/>
      </c>
      <c r="M6" s="133" t="str">
        <f aca="false">IF('Implied-Return Calculator'!T7="","",'Implied-Return Calculator'!T7)</f>
        <v/>
      </c>
      <c r="N6" s="133" t="str">
        <f aca="false">IF('Implied-Return Calculator'!U7="","",'Implied-Return Calculator'!U7)</f>
        <v/>
      </c>
      <c r="O6" s="133"/>
      <c r="P6" s="133"/>
      <c r="Q6" s="132" t="str">
        <f aca="false">IF(OR(N6="",O6=""),"",IF(N6&lt;=50,"PASS — within ceiling",IF(AND(O6&gt;0.3,L6="PASS"),"PASS — growth+bear case exception met","FAIL — exceeds 50x, exception not met")))</f>
        <v/>
      </c>
      <c r="R6" s="132" t="str">
        <f aca="false">IF(OR(C6="",D6="",E6="",K6="",L6="",M6="",N6="",Q6=""),"",IF(AND(C6="PASS",D6="PASS",LEFT(E6,4)="PASS",LEFT(K6,4)="PASS",L6="PASS",M6="PASS",N6="OK",LEFT(Q6,4)="PASS"),"YES","NO — see failing rule(s)"))</f>
        <v/>
      </c>
      <c r="S6" s="132" t="str">
        <f aca="false">IF(R6="","",IF(R6="YES","Initiate: "&amp;H6,"DO NOT ENTER — resolve failing Entry Rule(s) above first"))</f>
        <v/>
      </c>
    </row>
    <row r="7" customFormat="false" ht="15" hidden="false" customHeight="true" outlineLevel="0" collapsed="false">
      <c r="A7" s="132" t="str">
        <f aca="false">IF(Scoring!A7="","",Scoring!A7)</f>
        <v>VRTX</v>
      </c>
      <c r="B7" s="132" t="str">
        <f aca="false">IF(Scoring!B7="","",Scoring!B7)</f>
        <v>Vertex Pharmaceuticals</v>
      </c>
      <c r="C7" s="133" t="str">
        <f aca="false">IF(Scoring!AG7="","",IF(OR(Scoring!AG7="STRONG BUY",Scoring!AG7="BUY"),"PASS","FAIL"))</f>
        <v>PASS</v>
      </c>
      <c r="D7" s="133" t="str">
        <f aca="false">IF(Scoring!AH7="","",IF(Scoring!AH7="OK","PASS","FAIL"))</f>
        <v>PASS</v>
      </c>
      <c r="E7" s="133" t="str">
        <f aca="false">IF(Scoring!AI7="","",IF(Scoring!AI7="OK","PASS","FAIL — mandatory review required"))</f>
        <v>PASS</v>
      </c>
      <c r="F7" s="133"/>
      <c r="G7" s="133"/>
      <c r="H7" s="132" t="str">
        <f aca="false">IF(OR(F7="",G7=""),"",IF(AND(F7="Y",G7="Y"),"Standard initial size","50% of normal initial size + 90-day technical review"))</f>
        <v/>
      </c>
      <c r="I7" s="133"/>
      <c r="J7" s="133"/>
      <c r="K7" s="133" t="str">
        <f aca="false">IF(I7="","",IF(I7="N","PASS",IF(J7="Y","PASS — risk documented in thesis","FAIL — undocumented binary risk")))</f>
        <v/>
      </c>
      <c r="L7" s="133" t="str">
        <f aca="false">IF('Implied-Return Calculator'!S8="","",'Implied-Return Calculator'!S8)</f>
        <v/>
      </c>
      <c r="M7" s="133" t="str">
        <f aca="false">IF('Implied-Return Calculator'!T8="","",'Implied-Return Calculator'!T8)</f>
        <v/>
      </c>
      <c r="N7" s="133" t="str">
        <f aca="false">IF('Implied-Return Calculator'!U8="","",'Implied-Return Calculator'!U8)</f>
        <v/>
      </c>
      <c r="O7" s="133"/>
      <c r="P7" s="133"/>
      <c r="Q7" s="132" t="str">
        <f aca="false">IF(OR(N7="",O7=""),"",IF(N7&lt;=50,"PASS — within ceiling",IF(AND(O7&gt;0.3,L7="PASS"),"PASS — growth+bear case exception met","FAIL — exceeds 50x, exception not met")))</f>
        <v/>
      </c>
      <c r="R7" s="132" t="str">
        <f aca="false">IF(OR(C7="",D7="",E7="",K7="",L7="",M7="",N7="",Q7=""),"",IF(AND(C7="PASS",D7="PASS",LEFT(E7,4)="PASS",LEFT(K7,4)="PASS",L7="PASS",M7="PASS",N7="OK",LEFT(Q7,4)="PASS"),"YES","NO — see failing rule(s)"))</f>
        <v/>
      </c>
      <c r="S7" s="132" t="str">
        <f aca="false">IF(R7="","",IF(R7="YES","Initiate: "&amp;H7,"DO NOT ENTER — resolve failing Entry Rule(s) above first"))</f>
        <v/>
      </c>
    </row>
    <row r="8" customFormat="false" ht="15" hidden="false" customHeight="true" outlineLevel="0" collapsed="false">
      <c r="A8" s="132" t="str">
        <f aca="false">IF(Scoring!A8="","",Scoring!A8)</f>
        <v>PLD</v>
      </c>
      <c r="B8" s="132" t="str">
        <f aca="false">IF(Scoring!B8="","",Scoring!B8)</f>
        <v>Prologis Inc. (REIT-adapted)</v>
      </c>
      <c r="C8" s="133" t="str">
        <f aca="false">IF(Scoring!AG8="","",IF(OR(Scoring!AG8="STRONG BUY",Scoring!AG8="BUY"),"PASS","FAIL"))</f>
        <v>PASS</v>
      </c>
      <c r="D8" s="133" t="str">
        <f aca="false">IF(Scoring!AH8="","",IF(Scoring!AH8="OK","PASS","FAIL"))</f>
        <v>PASS</v>
      </c>
      <c r="E8" s="133" t="str">
        <f aca="false">IF(Scoring!AI8="","",IF(Scoring!AI8="OK","PASS","FAIL — mandatory review required"))</f>
        <v>PASS</v>
      </c>
      <c r="F8" s="133"/>
      <c r="G8" s="133"/>
      <c r="H8" s="132" t="str">
        <f aca="false">IF(OR(F8="",G8=""),"",IF(AND(F8="Y",G8="Y"),"Standard initial size","50% of normal initial size + 90-day technical review"))</f>
        <v/>
      </c>
      <c r="I8" s="133"/>
      <c r="J8" s="133"/>
      <c r="K8" s="133" t="str">
        <f aca="false">IF(I8="","",IF(I8="N","PASS",IF(J8="Y","PASS — risk documented in thesis","FAIL — undocumented binary risk")))</f>
        <v/>
      </c>
      <c r="L8" s="133" t="str">
        <f aca="false">IF('Implied-Return Calculator'!S9="","",'Implied-Return Calculator'!S9)</f>
        <v/>
      </c>
      <c r="M8" s="133" t="str">
        <f aca="false">IF('Implied-Return Calculator'!T9="","",'Implied-Return Calculator'!T9)</f>
        <v/>
      </c>
      <c r="N8" s="133" t="str">
        <f aca="false">IF('Implied-Return Calculator'!U9="","",'Implied-Return Calculator'!U9)</f>
        <v/>
      </c>
      <c r="O8" s="133"/>
      <c r="P8" s="133"/>
      <c r="Q8" s="132" t="str">
        <f aca="false">IF(OR(N8="",O8=""),"",IF(N8&lt;=50,"PASS — within ceiling",IF(AND(O8&gt;0.3,L8="PASS"),"PASS — growth+bear case exception met","FAIL — exceeds 50x, exception not met")))</f>
        <v/>
      </c>
      <c r="R8" s="132" t="str">
        <f aca="false">IF(OR(C8="",D8="",E8="",K8="",L8="",M8="",N8="",Q8=""),"",IF(AND(C8="PASS",D8="PASS",LEFT(E8,4)="PASS",LEFT(K8,4)="PASS",L8="PASS",M8="PASS",N8="OK",LEFT(Q8,4)="PASS"),"YES","NO — see failing rule(s)"))</f>
        <v/>
      </c>
      <c r="S8" s="132" t="str">
        <f aca="false">IF(R8="","",IF(R8="YES","Initiate: "&amp;H8,"DO NOT ENTER — resolve failing Entry Rule(s) above first"))</f>
        <v/>
      </c>
    </row>
    <row r="9" customFormat="false" ht="15" hidden="false" customHeight="true" outlineLevel="0" collapsed="false">
      <c r="A9" s="132" t="str">
        <f aca="false">IF(Scoring!A9="","",Scoring!A9)</f>
        <v>SFM</v>
      </c>
      <c r="B9" s="132" t="str">
        <f aca="false">IF(Scoring!B9="","",Scoring!B9)</f>
        <v>Sprouts Farmers Market</v>
      </c>
      <c r="C9" s="133" t="str">
        <f aca="false">IF(Scoring!AG9="","",IF(OR(Scoring!AG9="STRONG BUY",Scoring!AG9="BUY"),"PASS","FAIL"))</f>
        <v/>
      </c>
      <c r="D9" s="133" t="str">
        <f aca="false">IF(Scoring!AH9="","",IF(Scoring!AH9="OK","PASS","FAIL"))</f>
        <v>FAIL</v>
      </c>
      <c r="E9" s="133" t="str">
        <f aca="false">IF(Scoring!AI9="","",IF(Scoring!AI9="OK","PASS","FAIL — mandatory review required"))</f>
        <v>FAIL — mandatory review required</v>
      </c>
      <c r="F9" s="133"/>
      <c r="G9" s="133"/>
      <c r="H9" s="132" t="str">
        <f aca="false">IF(OR(F9="",G9=""),"",IF(AND(F9="Y",G9="Y"),"Standard initial size","50% of normal initial size + 90-day technical review"))</f>
        <v/>
      </c>
      <c r="I9" s="133"/>
      <c r="J9" s="133"/>
      <c r="K9" s="133" t="str">
        <f aca="false">IF(I9="","",IF(I9="N","PASS",IF(J9="Y","PASS — risk documented in thesis","FAIL — undocumented binary risk")))</f>
        <v/>
      </c>
      <c r="L9" s="133" t="str">
        <f aca="false">IF('Implied-Return Calculator'!S10="","",'Implied-Return Calculator'!S10)</f>
        <v/>
      </c>
      <c r="M9" s="133" t="str">
        <f aca="false">IF('Implied-Return Calculator'!T10="","",'Implied-Return Calculator'!T10)</f>
        <v/>
      </c>
      <c r="N9" s="133" t="str">
        <f aca="false">IF('Implied-Return Calculator'!U10="","",'Implied-Return Calculator'!U10)</f>
        <v/>
      </c>
      <c r="O9" s="133"/>
      <c r="P9" s="133"/>
      <c r="Q9" s="132" t="str">
        <f aca="false">IF(OR(N9="",O9=""),"",IF(N9&lt;=50,"PASS — within ceiling",IF(AND(O9&gt;0.3,L9="PASS"),"PASS — growth+bear case exception met","FAIL — exceeds 50x, exception not met")))</f>
        <v/>
      </c>
      <c r="R9" s="132" t="str">
        <f aca="false">IF(OR(C9="",D9="",E9="",K9="",L9="",M9="",N9="",Q9=""),"",IF(AND(C9="PASS",D9="PASS",LEFT(E9,4)="PASS",LEFT(K9,4)="PASS",L9="PASS",M9="PASS",N9="OK",LEFT(Q9,4)="PASS"),"YES","NO — see failing rule(s)"))</f>
        <v/>
      </c>
      <c r="S9" s="132" t="str">
        <f aca="false">IF(R9="","",IF(R9="YES","Initiate: "&amp;H9,"DO NOT ENTER — resolve failing Entry Rule(s) above first"))</f>
        <v/>
      </c>
    </row>
    <row r="10" customFormat="false" ht="15" hidden="false" customHeight="true" outlineLevel="0" collapsed="false">
      <c r="A10" s="132" t="str">
        <f aca="false">IF(Scoring!A10="","",Scoring!A10)</f>
        <v>ONON</v>
      </c>
      <c r="B10" s="132" t="str">
        <f aca="false">IF(Scoring!B10="","",Scoring!B10)</f>
        <v>On Holding AG</v>
      </c>
      <c r="C10" s="133" t="str">
        <f aca="false">IF(Scoring!AG10="","",IF(OR(Scoring!AG10="STRONG BUY",Scoring!AG10="BUY"),"PASS","FAIL"))</f>
        <v/>
      </c>
      <c r="D10" s="133" t="str">
        <f aca="false">IF(Scoring!AH10="","",IF(Scoring!AH10="OK","PASS","FAIL"))</f>
        <v>FAIL</v>
      </c>
      <c r="E10" s="133" t="str">
        <f aca="false">IF(Scoring!AI10="","",IF(Scoring!AI10="OK","PASS","FAIL — mandatory review required"))</f>
        <v>PASS</v>
      </c>
      <c r="F10" s="133"/>
      <c r="G10" s="133"/>
      <c r="H10" s="132" t="str">
        <f aca="false">IF(OR(F10="",G10=""),"",IF(AND(F10="Y",G10="Y"),"Standard initial size","50% of normal initial size + 90-day technical review"))</f>
        <v/>
      </c>
      <c r="I10" s="133"/>
      <c r="J10" s="133"/>
      <c r="K10" s="133" t="str">
        <f aca="false">IF(I10="","",IF(I10="N","PASS",IF(J10="Y","PASS — risk documented in thesis","FAIL — undocumented binary risk")))</f>
        <v/>
      </c>
      <c r="L10" s="133" t="str">
        <f aca="false">IF('Implied-Return Calculator'!S11="","",'Implied-Return Calculator'!S11)</f>
        <v/>
      </c>
      <c r="M10" s="133" t="str">
        <f aca="false">IF('Implied-Return Calculator'!T11="","",'Implied-Return Calculator'!T11)</f>
        <v/>
      </c>
      <c r="N10" s="133" t="str">
        <f aca="false">IF('Implied-Return Calculator'!U11="","",'Implied-Return Calculator'!U11)</f>
        <v/>
      </c>
      <c r="O10" s="133"/>
      <c r="P10" s="133"/>
      <c r="Q10" s="132" t="str">
        <f aca="false">IF(OR(N10="",O10=""),"",IF(N10&lt;=50,"PASS — within ceiling",IF(AND(O10&gt;0.3,L10="PASS"),"PASS — growth+bear case exception met","FAIL — exceeds 50x, exception not met")))</f>
        <v/>
      </c>
      <c r="R10" s="132" t="str">
        <f aca="false">IF(OR(C10="",D10="",E10="",K10="",L10="",M10="",N10="",Q10=""),"",IF(AND(C10="PASS",D10="PASS",LEFT(E10,4)="PASS",LEFT(K10,4)="PASS",L10="PASS",M10="PASS",N10="OK",LEFT(Q10,4)="PASS"),"YES","NO — see failing rule(s)"))</f>
        <v/>
      </c>
      <c r="S10" s="132" t="str">
        <f aca="false">IF(R10="","",IF(R10="YES","Initiate: "&amp;H10,"DO NOT ENTER — resolve failing Entry Rule(s) above first"))</f>
        <v/>
      </c>
    </row>
    <row r="11" customFormat="false" ht="15" hidden="false" customHeight="true" outlineLevel="0" collapsed="false">
      <c r="A11" s="132" t="str">
        <f aca="false">IF(Scoring!A11="","",Scoring!A11)</f>
        <v>TSLA</v>
      </c>
      <c r="B11" s="132" t="str">
        <f aca="false">IF(Scoring!B11="","",Scoring!B11)</f>
        <v>Tesla Inc.</v>
      </c>
      <c r="C11" s="133" t="str">
        <f aca="false">IF(Scoring!AG11="","",IF(OR(Scoring!AG11="STRONG BUY",Scoring!AG11="BUY"),"PASS","FAIL"))</f>
        <v/>
      </c>
      <c r="D11" s="133" t="str">
        <f aca="false">IF(Scoring!AH11="","",IF(Scoring!AH11="OK","PASS","FAIL"))</f>
        <v>FAIL</v>
      </c>
      <c r="E11" s="133" t="str">
        <f aca="false">IF(Scoring!AI11="","",IF(Scoring!AI11="OK","PASS","FAIL — mandatory review required"))</f>
        <v>FAIL — mandatory review required</v>
      </c>
      <c r="F11" s="133"/>
      <c r="G11" s="133"/>
      <c r="H11" s="132" t="str">
        <f aca="false">IF(OR(F11="",G11=""),"",IF(AND(F11="Y",G11="Y"),"Standard initial size","50% of normal initial size + 90-day technical review"))</f>
        <v/>
      </c>
      <c r="I11" s="133"/>
      <c r="J11" s="133"/>
      <c r="K11" s="133" t="str">
        <f aca="false">IF(I11="","",IF(I11="N","PASS",IF(J11="Y","PASS — risk documented in thesis","FAIL — undocumented binary risk")))</f>
        <v/>
      </c>
      <c r="L11" s="133" t="str">
        <f aca="false">IF('Implied-Return Calculator'!S12="","",'Implied-Return Calculator'!S12)</f>
        <v/>
      </c>
      <c r="M11" s="133" t="str">
        <f aca="false">IF('Implied-Return Calculator'!T12="","",'Implied-Return Calculator'!T12)</f>
        <v/>
      </c>
      <c r="N11" s="133" t="str">
        <f aca="false">IF('Implied-Return Calculator'!U12="","",'Implied-Return Calculator'!U12)</f>
        <v/>
      </c>
      <c r="O11" s="133"/>
      <c r="P11" s="133"/>
      <c r="Q11" s="132" t="str">
        <f aca="false">IF(OR(N11="",O11=""),"",IF(N11&lt;=50,"PASS — within ceiling",IF(AND(O11&gt;0.3,L11="PASS"),"PASS — growth+bear case exception met","FAIL — exceeds 50x, exception not met")))</f>
        <v/>
      </c>
      <c r="R11" s="132" t="str">
        <f aca="false">IF(OR(C11="",D11="",E11="",K11="",L11="",M11="",N11="",Q11=""),"",IF(AND(C11="PASS",D11="PASS",LEFT(E11,4)="PASS",LEFT(K11,4)="PASS",L11="PASS",M11="PASS",N11="OK",LEFT(Q11,4)="PASS"),"YES","NO — see failing rule(s)"))</f>
        <v/>
      </c>
      <c r="S11" s="132" t="str">
        <f aca="false">IF(R11="","",IF(R11="YES","Initiate: "&amp;H11,"DO NOT ENTER — resolve failing Entry Rule(s) above first"))</f>
        <v/>
      </c>
    </row>
    <row r="12" customFormat="false" ht="15" hidden="false" customHeight="true" outlineLevel="0" collapsed="false">
      <c r="A12" s="132" t="str">
        <f aca="false">IF(Scoring!A12="","",Scoring!A12)</f>
        <v>ADBE</v>
      </c>
      <c r="B12" s="132" t="str">
        <f aca="false">IF(Scoring!B12="","",Scoring!B12)</f>
        <v>Adobe Inc.</v>
      </c>
      <c r="C12" s="133" t="str">
        <f aca="false">IF(Scoring!AG12="","",IF(OR(Scoring!AG12="STRONG BUY",Scoring!AG12="BUY"),"PASS","FAIL"))</f>
        <v>PASS</v>
      </c>
      <c r="D12" s="133" t="str">
        <f aca="false">IF(Scoring!AH12="","",IF(Scoring!AH12="OK","PASS","FAIL"))</f>
        <v>PASS</v>
      </c>
      <c r="E12" s="133" t="str">
        <f aca="false">IF(Scoring!AI12="","",IF(Scoring!AI12="OK","PASS","FAIL — mandatory review required"))</f>
        <v>PASS</v>
      </c>
      <c r="F12" s="133"/>
      <c r="G12" s="133"/>
      <c r="H12" s="132" t="str">
        <f aca="false">IF(OR(F12="",G12=""),"",IF(AND(F12="Y",G12="Y"),"Standard initial size","50% of normal initial size + 90-day technical review"))</f>
        <v/>
      </c>
      <c r="I12" s="133"/>
      <c r="J12" s="133"/>
      <c r="K12" s="133" t="str">
        <f aca="false">IF(I12="","",IF(I12="N","PASS",IF(J12="Y","PASS — risk documented in thesis","FAIL — undocumented binary risk")))</f>
        <v/>
      </c>
      <c r="L12" s="133" t="str">
        <f aca="false">IF('Implied-Return Calculator'!S13="","",'Implied-Return Calculator'!S13)</f>
        <v/>
      </c>
      <c r="M12" s="133" t="str">
        <f aca="false">IF('Implied-Return Calculator'!T13="","",'Implied-Return Calculator'!T13)</f>
        <v/>
      </c>
      <c r="N12" s="133" t="str">
        <f aca="false">IF('Implied-Return Calculator'!U13="","",'Implied-Return Calculator'!U13)</f>
        <v/>
      </c>
      <c r="O12" s="133"/>
      <c r="P12" s="133"/>
      <c r="Q12" s="132" t="str">
        <f aca="false">IF(OR(N12="",O12=""),"",IF(N12&lt;=50,"PASS — within ceiling",IF(AND(O12&gt;0.3,L12="PASS"),"PASS — growth+bear case exception met","FAIL — exceeds 50x, exception not met")))</f>
        <v/>
      </c>
      <c r="R12" s="132" t="str">
        <f aca="false">IF(OR(C12="",D12="",E12="",K12="",L12="",M12="",N12="",Q12=""),"",IF(AND(C12="PASS",D12="PASS",LEFT(E12,4)="PASS",LEFT(K12,4)="PASS",L12="PASS",M12="PASS",N12="OK",LEFT(Q12,4)="PASS"),"YES","NO — see failing rule(s)"))</f>
        <v/>
      </c>
      <c r="S12" s="132" t="str">
        <f aca="false">IF(R12="","",IF(R12="YES","Initiate: "&amp;H12,"DO NOT ENTER — resolve failing Entry Rule(s) above first"))</f>
        <v/>
      </c>
    </row>
    <row r="13" customFormat="false" ht="15" hidden="false" customHeight="true" outlineLevel="0" collapsed="false">
      <c r="A13" s="132" t="str">
        <f aca="false">IF(Scoring!A13="","",Scoring!A13)</f>
        <v>ANET</v>
      </c>
      <c r="B13" s="132" t="str">
        <f aca="false">IF(Scoring!B13="","",Scoring!B13)</f>
        <v>Arista Networks</v>
      </c>
      <c r="C13" s="133" t="str">
        <f aca="false">IF(Scoring!AG13="","",IF(OR(Scoring!AG13="STRONG BUY",Scoring!AG13="BUY"),"PASS","FAIL"))</f>
        <v>PASS</v>
      </c>
      <c r="D13" s="133" t="str">
        <f aca="false">IF(Scoring!AH13="","",IF(Scoring!AH13="OK","PASS","FAIL"))</f>
        <v>PASS</v>
      </c>
      <c r="E13" s="133" t="str">
        <f aca="false">IF(Scoring!AI13="","",IF(Scoring!AI13="OK","PASS","FAIL — mandatory review required"))</f>
        <v>PASS</v>
      </c>
      <c r="F13" s="133"/>
      <c r="G13" s="133"/>
      <c r="H13" s="132" t="str">
        <f aca="false">IF(OR(F13="",G13=""),"",IF(AND(F13="Y",G13="Y"),"Standard initial size","50% of normal initial size + 90-day technical review"))</f>
        <v/>
      </c>
      <c r="I13" s="133"/>
      <c r="J13" s="133"/>
      <c r="K13" s="133" t="str">
        <f aca="false">IF(I13="","",IF(I13="N","PASS",IF(J13="Y","PASS — risk documented in thesis","FAIL — undocumented binary risk")))</f>
        <v/>
      </c>
      <c r="L13" s="133" t="str">
        <f aca="false">IF('Implied-Return Calculator'!S14="","",'Implied-Return Calculator'!S14)</f>
        <v/>
      </c>
      <c r="M13" s="133" t="str">
        <f aca="false">IF('Implied-Return Calculator'!T14="","",'Implied-Return Calculator'!T14)</f>
        <v/>
      </c>
      <c r="N13" s="133" t="str">
        <f aca="false">IF('Implied-Return Calculator'!U14="","",'Implied-Return Calculator'!U14)</f>
        <v/>
      </c>
      <c r="O13" s="133"/>
      <c r="P13" s="133"/>
      <c r="Q13" s="132" t="str">
        <f aca="false">IF(OR(N13="",O13=""),"",IF(N13&lt;=50,"PASS — within ceiling",IF(AND(O13&gt;0.3,L13="PASS"),"PASS — growth+bear case exception met","FAIL — exceeds 50x, exception not met")))</f>
        <v/>
      </c>
      <c r="R13" s="132" t="str">
        <f aca="false">IF(OR(C13="",D13="",E13="",K13="",L13="",M13="",N13="",Q13=""),"",IF(AND(C13="PASS",D13="PASS",LEFT(E13,4)="PASS",LEFT(K13,4)="PASS",L13="PASS",M13="PASS",N13="OK",LEFT(Q13,4)="PASS"),"YES","NO — see failing rule(s)"))</f>
        <v/>
      </c>
      <c r="S13" s="132" t="str">
        <f aca="false">IF(R13="","",IF(R13="YES","Initiate: "&amp;H13,"DO NOT ENTER — resolve failing Entry Rule(s) above first"))</f>
        <v/>
      </c>
    </row>
    <row r="14" customFormat="false" ht="15" hidden="false" customHeight="true" outlineLevel="0" collapsed="false">
      <c r="A14" s="132" t="str">
        <f aca="false">IF(Scoring!A14="","",Scoring!A14)</f>
        <v>ASML</v>
      </c>
      <c r="B14" s="132" t="str">
        <f aca="false">IF(Scoring!B14="","",Scoring!B14)</f>
        <v>ASML Holding</v>
      </c>
      <c r="C14" s="133" t="str">
        <f aca="false">IF(Scoring!AG14="","",IF(OR(Scoring!AG14="STRONG BUY",Scoring!AG14="BUY"),"PASS","FAIL"))</f>
        <v>PASS</v>
      </c>
      <c r="D14" s="133" t="str">
        <f aca="false">IF(Scoring!AH14="","",IF(Scoring!AH14="OK","PASS","FAIL"))</f>
        <v>PASS</v>
      </c>
      <c r="E14" s="133" t="str">
        <f aca="false">IF(Scoring!AI14="","",IF(Scoring!AI14="OK","PASS","FAIL — mandatory review required"))</f>
        <v>PASS</v>
      </c>
      <c r="F14" s="133"/>
      <c r="G14" s="133"/>
      <c r="H14" s="132" t="str">
        <f aca="false">IF(OR(F14="",G14=""),"",IF(AND(F14="Y",G14="Y"),"Standard initial size","50% of normal initial size + 90-day technical review"))</f>
        <v/>
      </c>
      <c r="I14" s="133"/>
      <c r="J14" s="133"/>
      <c r="K14" s="133" t="str">
        <f aca="false">IF(I14="","",IF(I14="N","PASS",IF(J14="Y","PASS — risk documented in thesis","FAIL — undocumented binary risk")))</f>
        <v/>
      </c>
      <c r="L14" s="133" t="str">
        <f aca="false">IF('Implied-Return Calculator'!S15="","",'Implied-Return Calculator'!S15)</f>
        <v/>
      </c>
      <c r="M14" s="133" t="str">
        <f aca="false">IF('Implied-Return Calculator'!T15="","",'Implied-Return Calculator'!T15)</f>
        <v/>
      </c>
      <c r="N14" s="133" t="str">
        <f aca="false">IF('Implied-Return Calculator'!U15="","",'Implied-Return Calculator'!U15)</f>
        <v/>
      </c>
      <c r="O14" s="133"/>
      <c r="P14" s="133"/>
      <c r="Q14" s="132" t="str">
        <f aca="false">IF(OR(N14="",O14=""),"",IF(N14&lt;=50,"PASS — within ceiling",IF(AND(O14&gt;0.3,L14="PASS"),"PASS — growth+bear case exception met","FAIL — exceeds 50x, exception not met")))</f>
        <v/>
      </c>
      <c r="R14" s="132" t="str">
        <f aca="false">IF(OR(C14="",D14="",E14="",K14="",L14="",M14="",N14="",Q14=""),"",IF(AND(C14="PASS",D14="PASS",LEFT(E14,4)="PASS",LEFT(K14,4)="PASS",L14="PASS",M14="PASS",N14="OK",LEFT(Q14,4)="PASS"),"YES","NO — see failing rule(s)"))</f>
        <v/>
      </c>
      <c r="S14" s="132" t="str">
        <f aca="false">IF(R14="","",IF(R14="YES","Initiate: "&amp;H14,"DO NOT ENTER — resolve failing Entry Rule(s) above first"))</f>
        <v/>
      </c>
    </row>
    <row r="15" customFormat="false" ht="15" hidden="false" customHeight="true" outlineLevel="0" collapsed="false">
      <c r="A15" s="132" t="str">
        <f aca="false">IF(Scoring!A15="","",Scoring!A15)</f>
        <v>CRWD</v>
      </c>
      <c r="B15" s="132" t="str">
        <f aca="false">IF(Scoring!B15="","",Scoring!B15)</f>
        <v>CrowdStrike Holdings</v>
      </c>
      <c r="C15" s="133" t="str">
        <f aca="false">IF(Scoring!AG15="","",IF(OR(Scoring!AG15="STRONG BUY",Scoring!AG15="BUY"),"PASS","FAIL"))</f>
        <v>FAIL</v>
      </c>
      <c r="D15" s="133" t="str">
        <f aca="false">IF(Scoring!AH15="","",IF(Scoring!AH15="OK","PASS","FAIL"))</f>
        <v>PASS</v>
      </c>
      <c r="E15" s="133" t="str">
        <f aca="false">IF(Scoring!AI15="","",IF(Scoring!AI15="OK","PASS","FAIL — mandatory review required"))</f>
        <v>PASS</v>
      </c>
      <c r="F15" s="133"/>
      <c r="G15" s="133"/>
      <c r="H15" s="132" t="str">
        <f aca="false">IF(OR(F15="",G15=""),"",IF(AND(F15="Y",G15="Y"),"Standard initial size","50% of normal initial size + 90-day technical review"))</f>
        <v/>
      </c>
      <c r="I15" s="133"/>
      <c r="J15" s="133"/>
      <c r="K15" s="133" t="str">
        <f aca="false">IF(I15="","",IF(I15="N","PASS",IF(J15="Y","PASS — risk documented in thesis","FAIL — undocumented binary risk")))</f>
        <v/>
      </c>
      <c r="L15" s="133" t="str">
        <f aca="false">IF('Implied-Return Calculator'!S16="","",'Implied-Return Calculator'!S16)</f>
        <v/>
      </c>
      <c r="M15" s="133" t="str">
        <f aca="false">IF('Implied-Return Calculator'!T16="","",'Implied-Return Calculator'!T16)</f>
        <v/>
      </c>
      <c r="N15" s="133" t="str">
        <f aca="false">IF('Implied-Return Calculator'!U16="","",'Implied-Return Calculator'!U16)</f>
        <v/>
      </c>
      <c r="O15" s="133"/>
      <c r="P15" s="133"/>
      <c r="Q15" s="132" t="str">
        <f aca="false">IF(OR(N15="",O15=""),"",IF(N15&lt;=50,"PASS — within ceiling",IF(AND(O15&gt;0.3,L15="PASS"),"PASS — growth+bear case exception met","FAIL — exceeds 50x, exception not met")))</f>
        <v/>
      </c>
      <c r="R15" s="132" t="str">
        <f aca="false">IF(OR(C15="",D15="",E15="",K15="",L15="",M15="",N15="",Q15=""),"",IF(AND(C15="PASS",D15="PASS",LEFT(E15,4)="PASS",LEFT(K15,4)="PASS",L15="PASS",M15="PASS",N15="OK",LEFT(Q15,4)="PASS"),"YES","NO — see failing rule(s)"))</f>
        <v/>
      </c>
      <c r="S15" s="132" t="str">
        <f aca="false">IF(R15="","",IF(R15="YES","Initiate: "&amp;H15,"DO NOT ENTER — resolve failing Entry Rule(s) above first"))</f>
        <v/>
      </c>
    </row>
    <row r="16" customFormat="false" ht="15" hidden="false" customHeight="true" outlineLevel="0" collapsed="false">
      <c r="A16" s="132" t="str">
        <f aca="false">IF(Scoring!A16="","",Scoring!A16)</f>
        <v>KLAC</v>
      </c>
      <c r="B16" s="132" t="str">
        <f aca="false">IF(Scoring!B16="","",Scoring!B16)</f>
        <v>KLA Corporation</v>
      </c>
      <c r="C16" s="133" t="str">
        <f aca="false">IF(Scoring!AG16="","",IF(OR(Scoring!AG16="STRONG BUY",Scoring!AG16="BUY"),"PASS","FAIL"))</f>
        <v>PASS</v>
      </c>
      <c r="D16" s="133" t="str">
        <f aca="false">IF(Scoring!AH16="","",IF(Scoring!AH16="OK","PASS","FAIL"))</f>
        <v>PASS</v>
      </c>
      <c r="E16" s="133" t="str">
        <f aca="false">IF(Scoring!AI16="","",IF(Scoring!AI16="OK","PASS","FAIL — mandatory review required"))</f>
        <v>PASS</v>
      </c>
      <c r="F16" s="133"/>
      <c r="G16" s="133"/>
      <c r="H16" s="132" t="str">
        <f aca="false">IF(OR(F16="",G16=""),"",IF(AND(F16="Y",G16="Y"),"Standard initial size","50% of normal initial size + 90-day technical review"))</f>
        <v/>
      </c>
      <c r="I16" s="133"/>
      <c r="J16" s="133"/>
      <c r="K16" s="133" t="str">
        <f aca="false">IF(I16="","",IF(I16="N","PASS",IF(J16="Y","PASS — risk documented in thesis","FAIL — undocumented binary risk")))</f>
        <v/>
      </c>
      <c r="L16" s="133" t="str">
        <f aca="false">IF('Implied-Return Calculator'!S17="","",'Implied-Return Calculator'!S17)</f>
        <v/>
      </c>
      <c r="M16" s="133" t="str">
        <f aca="false">IF('Implied-Return Calculator'!T17="","",'Implied-Return Calculator'!T17)</f>
        <v/>
      </c>
      <c r="N16" s="133" t="str">
        <f aca="false">IF('Implied-Return Calculator'!U17="","",'Implied-Return Calculator'!U17)</f>
        <v/>
      </c>
      <c r="O16" s="133"/>
      <c r="P16" s="133"/>
      <c r="Q16" s="132" t="str">
        <f aca="false">IF(OR(N16="",O16=""),"",IF(N16&lt;=50,"PASS — within ceiling",IF(AND(O16&gt;0.3,L16="PASS"),"PASS — growth+bear case exception met","FAIL — exceeds 50x, exception not met")))</f>
        <v/>
      </c>
      <c r="R16" s="132" t="str">
        <f aca="false">IF(OR(C16="",D16="",E16="",K16="",L16="",M16="",N16="",Q16=""),"",IF(AND(C16="PASS",D16="PASS",LEFT(E16,4)="PASS",LEFT(K16,4)="PASS",L16="PASS",M16="PASS",N16="OK",LEFT(Q16,4)="PASS"),"YES","NO — see failing rule(s)"))</f>
        <v/>
      </c>
      <c r="S16" s="132" t="str">
        <f aca="false">IF(R16="","",IF(R16="YES","Initiate: "&amp;H16,"DO NOT ENTER — resolve failing Entry Rule(s) above first"))</f>
        <v/>
      </c>
    </row>
    <row r="17" customFormat="false" ht="15" hidden="false" customHeight="true" outlineLevel="0" collapsed="false">
      <c r="A17" s="132" t="str">
        <f aca="false">IF(Scoring!A17="","",Scoring!A17)</f>
        <v>TSM</v>
      </c>
      <c r="B17" s="132" t="str">
        <f aca="false">IF(Scoring!B17="","",Scoring!B17)</f>
        <v>Taiwan Semiconductor Mfg.</v>
      </c>
      <c r="C17" s="133" t="str">
        <f aca="false">IF(Scoring!AG17="","",IF(OR(Scoring!AG17="STRONG BUY",Scoring!AG17="BUY"),"PASS","FAIL"))</f>
        <v>PASS</v>
      </c>
      <c r="D17" s="133" t="str">
        <f aca="false">IF(Scoring!AH17="","",IF(Scoring!AH17="OK","PASS","FAIL"))</f>
        <v>PASS</v>
      </c>
      <c r="E17" s="133" t="str">
        <f aca="false">IF(Scoring!AI17="","",IF(Scoring!AI17="OK","PASS","FAIL — mandatory review required"))</f>
        <v>PASS</v>
      </c>
      <c r="F17" s="133"/>
      <c r="G17" s="133"/>
      <c r="H17" s="132" t="str">
        <f aca="false">IF(OR(F17="",G17=""),"",IF(AND(F17="Y",G17="Y"),"Standard initial size","50% of normal initial size + 90-day technical review"))</f>
        <v/>
      </c>
      <c r="I17" s="133"/>
      <c r="J17" s="133"/>
      <c r="K17" s="133" t="str">
        <f aca="false">IF(I17="","",IF(I17="N","PASS",IF(J17="Y","PASS — risk documented in thesis","FAIL — undocumented binary risk")))</f>
        <v/>
      </c>
      <c r="L17" s="133" t="str">
        <f aca="false">IF('Implied-Return Calculator'!S18="","",'Implied-Return Calculator'!S18)</f>
        <v/>
      </c>
      <c r="M17" s="133" t="str">
        <f aca="false">IF('Implied-Return Calculator'!T18="","",'Implied-Return Calculator'!T18)</f>
        <v/>
      </c>
      <c r="N17" s="133" t="str">
        <f aca="false">IF('Implied-Return Calculator'!U18="","",'Implied-Return Calculator'!U18)</f>
        <v/>
      </c>
      <c r="O17" s="133"/>
      <c r="P17" s="133"/>
      <c r="Q17" s="132" t="str">
        <f aca="false">IF(OR(N17="",O17=""),"",IF(N17&lt;=50,"PASS — within ceiling",IF(AND(O17&gt;0.3,L17="PASS"),"PASS — growth+bear case exception met","FAIL — exceeds 50x, exception not met")))</f>
        <v/>
      </c>
      <c r="R17" s="132" t="str">
        <f aca="false">IF(OR(C17="",D17="",E17="",K17="",L17="",M17="",N17="",Q17=""),"",IF(AND(C17="PASS",D17="PASS",LEFT(E17,4)="PASS",LEFT(K17,4)="PASS",L17="PASS",M17="PASS",N17="OK",LEFT(Q17,4)="PASS"),"YES","NO — see failing rule(s)"))</f>
        <v/>
      </c>
      <c r="S17" s="132" t="str">
        <f aca="false">IF(R17="","",IF(R17="YES","Initiate: "&amp;H17,"DO NOT ENTER — resolve failing Entry Rule(s) above first"))</f>
        <v/>
      </c>
    </row>
    <row r="18" customFormat="false" ht="15" hidden="false" customHeight="true" outlineLevel="0" collapsed="false">
      <c r="A18" s="132" t="str">
        <f aca="false">IF(Scoring!A18="","",Scoring!A18)</f>
        <v>VRT</v>
      </c>
      <c r="B18" s="132" t="str">
        <f aca="false">IF(Scoring!B18="","",Scoring!B18)</f>
        <v>Vertiv Holdings</v>
      </c>
      <c r="C18" s="133" t="str">
        <f aca="false">IF(Scoring!AG18="","",IF(OR(Scoring!AG18="STRONG BUY",Scoring!AG18="BUY"),"PASS","FAIL"))</f>
        <v>PASS</v>
      </c>
      <c r="D18" s="133" t="str">
        <f aca="false">IF(Scoring!AH18="","",IF(Scoring!AH18="OK","PASS","FAIL"))</f>
        <v>PASS</v>
      </c>
      <c r="E18" s="133" t="str">
        <f aca="false">IF(Scoring!AI18="","",IF(Scoring!AI18="OK","PASS","FAIL — mandatory review required"))</f>
        <v>PASS</v>
      </c>
      <c r="F18" s="133"/>
      <c r="G18" s="133"/>
      <c r="H18" s="132" t="str">
        <f aca="false">IF(OR(F18="",G18=""),"",IF(AND(F18="Y",G18="Y"),"Standard initial size","50% of normal initial size + 90-day technical review"))</f>
        <v/>
      </c>
      <c r="I18" s="133"/>
      <c r="J18" s="133"/>
      <c r="K18" s="133" t="str">
        <f aca="false">IF(I18="","",IF(I18="N","PASS",IF(J18="Y","PASS — risk documented in thesis","FAIL — undocumented binary risk")))</f>
        <v/>
      </c>
      <c r="L18" s="133" t="str">
        <f aca="false">IF('Implied-Return Calculator'!S19="","",'Implied-Return Calculator'!S19)</f>
        <v/>
      </c>
      <c r="M18" s="133" t="str">
        <f aca="false">IF('Implied-Return Calculator'!T19="","",'Implied-Return Calculator'!T19)</f>
        <v/>
      </c>
      <c r="N18" s="133" t="str">
        <f aca="false">IF('Implied-Return Calculator'!U19="","",'Implied-Return Calculator'!U19)</f>
        <v/>
      </c>
      <c r="O18" s="133"/>
      <c r="P18" s="133"/>
      <c r="Q18" s="132" t="str">
        <f aca="false">IF(OR(N18="",O18=""),"",IF(N18&lt;=50,"PASS — within ceiling",IF(AND(O18&gt;0.3,L18="PASS"),"PASS — growth+bear case exception met","FAIL — exceeds 50x, exception not met")))</f>
        <v/>
      </c>
      <c r="R18" s="132" t="str">
        <f aca="false">IF(OR(C18="",D18="",E18="",K18="",L18="",M18="",N18="",Q18=""),"",IF(AND(C18="PASS",D18="PASS",LEFT(E18,4)="PASS",LEFT(K18,4)="PASS",L18="PASS",M18="PASS",N18="OK",LEFT(Q18,4)="PASS"),"YES","NO — see failing rule(s)"))</f>
        <v/>
      </c>
      <c r="S18" s="132" t="str">
        <f aca="false">IF(R18="","",IF(R18="YES","Initiate: "&amp;H18,"DO NOT ENTER — resolve failing Entry Rule(s) above first"))</f>
        <v/>
      </c>
    </row>
    <row r="19" customFormat="false" ht="15" hidden="false" customHeight="true" outlineLevel="0" collapsed="false">
      <c r="A19" s="132" t="str">
        <f aca="false">IF(Scoring!A19="","",Scoring!A19)</f>
        <v>COST</v>
      </c>
      <c r="B19" s="132" t="str">
        <f aca="false">IF(Scoring!B19="","",Scoring!B19)</f>
        <v>Costco Wholesale Corp.</v>
      </c>
      <c r="C19" s="133" t="str">
        <f aca="false">IF(Scoring!AG19="","",IF(OR(Scoring!AG19="STRONG BUY",Scoring!AG19="BUY"),"PASS","FAIL"))</f>
        <v>PASS</v>
      </c>
      <c r="D19" s="133" t="str">
        <f aca="false">IF(Scoring!AH19="","",IF(Scoring!AH19="OK","PASS","FAIL"))</f>
        <v>PASS</v>
      </c>
      <c r="E19" s="133" t="str">
        <f aca="false">IF(Scoring!AI19="","",IF(Scoring!AI19="OK","PASS","FAIL — mandatory review required"))</f>
        <v>PASS</v>
      </c>
      <c r="F19" s="133" t="s">
        <v>213</v>
      </c>
      <c r="G19" s="133" t="s">
        <v>213</v>
      </c>
      <c r="H19" s="132" t="str">
        <f aca="false">IF(OR(F19="",G19=""),"",IF(AND(F19="Y",G19="Y"),"Standard initial size","50% of normal initial size + 90-day technical review"))</f>
        <v>Standard initial size</v>
      </c>
      <c r="I19" s="133" t="s">
        <v>212</v>
      </c>
      <c r="J19" s="133"/>
      <c r="K19" s="133" t="str">
        <f aca="false">IF(I19="","",IF(I19="N","PASS",IF(J19="Y","PASS — risk documented in thesis","FAIL — undocumented binary risk")))</f>
        <v>PASS</v>
      </c>
      <c r="L19" s="133" t="str">
        <f aca="false">IF('Implied-Return Calculator'!S20="","",'Implied-Return Calculator'!S20)</f>
        <v>FAIL</v>
      </c>
      <c r="M19" s="133" t="str">
        <f aca="false">IF('Implied-Return Calculator'!T20="","",'Implied-Return Calculator'!T20)</f>
        <v>PASS</v>
      </c>
      <c r="N19" s="133" t="str">
        <f aca="false">IF('Implied-Return Calculator'!U20="","",'Implied-Return Calculator'!U20)</f>
        <v>OK</v>
      </c>
      <c r="O19" s="133" t="n">
        <v>61.48</v>
      </c>
      <c r="P19" s="133" t="n">
        <v>0.07</v>
      </c>
      <c r="Q19" s="132" t="str">
        <f aca="false">IF(OR(N19="",O19=""),"",IF(N19&lt;=50,"PASS — within ceiling",IF(AND(O19&gt;0.3,L19="PASS"),"PASS — growth+bear case exception met","FAIL — exceeds 50x, exception not met")))</f>
        <v>FAIL — exceeds 50x, exception not met</v>
      </c>
      <c r="R19" s="132" t="str">
        <f aca="false">IF(OR(C19="",D19="",E19="",K19="",L19="",M19="",N19="",Q19=""),"",IF(AND(C19="PASS",D19="PASS",LEFT(E19,4)="PASS",LEFT(K19,4)="PASS",L19="PASS",M19="PASS",N19="OK",LEFT(Q19,4)="PASS"),"YES","NO — see failing rule(s)"))</f>
        <v>NO — see failing rule(s)</v>
      </c>
      <c r="S19" s="132" t="str">
        <f aca="false">IF(R19="","",IF(R19="YES","Initiate: "&amp;H19,"DO NOT ENTER — resolve failing Entry Rule(s) above first"))</f>
        <v>DO NOT ENTER — resolve failing Entry Rule(s) above first</v>
      </c>
    </row>
    <row r="20" customFormat="false" ht="15" hidden="false" customHeight="true" outlineLevel="0" collapsed="false">
      <c r="A20" s="132" t="str">
        <f aca="false">IF(Scoring!A20="","",Scoring!A20)</f>
        <v>V</v>
      </c>
      <c r="B20" s="132" t="str">
        <f aca="false">IF(Scoring!B20="","",Scoring!B20)</f>
        <v>Visa Inc.</v>
      </c>
      <c r="C20" s="133" t="str">
        <f aca="false">IF(Scoring!AG20="","",IF(OR(Scoring!AG20="STRONG BUY",Scoring!AG20="BUY"),"PASS","FAIL"))</f>
        <v>PASS</v>
      </c>
      <c r="D20" s="133" t="str">
        <f aca="false">IF(Scoring!AH20="","",IF(Scoring!AH20="OK","PASS","FAIL"))</f>
        <v>PASS</v>
      </c>
      <c r="E20" s="133" t="str">
        <f aca="false">IF(Scoring!AI20="","",IF(Scoring!AI20="OK","PASS","FAIL — mandatory review required"))</f>
        <v>PASS</v>
      </c>
      <c r="F20" s="133" t="s">
        <v>213</v>
      </c>
      <c r="G20" s="133" t="s">
        <v>213</v>
      </c>
      <c r="H20" s="132" t="str">
        <f aca="false">IF(OR(F20="",G20=""),"",IF(AND(F20="Y",G20="Y"),"Standard initial size","50% of normal initial size + 90-day technical review"))</f>
        <v>Standard initial size</v>
      </c>
      <c r="I20" s="133" t="s">
        <v>213</v>
      </c>
      <c r="J20" s="133" t="s">
        <v>213</v>
      </c>
      <c r="K20" s="133" t="str">
        <f aca="false">IF(I20="","",IF(I20="N","PASS",IF(J20="Y","PASS — risk documented in thesis","FAIL — undocumented binary risk")))</f>
        <v>PASS — risk documented in thesis</v>
      </c>
      <c r="L20" s="133" t="str">
        <f aca="false">IF('Implied-Return Calculator'!S21="","",'Implied-Return Calculator'!S21)</f>
        <v>PASS</v>
      </c>
      <c r="M20" s="133" t="str">
        <f aca="false">IF('Implied-Return Calculator'!T21="","",'Implied-Return Calculator'!T21)</f>
        <v>PASS</v>
      </c>
      <c r="N20" s="133" t="str">
        <f aca="false">IF('Implied-Return Calculator'!U21="","",'Implied-Return Calculator'!U21)</f>
        <v>OK</v>
      </c>
      <c r="O20" s="133" t="n">
        <v>34.36</v>
      </c>
      <c r="P20" s="133" t="n">
        <v>0.11</v>
      </c>
      <c r="Q20" s="132" t="str">
        <f aca="false">IF(OR(N20="",O20=""),"",IF(N20&lt;=50,"PASS — within ceiling",IF(AND(O20&gt;0.3,L20="PASS"),"PASS — growth+bear case exception met","FAIL — exceeds 50x, exception not met")))</f>
        <v>PASS — growth+bear case exception met</v>
      </c>
      <c r="R20" s="132" t="str">
        <f aca="false">IF(OR(C20="",D20="",E20="",K20="",L20="",M20="",N20="",Q20=""),"",IF(AND(C20="PASS",D20="PASS",LEFT(E20,4)="PASS",LEFT(K20,4)="PASS",L20="PASS",M20="PASS",N20="OK",LEFT(Q20,4)="PASS"),"YES","NO — see failing rule(s)"))</f>
        <v>YES</v>
      </c>
      <c r="S20" s="132" t="str">
        <f aca="false">IF(R20="","",IF(R20="YES","Initiate: "&amp;H20,"DO NOT ENTER — resolve failing Entry Rule(s) above first"))</f>
        <v>Initiate: Standard initial size</v>
      </c>
    </row>
    <row r="21" customFormat="false" ht="15" hidden="false" customHeight="true" outlineLevel="0" collapsed="false">
      <c r="A21" s="132" t="str">
        <f aca="false">IF(Scoring!A21="","",Scoring!A21)</f>
        <v>NEE</v>
      </c>
      <c r="B21" s="132" t="str">
        <f aca="false">IF(Scoring!B21="","",Scoring!B21)</f>
        <v>NextEra Energy Inc.</v>
      </c>
      <c r="C21" s="133" t="str">
        <f aca="false">IF(Scoring!AG21="","",IF(OR(Scoring!AG21="STRONG BUY",Scoring!AG21="BUY"),"PASS","FAIL"))</f>
        <v/>
      </c>
      <c r="D21" s="133" t="str">
        <f aca="false">IF(Scoring!AH21="","",IF(Scoring!AH21="OK","PASS","FAIL"))</f>
        <v>FAIL</v>
      </c>
      <c r="E21" s="133" t="str">
        <f aca="false">IF(Scoring!AI21="","",IF(Scoring!AI21="OK","PASS","FAIL — mandatory review required"))</f>
        <v>FAIL — mandatory review required</v>
      </c>
      <c r="F21" s="133"/>
      <c r="G21" s="133"/>
      <c r="H21" s="132" t="str">
        <f aca="false">IF(OR(F21="",G21=""),"",IF(AND(F21="Y",G21="Y"),"Standard initial size","50% of normal initial size + 90-day technical review"))</f>
        <v/>
      </c>
      <c r="I21" s="133"/>
      <c r="J21" s="133"/>
      <c r="K21" s="133" t="str">
        <f aca="false">IF(I21="","",IF(I21="N","PASS",IF(J21="Y","PASS — risk documented in thesis","FAIL — undocumented binary risk")))</f>
        <v/>
      </c>
      <c r="L21" s="133" t="str">
        <f aca="false">IF('Implied-Return Calculator'!S22="","",'Implied-Return Calculator'!S22)</f>
        <v/>
      </c>
      <c r="M21" s="133" t="str">
        <f aca="false">IF('Implied-Return Calculator'!T22="","",'Implied-Return Calculator'!T22)</f>
        <v/>
      </c>
      <c r="N21" s="133" t="str">
        <f aca="false">IF('Implied-Return Calculator'!U22="","",'Implied-Return Calculator'!U22)</f>
        <v/>
      </c>
      <c r="O21" s="133"/>
      <c r="P21" s="133"/>
      <c r="Q21" s="132" t="str">
        <f aca="false">IF(OR(N21="",O21=""),"",IF(N21&lt;=50,"PASS — within ceiling",IF(AND(O21&gt;0.3,L21="PASS"),"PASS — growth+bear case exception met","FAIL — exceeds 50x, exception not met")))</f>
        <v/>
      </c>
      <c r="R21" s="132" t="str">
        <f aca="false">IF(OR(C21="",D21="",E21="",K21="",L21="",M21="",N21="",Q21=""),"",IF(AND(C21="PASS",D21="PASS",LEFT(E21,4)="PASS",LEFT(K21,4)="PASS",L21="PASS",M21="PASS",N21="OK",LEFT(Q21,4)="PASS"),"YES","NO — see failing rule(s)"))</f>
        <v/>
      </c>
      <c r="S21" s="132" t="str">
        <f aca="false">IF(R21="","",IF(R21="YES","Initiate: "&amp;H21,"DO NOT ENTER — resolve failing Entry Rule(s) above first"))</f>
        <v/>
      </c>
    </row>
    <row r="22" customFormat="false" ht="15" hidden="false" customHeight="true" outlineLevel="0" collapsed="false">
      <c r="A22" s="132" t="str">
        <f aca="false">IF(Scoring!A22="","",Scoring!A22)</f>
        <v>CRK</v>
      </c>
      <c r="B22" s="132" t="str">
        <f aca="false">IF(Scoring!B22="","",Scoring!B22)</f>
        <v>Comstock Resources Inc.</v>
      </c>
      <c r="C22" s="133" t="str">
        <f aca="false">IF(Scoring!AG22="","",IF(OR(Scoring!AG22="STRONG BUY",Scoring!AG22="BUY"),"PASS","FAIL"))</f>
        <v/>
      </c>
      <c r="D22" s="133" t="str">
        <f aca="false">IF(Scoring!AH22="","",IF(Scoring!AH22="OK","PASS","FAIL"))</f>
        <v>FAIL</v>
      </c>
      <c r="E22" s="133" t="str">
        <f aca="false">IF(Scoring!AI22="","",IF(Scoring!AI22="OK","PASS","FAIL — mandatory review required"))</f>
        <v>FAIL — mandatory review required</v>
      </c>
      <c r="F22" s="133"/>
      <c r="G22" s="133"/>
      <c r="H22" s="132" t="str">
        <f aca="false">IF(OR(F22="",G22=""),"",IF(AND(F22="Y",G22="Y"),"Standard initial size","50% of normal initial size + 90-day technical review"))</f>
        <v/>
      </c>
      <c r="I22" s="133"/>
      <c r="J22" s="133"/>
      <c r="K22" s="133" t="str">
        <f aca="false">IF(I22="","",IF(I22="N","PASS",IF(J22="Y","PASS — risk documented in thesis","FAIL — undocumented binary risk")))</f>
        <v/>
      </c>
      <c r="L22" s="133" t="str">
        <f aca="false">IF('Implied-Return Calculator'!S23="","",'Implied-Return Calculator'!S23)</f>
        <v/>
      </c>
      <c r="M22" s="133" t="str">
        <f aca="false">IF('Implied-Return Calculator'!T23="","",'Implied-Return Calculator'!T23)</f>
        <v/>
      </c>
      <c r="N22" s="133" t="str">
        <f aca="false">IF('Implied-Return Calculator'!U23="","",'Implied-Return Calculator'!U23)</f>
        <v/>
      </c>
      <c r="O22" s="133"/>
      <c r="P22" s="133"/>
      <c r="Q22" s="132" t="str">
        <f aca="false">IF(OR(N22="",O22=""),"",IF(N22&lt;=50,"PASS — within ceiling",IF(AND(O22&gt;0.3,L22="PASS"),"PASS — growth+bear case exception met","FAIL — exceeds 50x, exception not met")))</f>
        <v/>
      </c>
      <c r="R22" s="132" t="str">
        <f aca="false">IF(OR(C22="",D22="",E22="",K22="",L22="",M22="",N22="",Q22=""),"",IF(AND(C22="PASS",D22="PASS",LEFT(E22,4)="PASS",LEFT(K22,4)="PASS",L22="PASS",M22="PASS",N22="OK",LEFT(Q22,4)="PASS"),"YES","NO — see failing rule(s)"))</f>
        <v/>
      </c>
      <c r="S22" s="132" t="str">
        <f aca="false">IF(R22="","",IF(R22="YES","Initiate: "&amp;H22,"DO NOT ENTER — resolve failing Entry Rule(s) above first"))</f>
        <v/>
      </c>
    </row>
    <row r="23" customFormat="false" ht="15" hidden="false" customHeight="true" outlineLevel="0" collapsed="false">
      <c r="A23" s="132" t="str">
        <f aca="false">IF(Scoring!A23="","",Scoring!A23)</f>
        <v>ET</v>
      </c>
      <c r="B23" s="132" t="str">
        <f aca="false">IF(Scoring!B23="","",Scoring!B23)</f>
        <v>Energy Transfer LP</v>
      </c>
      <c r="C23" s="133" t="str">
        <f aca="false">IF(Scoring!AG23="","",IF(OR(Scoring!AG23="STRONG BUY",Scoring!AG23="BUY"),"PASS","FAIL"))</f>
        <v/>
      </c>
      <c r="D23" s="133" t="str">
        <f aca="false">IF(Scoring!AH23="","",IF(Scoring!AH23="OK","PASS","FAIL"))</f>
        <v>PASS</v>
      </c>
      <c r="E23" s="133" t="str">
        <f aca="false">IF(Scoring!AI23="","",IF(Scoring!AI23="OK","PASS","FAIL — mandatory review required"))</f>
        <v>FAIL — mandatory review required</v>
      </c>
      <c r="F23" s="133"/>
      <c r="G23" s="133"/>
      <c r="H23" s="132" t="str">
        <f aca="false">IF(OR(F23="",G23=""),"",IF(AND(F23="Y",G23="Y"),"Standard initial size","50% of normal initial size + 90-day technical review"))</f>
        <v/>
      </c>
      <c r="I23" s="133"/>
      <c r="J23" s="133"/>
      <c r="K23" s="133" t="str">
        <f aca="false">IF(I23="","",IF(I23="N","PASS",IF(J23="Y","PASS — risk documented in thesis","FAIL — undocumented binary risk")))</f>
        <v/>
      </c>
      <c r="L23" s="133" t="str">
        <f aca="false">IF('Implied-Return Calculator'!S24="","",'Implied-Return Calculator'!S24)</f>
        <v/>
      </c>
      <c r="M23" s="133" t="str">
        <f aca="false">IF('Implied-Return Calculator'!T24="","",'Implied-Return Calculator'!T24)</f>
        <v/>
      </c>
      <c r="N23" s="133" t="str">
        <f aca="false">IF('Implied-Return Calculator'!U24="","",'Implied-Return Calculator'!U24)</f>
        <v/>
      </c>
      <c r="O23" s="133"/>
      <c r="P23" s="133"/>
      <c r="Q23" s="132" t="str">
        <f aca="false">IF(OR(N23="",O23=""),"",IF(N23&lt;=50,"PASS — within ceiling",IF(AND(O23&gt;0.3,L23="PASS"),"PASS — growth+bear case exception met","FAIL — exceeds 50x, exception not met")))</f>
        <v/>
      </c>
      <c r="R23" s="132" t="str">
        <f aca="false">IF(OR(C23="",D23="",E23="",K23="",L23="",M23="",N23="",Q23=""),"",IF(AND(C23="PASS",D23="PASS",LEFT(E23,4)="PASS",LEFT(K23,4)="PASS",L23="PASS",M23="PASS",N23="OK",LEFT(Q23,4)="PASS"),"YES","NO — see failing rule(s)"))</f>
        <v/>
      </c>
      <c r="S23" s="132" t="str">
        <f aca="false">IF(R23="","",IF(R23="YES","Initiate: "&amp;H23,"DO NOT ENTER — resolve failing Entry Rule(s) above first"))</f>
        <v/>
      </c>
    </row>
    <row r="24" customFormat="false" ht="15" hidden="false" customHeight="true" outlineLevel="0" collapsed="false">
      <c r="A24" s="132" t="str">
        <f aca="false">IF(Scoring!A24="","",Scoring!A24)</f>
        <v>LBRT</v>
      </c>
      <c r="B24" s="132" t="str">
        <f aca="false">IF(Scoring!B24="","",Scoring!B24)</f>
        <v>Liberty Energy Inc.</v>
      </c>
      <c r="C24" s="133" t="str">
        <f aca="false">IF(Scoring!AG24="","",IF(OR(Scoring!AG24="STRONG BUY",Scoring!AG24="BUY"),"PASS","FAIL"))</f>
        <v/>
      </c>
      <c r="D24" s="133" t="str">
        <f aca="false">IF(Scoring!AH24="","",IF(Scoring!AH24="OK","PASS","FAIL"))</f>
        <v>FAIL</v>
      </c>
      <c r="E24" s="133" t="str">
        <f aca="false">IF(Scoring!AI24="","",IF(Scoring!AI24="OK","PASS","FAIL — mandatory review required"))</f>
        <v>FAIL — mandatory review required</v>
      </c>
      <c r="F24" s="133"/>
      <c r="G24" s="133"/>
      <c r="H24" s="132" t="str">
        <f aca="false">IF(OR(F24="",G24=""),"",IF(AND(F24="Y",G24="Y"),"Standard initial size","50% of normal initial size + 90-day technical review"))</f>
        <v/>
      </c>
      <c r="I24" s="133"/>
      <c r="J24" s="133"/>
      <c r="K24" s="133" t="str">
        <f aca="false">IF(I24="","",IF(I24="N","PASS",IF(J24="Y","PASS — risk documented in thesis","FAIL — undocumented binary risk")))</f>
        <v/>
      </c>
      <c r="L24" s="133" t="str">
        <f aca="false">IF('Implied-Return Calculator'!S25="","",'Implied-Return Calculator'!S25)</f>
        <v/>
      </c>
      <c r="M24" s="133" t="str">
        <f aca="false">IF('Implied-Return Calculator'!T25="","",'Implied-Return Calculator'!T25)</f>
        <v/>
      </c>
      <c r="N24" s="133" t="str">
        <f aca="false">IF('Implied-Return Calculator'!U25="","",'Implied-Return Calculator'!U25)</f>
        <v/>
      </c>
      <c r="O24" s="133"/>
      <c r="P24" s="133"/>
      <c r="Q24" s="132" t="str">
        <f aca="false">IF(OR(N24="",O24=""),"",IF(N24&lt;=50,"PASS — within ceiling",IF(AND(O24&gt;0.3,L24="PASS"),"PASS — growth+bear case exception met","FAIL — exceeds 50x, exception not met")))</f>
        <v/>
      </c>
      <c r="R24" s="132" t="str">
        <f aca="false">IF(OR(C24="",D24="",E24="",K24="",L24="",M24="",N24="",Q24=""),"",IF(AND(C24="PASS",D24="PASS",LEFT(E24,4)="PASS",LEFT(K24,4)="PASS",L24="PASS",M24="PASS",N24="OK",LEFT(Q24,4)="PASS"),"YES","NO — see failing rule(s)"))</f>
        <v/>
      </c>
      <c r="S24" s="132" t="str">
        <f aca="false">IF(R24="","",IF(R24="YES","Initiate: "&amp;H24,"DO NOT ENTER — resolve failing Entry Rule(s) above first"))</f>
        <v/>
      </c>
    </row>
    <row r="25" customFormat="false" ht="15" hidden="false" customHeight="true" outlineLevel="0" collapsed="false">
      <c r="A25" s="132" t="str">
        <f aca="false">IF(Scoring!A25="","",Scoring!A25)</f>
        <v>NOV</v>
      </c>
      <c r="B25" s="132" t="str">
        <f aca="false">IF(Scoring!B25="","",Scoring!B25)</f>
        <v>NOV Inc.</v>
      </c>
      <c r="C25" s="133" t="str">
        <f aca="false">IF(Scoring!AG25="","",IF(OR(Scoring!AG25="STRONG BUY",Scoring!AG25="BUY"),"PASS","FAIL"))</f>
        <v/>
      </c>
      <c r="D25" s="133" t="str">
        <f aca="false">IF(Scoring!AH25="","",IF(Scoring!AH25="OK","PASS","FAIL"))</f>
        <v>FAIL</v>
      </c>
      <c r="E25" s="133" t="str">
        <f aca="false">IF(Scoring!AI25="","",IF(Scoring!AI25="OK","PASS","FAIL — mandatory review required"))</f>
        <v>PASS</v>
      </c>
      <c r="F25" s="133"/>
      <c r="G25" s="133"/>
      <c r="H25" s="132" t="str">
        <f aca="false">IF(OR(F25="",G25=""),"",IF(AND(F25="Y",G25="Y"),"Standard initial size","50% of normal initial size + 90-day technical review"))</f>
        <v/>
      </c>
      <c r="I25" s="133"/>
      <c r="J25" s="133"/>
      <c r="K25" s="133" t="str">
        <f aca="false">IF(I25="","",IF(I25="N","PASS",IF(J25="Y","PASS — risk documented in thesis","FAIL — undocumented binary risk")))</f>
        <v/>
      </c>
      <c r="L25" s="133" t="str">
        <f aca="false">IF('Implied-Return Calculator'!S26="","",'Implied-Return Calculator'!S26)</f>
        <v/>
      </c>
      <c r="M25" s="133" t="str">
        <f aca="false">IF('Implied-Return Calculator'!T26="","",'Implied-Return Calculator'!T26)</f>
        <v/>
      </c>
      <c r="N25" s="133" t="str">
        <f aca="false">IF('Implied-Return Calculator'!U26="","",'Implied-Return Calculator'!U26)</f>
        <v/>
      </c>
      <c r="O25" s="133"/>
      <c r="P25" s="133"/>
      <c r="Q25" s="132" t="str">
        <f aca="false">IF(OR(N25="",O25=""),"",IF(N25&lt;=50,"PASS — within ceiling",IF(AND(O25&gt;0.3,L25="PASS"),"PASS — growth+bear case exception met","FAIL — exceeds 50x, exception not met")))</f>
        <v/>
      </c>
      <c r="R25" s="132" t="str">
        <f aca="false">IF(OR(C25="",D25="",E25="",K25="",L25="",M25="",N25="",Q25=""),"",IF(AND(C25="PASS",D25="PASS",LEFT(E25,4)="PASS",LEFT(K25,4)="PASS",L25="PASS",M25="PASS",N25="OK",LEFT(Q25,4)="PASS"),"YES","NO — see failing rule(s)"))</f>
        <v/>
      </c>
      <c r="S25" s="132" t="str">
        <f aca="false">IF(R25="","",IF(R25="YES","Initiate: "&amp;H25,"DO NOT ENTER — resolve failing Entry Rule(s) above first"))</f>
        <v/>
      </c>
    </row>
    <row r="26" customFormat="false" ht="15" hidden="false" customHeight="true" outlineLevel="0" collapsed="false">
      <c r="A26" s="132" t="str">
        <f aca="false">IF(Scoring!A26="","",Scoring!A26)</f>
        <v>CE</v>
      </c>
      <c r="B26" s="132" t="str">
        <f aca="false">IF(Scoring!B26="","",Scoring!B26)</f>
        <v>Celanese Corp.</v>
      </c>
      <c r="C26" s="133" t="str">
        <f aca="false">IF(Scoring!AG26="","",IF(OR(Scoring!AG26="STRONG BUY",Scoring!AG26="BUY"),"PASS","FAIL"))</f>
        <v/>
      </c>
      <c r="D26" s="133" t="str">
        <f aca="false">IF(Scoring!AH26="","",IF(Scoring!AH26="OK","PASS","FAIL"))</f>
        <v>FAIL</v>
      </c>
      <c r="E26" s="133" t="str">
        <f aca="false">IF(Scoring!AI26="","",IF(Scoring!AI26="OK","PASS","FAIL — mandatory review required"))</f>
        <v>FAIL — mandatory review required</v>
      </c>
      <c r="F26" s="133"/>
      <c r="G26" s="133"/>
      <c r="H26" s="132" t="str">
        <f aca="false">IF(OR(F26="",G26=""),"",IF(AND(F26="Y",G26="Y"),"Standard initial size","50% of normal initial size + 90-day technical review"))</f>
        <v/>
      </c>
      <c r="I26" s="133"/>
      <c r="J26" s="133"/>
      <c r="K26" s="133" t="str">
        <f aca="false">IF(I26="","",IF(I26="N","PASS",IF(J26="Y","PASS — risk documented in thesis","FAIL — undocumented binary risk")))</f>
        <v/>
      </c>
      <c r="L26" s="133" t="str">
        <f aca="false">IF('Implied-Return Calculator'!S27="","",'Implied-Return Calculator'!S27)</f>
        <v/>
      </c>
      <c r="M26" s="133" t="str">
        <f aca="false">IF('Implied-Return Calculator'!T27="","",'Implied-Return Calculator'!T27)</f>
        <v/>
      </c>
      <c r="N26" s="133" t="str">
        <f aca="false">IF('Implied-Return Calculator'!U27="","",'Implied-Return Calculator'!U27)</f>
        <v/>
      </c>
      <c r="O26" s="133"/>
      <c r="P26" s="133"/>
      <c r="Q26" s="132" t="str">
        <f aca="false">IF(OR(N26="",O26=""),"",IF(N26&lt;=50,"PASS — within ceiling",IF(AND(O26&gt;0.3,L26="PASS"),"PASS — growth+bear case exception met","FAIL — exceeds 50x, exception not met")))</f>
        <v/>
      </c>
      <c r="R26" s="132" t="str">
        <f aca="false">IF(OR(C26="",D26="",E26="",K26="",L26="",M26="",N26="",Q26=""),"",IF(AND(C26="PASS",D26="PASS",LEFT(E26,4)="PASS",LEFT(K26,4)="PASS",L26="PASS",M26="PASS",N26="OK",LEFT(Q26,4)="PASS"),"YES","NO — see failing rule(s)"))</f>
        <v/>
      </c>
      <c r="S26" s="132" t="str">
        <f aca="false">IF(R26="","",IF(R26="YES","Initiate: "&amp;H26,"DO NOT ENTER — resolve failing Entry Rule(s) above first"))</f>
        <v/>
      </c>
    </row>
    <row r="27" customFormat="false" ht="15" hidden="false" customHeight="true" outlineLevel="0" collapsed="false">
      <c r="A27" s="132" t="str">
        <f aca="false">IF(Scoring!A27="","",Scoring!A27)</f>
        <v>CLF</v>
      </c>
      <c r="B27" s="132" t="str">
        <f aca="false">IF(Scoring!B27="","",Scoring!B27)</f>
        <v>Cleveland-Cliffs Inc.</v>
      </c>
      <c r="C27" s="133" t="str">
        <f aca="false">IF(Scoring!AG27="","",IF(OR(Scoring!AG27="STRONG BUY",Scoring!AG27="BUY"),"PASS","FAIL"))</f>
        <v/>
      </c>
      <c r="D27" s="133" t="str">
        <f aca="false">IF(Scoring!AH27="","",IF(Scoring!AH27="OK","PASS","FAIL"))</f>
        <v>FAIL</v>
      </c>
      <c r="E27" s="133" t="str">
        <f aca="false">IF(Scoring!AI27="","",IF(Scoring!AI27="OK","PASS","FAIL — mandatory review required"))</f>
        <v>FAIL — mandatory review required</v>
      </c>
      <c r="F27" s="133"/>
      <c r="G27" s="133"/>
      <c r="H27" s="132" t="str">
        <f aca="false">IF(OR(F27="",G27=""),"",IF(AND(F27="Y",G27="Y"),"Standard initial size","50% of normal initial size + 90-day technical review"))</f>
        <v/>
      </c>
      <c r="I27" s="133"/>
      <c r="J27" s="133"/>
      <c r="K27" s="133" t="str">
        <f aca="false">IF(I27="","",IF(I27="N","PASS",IF(J27="Y","PASS — risk documented in thesis","FAIL — undocumented binary risk")))</f>
        <v/>
      </c>
      <c r="L27" s="133" t="str">
        <f aca="false">IF('Implied-Return Calculator'!S28="","",'Implied-Return Calculator'!S28)</f>
        <v/>
      </c>
      <c r="M27" s="133" t="str">
        <f aca="false">IF('Implied-Return Calculator'!T28="","",'Implied-Return Calculator'!T28)</f>
        <v/>
      </c>
      <c r="N27" s="133" t="str">
        <f aca="false">IF('Implied-Return Calculator'!U28="","",'Implied-Return Calculator'!U28)</f>
        <v/>
      </c>
      <c r="O27" s="133"/>
      <c r="P27" s="133"/>
      <c r="Q27" s="132" t="str">
        <f aca="false">IF(OR(N27="",O27=""),"",IF(N27&lt;=50,"PASS — within ceiling",IF(AND(O27&gt;0.3,L27="PASS"),"PASS — growth+bear case exception met","FAIL — exceeds 50x, exception not met")))</f>
        <v/>
      </c>
      <c r="R27" s="132" t="str">
        <f aca="false">IF(OR(C27="",D27="",E27="",K27="",L27="",M27="",N27="",Q27=""),"",IF(AND(C27="PASS",D27="PASS",LEFT(E27,4)="PASS",LEFT(K27,4)="PASS",L27="PASS",M27="PASS",N27="OK",LEFT(Q27,4)="PASS"),"YES","NO — see failing rule(s)"))</f>
        <v/>
      </c>
      <c r="S27" s="132" t="str">
        <f aca="false">IF(R27="","",IF(R27="YES","Initiate: "&amp;H27,"DO NOT ENTER — resolve failing Entry Rule(s) above first"))</f>
        <v/>
      </c>
    </row>
    <row r="28" customFormat="false" ht="15" hidden="false" customHeight="true" outlineLevel="0" collapsed="false">
      <c r="A28" s="132" t="str">
        <f aca="false">IF(Scoring!A28="","",Scoring!A28)</f>
        <v>LIN</v>
      </c>
      <c r="B28" s="132" t="str">
        <f aca="false">IF(Scoring!B28="","",Scoring!B28)</f>
        <v>Linde plc</v>
      </c>
      <c r="C28" s="133" t="str">
        <f aca="false">IF(Scoring!AG28="","",IF(OR(Scoring!AG28="STRONG BUY",Scoring!AG28="BUY"),"PASS","FAIL"))</f>
        <v/>
      </c>
      <c r="D28" s="133" t="str">
        <f aca="false">IF(Scoring!AH28="","",IF(Scoring!AH28="OK","PASS","FAIL"))</f>
        <v>PASS</v>
      </c>
      <c r="E28" s="133" t="str">
        <f aca="false">IF(Scoring!AI28="","",IF(Scoring!AI28="OK","PASS","FAIL — mandatory review required"))</f>
        <v>PASS</v>
      </c>
      <c r="F28" s="133"/>
      <c r="G28" s="133"/>
      <c r="H28" s="132" t="str">
        <f aca="false">IF(OR(F28="",G28=""),"",IF(AND(F28="Y",G28="Y"),"Standard initial size","50% of normal initial size + 90-day technical review"))</f>
        <v/>
      </c>
      <c r="I28" s="133"/>
      <c r="J28" s="133"/>
      <c r="K28" s="133" t="str">
        <f aca="false">IF(I28="","",IF(I28="N","PASS",IF(J28="Y","PASS — risk documented in thesis","FAIL — undocumented binary risk")))</f>
        <v/>
      </c>
      <c r="L28" s="133" t="str">
        <f aca="false">IF('Implied-Return Calculator'!S29="","",'Implied-Return Calculator'!S29)</f>
        <v/>
      </c>
      <c r="M28" s="133" t="str">
        <f aca="false">IF('Implied-Return Calculator'!T29="","",'Implied-Return Calculator'!T29)</f>
        <v/>
      </c>
      <c r="N28" s="133" t="str">
        <f aca="false">IF('Implied-Return Calculator'!U29="","",'Implied-Return Calculator'!U29)</f>
        <v/>
      </c>
      <c r="O28" s="133"/>
      <c r="P28" s="133"/>
      <c r="Q28" s="132" t="str">
        <f aca="false">IF(OR(N28="",O28=""),"",IF(N28&lt;=50,"PASS — within ceiling",IF(AND(O28&gt;0.3,L28="PASS"),"PASS — growth+bear case exception met","FAIL — exceeds 50x, exception not met")))</f>
        <v/>
      </c>
      <c r="R28" s="132" t="str">
        <f aca="false">IF(OR(C28="",D28="",E28="",K28="",L28="",M28="",N28="",Q28=""),"",IF(AND(C28="PASS",D28="PASS",LEFT(E28,4)="PASS",LEFT(K28,4)="PASS",L28="PASS",M28="PASS",N28="OK",LEFT(Q28,4)="PASS"),"YES","NO — see failing rule(s)"))</f>
        <v/>
      </c>
      <c r="S28" s="132" t="str">
        <f aca="false">IF(R28="","",IF(R28="YES","Initiate: "&amp;H28,"DO NOT ENTER — resolve failing Entry Rule(s) above first"))</f>
        <v/>
      </c>
    </row>
    <row r="29" customFormat="false" ht="15" hidden="false" customHeight="true" outlineLevel="0" collapsed="false">
      <c r="A29" s="132" t="str">
        <f aca="false">IF(Scoring!A29="","",Scoring!A29)</f>
        <v>DEO</v>
      </c>
      <c r="B29" s="132" t="str">
        <f aca="false">IF(Scoring!B29="","",Scoring!B29)</f>
        <v>Diageo plc</v>
      </c>
      <c r="C29" s="133" t="str">
        <f aca="false">IF(Scoring!AG29="","",IF(OR(Scoring!AG29="STRONG BUY",Scoring!AG29="BUY"),"PASS","FAIL"))</f>
        <v/>
      </c>
      <c r="D29" s="133" t="str">
        <f aca="false">IF(Scoring!AH29="","",IF(Scoring!AH29="OK","PASS","FAIL"))</f>
        <v>FAIL</v>
      </c>
      <c r="E29" s="133" t="str">
        <f aca="false">IF(Scoring!AI29="","",IF(Scoring!AI29="OK","PASS","FAIL — mandatory review required"))</f>
        <v>PASS</v>
      </c>
      <c r="F29" s="133"/>
      <c r="G29" s="133"/>
      <c r="H29" s="132" t="str">
        <f aca="false">IF(OR(F29="",G29=""),"",IF(AND(F29="Y",G29="Y"),"Standard initial size","50% of normal initial size + 90-day technical review"))</f>
        <v/>
      </c>
      <c r="I29" s="133"/>
      <c r="J29" s="133"/>
      <c r="K29" s="133" t="str">
        <f aca="false">IF(I29="","",IF(I29="N","PASS",IF(J29="Y","PASS — risk documented in thesis","FAIL — undocumented binary risk")))</f>
        <v/>
      </c>
      <c r="L29" s="133" t="str">
        <f aca="false">IF('Implied-Return Calculator'!S30="","",'Implied-Return Calculator'!S30)</f>
        <v/>
      </c>
      <c r="M29" s="133" t="str">
        <f aca="false">IF('Implied-Return Calculator'!T30="","",'Implied-Return Calculator'!T30)</f>
        <v/>
      </c>
      <c r="N29" s="133" t="str">
        <f aca="false">IF('Implied-Return Calculator'!U30="","",'Implied-Return Calculator'!U30)</f>
        <v/>
      </c>
      <c r="O29" s="133"/>
      <c r="P29" s="133"/>
      <c r="Q29" s="132" t="str">
        <f aca="false">IF(OR(N29="",O29=""),"",IF(N29&lt;=50,"PASS — within ceiling",IF(AND(O29&gt;0.3,L29="PASS"),"PASS — growth+bear case exception met","FAIL — exceeds 50x, exception not met")))</f>
        <v/>
      </c>
      <c r="R29" s="132" t="str">
        <f aca="false">IF(OR(C29="",D29="",E29="",K29="",L29="",M29="",N29="",Q29=""),"",IF(AND(C29="PASS",D29="PASS",LEFT(E29,4)="PASS",LEFT(K29,4)="PASS",L29="PASS",M29="PASS",N29="OK",LEFT(Q29,4)="PASS"),"YES","NO — see failing rule(s)"))</f>
        <v/>
      </c>
      <c r="S29" s="132" t="str">
        <f aca="false">IF(R29="","",IF(R29="YES","Initiate: "&amp;H29,"DO NOT ENTER — resolve failing Entry Rule(s) above first"))</f>
        <v/>
      </c>
    </row>
    <row r="30" customFormat="false" ht="15" hidden="false" customHeight="true" outlineLevel="0" collapsed="false">
      <c r="A30" s="132" t="str">
        <f aca="false">IF(Scoring!A30="","",Scoring!A30)</f>
        <v>EL</v>
      </c>
      <c r="B30" s="132" t="str">
        <f aca="false">IF(Scoring!B30="","",Scoring!B30)</f>
        <v>Estee Lauder Companies</v>
      </c>
      <c r="C30" s="133" t="str">
        <f aca="false">IF(Scoring!AG30="","",IF(OR(Scoring!AG30="STRONG BUY",Scoring!AG30="BUY"),"PASS","FAIL"))</f>
        <v/>
      </c>
      <c r="D30" s="133" t="str">
        <f aca="false">IF(Scoring!AH30="","",IF(Scoring!AH30="OK","PASS","FAIL"))</f>
        <v>FAIL</v>
      </c>
      <c r="E30" s="133" t="str">
        <f aca="false">IF(Scoring!AI30="","",IF(Scoring!AI30="OK","PASS","FAIL — mandatory review required"))</f>
        <v>FAIL — mandatory review required</v>
      </c>
      <c r="F30" s="133"/>
      <c r="G30" s="133"/>
      <c r="H30" s="132" t="str">
        <f aca="false">IF(OR(F30="",G30=""),"",IF(AND(F30="Y",G30="Y"),"Standard initial size","50% of normal initial size + 90-day technical review"))</f>
        <v/>
      </c>
      <c r="I30" s="133"/>
      <c r="J30" s="133"/>
      <c r="K30" s="133" t="str">
        <f aca="false">IF(I30="","",IF(I30="N","PASS",IF(J30="Y","PASS — risk documented in thesis","FAIL — undocumented binary risk")))</f>
        <v/>
      </c>
      <c r="L30" s="133" t="str">
        <f aca="false">IF('Implied-Return Calculator'!S31="","",'Implied-Return Calculator'!S31)</f>
        <v/>
      </c>
      <c r="M30" s="133" t="str">
        <f aca="false">IF('Implied-Return Calculator'!T31="","",'Implied-Return Calculator'!T31)</f>
        <v/>
      </c>
      <c r="N30" s="133" t="str">
        <f aca="false">IF('Implied-Return Calculator'!U31="","",'Implied-Return Calculator'!U31)</f>
        <v/>
      </c>
      <c r="O30" s="133"/>
      <c r="P30" s="133"/>
      <c r="Q30" s="132" t="str">
        <f aca="false">IF(OR(N30="",O30=""),"",IF(N30&lt;=50,"PASS — within ceiling",IF(AND(O30&gt;0.3,L30="PASS"),"PASS — growth+bear case exception met","FAIL — exceeds 50x, exception not met")))</f>
        <v/>
      </c>
      <c r="R30" s="132" t="str">
        <f aca="false">IF(OR(C30="",D30="",E30="",K30="",L30="",M30="",N30="",Q30=""),"",IF(AND(C30="PASS",D30="PASS",LEFT(E30,4)="PASS",LEFT(K30,4)="PASS",L30="PASS",M30="PASS",N30="OK",LEFT(Q30,4)="PASS"),"YES","NO — see failing rule(s)"))</f>
        <v/>
      </c>
      <c r="S30" s="132" t="str">
        <f aca="false">IF(R30="","",IF(R30="YES","Initiate: "&amp;H30,"DO NOT ENTER — resolve failing Entry Rule(s) above first"))</f>
        <v/>
      </c>
    </row>
    <row r="31" customFormat="false" ht="15" hidden="false" customHeight="true" outlineLevel="0" collapsed="false">
      <c r="A31" s="132" t="str">
        <f aca="false">IF(Scoring!A31="","",Scoring!A31)</f>
        <v>HRL</v>
      </c>
      <c r="B31" s="132" t="str">
        <f aca="false">IF(Scoring!B31="","",Scoring!B31)</f>
        <v>Hormel Foods Corp.</v>
      </c>
      <c r="C31" s="133" t="str">
        <f aca="false">IF(Scoring!AG31="","",IF(OR(Scoring!AG31="STRONG BUY",Scoring!AG31="BUY"),"PASS","FAIL"))</f>
        <v/>
      </c>
      <c r="D31" s="133" t="str">
        <f aca="false">IF(Scoring!AH31="","",IF(Scoring!AH31="OK","PASS","FAIL"))</f>
        <v>FAIL</v>
      </c>
      <c r="E31" s="133" t="str">
        <f aca="false">IF(Scoring!AI31="","",IF(Scoring!AI31="OK","PASS","FAIL — mandatory review required"))</f>
        <v>FAIL — mandatory review required</v>
      </c>
      <c r="F31" s="133"/>
      <c r="G31" s="133"/>
      <c r="H31" s="132" t="str">
        <f aca="false">IF(OR(F31="",G31=""),"",IF(AND(F31="Y",G31="Y"),"Standard initial size","50% of normal initial size + 90-day technical review"))</f>
        <v/>
      </c>
      <c r="I31" s="133"/>
      <c r="J31" s="133"/>
      <c r="K31" s="133" t="str">
        <f aca="false">IF(I31="","",IF(I31="N","PASS",IF(J31="Y","PASS — risk documented in thesis","FAIL — undocumented binary risk")))</f>
        <v/>
      </c>
      <c r="L31" s="133" t="str">
        <f aca="false">IF('Implied-Return Calculator'!S32="","",'Implied-Return Calculator'!S32)</f>
        <v/>
      </c>
      <c r="M31" s="133" t="str">
        <f aca="false">IF('Implied-Return Calculator'!T32="","",'Implied-Return Calculator'!T32)</f>
        <v/>
      </c>
      <c r="N31" s="133" t="str">
        <f aca="false">IF('Implied-Return Calculator'!U32="","",'Implied-Return Calculator'!U32)</f>
        <v/>
      </c>
      <c r="O31" s="133"/>
      <c r="P31" s="133"/>
      <c r="Q31" s="132" t="str">
        <f aca="false">IF(OR(N31="",O31=""),"",IF(N31&lt;=50,"PASS — within ceiling",IF(AND(O31&gt;0.3,L31="PASS"),"PASS — growth+bear case exception met","FAIL — exceeds 50x, exception not met")))</f>
        <v/>
      </c>
      <c r="R31" s="132" t="str">
        <f aca="false">IF(OR(C31="",D31="",E31="",K31="",L31="",M31="",N31="",Q31=""),"",IF(AND(C31="PASS",D31="PASS",LEFT(E31,4)="PASS",LEFT(K31,4)="PASS",L31="PASS",M31="PASS",N31="OK",LEFT(Q31,4)="PASS"),"YES","NO — see failing rule(s)"))</f>
        <v/>
      </c>
      <c r="S31" s="132" t="str">
        <f aca="false">IF(R31="","",IF(R31="YES","Initiate: "&amp;H31,"DO NOT ENTER — resolve failing Entry Rule(s) above first"))</f>
        <v/>
      </c>
    </row>
    <row r="32" customFormat="false" ht="15" hidden="false" customHeight="true" outlineLevel="0" collapsed="false">
      <c r="A32" s="132" t="str">
        <f aca="false">IF(Scoring!A32="","",Scoring!A32)</f>
        <v>PG</v>
      </c>
      <c r="B32" s="132" t="str">
        <f aca="false">IF(Scoring!B32="","",Scoring!B32)</f>
        <v>Procter &amp; Gamble Co.</v>
      </c>
      <c r="C32" s="133" t="str">
        <f aca="false">IF(Scoring!AG32="","",IF(OR(Scoring!AG32="STRONG BUY",Scoring!AG32="BUY"),"PASS","FAIL"))</f>
        <v/>
      </c>
      <c r="D32" s="133" t="str">
        <f aca="false">IF(Scoring!AH32="","",IF(Scoring!AH32="OK","PASS","FAIL"))</f>
        <v>PASS</v>
      </c>
      <c r="E32" s="133" t="str">
        <f aca="false">IF(Scoring!AI32="","",IF(Scoring!AI32="OK","PASS","FAIL — mandatory review required"))</f>
        <v>PASS</v>
      </c>
      <c r="F32" s="133"/>
      <c r="G32" s="133"/>
      <c r="H32" s="132" t="str">
        <f aca="false">IF(OR(F32="",G32=""),"",IF(AND(F32="Y",G32="Y"),"Standard initial size","50% of normal initial size + 90-day technical review"))</f>
        <v/>
      </c>
      <c r="I32" s="133"/>
      <c r="J32" s="133"/>
      <c r="K32" s="133" t="str">
        <f aca="false">IF(I32="","",IF(I32="N","PASS",IF(J32="Y","PASS — risk documented in thesis","FAIL — undocumented binary risk")))</f>
        <v/>
      </c>
      <c r="L32" s="133" t="str">
        <f aca="false">IF('Implied-Return Calculator'!S33="","",'Implied-Return Calculator'!S33)</f>
        <v/>
      </c>
      <c r="M32" s="133" t="str">
        <f aca="false">IF('Implied-Return Calculator'!T33="","",'Implied-Return Calculator'!T33)</f>
        <v/>
      </c>
      <c r="N32" s="133" t="str">
        <f aca="false">IF('Implied-Return Calculator'!U33="","",'Implied-Return Calculator'!U33)</f>
        <v/>
      </c>
      <c r="O32" s="133"/>
      <c r="P32" s="133"/>
      <c r="Q32" s="132" t="str">
        <f aca="false">IF(OR(N32="",O32=""),"",IF(N32&lt;=50,"PASS — within ceiling",IF(AND(O32&gt;0.3,L32="PASS"),"PASS — growth+bear case exception met","FAIL — exceeds 50x, exception not met")))</f>
        <v/>
      </c>
      <c r="R32" s="132" t="str">
        <f aca="false">IF(OR(C32="",D32="",E32="",K32="",L32="",M32="",N32="",Q32=""),"",IF(AND(C32="PASS",D32="PASS",LEFT(E32,4)="PASS",LEFT(K32,4)="PASS",L32="PASS",M32="PASS",N32="OK",LEFT(Q32,4)="PASS"),"YES","NO — see failing rule(s)"))</f>
        <v/>
      </c>
      <c r="S32" s="132" t="str">
        <f aca="false">IF(R32="","",IF(R32="YES","Initiate: "&amp;H32,"DO NOT ENTER — resolve failing Entry Rule(s) above first"))</f>
        <v/>
      </c>
    </row>
    <row r="33" customFormat="false" ht="15" hidden="false" customHeight="true" outlineLevel="0" collapsed="false">
      <c r="A33" s="132" t="str">
        <f aca="false">IF(Scoring!A33="","",Scoring!A33)</f>
        <v>CMG</v>
      </c>
      <c r="B33" s="132" t="str">
        <f aca="false">IF(Scoring!B33="","",Scoring!B33)</f>
        <v>Chipotle Mexican Grill</v>
      </c>
      <c r="C33" s="133" t="str">
        <f aca="false">IF(Scoring!AG33="","",IF(OR(Scoring!AG33="STRONG BUY",Scoring!AG33="BUY"),"PASS","FAIL"))</f>
        <v/>
      </c>
      <c r="D33" s="133" t="str">
        <f aca="false">IF(Scoring!AH33="","",IF(Scoring!AH33="OK","PASS","FAIL"))</f>
        <v>PASS</v>
      </c>
      <c r="E33" s="133" t="str">
        <f aca="false">IF(Scoring!AI33="","",IF(Scoring!AI33="OK","PASS","FAIL — mandatory review required"))</f>
        <v>PASS</v>
      </c>
      <c r="F33" s="133"/>
      <c r="G33" s="133"/>
      <c r="H33" s="132" t="str">
        <f aca="false">IF(OR(F33="",G33=""),"",IF(AND(F33="Y",G33="Y"),"Standard initial size","50% of normal initial size + 90-day technical review"))</f>
        <v/>
      </c>
      <c r="I33" s="133"/>
      <c r="J33" s="133"/>
      <c r="K33" s="133" t="str">
        <f aca="false">IF(I33="","",IF(I33="N","PASS",IF(J33="Y","PASS — risk documented in thesis","FAIL — undocumented binary risk")))</f>
        <v/>
      </c>
      <c r="L33" s="133" t="str">
        <f aca="false">IF('Implied-Return Calculator'!S34="","",'Implied-Return Calculator'!S34)</f>
        <v/>
      </c>
      <c r="M33" s="133" t="str">
        <f aca="false">IF('Implied-Return Calculator'!T34="","",'Implied-Return Calculator'!T34)</f>
        <v/>
      </c>
      <c r="N33" s="133" t="str">
        <f aca="false">IF('Implied-Return Calculator'!U34="","",'Implied-Return Calculator'!U34)</f>
        <v/>
      </c>
      <c r="O33" s="133"/>
      <c r="P33" s="133"/>
      <c r="Q33" s="132" t="str">
        <f aca="false">IF(OR(N33="",O33=""),"",IF(N33&lt;=50,"PASS — within ceiling",IF(AND(O33&gt;0.3,L33="PASS"),"PASS — growth+bear case exception met","FAIL — exceeds 50x, exception not met")))</f>
        <v/>
      </c>
      <c r="R33" s="132" t="str">
        <f aca="false">IF(OR(C33="",D33="",E33="",K33="",L33="",M33="",N33="",Q33=""),"",IF(AND(C33="PASS",D33="PASS",LEFT(E33,4)="PASS",LEFT(K33,4)="PASS",L33="PASS",M33="PASS",N33="OK",LEFT(Q33,4)="PASS"),"YES","NO — see failing rule(s)"))</f>
        <v/>
      </c>
      <c r="S33" s="132" t="str">
        <f aca="false">IF(R33="","",IF(R33="YES","Initiate: "&amp;H33,"DO NOT ENTER — resolve failing Entry Rule(s) above first"))</f>
        <v/>
      </c>
    </row>
    <row r="34" customFormat="false" ht="15" hidden="false" customHeight="true" outlineLevel="0" collapsed="false">
      <c r="A34" s="132" t="str">
        <f aca="false">IF(Scoring!A34="","",Scoring!A34)</f>
        <v>DPZ</v>
      </c>
      <c r="B34" s="132" t="str">
        <f aca="false">IF(Scoring!B34="","",Scoring!B34)</f>
        <v>Domino's Pizza Inc.</v>
      </c>
      <c r="C34" s="133" t="str">
        <f aca="false">IF(Scoring!AG34="","",IF(OR(Scoring!AG34="STRONG BUY",Scoring!AG34="BUY"),"PASS","FAIL"))</f>
        <v/>
      </c>
      <c r="D34" s="133" t="str">
        <f aca="false">IF(Scoring!AH34="","",IF(Scoring!AH34="OK","PASS","FAIL"))</f>
        <v>PASS</v>
      </c>
      <c r="E34" s="133" t="str">
        <f aca="false">IF(Scoring!AI34="","",IF(Scoring!AI34="OK","PASS","FAIL — mandatory review required"))</f>
        <v>PASS</v>
      </c>
      <c r="F34" s="133"/>
      <c r="G34" s="133"/>
      <c r="H34" s="132" t="str">
        <f aca="false">IF(OR(F34="",G34=""),"",IF(AND(F34="Y",G34="Y"),"Standard initial size","50% of normal initial size + 90-day technical review"))</f>
        <v/>
      </c>
      <c r="I34" s="133"/>
      <c r="J34" s="133"/>
      <c r="K34" s="133" t="str">
        <f aca="false">IF(I34="","",IF(I34="N","PASS",IF(J34="Y","PASS — risk documented in thesis","FAIL — undocumented binary risk")))</f>
        <v/>
      </c>
      <c r="L34" s="133" t="str">
        <f aca="false">IF('Implied-Return Calculator'!S35="","",'Implied-Return Calculator'!S35)</f>
        <v/>
      </c>
      <c r="M34" s="133" t="str">
        <f aca="false">IF('Implied-Return Calculator'!T35="","",'Implied-Return Calculator'!T35)</f>
        <v/>
      </c>
      <c r="N34" s="133" t="str">
        <f aca="false">IF('Implied-Return Calculator'!U35="","",'Implied-Return Calculator'!U35)</f>
        <v/>
      </c>
      <c r="O34" s="133"/>
      <c r="P34" s="133"/>
      <c r="Q34" s="132" t="str">
        <f aca="false">IF(OR(N34="",O34=""),"",IF(N34&lt;=50,"PASS — within ceiling",IF(AND(O34&gt;0.3,L34="PASS"),"PASS — growth+bear case exception met","FAIL — exceeds 50x, exception not met")))</f>
        <v/>
      </c>
      <c r="R34" s="132" t="str">
        <f aca="false">IF(OR(C34="",D34="",E34="",K34="",L34="",M34="",N34="",Q34=""),"",IF(AND(C34="PASS",D34="PASS",LEFT(E34,4)="PASS",LEFT(K34,4)="PASS",L34="PASS",M34="PASS",N34="OK",LEFT(Q34,4)="PASS"),"YES","NO — see failing rule(s)"))</f>
        <v/>
      </c>
      <c r="S34" s="132" t="str">
        <f aca="false">IF(R34="","",IF(R34="YES","Initiate: "&amp;H34,"DO NOT ENTER — resolve failing Entry Rule(s) above first"))</f>
        <v/>
      </c>
    </row>
    <row r="35" customFormat="false" ht="15" hidden="false" customHeight="true" outlineLevel="0" collapsed="false">
      <c r="A35" s="132" t="str">
        <f aca="false">IF(Scoring!A35="","",Scoring!A35)</f>
        <v>PZZA</v>
      </c>
      <c r="B35" s="132" t="str">
        <f aca="false">IF(Scoring!B35="","",Scoring!B35)</f>
        <v>Papa John's Intl.</v>
      </c>
      <c r="C35" s="133" t="str">
        <f aca="false">IF(Scoring!AG35="","",IF(OR(Scoring!AG35="STRONG BUY",Scoring!AG35="BUY"),"PASS","FAIL"))</f>
        <v/>
      </c>
      <c r="D35" s="133" t="str">
        <f aca="false">IF(Scoring!AH35="","",IF(Scoring!AH35="OK","PASS","FAIL"))</f>
        <v>FAIL</v>
      </c>
      <c r="E35" s="133" t="str">
        <f aca="false">IF(Scoring!AI35="","",IF(Scoring!AI35="OK","PASS","FAIL — mandatory review required"))</f>
        <v>FAIL — mandatory review required</v>
      </c>
      <c r="F35" s="133"/>
      <c r="G35" s="133"/>
      <c r="H35" s="132" t="str">
        <f aca="false">IF(OR(F35="",G35=""),"",IF(AND(F35="Y",G35="Y"),"Standard initial size","50% of normal initial size + 90-day technical review"))</f>
        <v/>
      </c>
      <c r="I35" s="133"/>
      <c r="J35" s="133"/>
      <c r="K35" s="133" t="str">
        <f aca="false">IF(I35="","",IF(I35="N","PASS",IF(J35="Y","PASS — risk documented in thesis","FAIL — undocumented binary risk")))</f>
        <v/>
      </c>
      <c r="L35" s="133" t="str">
        <f aca="false">IF('Implied-Return Calculator'!S36="","",'Implied-Return Calculator'!S36)</f>
        <v/>
      </c>
      <c r="M35" s="133" t="str">
        <f aca="false">IF('Implied-Return Calculator'!T36="","",'Implied-Return Calculator'!T36)</f>
        <v/>
      </c>
      <c r="N35" s="133" t="str">
        <f aca="false">IF('Implied-Return Calculator'!U36="","",'Implied-Return Calculator'!U36)</f>
        <v/>
      </c>
      <c r="O35" s="133"/>
      <c r="P35" s="133"/>
      <c r="Q35" s="132" t="str">
        <f aca="false">IF(OR(N35="",O35=""),"",IF(N35&lt;=50,"PASS — within ceiling",IF(AND(O35&gt;0.3,L35="PASS"),"PASS — growth+bear case exception met","FAIL — exceeds 50x, exception not met")))</f>
        <v/>
      </c>
      <c r="R35" s="132" t="str">
        <f aca="false">IF(OR(C35="",D35="",E35="",K35="",L35="",M35="",N35="",Q35=""),"",IF(AND(C35="PASS",D35="PASS",LEFT(E35,4)="PASS",LEFT(K35,4)="PASS",L35="PASS",M35="PASS",N35="OK",LEFT(Q35,4)="PASS"),"YES","NO — see failing rule(s)"))</f>
        <v/>
      </c>
      <c r="S35" s="132" t="str">
        <f aca="false">IF(R35="","",IF(R35="YES","Initiate: "&amp;H35,"DO NOT ENTER — resolve failing Entry Rule(s) above first"))</f>
        <v/>
      </c>
    </row>
    <row r="36" customFormat="false" ht="15" hidden="false" customHeight="true" outlineLevel="0" collapsed="false">
      <c r="A36" s="132" t="str">
        <f aca="false">IF(Scoring!A36="","",Scoring!A36)</f>
        <v>YUM</v>
      </c>
      <c r="B36" s="132" t="str">
        <f aca="false">IF(Scoring!B36="","",Scoring!B36)</f>
        <v>Yum! Brands Inc.</v>
      </c>
      <c r="C36" s="133" t="str">
        <f aca="false">IF(Scoring!AG36="","",IF(OR(Scoring!AG36="STRONG BUY",Scoring!AG36="BUY"),"PASS","FAIL"))</f>
        <v/>
      </c>
      <c r="D36" s="133" t="str">
        <f aca="false">IF(Scoring!AH36="","",IF(Scoring!AH36="OK","PASS","FAIL"))</f>
        <v>PASS</v>
      </c>
      <c r="E36" s="133" t="str">
        <f aca="false">IF(Scoring!AI36="","",IF(Scoring!AI36="OK","PASS","FAIL — mandatory review required"))</f>
        <v>PASS</v>
      </c>
      <c r="F36" s="133"/>
      <c r="G36" s="133"/>
      <c r="H36" s="132" t="str">
        <f aca="false">IF(OR(F36="",G36=""),"",IF(AND(F36="Y",G36="Y"),"Standard initial size","50% of normal initial size + 90-day technical review"))</f>
        <v/>
      </c>
      <c r="I36" s="133"/>
      <c r="J36" s="133"/>
      <c r="K36" s="133" t="str">
        <f aca="false">IF(I36="","",IF(I36="N","PASS",IF(J36="Y","PASS — risk documented in thesis","FAIL — undocumented binary risk")))</f>
        <v/>
      </c>
      <c r="L36" s="133" t="str">
        <f aca="false">IF('Implied-Return Calculator'!S37="","",'Implied-Return Calculator'!S37)</f>
        <v/>
      </c>
      <c r="M36" s="133" t="str">
        <f aca="false">IF('Implied-Return Calculator'!T37="","",'Implied-Return Calculator'!T37)</f>
        <v/>
      </c>
      <c r="N36" s="133" t="str">
        <f aca="false">IF('Implied-Return Calculator'!U37="","",'Implied-Return Calculator'!U37)</f>
        <v/>
      </c>
      <c r="O36" s="133"/>
      <c r="P36" s="133"/>
      <c r="Q36" s="132" t="str">
        <f aca="false">IF(OR(N36="",O36=""),"",IF(N36&lt;=50,"PASS — within ceiling",IF(AND(O36&gt;0.3,L36="PASS"),"PASS — growth+bear case exception met","FAIL — exceeds 50x, exception not met")))</f>
        <v/>
      </c>
      <c r="R36" s="132" t="str">
        <f aca="false">IF(OR(C36="",D36="",E36="",K36="",L36="",M36="",N36="",Q36=""),"",IF(AND(C36="PASS",D36="PASS",LEFT(E36,4)="PASS",LEFT(K36,4)="PASS",L36="PASS",M36="PASS",N36="OK",LEFT(Q36,4)="PASS"),"YES","NO — see failing rule(s)"))</f>
        <v/>
      </c>
      <c r="S36" s="132" t="str">
        <f aca="false">IF(R36="","",IF(R36="YES","Initiate: "&amp;H36,"DO NOT ENTER — resolve failing Entry Rule(s) above first"))</f>
        <v/>
      </c>
    </row>
    <row r="37" customFormat="false" ht="15" hidden="false" customHeight="true" outlineLevel="0" collapsed="false">
      <c r="A37" s="132" t="str">
        <f aca="false">IF(Scoring!A37="","",Scoring!A37)</f>
        <v>NKE</v>
      </c>
      <c r="B37" s="132" t="str">
        <f aca="false">IF(Scoring!B37="","",Scoring!B37)</f>
        <v>Nike Inc.</v>
      </c>
      <c r="C37" s="133" t="str">
        <f aca="false">IF(Scoring!AG37="","",IF(OR(Scoring!AG37="STRONG BUY",Scoring!AG37="BUY"),"PASS","FAIL"))</f>
        <v/>
      </c>
      <c r="D37" s="133" t="str">
        <f aca="false">IF(Scoring!AH37="","",IF(Scoring!AH37="OK","PASS","FAIL"))</f>
        <v>FAIL</v>
      </c>
      <c r="E37" s="133" t="str">
        <f aca="false">IF(Scoring!AI37="","",IF(Scoring!AI37="OK","PASS","FAIL — mandatory review required"))</f>
        <v>FAIL — mandatory review required</v>
      </c>
      <c r="F37" s="133"/>
      <c r="G37" s="133"/>
      <c r="H37" s="132" t="str">
        <f aca="false">IF(OR(F37="",G37=""),"",IF(AND(F37="Y",G37="Y"),"Standard initial size","50% of normal initial size + 90-day technical review"))</f>
        <v/>
      </c>
      <c r="I37" s="133"/>
      <c r="J37" s="133"/>
      <c r="K37" s="133" t="str">
        <f aca="false">IF(I37="","",IF(I37="N","PASS",IF(J37="Y","PASS — risk documented in thesis","FAIL — undocumented binary risk")))</f>
        <v/>
      </c>
      <c r="L37" s="133" t="str">
        <f aca="false">IF('Implied-Return Calculator'!S38="","",'Implied-Return Calculator'!S38)</f>
        <v/>
      </c>
      <c r="M37" s="133" t="str">
        <f aca="false">IF('Implied-Return Calculator'!T38="","",'Implied-Return Calculator'!T38)</f>
        <v/>
      </c>
      <c r="N37" s="133" t="str">
        <f aca="false">IF('Implied-Return Calculator'!U38="","",'Implied-Return Calculator'!U38)</f>
        <v/>
      </c>
      <c r="O37" s="133"/>
      <c r="P37" s="133"/>
      <c r="Q37" s="132" t="str">
        <f aca="false">IF(OR(N37="",O37=""),"",IF(N37&lt;=50,"PASS — within ceiling",IF(AND(O37&gt;0.3,L37="PASS"),"PASS — growth+bear case exception met","FAIL — exceeds 50x, exception not met")))</f>
        <v/>
      </c>
      <c r="R37" s="132" t="str">
        <f aca="false">IF(OR(C37="",D37="",E37="",K37="",L37="",M37="",N37="",Q37=""),"",IF(AND(C37="PASS",D37="PASS",LEFT(E37,4)="PASS",LEFT(K37,4)="PASS",L37="PASS",M37="PASS",N37="OK",LEFT(Q37,4)="PASS"),"YES","NO — see failing rule(s)"))</f>
        <v/>
      </c>
      <c r="S37" s="132" t="str">
        <f aca="false">IF(R37="","",IF(R37="YES","Initiate: "&amp;H37,"DO NOT ENTER — resolve failing Entry Rule(s) above first"))</f>
        <v/>
      </c>
    </row>
    <row r="38" customFormat="false" ht="15" hidden="false" customHeight="true" outlineLevel="0" collapsed="false">
      <c r="A38" s="132" t="str">
        <f aca="false">IF(Scoring!A38="","",Scoring!A38)</f>
        <v>VFC</v>
      </c>
      <c r="B38" s="132" t="str">
        <f aca="false">IF(Scoring!B38="","",Scoring!B38)</f>
        <v>V.F. Corporation</v>
      </c>
      <c r="C38" s="133" t="str">
        <f aca="false">IF(Scoring!AG38="","",IF(OR(Scoring!AG38="STRONG BUY",Scoring!AG38="BUY"),"PASS","FAIL"))</f>
        <v/>
      </c>
      <c r="D38" s="133" t="str">
        <f aca="false">IF(Scoring!AH38="","",IF(Scoring!AH38="OK","PASS","FAIL"))</f>
        <v>FAIL</v>
      </c>
      <c r="E38" s="133" t="str">
        <f aca="false">IF(Scoring!AI38="","",IF(Scoring!AI38="OK","PASS","FAIL — mandatory review required"))</f>
        <v>PASS</v>
      </c>
      <c r="F38" s="133"/>
      <c r="G38" s="133"/>
      <c r="H38" s="132" t="str">
        <f aca="false">IF(OR(F38="",G38=""),"",IF(AND(F38="Y",G38="Y"),"Standard initial size","50% of normal initial size + 90-day technical review"))</f>
        <v/>
      </c>
      <c r="I38" s="133"/>
      <c r="J38" s="133"/>
      <c r="K38" s="133" t="str">
        <f aca="false">IF(I38="","",IF(I38="N","PASS",IF(J38="Y","PASS — risk documented in thesis","FAIL — undocumented binary risk")))</f>
        <v/>
      </c>
      <c r="L38" s="133" t="str">
        <f aca="false">IF('Implied-Return Calculator'!S39="","",'Implied-Return Calculator'!S39)</f>
        <v/>
      </c>
      <c r="M38" s="133" t="str">
        <f aca="false">IF('Implied-Return Calculator'!T39="","",'Implied-Return Calculator'!T39)</f>
        <v/>
      </c>
      <c r="N38" s="133" t="str">
        <f aca="false">IF('Implied-Return Calculator'!U39="","",'Implied-Return Calculator'!U39)</f>
        <v/>
      </c>
      <c r="O38" s="133"/>
      <c r="P38" s="133"/>
      <c r="Q38" s="132" t="str">
        <f aca="false">IF(OR(N38="",O38=""),"",IF(N38&lt;=50,"PASS — within ceiling",IF(AND(O38&gt;0.3,L38="PASS"),"PASS — growth+bear case exception met","FAIL — exceeds 50x, exception not met")))</f>
        <v/>
      </c>
      <c r="R38" s="132" t="str">
        <f aca="false">IF(OR(C38="",D38="",E38="",K38="",L38="",M38="",N38="",Q38=""),"",IF(AND(C38="PASS",D38="PASS",LEFT(E38,4)="PASS",LEFT(K38,4)="PASS",L38="PASS",M38="PASS",N38="OK",LEFT(Q38,4)="PASS"),"YES","NO — see failing rule(s)"))</f>
        <v/>
      </c>
      <c r="S38" s="132" t="str">
        <f aca="false">IF(R38="","",IF(R38="YES","Initiate: "&amp;H38,"DO NOT ENTER — resolve failing Entry Rule(s) above first"))</f>
        <v/>
      </c>
    </row>
    <row r="39" customFormat="false" ht="15" hidden="false" customHeight="true" outlineLevel="0" collapsed="false">
      <c r="A39" s="132" t="str">
        <f aca="false">IF(Scoring!A39="","",Scoring!A39)</f>
        <v>GOOS</v>
      </c>
      <c r="B39" s="132" t="str">
        <f aca="false">IF(Scoring!B39="","",Scoring!B39)</f>
        <v>Canada Goose Holdings</v>
      </c>
      <c r="C39" s="133" t="str">
        <f aca="false">IF(Scoring!AG39="","",IF(OR(Scoring!AG39="STRONG BUY",Scoring!AG39="BUY"),"PASS","FAIL"))</f>
        <v/>
      </c>
      <c r="D39" s="133" t="str">
        <f aca="false">IF(Scoring!AH39="","",IF(Scoring!AH39="OK","PASS","FAIL"))</f>
        <v>FAIL</v>
      </c>
      <c r="E39" s="133" t="str">
        <f aca="false">IF(Scoring!AI39="","",IF(Scoring!AI39="OK","PASS","FAIL — mandatory review required"))</f>
        <v>FAIL — mandatory review required</v>
      </c>
      <c r="F39" s="133"/>
      <c r="G39" s="133"/>
      <c r="H39" s="132" t="str">
        <f aca="false">IF(OR(F39="",G39=""),"",IF(AND(F39="Y",G39="Y"),"Standard initial size","50% of normal initial size + 90-day technical review"))</f>
        <v/>
      </c>
      <c r="I39" s="133"/>
      <c r="J39" s="133"/>
      <c r="K39" s="133" t="str">
        <f aca="false">IF(I39="","",IF(I39="N","PASS",IF(J39="Y","PASS — risk documented in thesis","FAIL — undocumented binary risk")))</f>
        <v/>
      </c>
      <c r="L39" s="133" t="str">
        <f aca="false">IF('Implied-Return Calculator'!S40="","",'Implied-Return Calculator'!S40)</f>
        <v/>
      </c>
      <c r="M39" s="133" t="str">
        <f aca="false">IF('Implied-Return Calculator'!T40="","",'Implied-Return Calculator'!T40)</f>
        <v/>
      </c>
      <c r="N39" s="133" t="str">
        <f aca="false">IF('Implied-Return Calculator'!U40="","",'Implied-Return Calculator'!U40)</f>
        <v/>
      </c>
      <c r="O39" s="133"/>
      <c r="P39" s="133"/>
      <c r="Q39" s="132" t="str">
        <f aca="false">IF(OR(N39="",O39=""),"",IF(N39&lt;=50,"PASS — within ceiling",IF(AND(O39&gt;0.3,L39="PASS"),"PASS — growth+bear case exception met","FAIL — exceeds 50x, exception not met")))</f>
        <v/>
      </c>
      <c r="R39" s="132" t="str">
        <f aca="false">IF(OR(C39="",D39="",E39="",K39="",L39="",M39="",N39="",Q39=""),"",IF(AND(C39="PASS",D39="PASS",LEFT(E39,4)="PASS",LEFT(K39,4)="PASS",L39="PASS",M39="PASS",N39="OK",LEFT(Q39,4)="PASS"),"YES","NO — see failing rule(s)"))</f>
        <v/>
      </c>
      <c r="S39" s="132" t="str">
        <f aca="false">IF(R39="","",IF(R39="YES","Initiate: "&amp;H39,"DO NOT ENTER — resolve failing Entry Rule(s) above first"))</f>
        <v/>
      </c>
    </row>
    <row r="40" customFormat="false" ht="15" hidden="false" customHeight="true" outlineLevel="0" collapsed="false">
      <c r="A40" s="132" t="str">
        <f aca="false">IF(Scoring!A40="","",Scoring!A40)</f>
        <v>AAP</v>
      </c>
      <c r="B40" s="132" t="str">
        <f aca="false">IF(Scoring!B40="","",Scoring!B40)</f>
        <v>Advance Auto Parts Inc.</v>
      </c>
      <c r="C40" s="133" t="str">
        <f aca="false">IF(Scoring!AG40="","",IF(OR(Scoring!AG40="STRONG BUY",Scoring!AG40="BUY"),"PASS","FAIL"))</f>
        <v/>
      </c>
      <c r="D40" s="133" t="str">
        <f aca="false">IF(Scoring!AH40="","",IF(Scoring!AH40="OK","PASS","FAIL"))</f>
        <v>FAIL</v>
      </c>
      <c r="E40" s="133" t="str">
        <f aca="false">IF(Scoring!AI40="","",IF(Scoring!AI40="OK","PASS","FAIL — mandatory review required"))</f>
        <v>FAIL — mandatory review required</v>
      </c>
      <c r="F40" s="133"/>
      <c r="G40" s="133"/>
      <c r="H40" s="132" t="str">
        <f aca="false">IF(OR(F40="",G40=""),"",IF(AND(F40="Y",G40="Y"),"Standard initial size","50% of normal initial size + 90-day technical review"))</f>
        <v/>
      </c>
      <c r="I40" s="133"/>
      <c r="J40" s="133"/>
      <c r="K40" s="133" t="str">
        <f aca="false">IF(I40="","",IF(I40="N","PASS",IF(J40="Y","PASS — risk documented in thesis","FAIL — undocumented binary risk")))</f>
        <v/>
      </c>
      <c r="L40" s="133" t="str">
        <f aca="false">IF('Implied-Return Calculator'!S41="","",'Implied-Return Calculator'!S41)</f>
        <v/>
      </c>
      <c r="M40" s="133" t="str">
        <f aca="false">IF('Implied-Return Calculator'!T41="","",'Implied-Return Calculator'!T41)</f>
        <v/>
      </c>
      <c r="N40" s="133" t="str">
        <f aca="false">IF('Implied-Return Calculator'!U41="","",'Implied-Return Calculator'!U41)</f>
        <v/>
      </c>
      <c r="O40" s="133"/>
      <c r="P40" s="133"/>
      <c r="Q40" s="132" t="str">
        <f aca="false">IF(OR(N40="",O40=""),"",IF(N40&lt;=50,"PASS — within ceiling",IF(AND(O40&gt;0.3,L40="PASS"),"PASS — growth+bear case exception met","FAIL — exceeds 50x, exception not met")))</f>
        <v/>
      </c>
      <c r="R40" s="132" t="str">
        <f aca="false">IF(OR(C40="",D40="",E40="",K40="",L40="",M40="",N40="",Q40=""),"",IF(AND(C40="PASS",D40="PASS",LEFT(E40,4)="PASS",LEFT(K40,4)="PASS",L40="PASS",M40="PASS",N40="OK",LEFT(Q40,4)="PASS"),"YES","NO — see failing rule(s)"))</f>
        <v/>
      </c>
      <c r="S40" s="132" t="str">
        <f aca="false">IF(R40="","",IF(R40="YES","Initiate: "&amp;H40,"DO NOT ENTER — resolve failing Entry Rule(s) above first"))</f>
        <v/>
      </c>
    </row>
    <row r="41" customFormat="false" ht="15" hidden="false" customHeight="true" outlineLevel="0" collapsed="false">
      <c r="A41" s="132" t="str">
        <f aca="false">IF(Scoring!A41="","",Scoring!A41)</f>
        <v>BABA</v>
      </c>
      <c r="B41" s="132" t="str">
        <f aca="false">IF(Scoring!B41="","",Scoring!B41)</f>
        <v>Alibaba Group Holding Ltd.</v>
      </c>
      <c r="C41" s="133" t="str">
        <f aca="false">IF(Scoring!AG41="","",IF(OR(Scoring!AG41="STRONG BUY",Scoring!AG41="BUY"),"PASS","FAIL"))</f>
        <v/>
      </c>
      <c r="D41" s="133" t="str">
        <f aca="false">IF(Scoring!AH41="","",IF(Scoring!AH41="OK","PASS","FAIL"))</f>
        <v>FAIL</v>
      </c>
      <c r="E41" s="133" t="str">
        <f aca="false">IF(Scoring!AI41="","",IF(Scoring!AI41="OK","PASS","FAIL — mandatory review required"))</f>
        <v>PASS</v>
      </c>
      <c r="F41" s="133"/>
      <c r="G41" s="133"/>
      <c r="H41" s="132" t="str">
        <f aca="false">IF(OR(F41="",G41=""),"",IF(AND(F41="Y",G41="Y"),"Standard initial size","50% of normal initial size + 90-day technical review"))</f>
        <v/>
      </c>
      <c r="I41" s="133"/>
      <c r="J41" s="133"/>
      <c r="K41" s="133" t="str">
        <f aca="false">IF(I41="","",IF(I41="N","PASS",IF(J41="Y","PASS — risk documented in thesis","FAIL — undocumented binary risk")))</f>
        <v/>
      </c>
      <c r="L41" s="133" t="str">
        <f aca="false">IF('Implied-Return Calculator'!S42="","",'Implied-Return Calculator'!S42)</f>
        <v/>
      </c>
      <c r="M41" s="133" t="str">
        <f aca="false">IF('Implied-Return Calculator'!T42="","",'Implied-Return Calculator'!T42)</f>
        <v/>
      </c>
      <c r="N41" s="133" t="str">
        <f aca="false">IF('Implied-Return Calculator'!U42="","",'Implied-Return Calculator'!U42)</f>
        <v/>
      </c>
      <c r="O41" s="133"/>
      <c r="P41" s="133"/>
      <c r="Q41" s="132" t="str">
        <f aca="false">IF(OR(N41="",O41=""),"",IF(N41&lt;=50,"PASS — within ceiling",IF(AND(O41&gt;0.3,L41="PASS"),"PASS — growth+bear case exception met","FAIL — exceeds 50x, exception not met")))</f>
        <v/>
      </c>
      <c r="R41" s="132" t="str">
        <f aca="false">IF(OR(C41="",D41="",E41="",K41="",L41="",M41="",N41="",Q41=""),"",IF(AND(C41="PASS",D41="PASS",LEFT(E41,4)="PASS",LEFT(K41,4)="PASS",L41="PASS",M41="PASS",N41="OK",LEFT(Q41,4)="PASS"),"YES","NO — see failing rule(s)"))</f>
        <v/>
      </c>
      <c r="S41" s="132" t="str">
        <f aca="false">IF(R41="","",IF(R41="YES","Initiate: "&amp;H41,"DO NOT ENTER — resolve failing Entry Rule(s) above first"))</f>
        <v/>
      </c>
    </row>
    <row r="42" customFormat="false" ht="15" hidden="false" customHeight="true" outlineLevel="0" collapsed="false">
      <c r="A42" s="132" t="str">
        <f aca="false">IF(Scoring!A42="","",Scoring!A42)</f>
        <v>ETSY</v>
      </c>
      <c r="B42" s="132" t="str">
        <f aca="false">IF(Scoring!B42="","",Scoring!B42)</f>
        <v>Etsy Inc.</v>
      </c>
      <c r="C42" s="133" t="str">
        <f aca="false">IF(Scoring!AG42="","",IF(OR(Scoring!AG42="STRONG BUY",Scoring!AG42="BUY"),"PASS","FAIL"))</f>
        <v/>
      </c>
      <c r="D42" s="133" t="str">
        <f aca="false">IF(Scoring!AH42="","",IF(Scoring!AH42="OK","PASS","FAIL"))</f>
        <v>PASS</v>
      </c>
      <c r="E42" s="133" t="str">
        <f aca="false">IF(Scoring!AI42="","",IF(Scoring!AI42="OK","PASS","FAIL — mandatory review required"))</f>
        <v>PASS</v>
      </c>
      <c r="F42" s="133"/>
      <c r="G42" s="133"/>
      <c r="H42" s="132" t="str">
        <f aca="false">IF(OR(F42="",G42=""),"",IF(AND(F42="Y",G42="Y"),"Standard initial size","50% of normal initial size + 90-day technical review"))</f>
        <v/>
      </c>
      <c r="I42" s="133"/>
      <c r="J42" s="133"/>
      <c r="K42" s="133" t="str">
        <f aca="false">IF(I42="","",IF(I42="N","PASS",IF(J42="Y","PASS — risk documented in thesis","FAIL — undocumented binary risk")))</f>
        <v/>
      </c>
      <c r="L42" s="133" t="str">
        <f aca="false">IF('Implied-Return Calculator'!S43="","",'Implied-Return Calculator'!S43)</f>
        <v/>
      </c>
      <c r="M42" s="133" t="str">
        <f aca="false">IF('Implied-Return Calculator'!T43="","",'Implied-Return Calculator'!T43)</f>
        <v/>
      </c>
      <c r="N42" s="133" t="str">
        <f aca="false">IF('Implied-Return Calculator'!U43="","",'Implied-Return Calculator'!U43)</f>
        <v/>
      </c>
      <c r="O42" s="133"/>
      <c r="P42" s="133"/>
      <c r="Q42" s="132" t="str">
        <f aca="false">IF(OR(N42="",O42=""),"",IF(N42&lt;=50,"PASS — within ceiling",IF(AND(O42&gt;0.3,L42="PASS"),"PASS — growth+bear case exception met","FAIL — exceeds 50x, exception not met")))</f>
        <v/>
      </c>
      <c r="R42" s="132" t="str">
        <f aca="false">IF(OR(C42="",D42="",E42="",K42="",L42="",M42="",N42="",Q42=""),"",IF(AND(C42="PASS",D42="PASS",LEFT(E42,4)="PASS",LEFT(K42,4)="PASS",L42="PASS",M42="PASS",N42="OK",LEFT(Q42,4)="PASS"),"YES","NO — see failing rule(s)"))</f>
        <v/>
      </c>
      <c r="S42" s="132" t="str">
        <f aca="false">IF(R42="","",IF(R42="YES","Initiate: "&amp;H42,"DO NOT ENTER — resolve failing Entry Rule(s) above first"))</f>
        <v/>
      </c>
    </row>
    <row r="43" customFormat="false" ht="15" hidden="false" customHeight="true" outlineLevel="0" collapsed="false">
      <c r="A43" s="132" t="str">
        <f aca="false">IF(Scoring!A43="","",Scoring!A43)</f>
        <v>GE</v>
      </c>
      <c r="B43" s="132" t="str">
        <f aca="false">IF(Scoring!B43="","",Scoring!B43)</f>
        <v>GE Aerospace</v>
      </c>
      <c r="C43" s="133" t="str">
        <f aca="false">IF(Scoring!AG43="","",IF(OR(Scoring!AG43="STRONG BUY",Scoring!AG43="BUY"),"PASS","FAIL"))</f>
        <v>PASS</v>
      </c>
      <c r="D43" s="133" t="str">
        <f aca="false">IF(Scoring!AH43="","",IF(Scoring!AH43="OK","PASS","FAIL"))</f>
        <v>PASS</v>
      </c>
      <c r="E43" s="133" t="str">
        <f aca="false">IF(Scoring!AI43="","",IF(Scoring!AI43="OK","PASS","FAIL — mandatory review required"))</f>
        <v>PASS</v>
      </c>
      <c r="F43" s="133"/>
      <c r="G43" s="133"/>
      <c r="H43" s="132" t="str">
        <f aca="false">IF(OR(F43="",G43=""),"",IF(AND(F43="Y",G43="Y"),"Standard initial size","50% of normal initial size + 90-day technical review"))</f>
        <v/>
      </c>
      <c r="I43" s="133"/>
      <c r="J43" s="133"/>
      <c r="K43" s="133" t="str">
        <f aca="false">IF(I43="","",IF(I43="N","PASS",IF(J43="Y","PASS — risk documented in thesis","FAIL — undocumented binary risk")))</f>
        <v/>
      </c>
      <c r="L43" s="133" t="str">
        <f aca="false">IF('Implied-Return Calculator'!S44="","",'Implied-Return Calculator'!S44)</f>
        <v/>
      </c>
      <c r="M43" s="133" t="str">
        <f aca="false">IF('Implied-Return Calculator'!T44="","",'Implied-Return Calculator'!T44)</f>
        <v/>
      </c>
      <c r="N43" s="133" t="str">
        <f aca="false">IF('Implied-Return Calculator'!U44="","",'Implied-Return Calculator'!U44)</f>
        <v/>
      </c>
      <c r="O43" s="133"/>
      <c r="P43" s="133"/>
      <c r="Q43" s="132" t="str">
        <f aca="false">IF(OR(N43="",O43=""),"",IF(N43&lt;=50,"PASS — within ceiling",IF(AND(O43&gt;0.3,L43="PASS"),"PASS — growth+bear case exception met","FAIL — exceeds 50x, exception not met")))</f>
        <v/>
      </c>
      <c r="R43" s="132" t="str">
        <f aca="false">IF(OR(C43="",D43="",E43="",K43="",L43="",M43="",N43="",Q43=""),"",IF(AND(C43="PASS",D43="PASS",LEFT(E43,4)="PASS",LEFT(K43,4)="PASS",L43="PASS",M43="PASS",N43="OK",LEFT(Q43,4)="PASS"),"YES","NO — see failing rule(s)"))</f>
        <v/>
      </c>
      <c r="S43" s="132" t="str">
        <f aca="false">IF(R43="","",IF(R43="YES","Initiate: "&amp;H43,"DO NOT ENTER — resolve failing Entry Rule(s) above first"))</f>
        <v/>
      </c>
    </row>
    <row r="44" customFormat="false" ht="15" hidden="false" customHeight="true" outlineLevel="0" collapsed="false">
      <c r="A44" s="132" t="str">
        <f aca="false">IF(Scoring!A44="","",Scoring!A44)</f>
        <v>PH</v>
      </c>
      <c r="B44" s="132" t="str">
        <f aca="false">IF(Scoring!B44="","",Scoring!B44)</f>
        <v>Parker-Hannifin Corporation</v>
      </c>
      <c r="C44" s="133" t="str">
        <f aca="false">IF(Scoring!AG44="","",IF(OR(Scoring!AG44="STRONG BUY",Scoring!AG44="BUY"),"PASS","FAIL"))</f>
        <v/>
      </c>
      <c r="D44" s="133" t="str">
        <f aca="false">IF(Scoring!AH44="","",IF(Scoring!AH44="OK","PASS","FAIL"))</f>
        <v>PASS</v>
      </c>
      <c r="E44" s="133" t="str">
        <f aca="false">IF(Scoring!AI44="","",IF(Scoring!AI44="OK","PASS","FAIL — mandatory review required"))</f>
        <v>PASS</v>
      </c>
      <c r="F44" s="133"/>
      <c r="G44" s="133"/>
      <c r="H44" s="132" t="str">
        <f aca="false">IF(OR(F44="",G44=""),"",IF(AND(F44="Y",G44="Y"),"Standard initial size","50% of normal initial size + 90-day technical review"))</f>
        <v/>
      </c>
      <c r="I44" s="133"/>
      <c r="J44" s="133"/>
      <c r="K44" s="133" t="str">
        <f aca="false">IF(I44="","",IF(I44="N","PASS",IF(J44="Y","PASS — risk documented in thesis","FAIL — undocumented binary risk")))</f>
        <v/>
      </c>
      <c r="L44" s="133" t="str">
        <f aca="false">IF('Implied-Return Calculator'!S45="","",'Implied-Return Calculator'!S45)</f>
        <v/>
      </c>
      <c r="M44" s="133" t="str">
        <f aca="false">IF('Implied-Return Calculator'!T45="","",'Implied-Return Calculator'!T45)</f>
        <v/>
      </c>
      <c r="N44" s="133" t="str">
        <f aca="false">IF('Implied-Return Calculator'!U45="","",'Implied-Return Calculator'!U45)</f>
        <v/>
      </c>
      <c r="O44" s="133"/>
      <c r="P44" s="133"/>
      <c r="Q44" s="132" t="str">
        <f aca="false">IF(OR(N44="",O44=""),"",IF(N44&lt;=50,"PASS — within ceiling",IF(AND(O44&gt;0.3,L44="PASS"),"PASS — growth+bear case exception met","FAIL — exceeds 50x, exception not met")))</f>
        <v/>
      </c>
      <c r="R44" s="132" t="str">
        <f aca="false">IF(OR(C44="",D44="",E44="",K44="",L44="",M44="",N44="",Q44=""),"",IF(AND(C44="PASS",D44="PASS",LEFT(E44,4)="PASS",LEFT(K44,4)="PASS",L44="PASS",M44="PASS",N44="OK",LEFT(Q44,4)="PASS"),"YES","NO — see failing rule(s)"))</f>
        <v/>
      </c>
      <c r="S44" s="132" t="str">
        <f aca="false">IF(R44="","",IF(R44="YES","Initiate: "&amp;H44,"DO NOT ENTER — resolve failing Entry Rule(s) above first"))</f>
        <v/>
      </c>
    </row>
    <row r="45" customFormat="false" ht="15" hidden="false" customHeight="true" outlineLevel="0" collapsed="false">
      <c r="A45" s="132" t="str">
        <f aca="false">IF(Scoring!A45="","",Scoring!A45)</f>
        <v>ETN</v>
      </c>
      <c r="B45" s="132" t="str">
        <f aca="false">IF(Scoring!B45="","",Scoring!B45)</f>
        <v>Eaton Corporation plc</v>
      </c>
      <c r="C45" s="133" t="str">
        <f aca="false">IF(Scoring!AG45="","",IF(OR(Scoring!AG45="STRONG BUY",Scoring!AG45="BUY"),"PASS","FAIL"))</f>
        <v/>
      </c>
      <c r="D45" s="133" t="str">
        <f aca="false">IF(Scoring!AH45="","",IF(Scoring!AH45="OK","PASS","FAIL"))</f>
        <v>PASS</v>
      </c>
      <c r="E45" s="133" t="str">
        <f aca="false">IF(Scoring!AI45="","",IF(Scoring!AI45="OK","PASS","FAIL — mandatory review required"))</f>
        <v>PASS</v>
      </c>
      <c r="F45" s="133"/>
      <c r="G45" s="133"/>
      <c r="H45" s="132" t="str">
        <f aca="false">IF(OR(F45="",G45=""),"",IF(AND(F45="Y",G45="Y"),"Standard initial size","50% of normal initial size + 90-day technical review"))</f>
        <v/>
      </c>
      <c r="I45" s="133"/>
      <c r="J45" s="133"/>
      <c r="K45" s="133" t="str">
        <f aca="false">IF(I45="","",IF(I45="N","PASS",IF(J45="Y","PASS — risk documented in thesis","FAIL — undocumented binary risk")))</f>
        <v/>
      </c>
      <c r="L45" s="133" t="str">
        <f aca="false">IF('Implied-Return Calculator'!S46="","",'Implied-Return Calculator'!S46)</f>
        <v/>
      </c>
      <c r="M45" s="133" t="str">
        <f aca="false">IF('Implied-Return Calculator'!T46="","",'Implied-Return Calculator'!T46)</f>
        <v/>
      </c>
      <c r="N45" s="133" t="str">
        <f aca="false">IF('Implied-Return Calculator'!U46="","",'Implied-Return Calculator'!U46)</f>
        <v/>
      </c>
      <c r="O45" s="133"/>
      <c r="P45" s="133"/>
      <c r="Q45" s="132" t="str">
        <f aca="false">IF(OR(N45="",O45=""),"",IF(N45&lt;=50,"PASS — within ceiling",IF(AND(O45&gt;0.3,L45="PASS"),"PASS — growth+bear case exception met","FAIL — exceeds 50x, exception not met")))</f>
        <v/>
      </c>
      <c r="R45" s="132" t="str">
        <f aca="false">IF(OR(C45="",D45="",E45="",K45="",L45="",M45="",N45="",Q45=""),"",IF(AND(C45="PASS",D45="PASS",LEFT(E45,4)="PASS",LEFT(K45,4)="PASS",L45="PASS",M45="PASS",N45="OK",LEFT(Q45,4)="PASS"),"YES","NO — see failing rule(s)"))</f>
        <v/>
      </c>
      <c r="S45" s="132" t="str">
        <f aca="false">IF(R45="","",IF(R45="YES","Initiate: "&amp;H45,"DO NOT ENTER — resolve failing Entry Rule(s) above first"))</f>
        <v/>
      </c>
    </row>
    <row r="46" customFormat="false" ht="15" hidden="false" customHeight="true" outlineLevel="0" collapsed="false">
      <c r="A46" s="132" t="str">
        <f aca="false">IF(Scoring!A46="","",Scoring!A46)</f>
        <v>DIS</v>
      </c>
      <c r="B46" s="132" t="str">
        <f aca="false">IF(Scoring!B46="","",Scoring!B46)</f>
        <v>The Walt Disney Company</v>
      </c>
      <c r="C46" s="133" t="str">
        <f aca="false">IF(Scoring!AG46="","",IF(OR(Scoring!AG46="STRONG BUY",Scoring!AG46="BUY"),"PASS","FAIL"))</f>
        <v/>
      </c>
      <c r="D46" s="133" t="str">
        <f aca="false">IF(Scoring!AH46="","",IF(Scoring!AH46="OK","PASS","FAIL"))</f>
        <v>FAIL</v>
      </c>
      <c r="E46" s="133" t="str">
        <f aca="false">IF(Scoring!AI46="","",IF(Scoring!AI46="OK","PASS","FAIL — mandatory review required"))</f>
        <v>PASS</v>
      </c>
      <c r="F46" s="133"/>
      <c r="G46" s="133"/>
      <c r="H46" s="132" t="str">
        <f aca="false">IF(OR(F46="",G46=""),"",IF(AND(F46="Y",G46="Y"),"Standard initial size","50% of normal initial size + 90-day technical review"))</f>
        <v/>
      </c>
      <c r="I46" s="133"/>
      <c r="J46" s="133"/>
      <c r="K46" s="133" t="str">
        <f aca="false">IF(I46="","",IF(I46="N","PASS",IF(J46="Y","PASS — risk documented in thesis","FAIL — undocumented binary risk")))</f>
        <v/>
      </c>
      <c r="L46" s="133" t="str">
        <f aca="false">IF('Implied-Return Calculator'!S47="","",'Implied-Return Calculator'!S47)</f>
        <v/>
      </c>
      <c r="M46" s="133" t="str">
        <f aca="false">IF('Implied-Return Calculator'!T47="","",'Implied-Return Calculator'!T47)</f>
        <v/>
      </c>
      <c r="N46" s="133" t="str">
        <f aca="false">IF('Implied-Return Calculator'!U47="","",'Implied-Return Calculator'!U47)</f>
        <v/>
      </c>
      <c r="O46" s="133"/>
      <c r="P46" s="133"/>
      <c r="Q46" s="132" t="str">
        <f aca="false">IF(OR(N46="",O46=""),"",IF(N46&lt;=50,"PASS — within ceiling",IF(AND(O46&gt;0.3,L46="PASS"),"PASS — growth+bear case exception met","FAIL — exceeds 50x, exception not met")))</f>
        <v/>
      </c>
      <c r="R46" s="132" t="str">
        <f aca="false">IF(OR(C46="",D46="",E46="",K46="",L46="",M46="",N46="",Q46=""),"",IF(AND(C46="PASS",D46="PASS",LEFT(E46,4)="PASS",LEFT(K46,4)="PASS",L46="PASS",M46="PASS",N46="OK",LEFT(Q46,4)="PASS"),"YES","NO — see failing rule(s)"))</f>
        <v/>
      </c>
      <c r="S46" s="132" t="str">
        <f aca="false">IF(R46="","",IF(R46="YES","Initiate: "&amp;H46,"DO NOT ENTER — resolve failing Entry Rule(s) above first"))</f>
        <v/>
      </c>
    </row>
    <row r="47" customFormat="false" ht="15" hidden="false" customHeight="true" outlineLevel="0" collapsed="false">
      <c r="A47" s="132" t="str">
        <f aca="false">IF(Scoring!A47="","",Scoring!A47)</f>
        <v>NFLX</v>
      </c>
      <c r="B47" s="132" t="str">
        <f aca="false">IF(Scoring!B47="","",Scoring!B47)</f>
        <v>Netflix, Inc.</v>
      </c>
      <c r="C47" s="133" t="str">
        <f aca="false">IF(Scoring!AG47="","",IF(OR(Scoring!AG47="STRONG BUY",Scoring!AG47="BUY"),"PASS","FAIL"))</f>
        <v>PASS</v>
      </c>
      <c r="D47" s="133" t="str">
        <f aca="false">IF(Scoring!AH47="","",IF(Scoring!AH47="OK","PASS","FAIL"))</f>
        <v>PASS</v>
      </c>
      <c r="E47" s="133" t="str">
        <f aca="false">IF(Scoring!AI47="","",IF(Scoring!AI47="OK","PASS","FAIL — mandatory review required"))</f>
        <v>PASS</v>
      </c>
      <c r="F47" s="133"/>
      <c r="G47" s="133"/>
      <c r="H47" s="132" t="str">
        <f aca="false">IF(OR(F47="",G47=""),"",IF(AND(F47="Y",G47="Y"),"Standard initial size","50% of normal initial size + 90-day technical review"))</f>
        <v/>
      </c>
      <c r="I47" s="133"/>
      <c r="J47" s="133"/>
      <c r="K47" s="133" t="str">
        <f aca="false">IF(I47="","",IF(I47="N","PASS",IF(J47="Y","PASS — risk documented in thesis","FAIL — undocumented binary risk")))</f>
        <v/>
      </c>
      <c r="L47" s="133" t="str">
        <f aca="false">IF('Implied-Return Calculator'!S48="","",'Implied-Return Calculator'!S48)</f>
        <v/>
      </c>
      <c r="M47" s="133" t="str">
        <f aca="false">IF('Implied-Return Calculator'!T48="","",'Implied-Return Calculator'!T48)</f>
        <v/>
      </c>
      <c r="N47" s="133" t="str">
        <f aca="false">IF('Implied-Return Calculator'!U48="","",'Implied-Return Calculator'!U48)</f>
        <v/>
      </c>
      <c r="O47" s="133"/>
      <c r="P47" s="133"/>
      <c r="Q47" s="132" t="str">
        <f aca="false">IF(OR(N47="",O47=""),"",IF(N47&lt;=50,"PASS — within ceiling",IF(AND(O47&gt;0.3,L47="PASS"),"PASS — growth+bear case exception met","FAIL — exceeds 50x, exception not met")))</f>
        <v/>
      </c>
      <c r="R47" s="132" t="str">
        <f aca="false">IF(OR(C47="",D47="",E47="",K47="",L47="",M47="",N47="",Q47=""),"",IF(AND(C47="PASS",D47="PASS",LEFT(E47,4)="PASS",LEFT(K47,4)="PASS",L47="PASS",M47="PASS",N47="OK",LEFT(Q47,4)="PASS"),"YES","NO — see failing rule(s)"))</f>
        <v/>
      </c>
      <c r="S47" s="132" t="str">
        <f aca="false">IF(R47="","",IF(R47="YES","Initiate: "&amp;H47,"DO NOT ENTER — resolve failing Entry Rule(s) above first"))</f>
        <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20" activePane="bottomLeft" state="frozen"/>
      <selection pane="topLeft" activeCell="A1" activeCellId="0" sqref="A1"/>
      <selection pane="bottomLeft" activeCell="L31" activeCellId="0" sqref="L31"/>
    </sheetView>
  </sheetViews>
  <sheetFormatPr defaultColWidth="8.66796875" defaultRowHeight="14.25" customHeight="false" zeroHeight="false" outlineLevelRow="0" outlineLevelCol="0"/>
  <cols>
    <col collapsed="false" customWidth="true" hidden="false" outlineLevel="0" max="1" min="1" style="1" width="10"/>
    <col collapsed="false" customWidth="true" hidden="false" outlineLevel="0" max="2" min="2" style="134" width="20"/>
    <col collapsed="false" customWidth="true" hidden="false" outlineLevel="0" max="3" min="3" style="1" width="9.33"/>
    <col collapsed="false" customWidth="true" hidden="false" outlineLevel="0" max="4" min="4" style="1" width="13"/>
    <col collapsed="false" customWidth="true" hidden="false" outlineLevel="0" max="5" min="5" style="1" width="15"/>
    <col collapsed="false" customWidth="true" hidden="false" outlineLevel="0" max="6" min="6" style="1" width="6.33"/>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135" t="s">
        <v>424</v>
      </c>
      <c r="B1" s="135"/>
      <c r="C1" s="135"/>
      <c r="D1" s="135"/>
      <c r="E1" s="135"/>
      <c r="F1" s="135"/>
      <c r="G1" s="135"/>
      <c r="H1" s="135"/>
      <c r="I1" s="135"/>
    </row>
    <row r="2" customFormat="false" ht="25.5" hidden="false" customHeight="true" outlineLevel="0" collapsed="false">
      <c r="A2" s="111" t="s">
        <v>81</v>
      </c>
      <c r="B2" s="111" t="s">
        <v>279</v>
      </c>
      <c r="C2" s="111" t="s">
        <v>425</v>
      </c>
      <c r="D2" s="111" t="s">
        <v>426</v>
      </c>
      <c r="E2" s="111" t="s">
        <v>427</v>
      </c>
      <c r="F2" s="111" t="s">
        <v>428</v>
      </c>
      <c r="G2" s="111" t="s">
        <v>429</v>
      </c>
      <c r="H2" s="111" t="s">
        <v>430</v>
      </c>
      <c r="I2" s="111" t="s">
        <v>431</v>
      </c>
    </row>
    <row r="3" customFormat="false" ht="15" hidden="false" customHeight="true" outlineLevel="0" collapsed="false">
      <c r="A3" s="115" t="s">
        <v>95</v>
      </c>
      <c r="B3" s="113" t="s">
        <v>96</v>
      </c>
      <c r="C3" s="136" t="n">
        <v>233.17</v>
      </c>
      <c r="D3" s="120" t="n">
        <v>3955803</v>
      </c>
      <c r="E3" s="137" t="n">
        <v>92685.074432</v>
      </c>
      <c r="F3" s="138" t="n">
        <v>13.0262575</v>
      </c>
      <c r="G3" s="136" t="n">
        <v>190.12</v>
      </c>
      <c r="H3" s="136" t="n">
        <v>363.7</v>
      </c>
      <c r="I3" s="122"/>
    </row>
    <row r="4" customFormat="false" ht="15" hidden="false" customHeight="true" outlineLevel="0" collapsed="false">
      <c r="A4" s="115" t="s">
        <v>100</v>
      </c>
      <c r="B4" s="113" t="s">
        <v>101</v>
      </c>
      <c r="C4" s="136" t="n">
        <v>202.805</v>
      </c>
      <c r="D4" s="120" t="n">
        <v>3645350</v>
      </c>
      <c r="E4" s="137" t="n">
        <v>255782.66624</v>
      </c>
      <c r="F4" s="138" t="n">
        <v>64.38254</v>
      </c>
      <c r="G4" s="136" t="n">
        <v>114.52</v>
      </c>
      <c r="H4" s="136" t="n">
        <v>214.89</v>
      </c>
      <c r="I4" s="122"/>
    </row>
    <row r="5" customFormat="false" ht="15" hidden="false" customHeight="true" outlineLevel="0" collapsed="false">
      <c r="A5" s="115" t="s">
        <v>102</v>
      </c>
      <c r="B5" s="113" t="s">
        <v>103</v>
      </c>
      <c r="C5" s="136" t="n">
        <v>1834.39</v>
      </c>
      <c r="D5" s="120" t="n">
        <v>1633836</v>
      </c>
      <c r="E5" s="137" t="n">
        <v>704589.201408</v>
      </c>
      <c r="F5" s="138" t="n">
        <v>63.539658</v>
      </c>
      <c r="G5" s="136" t="n">
        <v>935.41</v>
      </c>
      <c r="H5" s="136" t="n">
        <v>1999.96</v>
      </c>
      <c r="I5" s="122" t="n">
        <v>0.51</v>
      </c>
    </row>
    <row r="6" customFormat="false" ht="15" hidden="false" customHeight="true" outlineLevel="0" collapsed="false">
      <c r="A6" s="115" t="s">
        <v>165</v>
      </c>
      <c r="B6" s="113" t="s">
        <v>166</v>
      </c>
      <c r="C6" s="136" t="n">
        <v>355.1</v>
      </c>
      <c r="D6" s="120" t="n">
        <v>17377536</v>
      </c>
      <c r="E6" s="137" t="n">
        <v>1695116.034048</v>
      </c>
      <c r="F6" s="138" t="n">
        <v>45.760307</v>
      </c>
      <c r="G6" s="136" t="n">
        <v>289.96</v>
      </c>
      <c r="H6" s="136" t="n">
        <v>495</v>
      </c>
      <c r="I6" s="122" t="n">
        <v>0.74</v>
      </c>
    </row>
    <row r="7" customFormat="false" ht="15" hidden="false" customHeight="true" outlineLevel="0" collapsed="false">
      <c r="A7" s="115" t="s">
        <v>156</v>
      </c>
      <c r="B7" s="113" t="s">
        <v>157</v>
      </c>
      <c r="C7" s="136" t="n">
        <v>118.77</v>
      </c>
      <c r="D7" s="120" t="n">
        <v>1735494</v>
      </c>
      <c r="E7" s="137"/>
      <c r="F7" s="138" t="n">
        <v>11.794926</v>
      </c>
      <c r="G7" s="136" t="n">
        <v>93.87</v>
      </c>
      <c r="H7" s="136" t="n">
        <v>129.05</v>
      </c>
      <c r="I7" s="122" t="n">
        <v>1.25</v>
      </c>
    </row>
    <row r="8" customFormat="false" ht="15" hidden="false" customHeight="true" outlineLevel="0" collapsed="false">
      <c r="A8" s="115" t="s">
        <v>230</v>
      </c>
      <c r="B8" s="113" t="s">
        <v>379</v>
      </c>
      <c r="C8" s="136" t="n">
        <v>36.96</v>
      </c>
      <c r="D8" s="120" t="n">
        <v>9787856</v>
      </c>
      <c r="E8" s="137" t="n">
        <v>46769.8</v>
      </c>
      <c r="F8" s="138" t="n">
        <v>34.22222</v>
      </c>
      <c r="G8" s="136" t="n">
        <v>28.04</v>
      </c>
      <c r="H8" s="136" t="n">
        <v>42.82</v>
      </c>
      <c r="I8" s="122"/>
    </row>
    <row r="9" customFormat="false" ht="15" hidden="false" customHeight="true" outlineLevel="0" collapsed="false">
      <c r="A9" s="115" t="s">
        <v>232</v>
      </c>
      <c r="B9" s="113" t="s">
        <v>350</v>
      </c>
      <c r="C9" s="136" t="n">
        <v>910.18</v>
      </c>
      <c r="D9" s="120" t="n">
        <v>2225742</v>
      </c>
      <c r="E9" s="137" t="n">
        <v>403645.5</v>
      </c>
      <c r="F9" s="138" t="n">
        <v>45.80674</v>
      </c>
      <c r="G9" s="136" t="n">
        <v>844.06</v>
      </c>
      <c r="H9" s="136" t="n">
        <v>1096.5</v>
      </c>
      <c r="I9" s="122" t="n">
        <v>0.64</v>
      </c>
    </row>
    <row r="10" customFormat="false" ht="15" hidden="false" customHeight="true" outlineLevel="0" collapsed="false">
      <c r="A10" s="115" t="s">
        <v>104</v>
      </c>
      <c r="B10" s="113" t="s">
        <v>105</v>
      </c>
      <c r="C10" s="136" t="n">
        <v>262.74</v>
      </c>
      <c r="D10" s="120" t="n">
        <v>6775435</v>
      </c>
      <c r="E10" s="137" t="n">
        <v>269028.63872</v>
      </c>
      <c r="F10" s="138" t="n">
        <v>8758</v>
      </c>
      <c r="G10" s="136" t="n">
        <v>85.68</v>
      </c>
      <c r="H10" s="136" t="n">
        <v>263.87</v>
      </c>
      <c r="I10" s="122"/>
    </row>
    <row r="11" customFormat="false" ht="15" hidden="false" customHeight="true" outlineLevel="0" collapsed="false">
      <c r="A11" s="115" t="s">
        <v>237</v>
      </c>
      <c r="B11" s="113" t="s">
        <v>381</v>
      </c>
      <c r="C11" s="136" t="n">
        <v>335.41</v>
      </c>
      <c r="D11" s="120" t="n">
        <v>556220</v>
      </c>
      <c r="E11" s="137" t="n">
        <v>11095.9</v>
      </c>
      <c r="F11" s="138" t="n">
        <v>19.024958</v>
      </c>
      <c r="G11" s="136" t="n">
        <v>282</v>
      </c>
      <c r="H11" s="136" t="n">
        <v>464.23</v>
      </c>
      <c r="I11" s="122" t="n">
        <v>2.33</v>
      </c>
    </row>
    <row r="12" customFormat="false" ht="15" hidden="false" customHeight="true" outlineLevel="0" collapsed="false">
      <c r="A12" s="115" t="s">
        <v>126</v>
      </c>
      <c r="B12" s="113" t="s">
        <v>127</v>
      </c>
      <c r="C12" s="136" t="n">
        <v>153.17</v>
      </c>
      <c r="D12" s="120" t="n">
        <v>281494</v>
      </c>
      <c r="E12" s="137"/>
      <c r="F12" s="138" t="n">
        <v>14.566291</v>
      </c>
      <c r="G12" s="136" t="n">
        <v>137.16</v>
      </c>
      <c r="H12" s="136" t="n">
        <v>167.06</v>
      </c>
      <c r="I12" s="122" t="n">
        <v>3.24</v>
      </c>
    </row>
    <row r="13" customFormat="false" ht="15" hidden="false" customHeight="true" outlineLevel="0" collapsed="false">
      <c r="A13" s="115" t="s">
        <v>240</v>
      </c>
      <c r="B13" s="113" t="s">
        <v>360</v>
      </c>
      <c r="C13" s="136" t="n">
        <v>21.51</v>
      </c>
      <c r="D13" s="120" t="n">
        <v>6978880</v>
      </c>
      <c r="E13" s="137" t="n">
        <v>74065.4</v>
      </c>
      <c r="F13" s="138" t="n">
        <v>14.732877</v>
      </c>
      <c r="G13" s="136" t="n">
        <v>16.18</v>
      </c>
      <c r="H13" s="136" t="n">
        <v>21.77</v>
      </c>
      <c r="I13" s="122" t="n">
        <v>6.33</v>
      </c>
    </row>
    <row r="14" customFormat="false" ht="15" hidden="false" customHeight="true" outlineLevel="0" collapsed="false">
      <c r="A14" s="115" t="s">
        <v>242</v>
      </c>
      <c r="B14" s="113" t="s">
        <v>396</v>
      </c>
      <c r="C14" s="136" t="n">
        <v>422.13</v>
      </c>
      <c r="D14" s="120" t="n">
        <v>2032961</v>
      </c>
      <c r="E14" s="137" t="n">
        <v>163955.3</v>
      </c>
      <c r="F14" s="138" t="n">
        <v>42.986763</v>
      </c>
      <c r="G14" s="136" t="n">
        <v>311.92</v>
      </c>
      <c r="H14" s="136" t="n">
        <v>478</v>
      </c>
      <c r="I14" s="122" t="n">
        <v>1.07</v>
      </c>
    </row>
    <row r="15" customFormat="false" ht="15" hidden="false" customHeight="true" outlineLevel="0" collapsed="false">
      <c r="A15" s="115" t="s">
        <v>244</v>
      </c>
      <c r="B15" s="113" t="s">
        <v>392</v>
      </c>
      <c r="C15" s="136" t="n">
        <v>72.82</v>
      </c>
      <c r="D15" s="120" t="n">
        <v>4895271</v>
      </c>
      <c r="E15" s="137" t="n">
        <v>6683.5</v>
      </c>
      <c r="F15" s="138" t="n">
        <v>23.044304</v>
      </c>
      <c r="G15" s="136" t="n">
        <v>44</v>
      </c>
      <c r="H15" s="136" t="n">
        <v>87.974</v>
      </c>
      <c r="I15" s="122" t="n">
        <v>0.54</v>
      </c>
    </row>
    <row r="16" customFormat="false" ht="15" hidden="false" customHeight="true" outlineLevel="0" collapsed="false">
      <c r="A16" s="115" t="s">
        <v>140</v>
      </c>
      <c r="B16" s="113" t="s">
        <v>141</v>
      </c>
      <c r="C16" s="136" t="n">
        <v>334.91</v>
      </c>
      <c r="D16" s="120" t="n">
        <v>3059378</v>
      </c>
      <c r="E16" s="137" t="n">
        <v>347490.1</v>
      </c>
      <c r="F16" s="138" t="n">
        <v>39.401176</v>
      </c>
      <c r="G16" s="136" t="n">
        <v>268.91</v>
      </c>
      <c r="H16" s="136" t="n">
        <v>388.84</v>
      </c>
      <c r="I16" s="122" t="n">
        <v>0.56</v>
      </c>
    </row>
    <row r="17" customFormat="false" ht="15" hidden="false" customHeight="true" outlineLevel="0" collapsed="false">
      <c r="A17" s="115" t="s">
        <v>162</v>
      </c>
      <c r="B17" s="113" t="s">
        <v>163</v>
      </c>
      <c r="C17" s="136" t="n">
        <v>69.39</v>
      </c>
      <c r="D17" s="120" t="n">
        <v>203268</v>
      </c>
      <c r="E17" s="137"/>
      <c r="F17" s="138" t="n">
        <v>24.4576</v>
      </c>
      <c r="G17" s="136" t="n">
        <v>63.24</v>
      </c>
      <c r="H17" s="136" t="n">
        <v>70.23</v>
      </c>
      <c r="I17" s="122" t="n">
        <v>0.62</v>
      </c>
    </row>
    <row r="18" customFormat="false" ht="15" hidden="false" customHeight="true" outlineLevel="0" collapsed="false">
      <c r="A18" s="115" t="s">
        <v>187</v>
      </c>
      <c r="B18" s="113" t="s">
        <v>188</v>
      </c>
      <c r="C18" s="136" t="n">
        <v>56.87</v>
      </c>
      <c r="D18" s="120" t="n">
        <v>4759638</v>
      </c>
      <c r="E18" s="137"/>
      <c r="F18" s="138" t="n">
        <v>25.282299</v>
      </c>
      <c r="G18" s="136" t="n">
        <v>55.1</v>
      </c>
      <c r="H18" s="136" t="n">
        <v>59.9</v>
      </c>
      <c r="I18" s="122" t="n">
        <v>7.97</v>
      </c>
    </row>
    <row r="19" customFormat="false" ht="15" hidden="false" customHeight="true" outlineLevel="0" collapsed="false">
      <c r="A19" s="115" t="s">
        <v>152</v>
      </c>
      <c r="B19" s="113" t="s">
        <v>153</v>
      </c>
      <c r="C19" s="136" t="n">
        <v>59.85</v>
      </c>
      <c r="D19" s="120" t="n">
        <v>5120618</v>
      </c>
      <c r="E19" s="137" t="n">
        <v>225986.3</v>
      </c>
      <c r="F19" s="138" t="n">
        <v>28.95007</v>
      </c>
      <c r="G19" s="136" t="n">
        <v>53.51</v>
      </c>
      <c r="H19" s="136" t="n">
        <v>61.72</v>
      </c>
      <c r="I19" s="122" t="n">
        <v>10.84</v>
      </c>
    </row>
    <row r="20" customFormat="false" ht="15" hidden="false" customHeight="true" outlineLevel="0" collapsed="false">
      <c r="A20" s="115" t="s">
        <v>106</v>
      </c>
      <c r="B20" s="113" t="s">
        <v>107</v>
      </c>
      <c r="C20" s="136" t="n">
        <v>196.53</v>
      </c>
      <c r="D20" s="120" t="n">
        <v>7447910</v>
      </c>
      <c r="E20" s="137" t="n">
        <v>256472.92416</v>
      </c>
      <c r="F20" s="138" t="n">
        <v>53.843834</v>
      </c>
      <c r="G20" s="136" t="n">
        <v>98.097</v>
      </c>
      <c r="H20" s="136" t="n">
        <v>307.37</v>
      </c>
      <c r="I20" s="122" t="n">
        <v>0.49</v>
      </c>
    </row>
    <row r="21" customFormat="false" ht="15" hidden="false" customHeight="true" outlineLevel="0" collapsed="false">
      <c r="A21" s="115" t="s">
        <v>251</v>
      </c>
      <c r="B21" s="113" t="s">
        <v>370</v>
      </c>
      <c r="C21" s="136" t="n">
        <v>468.38</v>
      </c>
      <c r="D21" s="120" t="n">
        <v>2533696</v>
      </c>
      <c r="E21" s="137" t="n">
        <v>215913.9</v>
      </c>
      <c r="F21" s="138" t="n">
        <v>30.179123</v>
      </c>
      <c r="G21" s="136" t="n">
        <v>387.78</v>
      </c>
      <c r="H21" s="136" t="n">
        <v>548.2</v>
      </c>
      <c r="I21" s="122" t="n">
        <v>1.34</v>
      </c>
    </row>
    <row r="22" customFormat="false" ht="15" hidden="false" customHeight="true" outlineLevel="0" collapsed="false">
      <c r="A22" s="115" t="s">
        <v>136</v>
      </c>
      <c r="B22" s="113" t="s">
        <v>137</v>
      </c>
      <c r="C22" s="136" t="n">
        <v>54.93</v>
      </c>
      <c r="D22" s="120" t="n">
        <v>350807</v>
      </c>
      <c r="E22" s="137"/>
      <c r="F22" s="138" t="n">
        <v>18.950302</v>
      </c>
      <c r="G22" s="136" t="n">
        <v>49.15</v>
      </c>
      <c r="H22" s="136" t="n">
        <v>58.47</v>
      </c>
      <c r="I22" s="122" t="n">
        <v>0.47</v>
      </c>
    </row>
    <row r="23" customFormat="false" ht="15" hidden="false" customHeight="true" outlineLevel="0" collapsed="false">
      <c r="A23" s="115" t="s">
        <v>108</v>
      </c>
      <c r="B23" s="113" t="s">
        <v>109</v>
      </c>
      <c r="C23" s="136" t="n">
        <v>1065.08</v>
      </c>
      <c r="D23" s="120" t="n">
        <v>17447896</v>
      </c>
      <c r="E23" s="137" t="n">
        <v>1202894.012416</v>
      </c>
      <c r="F23" s="138" t="n">
        <v>24.05873</v>
      </c>
      <c r="G23" s="136" t="n">
        <v>163.96</v>
      </c>
      <c r="H23" s="136" t="n">
        <v>1255</v>
      </c>
      <c r="I23" s="122" t="n">
        <v>0.05</v>
      </c>
    </row>
    <row r="24" customFormat="false" ht="15" hidden="false" customHeight="true" outlineLevel="0" collapsed="false">
      <c r="A24" s="115" t="s">
        <v>143</v>
      </c>
      <c r="B24" s="113" t="s">
        <v>144</v>
      </c>
      <c r="C24" s="136" t="n">
        <v>76.77</v>
      </c>
      <c r="D24" s="120" t="n">
        <v>33613528</v>
      </c>
      <c r="E24" s="137" t="n">
        <v>319665.6</v>
      </c>
      <c r="F24" s="138" t="n">
        <v>24.141508</v>
      </c>
      <c r="G24" s="136" t="n">
        <v>65.08</v>
      </c>
      <c r="H24" s="136" t="n">
        <v>126.7</v>
      </c>
      <c r="I24" s="122" t="n">
        <v>0.79</v>
      </c>
    </row>
    <row r="25" customFormat="false" ht="15" hidden="false" customHeight="true" outlineLevel="0" collapsed="false">
      <c r="A25" s="115" t="s">
        <v>110</v>
      </c>
      <c r="B25" s="113" t="s">
        <v>111</v>
      </c>
      <c r="C25" s="136" t="n">
        <v>227.21</v>
      </c>
      <c r="D25" s="120" t="n">
        <v>93878615</v>
      </c>
      <c r="E25" s="137" t="n">
        <v>5486440.087552</v>
      </c>
      <c r="F25" s="138" t="n">
        <v>28.688131</v>
      </c>
      <c r="G25" s="136" t="n">
        <v>164.27</v>
      </c>
      <c r="H25" s="136" t="n">
        <v>236.54</v>
      </c>
      <c r="I25" s="122" t="n">
        <v>0.44</v>
      </c>
    </row>
    <row r="26" customFormat="false" ht="15" hidden="false" customHeight="true" outlineLevel="0" collapsed="false">
      <c r="A26" s="115" t="s">
        <v>262</v>
      </c>
      <c r="B26" s="113" t="s">
        <v>378</v>
      </c>
      <c r="C26" s="136" t="n">
        <v>145.58</v>
      </c>
      <c r="D26" s="120" t="n">
        <v>6281928</v>
      </c>
      <c r="E26" s="137" t="n">
        <v>338134.7</v>
      </c>
      <c r="F26" s="138" t="n">
        <v>21.990936</v>
      </c>
      <c r="G26" s="136" t="n">
        <v>137.62</v>
      </c>
      <c r="H26" s="136" t="n">
        <v>167.25</v>
      </c>
      <c r="I26" s="122" t="n">
        <v>2.97</v>
      </c>
    </row>
    <row r="27" customFormat="false" ht="15" hidden="false" customHeight="true" outlineLevel="0" collapsed="false">
      <c r="A27" s="115" t="s">
        <v>264</v>
      </c>
      <c r="B27" s="113" t="s">
        <v>394</v>
      </c>
      <c r="C27" s="136" t="n">
        <v>955.87</v>
      </c>
      <c r="D27" s="120" t="n">
        <v>437579</v>
      </c>
      <c r="E27" s="137" t="n">
        <v>120485</v>
      </c>
      <c r="F27" s="138" t="n">
        <v>33.55107</v>
      </c>
      <c r="G27" s="136" t="n">
        <v>715.37</v>
      </c>
      <c r="H27" s="136" t="n">
        <v>1099.94</v>
      </c>
      <c r="I27" s="122" t="n">
        <v>0.83</v>
      </c>
    </row>
    <row r="28" customFormat="false" ht="15" hidden="false" customHeight="true" outlineLevel="0" collapsed="false">
      <c r="A28" s="115" t="s">
        <v>170</v>
      </c>
      <c r="B28" s="113" t="s">
        <v>336</v>
      </c>
      <c r="C28" s="136" t="n">
        <v>132.62</v>
      </c>
      <c r="D28" s="120" t="n">
        <v>2857085</v>
      </c>
      <c r="E28" s="137" t="n">
        <v>128918.757376</v>
      </c>
      <c r="F28" s="138" t="n">
        <v>29.536749</v>
      </c>
      <c r="G28" s="136" t="n">
        <v>111.03</v>
      </c>
      <c r="H28" s="136" t="n">
        <v>153.35</v>
      </c>
      <c r="I28" s="122" t="n">
        <v>3.23</v>
      </c>
    </row>
    <row r="29" customFormat="false" ht="15" hidden="false" customHeight="true" outlineLevel="0" collapsed="false">
      <c r="A29" s="115" t="s">
        <v>112</v>
      </c>
      <c r="B29" s="113" t="s">
        <v>113</v>
      </c>
      <c r="C29" s="136" t="n">
        <v>186.97</v>
      </c>
      <c r="D29" s="120" t="n">
        <v>12022739</v>
      </c>
      <c r="E29" s="137" t="n">
        <v>449299.841024</v>
      </c>
      <c r="F29" s="138" t="n">
        <v>158.44916</v>
      </c>
      <c r="G29" s="136" t="n">
        <v>106.37</v>
      </c>
      <c r="H29" s="136" t="n">
        <v>207.52</v>
      </c>
      <c r="I29" s="122" t="n">
        <v>0.7</v>
      </c>
    </row>
    <row r="30" customFormat="false" ht="15" hidden="false" customHeight="true" outlineLevel="0" collapsed="false">
      <c r="A30" s="115" t="s">
        <v>132</v>
      </c>
      <c r="B30" s="113" t="s">
        <v>133</v>
      </c>
      <c r="C30" s="136" t="n">
        <v>32.85</v>
      </c>
      <c r="D30" s="120" t="n">
        <v>24557259</v>
      </c>
      <c r="E30" s="137"/>
      <c r="F30" s="138" t="n">
        <v>18.129059</v>
      </c>
      <c r="G30" s="136" t="n">
        <v>26.32</v>
      </c>
      <c r="H30" s="136" t="n">
        <v>35.31</v>
      </c>
      <c r="I30" s="122" t="n">
        <v>3</v>
      </c>
    </row>
    <row r="31" customFormat="false" ht="15" hidden="false" customHeight="true" outlineLevel="0" collapsed="false">
      <c r="A31" s="115" t="s">
        <v>138</v>
      </c>
      <c r="B31" s="113" t="s">
        <v>139</v>
      </c>
      <c r="C31" s="136" t="n">
        <v>151.235</v>
      </c>
      <c r="D31" s="120" t="n">
        <v>1582352</v>
      </c>
      <c r="E31" s="137" t="n">
        <v>100824.6</v>
      </c>
      <c r="F31" s="138" t="n">
        <v>27.9245</v>
      </c>
      <c r="G31" s="136" t="n">
        <v>107.24</v>
      </c>
      <c r="H31" s="136" t="n">
        <v>162.3</v>
      </c>
      <c r="I31" s="122" t="n">
        <v>0.71</v>
      </c>
    </row>
    <row r="32" customFormat="false" ht="15" hidden="false" customHeight="true" outlineLevel="0" collapsed="false">
      <c r="A32" s="115" t="s">
        <v>114</v>
      </c>
      <c r="B32" s="113" t="s">
        <v>347</v>
      </c>
      <c r="C32" s="136" t="n">
        <v>457.005</v>
      </c>
      <c r="D32" s="120" t="n">
        <v>8345842</v>
      </c>
      <c r="E32" s="137" t="n">
        <v>2370244.44416</v>
      </c>
      <c r="F32" s="138" t="n">
        <v>33.97807</v>
      </c>
      <c r="G32" s="136" t="n">
        <v>266.82</v>
      </c>
      <c r="H32" s="136" t="n">
        <v>479</v>
      </c>
      <c r="I32" s="122" t="n">
        <v>0.9</v>
      </c>
    </row>
    <row r="33" customFormat="false" ht="15" hidden="false" customHeight="true" outlineLevel="0" collapsed="false">
      <c r="A33" s="115" t="s">
        <v>118</v>
      </c>
      <c r="B33" s="113" t="s">
        <v>119</v>
      </c>
      <c r="C33" s="136" t="n">
        <v>366.03</v>
      </c>
      <c r="D33" s="120" t="n">
        <v>3385491</v>
      </c>
      <c r="E33" s="137" t="n">
        <v>687168.356352</v>
      </c>
      <c r="F33" s="138" t="n">
        <v>31.098555</v>
      </c>
      <c r="G33" s="136" t="n">
        <v>293.89</v>
      </c>
      <c r="H33" s="136" t="n">
        <v>385.57</v>
      </c>
      <c r="I33" s="122" t="n">
        <v>0.73</v>
      </c>
    </row>
    <row r="34" customFormat="false" ht="15" hidden="false" customHeight="true" outlineLevel="0" collapsed="false">
      <c r="A34" s="115" t="s">
        <v>129</v>
      </c>
      <c r="B34" s="113" t="s">
        <v>130</v>
      </c>
      <c r="C34" s="136" t="n">
        <v>51.01</v>
      </c>
      <c r="D34" s="120" t="n">
        <v>2136556</v>
      </c>
      <c r="E34" s="137"/>
      <c r="F34" s="138" t="n">
        <v>16.20076</v>
      </c>
      <c r="G34" s="136" t="n">
        <v>36.56</v>
      </c>
      <c r="H34" s="136" t="n">
        <v>56.44</v>
      </c>
      <c r="I34" s="122" t="n">
        <v>1.01</v>
      </c>
    </row>
    <row r="35" customFormat="false" ht="15" hidden="false" customHeight="true" outlineLevel="0" collapsed="false">
      <c r="A35" s="115" t="s">
        <v>116</v>
      </c>
      <c r="B35" s="113" t="s">
        <v>117</v>
      </c>
      <c r="C35" s="136" t="n">
        <v>248.43</v>
      </c>
      <c r="D35" s="120" t="n">
        <v>2871756</v>
      </c>
      <c r="E35" s="137" t="n">
        <v>95642.607616</v>
      </c>
      <c r="F35" s="138" t="n">
        <v>56.079006</v>
      </c>
      <c r="G35" s="136" t="n">
        <v>144</v>
      </c>
      <c r="H35" s="136" t="n">
        <v>379.935</v>
      </c>
      <c r="I35" s="122" t="n">
        <v>0.1</v>
      </c>
    </row>
    <row r="36" customFormat="false" ht="15" hidden="false" customHeight="true" outlineLevel="0" collapsed="false">
      <c r="A36" s="115" t="s">
        <v>167</v>
      </c>
      <c r="B36" s="113" t="s">
        <v>168</v>
      </c>
      <c r="C36" s="136" t="n">
        <v>526.73</v>
      </c>
      <c r="D36" s="120" t="n">
        <v>630441</v>
      </c>
      <c r="E36" s="137" t="n">
        <v>133505.466368</v>
      </c>
      <c r="F36" s="138" t="n">
        <v>30.71312</v>
      </c>
      <c r="G36" s="136" t="n">
        <v>385.86</v>
      </c>
      <c r="H36" s="136" t="n">
        <v>560.25</v>
      </c>
      <c r="I36" s="122"/>
    </row>
    <row r="37" customFormat="false" ht="15" hidden="false" customHeight="true" outlineLevel="0" collapsed="false">
      <c r="A37" s="115" t="s">
        <v>134</v>
      </c>
      <c r="B37" s="113" t="s">
        <v>135</v>
      </c>
      <c r="C37" s="136" t="n">
        <v>156.45</v>
      </c>
      <c r="D37" s="120" t="n">
        <v>975438</v>
      </c>
      <c r="E37" s="137"/>
      <c r="F37" s="138" t="n">
        <v>19.652536</v>
      </c>
      <c r="G37" s="136" t="n">
        <v>137.42</v>
      </c>
      <c r="H37" s="136" t="n">
        <v>167.61</v>
      </c>
      <c r="I37" s="122" t="n">
        <v>2.22</v>
      </c>
    </row>
    <row r="38" customFormat="false" ht="15" hidden="false" customHeight="true" outlineLevel="0" collapsed="false">
      <c r="A38" s="115" t="s">
        <v>272</v>
      </c>
      <c r="B38" s="113" t="s">
        <v>383</v>
      </c>
      <c r="C38" s="136" t="n">
        <v>149.51</v>
      </c>
      <c r="D38" s="120" t="n">
        <v>1616462</v>
      </c>
      <c r="E38" s="137" t="n">
        <v>40801.4</v>
      </c>
      <c r="F38" s="138" t="n">
        <v>18.829973</v>
      </c>
      <c r="G38" s="136" t="n">
        <v>137.33</v>
      </c>
      <c r="H38" s="136" t="n">
        <v>170.14</v>
      </c>
      <c r="I38" s="122" t="n">
        <v>1.99</v>
      </c>
    </row>
  </sheetData>
  <autoFilter ref="A2:I44"/>
  <mergeCells count="1">
    <mergeCell ref="A1:I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1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V7" activeCellId="0" sqref="V7"/>
    </sheetView>
  </sheetViews>
  <sheetFormatPr defaultColWidth="8.66796875" defaultRowHeight="14.25" customHeight="false" zeroHeight="false" outlineLevelRow="0" outlineLevelCol="0"/>
  <cols>
    <col collapsed="false" customWidth="true" hidden="false" outlineLevel="0" max="1" min="1" style="1" width="10.78"/>
    <col collapsed="false" customWidth="true" hidden="false" outlineLevel="0" max="21" min="2" style="1" width="5.66"/>
    <col collapsed="false" customWidth="true" hidden="false" outlineLevel="0" max="22" min="22" style="1" width="4.11"/>
    <col collapsed="false" customWidth="true" hidden="false" outlineLevel="0" max="40" min="23" style="1" width="10.11"/>
  </cols>
  <sheetData>
    <row r="1" customFormat="false" ht="27" hidden="false" customHeight="true" outlineLevel="0" collapsed="false">
      <c r="A1" s="139" t="s">
        <v>432</v>
      </c>
      <c r="B1" s="139"/>
      <c r="C1" s="139"/>
      <c r="D1" s="139"/>
      <c r="E1" s="139"/>
      <c r="F1" s="139"/>
      <c r="G1" s="139"/>
      <c r="H1" s="139"/>
      <c r="I1" s="139"/>
      <c r="J1" s="139"/>
      <c r="K1" s="139"/>
      <c r="L1" s="139"/>
      <c r="M1" s="139"/>
      <c r="N1" s="139"/>
      <c r="O1" s="139"/>
      <c r="P1" s="139"/>
      <c r="Q1" s="139"/>
      <c r="R1" s="139"/>
      <c r="S1" s="139"/>
      <c r="T1" s="139"/>
      <c r="U1" s="139"/>
    </row>
    <row r="2" customFormat="false" ht="15" hidden="false" customHeight="true" outlineLevel="0" collapsed="false">
      <c r="A2" s="111" t="s">
        <v>277</v>
      </c>
      <c r="B2" s="111" t="str">
        <f aca="false">'Price History'!B2</f>
        <v>ADBE</v>
      </c>
      <c r="C2" s="111" t="str">
        <f aca="false">'Price History'!C2</f>
        <v>ANET</v>
      </c>
      <c r="D2" s="111" t="str">
        <f aca="false">'Price History'!D2</f>
        <v>ASML</v>
      </c>
      <c r="E2" s="111" t="str">
        <f aca="false">'Price History'!E2</f>
        <v>AVGO</v>
      </c>
      <c r="F2" s="111" t="str">
        <f aca="false">'Price History'!F2</f>
        <v>AVUV</v>
      </c>
      <c r="G2" s="111" t="str">
        <f aca="false">'Price History'!G2</f>
        <v>CRWD</v>
      </c>
      <c r="H2" s="111" t="str">
        <f aca="false">'Price History'!H2</f>
        <v>DVY</v>
      </c>
      <c r="I2" s="111" t="str">
        <f aca="false">'Price History'!I2</f>
        <v>KLAC</v>
      </c>
      <c r="J2" s="111" t="str">
        <f aca="false">'Price History'!J2</f>
        <v>MU</v>
      </c>
      <c r="K2" s="111" t="str">
        <f aca="false">'Price History'!K2</f>
        <v>NVDA</v>
      </c>
      <c r="L2" s="111" t="str">
        <f aca="false">'Price History'!L2</f>
        <v>PLD</v>
      </c>
      <c r="M2" s="111" t="str">
        <f aca="false">'Price History'!M2</f>
        <v>PLTR</v>
      </c>
      <c r="N2" s="111" t="str">
        <f aca="false">'Price History'!N2</f>
        <v>SCHD</v>
      </c>
      <c r="O2" s="111" t="str">
        <f aca="false">'Price History'!O2</f>
        <v>SPMO</v>
      </c>
      <c r="P2" s="111" t="str">
        <f aca="false">'Price History'!P2</f>
        <v>TSM</v>
      </c>
      <c r="Q2" s="111" t="str">
        <f aca="false">'Price History'!Q2</f>
        <v>V</v>
      </c>
      <c r="R2" s="111" t="str">
        <f aca="false">'Price History'!R2</f>
        <v>JEPQ</v>
      </c>
      <c r="S2" s="111" t="str">
        <f aca="false">'Price History'!S2</f>
        <v>SPMO</v>
      </c>
      <c r="T2" s="111" t="str">
        <f aca="false">'Price History'!T2</f>
        <v>VFLO</v>
      </c>
      <c r="U2" s="111" t="n">
        <f aca="false">'Price History'!U2</f>
        <v>0</v>
      </c>
      <c r="V2" s="140" t="str">
        <f aca="false">'Price History'!V2</f>
        <v>V</v>
      </c>
      <c r="W2" s="141" t="s">
        <v>433</v>
      </c>
      <c r="X2" s="141" t="s">
        <v>434</v>
      </c>
      <c r="Y2" s="141" t="s">
        <v>435</v>
      </c>
      <c r="Z2" s="141" t="s">
        <v>436</v>
      </c>
      <c r="AA2" s="141" t="s">
        <v>437</v>
      </c>
      <c r="AB2" s="141" t="s">
        <v>438</v>
      </c>
      <c r="AC2" s="141" t="s">
        <v>439</v>
      </c>
      <c r="AD2" s="141" t="s">
        <v>440</v>
      </c>
      <c r="AE2" s="141" t="s">
        <v>441</v>
      </c>
      <c r="AF2" s="141" t="s">
        <v>442</v>
      </c>
      <c r="AG2" s="141" t="s">
        <v>443</v>
      </c>
      <c r="AH2" s="141" t="s">
        <v>444</v>
      </c>
      <c r="AI2" s="141" t="s">
        <v>445</v>
      </c>
      <c r="AJ2" s="141" t="s">
        <v>446</v>
      </c>
      <c r="AK2" s="141" t="s">
        <v>447</v>
      </c>
      <c r="AL2" s="141" t="s">
        <v>448</v>
      </c>
      <c r="AM2" s="141" t="s">
        <v>449</v>
      </c>
      <c r="AN2" s="141" t="s">
        <v>450</v>
      </c>
      <c r="AO2" s="140" t="s">
        <v>451</v>
      </c>
    </row>
    <row r="3" customFormat="false" ht="15" hidden="false" customHeight="true" outlineLevel="0" collapsed="false">
      <c r="A3" s="142" t="n">
        <f aca="false">IF('Price History'!A4="","",'Price History'!A4)</f>
        <v>45191</v>
      </c>
      <c r="B3" s="143" t="n">
        <f aca="false">IFERROR(IF(OR(NOT(ISNUMBER('Price History'!B4)),NOT(ISNUMBER('Price History'!B3)),'Price History'!B3=0),"",'Price History'!B4/'Price History'!B3-1),"")</f>
        <v>-0.0302331297623325</v>
      </c>
      <c r="C3" s="143" t="n">
        <f aca="false">IFERROR(IF(OR(NOT(ISNUMBER('Price History'!C4)),NOT(ISNUMBER('Price History'!C3)),'Price History'!C3=0),"",'Price History'!C4/'Price History'!C3-1),"")</f>
        <v>-0.0238198354265916</v>
      </c>
      <c r="D3" s="143" t="n">
        <f aca="false">IFERROR(IF(OR(NOT(ISNUMBER('Price History'!D4)),NOT(ISNUMBER('Price History'!D3)),'Price History'!D3=0),"",'Price History'!D4/'Price History'!D3-1),"")</f>
        <v>-0.016013470558925</v>
      </c>
      <c r="E3" s="143" t="n">
        <f aca="false">IFERROR(IF(OR(NOT(ISNUMBER('Price History'!E4)),NOT(ISNUMBER('Price History'!E3)),'Price History'!E3=0),"",'Price History'!E4/'Price History'!E3-1),"")</f>
        <v>-0.0212195121951219</v>
      </c>
      <c r="F3" s="143" t="n">
        <f aca="false">IFERROR(IF(OR(NOT(ISNUMBER('Price History'!F4)),NOT(ISNUMBER('Price History'!F3)),'Price History'!F3=0),"",'Price History'!F4/'Price History'!F3-1),"")</f>
        <v>-0.0292125879697251</v>
      </c>
      <c r="G3" s="143" t="n">
        <f aca="false">IFERROR(IF(OR(NOT(ISNUMBER('Price History'!G4)),NOT(ISNUMBER('Price History'!G3)),'Price History'!G3=0),"",'Price History'!G4/'Price History'!G3-1),"")</f>
        <v>-0.0174081237911025</v>
      </c>
      <c r="H3" s="143" t="n">
        <f aca="false">IFERROR(IF(OR(NOT(ISNUMBER('Price History'!H4)),NOT(ISNUMBER('Price History'!H3)),'Price History'!H3=0),"",'Price History'!H4/'Price History'!H3-1),"")</f>
        <v>-0.021373894025251</v>
      </c>
      <c r="I3" s="143" t="n">
        <f aca="false">IFERROR(IF(OR(NOT(ISNUMBER('Price History'!I4)),NOT(ISNUMBER('Price History'!I3)),'Price History'!I3=0),"",'Price History'!I4/'Price History'!I3-1),"")</f>
        <v>-0.00518602029312298</v>
      </c>
      <c r="J3" s="143" t="n">
        <f aca="false">IFERROR(IF(OR(NOT(ISNUMBER('Price History'!J4)),NOT(ISNUMBER('Price History'!J3)),'Price History'!J3=0),"",'Price History'!J4/'Price History'!J3-1),"")</f>
        <v>-0.0143249891477354</v>
      </c>
      <c r="K3" s="143" t="n">
        <f aca="false">IFERROR(IF(OR(NOT(ISNUMBER('Price History'!K4)),NOT(ISNUMBER('Price History'!K3)),'Price History'!K3=0),"",'Price History'!K4/'Price History'!K3-1),"")</f>
        <v>-0.0520904729266621</v>
      </c>
      <c r="L3" s="143" t="n">
        <f aca="false">IFERROR(IF(OR(NOT(ISNUMBER('Price History'!L4)),NOT(ISNUMBER('Price History'!L3)),'Price History'!L3=0),"",'Price History'!L4/'Price History'!L3-1),"")</f>
        <v>-0.073944921316166</v>
      </c>
      <c r="M3" s="143" t="n">
        <f aca="false">IFERROR(IF(OR(NOT(ISNUMBER('Price History'!M4)),NOT(ISNUMBER('Price History'!M3)),'Price History'!M3=0),"",'Price History'!M4/'Price History'!M3-1),"")</f>
        <v>-0.0782778864970646</v>
      </c>
      <c r="N3" s="143" t="n">
        <f aca="false">IFERROR(IF(OR(NOT(ISNUMBER('Price History'!N4)),NOT(ISNUMBER('Price History'!N3)),'Price History'!N3=0),"",'Price History'!N4/'Price History'!N3-1),"")</f>
        <v>-0.0229357798165137</v>
      </c>
      <c r="O3" s="143" t="n">
        <f aca="false">IFERROR(IF(OR(NOT(ISNUMBER('Price History'!O4)),NOT(ISNUMBER('Price History'!O3)),'Price History'!O3=0),"",'Price History'!O4/'Price History'!O3-1),"")</f>
        <v>-0.0242929030019088</v>
      </c>
      <c r="P3" s="143" t="n">
        <f aca="false">IFERROR(IF(OR(NOT(ISNUMBER('Price History'!P4)),NOT(ISNUMBER('Price History'!P3)),'Price History'!P3=0),"",'Price History'!P4/'Price History'!P3-1),"")</f>
        <v>-0.040466472303207</v>
      </c>
      <c r="Q3" s="143" t="n">
        <f aca="false">IFERROR(IF(OR(NOT(ISNUMBER('Price History'!Q4)),NOT(ISNUMBER('Price History'!Q3)),'Price History'!Q3=0),"",'Price History'!Q4/'Price History'!Q3-1),"")</f>
        <v>-0.0248270593727454</v>
      </c>
      <c r="R3" s="143" t="n">
        <f aca="false">IFERROR(IF(OR(NOT(ISNUMBER('Price History'!R4)),NOT(ISNUMBER('Price History'!R3)),'Price History'!R3=0),"",'Price History'!R4/'Price History'!R3-1),"")</f>
        <v>-0.0186114596403179</v>
      </c>
      <c r="S3" s="143" t="n">
        <f aca="false">IFERROR(IF(OR(NOT(ISNUMBER('Price History'!S4)),NOT(ISNUMBER('Price History'!S3)),'Price History'!S3=0),"",'Price History'!S4/'Price History'!S3-1),"")</f>
        <v>-0.00837034506320467</v>
      </c>
      <c r="T3" s="143" t="n">
        <f aca="false">IFERROR(IF(OR(NOT(ISNUMBER('Price History'!T4)),NOT(ISNUMBER('Price History'!T3)),'Price History'!T3=0),"",'Price History'!T4/'Price History'!T3-1),"")</f>
        <v>-0.0267558528428093</v>
      </c>
      <c r="U3" s="143" t="str">
        <f aca="false">IFERROR(IF(OR(NOT(ISNUMBER('Price History'!U4)),NOT(ISNUMBER('Price History'!U3)),'Price History'!U3=0),"",'Price History'!U4/'Price History'!U3-1),"")</f>
        <v/>
      </c>
      <c r="V3" s="144" t="str">
        <f aca="false">IFERROR(IF(OR(NOT(ISNUMBER('Price History'!V4)),NOT(ISNUMBER('Price History'!V3)),'Price History'!V3=0),"",'Price History'!V4/'Price History'!V3-1),"")</f>
        <v/>
      </c>
      <c r="W3" s="145" t="str">
        <f aca="false">IFERROR('Price History'!B3+(INDEX('Price History'!B:B,MATCH(9.99E+307,'Price History'!$A:$A))-'Price History'!B3)*(ROW()-3)/(MATCH(9.99E+307,'Returns (Calc)'!$A:$A)-3),"")</f>
        <v/>
      </c>
      <c r="X3" s="145" t="n">
        <f aca="false">IFERROR('Price History'!C3+(INDEX('Price History'!C:C,MATCH(9.99E+307,'Price History'!$A:$A))-'Price History'!C3)*(ROW()-3)/(MATCH(9.99E+307,'Returns (Calc)'!$A:$A)-3),"")</f>
        <v>46.18</v>
      </c>
      <c r="Y3" s="145" t="n">
        <f aca="false">IFERROR('Price History'!D3+(INDEX('Price History'!D:D,MATCH(9.99E+307,'Price History'!$A:$A))-'Price History'!D3)*(ROW()-3)/(MATCH(9.99E+307,'Returns (Calc)'!$A:$A)-3),"")</f>
        <v>582.01</v>
      </c>
      <c r="Z3" s="145" t="n">
        <f aca="false">IFERROR('Price History'!E3+(INDEX('Price History'!E:E,MATCH(9.99E+307,'Price History'!$A:$A))-'Price History'!E3)*(ROW()-3)/(MATCH(9.99E+307,'Returns (Calc)'!$A:$A)-3),"")</f>
        <v>82</v>
      </c>
      <c r="AA3" s="145" t="n">
        <f aca="false">IFERROR('Price History'!F3+(INDEX('Price History'!F:F,MATCH(9.99E+307,'Price History'!$A:$A))-'Price History'!F3)*(ROW()-3)/(MATCH(9.99E+307,'Returns (Calc)'!$A:$A)-3),"")</f>
        <v>75.31</v>
      </c>
      <c r="AB3" s="145" t="n">
        <f aca="false">IFERROR('Price History'!G3+(INDEX('Price History'!G:G,MATCH(9.99E+307,'Price History'!$A:$A))-'Price History'!G3)*(ROW()-3)/(MATCH(9.99E+307,'Returns (Calc)'!$A:$A)-3),"")</f>
        <v>41.36</v>
      </c>
      <c r="AC3" s="145" t="n">
        <f aca="false">IFERROR('Price History'!H3+(INDEX('Price History'!H:H,MATCH(9.99E+307,'Price History'!$A:$A))-'Price History'!H3)*(ROW()-3)/(MATCH(9.99E+307,'Returns (Calc)'!$A:$A)-3),"")</f>
        <v>100.59</v>
      </c>
      <c r="AD3" s="145" t="n">
        <f aca="false">IFERROR('Price History'!I3+(INDEX('Price History'!I:I,MATCH(9.99E+307,'Price History'!$A:$A))-'Price History'!I3)*(ROW()-3)/(MATCH(9.99E+307,'Returns (Calc)'!$A:$A)-3),"")</f>
        <v>44.35</v>
      </c>
      <c r="AE3" s="145" t="n">
        <f aca="false">IFERROR('Price History'!J3+(INDEX('Price History'!J:J,MATCH(9.99E+307,'Price History'!$A:$A))-'Price History'!J3)*(ROW()-3)/(MATCH(9.99E+307,'Returns (Calc)'!$A:$A)-3),"")</f>
        <v>69.11</v>
      </c>
      <c r="AF3" s="145" t="n">
        <f aca="false">IFERROR('Price History'!K3+(INDEX('Price History'!K:K,MATCH(9.99E+307,'Price History'!$A:$A))-'Price History'!K3)*(ROW()-3)/(MATCH(9.99E+307,'Returns (Calc)'!$A:$A)-3),"")</f>
        <v>43.77</v>
      </c>
      <c r="AG3" s="145" t="n">
        <f aca="false">IFERROR('Price History'!L3+(INDEX('Price History'!L:L,MATCH(9.99E+307,'Price History'!$A:$A))-'Price History'!L3)*(ROW()-3)/(MATCH(9.99E+307,'Returns (Calc)'!$A:$A)-3),"")</f>
        <v>111.84</v>
      </c>
      <c r="AH3" s="145" t="n">
        <f aca="false">IFERROR('Price History'!M3+(INDEX('Price History'!M:M,MATCH(9.99E+307,'Price History'!$A:$A))-'Price History'!M3)*(ROW()-3)/(MATCH(9.99E+307,'Returns (Calc)'!$A:$A)-3),"")</f>
        <v>15.33</v>
      </c>
      <c r="AI3" s="145" t="n">
        <f aca="false">IFERROR('Price History'!N3+(INDEX('Price History'!N:N,MATCH(9.99E+307,'Price History'!$A:$A))-'Price History'!N3)*(ROW()-3)/(MATCH(9.99E+307,'Returns (Calc)'!$A:$A)-3),"")</f>
        <v>21.8</v>
      </c>
      <c r="AJ3" s="145" t="n">
        <f aca="false">IFERROR('Price History'!O3+(INDEX('Price History'!O:O,MATCH(9.99E+307,'Price History'!$A:$A))-'Price History'!O3)*(ROW()-3)/(MATCH(9.99E+307,'Returns (Calc)'!$A:$A)-3),"")</f>
        <v>57.63</v>
      </c>
      <c r="AK3" s="145" t="n">
        <f aca="false">IFERROR('Price History'!Q3+(INDEX('Price History'!Q:Q,MATCH(9.99E+307,'Price History'!$A:$A))-'Price History'!Q3)*(ROW()-3)/(MATCH(9.99E+307,'Returns (Calc)'!$A:$A)-3),"")</f>
        <v>235.63</v>
      </c>
      <c r="AL3" s="145" t="n">
        <f aca="false">IFERROR('Price History'!R3+(INDEX('Price History'!R:R,MATCH(9.99E+307,'Price History'!$A:$A))-'Price History'!R3)*(ROW()-3)/(MATCH(9.99E+307,'Returns (Calc)'!$A:$A)-3),"")</f>
        <v>47.82</v>
      </c>
      <c r="AM3" s="145" t="n">
        <f aca="false">IFERROR('Price History'!S3+(INDEX('Price History'!S:S,MATCH(9.99E+307,'Price History'!$A:$A))-'Price History'!S3)*(ROW()-3)/(MATCH(9.99E+307,'Returns (Calc)'!$A:$A)-3),"")</f>
        <v>58.54</v>
      </c>
      <c r="AN3" s="145" t="n">
        <f aca="false">IFERROR('Price History'!T3+(INDEX('Price History'!T:T,MATCH(9.99E+307,'Price History'!$A:$A))-'Price History'!T3)*(ROW()-3)/(MATCH(9.99E+307,'Returns (Calc)'!$A:$A)-3),"")</f>
        <v>26.91</v>
      </c>
      <c r="AO3" s="146" t="n">
        <f aca="false">IFERROR('Price History'!V3+(INDEX('Price History'!V:V,MATCH(9.99E+307,'Price History'!$A:$A))-'Price History'!V3)*(ROW()-3)/(MATCH(9.99E+307,'Returns (Calc)'!$A:$A)-3),"")</f>
        <v>0</v>
      </c>
    </row>
    <row r="4" customFormat="false" ht="15" hidden="false" customHeight="true" outlineLevel="0" collapsed="false">
      <c r="A4" s="142" t="n">
        <f aca="false">IF('Price History'!A5="","",'Price History'!A5)</f>
        <v>45198</v>
      </c>
      <c r="B4" s="143" t="n">
        <f aca="false">IFERROR(IF(OR(NOT(ISNUMBER('Price History'!B5)),NOT(ISNUMBER('Price History'!B4)),'Price History'!B4=0),"",'Price History'!B5/'Price History'!B4-1),"")</f>
        <v>-0.00584909339052442</v>
      </c>
      <c r="C4" s="143" t="n">
        <f aca="false">IFERROR(IF(OR(NOT(ISNUMBER('Price History'!C5)),NOT(ISNUMBER('Price History'!C4)),'Price History'!C4=0),"",'Price History'!C5/'Price History'!C4-1),"")</f>
        <v>0.0199645075421473</v>
      </c>
      <c r="D4" s="143" t="n">
        <f aca="false">IFERROR(IF(OR(NOT(ISNUMBER('Price History'!D5)),NOT(ISNUMBER('Price History'!D4)),'Price History'!D4=0),"",'Price History'!D5/'Price History'!D4-1),"")</f>
        <v>0.00265414098377836</v>
      </c>
      <c r="E4" s="143" t="n">
        <f aca="false">IFERROR(IF(OR(NOT(ISNUMBER('Price History'!E5)),NOT(ISNUMBER('Price History'!E4)),'Price History'!E4=0),"",'Price History'!E5/'Price History'!E4-1),"")</f>
        <v>0.00186892599053068</v>
      </c>
      <c r="F4" s="143" t="n">
        <f aca="false">IFERROR(IF(OR(NOT(ISNUMBER('Price History'!F5)),NOT(ISNUMBER('Price History'!F4)),'Price History'!F4=0),"",'Price History'!F5/'Price History'!F4-1),"")</f>
        <v>0.0164136233073451</v>
      </c>
      <c r="G4" s="143" t="n">
        <f aca="false">IFERROR(IF(OR(NOT(ISNUMBER('Price History'!G5)),NOT(ISNUMBER('Price History'!G4)),'Price History'!G4=0),"",'Price History'!G5/'Price History'!G4-1),"")</f>
        <v>0.0297736220472442</v>
      </c>
      <c r="H4" s="143" t="n">
        <f aca="false">IFERROR(IF(OR(NOT(ISNUMBER('Price History'!H5)),NOT(ISNUMBER('Price History'!H4)),'Price History'!H4=0),"",'Price History'!H5/'Price History'!H4-1),"")</f>
        <v>-0.0187931735067045</v>
      </c>
      <c r="I4" s="143" t="n">
        <f aca="false">IFERROR(IF(OR(NOT(ISNUMBER('Price History'!I5)),NOT(ISNUMBER('Price History'!I4)),'Price History'!I4=0),"",'Price History'!I5/'Price History'!I4-1),"")</f>
        <v>0.0151858567543064</v>
      </c>
      <c r="J4" s="143" t="n">
        <f aca="false">IFERROR(IF(OR(NOT(ISNUMBER('Price History'!J5)),NOT(ISNUMBER('Price History'!J4)),'Price History'!J4=0),"",'Price History'!J5/'Price History'!J4-1),"")</f>
        <v>-0.0123311802701116</v>
      </c>
      <c r="K4" s="143" t="n">
        <f aca="false">IFERROR(IF(OR(NOT(ISNUMBER('Price History'!K5)),NOT(ISNUMBER('Price History'!K4)),'Price History'!K4=0),"",'Price History'!K5/'Price History'!K4-1),"")</f>
        <v>0.0453121234032297</v>
      </c>
      <c r="L4" s="143" t="n">
        <f aca="false">IFERROR(IF(OR(NOT(ISNUMBER('Price History'!L5)),NOT(ISNUMBER('Price History'!L4)),'Price History'!L4=0),"",'Price History'!L5/'Price History'!L4-1),"")</f>
        <v>-0.0163174664478131</v>
      </c>
      <c r="M4" s="143" t="n">
        <f aca="false">IFERROR(IF(OR(NOT(ISNUMBER('Price History'!M5)),NOT(ISNUMBER('Price History'!M4)),'Price History'!M4=0),"",'Price History'!M5/'Price History'!M4-1),"")</f>
        <v>0.132342533616419</v>
      </c>
      <c r="N4" s="143" t="n">
        <f aca="false">IFERROR(IF(OR(NOT(ISNUMBER('Price History'!N5)),NOT(ISNUMBER('Price History'!N4)),'Price History'!N4=0),"",'Price History'!N5/'Price History'!N4-1),"")</f>
        <v>-0.00751173708920183</v>
      </c>
      <c r="O4" s="143" t="n">
        <f aca="false">IFERROR(IF(OR(NOT(ISNUMBER('Price History'!O5)),NOT(ISNUMBER('Price History'!O4)),'Price History'!O4=0),"",'Price History'!O5/'Price History'!O4-1),"")</f>
        <v>-0.00302329717232785</v>
      </c>
      <c r="P4" s="143" t="n">
        <f aca="false">IFERROR(IF(OR(NOT(ISNUMBER('Price History'!P5)),NOT(ISNUMBER('Price History'!P4)),'Price History'!P4=0),"",'Price History'!P5/'Price History'!P4-1),"")</f>
        <v>0.0147058823529411</v>
      </c>
      <c r="Q4" s="143" t="n">
        <f aca="false">IFERROR(IF(OR(NOT(ISNUMBER('Price History'!Q5)),NOT(ISNUMBER('Price History'!Q4)),'Price History'!Q4=0),"",'Price History'!Q5/'Price History'!Q4-1),"")</f>
        <v>-0.0215858647401863</v>
      </c>
      <c r="R4" s="143" t="n">
        <f aca="false">IFERROR(IF(OR(NOT(ISNUMBER('Price History'!R5)),NOT(ISNUMBER('Price History'!R4)),'Price History'!R4=0),"",'Price History'!R5/'Price History'!R4-1),"")</f>
        <v>0.0159812486682294</v>
      </c>
      <c r="S4" s="143" t="n">
        <f aca="false">IFERROR(IF(OR(NOT(ISNUMBER('Price History'!S5)),NOT(ISNUMBER('Price History'!S4)),'Price History'!S4=0),"",'Price History'!S5/'Price History'!S4-1),"")</f>
        <v>-0.00275624461670965</v>
      </c>
      <c r="T4" s="143" t="n">
        <f aca="false">IFERROR(IF(OR(NOT(ISNUMBER('Price History'!T5)),NOT(ISNUMBER('Price History'!T4)),'Price History'!T4=0),"",'Price History'!T5/'Price History'!T4-1),"")</f>
        <v>-0.00801832760595655</v>
      </c>
      <c r="U4" s="143" t="str">
        <f aca="false">IFERROR(IF(OR(NOT(ISNUMBER('Price History'!U5)),NOT(ISNUMBER('Price History'!U4)),'Price History'!U4=0),"",'Price History'!U5/'Price History'!U4-1),"")</f>
        <v/>
      </c>
      <c r="V4" s="144" t="str">
        <f aca="false">IFERROR(IF(OR(NOT(ISNUMBER('Price History'!V5)),NOT(ISNUMBER('Price History'!V4)),'Price History'!V4=0),"",'Price History'!V5/'Price History'!V4-1),"")</f>
        <v/>
      </c>
      <c r="W4" s="145" t="str">
        <f aca="false">IFERROR('Price History'!B3+(INDEX('Price History'!B:B,MATCH(9.99E+307,'Price History'!$A:$A))-'Price History'!B3)*(ROW()-3)/(MATCH(9.99E+307,'Returns (Calc)'!$A:$A)-3),"")</f>
        <v/>
      </c>
      <c r="X4" s="145" t="n">
        <f aca="false">IFERROR('Price History'!C3+(INDEX('Price History'!C:C,MATCH(9.99E+307,'Price History'!$A:$A))-'Price History'!C3)*(ROW()-3)/(MATCH(9.99E+307,'Returns (Calc)'!$A:$A)-3),"")</f>
        <v>45.8895597484277</v>
      </c>
      <c r="Y4" s="145" t="n">
        <f aca="false">IFERROR('Price History'!D3+(INDEX('Price History'!D:D,MATCH(9.99E+307,'Price History'!$A:$A))-'Price History'!D3)*(ROW()-3)/(MATCH(9.99E+307,'Returns (Calc)'!$A:$A)-3),"")</f>
        <v>578.349559748428</v>
      </c>
      <c r="Z4" s="145" t="n">
        <f aca="false">IFERROR('Price History'!E3+(INDEX('Price History'!E:E,MATCH(9.99E+307,'Price History'!$A:$A))-'Price History'!E3)*(ROW()-3)/(MATCH(9.99E+307,'Returns (Calc)'!$A:$A)-3),"")</f>
        <v>81.4842767295598</v>
      </c>
      <c r="AA4" s="145" t="n">
        <f aca="false">IFERROR('Price History'!F3+(INDEX('Price History'!F:F,MATCH(9.99E+307,'Price History'!$A:$A))-'Price History'!F3)*(ROW()-3)/(MATCH(9.99E+307,'Returns (Calc)'!$A:$A)-3),"")</f>
        <v>74.8363522012579</v>
      </c>
      <c r="AB4" s="145" t="n">
        <f aca="false">IFERROR('Price History'!G3+(INDEX('Price History'!G:G,MATCH(9.99E+307,'Price History'!$A:$A))-'Price History'!G3)*(ROW()-3)/(MATCH(9.99E+307,'Returns (Calc)'!$A:$A)-3),"")</f>
        <v>41.0998742138365</v>
      </c>
      <c r="AC4" s="145" t="n">
        <f aca="false">IFERROR('Price History'!H3+(INDEX('Price History'!H:H,MATCH(9.99E+307,'Price History'!$A:$A))-'Price History'!H3)*(ROW()-3)/(MATCH(9.99E+307,'Returns (Calc)'!$A:$A)-3),"")</f>
        <v>99.957358490566</v>
      </c>
      <c r="AD4" s="145" t="n">
        <f aca="false">IFERROR('Price History'!I3+(INDEX('Price History'!I:I,MATCH(9.99E+307,'Price History'!$A:$A))-'Price History'!I3)*(ROW()-3)/(MATCH(9.99E+307,'Returns (Calc)'!$A:$A)-3),"")</f>
        <v>44.0710691823899</v>
      </c>
      <c r="AE4" s="145" t="n">
        <f aca="false">IFERROR('Price History'!J3+(INDEX('Price History'!J:J,MATCH(9.99E+307,'Price History'!$A:$A))-'Price History'!J3)*(ROW()-3)/(MATCH(9.99E+307,'Returns (Calc)'!$A:$A)-3),"")</f>
        <v>68.6753459119497</v>
      </c>
      <c r="AF4" s="145" t="n">
        <f aca="false">IFERROR('Price History'!K3+(INDEX('Price History'!K:K,MATCH(9.99E+307,'Price History'!$A:$A))-'Price History'!K3)*(ROW()-3)/(MATCH(9.99E+307,'Returns (Calc)'!$A:$A)-3),"")</f>
        <v>43.4947169811321</v>
      </c>
      <c r="AG4" s="145" t="n">
        <f aca="false">IFERROR('Price History'!L3+(INDEX('Price History'!L:L,MATCH(9.99E+307,'Price History'!$A:$A))-'Price History'!L3)*(ROW()-3)/(MATCH(9.99E+307,'Returns (Calc)'!$A:$A)-3),"")</f>
        <v>111.136603773585</v>
      </c>
      <c r="AH4" s="145" t="n">
        <f aca="false">IFERROR('Price History'!M3+(INDEX('Price History'!M:M,MATCH(9.99E+307,'Price History'!$A:$A))-'Price History'!M3)*(ROW()-3)/(MATCH(9.99E+307,'Returns (Calc)'!$A:$A)-3),"")</f>
        <v>15.2335849056604</v>
      </c>
      <c r="AI4" s="145" t="n">
        <f aca="false">IFERROR('Price History'!N3+(INDEX('Price History'!N:N,MATCH(9.99E+307,'Price History'!$A:$A))-'Price History'!N3)*(ROW()-3)/(MATCH(9.99E+307,'Returns (Calc)'!$A:$A)-3),"")</f>
        <v>21.662893081761</v>
      </c>
      <c r="AJ4" s="145" t="n">
        <f aca="false">IFERROR('Price History'!O3+(INDEX('Price History'!O:O,MATCH(9.99E+307,'Price History'!$A:$A))-'Price History'!O3)*(ROW()-3)/(MATCH(9.99E+307,'Returns (Calc)'!$A:$A)-3),"")</f>
        <v>57.2675471698113</v>
      </c>
      <c r="AK4" s="145" t="n">
        <f aca="false">IFERROR('Price History'!Q3+(INDEX('Price History'!Q:Q,MATCH(9.99E+307,'Price History'!$A:$A))-'Price History'!Q3)*(ROW()-3)/(MATCH(9.99E+307,'Returns (Calc)'!$A:$A)-3),"")</f>
        <v>234.148050314465</v>
      </c>
      <c r="AL4" s="145" t="n">
        <f aca="false">IFERROR('Price History'!R3+(INDEX('Price History'!R:R,MATCH(9.99E+307,'Price History'!$A:$A))-'Price History'!R3)*(ROW()-3)/(MATCH(9.99E+307,'Returns (Calc)'!$A:$A)-3),"")</f>
        <v>47.5192452830189</v>
      </c>
      <c r="AM4" s="145" t="n">
        <f aca="false">IFERROR('Price History'!S3+(INDEX('Price History'!S:S,MATCH(9.99E+307,'Price History'!$A:$A))-'Price History'!S3)*(ROW()-3)/(MATCH(9.99E+307,'Returns (Calc)'!$A:$A)-3),"")</f>
        <v>58.1718238993711</v>
      </c>
      <c r="AN4" s="145" t="n">
        <f aca="false">IFERROR('Price History'!T3+(INDEX('Price History'!T:T,MATCH(9.99E+307,'Price History'!$A:$A))-'Price History'!T3)*(ROW()-3)/(MATCH(9.99E+307,'Returns (Calc)'!$A:$A)-3),"")</f>
        <v>26.7407547169811</v>
      </c>
      <c r="AO4" s="146" t="n">
        <f aca="false">IFERROR('Price History'!V3+(INDEX('Price History'!V:V,MATCH(9.99E+307,'Price History'!$A:$A))-'Price History'!V3)*(ROW()-3)/(MATCH(9.99E+307,'Returns (Calc)'!$A:$A)-3),"")</f>
        <v>0</v>
      </c>
    </row>
    <row r="5" customFormat="false" ht="15" hidden="false" customHeight="true" outlineLevel="0" collapsed="false">
      <c r="A5" s="142" t="n">
        <f aca="false">IF('Price History'!A6="","",'Price History'!A6)</f>
        <v>45205</v>
      </c>
      <c r="B5" s="143" t="n">
        <f aca="false">IFERROR(IF(OR(NOT(ISNUMBER('Price History'!B6)),NOT(ISNUMBER('Price History'!B5)),'Price History'!B5=0),"",'Price History'!B6/'Price History'!B5-1),"")</f>
        <v>0.0329084134143949</v>
      </c>
      <c r="C5" s="143" t="n">
        <f aca="false">IFERROR(IF(OR(NOT(ISNUMBER('Price History'!C6)),NOT(ISNUMBER('Price History'!C5)),'Price History'!C5=0),"",'Price History'!C6/'Price History'!C5-1),"")</f>
        <v>0.0550239234449761</v>
      </c>
      <c r="D5" s="143" t="n">
        <f aca="false">IFERROR(IF(OR(NOT(ISNUMBER('Price History'!D6)),NOT(ISNUMBER('Price History'!D5)),'Price History'!D5=0),"",'Price History'!D6/'Price History'!D5-1),"")</f>
        <v>0.0147681161944238</v>
      </c>
      <c r="E5" s="143" t="n">
        <f aca="false">IFERROR(IF(OR(NOT(ISNUMBER('Price History'!E6)),NOT(ISNUMBER('Price History'!E5)),'Price History'!E5=0),"",'Price History'!E6/'Price History'!E5-1),"")</f>
        <v>0.0176594950876756</v>
      </c>
      <c r="F5" s="143" t="n">
        <f aca="false">IFERROR(IF(OR(NOT(ISNUMBER('Price History'!F6)),NOT(ISNUMBER('Price History'!F5)),'Price History'!F5=0),"",'Price History'!F6/'Price History'!F5-1),"")</f>
        <v>-0.0301439913874312</v>
      </c>
      <c r="G5" s="143" t="n">
        <f aca="false">IFERROR(IF(OR(NOT(ISNUMBER('Price History'!G6)),NOT(ISNUMBER('Price History'!G5)),'Price History'!G5=0),"",'Price History'!G6/'Price History'!G5-1),"")</f>
        <v>0.055436081242533</v>
      </c>
      <c r="H5" s="143" t="n">
        <f aca="false">IFERROR(IF(OR(NOT(ISNUMBER('Price History'!H6)),NOT(ISNUMBER('Price History'!H5)),'Price History'!H5=0),"",'Price History'!H6/'Price History'!H5-1),"")</f>
        <v>-0.0222590330261933</v>
      </c>
      <c r="I5" s="143" t="n">
        <f aca="false">IFERROR(IF(OR(NOT(ISNUMBER('Price History'!I6)),NOT(ISNUMBER('Price History'!I5)),'Price History'!I5=0),"",'Price History'!I6/'Price History'!I5-1),"")</f>
        <v>0.0203170350524671</v>
      </c>
      <c r="J5" s="143" t="n">
        <f aca="false">IFERROR(IF(OR(NOT(ISNUMBER('Price History'!J6)),NOT(ISNUMBER('Price History'!J5)),'Price History'!J5=0),"",'Price History'!J6/'Price History'!J5-1),"")</f>
        <v>0.0300237812128419</v>
      </c>
      <c r="K5" s="143" t="n">
        <f aca="false">IFERROR(IF(OR(NOT(ISNUMBER('Price History'!K6)),NOT(ISNUMBER('Price History'!K5)),'Price History'!K5=0),"",'Price History'!K6/'Price History'!K5-1),"")</f>
        <v>0.0521097532856816</v>
      </c>
      <c r="L5" s="143" t="n">
        <f aca="false">IFERROR(IF(OR(NOT(ISNUMBER('Price History'!L6)),NOT(ISNUMBER('Price History'!L5)),'Price History'!L5=0),"",'Price History'!L6/'Price History'!L5-1),"")</f>
        <v>-0.0294464075382803</v>
      </c>
      <c r="M5" s="143" t="n">
        <f aca="false">IFERROR(IF(OR(NOT(ISNUMBER('Price History'!M6)),NOT(ISNUMBER('Price History'!M5)),'Price History'!M5=0),"",'Price History'!M6/'Price History'!M5-1),"")</f>
        <v>0.038125</v>
      </c>
      <c r="N5" s="143" t="n">
        <f aca="false">IFERROR(IF(OR(NOT(ISNUMBER('Price History'!N6)),NOT(ISNUMBER('Price History'!N5)),'Price History'!N5=0),"",'Price History'!N6/'Price History'!N5-1),"")</f>
        <v>-0.0160832544938505</v>
      </c>
      <c r="O5" s="143" t="n">
        <f aca="false">IFERROR(IF(OR(NOT(ISNUMBER('Price History'!O6)),NOT(ISNUMBER('Price History'!O5)),'Price History'!O5=0),"",'Price History'!O6/'Price History'!O5-1),"")</f>
        <v>0.0110595790224759</v>
      </c>
      <c r="P5" s="143" t="n">
        <f aca="false">IFERROR(IF(OR(NOT(ISNUMBER('Price History'!P6)),NOT(ISNUMBER('Price History'!P5)),'Price History'!P5=0),"",'Price History'!P6/'Price History'!P5-1),"")</f>
        <v>0.0275482093663912</v>
      </c>
      <c r="Q5" s="143" t="n">
        <f aca="false">IFERROR(IF(OR(NOT(ISNUMBER('Price History'!Q6)),NOT(ISNUMBER('Price History'!Q5)),'Price History'!Q5=0),"",'Price History'!Q6/'Price History'!Q5-1),"")</f>
        <v>0.0218841740058715</v>
      </c>
      <c r="R5" s="143" t="n">
        <f aca="false">IFERROR(IF(OR(NOT(ISNUMBER('Price History'!R6)),NOT(ISNUMBER('Price History'!R5)),'Price History'!R5=0),"",'Price History'!R6/'Price History'!R5-1),"")</f>
        <v>0.018246644295302</v>
      </c>
      <c r="S5" s="143" t="n">
        <f aca="false">IFERROR(IF(OR(NOT(ISNUMBER('Price History'!S6)),NOT(ISNUMBER('Price History'!S5)),'Price History'!S5=0),"",'Price History'!S6/'Price History'!S5-1),"")</f>
        <v>0.0160649507686992</v>
      </c>
      <c r="T5" s="143" t="n">
        <f aca="false">IFERROR(IF(OR(NOT(ISNUMBER('Price History'!T6)),NOT(ISNUMBER('Price History'!T5)),'Price History'!T5=0),"",'Price History'!T6/'Price History'!T5-1),"")</f>
        <v>0.0261739799846035</v>
      </c>
      <c r="U5" s="143" t="str">
        <f aca="false">IFERROR(IF(OR(NOT(ISNUMBER('Price History'!U6)),NOT(ISNUMBER('Price History'!U5)),'Price History'!U5=0),"",'Price History'!U6/'Price History'!U5-1),"")</f>
        <v/>
      </c>
      <c r="V5" s="144" t="str">
        <f aca="false">IFERROR(IF(OR(NOT(ISNUMBER('Price History'!V6)),NOT(ISNUMBER('Price History'!V5)),'Price History'!V5=0),"",'Price History'!V6/'Price History'!V5-1),"")</f>
        <v/>
      </c>
      <c r="W5" s="145" t="str">
        <f aca="false">IFERROR('Price History'!B3+(INDEX('Price History'!B:B,MATCH(9.99E+307,'Price History'!$A:$A))-'Price History'!B3)*(ROW()-3)/(MATCH(9.99E+307,'Returns (Calc)'!$A:$A)-3),"")</f>
        <v/>
      </c>
      <c r="X5" s="145" t="n">
        <f aca="false">IFERROR('Price History'!C3+(INDEX('Price History'!C:C,MATCH(9.99E+307,'Price History'!$A:$A))-'Price History'!C3)*(ROW()-3)/(MATCH(9.99E+307,'Returns (Calc)'!$A:$A)-3),"")</f>
        <v>45.5991194968553</v>
      </c>
      <c r="Y5" s="145" t="n">
        <f aca="false">IFERROR('Price History'!D3+(INDEX('Price History'!D:D,MATCH(9.99E+307,'Price History'!$A:$A))-'Price History'!D3)*(ROW()-3)/(MATCH(9.99E+307,'Returns (Calc)'!$A:$A)-3),"")</f>
        <v>574.689119496855</v>
      </c>
      <c r="Z5" s="145" t="n">
        <f aca="false">IFERROR('Price History'!E3+(INDEX('Price History'!E:E,MATCH(9.99E+307,'Price History'!$A:$A))-'Price History'!E3)*(ROW()-3)/(MATCH(9.99E+307,'Returns (Calc)'!$A:$A)-3),"")</f>
        <v>80.9685534591195</v>
      </c>
      <c r="AA5" s="145" t="n">
        <f aca="false">IFERROR('Price History'!F3+(INDEX('Price History'!F:F,MATCH(9.99E+307,'Price History'!$A:$A))-'Price History'!F3)*(ROW()-3)/(MATCH(9.99E+307,'Returns (Calc)'!$A:$A)-3),"")</f>
        <v>74.3627044025157</v>
      </c>
      <c r="AB5" s="145" t="n">
        <f aca="false">IFERROR('Price History'!G3+(INDEX('Price History'!G:G,MATCH(9.99E+307,'Price History'!$A:$A))-'Price History'!G3)*(ROW()-3)/(MATCH(9.99E+307,'Returns (Calc)'!$A:$A)-3),"")</f>
        <v>40.839748427673</v>
      </c>
      <c r="AC5" s="145" t="n">
        <f aca="false">IFERROR('Price History'!H3+(INDEX('Price History'!H:H,MATCH(9.99E+307,'Price History'!$A:$A))-'Price History'!H3)*(ROW()-3)/(MATCH(9.99E+307,'Returns (Calc)'!$A:$A)-3),"")</f>
        <v>99.3247169811321</v>
      </c>
      <c r="AD5" s="145" t="n">
        <f aca="false">IFERROR('Price History'!I3+(INDEX('Price History'!I:I,MATCH(9.99E+307,'Price History'!$A:$A))-'Price History'!I3)*(ROW()-3)/(MATCH(9.99E+307,'Returns (Calc)'!$A:$A)-3),"")</f>
        <v>43.7921383647799</v>
      </c>
      <c r="AE5" s="145" t="n">
        <f aca="false">IFERROR('Price History'!J3+(INDEX('Price History'!J:J,MATCH(9.99E+307,'Price History'!$A:$A))-'Price History'!J3)*(ROW()-3)/(MATCH(9.99E+307,'Returns (Calc)'!$A:$A)-3),"")</f>
        <v>68.2406918238994</v>
      </c>
      <c r="AF5" s="145" t="n">
        <f aca="false">IFERROR('Price History'!K3+(INDEX('Price History'!K:K,MATCH(9.99E+307,'Price History'!$A:$A))-'Price History'!K3)*(ROW()-3)/(MATCH(9.99E+307,'Returns (Calc)'!$A:$A)-3),"")</f>
        <v>43.2194339622642</v>
      </c>
      <c r="AG5" s="145" t="n">
        <f aca="false">IFERROR('Price History'!L3+(INDEX('Price History'!L:L,MATCH(9.99E+307,'Price History'!$A:$A))-'Price History'!L3)*(ROW()-3)/(MATCH(9.99E+307,'Returns (Calc)'!$A:$A)-3),"")</f>
        <v>110.43320754717</v>
      </c>
      <c r="AH5" s="145" t="n">
        <f aca="false">IFERROR('Price History'!M3+(INDEX('Price History'!M:M,MATCH(9.99E+307,'Price History'!$A:$A))-'Price History'!M3)*(ROW()-3)/(MATCH(9.99E+307,'Returns (Calc)'!$A:$A)-3),"")</f>
        <v>15.1371698113208</v>
      </c>
      <c r="AI5" s="145" t="n">
        <f aca="false">IFERROR('Price History'!N3+(INDEX('Price History'!N:N,MATCH(9.99E+307,'Price History'!$A:$A))-'Price History'!N3)*(ROW()-3)/(MATCH(9.99E+307,'Returns (Calc)'!$A:$A)-3),"")</f>
        <v>21.525786163522</v>
      </c>
      <c r="AJ5" s="145" t="n">
        <f aca="false">IFERROR('Price History'!O3+(INDEX('Price History'!O:O,MATCH(9.99E+307,'Price History'!$A:$A))-'Price History'!O3)*(ROW()-3)/(MATCH(9.99E+307,'Returns (Calc)'!$A:$A)-3),"")</f>
        <v>56.9050943396226</v>
      </c>
      <c r="AK5" s="145" t="n">
        <f aca="false">IFERROR('Price History'!Q3+(INDEX('Price History'!Q:Q,MATCH(9.99E+307,'Price History'!$A:$A))-'Price History'!Q3)*(ROW()-3)/(MATCH(9.99E+307,'Returns (Calc)'!$A:$A)-3),"")</f>
        <v>232.666100628931</v>
      </c>
      <c r="AL5" s="145" t="n">
        <f aca="false">IFERROR('Price History'!R3+(INDEX('Price History'!R:R,MATCH(9.99E+307,'Price History'!$A:$A))-'Price History'!R3)*(ROW()-3)/(MATCH(9.99E+307,'Returns (Calc)'!$A:$A)-3),"")</f>
        <v>47.2184905660377</v>
      </c>
      <c r="AM5" s="145" t="n">
        <f aca="false">IFERROR('Price History'!S3+(INDEX('Price History'!S:S,MATCH(9.99E+307,'Price History'!$A:$A))-'Price History'!S3)*(ROW()-3)/(MATCH(9.99E+307,'Returns (Calc)'!$A:$A)-3),"")</f>
        <v>57.8036477987421</v>
      </c>
      <c r="AN5" s="145" t="n">
        <f aca="false">IFERROR('Price History'!T3+(INDEX('Price History'!T:T,MATCH(9.99E+307,'Price History'!$A:$A))-'Price History'!T3)*(ROW()-3)/(MATCH(9.99E+307,'Returns (Calc)'!$A:$A)-3),"")</f>
        <v>26.5715094339623</v>
      </c>
      <c r="AO5" s="146" t="n">
        <f aca="false">IFERROR('Price History'!V3+(INDEX('Price History'!V:V,MATCH(9.99E+307,'Price History'!$A:$A))-'Price History'!V3)*(ROW()-3)/(MATCH(9.99E+307,'Returns (Calc)'!$A:$A)-3),"")</f>
        <v>0</v>
      </c>
    </row>
    <row r="6" customFormat="false" ht="15" hidden="false" customHeight="true" outlineLevel="0" collapsed="false">
      <c r="A6" s="142" t="n">
        <f aca="false">IF('Price History'!A7="","",'Price History'!A7)</f>
        <v>45212</v>
      </c>
      <c r="B6" s="143" t="n">
        <f aca="false">IFERROR(IF(OR(NOT(ISNUMBER('Price History'!B7)),NOT(ISNUMBER('Price History'!B6)),'Price History'!B6=0),"",'Price History'!B7/'Price History'!B6-1),"")</f>
        <v>0.0419229892914104</v>
      </c>
      <c r="C6" s="143" t="n">
        <f aca="false">IFERROR(IF(OR(NOT(ISNUMBER('Price History'!C7)),NOT(ISNUMBER('Price History'!C6)),'Price History'!C6=0),"",'Price History'!C7/'Price History'!C6-1),"")</f>
        <v>-0.0216450216450216</v>
      </c>
      <c r="D6" s="143" t="n">
        <f aca="false">IFERROR(IF(OR(NOT(ISNUMBER('Price History'!D7)),NOT(ISNUMBER('Price History'!D6)),'Price History'!D6=0),"",'Price History'!D7/'Price History'!D6-1),"")</f>
        <v>0.00401585748854427</v>
      </c>
      <c r="E6" s="143" t="n">
        <f aca="false">IFERROR(IF(OR(NOT(ISNUMBER('Price History'!E7)),NOT(ISNUMBER('Price History'!E6)),'Price History'!E6=0),"",'Price History'!E7/'Price History'!E6-1),"")</f>
        <v>0.044849077355493</v>
      </c>
      <c r="F6" s="143" t="n">
        <f aca="false">IFERROR(IF(OR(NOT(ISNUMBER('Price History'!F7)),NOT(ISNUMBER('Price History'!F6)),'Price History'!F6=0),"",'Price History'!F7/'Price History'!F6-1),"")</f>
        <v>0.00263632579436668</v>
      </c>
      <c r="G6" s="143" t="n">
        <f aca="false">IFERROR(IF(OR(NOT(ISNUMBER('Price History'!G7)),NOT(ISNUMBER('Price History'!G6)),'Price History'!G6=0),"",'Price History'!G7/'Price History'!G6-1),"")</f>
        <v>0.0511659497396422</v>
      </c>
      <c r="H6" s="143" t="n">
        <f aca="false">IFERROR(IF(OR(NOT(ISNUMBER('Price History'!H7)),NOT(ISNUMBER('Price History'!H6)),'Price History'!H6=0),"",'Price History'!H7/'Price History'!H6-1),"")</f>
        <v>0.0136594663278273</v>
      </c>
      <c r="I6" s="143" t="n">
        <f aca="false">IFERROR(IF(OR(NOT(ISNUMBER('Price History'!I7)),NOT(ISNUMBER('Price History'!I6)),'Price History'!I6=0),"",'Price History'!I7/'Price History'!I6-1),"")</f>
        <v>0.0402625820568927</v>
      </c>
      <c r="J6" s="143" t="n">
        <f aca="false">IFERROR(IF(OR(NOT(ISNUMBER('Price History'!J7)),NOT(ISNUMBER('Price History'!J6)),'Price History'!J6=0),"",'Price History'!J7/'Price History'!J6-1),"")</f>
        <v>-0.0106782106782106</v>
      </c>
      <c r="K6" s="143" t="n">
        <f aca="false">IFERROR(IF(OR(NOT(ISNUMBER('Price History'!K7)),NOT(ISNUMBER('Price History'!K6)),'Price History'!K6=0),"",'Price History'!K7/'Price History'!K6-1),"")</f>
        <v>-0.00657462195923741</v>
      </c>
      <c r="L6" s="143" t="n">
        <f aca="false">IFERROR(IF(OR(NOT(ISNUMBER('Price History'!L7)),NOT(ISNUMBER('Price History'!L6)),'Price History'!L6=0),"",'Price History'!L7/'Price History'!L6-1),"")</f>
        <v>0.00687702265372181</v>
      </c>
      <c r="M6" s="143" t="n">
        <f aca="false">IFERROR(IF(OR(NOT(ISNUMBER('Price History'!M7)),NOT(ISNUMBER('Price History'!M6)),'Price History'!M6=0),"",'Price History'!M7/'Price History'!M6-1),"")</f>
        <v>0.0451535219747141</v>
      </c>
      <c r="N6" s="143" t="n">
        <f aca="false">IFERROR(IF(OR(NOT(ISNUMBER('Price History'!N7)),NOT(ISNUMBER('Price History'!N6)),'Price History'!N6=0),"",'Price History'!N7/'Price History'!N6-1),"")</f>
        <v>0.0100961538461539</v>
      </c>
      <c r="O6" s="143" t="n">
        <f aca="false">IFERROR(IF(OR(NOT(ISNUMBER('Price History'!O7)),NOT(ISNUMBER('Price History'!O6)),'Price History'!O6=0),"",'Price History'!O7/'Price History'!O6-1),"")</f>
        <v>0.00564573041637262</v>
      </c>
      <c r="P6" s="143" t="n">
        <f aca="false">IFERROR(IF(OR(NOT(ISNUMBER('Price History'!P7)),NOT(ISNUMBER('Price History'!P6)),'Price History'!P6=0),"",'Price History'!P7/'Price History'!P6-1),"")</f>
        <v>0.0131716983331389</v>
      </c>
      <c r="Q6" s="143" t="n">
        <f aca="false">IFERROR(IF(OR(NOT(ISNUMBER('Price History'!Q7)),NOT(ISNUMBER('Price History'!Q6)),'Price History'!Q6=0),"",'Price History'!Q7/'Price History'!Q6-1),"")</f>
        <v>0.0111865587185513</v>
      </c>
      <c r="R6" s="143" t="n">
        <f aca="false">IFERROR(IF(OR(NOT(ISNUMBER('Price History'!R7)),NOT(ISNUMBER('Price History'!R6)),'Price History'!R6=0),"",'Price History'!R7/'Price History'!R6-1),"")</f>
        <v>-0.00659114315139031</v>
      </c>
      <c r="S6" s="143" t="n">
        <f aca="false">IFERROR(IF(OR(NOT(ISNUMBER('Price History'!S7)),NOT(ISNUMBER('Price History'!S6)),'Price History'!S6=0),"",'Price History'!S7/'Price History'!S6-1),"")</f>
        <v>0.00595035702142122</v>
      </c>
      <c r="T6" s="143" t="n">
        <f aca="false">IFERROR(IF(OR(NOT(ISNUMBER('Price History'!T7)),NOT(ISNUMBER('Price History'!T6)),'Price History'!T6=0),"",'Price History'!T7/'Price History'!T6-1),"")</f>
        <v>-0.00712678169542391</v>
      </c>
      <c r="U6" s="143" t="str">
        <f aca="false">IFERROR(IF(OR(NOT(ISNUMBER('Price History'!U7)),NOT(ISNUMBER('Price History'!U6)),'Price History'!U6=0),"",'Price History'!U7/'Price History'!U6-1),"")</f>
        <v/>
      </c>
      <c r="V6" s="144" t="str">
        <f aca="false">IFERROR(IF(OR(NOT(ISNUMBER('Price History'!V7)),NOT(ISNUMBER('Price History'!V6)),'Price History'!V6=0),"",'Price History'!V7/'Price History'!V6-1),"")</f>
        <v/>
      </c>
      <c r="W6" s="145" t="str">
        <f aca="false">IFERROR('Price History'!B3+(INDEX('Price History'!B:B,MATCH(9.99E+307,'Price History'!$A:$A))-'Price History'!B3)*(ROW()-3)/(MATCH(9.99E+307,'Returns (Calc)'!$A:$A)-3),"")</f>
        <v/>
      </c>
      <c r="X6" s="145" t="n">
        <f aca="false">IFERROR('Price History'!C3+(INDEX('Price History'!C:C,MATCH(9.99E+307,'Price History'!$A:$A))-'Price History'!C3)*(ROW()-3)/(MATCH(9.99E+307,'Returns (Calc)'!$A:$A)-3),"")</f>
        <v>45.308679245283</v>
      </c>
      <c r="Y6" s="145" t="n">
        <f aca="false">IFERROR('Price History'!D3+(INDEX('Price History'!D:D,MATCH(9.99E+307,'Price History'!$A:$A))-'Price History'!D3)*(ROW()-3)/(MATCH(9.99E+307,'Returns (Calc)'!$A:$A)-3),"")</f>
        <v>571.028679245283</v>
      </c>
      <c r="Z6" s="145" t="n">
        <f aca="false">IFERROR('Price History'!E3+(INDEX('Price History'!E:E,MATCH(9.99E+307,'Price History'!$A:$A))-'Price History'!E3)*(ROW()-3)/(MATCH(9.99E+307,'Returns (Calc)'!$A:$A)-3),"")</f>
        <v>80.4528301886792</v>
      </c>
      <c r="AA6" s="145" t="n">
        <f aca="false">IFERROR('Price History'!F3+(INDEX('Price History'!F:F,MATCH(9.99E+307,'Price History'!$A:$A))-'Price History'!F3)*(ROW()-3)/(MATCH(9.99E+307,'Returns (Calc)'!$A:$A)-3),"")</f>
        <v>73.8890566037736</v>
      </c>
      <c r="AB6" s="145" t="n">
        <f aca="false">IFERROR('Price History'!G3+(INDEX('Price History'!G:G,MATCH(9.99E+307,'Price History'!$A:$A))-'Price History'!G3)*(ROW()-3)/(MATCH(9.99E+307,'Returns (Calc)'!$A:$A)-3),"")</f>
        <v>40.5796226415094</v>
      </c>
      <c r="AC6" s="145" t="n">
        <f aca="false">IFERROR('Price History'!H3+(INDEX('Price History'!H:H,MATCH(9.99E+307,'Price History'!$A:$A))-'Price History'!H3)*(ROW()-3)/(MATCH(9.99E+307,'Returns (Calc)'!$A:$A)-3),"")</f>
        <v>98.6920754716981</v>
      </c>
      <c r="AD6" s="145" t="n">
        <f aca="false">IFERROR('Price History'!I3+(INDEX('Price History'!I:I,MATCH(9.99E+307,'Price History'!$A:$A))-'Price History'!I3)*(ROW()-3)/(MATCH(9.99E+307,'Returns (Calc)'!$A:$A)-3),"")</f>
        <v>43.5132075471698</v>
      </c>
      <c r="AE6" s="145" t="n">
        <f aca="false">IFERROR('Price History'!J3+(INDEX('Price History'!J:J,MATCH(9.99E+307,'Price History'!$A:$A))-'Price History'!J3)*(ROW()-3)/(MATCH(9.99E+307,'Returns (Calc)'!$A:$A)-3),"")</f>
        <v>67.8060377358491</v>
      </c>
      <c r="AF6" s="145" t="n">
        <f aca="false">IFERROR('Price History'!K3+(INDEX('Price History'!K:K,MATCH(9.99E+307,'Price History'!$A:$A))-'Price History'!K3)*(ROW()-3)/(MATCH(9.99E+307,'Returns (Calc)'!$A:$A)-3),"")</f>
        <v>42.9441509433962</v>
      </c>
      <c r="AG6" s="145" t="n">
        <f aca="false">IFERROR('Price History'!L3+(INDEX('Price History'!L:L,MATCH(9.99E+307,'Price History'!$A:$A))-'Price History'!L3)*(ROW()-3)/(MATCH(9.99E+307,'Returns (Calc)'!$A:$A)-3),"")</f>
        <v>109.729811320755</v>
      </c>
      <c r="AH6" s="145" t="n">
        <f aca="false">IFERROR('Price History'!M3+(INDEX('Price History'!M:M,MATCH(9.99E+307,'Price History'!$A:$A))-'Price History'!M3)*(ROW()-3)/(MATCH(9.99E+307,'Returns (Calc)'!$A:$A)-3),"")</f>
        <v>15.0407547169811</v>
      </c>
      <c r="AI6" s="145" t="n">
        <f aca="false">IFERROR('Price History'!N3+(INDEX('Price History'!N:N,MATCH(9.99E+307,'Price History'!$A:$A))-'Price History'!N3)*(ROW()-3)/(MATCH(9.99E+307,'Returns (Calc)'!$A:$A)-3),"")</f>
        <v>21.388679245283</v>
      </c>
      <c r="AJ6" s="145" t="n">
        <f aca="false">IFERROR('Price History'!O3+(INDEX('Price History'!O:O,MATCH(9.99E+307,'Price History'!$A:$A))-'Price History'!O3)*(ROW()-3)/(MATCH(9.99E+307,'Returns (Calc)'!$A:$A)-3),"")</f>
        <v>56.542641509434</v>
      </c>
      <c r="AK6" s="145" t="n">
        <f aca="false">IFERROR('Price History'!Q3+(INDEX('Price History'!Q:Q,MATCH(9.99E+307,'Price History'!$A:$A))-'Price History'!Q3)*(ROW()-3)/(MATCH(9.99E+307,'Returns (Calc)'!$A:$A)-3),"")</f>
        <v>231.184150943396</v>
      </c>
      <c r="AL6" s="145" t="n">
        <f aca="false">IFERROR('Price History'!R3+(INDEX('Price History'!R:R,MATCH(9.99E+307,'Price History'!$A:$A))-'Price History'!R3)*(ROW()-3)/(MATCH(9.99E+307,'Returns (Calc)'!$A:$A)-3),"")</f>
        <v>46.9177358490566</v>
      </c>
      <c r="AM6" s="145" t="n">
        <f aca="false">IFERROR('Price History'!S3+(INDEX('Price History'!S:S,MATCH(9.99E+307,'Price History'!$A:$A))-'Price History'!S3)*(ROW()-3)/(MATCH(9.99E+307,'Returns (Calc)'!$A:$A)-3),"")</f>
        <v>57.4354716981132</v>
      </c>
      <c r="AN6" s="145" t="n">
        <f aca="false">IFERROR('Price History'!T3+(INDEX('Price History'!T:T,MATCH(9.99E+307,'Price History'!$A:$A))-'Price History'!T3)*(ROW()-3)/(MATCH(9.99E+307,'Returns (Calc)'!$A:$A)-3),"")</f>
        <v>26.4022641509434</v>
      </c>
      <c r="AO6" s="146" t="n">
        <f aca="false">IFERROR('Price History'!V3+(INDEX('Price History'!V:V,MATCH(9.99E+307,'Price History'!$A:$A))-'Price History'!V3)*(ROW()-3)/(MATCH(9.99E+307,'Returns (Calc)'!$A:$A)-3),"")</f>
        <v>0</v>
      </c>
    </row>
    <row r="7" customFormat="false" ht="15" hidden="false" customHeight="true" outlineLevel="0" collapsed="false">
      <c r="A7" s="142" t="n">
        <f aca="false">IF('Price History'!A8="","",'Price History'!A8)</f>
        <v>45219</v>
      </c>
      <c r="B7" s="143" t="n">
        <f aca="false">IFERROR(IF(OR(NOT(ISNUMBER('Price History'!B8)),NOT(ISNUMBER('Price History'!B7)),'Price History'!B7=0),"",'Price History'!B8/'Price History'!B7-1),"")</f>
        <v>-0.0142138639842553</v>
      </c>
      <c r="C7" s="143" t="n">
        <f aca="false">IFERROR(IF(OR(NOT(ISNUMBER('Price History'!C8)),NOT(ISNUMBER('Price History'!C7)),'Price History'!C7=0),"",'Price History'!C8/'Price History'!C7-1),"")</f>
        <v>-0.0195954487989887</v>
      </c>
      <c r="D7" s="143" t="n">
        <f aca="false">IFERROR(IF(OR(NOT(ISNUMBER('Price History'!D8)),NOT(ISNUMBER('Price History'!D7)),'Price History'!D7=0),"",'Price History'!D8/'Price History'!D7-1),"")</f>
        <v>-0.0327675503820316</v>
      </c>
      <c r="E7" s="143" t="n">
        <f aca="false">IFERROR(IF(OR(NOT(ISNUMBER('Price History'!E8)),NOT(ISNUMBER('Price History'!E7)),'Price History'!E7=0),"",'Price History'!E8/'Price History'!E7-1),"")</f>
        <v>-0.0334502923976608</v>
      </c>
      <c r="F7" s="143" t="n">
        <f aca="false">IFERROR(IF(OR(NOT(ISNUMBER('Price History'!F8)),NOT(ISNUMBER('Price History'!F7)),'Price History'!F7=0),"",'Price History'!F8/'Price History'!F7-1),"")</f>
        <v>-0.0167450871851648</v>
      </c>
      <c r="G7" s="143" t="n">
        <f aca="false">IFERROR(IF(OR(NOT(ISNUMBER('Price History'!G8)),NOT(ISNUMBER('Price History'!G7)),'Price History'!G7=0),"",'Price History'!G8/'Price History'!G7-1),"")</f>
        <v>-0.0374757699763084</v>
      </c>
      <c r="H7" s="143" t="n">
        <f aca="false">IFERROR(IF(OR(NOT(ISNUMBER('Price History'!H8)),NOT(ISNUMBER('Price History'!H7)),'Price History'!H7=0),"",'Price History'!H8/'Price History'!H7-1),"")</f>
        <v>-0.019011804032174</v>
      </c>
      <c r="I7" s="143" t="n">
        <f aca="false">IFERROR(IF(OR(NOT(ISNUMBER('Price History'!I8)),NOT(ISNUMBER('Price History'!I7)),'Price History'!I7=0),"",'Price History'!I8/'Price History'!I7-1),"")</f>
        <v>-0.0500631047538915</v>
      </c>
      <c r="J7" s="143" t="n">
        <f aca="false">IFERROR(IF(OR(NOT(ISNUMBER('Price History'!J8)),NOT(ISNUMBER('Price History'!J7)),'Price History'!J7=0),"",'Price History'!J8/'Price History'!J7-1),"")</f>
        <v>-0.0287339556592765</v>
      </c>
      <c r="K7" s="143" t="n">
        <f aca="false">IFERROR(IF(OR(NOT(ISNUMBER('Price History'!K8)),NOT(ISNUMBER('Price History'!K7)),'Price History'!K7=0),"",'Price History'!K8/'Price History'!K7-1),"")</f>
        <v>-0.0897860136774763</v>
      </c>
      <c r="L7" s="143" t="n">
        <f aca="false">IFERROR(IF(OR(NOT(ISNUMBER('Price History'!L8)),NOT(ISNUMBER('Price History'!L7)),'Price History'!L7=0),"",'Price History'!L8/'Price History'!L7-1),"")</f>
        <v>-0.0658899156287666</v>
      </c>
      <c r="M7" s="143" t="n">
        <f aca="false">IFERROR(IF(OR(NOT(ISNUMBER('Price History'!M8)),NOT(ISNUMBER('Price History'!M7)),'Price History'!M7=0),"",'Price History'!M8/'Price History'!M7-1),"")</f>
        <v>-0.0720046082949308</v>
      </c>
      <c r="N7" s="143" t="n">
        <f aca="false">IFERROR(IF(OR(NOT(ISNUMBER('Price History'!N8)),NOT(ISNUMBER('Price History'!N7)),'Price History'!N7=0),"",'Price History'!N8/'Price History'!N7-1),"")</f>
        <v>-0.0147548786292243</v>
      </c>
      <c r="O7" s="143" t="n">
        <f aca="false">IFERROR(IF(OR(NOT(ISNUMBER('Price History'!O8)),NOT(ISNUMBER('Price History'!O7)),'Price History'!O7=0),"",'Price History'!O8/'Price History'!O7-1),"")</f>
        <v>-0.0289473684210526</v>
      </c>
      <c r="P7" s="143" t="n">
        <f aca="false">IFERROR(IF(OR(NOT(ISNUMBER('Price History'!P8)),NOT(ISNUMBER('Price History'!P7)),'Price History'!P7=0),"",'Price History'!P8/'Price History'!P7-1),"")</f>
        <v>0.00931891394385653</v>
      </c>
      <c r="Q7" s="143" t="n">
        <f aca="false">IFERROR(IF(OR(NOT(ISNUMBER('Price History'!Q8)),NOT(ISNUMBER('Price History'!Q7)),'Price History'!Q7=0),"",'Price History'!Q8/'Price History'!Q7-1),"")</f>
        <v>-0.0180362446730662</v>
      </c>
      <c r="R7" s="143" t="n">
        <f aca="false">IFERROR(IF(OR(NOT(ISNUMBER('Price History'!R8)),NOT(ISNUMBER('Price History'!R7)),'Price History'!R7=0),"",'Price History'!R8/'Price History'!R7-1),"")</f>
        <v>-0.000414679659962558</v>
      </c>
      <c r="S7" s="143" t="n">
        <f aca="false">IFERROR(IF(OR(NOT(ISNUMBER('Price History'!S8)),NOT(ISNUMBER('Price History'!S7)),'Price History'!S7=0),"",'Price History'!S8/'Price History'!S7-1),"")</f>
        <v>0</v>
      </c>
      <c r="T7" s="143" t="n">
        <f aca="false">IFERROR(IF(OR(NOT(ISNUMBER('Price History'!T8)),NOT(ISNUMBER('Price History'!T7)),'Price History'!T7=0),"",'Price History'!T8/'Price History'!T7-1),"")</f>
        <v>-0.0064223649414431</v>
      </c>
      <c r="U7" s="143" t="str">
        <f aca="false">IFERROR(IF(OR(NOT(ISNUMBER('Price History'!U8)),NOT(ISNUMBER('Price History'!U7)),'Price History'!U7=0),"",'Price History'!U8/'Price History'!U7-1),"")</f>
        <v/>
      </c>
      <c r="V7" s="144" t="n">
        <f aca="false">IFERROR(IF(OR(NOT(ISNUMBER('Price History'!V8)),NOT(ISNUMBER('Price History'!V7)),'Price History'!V7=0),"",'Price History'!V8/'Price History'!V7-1),"")</f>
        <v>-0.025154110297464</v>
      </c>
      <c r="W7" s="145" t="str">
        <f aca="false">IFERROR('Price History'!B3+(INDEX('Price History'!B:B,MATCH(9.99E+307,'Price History'!$A:$A))-'Price History'!B3)*(ROW()-3)/(MATCH(9.99E+307,'Returns (Calc)'!$A:$A)-3),"")</f>
        <v/>
      </c>
      <c r="X7" s="145" t="n">
        <f aca="false">IFERROR('Price History'!C3+(INDEX('Price History'!C:C,MATCH(9.99E+307,'Price History'!$A:$A))-'Price History'!C3)*(ROW()-3)/(MATCH(9.99E+307,'Returns (Calc)'!$A:$A)-3),"")</f>
        <v>45.0182389937107</v>
      </c>
      <c r="Y7" s="145" t="n">
        <f aca="false">IFERROR('Price History'!D3+(INDEX('Price History'!D:D,MATCH(9.99E+307,'Price History'!$A:$A))-'Price History'!D3)*(ROW()-3)/(MATCH(9.99E+307,'Returns (Calc)'!$A:$A)-3),"")</f>
        <v>567.368238993711</v>
      </c>
      <c r="Z7" s="145" t="n">
        <f aca="false">IFERROR('Price History'!E3+(INDEX('Price History'!E:E,MATCH(9.99E+307,'Price History'!$A:$A))-'Price History'!E3)*(ROW()-3)/(MATCH(9.99E+307,'Returns (Calc)'!$A:$A)-3),"")</f>
        <v>79.937106918239</v>
      </c>
      <c r="AA7" s="145" t="n">
        <f aca="false">IFERROR('Price History'!F3+(INDEX('Price History'!F:F,MATCH(9.99E+307,'Price History'!$A:$A))-'Price History'!F3)*(ROW()-3)/(MATCH(9.99E+307,'Returns (Calc)'!$A:$A)-3),"")</f>
        <v>73.4154088050315</v>
      </c>
      <c r="AB7" s="145" t="n">
        <f aca="false">IFERROR('Price History'!G3+(INDEX('Price History'!G:G,MATCH(9.99E+307,'Price History'!$A:$A))-'Price History'!G3)*(ROW()-3)/(MATCH(9.99E+307,'Returns (Calc)'!$A:$A)-3),"")</f>
        <v>40.3194968553459</v>
      </c>
      <c r="AC7" s="145" t="n">
        <f aca="false">IFERROR('Price History'!H3+(INDEX('Price History'!H:H,MATCH(9.99E+307,'Price History'!$A:$A))-'Price History'!H3)*(ROW()-3)/(MATCH(9.99E+307,'Returns (Calc)'!$A:$A)-3),"")</f>
        <v>98.0594339622642</v>
      </c>
      <c r="AD7" s="145" t="n">
        <f aca="false">IFERROR('Price History'!I3+(INDEX('Price History'!I:I,MATCH(9.99E+307,'Price History'!$A:$A))-'Price History'!I3)*(ROW()-3)/(MATCH(9.99E+307,'Returns (Calc)'!$A:$A)-3),"")</f>
        <v>43.2342767295598</v>
      </c>
      <c r="AE7" s="145" t="n">
        <f aca="false">IFERROR('Price History'!J3+(INDEX('Price History'!J:J,MATCH(9.99E+307,'Price History'!$A:$A))-'Price History'!J3)*(ROW()-3)/(MATCH(9.99E+307,'Returns (Calc)'!$A:$A)-3),"")</f>
        <v>67.3713836477987</v>
      </c>
      <c r="AF7" s="145" t="n">
        <f aca="false">IFERROR('Price History'!K3+(INDEX('Price History'!K:K,MATCH(9.99E+307,'Price History'!$A:$A))-'Price History'!K3)*(ROW()-3)/(MATCH(9.99E+307,'Returns (Calc)'!$A:$A)-3),"")</f>
        <v>42.6688679245283</v>
      </c>
      <c r="AG7" s="145" t="n">
        <f aca="false">IFERROR('Price History'!L3+(INDEX('Price History'!L:L,MATCH(9.99E+307,'Price History'!$A:$A))-'Price History'!L3)*(ROW()-3)/(MATCH(9.99E+307,'Returns (Calc)'!$A:$A)-3),"")</f>
        <v>109.02641509434</v>
      </c>
      <c r="AH7" s="145" t="n">
        <f aca="false">IFERROR('Price History'!M3+(INDEX('Price History'!M:M,MATCH(9.99E+307,'Price History'!$A:$A))-'Price History'!M3)*(ROW()-3)/(MATCH(9.99E+307,'Returns (Calc)'!$A:$A)-3),"")</f>
        <v>14.9443396226415</v>
      </c>
      <c r="AI7" s="145" t="n">
        <f aca="false">IFERROR('Price History'!N3+(INDEX('Price History'!N:N,MATCH(9.99E+307,'Price History'!$A:$A))-'Price History'!N3)*(ROW()-3)/(MATCH(9.99E+307,'Returns (Calc)'!$A:$A)-3),"")</f>
        <v>21.251572327044</v>
      </c>
      <c r="AJ7" s="145" t="n">
        <f aca="false">IFERROR('Price History'!O3+(INDEX('Price History'!O:O,MATCH(9.99E+307,'Price History'!$A:$A))-'Price History'!O3)*(ROW()-3)/(MATCH(9.99E+307,'Returns (Calc)'!$A:$A)-3),"")</f>
        <v>56.1801886792453</v>
      </c>
      <c r="AK7" s="145" t="n">
        <f aca="false">IFERROR('Price History'!Q3+(INDEX('Price History'!Q:Q,MATCH(9.99E+307,'Price History'!$A:$A))-'Price History'!Q3)*(ROW()-3)/(MATCH(9.99E+307,'Returns (Calc)'!$A:$A)-3),"")</f>
        <v>229.702201257862</v>
      </c>
      <c r="AL7" s="145" t="n">
        <f aca="false">IFERROR('Price History'!R3+(INDEX('Price History'!R:R,MATCH(9.99E+307,'Price History'!$A:$A))-'Price History'!R3)*(ROW()-3)/(MATCH(9.99E+307,'Returns (Calc)'!$A:$A)-3),"")</f>
        <v>46.6169811320755</v>
      </c>
      <c r="AM7" s="145" t="n">
        <f aca="false">IFERROR('Price History'!S3+(INDEX('Price History'!S:S,MATCH(9.99E+307,'Price History'!$A:$A))-'Price History'!S3)*(ROW()-3)/(MATCH(9.99E+307,'Returns (Calc)'!$A:$A)-3),"")</f>
        <v>57.0672955974843</v>
      </c>
      <c r="AN7" s="145" t="n">
        <f aca="false">IFERROR('Price History'!T3+(INDEX('Price History'!T:T,MATCH(9.99E+307,'Price History'!$A:$A))-'Price History'!T3)*(ROW()-3)/(MATCH(9.99E+307,'Returns (Calc)'!$A:$A)-3),"")</f>
        <v>26.2330188679245</v>
      </c>
      <c r="AO7" s="146" t="n">
        <f aca="false">IFERROR('Price History'!V3+(INDEX('Price History'!V:V,MATCH(9.99E+307,'Price History'!$A:$A))-'Price History'!V3)*(ROW()-3)/(MATCH(9.99E+307,'Returns (Calc)'!$A:$A)-3),"")</f>
        <v>0</v>
      </c>
    </row>
    <row r="8" customFormat="false" ht="15" hidden="false" customHeight="true" outlineLevel="0" collapsed="false">
      <c r="A8" s="142" t="n">
        <f aca="false">IF('Price History'!A9="","",'Price History'!A9)</f>
        <v>45226</v>
      </c>
      <c r="B8" s="143" t="n">
        <f aca="false">IFERROR(IF(OR(NOT(ISNUMBER('Price History'!B9)),NOT(ISNUMBER('Price History'!B8)),'Price History'!B8=0),"",'Price History'!B9/'Price History'!B8-1),"")</f>
        <v>-0.0607068914522331</v>
      </c>
      <c r="C8" s="143" t="n">
        <f aca="false">IFERROR(IF(OR(NOT(ISNUMBER('Price History'!C9)),NOT(ISNUMBER('Price History'!C8)),'Price History'!C8=0),"",'Price History'!C9/'Price History'!C8-1),"")</f>
        <v>-0.0532989469159683</v>
      </c>
      <c r="D8" s="143" t="n">
        <f aca="false">IFERROR(IF(OR(NOT(ISNUMBER('Price History'!D9)),NOT(ISNUMBER('Price History'!D8)),'Price History'!D8=0),"",'Price History'!D9/'Price History'!D8-1),"")</f>
        <v>0.0170713604071677</v>
      </c>
      <c r="E8" s="143" t="n">
        <f aca="false">IFERROR(IF(OR(NOT(ISNUMBER('Price History'!E9)),NOT(ISNUMBER('Price History'!E8)),'Price History'!E8=0),"",'Price History'!E9/'Price History'!E8-1),"")</f>
        <v>-0.0179090029041626</v>
      </c>
      <c r="F8" s="143" t="n">
        <f aca="false">IFERROR(IF(OR(NOT(ISNUMBER('Price History'!F9)),NOT(ISNUMBER('Price History'!F8)),'Price History'!F8=0),"",'Price History'!F9/'Price History'!F8-1),"")</f>
        <v>-0.0154820548909218</v>
      </c>
      <c r="G8" s="143" t="n">
        <f aca="false">IFERROR(IF(OR(NOT(ISNUMBER('Price History'!G9)),NOT(ISNUMBER('Price History'!G8)),'Price History'!G8=0),"",'Price History'!G9/'Price History'!G8-1),"")</f>
        <v>-0.0331170284179906</v>
      </c>
      <c r="H8" s="143" t="n">
        <f aca="false">IFERROR(IF(OR(NOT(ISNUMBER('Price History'!H9)),NOT(ISNUMBER('Price History'!H8)),'Price History'!H8=0),"",'Price History'!H9/'Price History'!H8-1),"")</f>
        <v>-0.0160792247896921</v>
      </c>
      <c r="I8" s="143" t="n">
        <f aca="false">IFERROR(IF(OR(NOT(ISNUMBER('Price History'!I9)),NOT(ISNUMBER('Price History'!I8)),'Price History'!I8=0),"",'Price History'!I9/'Price History'!I8-1),"")</f>
        <v>-0.00974313551815764</v>
      </c>
      <c r="J8" s="143" t="n">
        <f aca="false">IFERROR(IF(OR(NOT(ISNUMBER('Price History'!J9)),NOT(ISNUMBER('Price History'!J8)),'Price History'!J8=0),"",'Price History'!J9/'Price History'!J8-1),"")</f>
        <v>-0.0234269409821295</v>
      </c>
      <c r="K8" s="143" t="n">
        <f aca="false">IFERROR(IF(OR(NOT(ISNUMBER('Price History'!K9)),NOT(ISNUMBER('Price History'!K8)),'Price History'!K8=0),"",'Price History'!K9/'Price History'!K8-1),"")</f>
        <v>-0.0213281628696073</v>
      </c>
      <c r="L8" s="143" t="n">
        <f aca="false">IFERROR(IF(OR(NOT(ISNUMBER('Price History'!L9)),NOT(ISNUMBER('Price History'!L8)),'Price History'!L8=0),"",'Price History'!L9/'Price History'!L8-1),"")</f>
        <v>-0.0498924731182796</v>
      </c>
      <c r="M8" s="143" t="n">
        <f aca="false">IFERROR(IF(OR(NOT(ISNUMBER('Price History'!M9)),NOT(ISNUMBER('Price History'!M8)),'Price History'!M8=0),"",'Price History'!M9/'Price History'!M8-1),"")</f>
        <v>-0.0645561762880198</v>
      </c>
      <c r="N8" s="143" t="n">
        <f aca="false">IFERROR(IF(OR(NOT(ISNUMBER('Price History'!N9)),NOT(ISNUMBER('Price History'!N8)),'Price History'!N8=0),"",'Price History'!N9/'Price History'!N8-1),"")</f>
        <v>-0.0342995169082126</v>
      </c>
      <c r="O8" s="143" t="n">
        <f aca="false">IFERROR(IF(OR(NOT(ISNUMBER('Price History'!O9)),NOT(ISNUMBER('Price History'!O8)),'Price History'!O8=0),"",'Price History'!O9/'Price History'!O8-1),"")</f>
        <v>-0.0202348690153569</v>
      </c>
      <c r="P8" s="143" t="n">
        <f aca="false">IFERROR(IF(OR(NOT(ISNUMBER('Price History'!P9)),NOT(ISNUMBER('Price History'!P8)),'Price History'!P8=0),"",'Price History'!P9/'Price History'!P8-1),"")</f>
        <v>-0.0582468938789468</v>
      </c>
      <c r="Q8" s="143" t="n">
        <f aca="false">IFERROR(IF(OR(NOT(ISNUMBER('Price History'!Q9)),NOT(ISNUMBER('Price History'!Q8)),'Price History'!Q8=0),"",'Price History'!Q9/'Price History'!Q8-1),"")</f>
        <v>-0.0176223040504998</v>
      </c>
      <c r="R8" s="143" t="n">
        <f aca="false">IFERROR(IF(OR(NOT(ISNUMBER('Price History'!R9)),NOT(ISNUMBER('Price History'!R8)),'Price History'!R8=0),"",'Price History'!R9/'Price History'!R8-1),"")</f>
        <v>-0.0269653598838416</v>
      </c>
      <c r="S8" s="143" t="n">
        <f aca="false">IFERROR(IF(OR(NOT(ISNUMBER('Price History'!S9)),NOT(ISNUMBER('Price History'!S8)),'Price History'!S8=0),"",'Price History'!S9/'Price History'!S8-1),"")</f>
        <v>-0.0288997802940679</v>
      </c>
      <c r="T8" s="143" t="n">
        <f aca="false">IFERROR(IF(OR(NOT(ISNUMBER('Price History'!T9)),NOT(ISNUMBER('Price History'!T8)),'Price History'!T8=0),"",'Price History'!T9/'Price History'!T8-1),"")</f>
        <v>-0.0148288973384031</v>
      </c>
      <c r="U8" s="143" t="str">
        <f aca="false">IFERROR(IF(OR(NOT(ISNUMBER('Price History'!U9)),NOT(ISNUMBER('Price History'!U8)),'Price History'!U8=0),"",'Price History'!U9/'Price History'!U8-1),"")</f>
        <v/>
      </c>
      <c r="V8" s="144" t="n">
        <f aca="false">IFERROR(IF(OR(NOT(ISNUMBER('Price History'!V9)),NOT(ISNUMBER('Price History'!V8)),'Price History'!V8=0),"",'Price History'!V9/'Price History'!V8-1),"")</f>
        <v>-0.0248270593727454</v>
      </c>
      <c r="W8" s="145" t="str">
        <f aca="false">IFERROR('Price History'!B3+(INDEX('Price History'!B:B,MATCH(9.99E+307,'Price History'!$A:$A))-'Price History'!B3)*(ROW()-3)/(MATCH(9.99E+307,'Returns (Calc)'!$A:$A)-3),"")</f>
        <v/>
      </c>
      <c r="X8" s="145" t="n">
        <f aca="false">IFERROR('Price History'!C3+(INDEX('Price History'!C:C,MATCH(9.99E+307,'Price History'!$A:$A))-'Price History'!C3)*(ROW()-3)/(MATCH(9.99E+307,'Returns (Calc)'!$A:$A)-3),"")</f>
        <v>44.7277987421384</v>
      </c>
      <c r="Y8" s="145" t="n">
        <f aca="false">IFERROR('Price History'!D3+(INDEX('Price History'!D:D,MATCH(9.99E+307,'Price History'!$A:$A))-'Price History'!D3)*(ROW()-3)/(MATCH(9.99E+307,'Returns (Calc)'!$A:$A)-3),"")</f>
        <v>563.707798742138</v>
      </c>
      <c r="Z8" s="145" t="n">
        <f aca="false">IFERROR('Price History'!E3+(INDEX('Price History'!E:E,MATCH(9.99E+307,'Price History'!$A:$A))-'Price History'!E3)*(ROW()-3)/(MATCH(9.99E+307,'Returns (Calc)'!$A:$A)-3),"")</f>
        <v>79.4213836477988</v>
      </c>
      <c r="AA8" s="145" t="n">
        <f aca="false">IFERROR('Price History'!F3+(INDEX('Price History'!F:F,MATCH(9.99E+307,'Price History'!$A:$A))-'Price History'!F3)*(ROW()-3)/(MATCH(9.99E+307,'Returns (Calc)'!$A:$A)-3),"")</f>
        <v>72.9417610062893</v>
      </c>
      <c r="AB8" s="145" t="n">
        <f aca="false">IFERROR('Price History'!G3+(INDEX('Price History'!G:G,MATCH(9.99E+307,'Price History'!$A:$A))-'Price History'!G3)*(ROW()-3)/(MATCH(9.99E+307,'Returns (Calc)'!$A:$A)-3),"")</f>
        <v>40.0593710691824</v>
      </c>
      <c r="AC8" s="145" t="n">
        <f aca="false">IFERROR('Price History'!H3+(INDEX('Price History'!H:H,MATCH(9.99E+307,'Price History'!$A:$A))-'Price History'!H3)*(ROW()-3)/(MATCH(9.99E+307,'Returns (Calc)'!$A:$A)-3),"")</f>
        <v>97.4267924528302</v>
      </c>
      <c r="AD8" s="145" t="n">
        <f aca="false">IFERROR('Price History'!I3+(INDEX('Price History'!I:I,MATCH(9.99E+307,'Price History'!$A:$A))-'Price History'!I3)*(ROW()-3)/(MATCH(9.99E+307,'Returns (Calc)'!$A:$A)-3),"")</f>
        <v>42.9553459119497</v>
      </c>
      <c r="AE8" s="145" t="n">
        <f aca="false">IFERROR('Price History'!J3+(INDEX('Price History'!J:J,MATCH(9.99E+307,'Price History'!$A:$A))-'Price History'!J3)*(ROW()-3)/(MATCH(9.99E+307,'Returns (Calc)'!$A:$A)-3),"")</f>
        <v>66.9367295597484</v>
      </c>
      <c r="AF8" s="145" t="n">
        <f aca="false">IFERROR('Price History'!K3+(INDEX('Price History'!K:K,MATCH(9.99E+307,'Price History'!$A:$A))-'Price History'!K3)*(ROW()-3)/(MATCH(9.99E+307,'Returns (Calc)'!$A:$A)-3),"")</f>
        <v>42.3935849056604</v>
      </c>
      <c r="AG8" s="145" t="n">
        <f aca="false">IFERROR('Price History'!L3+(INDEX('Price History'!L:L,MATCH(9.99E+307,'Price History'!$A:$A))-'Price History'!L3)*(ROW()-3)/(MATCH(9.99E+307,'Returns (Calc)'!$A:$A)-3),"")</f>
        <v>108.323018867925</v>
      </c>
      <c r="AH8" s="145" t="n">
        <f aca="false">IFERROR('Price History'!M3+(INDEX('Price History'!M:M,MATCH(9.99E+307,'Price History'!$A:$A))-'Price History'!M3)*(ROW()-3)/(MATCH(9.99E+307,'Returns (Calc)'!$A:$A)-3),"")</f>
        <v>14.8479245283019</v>
      </c>
      <c r="AI8" s="145" t="n">
        <f aca="false">IFERROR('Price History'!N3+(INDEX('Price History'!N:N,MATCH(9.99E+307,'Price History'!$A:$A))-'Price History'!N3)*(ROW()-3)/(MATCH(9.99E+307,'Returns (Calc)'!$A:$A)-3),"")</f>
        <v>21.114465408805</v>
      </c>
      <c r="AJ8" s="145" t="n">
        <f aca="false">IFERROR('Price History'!O3+(INDEX('Price History'!O:O,MATCH(9.99E+307,'Price History'!$A:$A))-'Price History'!O3)*(ROW()-3)/(MATCH(9.99E+307,'Returns (Calc)'!$A:$A)-3),"")</f>
        <v>55.8177358490566</v>
      </c>
      <c r="AK8" s="145" t="n">
        <f aca="false">IFERROR('Price History'!Q3+(INDEX('Price History'!Q:Q,MATCH(9.99E+307,'Price History'!$A:$A))-'Price History'!Q3)*(ROW()-3)/(MATCH(9.99E+307,'Returns (Calc)'!$A:$A)-3),"")</f>
        <v>228.220251572327</v>
      </c>
      <c r="AL8" s="145" t="n">
        <f aca="false">IFERROR('Price History'!R3+(INDEX('Price History'!R:R,MATCH(9.99E+307,'Price History'!$A:$A))-'Price History'!R3)*(ROW()-3)/(MATCH(9.99E+307,'Returns (Calc)'!$A:$A)-3),"")</f>
        <v>46.3162264150943</v>
      </c>
      <c r="AM8" s="145" t="n">
        <f aca="false">IFERROR('Price History'!S3+(INDEX('Price History'!S:S,MATCH(9.99E+307,'Price History'!$A:$A))-'Price History'!S3)*(ROW()-3)/(MATCH(9.99E+307,'Returns (Calc)'!$A:$A)-3),"")</f>
        <v>56.6991194968553</v>
      </c>
      <c r="AN8" s="145" t="n">
        <f aca="false">IFERROR('Price History'!T3+(INDEX('Price History'!T:T,MATCH(9.99E+307,'Price History'!$A:$A))-'Price History'!T3)*(ROW()-3)/(MATCH(9.99E+307,'Returns (Calc)'!$A:$A)-3),"")</f>
        <v>26.0637735849057</v>
      </c>
      <c r="AO8" s="146" t="n">
        <f aca="false">IFERROR('Price History'!V3+(INDEX('Price History'!V:V,MATCH(9.99E+307,'Price History'!$A:$A))-'Price History'!V3)*(ROW()-3)/(MATCH(9.99E+307,'Returns (Calc)'!$A:$A)-3),"")</f>
        <v>0</v>
      </c>
    </row>
    <row r="9" customFormat="false" ht="15" hidden="false" customHeight="true" outlineLevel="0" collapsed="false">
      <c r="A9" s="142" t="n">
        <f aca="false">IF('Price History'!A10="","",'Price History'!A10)</f>
        <v>45233</v>
      </c>
      <c r="B9" s="143" t="n">
        <f aca="false">IFERROR(IF(OR(NOT(ISNUMBER('Price History'!B10)),NOT(ISNUMBER('Price History'!B9)),'Price History'!B9=0),"",'Price History'!B10/'Price History'!B9-1),"")</f>
        <v>0.10930488860899</v>
      </c>
      <c r="C9" s="143" t="n">
        <f aca="false">IFERROR(IF(OR(NOT(ISNUMBER('Price History'!C10)),NOT(ISNUMBER('Price History'!C9)),'Price History'!C9=0),"",'Price History'!C10/'Price History'!C9-1),"")</f>
        <v>0.205902383654938</v>
      </c>
      <c r="D9" s="143" t="n">
        <f aca="false">IFERROR(IF(OR(NOT(ISNUMBER('Price History'!D10)),NOT(ISNUMBER('Price History'!D9)),'Price History'!D9=0),"",'Price History'!D10/'Price History'!D9-1),"")</f>
        <v>0.0916041145398945</v>
      </c>
      <c r="E9" s="143" t="n">
        <f aca="false">IFERROR(IF(OR(NOT(ISNUMBER('Price History'!E10)),NOT(ISNUMBER('Price History'!E9)),'Price History'!E9=0),"",'Price History'!E10/'Price History'!E9-1),"")</f>
        <v>0.0528585510103501</v>
      </c>
      <c r="F9" s="143" t="n">
        <f aca="false">IFERROR(IF(OR(NOT(ISNUMBER('Price History'!F10)),NOT(ISNUMBER('Price History'!F9)),'Price History'!F9=0),"",'Price History'!F10/'Price History'!F9-1),"")</f>
        <v>0.0716225875625445</v>
      </c>
      <c r="G9" s="143" t="n">
        <f aca="false">IFERROR(IF(OR(NOT(ISNUMBER('Price History'!G10)),NOT(ISNUMBER('Price History'!G9)),'Price History'!G9=0),"",'Price History'!G10/'Price History'!G9-1),"")</f>
        <v>0.0890997454292988</v>
      </c>
      <c r="H9" s="143" t="n">
        <f aca="false">IFERROR(IF(OR(NOT(ISNUMBER('Price History'!H10)),NOT(ISNUMBER('Price History'!H9)),'Price History'!H9=0),"",'Price History'!H10/'Price History'!H9-1),"")</f>
        <v>0.0586580086580084</v>
      </c>
      <c r="I9" s="143" t="n">
        <f aca="false">IFERROR(IF(OR(NOT(ISNUMBER('Price History'!I10)),NOT(ISNUMBER('Price History'!I9)),'Price History'!I9=0),"",'Price History'!I10/'Price History'!I9-1),"")</f>
        <v>0.091010733452594</v>
      </c>
      <c r="J9" s="143" t="n">
        <f aca="false">IFERROR(IF(OR(NOT(ISNUMBER('Price History'!J10)),NOT(ISNUMBER('Price History'!J9)),'Price History'!J9=0),"",'Price History'!J10/'Price History'!J9-1),"")</f>
        <v>0.10564354913117</v>
      </c>
      <c r="K9" s="143" t="n">
        <f aca="false">IFERROR(IF(OR(NOT(ISNUMBER('Price History'!K10)),NOT(ISNUMBER('Price History'!K9)),'Price History'!K9=0),"",'Price History'!K10/'Price History'!K9-1),"")</f>
        <v>0.111193660227835</v>
      </c>
      <c r="L9" s="143" t="n">
        <f aca="false">IFERROR(IF(OR(NOT(ISNUMBER('Price History'!L10)),NOT(ISNUMBER('Price History'!L9)),'Price History'!L9=0),"",'Price History'!L10/'Price History'!L9-1),"")</f>
        <v>0.0948392937980986</v>
      </c>
      <c r="M9" s="143" t="n">
        <f aca="false">IFERROR(IF(OR(NOT(ISNUMBER('Price History'!M10)),NOT(ISNUMBER('Price History'!M9)),'Price History'!M9=0),"",'Price History'!M10/'Price History'!M9-1),"")</f>
        <v>0.253483742534838</v>
      </c>
      <c r="N9" s="143" t="n">
        <f aca="false">IFERROR(IF(OR(NOT(ISNUMBER('Price History'!N10)),NOT(ISNUMBER('Price History'!N9)),'Price History'!N9=0),"",'Price History'!N10/'Price History'!N9-1),"")</f>
        <v>0.0500250125062531</v>
      </c>
      <c r="O9" s="143" t="n">
        <f aca="false">IFERROR(IF(OR(NOT(ISNUMBER('Price History'!O10)),NOT(ISNUMBER('Price History'!O9)),'Price History'!O9=0),"",'Price History'!O10/'Price History'!O9-1),"")</f>
        <v>0.0584547298543243</v>
      </c>
      <c r="P9" s="143" t="n">
        <f aca="false">IFERROR(IF(OR(NOT(ISNUMBER('Price History'!P10)),NOT(ISNUMBER('Price History'!P9)),'Price History'!P9=0),"",'Price History'!P10/'Price History'!P9-1),"")</f>
        <v>0.0674170902929072</v>
      </c>
      <c r="Q9" s="143" t="n">
        <f aca="false">IFERROR(IF(OR(NOT(ISNUMBER('Price History'!Q10)),NOT(ISNUMBER('Price History'!Q9)),'Price History'!Q9=0),"",'Price History'!Q10/'Price History'!Q9-1),"")</f>
        <v>0.062516733601071</v>
      </c>
      <c r="R9" s="143" t="n">
        <f aca="false">IFERROR(IF(OR(NOT(ISNUMBER('Price History'!R10)),NOT(ISNUMBER('Price History'!R9)),'Price History'!R9=0),"",'Price History'!R10/'Price History'!R9-1),"")</f>
        <v>0.000426348326582948</v>
      </c>
      <c r="S9" s="143" t="n">
        <f aca="false">IFERROR(IF(OR(NOT(ISNUMBER('Price History'!S10)),NOT(ISNUMBER('Price History'!S9)),'Price History'!S9=0),"",'Price History'!S10/'Price History'!S9-1),"")</f>
        <v>-0.00313261399234255</v>
      </c>
      <c r="T9" s="143" t="n">
        <f aca="false">IFERROR(IF(OR(NOT(ISNUMBER('Price History'!T10)),NOT(ISNUMBER('Price History'!T9)),'Price History'!T9=0),"",'Price History'!T10/'Price History'!T9-1),"")</f>
        <v>0.00270165959089153</v>
      </c>
      <c r="U9" s="143" t="str">
        <f aca="false">IFERROR(IF(OR(NOT(ISNUMBER('Price History'!U10)),NOT(ISNUMBER('Price History'!U9)),'Price History'!U9=0),"",'Price History'!U10/'Price History'!U9-1),"")</f>
        <v/>
      </c>
      <c r="V9" s="144" t="n">
        <f aca="false">IFERROR(IF(OR(NOT(ISNUMBER('Price History'!V10)),NOT(ISNUMBER('Price History'!V9)),'Price History'!V9=0),"",'Price History'!V10/'Price History'!V9-1),"")</f>
        <v>-0.0215858647401863</v>
      </c>
      <c r="W9" s="145" t="str">
        <f aca="false">IFERROR('Price History'!B3+(INDEX('Price History'!B:B,MATCH(9.99E+307,'Price History'!$A:$A))-'Price History'!B3)*(ROW()-3)/(MATCH(9.99E+307,'Returns (Calc)'!$A:$A)-3),"")</f>
        <v/>
      </c>
      <c r="X9" s="145" t="n">
        <f aca="false">IFERROR('Price History'!C3+(INDEX('Price History'!C:C,MATCH(9.99E+307,'Price History'!$A:$A))-'Price History'!C3)*(ROW()-3)/(MATCH(9.99E+307,'Returns (Calc)'!$A:$A)-3),"")</f>
        <v>44.437358490566</v>
      </c>
      <c r="Y9" s="145" t="n">
        <f aca="false">IFERROR('Price History'!D3+(INDEX('Price History'!D:D,MATCH(9.99E+307,'Price History'!$A:$A))-'Price History'!D3)*(ROW()-3)/(MATCH(9.99E+307,'Returns (Calc)'!$A:$A)-3),"")</f>
        <v>560.047358490566</v>
      </c>
      <c r="Z9" s="145" t="n">
        <f aca="false">IFERROR('Price History'!E3+(INDEX('Price History'!E:E,MATCH(9.99E+307,'Price History'!$A:$A))-'Price History'!E3)*(ROW()-3)/(MATCH(9.99E+307,'Returns (Calc)'!$A:$A)-3),"")</f>
        <v>78.9056603773585</v>
      </c>
      <c r="AA9" s="145" t="n">
        <f aca="false">IFERROR('Price History'!F3+(INDEX('Price History'!F:F,MATCH(9.99E+307,'Price History'!$A:$A))-'Price History'!F3)*(ROW()-3)/(MATCH(9.99E+307,'Returns (Calc)'!$A:$A)-3),"")</f>
        <v>72.4681132075472</v>
      </c>
      <c r="AB9" s="145" t="n">
        <f aca="false">IFERROR('Price History'!G3+(INDEX('Price History'!G:G,MATCH(9.99E+307,'Price History'!$A:$A))-'Price History'!G3)*(ROW()-3)/(MATCH(9.99E+307,'Returns (Calc)'!$A:$A)-3),"")</f>
        <v>39.7992452830189</v>
      </c>
      <c r="AC9" s="145" t="n">
        <f aca="false">IFERROR('Price History'!H3+(INDEX('Price History'!H:H,MATCH(9.99E+307,'Price History'!$A:$A))-'Price History'!H3)*(ROW()-3)/(MATCH(9.99E+307,'Returns (Calc)'!$A:$A)-3),"")</f>
        <v>96.7941509433962</v>
      </c>
      <c r="AD9" s="145" t="n">
        <f aca="false">IFERROR('Price History'!I3+(INDEX('Price History'!I:I,MATCH(9.99E+307,'Price History'!$A:$A))-'Price History'!I3)*(ROW()-3)/(MATCH(9.99E+307,'Returns (Calc)'!$A:$A)-3),"")</f>
        <v>42.6764150943396</v>
      </c>
      <c r="AE9" s="145" t="n">
        <f aca="false">IFERROR('Price History'!J3+(INDEX('Price History'!J:J,MATCH(9.99E+307,'Price History'!$A:$A))-'Price History'!J3)*(ROW()-3)/(MATCH(9.99E+307,'Returns (Calc)'!$A:$A)-3),"")</f>
        <v>66.5020754716981</v>
      </c>
      <c r="AF9" s="145" t="n">
        <f aca="false">IFERROR('Price History'!K3+(INDEX('Price History'!K:K,MATCH(9.99E+307,'Price History'!$A:$A))-'Price History'!K3)*(ROW()-3)/(MATCH(9.99E+307,'Returns (Calc)'!$A:$A)-3),"")</f>
        <v>42.1183018867925</v>
      </c>
      <c r="AG9" s="145" t="n">
        <f aca="false">IFERROR('Price History'!L3+(INDEX('Price History'!L:L,MATCH(9.99E+307,'Price History'!$A:$A))-'Price History'!L3)*(ROW()-3)/(MATCH(9.99E+307,'Returns (Calc)'!$A:$A)-3),"")</f>
        <v>107.619622641509</v>
      </c>
      <c r="AH9" s="145" t="n">
        <f aca="false">IFERROR('Price History'!M3+(INDEX('Price History'!M:M,MATCH(9.99E+307,'Price History'!$A:$A))-'Price History'!M3)*(ROW()-3)/(MATCH(9.99E+307,'Returns (Calc)'!$A:$A)-3),"")</f>
        <v>14.7515094339623</v>
      </c>
      <c r="AI9" s="145" t="n">
        <f aca="false">IFERROR('Price History'!N3+(INDEX('Price History'!N:N,MATCH(9.99E+307,'Price History'!$A:$A))-'Price History'!N3)*(ROW()-3)/(MATCH(9.99E+307,'Returns (Calc)'!$A:$A)-3),"")</f>
        <v>20.977358490566</v>
      </c>
      <c r="AJ9" s="145" t="n">
        <f aca="false">IFERROR('Price History'!O3+(INDEX('Price History'!O:O,MATCH(9.99E+307,'Price History'!$A:$A))-'Price History'!O3)*(ROW()-3)/(MATCH(9.99E+307,'Returns (Calc)'!$A:$A)-3),"")</f>
        <v>55.4552830188679</v>
      </c>
      <c r="AK9" s="145" t="n">
        <f aca="false">IFERROR('Price History'!Q3+(INDEX('Price History'!Q:Q,MATCH(9.99E+307,'Price History'!$A:$A))-'Price History'!Q3)*(ROW()-3)/(MATCH(9.99E+307,'Returns (Calc)'!$A:$A)-3),"")</f>
        <v>226.738301886792</v>
      </c>
      <c r="AL9" s="145" t="n">
        <f aca="false">IFERROR('Price History'!R3+(INDEX('Price History'!R:R,MATCH(9.99E+307,'Price History'!$A:$A))-'Price History'!R3)*(ROW()-3)/(MATCH(9.99E+307,'Returns (Calc)'!$A:$A)-3),"")</f>
        <v>46.0154716981132</v>
      </c>
      <c r="AM9" s="145" t="n">
        <f aca="false">IFERROR('Price History'!S3+(INDEX('Price History'!S:S,MATCH(9.99E+307,'Price History'!$A:$A))-'Price History'!S3)*(ROW()-3)/(MATCH(9.99E+307,'Returns (Calc)'!$A:$A)-3),"")</f>
        <v>56.3309433962264</v>
      </c>
      <c r="AN9" s="145" t="n">
        <f aca="false">IFERROR('Price History'!T3+(INDEX('Price History'!T:T,MATCH(9.99E+307,'Price History'!$A:$A))-'Price History'!T3)*(ROW()-3)/(MATCH(9.99E+307,'Returns (Calc)'!$A:$A)-3),"")</f>
        <v>25.8945283018868</v>
      </c>
      <c r="AO9" s="146" t="n">
        <f aca="false">IFERROR('Price History'!V3+(INDEX('Price History'!V:V,MATCH(9.99E+307,'Price History'!$A:$A))-'Price History'!V3)*(ROW()-3)/(MATCH(9.99E+307,'Returns (Calc)'!$A:$A)-3),"")</f>
        <v>0</v>
      </c>
    </row>
    <row r="10" customFormat="false" ht="15" hidden="false" customHeight="true" outlineLevel="0" collapsed="false">
      <c r="A10" s="142" t="n">
        <f aca="false">IF('Price History'!A11="","",'Price History'!A11)</f>
        <v>45240</v>
      </c>
      <c r="B10" s="143" t="n">
        <f aca="false">IFERROR(IF(OR(NOT(ISNUMBER('Price History'!B11)),NOT(ISNUMBER('Price History'!B10)),'Price History'!B10=0),"",'Price History'!B11/'Price History'!B10-1),"")</f>
        <v>0.0595394386687012</v>
      </c>
      <c r="C10" s="143" t="n">
        <f aca="false">IFERROR(IF(OR(NOT(ISNUMBER('Price History'!C11)),NOT(ISNUMBER('Price History'!C10)),'Price History'!C10=0),"",'Price History'!C11/'Price History'!C10-1),"")</f>
        <v>-0.0265436746987952</v>
      </c>
      <c r="D10" s="143" t="n">
        <f aca="false">IFERROR(IF(OR(NOT(ISNUMBER('Price History'!D11)),NOT(ISNUMBER('Price History'!D10)),'Price History'!D10=0),"",'Price History'!D11/'Price History'!D10-1),"")</f>
        <v>0.0293836750286516</v>
      </c>
      <c r="E10" s="143" t="n">
        <f aca="false">IFERROR(IF(OR(NOT(ISNUMBER('Price History'!E11)),NOT(ISNUMBER('Price History'!E10)),'Price History'!E10=0),"",'Price History'!E11/'Price History'!E10-1),"")</f>
        <v>0.0847279110590988</v>
      </c>
      <c r="F10" s="143" t="n">
        <f aca="false">IFERROR(IF(OR(NOT(ISNUMBER('Price History'!F11)),NOT(ISNUMBER('Price History'!F10)),'Price History'!F10=0),"",'Price History'!F11/'Price History'!F10-1),"")</f>
        <v>-0.0341515474919956</v>
      </c>
      <c r="G10" s="143" t="n">
        <f aca="false">IFERROR(IF(OR(NOT(ISNUMBER('Price History'!G11)),NOT(ISNUMBER('Price History'!G10)),'Price History'!G10=0),"",'Price History'!G11/'Price History'!G10-1),"")</f>
        <v>0.0429239269018273</v>
      </c>
      <c r="H10" s="143" t="n">
        <f aca="false">IFERROR(IF(OR(NOT(ISNUMBER('Price History'!H11)),NOT(ISNUMBER('Price History'!H10)),'Price History'!H10=0),"",'Price History'!H11/'Price History'!H10-1),"")</f>
        <v>-0.0225925168677161</v>
      </c>
      <c r="I10" s="143" t="n">
        <f aca="false">IFERROR(IF(OR(NOT(ISNUMBER('Price History'!I11)),NOT(ISNUMBER('Price History'!I10)),'Price History'!I10=0),"",'Price History'!I11/'Price History'!I10-1),"")</f>
        <v>0.0692764910842387</v>
      </c>
      <c r="J10" s="143" t="n">
        <f aca="false">IFERROR(IF(OR(NOT(ISNUMBER('Price History'!J11)),NOT(ISNUMBER('Price History'!J10)),'Price History'!J10=0),"",'Price History'!J11/'Price History'!J10-1),"")</f>
        <v>0.0382475660639778</v>
      </c>
      <c r="K10" s="143" t="n">
        <f aca="false">IFERROR(IF(OR(NOT(ISNUMBER('Price History'!K11)),NOT(ISNUMBER('Price History'!K10)),'Price History'!K10=0),"",'Price History'!K11/'Price History'!K10-1),"")</f>
        <v>0.0739915310898149</v>
      </c>
      <c r="L10" s="143" t="n">
        <f aca="false">IFERROR(IF(OR(NOT(ISNUMBER('Price History'!L11)),NOT(ISNUMBER('Price History'!L10)),'Price History'!L10=0),"",'Price History'!L11/'Price History'!L10-1),"")</f>
        <v>-0.0187099441802769</v>
      </c>
      <c r="M10" s="143" t="n">
        <f aca="false">IFERROR(IF(OR(NOT(ISNUMBER('Price History'!M11)),NOT(ISNUMBER('Price History'!M10)),'Price History'!M10=0),"",'Price History'!M11/'Price History'!M10-1),"")</f>
        <v>0.0412916887241928</v>
      </c>
      <c r="N10" s="143" t="n">
        <f aca="false">IFERROR(IF(OR(NOT(ISNUMBER('Price History'!N11)),NOT(ISNUMBER('Price History'!N10)),'Price History'!N10=0),"",'Price History'!N11/'Price History'!N10-1),"")</f>
        <v>-0.0114340161981895</v>
      </c>
      <c r="O10" s="143" t="n">
        <f aca="false">IFERROR(IF(OR(NOT(ISNUMBER('Price History'!O11)),NOT(ISNUMBER('Price History'!O10)),'Price History'!O10=0),"",'Price History'!O11/'Price History'!O10-1),"")</f>
        <v>0.0294425087108015</v>
      </c>
      <c r="P10" s="143" t="n">
        <f aca="false">IFERROR(IF(OR(NOT(ISNUMBER('Price History'!P11)),NOT(ISNUMBER('Price History'!P10)),'Price History'!P10=0),"",'Price History'!P11/'Price History'!P10-1),"")</f>
        <v>0.061571606758136</v>
      </c>
      <c r="Q10" s="143" t="n">
        <f aca="false">IFERROR(IF(OR(NOT(ISNUMBER('Price History'!Q11)),NOT(ISNUMBER('Price History'!Q10)),'Price History'!Q10=0),"",'Price History'!Q11/'Price History'!Q10-1),"")</f>
        <v>0.00890344798622467</v>
      </c>
      <c r="R10" s="143" t="n">
        <f aca="false">IFERROR(IF(OR(NOT(ISNUMBER('Price History'!R11)),NOT(ISNUMBER('Price History'!R10)),'Price History'!R10=0),"",'Price History'!R11/'Price History'!R10-1),"")</f>
        <v>0.0042616663115278</v>
      </c>
      <c r="S10" s="143" t="n">
        <f aca="false">IFERROR(IF(OR(NOT(ISNUMBER('Price History'!S11)),NOT(ISNUMBER('Price History'!S10)),'Price History'!S10=0),"",'Price History'!S11/'Price History'!S10-1),"")</f>
        <v>0.011173184357542</v>
      </c>
      <c r="T10" s="143" t="n">
        <f aca="false">IFERROR(IF(OR(NOT(ISNUMBER('Price History'!T11)),NOT(ISNUMBER('Price History'!T10)),'Price History'!T10=0),"",'Price History'!T11/'Price History'!T10-1),"")</f>
        <v>-0.0184757505773672</v>
      </c>
      <c r="U10" s="143" t="str">
        <f aca="false">IFERROR(IF(OR(NOT(ISNUMBER('Price History'!U11)),NOT(ISNUMBER('Price History'!U10)),'Price History'!U10=0),"",'Price History'!U11/'Price History'!U10-1),"")</f>
        <v/>
      </c>
      <c r="V10" s="144" t="n">
        <f aca="false">IFERROR(IF(OR(NOT(ISNUMBER('Price History'!V11)),NOT(ISNUMBER('Price History'!V10)),'Price History'!V10=0),"",'Price History'!V11/'Price History'!V10-1),"")</f>
        <v>0.0218841740058715</v>
      </c>
      <c r="W10" s="145" t="str">
        <f aca="false">IFERROR('Price History'!B3+(INDEX('Price History'!B:B,MATCH(9.99E+307,'Price History'!$A:$A))-'Price History'!B3)*(ROW()-3)/(MATCH(9.99E+307,'Returns (Calc)'!$A:$A)-3),"")</f>
        <v/>
      </c>
      <c r="X10" s="145" t="n">
        <f aca="false">IFERROR('Price History'!C3+(INDEX('Price History'!C:C,MATCH(9.99E+307,'Price History'!$A:$A))-'Price History'!C3)*(ROW()-3)/(MATCH(9.99E+307,'Returns (Calc)'!$A:$A)-3),"")</f>
        <v>44.1469182389937</v>
      </c>
      <c r="Y10" s="145" t="n">
        <f aca="false">IFERROR('Price History'!D3+(INDEX('Price History'!D:D,MATCH(9.99E+307,'Price History'!$A:$A))-'Price History'!D3)*(ROW()-3)/(MATCH(9.99E+307,'Returns (Calc)'!$A:$A)-3),"")</f>
        <v>556.386918238994</v>
      </c>
      <c r="Z10" s="145" t="n">
        <f aca="false">IFERROR('Price History'!E3+(INDEX('Price History'!E:E,MATCH(9.99E+307,'Price History'!$A:$A))-'Price History'!E3)*(ROW()-3)/(MATCH(9.99E+307,'Returns (Calc)'!$A:$A)-3),"")</f>
        <v>78.3899371069182</v>
      </c>
      <c r="AA10" s="145" t="n">
        <f aca="false">IFERROR('Price History'!F3+(INDEX('Price History'!F:F,MATCH(9.99E+307,'Price History'!$A:$A))-'Price History'!F3)*(ROW()-3)/(MATCH(9.99E+307,'Returns (Calc)'!$A:$A)-3),"")</f>
        <v>71.994465408805</v>
      </c>
      <c r="AB10" s="145" t="n">
        <f aca="false">IFERROR('Price History'!G3+(INDEX('Price History'!G:G,MATCH(9.99E+307,'Price History'!$A:$A))-'Price History'!G3)*(ROW()-3)/(MATCH(9.99E+307,'Returns (Calc)'!$A:$A)-3),"")</f>
        <v>39.5391194968553</v>
      </c>
      <c r="AC10" s="145" t="n">
        <f aca="false">IFERROR('Price History'!H3+(INDEX('Price History'!H:H,MATCH(9.99E+307,'Price History'!$A:$A))-'Price History'!H3)*(ROW()-3)/(MATCH(9.99E+307,'Returns (Calc)'!$A:$A)-3),"")</f>
        <v>96.1615094339623</v>
      </c>
      <c r="AD10" s="145" t="n">
        <f aca="false">IFERROR('Price History'!I3+(INDEX('Price History'!I:I,MATCH(9.99E+307,'Price History'!$A:$A))-'Price History'!I3)*(ROW()-3)/(MATCH(9.99E+307,'Returns (Calc)'!$A:$A)-3),"")</f>
        <v>42.3974842767296</v>
      </c>
      <c r="AE10" s="145" t="n">
        <f aca="false">IFERROR('Price History'!J3+(INDEX('Price History'!J:J,MATCH(9.99E+307,'Price History'!$A:$A))-'Price History'!J3)*(ROW()-3)/(MATCH(9.99E+307,'Returns (Calc)'!$A:$A)-3),"")</f>
        <v>66.0674213836478</v>
      </c>
      <c r="AF10" s="145" t="n">
        <f aca="false">IFERROR('Price History'!K3+(INDEX('Price History'!K:K,MATCH(9.99E+307,'Price History'!$A:$A))-'Price History'!K3)*(ROW()-3)/(MATCH(9.99E+307,'Returns (Calc)'!$A:$A)-3),"")</f>
        <v>41.8430188679245</v>
      </c>
      <c r="AG10" s="145" t="n">
        <f aca="false">IFERROR('Price History'!L3+(INDEX('Price History'!L:L,MATCH(9.99E+307,'Price History'!$A:$A))-'Price History'!L3)*(ROW()-3)/(MATCH(9.99E+307,'Returns (Calc)'!$A:$A)-3),"")</f>
        <v>106.916226415094</v>
      </c>
      <c r="AH10" s="145" t="n">
        <f aca="false">IFERROR('Price History'!M3+(INDEX('Price History'!M:M,MATCH(9.99E+307,'Price History'!$A:$A))-'Price History'!M3)*(ROW()-3)/(MATCH(9.99E+307,'Returns (Calc)'!$A:$A)-3),"")</f>
        <v>14.6550943396226</v>
      </c>
      <c r="AI10" s="145" t="n">
        <f aca="false">IFERROR('Price History'!N3+(INDEX('Price History'!N:N,MATCH(9.99E+307,'Price History'!$A:$A))-'Price History'!N3)*(ROW()-3)/(MATCH(9.99E+307,'Returns (Calc)'!$A:$A)-3),"")</f>
        <v>20.840251572327</v>
      </c>
      <c r="AJ10" s="145" t="n">
        <f aca="false">IFERROR('Price History'!O3+(INDEX('Price History'!O:O,MATCH(9.99E+307,'Price History'!$A:$A))-'Price History'!O3)*(ROW()-3)/(MATCH(9.99E+307,'Returns (Calc)'!$A:$A)-3),"")</f>
        <v>55.0928301886792</v>
      </c>
      <c r="AK10" s="145" t="n">
        <f aca="false">IFERROR('Price History'!Q3+(INDEX('Price History'!Q:Q,MATCH(9.99E+307,'Price History'!$A:$A))-'Price History'!Q3)*(ROW()-3)/(MATCH(9.99E+307,'Returns (Calc)'!$A:$A)-3),"")</f>
        <v>225.256352201258</v>
      </c>
      <c r="AL10" s="145" t="n">
        <f aca="false">IFERROR('Price History'!R3+(INDEX('Price History'!R:R,MATCH(9.99E+307,'Price History'!$A:$A))-'Price History'!R3)*(ROW()-3)/(MATCH(9.99E+307,'Returns (Calc)'!$A:$A)-3),"")</f>
        <v>45.7147169811321</v>
      </c>
      <c r="AM10" s="145" t="n">
        <f aca="false">IFERROR('Price History'!S3+(INDEX('Price History'!S:S,MATCH(9.99E+307,'Price History'!$A:$A))-'Price History'!S3)*(ROW()-3)/(MATCH(9.99E+307,'Returns (Calc)'!$A:$A)-3),"")</f>
        <v>55.9627672955975</v>
      </c>
      <c r="AN10" s="145" t="n">
        <f aca="false">IFERROR('Price History'!T3+(INDEX('Price History'!T:T,MATCH(9.99E+307,'Price History'!$A:$A))-'Price History'!T3)*(ROW()-3)/(MATCH(9.99E+307,'Returns (Calc)'!$A:$A)-3),"")</f>
        <v>25.7252830188679</v>
      </c>
      <c r="AO10" s="146" t="n">
        <f aca="false">IFERROR('Price History'!V3+(INDEX('Price History'!V:V,MATCH(9.99E+307,'Price History'!$A:$A))-'Price History'!V3)*(ROW()-3)/(MATCH(9.99E+307,'Returns (Calc)'!$A:$A)-3),"")</f>
        <v>0</v>
      </c>
    </row>
    <row r="11" customFormat="false" ht="15" hidden="false" customHeight="true" outlineLevel="0" collapsed="false">
      <c r="A11" s="142" t="n">
        <f aca="false">IF('Price History'!A12="","",'Price History'!A12)</f>
        <v>45247</v>
      </c>
      <c r="B11" s="143" t="n">
        <f aca="false">IFERROR(IF(OR(NOT(ISNUMBER('Price History'!B12)),NOT(ISNUMBER('Price History'!B11)),'Price History'!B11=0),"",'Price History'!B12/'Price History'!B11-1),"")</f>
        <v>0.00910887110277603</v>
      </c>
      <c r="C11" s="143" t="n">
        <f aca="false">IFERROR(IF(OR(NOT(ISNUMBER('Price History'!C12)),NOT(ISNUMBER('Price History'!C11)),'Price History'!C11=0),"",'Price History'!C12/'Price History'!C11-1),"")</f>
        <v>0.0377103074840455</v>
      </c>
      <c r="D11" s="143" t="n">
        <f aca="false">IFERROR(IF(OR(NOT(ISNUMBER('Price History'!D12)),NOT(ISNUMBER('Price History'!D11)),'Price History'!D11=0),"",'Price History'!D12/'Price History'!D11-1),"")</f>
        <v>0.0375135302304004</v>
      </c>
      <c r="E11" s="143" t="n">
        <f aca="false">IFERROR(IF(OR(NOT(ISNUMBER('Price History'!E12)),NOT(ISNUMBER('Price History'!E11)),'Price History'!E11=0),"",'Price History'!E12/'Price History'!E11-1),"")</f>
        <v>0.0211457546660914</v>
      </c>
      <c r="F11" s="143" t="n">
        <f aca="false">IFERROR(IF(OR(NOT(ISNUMBER('Price History'!F12)),NOT(ISNUMBER('Price History'!F11)),'Price History'!F11=0),"",'Price History'!F12/'Price History'!F11-1),"")</f>
        <v>0.055524861878453</v>
      </c>
      <c r="G11" s="143" t="n">
        <f aca="false">IFERROR(IF(OR(NOT(ISNUMBER('Price History'!G12)),NOT(ISNUMBER('Price History'!G11)),'Price History'!G11=0),"",'Price History'!G12/'Price History'!G11-1),"")</f>
        <v>0.0548084759576204</v>
      </c>
      <c r="H11" s="143" t="n">
        <f aca="false">IFERROR(IF(OR(NOT(ISNUMBER('Price History'!H12)),NOT(ISNUMBER('Price History'!H11)),'Price History'!H11=0),"",'Price History'!H12/'Price History'!H11-1),"")</f>
        <v>0.0354565422026985</v>
      </c>
      <c r="I11" s="143" t="n">
        <f aca="false">IFERROR(IF(OR(NOT(ISNUMBER('Price History'!I12)),NOT(ISNUMBER('Price History'!I11)),'Price History'!I11=0),"",'Price History'!I12/'Price History'!I11-1),"")</f>
        <v>0.0220433199156602</v>
      </c>
      <c r="J11" s="143" t="n">
        <f aca="false">IFERROR(IF(OR(NOT(ISNUMBER('Price History'!J12)),NOT(ISNUMBER('Price History'!J11)),'Price History'!J11=0),"",'Price History'!J12/'Price History'!J11-1),"")</f>
        <v>0.029202947086403</v>
      </c>
      <c r="K11" s="143" t="n">
        <f aca="false">IFERROR(IF(OR(NOT(ISNUMBER('Price History'!K12)),NOT(ISNUMBER('Price History'!K11)),'Price History'!K11=0),"",'Price History'!K12/'Price History'!K11-1),"")</f>
        <v>0.0199211454658643</v>
      </c>
      <c r="L11" s="143" t="n">
        <f aca="false">IFERROR(IF(OR(NOT(ISNUMBER('Price History'!L12)),NOT(ISNUMBER('Price History'!L11)),'Price History'!L11=0),"",'Price History'!L12/'Price History'!L11-1),"")</f>
        <v>0.0527757294848834</v>
      </c>
      <c r="M11" s="143" t="n">
        <f aca="false">IFERROR(IF(OR(NOT(ISNUMBER('Price History'!M12)),NOT(ISNUMBER('Price History'!M11)),'Price History'!M11=0),"",'Price History'!M12/'Price History'!M11-1),"")</f>
        <v>0.0416878495170308</v>
      </c>
      <c r="N11" s="143" t="n">
        <f aca="false">IFERROR(IF(OR(NOT(ISNUMBER('Price History'!N12)),NOT(ISNUMBER('Price History'!N11)),'Price History'!N11=0),"",'Price History'!N12/'Price History'!N11-1),"")</f>
        <v>0.0240963855421688</v>
      </c>
      <c r="O11" s="143" t="n">
        <f aca="false">IFERROR(IF(OR(NOT(ISNUMBER('Price History'!O12)),NOT(ISNUMBER('Price History'!O11)),'Price History'!O11=0),"",'Price History'!O12/'Price History'!O11-1),"")</f>
        <v>0.0216618717211032</v>
      </c>
      <c r="P11" s="143" t="n">
        <f aca="false">IFERROR(IF(OR(NOT(ISNUMBER('Price History'!P12)),NOT(ISNUMBER('Price History'!P11)),'Price History'!P11=0),"",'Price History'!P12/'Price History'!P11-1),"")</f>
        <v>0.022003845332194</v>
      </c>
      <c r="Q11" s="143" t="n">
        <f aca="false">IFERROR(IF(OR(NOT(ISNUMBER('Price History'!Q12)),NOT(ISNUMBER('Price History'!Q11)),'Price History'!Q11=0),"",'Price History'!Q12/'Price History'!Q11-1),"")</f>
        <v>0.0175664987720101</v>
      </c>
      <c r="R11" s="143" t="n">
        <f aca="false">IFERROR(IF(OR(NOT(ISNUMBER('Price History'!R12)),NOT(ISNUMBER('Price History'!R11)),'Price History'!R11=0),"",'Price History'!R12/'Price History'!R11-1),"")</f>
        <v>0.00275832802885634</v>
      </c>
      <c r="S11" s="143" t="n">
        <f aca="false">IFERROR(IF(OR(NOT(ISNUMBER('Price History'!S12)),NOT(ISNUMBER('Price History'!S11)),'Price History'!S11=0),"",'Price History'!S12/'Price History'!S11-1),"")</f>
        <v>0.00569751381215466</v>
      </c>
      <c r="T11" s="143" t="n">
        <f aca="false">IFERROR(IF(OR(NOT(ISNUMBER('Price History'!T12)),NOT(ISNUMBER('Price History'!T11)),'Price History'!T11=0),"",'Price History'!T12/'Price History'!T11-1),"")</f>
        <v>0.0129411764705882</v>
      </c>
      <c r="U11" s="143" t="str">
        <f aca="false">IFERROR(IF(OR(NOT(ISNUMBER('Price History'!U12)),NOT(ISNUMBER('Price History'!U11)),'Price History'!U11=0),"",'Price History'!U12/'Price History'!U11-1),"")</f>
        <v/>
      </c>
      <c r="V11" s="144" t="n">
        <f aca="false">IFERROR(IF(OR(NOT(ISNUMBER('Price History'!V12)),NOT(ISNUMBER('Price History'!V11)),'Price History'!V11=0),"",'Price History'!V12/'Price History'!V11-1),"")</f>
        <v>0.0111865587185513</v>
      </c>
      <c r="W11" s="145" t="str">
        <f aca="false">IFERROR('Price History'!B3+(INDEX('Price History'!B:B,MATCH(9.99E+307,'Price History'!$A:$A))-'Price History'!B3)*(ROW()-3)/(MATCH(9.99E+307,'Returns (Calc)'!$A:$A)-3),"")</f>
        <v/>
      </c>
      <c r="X11" s="145" t="n">
        <f aca="false">IFERROR('Price History'!C3+(INDEX('Price History'!C:C,MATCH(9.99E+307,'Price History'!$A:$A))-'Price History'!C3)*(ROW()-3)/(MATCH(9.99E+307,'Returns (Calc)'!$A:$A)-3),"")</f>
        <v>43.8564779874214</v>
      </c>
      <c r="Y11" s="145" t="n">
        <f aca="false">IFERROR('Price History'!D3+(INDEX('Price History'!D:D,MATCH(9.99E+307,'Price History'!$A:$A))-'Price History'!D3)*(ROW()-3)/(MATCH(9.99E+307,'Returns (Calc)'!$A:$A)-3),"")</f>
        <v>552.726477987421</v>
      </c>
      <c r="Z11" s="145" t="n">
        <f aca="false">IFERROR('Price History'!E3+(INDEX('Price History'!E:E,MATCH(9.99E+307,'Price History'!$A:$A))-'Price History'!E3)*(ROW()-3)/(MATCH(9.99E+307,'Returns (Calc)'!$A:$A)-3),"")</f>
        <v>77.874213836478</v>
      </c>
      <c r="AA11" s="145" t="n">
        <f aca="false">IFERROR('Price History'!F3+(INDEX('Price History'!F:F,MATCH(9.99E+307,'Price History'!$A:$A))-'Price History'!F3)*(ROW()-3)/(MATCH(9.99E+307,'Returns (Calc)'!$A:$A)-3),"")</f>
        <v>71.5208176100629</v>
      </c>
      <c r="AB11" s="145" t="n">
        <f aca="false">IFERROR('Price History'!G3+(INDEX('Price History'!G:G,MATCH(9.99E+307,'Price History'!$A:$A))-'Price History'!G3)*(ROW()-3)/(MATCH(9.99E+307,'Returns (Calc)'!$A:$A)-3),"")</f>
        <v>39.2789937106918</v>
      </c>
      <c r="AC11" s="145" t="n">
        <f aca="false">IFERROR('Price History'!H3+(INDEX('Price History'!H:H,MATCH(9.99E+307,'Price History'!$A:$A))-'Price History'!H3)*(ROW()-3)/(MATCH(9.99E+307,'Returns (Calc)'!$A:$A)-3),"")</f>
        <v>95.5288679245283</v>
      </c>
      <c r="AD11" s="145" t="n">
        <f aca="false">IFERROR('Price History'!I3+(INDEX('Price History'!I:I,MATCH(9.99E+307,'Price History'!$A:$A))-'Price History'!I3)*(ROW()-3)/(MATCH(9.99E+307,'Returns (Calc)'!$A:$A)-3),"")</f>
        <v>42.1185534591195</v>
      </c>
      <c r="AE11" s="145" t="n">
        <f aca="false">IFERROR('Price History'!J3+(INDEX('Price History'!J:J,MATCH(9.99E+307,'Price History'!$A:$A))-'Price History'!J3)*(ROW()-3)/(MATCH(9.99E+307,'Returns (Calc)'!$A:$A)-3),"")</f>
        <v>65.6327672955975</v>
      </c>
      <c r="AF11" s="145" t="n">
        <f aca="false">IFERROR('Price History'!K3+(INDEX('Price History'!K:K,MATCH(9.99E+307,'Price History'!$A:$A))-'Price History'!K3)*(ROW()-3)/(MATCH(9.99E+307,'Returns (Calc)'!$A:$A)-3),"")</f>
        <v>41.5677358490566</v>
      </c>
      <c r="AG11" s="145" t="n">
        <f aca="false">IFERROR('Price History'!L3+(INDEX('Price History'!L:L,MATCH(9.99E+307,'Price History'!$A:$A))-'Price History'!L3)*(ROW()-3)/(MATCH(9.99E+307,'Returns (Calc)'!$A:$A)-3),"")</f>
        <v>106.212830188679</v>
      </c>
      <c r="AH11" s="145" t="n">
        <f aca="false">IFERROR('Price History'!M3+(INDEX('Price History'!M:M,MATCH(9.99E+307,'Price History'!$A:$A))-'Price History'!M3)*(ROW()-3)/(MATCH(9.99E+307,'Returns (Calc)'!$A:$A)-3),"")</f>
        <v>14.558679245283</v>
      </c>
      <c r="AI11" s="145" t="n">
        <f aca="false">IFERROR('Price History'!N3+(INDEX('Price History'!N:N,MATCH(9.99E+307,'Price History'!$A:$A))-'Price History'!N3)*(ROW()-3)/(MATCH(9.99E+307,'Returns (Calc)'!$A:$A)-3),"")</f>
        <v>20.7031446540881</v>
      </c>
      <c r="AJ11" s="145" t="n">
        <f aca="false">IFERROR('Price History'!O3+(INDEX('Price History'!O:O,MATCH(9.99E+307,'Price History'!$A:$A))-'Price History'!O3)*(ROW()-3)/(MATCH(9.99E+307,'Returns (Calc)'!$A:$A)-3),"")</f>
        <v>54.7303773584906</v>
      </c>
      <c r="AK11" s="145" t="n">
        <f aca="false">IFERROR('Price History'!Q3+(INDEX('Price History'!Q:Q,MATCH(9.99E+307,'Price History'!$A:$A))-'Price History'!Q3)*(ROW()-3)/(MATCH(9.99E+307,'Returns (Calc)'!$A:$A)-3),"")</f>
        <v>223.774402515723</v>
      </c>
      <c r="AL11" s="145" t="n">
        <f aca="false">IFERROR('Price History'!R3+(INDEX('Price History'!R:R,MATCH(9.99E+307,'Price History'!$A:$A))-'Price History'!R3)*(ROW()-3)/(MATCH(9.99E+307,'Returns (Calc)'!$A:$A)-3),"")</f>
        <v>45.4139622641509</v>
      </c>
      <c r="AM11" s="145" t="n">
        <f aca="false">IFERROR('Price History'!S3+(INDEX('Price History'!S:S,MATCH(9.99E+307,'Price History'!$A:$A))-'Price History'!S3)*(ROW()-3)/(MATCH(9.99E+307,'Returns (Calc)'!$A:$A)-3),"")</f>
        <v>55.5945911949686</v>
      </c>
      <c r="AN11" s="145" t="n">
        <f aca="false">IFERROR('Price History'!T3+(INDEX('Price History'!T:T,MATCH(9.99E+307,'Price History'!$A:$A))-'Price History'!T3)*(ROW()-3)/(MATCH(9.99E+307,'Returns (Calc)'!$A:$A)-3),"")</f>
        <v>25.5560377358491</v>
      </c>
      <c r="AO11" s="146" t="n">
        <f aca="false">IFERROR('Price History'!V3+(INDEX('Price History'!V:V,MATCH(9.99E+307,'Price History'!$A:$A))-'Price History'!V3)*(ROW()-3)/(MATCH(9.99E+307,'Returns (Calc)'!$A:$A)-3),"")</f>
        <v>0</v>
      </c>
    </row>
    <row r="12" customFormat="false" ht="15" hidden="false" customHeight="true" outlineLevel="0" collapsed="false">
      <c r="A12" s="142" t="n">
        <f aca="false">IF('Price History'!A13="","",'Price History'!A13)</f>
        <v>45254</v>
      </c>
      <c r="B12" s="143" t="n">
        <f aca="false">IFERROR(IF(OR(NOT(ISNUMBER('Price History'!B13)),NOT(ISNUMBER('Price History'!B12)),'Price History'!B12=0),"",'Price History'!B13/'Price History'!B12-1),"")</f>
        <v>0.02782663525039</v>
      </c>
      <c r="C12" s="143" t="n">
        <f aca="false">IFERROR(IF(OR(NOT(ISNUMBER('Price History'!C13)),NOT(ISNUMBER('Price History'!C12)),'Price History'!C12=0),"",'Price History'!C13/'Price History'!C12-1),"")</f>
        <v>0.0175177040626167</v>
      </c>
      <c r="D12" s="143" t="n">
        <f aca="false">IFERROR(IF(OR(NOT(ISNUMBER('Price History'!D13)),NOT(ISNUMBER('Price History'!D12)),'Price History'!D12=0),"",'Price History'!D13/'Price History'!D12-1),"")</f>
        <v>0.00742220102539637</v>
      </c>
      <c r="E12" s="143" t="n">
        <f aca="false">IFERROR(IF(OR(NOT(ISNUMBER('Price History'!E13)),NOT(ISNUMBER('Price History'!E12)),'Price History'!E12=0),"",'Price History'!E13/'Price History'!E12-1),"")</f>
        <v>0.001162176439514</v>
      </c>
      <c r="F12" s="143" t="n">
        <f aca="false">IFERROR(IF(OR(NOT(ISNUMBER('Price History'!F13)),NOT(ISNUMBER('Price History'!F12)),'Price History'!F12=0),"",'Price History'!F13/'Price History'!F12-1),"")</f>
        <v>0.000130855796911966</v>
      </c>
      <c r="G12" s="143" t="n">
        <f aca="false">IFERROR(IF(OR(NOT(ISNUMBER('Price History'!G13)),NOT(ISNUMBER('Price History'!G12)),'Price History'!G12=0),"",'Price History'!G13/'Price History'!G12-1),"")</f>
        <v>0.0173845856673749</v>
      </c>
      <c r="H12" s="143" t="n">
        <f aca="false">IFERROR(IF(OR(NOT(ISNUMBER('Price History'!H13)),NOT(ISNUMBER('Price History'!H12)),'Price History'!H12=0),"",'Price History'!H13/'Price History'!H12-1),"")</f>
        <v>0.0035353535353535</v>
      </c>
      <c r="I12" s="143" t="n">
        <f aca="false">IFERROR(IF(OR(NOT(ISNUMBER('Price History'!I13)),NOT(ISNUMBER('Price History'!I12)),'Price History'!I12=0),"",'Price History'!I13/'Price History'!I12-1),"")</f>
        <v>0.0204426106526632</v>
      </c>
      <c r="J12" s="143" t="n">
        <f aca="false">IFERROR(IF(OR(NOT(ISNUMBER('Price History'!J13)),NOT(ISNUMBER('Price History'!J12)),'Price History'!J12=0),"",'Price History'!J13/'Price History'!J12-1),"")</f>
        <v>-0.00885070935832344</v>
      </c>
      <c r="K12" s="143" t="n">
        <f aca="false">IFERROR(IF(OR(NOT(ISNUMBER('Price History'!K13)),NOT(ISNUMBER('Price History'!K12)),'Price History'!K12=0),"",'Price History'!K13/'Price History'!K12-1),"")</f>
        <v>-0.0309257375381484</v>
      </c>
      <c r="L12" s="143" t="n">
        <f aca="false">IFERROR(IF(OR(NOT(ISNUMBER('Price History'!L13)),NOT(ISNUMBER('Price History'!L12)),'Price History'!L12=0),"",'Price History'!L13/'Price History'!L12-1),"")</f>
        <v>0.0175105063037824</v>
      </c>
      <c r="M12" s="143" t="n">
        <f aca="false">IFERROR(IF(OR(NOT(ISNUMBER('Price History'!M13)),NOT(ISNUMBER('Price History'!M12)),'Price History'!M12=0),"",'Price History'!M13/'Price History'!M12-1),"")</f>
        <v>-0.0629575402635432</v>
      </c>
      <c r="N12" s="143" t="n">
        <f aca="false">IFERROR(IF(OR(NOT(ISNUMBER('Price History'!N13)),NOT(ISNUMBER('Price History'!N12)),'Price History'!N12=0),"",'Price History'!N13/'Price History'!N12-1),"")</f>
        <v>0.00941176470588223</v>
      </c>
      <c r="O12" s="143" t="n">
        <f aca="false">IFERROR(IF(OR(NOT(ISNUMBER('Price History'!O13)),NOT(ISNUMBER('Price History'!O12)),'Price History'!O12=0),"",'Price History'!O13/'Price History'!O12-1),"")</f>
        <v>0.00546629120424069</v>
      </c>
      <c r="P12" s="143" t="n">
        <f aca="false">IFERROR(IF(OR(NOT(ISNUMBER('Price History'!P13)),NOT(ISNUMBER('Price History'!P12)),'Price History'!P12=0),"",'Price History'!P13/'Price History'!P12-1),"")</f>
        <v>-0.0175585284280937</v>
      </c>
      <c r="Q12" s="143" t="n">
        <f aca="false">IFERROR(IF(OR(NOT(ISNUMBER('Price History'!Q13)),NOT(ISNUMBER('Price History'!Q12)),'Price History'!Q12=0),"",'Price History'!Q13/'Price History'!Q12-1),"")</f>
        <v>0.019022294947842</v>
      </c>
      <c r="R12" s="143" t="n">
        <f aca="false">IFERROR(IF(OR(NOT(ISNUMBER('Price History'!R13)),NOT(ISNUMBER('Price History'!R12)),'Price History'!R12=0),"",'Price History'!R13/'Price History'!R12-1),"")</f>
        <v>-0.0198899703766399</v>
      </c>
      <c r="S12" s="143" t="n">
        <f aca="false">IFERROR(IF(OR(NOT(ISNUMBER('Price History'!S13)),NOT(ISNUMBER('Price History'!S12)),'Price History'!S12=0),"",'Price History'!S13/'Price History'!S12-1),"")</f>
        <v>-0.0290128755364807</v>
      </c>
      <c r="T12" s="143" t="n">
        <f aca="false">IFERROR(IF(OR(NOT(ISNUMBER('Price History'!T13)),NOT(ISNUMBER('Price History'!T12)),'Price History'!T12=0),"",'Price History'!T13/'Price History'!T12-1),"")</f>
        <v>-0.0127758420441346</v>
      </c>
      <c r="U12" s="143" t="str">
        <f aca="false">IFERROR(IF(OR(NOT(ISNUMBER('Price History'!U13)),NOT(ISNUMBER('Price History'!U12)),'Price History'!U12=0),"",'Price History'!U13/'Price History'!U12-1),"")</f>
        <v/>
      </c>
      <c r="V12" s="144" t="n">
        <f aca="false">IFERROR(IF(OR(NOT(ISNUMBER('Price History'!V13)),NOT(ISNUMBER('Price History'!V12)),'Price History'!V12=0),"",'Price History'!V13/'Price History'!V12-1),"")</f>
        <v>-0.0180362446730662</v>
      </c>
      <c r="W12" s="145" t="str">
        <f aca="false">IFERROR('Price History'!B3+(INDEX('Price History'!B:B,MATCH(9.99E+307,'Price History'!$A:$A))-'Price History'!B3)*(ROW()-3)/(MATCH(9.99E+307,'Returns (Calc)'!$A:$A)-3),"")</f>
        <v/>
      </c>
      <c r="X12" s="145" t="n">
        <f aca="false">IFERROR('Price History'!C3+(INDEX('Price History'!C:C,MATCH(9.99E+307,'Price History'!$A:$A))-'Price History'!C3)*(ROW()-3)/(MATCH(9.99E+307,'Returns (Calc)'!$A:$A)-3),"")</f>
        <v>43.5660377358491</v>
      </c>
      <c r="Y12" s="145" t="n">
        <f aca="false">IFERROR('Price History'!D3+(INDEX('Price History'!D:D,MATCH(9.99E+307,'Price History'!$A:$A))-'Price History'!D3)*(ROW()-3)/(MATCH(9.99E+307,'Returns (Calc)'!$A:$A)-3),"")</f>
        <v>549.066037735849</v>
      </c>
      <c r="Z12" s="145" t="n">
        <f aca="false">IFERROR('Price History'!E3+(INDEX('Price History'!E:E,MATCH(9.99E+307,'Price History'!$A:$A))-'Price History'!E3)*(ROW()-3)/(MATCH(9.99E+307,'Returns (Calc)'!$A:$A)-3),"")</f>
        <v>77.3584905660377</v>
      </c>
      <c r="AA12" s="145" t="n">
        <f aca="false">IFERROR('Price History'!F3+(INDEX('Price History'!F:F,MATCH(9.99E+307,'Price History'!$A:$A))-'Price History'!F3)*(ROW()-3)/(MATCH(9.99E+307,'Returns (Calc)'!$A:$A)-3),"")</f>
        <v>71.0471698113208</v>
      </c>
      <c r="AB12" s="145" t="n">
        <f aca="false">IFERROR('Price History'!G3+(INDEX('Price History'!G:G,MATCH(9.99E+307,'Price History'!$A:$A))-'Price History'!G3)*(ROW()-3)/(MATCH(9.99E+307,'Returns (Calc)'!$A:$A)-3),"")</f>
        <v>39.0188679245283</v>
      </c>
      <c r="AC12" s="145" t="n">
        <f aca="false">IFERROR('Price History'!H3+(INDEX('Price History'!H:H,MATCH(9.99E+307,'Price History'!$A:$A))-'Price History'!H3)*(ROW()-3)/(MATCH(9.99E+307,'Returns (Calc)'!$A:$A)-3),"")</f>
        <v>94.8962264150944</v>
      </c>
      <c r="AD12" s="145" t="n">
        <f aca="false">IFERROR('Price History'!I3+(INDEX('Price History'!I:I,MATCH(9.99E+307,'Price History'!$A:$A))-'Price History'!I3)*(ROW()-3)/(MATCH(9.99E+307,'Returns (Calc)'!$A:$A)-3),"")</f>
        <v>41.8396226415094</v>
      </c>
      <c r="AE12" s="145" t="n">
        <f aca="false">IFERROR('Price History'!J3+(INDEX('Price History'!J:J,MATCH(9.99E+307,'Price History'!$A:$A))-'Price History'!J3)*(ROW()-3)/(MATCH(9.99E+307,'Returns (Calc)'!$A:$A)-3),"")</f>
        <v>65.1981132075472</v>
      </c>
      <c r="AF12" s="145" t="n">
        <f aca="false">IFERROR('Price History'!K3+(INDEX('Price History'!K:K,MATCH(9.99E+307,'Price History'!$A:$A))-'Price History'!K3)*(ROW()-3)/(MATCH(9.99E+307,'Returns (Calc)'!$A:$A)-3),"")</f>
        <v>41.2924528301887</v>
      </c>
      <c r="AG12" s="145" t="n">
        <f aca="false">IFERROR('Price History'!L3+(INDEX('Price History'!L:L,MATCH(9.99E+307,'Price History'!$A:$A))-'Price History'!L3)*(ROW()-3)/(MATCH(9.99E+307,'Returns (Calc)'!$A:$A)-3),"")</f>
        <v>105.509433962264</v>
      </c>
      <c r="AH12" s="145" t="n">
        <f aca="false">IFERROR('Price History'!M3+(INDEX('Price History'!M:M,MATCH(9.99E+307,'Price History'!$A:$A))-'Price History'!M3)*(ROW()-3)/(MATCH(9.99E+307,'Returns (Calc)'!$A:$A)-3),"")</f>
        <v>14.4622641509434</v>
      </c>
      <c r="AI12" s="145" t="n">
        <f aca="false">IFERROR('Price History'!N3+(INDEX('Price History'!N:N,MATCH(9.99E+307,'Price History'!$A:$A))-'Price History'!N3)*(ROW()-3)/(MATCH(9.99E+307,'Returns (Calc)'!$A:$A)-3),"")</f>
        <v>20.5660377358491</v>
      </c>
      <c r="AJ12" s="145" t="n">
        <f aca="false">IFERROR('Price History'!O3+(INDEX('Price History'!O:O,MATCH(9.99E+307,'Price History'!$A:$A))-'Price History'!O3)*(ROW()-3)/(MATCH(9.99E+307,'Returns (Calc)'!$A:$A)-3),"")</f>
        <v>54.3679245283019</v>
      </c>
      <c r="AK12" s="145" t="n">
        <f aca="false">IFERROR('Price History'!Q3+(INDEX('Price History'!Q:Q,MATCH(9.99E+307,'Price History'!$A:$A))-'Price History'!Q3)*(ROW()-3)/(MATCH(9.99E+307,'Returns (Calc)'!$A:$A)-3),"")</f>
        <v>222.292452830189</v>
      </c>
      <c r="AL12" s="145" t="n">
        <f aca="false">IFERROR('Price History'!R3+(INDEX('Price History'!R:R,MATCH(9.99E+307,'Price History'!$A:$A))-'Price History'!R3)*(ROW()-3)/(MATCH(9.99E+307,'Returns (Calc)'!$A:$A)-3),"")</f>
        <v>45.1132075471698</v>
      </c>
      <c r="AM12" s="145" t="n">
        <f aca="false">IFERROR('Price History'!S3+(INDEX('Price History'!S:S,MATCH(9.99E+307,'Price History'!$A:$A))-'Price History'!S3)*(ROW()-3)/(MATCH(9.99E+307,'Returns (Calc)'!$A:$A)-3),"")</f>
        <v>55.2264150943396</v>
      </c>
      <c r="AN12" s="145" t="n">
        <f aca="false">IFERROR('Price History'!T3+(INDEX('Price History'!T:T,MATCH(9.99E+307,'Price History'!$A:$A))-'Price History'!T3)*(ROW()-3)/(MATCH(9.99E+307,'Returns (Calc)'!$A:$A)-3),"")</f>
        <v>25.3867924528302</v>
      </c>
      <c r="AO12" s="146" t="n">
        <f aca="false">IFERROR('Price History'!V3+(INDEX('Price History'!V:V,MATCH(9.99E+307,'Price History'!$A:$A))-'Price History'!V3)*(ROW()-3)/(MATCH(9.99E+307,'Returns (Calc)'!$A:$A)-3),"")</f>
        <v>0</v>
      </c>
    </row>
    <row r="13" customFormat="false" ht="15" hidden="false" customHeight="true" outlineLevel="0" collapsed="false">
      <c r="A13" s="142" t="n">
        <f aca="false">IF('Price History'!A14="","",'Price History'!A14)</f>
        <v>45261</v>
      </c>
      <c r="B13" s="143" t="n">
        <f aca="false">IFERROR(IF(OR(NOT(ISNUMBER('Price History'!B14)),NOT(ISNUMBER('Price History'!B13)),'Price History'!B13=0),"",'Price History'!B14/'Price History'!B13-1),"")</f>
        <v>-0.0112361364480247</v>
      </c>
      <c r="C13" s="143" t="n">
        <f aca="false">IFERROR(IF(OR(NOT(ISNUMBER('Price History'!C14)),NOT(ISNUMBER('Price History'!C13)),'Price History'!C13=0),"",'Price History'!C14/'Price History'!C13-1),"")</f>
        <v>-0.00805860805860814</v>
      </c>
      <c r="D13" s="143" t="n">
        <f aca="false">IFERROR(IF(OR(NOT(ISNUMBER('Price History'!D14)),NOT(ISNUMBER('Price History'!D13)),'Price History'!D13=0),"",'Price History'!D14/'Price History'!D13-1),"")</f>
        <v>0.00147942125040679</v>
      </c>
      <c r="E13" s="143" t="n">
        <f aca="false">IFERROR(IF(OR(NOT(ISNUMBER('Price History'!E14)),NOT(ISNUMBER('Price History'!E13)),'Price History'!E13=0),"",'Price History'!E14/'Price History'!E13-1),"")</f>
        <v>-0.0499155761924863</v>
      </c>
      <c r="F13" s="143" t="n">
        <f aca="false">IFERROR(IF(OR(NOT(ISNUMBER('Price History'!F14)),NOT(ISNUMBER('Price History'!F13)),'Price History'!F13=0),"",'Price History'!F14/'Price History'!F13-1),"")</f>
        <v>0.0334947010336253</v>
      </c>
      <c r="G13" s="143" t="n">
        <f aca="false">IFERROR(IF(OR(NOT(ISNUMBER('Price History'!G14)),NOT(ISNUMBER('Price History'!G13)),'Price History'!G13=0),"",'Price History'!G14/'Price History'!G13-1),"")</f>
        <v>0.115625593316879</v>
      </c>
      <c r="H13" s="143" t="n">
        <f aca="false">IFERROR(IF(OR(NOT(ISNUMBER('Price History'!H14)),NOT(ISNUMBER('Price History'!H13)),'Price History'!H13=0),"",'Price History'!H14/'Price History'!H13-1),"")</f>
        <v>0.0292903875188728</v>
      </c>
      <c r="I13" s="143" t="n">
        <f aca="false">IFERROR(IF(OR(NOT(ISNUMBER('Price History'!I14)),NOT(ISNUMBER('Price History'!I13)),'Price History'!I13=0),"",'Price History'!I14/'Price History'!I13-1),"")</f>
        <v>-0.0119463333945966</v>
      </c>
      <c r="J13" s="143" t="n">
        <f aca="false">IFERROR(IF(OR(NOT(ISNUMBER('Price History'!J14)),NOT(ISNUMBER('Price History'!J13)),'Price History'!J13=0),"",'Price History'!J14/'Price History'!J13-1),"")</f>
        <v>-0.0122127380170717</v>
      </c>
      <c r="K13" s="143" t="n">
        <f aca="false">IFERROR(IF(OR(NOT(ISNUMBER('Price History'!K14)),NOT(ISNUMBER('Price History'!K13)),'Price History'!K13=0),"",'Price History'!K14/'Price History'!K13-1),"")</f>
        <v>-0.0209951711106445</v>
      </c>
      <c r="L13" s="143" t="n">
        <f aca="false">IFERROR(IF(OR(NOT(ISNUMBER('Price History'!L14)),NOT(ISNUMBER('Price History'!L13)),'Price History'!L13=0),"",'Price History'!L14/'Price History'!L13-1),"")</f>
        <v>0.0558560330415971</v>
      </c>
      <c r="M13" s="143" t="n">
        <f aca="false">IFERROR(IF(OR(NOT(ISNUMBER('Price History'!M14)),NOT(ISNUMBER('Price History'!M13)),'Price History'!M13=0),"",'Price History'!M14/'Price History'!M13-1),"")</f>
        <v>0.0557291666666666</v>
      </c>
      <c r="N13" s="143" t="n">
        <f aca="false">IFERROR(IF(OR(NOT(ISNUMBER('Price History'!N14)),NOT(ISNUMBER('Price History'!N13)),'Price History'!N13=0),"",'Price History'!N14/'Price History'!N13-1),"")</f>
        <v>0.0186480186480187</v>
      </c>
      <c r="O13" s="143" t="n">
        <f aca="false">IFERROR(IF(OR(NOT(ISNUMBER('Price History'!O14)),NOT(ISNUMBER('Price History'!O13)),'Price History'!O13=0),"",'Price History'!O14/'Price History'!O13-1),"")</f>
        <v>-0.0021416803953872</v>
      </c>
      <c r="P13" s="143" t="n">
        <f aca="false">IFERROR(IF(OR(NOT(ISNUMBER('Price History'!P14)),NOT(ISNUMBER('Price History'!P13)),'Price History'!P13=0),"",'Price History'!P14/'Price History'!P13-1),"")</f>
        <v>0.00734042553191494</v>
      </c>
      <c r="Q13" s="143" t="n">
        <f aca="false">IFERROR(IF(OR(NOT(ISNUMBER('Price History'!Q14)),NOT(ISNUMBER('Price History'!Q13)),'Price History'!Q13=0),"",'Price History'!Q14/'Price History'!Q13-1),"")</f>
        <v>0.00843034925732633</v>
      </c>
      <c r="R13" s="143" t="n">
        <f aca="false">IFERROR(IF(OR(NOT(ISNUMBER('Price History'!R14)),NOT(ISNUMBER('Price History'!R13)),'Price History'!R13=0),"",'Price History'!R14/'Price History'!R13-1),"")</f>
        <v>-0.0207253886010363</v>
      </c>
      <c r="S13" s="143" t="n">
        <f aca="false">IFERROR(IF(OR(NOT(ISNUMBER('Price History'!S14)),NOT(ISNUMBER('Price History'!S13)),'Price History'!S13=0),"",'Price History'!S14/'Price History'!S13-1),"")</f>
        <v>-0.0201555869872702</v>
      </c>
      <c r="T13" s="143" t="n">
        <f aca="false">IFERROR(IF(OR(NOT(ISNUMBER('Price History'!T14)),NOT(ISNUMBER('Price History'!T13)),'Price History'!T13=0),"",'Price History'!T14/'Price History'!T13-1),"")</f>
        <v>-0.0329411764705883</v>
      </c>
      <c r="U13" s="143" t="str">
        <f aca="false">IFERROR(IF(OR(NOT(ISNUMBER('Price History'!U14)),NOT(ISNUMBER('Price History'!U13)),'Price History'!U13=0),"",'Price History'!U14/'Price History'!U13-1),"")</f>
        <v/>
      </c>
      <c r="V13" s="144" t="n">
        <f aca="false">IFERROR(IF(OR(NOT(ISNUMBER('Price History'!V14)),NOT(ISNUMBER('Price History'!V13)),'Price History'!V13=0),"",'Price History'!V14/'Price History'!V13-1),"")</f>
        <v>-0.0176223040504998</v>
      </c>
      <c r="W13" s="145" t="str">
        <f aca="false">IFERROR('Price History'!B3+(INDEX('Price History'!B:B,MATCH(9.99E+307,'Price History'!$A:$A))-'Price History'!B3)*(ROW()-3)/(MATCH(9.99E+307,'Returns (Calc)'!$A:$A)-3),"")</f>
        <v/>
      </c>
      <c r="X13" s="145" t="n">
        <f aca="false">IFERROR('Price History'!C3+(INDEX('Price History'!C:C,MATCH(9.99E+307,'Price History'!$A:$A))-'Price History'!C3)*(ROW()-3)/(MATCH(9.99E+307,'Returns (Calc)'!$A:$A)-3),"")</f>
        <v>43.2755974842767</v>
      </c>
      <c r="Y13" s="145" t="n">
        <f aca="false">IFERROR('Price History'!D3+(INDEX('Price History'!D:D,MATCH(9.99E+307,'Price History'!$A:$A))-'Price History'!D3)*(ROW()-3)/(MATCH(9.99E+307,'Returns (Calc)'!$A:$A)-3),"")</f>
        <v>545.405597484277</v>
      </c>
      <c r="Z13" s="145" t="n">
        <f aca="false">IFERROR('Price History'!E3+(INDEX('Price History'!E:E,MATCH(9.99E+307,'Price History'!$A:$A))-'Price History'!E3)*(ROW()-3)/(MATCH(9.99E+307,'Returns (Calc)'!$A:$A)-3),"")</f>
        <v>76.8427672955975</v>
      </c>
      <c r="AA13" s="145" t="n">
        <f aca="false">IFERROR('Price History'!F3+(INDEX('Price History'!F:F,MATCH(9.99E+307,'Price History'!$A:$A))-'Price History'!F3)*(ROW()-3)/(MATCH(9.99E+307,'Returns (Calc)'!$A:$A)-3),"")</f>
        <v>70.5735220125786</v>
      </c>
      <c r="AB13" s="145" t="n">
        <f aca="false">IFERROR('Price History'!G3+(INDEX('Price History'!G:G,MATCH(9.99E+307,'Price History'!$A:$A))-'Price History'!G3)*(ROW()-3)/(MATCH(9.99E+307,'Returns (Calc)'!$A:$A)-3),"")</f>
        <v>38.7587421383648</v>
      </c>
      <c r="AC13" s="145" t="n">
        <f aca="false">IFERROR('Price History'!H3+(INDEX('Price History'!H:H,MATCH(9.99E+307,'Price History'!$A:$A))-'Price History'!H3)*(ROW()-3)/(MATCH(9.99E+307,'Returns (Calc)'!$A:$A)-3),"")</f>
        <v>94.2635849056604</v>
      </c>
      <c r="AD13" s="145" t="n">
        <f aca="false">IFERROR('Price History'!I3+(INDEX('Price History'!I:I,MATCH(9.99E+307,'Price History'!$A:$A))-'Price History'!I3)*(ROW()-3)/(MATCH(9.99E+307,'Returns (Calc)'!$A:$A)-3),"")</f>
        <v>41.5606918238994</v>
      </c>
      <c r="AE13" s="145" t="n">
        <f aca="false">IFERROR('Price History'!J3+(INDEX('Price History'!J:J,MATCH(9.99E+307,'Price History'!$A:$A))-'Price History'!J3)*(ROW()-3)/(MATCH(9.99E+307,'Returns (Calc)'!$A:$A)-3),"")</f>
        <v>64.7634591194969</v>
      </c>
      <c r="AF13" s="145" t="n">
        <f aca="false">IFERROR('Price History'!K3+(INDEX('Price History'!K:K,MATCH(9.99E+307,'Price History'!$A:$A))-'Price History'!K3)*(ROW()-3)/(MATCH(9.99E+307,'Returns (Calc)'!$A:$A)-3),"")</f>
        <v>41.0171698113208</v>
      </c>
      <c r="AG13" s="145" t="n">
        <f aca="false">IFERROR('Price History'!L3+(INDEX('Price History'!L:L,MATCH(9.99E+307,'Price History'!$A:$A))-'Price History'!L3)*(ROW()-3)/(MATCH(9.99E+307,'Returns (Calc)'!$A:$A)-3),"")</f>
        <v>104.806037735849</v>
      </c>
      <c r="AH13" s="145" t="n">
        <f aca="false">IFERROR('Price History'!M3+(INDEX('Price History'!M:M,MATCH(9.99E+307,'Price History'!$A:$A))-'Price History'!M3)*(ROW()-3)/(MATCH(9.99E+307,'Returns (Calc)'!$A:$A)-3),"")</f>
        <v>14.3658490566038</v>
      </c>
      <c r="AI13" s="145" t="n">
        <f aca="false">IFERROR('Price History'!N3+(INDEX('Price History'!N:N,MATCH(9.99E+307,'Price History'!$A:$A))-'Price History'!N3)*(ROW()-3)/(MATCH(9.99E+307,'Returns (Calc)'!$A:$A)-3),"")</f>
        <v>20.4289308176101</v>
      </c>
      <c r="AJ13" s="145" t="n">
        <f aca="false">IFERROR('Price History'!O3+(INDEX('Price History'!O:O,MATCH(9.99E+307,'Price History'!$A:$A))-'Price History'!O3)*(ROW()-3)/(MATCH(9.99E+307,'Returns (Calc)'!$A:$A)-3),"")</f>
        <v>54.0054716981132</v>
      </c>
      <c r="AK13" s="145" t="n">
        <f aca="false">IFERROR('Price History'!Q3+(INDEX('Price History'!Q:Q,MATCH(9.99E+307,'Price History'!$A:$A))-'Price History'!Q3)*(ROW()-3)/(MATCH(9.99E+307,'Returns (Calc)'!$A:$A)-3),"")</f>
        <v>220.810503144654</v>
      </c>
      <c r="AL13" s="145" t="n">
        <f aca="false">IFERROR('Price History'!R3+(INDEX('Price History'!R:R,MATCH(9.99E+307,'Price History'!$A:$A))-'Price History'!R3)*(ROW()-3)/(MATCH(9.99E+307,'Returns (Calc)'!$A:$A)-3),"")</f>
        <v>44.8124528301887</v>
      </c>
      <c r="AM13" s="145" t="n">
        <f aca="false">IFERROR('Price History'!S3+(INDEX('Price History'!S:S,MATCH(9.99E+307,'Price History'!$A:$A))-'Price History'!S3)*(ROW()-3)/(MATCH(9.99E+307,'Returns (Calc)'!$A:$A)-3),"")</f>
        <v>54.8582389937107</v>
      </c>
      <c r="AN13" s="145" t="n">
        <f aca="false">IFERROR('Price History'!T3+(INDEX('Price History'!T:T,MATCH(9.99E+307,'Price History'!$A:$A))-'Price History'!T3)*(ROW()-3)/(MATCH(9.99E+307,'Returns (Calc)'!$A:$A)-3),"")</f>
        <v>25.2175471698113</v>
      </c>
      <c r="AO13" s="146" t="n">
        <f aca="false">IFERROR('Price History'!V3+(INDEX('Price History'!V:V,MATCH(9.99E+307,'Price History'!$A:$A))-'Price History'!V3)*(ROW()-3)/(MATCH(9.99E+307,'Returns (Calc)'!$A:$A)-3),"")</f>
        <v>0</v>
      </c>
    </row>
    <row r="14" customFormat="false" ht="15" hidden="false" customHeight="true" outlineLevel="0" collapsed="false">
      <c r="A14" s="142" t="n">
        <f aca="false">IF('Price History'!A15="","",'Price History'!A15)</f>
        <v>45268</v>
      </c>
      <c r="B14" s="143" t="n">
        <f aca="false">IFERROR(IF(OR(NOT(ISNUMBER('Price History'!B15)),NOT(ISNUMBER('Price History'!B14)),'Price History'!B14=0),"",'Price History'!B15/'Price History'!B14-1),"")</f>
        <v>-0.00401652325828206</v>
      </c>
      <c r="C14" s="143" t="n">
        <f aca="false">IFERROR(IF(OR(NOT(ISNUMBER('Price History'!C15)),NOT(ISNUMBER('Price History'!C14)),'Price History'!C14=0),"",'Price History'!C15/'Price History'!C14-1),"")</f>
        <v>0.0341580502215657</v>
      </c>
      <c r="D14" s="143" t="n">
        <f aca="false">IFERROR(IF(OR(NOT(ISNUMBER('Price History'!D15)),NOT(ISNUMBER('Price History'!D14)),'Price History'!D14=0),"",'Price History'!D15/'Price History'!D14-1),"")</f>
        <v>0.00610098383904045</v>
      </c>
      <c r="E14" s="143" t="n">
        <f aca="false">IFERROR(IF(OR(NOT(ISNUMBER('Price History'!E15)),NOT(ISNUMBER('Price History'!E14)),'Price History'!E14=0),"",'Price History'!E15/'Price History'!E14-1),"")</f>
        <v>0.0153282239253583</v>
      </c>
      <c r="F14" s="143" t="n">
        <f aca="false">IFERROR(IF(OR(NOT(ISNUMBER('Price History'!F15)),NOT(ISNUMBER('Price History'!F14)),'Price History'!F14=0),"",'Price History'!F15/'Price History'!F14-1),"")</f>
        <v>0.00835548803646047</v>
      </c>
      <c r="G14" s="143" t="n">
        <f aca="false">IFERROR(IF(OR(NOT(ISNUMBER('Price History'!G15)),NOT(ISNUMBER('Price History'!G14)),'Price History'!G14=0),"",'Price History'!G15/'Price History'!G14-1),"")</f>
        <v>0.0319945541184479</v>
      </c>
      <c r="H14" s="143" t="n">
        <f aca="false">IFERROR(IF(OR(NOT(ISNUMBER('Price History'!H15)),NOT(ISNUMBER('Price History'!H14)),'Price History'!H14=0),"",'Price History'!H15/'Price History'!H14-1),"")</f>
        <v>0.00215137883825545</v>
      </c>
      <c r="I14" s="143" t="n">
        <f aca="false">IFERROR(IF(OR(NOT(ISNUMBER('Price History'!I15)),NOT(ISNUMBER('Price History'!I14)),'Price History'!I14=0),"",'Price History'!I15/'Price History'!I14-1),"")</f>
        <v>-0.0265997023809523</v>
      </c>
      <c r="J14" s="143" t="n">
        <f aca="false">IFERROR(IF(OR(NOT(ISNUMBER('Price History'!J15)),NOT(ISNUMBER('Price History'!J14)),'Price History'!J14=0),"",'Price History'!J15/'Price History'!J14-1),"")</f>
        <v>-0.0127625631480989</v>
      </c>
      <c r="K14" s="143" t="n">
        <f aca="false">IFERROR(IF(OR(NOT(ISNUMBER('Price History'!K15)),NOT(ISNUMBER('Price History'!K14)),'Price History'!K14=0),"",'Price History'!K15/'Price History'!K14-1),"")</f>
        <v>0.0158696118378725</v>
      </c>
      <c r="L14" s="143" t="n">
        <f aca="false">IFERROR(IF(OR(NOT(ISNUMBER('Price History'!L15)),NOT(ISNUMBER('Price History'!L14)),'Price History'!L14=0),"",'Price History'!L15/'Price History'!L14-1),"")</f>
        <v>0.0135047033622053</v>
      </c>
      <c r="M14" s="143" t="n">
        <f aca="false">IFERROR(IF(OR(NOT(ISNUMBER('Price History'!M15)),NOT(ISNUMBER('Price History'!M14)),'Price History'!M14=0),"",'Price History'!M15/'Price History'!M14-1),"")</f>
        <v>-0.123334977799704</v>
      </c>
      <c r="N14" s="143" t="n">
        <f aca="false">IFERROR(IF(OR(NOT(ISNUMBER('Price History'!N15)),NOT(ISNUMBER('Price History'!N14)),'Price History'!N14=0),"",'Price History'!N15/'Price History'!N14-1),"")</f>
        <v>0.0018306636155605</v>
      </c>
      <c r="O14" s="143" t="n">
        <f aca="false">IFERROR(IF(OR(NOT(ISNUMBER('Price History'!O15)),NOT(ISNUMBER('Price History'!O14)),'Price History'!O14=0),"",'Price History'!O15/'Price History'!O14-1),"")</f>
        <v>0.00363216113587583</v>
      </c>
      <c r="P14" s="143" t="n">
        <f aca="false">IFERROR(IF(OR(NOT(ISNUMBER('Price History'!P15)),NOT(ISNUMBER('Price History'!P14)),'Price History'!P14=0),"",'Price History'!P15/'Price History'!P14-1),"")</f>
        <v>0.0182701446826488</v>
      </c>
      <c r="Q14" s="143" t="n">
        <f aca="false">IFERROR(IF(OR(NOT(ISNUMBER('Price History'!Q15)),NOT(ISNUMBER('Price History'!Q14)),'Price History'!Q14=0),"",'Price History'!Q15/'Price History'!Q14-1),"")</f>
        <v>-0.00274681528662424</v>
      </c>
      <c r="R14" s="143" t="n">
        <f aca="false">IFERROR(IF(OR(NOT(ISNUMBER('Price History'!R15)),NOT(ISNUMBER('Price History'!R14)),'Price History'!R14=0),"",'Price History'!R15/'Price History'!R14-1),"")</f>
        <v>0.0476190476190477</v>
      </c>
      <c r="S14" s="143" t="n">
        <f aca="false">IFERROR(IF(OR(NOT(ISNUMBER('Price History'!S15)),NOT(ISNUMBER('Price History'!S14)),'Price History'!S14=0),"",'Price History'!S15/'Price History'!S14-1),"")</f>
        <v>0.0582822085889569</v>
      </c>
      <c r="T14" s="143" t="n">
        <f aca="false">IFERROR(IF(OR(NOT(ISNUMBER('Price History'!T15)),NOT(ISNUMBER('Price History'!T14)),'Price History'!T14=0),"",'Price History'!T15/'Price History'!T14-1),"")</f>
        <v>0.0587996755879967</v>
      </c>
      <c r="U14" s="143" t="str">
        <f aca="false">IFERROR(IF(OR(NOT(ISNUMBER('Price History'!U15)),NOT(ISNUMBER('Price History'!U14)),'Price History'!U14=0),"",'Price History'!U15/'Price History'!U14-1),"")</f>
        <v/>
      </c>
      <c r="V14" s="144" t="n">
        <f aca="false">IFERROR(IF(OR(NOT(ISNUMBER('Price History'!V15)),NOT(ISNUMBER('Price History'!V14)),'Price History'!V14=0),"",'Price History'!V15/'Price History'!V14-1),"")</f>
        <v>0.062516733601071</v>
      </c>
      <c r="W14" s="145" t="str">
        <f aca="false">IFERROR('Price History'!B3+(INDEX('Price History'!B:B,MATCH(9.99E+307,'Price History'!$A:$A))-'Price History'!B3)*(ROW()-3)/(MATCH(9.99E+307,'Returns (Calc)'!$A:$A)-3),"")</f>
        <v/>
      </c>
      <c r="X14" s="145" t="n">
        <f aca="false">IFERROR('Price History'!C3+(INDEX('Price History'!C:C,MATCH(9.99E+307,'Price History'!$A:$A))-'Price History'!C3)*(ROW()-3)/(MATCH(9.99E+307,'Returns (Calc)'!$A:$A)-3),"")</f>
        <v>42.9851572327044</v>
      </c>
      <c r="Y14" s="145" t="n">
        <f aca="false">IFERROR('Price History'!D3+(INDEX('Price History'!D:D,MATCH(9.99E+307,'Price History'!$A:$A))-'Price History'!D3)*(ROW()-3)/(MATCH(9.99E+307,'Returns (Calc)'!$A:$A)-3),"")</f>
        <v>541.745157232704</v>
      </c>
      <c r="Z14" s="145" t="n">
        <f aca="false">IFERROR('Price History'!E3+(INDEX('Price History'!E:E,MATCH(9.99E+307,'Price History'!$A:$A))-'Price History'!E3)*(ROW()-3)/(MATCH(9.99E+307,'Returns (Calc)'!$A:$A)-3),"")</f>
        <v>76.3270440251572</v>
      </c>
      <c r="AA14" s="145" t="n">
        <f aca="false">IFERROR('Price History'!F3+(INDEX('Price History'!F:F,MATCH(9.99E+307,'Price History'!$A:$A))-'Price History'!F3)*(ROW()-3)/(MATCH(9.99E+307,'Returns (Calc)'!$A:$A)-3),"")</f>
        <v>70.0998742138365</v>
      </c>
      <c r="AB14" s="145" t="n">
        <f aca="false">IFERROR('Price History'!G3+(INDEX('Price History'!G:G,MATCH(9.99E+307,'Price History'!$A:$A))-'Price History'!G3)*(ROW()-3)/(MATCH(9.99E+307,'Returns (Calc)'!$A:$A)-3),"")</f>
        <v>38.4986163522013</v>
      </c>
      <c r="AC14" s="145" t="n">
        <f aca="false">IFERROR('Price History'!H3+(INDEX('Price History'!H:H,MATCH(9.99E+307,'Price History'!$A:$A))-'Price History'!H3)*(ROW()-3)/(MATCH(9.99E+307,'Returns (Calc)'!$A:$A)-3),"")</f>
        <v>93.6309433962264</v>
      </c>
      <c r="AD14" s="145" t="n">
        <f aca="false">IFERROR('Price History'!I3+(INDEX('Price History'!I:I,MATCH(9.99E+307,'Price History'!$A:$A))-'Price History'!I3)*(ROW()-3)/(MATCH(9.99E+307,'Returns (Calc)'!$A:$A)-3),"")</f>
        <v>41.2817610062893</v>
      </c>
      <c r="AE14" s="145" t="n">
        <f aca="false">IFERROR('Price History'!J3+(INDEX('Price History'!J:J,MATCH(9.99E+307,'Price History'!$A:$A))-'Price History'!J3)*(ROW()-3)/(MATCH(9.99E+307,'Returns (Calc)'!$A:$A)-3),"")</f>
        <v>64.3288050314465</v>
      </c>
      <c r="AF14" s="145" t="n">
        <f aca="false">IFERROR('Price History'!K3+(INDEX('Price History'!K:K,MATCH(9.99E+307,'Price History'!$A:$A))-'Price History'!K3)*(ROW()-3)/(MATCH(9.99E+307,'Returns (Calc)'!$A:$A)-3),"")</f>
        <v>40.7418867924528</v>
      </c>
      <c r="AG14" s="145" t="n">
        <f aca="false">IFERROR('Price History'!L3+(INDEX('Price History'!L:L,MATCH(9.99E+307,'Price History'!$A:$A))-'Price History'!L3)*(ROW()-3)/(MATCH(9.99E+307,'Returns (Calc)'!$A:$A)-3),"")</f>
        <v>104.102641509434</v>
      </c>
      <c r="AH14" s="145" t="n">
        <f aca="false">IFERROR('Price History'!M3+(INDEX('Price History'!M:M,MATCH(9.99E+307,'Price History'!$A:$A))-'Price History'!M3)*(ROW()-3)/(MATCH(9.99E+307,'Returns (Calc)'!$A:$A)-3),"")</f>
        <v>14.2694339622642</v>
      </c>
      <c r="AI14" s="145" t="n">
        <f aca="false">IFERROR('Price History'!N3+(INDEX('Price History'!N:N,MATCH(9.99E+307,'Price History'!$A:$A))-'Price History'!N3)*(ROW()-3)/(MATCH(9.99E+307,'Returns (Calc)'!$A:$A)-3),"")</f>
        <v>20.2918238993711</v>
      </c>
      <c r="AJ14" s="145" t="n">
        <f aca="false">IFERROR('Price History'!O3+(INDEX('Price History'!O:O,MATCH(9.99E+307,'Price History'!$A:$A))-'Price History'!O3)*(ROW()-3)/(MATCH(9.99E+307,'Returns (Calc)'!$A:$A)-3),"")</f>
        <v>53.6430188679245</v>
      </c>
      <c r="AK14" s="145" t="n">
        <f aca="false">IFERROR('Price History'!Q3+(INDEX('Price History'!Q:Q,MATCH(9.99E+307,'Price History'!$A:$A))-'Price History'!Q3)*(ROW()-3)/(MATCH(9.99E+307,'Returns (Calc)'!$A:$A)-3),"")</f>
        <v>219.32855345912</v>
      </c>
      <c r="AL14" s="145" t="n">
        <f aca="false">IFERROR('Price History'!R3+(INDEX('Price History'!R:R,MATCH(9.99E+307,'Price History'!$A:$A))-'Price History'!R3)*(ROW()-3)/(MATCH(9.99E+307,'Returns (Calc)'!$A:$A)-3),"")</f>
        <v>44.5116981132076</v>
      </c>
      <c r="AM14" s="145" t="n">
        <f aca="false">IFERROR('Price History'!S3+(INDEX('Price History'!S:S,MATCH(9.99E+307,'Price History'!$A:$A))-'Price History'!S3)*(ROW()-3)/(MATCH(9.99E+307,'Returns (Calc)'!$A:$A)-3),"")</f>
        <v>54.4900628930818</v>
      </c>
      <c r="AN14" s="145" t="n">
        <f aca="false">IFERROR('Price History'!T3+(INDEX('Price History'!T:T,MATCH(9.99E+307,'Price History'!$A:$A))-'Price History'!T3)*(ROW()-3)/(MATCH(9.99E+307,'Returns (Calc)'!$A:$A)-3),"")</f>
        <v>25.0483018867925</v>
      </c>
      <c r="AO14" s="146" t="n">
        <f aca="false">IFERROR('Price History'!V3+(INDEX('Price History'!V:V,MATCH(9.99E+307,'Price History'!$A:$A))-'Price History'!V3)*(ROW()-3)/(MATCH(9.99E+307,'Returns (Calc)'!$A:$A)-3),"")</f>
        <v>0</v>
      </c>
    </row>
    <row r="15" customFormat="false" ht="15" hidden="false" customHeight="true" outlineLevel="0" collapsed="false">
      <c r="A15" s="142" t="n">
        <f aca="false">IF('Price History'!A16="","",'Price History'!A16)</f>
        <v>45275</v>
      </c>
      <c r="B15" s="143" t="n">
        <f aca="false">IFERROR(IF(OR(NOT(ISNUMBER('Price History'!B16)),NOT(ISNUMBER('Price History'!B15)),'Price History'!B15=0),"",'Price History'!B16/'Price History'!B15-1),"")</f>
        <v>-0.0415239094441076</v>
      </c>
      <c r="C15" s="143" t="n">
        <f aca="false">IFERROR(IF(OR(NOT(ISNUMBER('Price History'!C16)),NOT(ISNUMBER('Price History'!C15)),'Price History'!C15=0),"",'Price History'!C16/'Price History'!C15-1),"")</f>
        <v>0.0515979289412605</v>
      </c>
      <c r="D15" s="143" t="n">
        <f aca="false">IFERROR(IF(OR(NOT(ISNUMBER('Price History'!D16)),NOT(ISNUMBER('Price History'!D15)),'Price History'!D15=0),"",'Price History'!D16/'Price History'!D15-1),"")</f>
        <v>0.0811810827080917</v>
      </c>
      <c r="E15" s="143" t="n">
        <f aca="false">IFERROR(IF(OR(NOT(ISNUMBER('Price History'!E16)),NOT(ISNUMBER('Price History'!E15)),'Price History'!E15=0),"",'Price History'!E16/'Price History'!E15-1),"")</f>
        <v>0.1964774094738</v>
      </c>
      <c r="F15" s="143" t="n">
        <f aca="false">IFERROR(IF(OR(NOT(ISNUMBER('Price History'!F16)),NOT(ISNUMBER('Price History'!F15)),'Price History'!F15=0),"",'Price History'!F16/'Price History'!F15-1),"")</f>
        <v>0.0548650345260513</v>
      </c>
      <c r="G15" s="143" t="n">
        <f aca="false">IFERROR(IF(OR(NOT(ISNUMBER('Price History'!G16)),NOT(ISNUMBER('Price History'!G15)),'Price History'!G15=0),"",'Price History'!G16/'Price History'!G15-1),"")</f>
        <v>0.0722295514511873</v>
      </c>
      <c r="H15" s="143" t="n">
        <f aca="false">IFERROR(IF(OR(NOT(ISNUMBER('Price History'!H16)),NOT(ISNUMBER('Price History'!H15)),'Price History'!H15=0),"",'Price History'!H16/'Price History'!H15-1),"")</f>
        <v>0.0298594847775175</v>
      </c>
      <c r="I15" s="143" t="n">
        <f aca="false">IFERROR(IF(OR(NOT(ISNUMBER('Price History'!I16)),NOT(ISNUMBER('Price History'!I15)),'Price History'!I15=0),"",'Price History'!I16/'Price History'!I15-1),"")</f>
        <v>0.0947831072042806</v>
      </c>
      <c r="J15" s="143" t="n">
        <f aca="false">IFERROR(IF(OR(NOT(ISNUMBER('Price History'!J16)),NOT(ISNUMBER('Price History'!J15)),'Price History'!J15=0),"",'Price History'!J16/'Price History'!J15-1),"")</f>
        <v>0.0859143549690278</v>
      </c>
      <c r="K15" s="143" t="n">
        <f aca="false">IFERROR(IF(OR(NOT(ISNUMBER('Price History'!K16)),NOT(ISNUMBER('Price History'!K15)),'Price History'!K15=0),"",'Price History'!K16/'Price History'!K15-1),"")</f>
        <v>0.0291323622545916</v>
      </c>
      <c r="L15" s="143" t="n">
        <f aca="false">IFERROR(IF(OR(NOT(ISNUMBER('Price History'!L16)),NOT(ISNUMBER('Price History'!L15)),'Price History'!L15=0),"",'Price History'!L16/'Price History'!L15-1),"")</f>
        <v>0.127366292960853</v>
      </c>
      <c r="M15" s="143" t="n">
        <f aca="false">IFERROR(IF(OR(NOT(ISNUMBER('Price History'!M16)),NOT(ISNUMBER('Price History'!M15)),'Price History'!M15=0),"",'Price History'!M16/'Price History'!M15-1),"")</f>
        <v>0.024198086662915</v>
      </c>
      <c r="N15" s="143" t="n">
        <f aca="false">IFERROR(IF(OR(NOT(ISNUMBER('Price History'!N16)),NOT(ISNUMBER('Price History'!N15)),'Price History'!N15=0),"",'Price History'!N16/'Price History'!N15-1),"")</f>
        <v>0.0402010050251256</v>
      </c>
      <c r="O15" s="143" t="n">
        <f aca="false">IFERROR(IF(OR(NOT(ISNUMBER('Price History'!O16)),NOT(ISNUMBER('Price History'!O15)),'Price History'!O15=0),"",'Price History'!O16/'Price History'!O15-1),"")</f>
        <v>0.0342161539726928</v>
      </c>
      <c r="P15" s="143" t="n">
        <f aca="false">IFERROR(IF(OR(NOT(ISNUMBER('Price History'!P16)),NOT(ISNUMBER('Price History'!P15)),'Price History'!P15=0),"",'Price History'!P16/'Price History'!P15-1),"")</f>
        <v>0.0266542211159511</v>
      </c>
      <c r="Q15" s="143" t="n">
        <f aca="false">IFERROR(IF(OR(NOT(ISNUMBER('Price History'!Q16)),NOT(ISNUMBER('Price History'!Q15)),'Price History'!Q15=0),"",'Price History'!Q16/'Price History'!Q15-1),"")</f>
        <v>0.00894175881202353</v>
      </c>
      <c r="R15" s="143" t="n">
        <f aca="false">IFERROR(IF(OR(NOT(ISNUMBER('Price History'!R16)),NOT(ISNUMBER('Price History'!R15)),'Price History'!R15=0),"",'Price History'!R16/'Price History'!R15-1),"")</f>
        <v>0.0208333333333333</v>
      </c>
      <c r="S15" s="143" t="n">
        <f aca="false">IFERROR(IF(OR(NOT(ISNUMBER('Price History'!S16)),NOT(ISNUMBER('Price History'!S15)),'Price History'!S15=0),"",'Price History'!S16/'Price History'!S15-1),"")</f>
        <v>0.0294970161977834</v>
      </c>
      <c r="T15" s="143" t="n">
        <f aca="false">IFERROR(IF(OR(NOT(ISNUMBER('Price History'!T16)),NOT(ISNUMBER('Price History'!T15)),'Price History'!T15=0),"",'Price History'!T16/'Price History'!T15-1),"")</f>
        <v>-0.00689391037916509</v>
      </c>
      <c r="U15" s="143" t="str">
        <f aca="false">IFERROR(IF(OR(NOT(ISNUMBER('Price History'!U16)),NOT(ISNUMBER('Price History'!U15)),'Price History'!U15=0),"",'Price History'!U16/'Price History'!U15-1),"")</f>
        <v/>
      </c>
      <c r="V15" s="144" t="n">
        <f aca="false">IFERROR(IF(OR(NOT(ISNUMBER('Price History'!V16)),NOT(ISNUMBER('Price History'!V15)),'Price History'!V15=0),"",'Price History'!V16/'Price History'!V15-1),"")</f>
        <v>0.00890344798622467</v>
      </c>
      <c r="W15" s="145" t="str">
        <f aca="false">IFERROR('Price History'!B3+(INDEX('Price History'!B:B,MATCH(9.99E+307,'Price History'!$A:$A))-'Price History'!B3)*(ROW()-3)/(MATCH(9.99E+307,'Returns (Calc)'!$A:$A)-3),"")</f>
        <v/>
      </c>
      <c r="X15" s="145" t="n">
        <f aca="false">IFERROR('Price History'!C3+(INDEX('Price History'!C:C,MATCH(9.99E+307,'Price History'!$A:$A))-'Price History'!C3)*(ROW()-3)/(MATCH(9.99E+307,'Returns (Calc)'!$A:$A)-3),"")</f>
        <v>42.6947169811321</v>
      </c>
      <c r="Y15" s="145" t="n">
        <f aca="false">IFERROR('Price History'!D3+(INDEX('Price History'!D:D,MATCH(9.99E+307,'Price History'!$A:$A))-'Price History'!D3)*(ROW()-3)/(MATCH(9.99E+307,'Returns (Calc)'!$A:$A)-3),"")</f>
        <v>538.084716981132</v>
      </c>
      <c r="Z15" s="145" t="n">
        <f aca="false">IFERROR('Price History'!E3+(INDEX('Price History'!E:E,MATCH(9.99E+307,'Price History'!$A:$A))-'Price History'!E3)*(ROW()-3)/(MATCH(9.99E+307,'Returns (Calc)'!$A:$A)-3),"")</f>
        <v>75.811320754717</v>
      </c>
      <c r="AA15" s="145" t="n">
        <f aca="false">IFERROR('Price History'!F3+(INDEX('Price History'!F:F,MATCH(9.99E+307,'Price History'!$A:$A))-'Price History'!F3)*(ROW()-3)/(MATCH(9.99E+307,'Returns (Calc)'!$A:$A)-3),"")</f>
        <v>69.6262264150943</v>
      </c>
      <c r="AB15" s="145" t="n">
        <f aca="false">IFERROR('Price History'!G3+(INDEX('Price History'!G:G,MATCH(9.99E+307,'Price History'!$A:$A))-'Price History'!G3)*(ROW()-3)/(MATCH(9.99E+307,'Returns (Calc)'!$A:$A)-3),"")</f>
        <v>38.2384905660377</v>
      </c>
      <c r="AC15" s="145" t="n">
        <f aca="false">IFERROR('Price History'!H3+(INDEX('Price History'!H:H,MATCH(9.99E+307,'Price History'!$A:$A))-'Price History'!H3)*(ROW()-3)/(MATCH(9.99E+307,'Returns (Calc)'!$A:$A)-3),"")</f>
        <v>92.9983018867925</v>
      </c>
      <c r="AD15" s="145" t="n">
        <f aca="false">IFERROR('Price History'!I3+(INDEX('Price History'!I:I,MATCH(9.99E+307,'Price History'!$A:$A))-'Price History'!I3)*(ROW()-3)/(MATCH(9.99E+307,'Returns (Calc)'!$A:$A)-3),"")</f>
        <v>41.0028301886793</v>
      </c>
      <c r="AE15" s="145" t="n">
        <f aca="false">IFERROR('Price History'!J3+(INDEX('Price History'!J:J,MATCH(9.99E+307,'Price History'!$A:$A))-'Price History'!J3)*(ROW()-3)/(MATCH(9.99E+307,'Returns (Calc)'!$A:$A)-3),"")</f>
        <v>63.8941509433962</v>
      </c>
      <c r="AF15" s="145" t="n">
        <f aca="false">IFERROR('Price History'!K3+(INDEX('Price History'!K:K,MATCH(9.99E+307,'Price History'!$A:$A))-'Price History'!K3)*(ROW()-3)/(MATCH(9.99E+307,'Returns (Calc)'!$A:$A)-3),"")</f>
        <v>40.4666037735849</v>
      </c>
      <c r="AG15" s="145" t="n">
        <f aca="false">IFERROR('Price History'!L3+(INDEX('Price History'!L:L,MATCH(9.99E+307,'Price History'!$A:$A))-'Price History'!L3)*(ROW()-3)/(MATCH(9.99E+307,'Returns (Calc)'!$A:$A)-3),"")</f>
        <v>103.399245283019</v>
      </c>
      <c r="AH15" s="145" t="n">
        <f aca="false">IFERROR('Price History'!M3+(INDEX('Price History'!M:M,MATCH(9.99E+307,'Price History'!$A:$A))-'Price History'!M3)*(ROW()-3)/(MATCH(9.99E+307,'Returns (Calc)'!$A:$A)-3),"")</f>
        <v>14.1730188679245</v>
      </c>
      <c r="AI15" s="145" t="n">
        <f aca="false">IFERROR('Price History'!N3+(INDEX('Price History'!N:N,MATCH(9.99E+307,'Price History'!$A:$A))-'Price History'!N3)*(ROW()-3)/(MATCH(9.99E+307,'Returns (Calc)'!$A:$A)-3),"")</f>
        <v>20.1547169811321</v>
      </c>
      <c r="AJ15" s="145" t="n">
        <f aca="false">IFERROR('Price History'!O3+(INDEX('Price History'!O:O,MATCH(9.99E+307,'Price History'!$A:$A))-'Price History'!O3)*(ROW()-3)/(MATCH(9.99E+307,'Returns (Calc)'!$A:$A)-3),"")</f>
        <v>53.2805660377359</v>
      </c>
      <c r="AK15" s="145" t="n">
        <f aca="false">IFERROR('Price History'!Q3+(INDEX('Price History'!Q:Q,MATCH(9.99E+307,'Price History'!$A:$A))-'Price History'!Q3)*(ROW()-3)/(MATCH(9.99E+307,'Returns (Calc)'!$A:$A)-3),"")</f>
        <v>217.846603773585</v>
      </c>
      <c r="AL15" s="145" t="n">
        <f aca="false">IFERROR('Price History'!R3+(INDEX('Price History'!R:R,MATCH(9.99E+307,'Price History'!$A:$A))-'Price History'!R3)*(ROW()-3)/(MATCH(9.99E+307,'Returns (Calc)'!$A:$A)-3),"")</f>
        <v>44.2109433962264</v>
      </c>
      <c r="AM15" s="145" t="n">
        <f aca="false">IFERROR('Price History'!S3+(INDEX('Price History'!S:S,MATCH(9.99E+307,'Price History'!$A:$A))-'Price History'!S3)*(ROW()-3)/(MATCH(9.99E+307,'Returns (Calc)'!$A:$A)-3),"")</f>
        <v>54.1218867924528</v>
      </c>
      <c r="AN15" s="145" t="n">
        <f aca="false">IFERROR('Price History'!T3+(INDEX('Price History'!T:T,MATCH(9.99E+307,'Price History'!$A:$A))-'Price History'!T3)*(ROW()-3)/(MATCH(9.99E+307,'Returns (Calc)'!$A:$A)-3),"")</f>
        <v>24.8790566037736</v>
      </c>
      <c r="AO15" s="146" t="n">
        <f aca="false">IFERROR('Price History'!V3+(INDEX('Price History'!V:V,MATCH(9.99E+307,'Price History'!$A:$A))-'Price History'!V3)*(ROW()-3)/(MATCH(9.99E+307,'Returns (Calc)'!$A:$A)-3),"")</f>
        <v>0</v>
      </c>
    </row>
    <row r="16" customFormat="false" ht="15" hidden="false" customHeight="true" outlineLevel="0" collapsed="false">
      <c r="A16" s="142" t="n">
        <f aca="false">IF('Price History'!A17="","",'Price History'!A17)</f>
        <v>45282</v>
      </c>
      <c r="B16" s="143" t="n">
        <f aca="false">IFERROR(IF(OR(NOT(ISNUMBER('Price History'!B17)),NOT(ISNUMBER('Price History'!B16)),'Price History'!B16=0),"",'Price History'!B17/'Price History'!B16-1),"")</f>
        <v>0.0240644455086545</v>
      </c>
      <c r="C16" s="143" t="n">
        <f aca="false">IFERROR(IF(OR(NOT(ISNUMBER('Price History'!C17)),NOT(ISNUMBER('Price History'!C16)),'Price History'!C16=0),"",'Price History'!C17/'Price History'!C16-1),"")</f>
        <v>0.0112054329371818</v>
      </c>
      <c r="D16" s="143" t="n">
        <f aca="false">IFERROR(IF(OR(NOT(ISNUMBER('Price History'!D17)),NOT(ISNUMBER('Price History'!D16)),'Price History'!D16=0),"",'Price History'!D17/'Price History'!D16-1),"")</f>
        <v>-0.000570373187028017</v>
      </c>
      <c r="E16" s="143" t="n">
        <f aca="false">IFERROR(IF(OR(NOT(ISNUMBER('Price History'!E17)),NOT(ISNUMBER('Price History'!E16)),'Price History'!E16=0),"",'Price History'!E17/'Price History'!E16-1),"")</f>
        <v>-0.00237725153149859</v>
      </c>
      <c r="F16" s="143" t="n">
        <f aca="false">IFERROR(IF(OR(NOT(ISNUMBER('Price History'!F17)),NOT(ISNUMBER('Price History'!F16)),'Price History'!F16=0),"",'Price History'!F17/'Price History'!F16-1),"")</f>
        <v>0.0277314925017853</v>
      </c>
      <c r="G16" s="143" t="n">
        <f aca="false">IFERROR(IF(OR(NOT(ISNUMBER('Price History'!G17)),NOT(ISNUMBER('Price History'!G16)),'Price History'!G16=0),"",'Price History'!G17/'Price History'!G16-1),"")</f>
        <v>-0.0170716702553061</v>
      </c>
      <c r="H16" s="143" t="n">
        <f aca="false">IFERROR(IF(OR(NOT(ISNUMBER('Price History'!H17)),NOT(ISNUMBER('Price History'!H16)),'Price History'!H16=0),"",'Price History'!H17/'Price History'!H16-1),"")</f>
        <v>0.00265302255069155</v>
      </c>
      <c r="I16" s="143" t="n">
        <f aca="false">IFERROR(IF(OR(NOT(ISNUMBER('Price History'!I17)),NOT(ISNUMBER('Price History'!I16)),'Price History'!I16=0),"",'Price History'!I17/'Price History'!I16-1),"")</f>
        <v>-0.00418921277709905</v>
      </c>
      <c r="J16" s="143" t="n">
        <f aca="false">IFERROR(IF(OR(NOT(ISNUMBER('Price History'!J17)),NOT(ISNUMBER('Price History'!J16)),'Price History'!J16=0),"",'Price History'!J17/'Price History'!J16-1),"")</f>
        <v>0.0625</v>
      </c>
      <c r="K16" s="143" t="n">
        <f aca="false">IFERROR(IF(OR(NOT(ISNUMBER('Price History'!K17)),NOT(ISNUMBER('Price History'!K16)),'Price History'!K16=0),"",'Price History'!K17/'Price History'!K16-1),"")</f>
        <v>-0.00123076923076926</v>
      </c>
      <c r="L16" s="143" t="n">
        <f aca="false">IFERROR(IF(OR(NOT(ISNUMBER('Price History'!L17)),NOT(ISNUMBER('Price History'!L16)),'Price History'!L16=0),"",'Price History'!L17/'Price History'!L16-1),"")</f>
        <v>-0.013857189435931</v>
      </c>
      <c r="M16" s="143" t="n">
        <f aca="false">IFERROR(IF(OR(NOT(ISNUMBER('Price History'!M17)),NOT(ISNUMBER('Price History'!M16)),'Price History'!M16=0),"",'Price History'!M17/'Price History'!M16-1),"")</f>
        <v>-0.0434065934065934</v>
      </c>
      <c r="N16" s="143" t="n">
        <f aca="false">IFERROR(IF(OR(NOT(ISNUMBER('Price History'!N17)),NOT(ISNUMBER('Price History'!N16)),'Price History'!N16=0),"",'Price History'!N17/'Price History'!N16-1),"")</f>
        <v>0.00527009222661401</v>
      </c>
      <c r="O16" s="143" t="n">
        <f aca="false">IFERROR(IF(OR(NOT(ISNUMBER('Price History'!O17)),NOT(ISNUMBER('Price History'!O16)),'Price History'!O16=0),"",'Price History'!O17/'Price History'!O16-1),"")</f>
        <v>0.014951487195801</v>
      </c>
      <c r="P16" s="143" t="n">
        <f aca="false">IFERROR(IF(OR(NOT(ISNUMBER('Price History'!P17)),NOT(ISNUMBER('Price History'!P16)),'Price History'!P16=0),"",'Price History'!P17/'Price History'!P16-1),"")</f>
        <v>0.00585917769471656</v>
      </c>
      <c r="Q16" s="143" t="n">
        <f aca="false">IFERROR(IF(OR(NOT(ISNUMBER('Price History'!Q17)),NOT(ISNUMBER('Price History'!Q16)),'Price History'!Q16=0),"",'Price History'!Q17/'Price History'!Q16-1),"")</f>
        <v>0.0015430267062313</v>
      </c>
      <c r="R16" s="143" t="n">
        <f aca="false">IFERROR(IF(OR(NOT(ISNUMBER('Price History'!R17)),NOT(ISNUMBER('Price History'!R16)),'Price History'!R16=0),"",'Price History'!R17/'Price History'!R16-1),"")</f>
        <v>0.00948258091115228</v>
      </c>
      <c r="S16" s="143" t="n">
        <f aca="false">IFERROR(IF(OR(NOT(ISNUMBER('Price History'!S17)),NOT(ISNUMBER('Price History'!S16)),'Price History'!S16=0),"",'Price History'!S17/'Price History'!S16-1),"")</f>
        <v>0.0216959258032461</v>
      </c>
      <c r="T16" s="143" t="n">
        <f aca="false">IFERROR(IF(OR(NOT(ISNUMBER('Price History'!T17)),NOT(ISNUMBER('Price History'!T16)),'Price History'!T16=0),"",'Price History'!T17/'Price History'!T16-1),"")</f>
        <v>0.0254531430775165</v>
      </c>
      <c r="U16" s="143" t="str">
        <f aca="false">IFERROR(IF(OR(NOT(ISNUMBER('Price History'!U17)),NOT(ISNUMBER('Price History'!U16)),'Price History'!U16=0),"",'Price History'!U17/'Price History'!U16-1),"")</f>
        <v/>
      </c>
      <c r="V16" s="144" t="n">
        <f aca="false">IFERROR(IF(OR(NOT(ISNUMBER('Price History'!V17)),NOT(ISNUMBER('Price History'!V16)),'Price History'!V16=0),"",'Price History'!V17/'Price History'!V16-1),"")</f>
        <v>0.0175664987720101</v>
      </c>
      <c r="W16" s="145" t="str">
        <f aca="false">IFERROR('Price History'!B3+(INDEX('Price History'!B:B,MATCH(9.99E+307,'Price History'!$A:$A))-'Price History'!B3)*(ROW()-3)/(MATCH(9.99E+307,'Returns (Calc)'!$A:$A)-3),"")</f>
        <v/>
      </c>
      <c r="X16" s="145" t="n">
        <f aca="false">IFERROR('Price History'!C3+(INDEX('Price History'!C:C,MATCH(9.99E+307,'Price History'!$A:$A))-'Price History'!C3)*(ROW()-3)/(MATCH(9.99E+307,'Returns (Calc)'!$A:$A)-3),"")</f>
        <v>42.4042767295598</v>
      </c>
      <c r="Y16" s="145" t="n">
        <f aca="false">IFERROR('Price History'!D3+(INDEX('Price History'!D:D,MATCH(9.99E+307,'Price History'!$A:$A))-'Price History'!D3)*(ROW()-3)/(MATCH(9.99E+307,'Returns (Calc)'!$A:$A)-3),"")</f>
        <v>534.42427672956</v>
      </c>
      <c r="Z16" s="145" t="n">
        <f aca="false">IFERROR('Price History'!E3+(INDEX('Price History'!E:E,MATCH(9.99E+307,'Price History'!$A:$A))-'Price History'!E3)*(ROW()-3)/(MATCH(9.99E+307,'Returns (Calc)'!$A:$A)-3),"")</f>
        <v>75.2955974842767</v>
      </c>
      <c r="AA16" s="145" t="n">
        <f aca="false">IFERROR('Price History'!F3+(INDEX('Price History'!F:F,MATCH(9.99E+307,'Price History'!$A:$A))-'Price History'!F3)*(ROW()-3)/(MATCH(9.99E+307,'Returns (Calc)'!$A:$A)-3),"")</f>
        <v>69.1525786163522</v>
      </c>
      <c r="AB16" s="145" t="n">
        <f aca="false">IFERROR('Price History'!G3+(INDEX('Price History'!G:G,MATCH(9.99E+307,'Price History'!$A:$A))-'Price History'!G3)*(ROW()-3)/(MATCH(9.99E+307,'Returns (Calc)'!$A:$A)-3),"")</f>
        <v>37.9783647798742</v>
      </c>
      <c r="AC16" s="145" t="n">
        <f aca="false">IFERROR('Price History'!H3+(INDEX('Price History'!H:H,MATCH(9.99E+307,'Price History'!$A:$A))-'Price History'!H3)*(ROW()-3)/(MATCH(9.99E+307,'Returns (Calc)'!$A:$A)-3),"")</f>
        <v>92.3656603773585</v>
      </c>
      <c r="AD16" s="145" t="n">
        <f aca="false">IFERROR('Price History'!I3+(INDEX('Price History'!I:I,MATCH(9.99E+307,'Price History'!$A:$A))-'Price History'!I3)*(ROW()-3)/(MATCH(9.99E+307,'Returns (Calc)'!$A:$A)-3),"")</f>
        <v>40.7238993710692</v>
      </c>
      <c r="AE16" s="145" t="n">
        <f aca="false">IFERROR('Price History'!J3+(INDEX('Price History'!J:J,MATCH(9.99E+307,'Price History'!$A:$A))-'Price History'!J3)*(ROW()-3)/(MATCH(9.99E+307,'Returns (Calc)'!$A:$A)-3),"")</f>
        <v>63.4594968553459</v>
      </c>
      <c r="AF16" s="145" t="n">
        <f aca="false">IFERROR('Price History'!K3+(INDEX('Price History'!K:K,MATCH(9.99E+307,'Price History'!$A:$A))-'Price History'!K3)*(ROW()-3)/(MATCH(9.99E+307,'Returns (Calc)'!$A:$A)-3),"")</f>
        <v>40.191320754717</v>
      </c>
      <c r="AG16" s="145" t="n">
        <f aca="false">IFERROR('Price History'!L3+(INDEX('Price History'!L:L,MATCH(9.99E+307,'Price History'!$A:$A))-'Price History'!L3)*(ROW()-3)/(MATCH(9.99E+307,'Returns (Calc)'!$A:$A)-3),"")</f>
        <v>102.695849056604</v>
      </c>
      <c r="AH16" s="145" t="n">
        <f aca="false">IFERROR('Price History'!M3+(INDEX('Price History'!M:M,MATCH(9.99E+307,'Price History'!$A:$A))-'Price History'!M3)*(ROW()-3)/(MATCH(9.99E+307,'Returns (Calc)'!$A:$A)-3),"")</f>
        <v>14.0766037735849</v>
      </c>
      <c r="AI16" s="145" t="n">
        <f aca="false">IFERROR('Price History'!N3+(INDEX('Price History'!N:N,MATCH(9.99E+307,'Price History'!$A:$A))-'Price History'!N3)*(ROW()-3)/(MATCH(9.99E+307,'Returns (Calc)'!$A:$A)-3),"")</f>
        <v>20.0176100628931</v>
      </c>
      <c r="AJ16" s="145" t="n">
        <f aca="false">IFERROR('Price History'!O3+(INDEX('Price History'!O:O,MATCH(9.99E+307,'Price History'!$A:$A))-'Price History'!O3)*(ROW()-3)/(MATCH(9.99E+307,'Returns (Calc)'!$A:$A)-3),"")</f>
        <v>52.9181132075472</v>
      </c>
      <c r="AK16" s="145" t="n">
        <f aca="false">IFERROR('Price History'!Q3+(INDEX('Price History'!Q:Q,MATCH(9.99E+307,'Price History'!$A:$A))-'Price History'!Q3)*(ROW()-3)/(MATCH(9.99E+307,'Returns (Calc)'!$A:$A)-3),"")</f>
        <v>216.36465408805</v>
      </c>
      <c r="AL16" s="145" t="n">
        <f aca="false">IFERROR('Price History'!R3+(INDEX('Price History'!R:R,MATCH(9.99E+307,'Price History'!$A:$A))-'Price History'!R3)*(ROW()-3)/(MATCH(9.99E+307,'Returns (Calc)'!$A:$A)-3),"")</f>
        <v>43.9101886792453</v>
      </c>
      <c r="AM16" s="145" t="n">
        <f aca="false">IFERROR('Price History'!S3+(INDEX('Price History'!S:S,MATCH(9.99E+307,'Price History'!$A:$A))-'Price History'!S3)*(ROW()-3)/(MATCH(9.99E+307,'Returns (Calc)'!$A:$A)-3),"")</f>
        <v>53.7537106918239</v>
      </c>
      <c r="AN16" s="145" t="n">
        <f aca="false">IFERROR('Price History'!T3+(INDEX('Price History'!T:T,MATCH(9.99E+307,'Price History'!$A:$A))-'Price History'!T3)*(ROW()-3)/(MATCH(9.99E+307,'Returns (Calc)'!$A:$A)-3),"")</f>
        <v>24.7098113207547</v>
      </c>
      <c r="AO16" s="146" t="n">
        <f aca="false">IFERROR('Price History'!V3+(INDEX('Price History'!V:V,MATCH(9.99E+307,'Price History'!$A:$A))-'Price History'!V3)*(ROW()-3)/(MATCH(9.99E+307,'Returns (Calc)'!$A:$A)-3),"")</f>
        <v>0</v>
      </c>
    </row>
    <row r="17" customFormat="false" ht="15" hidden="false" customHeight="true" outlineLevel="0" collapsed="false">
      <c r="A17" s="142" t="n">
        <f aca="false">IF('Price History'!A18="","",'Price History'!A18)</f>
        <v>45289</v>
      </c>
      <c r="B17" s="143" t="n">
        <f aca="false">IFERROR(IF(OR(NOT(ISNUMBER('Price History'!B18)),NOT(ISNUMBER('Price History'!B17)),'Price History'!B17=0),"",'Price History'!B18/'Price History'!B17-1),"")</f>
        <v>-0.00359081419624219</v>
      </c>
      <c r="C17" s="143" t="n">
        <f aca="false">IFERROR(IF(OR(NOT(ISNUMBER('Price History'!C18)),NOT(ISNUMBER('Price History'!C17)),'Price History'!C17=0),"",'Price History'!C18/'Price History'!C17-1),"")</f>
        <v>-0.0114170584284755</v>
      </c>
      <c r="D17" s="143" t="n">
        <f aca="false">IFERROR(IF(OR(NOT(ISNUMBER('Price History'!D18)),NOT(ISNUMBER('Price History'!D17)),'Price History'!D17=0),"",'Price History'!D18/'Price History'!D17-1),"")</f>
        <v>0.00582927956083368</v>
      </c>
      <c r="E17" s="143" t="n">
        <f aca="false">IFERROR(IF(OR(NOT(ISNUMBER('Price History'!E18)),NOT(ISNUMBER('Price History'!E17)),'Price History'!E17=0),"",'Price History'!E18/'Price History'!E17-1),"")</f>
        <v>-0.00504078452937395</v>
      </c>
      <c r="F17" s="143" t="n">
        <f aca="false">IFERROR(IF(OR(NOT(ISNUMBER('Price History'!F18)),NOT(ISNUMBER('Price History'!F17)),'Price History'!F17=0),"",'Price History'!F18/'Price History'!F17-1),"")</f>
        <v>-0.00370584829183551</v>
      </c>
      <c r="G17" s="143" t="n">
        <f aca="false">IFERROR(IF(OR(NOT(ISNUMBER('Price History'!G18)),NOT(ISNUMBER('Price History'!G17)),'Price History'!G17=0),"",'Price History'!G18/'Price History'!G17-1),"")</f>
        <v>-0.00125176028790486</v>
      </c>
      <c r="H17" s="143" t="n">
        <f aca="false">IFERROR(IF(OR(NOT(ISNUMBER('Price History'!H18)),NOT(ISNUMBER('Price History'!H17)),'Price History'!H17=0),"",'Price History'!H18/'Price History'!H17-1),"")</f>
        <v>0.0040635040635042</v>
      </c>
      <c r="I17" s="143" t="n">
        <f aca="false">IFERROR(IF(OR(NOT(ISNUMBER('Price History'!I18)),NOT(ISNUMBER('Price History'!I17)),'Price History'!I17=0),"",'Price History'!I18/'Price History'!I17-1),"")</f>
        <v>-0.00227870289219978</v>
      </c>
      <c r="J17" s="143" t="n">
        <f aca="false">IFERROR(IF(OR(NOT(ISNUMBER('Price History'!J18)),NOT(ISNUMBER('Price History'!J17)),'Price History'!J17=0),"",'Price History'!J18/'Price History'!J17-1),"")</f>
        <v>-0.0120214752567693</v>
      </c>
      <c r="K17" s="143" t="n">
        <f aca="false">IFERROR(IF(OR(NOT(ISNUMBER('Price History'!K18)),NOT(ISNUMBER('Price History'!K17)),'Price History'!K17=0),"",'Price History'!K18/'Price History'!K17-1),"")</f>
        <v>0.0141712877387554</v>
      </c>
      <c r="L17" s="143" t="n">
        <f aca="false">IFERROR(IF(OR(NOT(ISNUMBER('Price History'!L18)),NOT(ISNUMBER('Price History'!L17)),'Price History'!L17=0),"",'Price History'!L18/'Price History'!L17-1),"")</f>
        <v>0.00677797983137696</v>
      </c>
      <c r="M17" s="143" t="n">
        <f aca="false">IFERROR(IF(OR(NOT(ISNUMBER('Price History'!M18)),NOT(ISNUMBER('Price History'!M17)),'Price History'!M17=0),"",'Price History'!M18/'Price History'!M17-1),"")</f>
        <v>-0.0137851809304996</v>
      </c>
      <c r="N17" s="143" t="n">
        <f aca="false">IFERROR(IF(OR(NOT(ISNUMBER('Price History'!N18)),NOT(ISNUMBER('Price History'!N17)),'Price History'!N17=0),"",'Price History'!N18/'Price History'!N17-1),"")</f>
        <v>0.00393184796854529</v>
      </c>
      <c r="O17" s="143" t="n">
        <f aca="false">IFERROR(IF(OR(NOT(ISNUMBER('Price History'!O18)),NOT(ISNUMBER('Price History'!O17)),'Price History'!O17=0),"",'Price History'!O18/'Price History'!O17-1),"")</f>
        <v>0.00705218617771508</v>
      </c>
      <c r="P17" s="143" t="n">
        <f aca="false">IFERROR(IF(OR(NOT(ISNUMBER('Price History'!P18)),NOT(ISNUMBER('Price History'!P17)),'Price History'!P17=0),"",'Price History'!P18/'Price History'!P17-1),"")</f>
        <v>0.00833584412975807</v>
      </c>
      <c r="Q17" s="143" t="n">
        <f aca="false">IFERROR(IF(OR(NOT(ISNUMBER('Price History'!Q18)),NOT(ISNUMBER('Price History'!Q17)),'Price History'!Q17=0),"",'Price History'!Q18/'Price History'!Q17-1),"")</f>
        <v>0.00742672039187808</v>
      </c>
      <c r="R17" s="143" t="n">
        <f aca="false">IFERROR(IF(OR(NOT(ISNUMBER('Price History'!R18)),NOT(ISNUMBER('Price History'!R17)),'Price History'!R17=0),"",'Price History'!R18/'Price History'!R17-1),"")</f>
        <v>0.00530937308556245</v>
      </c>
      <c r="S17" s="143" t="n">
        <f aca="false">IFERROR(IF(OR(NOT(ISNUMBER('Price History'!S18)),NOT(ISNUMBER('Price History'!S17)),'Price History'!S17=0),"",'Price History'!S18/'Price History'!S17-1),"")</f>
        <v>0.00551142810828331</v>
      </c>
      <c r="T17" s="143" t="n">
        <f aca="false">IFERROR(IF(OR(NOT(ISNUMBER('Price History'!T18)),NOT(ISNUMBER('Price History'!T17)),'Price History'!T17=0),"",'Price History'!T18/'Price History'!T17-1),"")</f>
        <v>0.00714554343738261</v>
      </c>
      <c r="U17" s="143" t="str">
        <f aca="false">IFERROR(IF(OR(NOT(ISNUMBER('Price History'!U18)),NOT(ISNUMBER('Price History'!U17)),'Price History'!U17=0),"",'Price History'!U18/'Price History'!U17-1),"")</f>
        <v/>
      </c>
      <c r="V17" s="144" t="n">
        <f aca="false">IFERROR(IF(OR(NOT(ISNUMBER('Price History'!V18)),NOT(ISNUMBER('Price History'!V17)),'Price History'!V17=0),"",'Price History'!V18/'Price History'!V17-1),"")</f>
        <v>0.019022294947842</v>
      </c>
      <c r="W17" s="145" t="str">
        <f aca="false">IFERROR('Price History'!B3+(INDEX('Price History'!B:B,MATCH(9.99E+307,'Price History'!$A:$A))-'Price History'!B3)*(ROW()-3)/(MATCH(9.99E+307,'Returns (Calc)'!$A:$A)-3),"")</f>
        <v/>
      </c>
      <c r="X17" s="145" t="n">
        <f aca="false">IFERROR('Price History'!C3+(INDEX('Price History'!C:C,MATCH(9.99E+307,'Price History'!$A:$A))-'Price History'!C3)*(ROW()-3)/(MATCH(9.99E+307,'Returns (Calc)'!$A:$A)-3),"")</f>
        <v>42.1138364779874</v>
      </c>
      <c r="Y17" s="145" t="n">
        <f aca="false">IFERROR('Price History'!D3+(INDEX('Price History'!D:D,MATCH(9.99E+307,'Price History'!$A:$A))-'Price History'!D3)*(ROW()-3)/(MATCH(9.99E+307,'Returns (Calc)'!$A:$A)-3),"")</f>
        <v>530.763836477987</v>
      </c>
      <c r="Z17" s="145" t="n">
        <f aca="false">IFERROR('Price History'!E3+(INDEX('Price History'!E:E,MATCH(9.99E+307,'Price History'!$A:$A))-'Price History'!E3)*(ROW()-3)/(MATCH(9.99E+307,'Returns (Calc)'!$A:$A)-3),"")</f>
        <v>74.7798742138365</v>
      </c>
      <c r="AA17" s="145" t="n">
        <f aca="false">IFERROR('Price History'!F3+(INDEX('Price History'!F:F,MATCH(9.99E+307,'Price History'!$A:$A))-'Price History'!F3)*(ROW()-3)/(MATCH(9.99E+307,'Returns (Calc)'!$A:$A)-3),"")</f>
        <v>68.6789308176101</v>
      </c>
      <c r="AB17" s="145" t="n">
        <f aca="false">IFERROR('Price History'!G3+(INDEX('Price History'!G:G,MATCH(9.99E+307,'Price History'!$A:$A))-'Price History'!G3)*(ROW()-3)/(MATCH(9.99E+307,'Returns (Calc)'!$A:$A)-3),"")</f>
        <v>37.7182389937107</v>
      </c>
      <c r="AC17" s="145" t="n">
        <f aca="false">IFERROR('Price History'!H3+(INDEX('Price History'!H:H,MATCH(9.99E+307,'Price History'!$A:$A))-'Price History'!H3)*(ROW()-3)/(MATCH(9.99E+307,'Returns (Calc)'!$A:$A)-3),"")</f>
        <v>91.7330188679245</v>
      </c>
      <c r="AD17" s="145" t="n">
        <f aca="false">IFERROR('Price History'!I3+(INDEX('Price History'!I:I,MATCH(9.99E+307,'Price History'!$A:$A))-'Price History'!I3)*(ROW()-3)/(MATCH(9.99E+307,'Returns (Calc)'!$A:$A)-3),"")</f>
        <v>40.4449685534591</v>
      </c>
      <c r="AE17" s="145" t="n">
        <f aca="false">IFERROR('Price History'!J3+(INDEX('Price History'!J:J,MATCH(9.99E+307,'Price History'!$A:$A))-'Price History'!J3)*(ROW()-3)/(MATCH(9.99E+307,'Returns (Calc)'!$A:$A)-3),"")</f>
        <v>63.0248427672956</v>
      </c>
      <c r="AF17" s="145" t="n">
        <f aca="false">IFERROR('Price History'!K3+(INDEX('Price History'!K:K,MATCH(9.99E+307,'Price History'!$A:$A))-'Price History'!K3)*(ROW()-3)/(MATCH(9.99E+307,'Returns (Calc)'!$A:$A)-3),"")</f>
        <v>39.9160377358491</v>
      </c>
      <c r="AG17" s="145" t="n">
        <f aca="false">IFERROR('Price History'!L3+(INDEX('Price History'!L:L,MATCH(9.99E+307,'Price History'!$A:$A))-'Price History'!L3)*(ROW()-3)/(MATCH(9.99E+307,'Returns (Calc)'!$A:$A)-3),"")</f>
        <v>101.992452830189</v>
      </c>
      <c r="AH17" s="145" t="n">
        <f aca="false">IFERROR('Price History'!M3+(INDEX('Price History'!M:M,MATCH(9.99E+307,'Price History'!$A:$A))-'Price History'!M3)*(ROW()-3)/(MATCH(9.99E+307,'Returns (Calc)'!$A:$A)-3),"")</f>
        <v>13.9801886792453</v>
      </c>
      <c r="AI17" s="145" t="n">
        <f aca="false">IFERROR('Price History'!N3+(INDEX('Price History'!N:N,MATCH(9.99E+307,'Price History'!$A:$A))-'Price History'!N3)*(ROW()-3)/(MATCH(9.99E+307,'Returns (Calc)'!$A:$A)-3),"")</f>
        <v>19.8805031446541</v>
      </c>
      <c r="AJ17" s="145" t="n">
        <f aca="false">IFERROR('Price History'!O3+(INDEX('Price History'!O:O,MATCH(9.99E+307,'Price History'!$A:$A))-'Price History'!O3)*(ROW()-3)/(MATCH(9.99E+307,'Returns (Calc)'!$A:$A)-3),"")</f>
        <v>52.5556603773585</v>
      </c>
      <c r="AK17" s="145" t="n">
        <f aca="false">IFERROR('Price History'!Q3+(INDEX('Price History'!Q:Q,MATCH(9.99E+307,'Price History'!$A:$A))-'Price History'!Q3)*(ROW()-3)/(MATCH(9.99E+307,'Returns (Calc)'!$A:$A)-3),"")</f>
        <v>214.882704402516</v>
      </c>
      <c r="AL17" s="145" t="n">
        <f aca="false">IFERROR('Price History'!R3+(INDEX('Price History'!R:R,MATCH(9.99E+307,'Price History'!$A:$A))-'Price History'!R3)*(ROW()-3)/(MATCH(9.99E+307,'Returns (Calc)'!$A:$A)-3),"")</f>
        <v>43.6094339622642</v>
      </c>
      <c r="AM17" s="145" t="n">
        <f aca="false">IFERROR('Price History'!S3+(INDEX('Price History'!S:S,MATCH(9.99E+307,'Price History'!$A:$A))-'Price History'!S3)*(ROW()-3)/(MATCH(9.99E+307,'Returns (Calc)'!$A:$A)-3),"")</f>
        <v>53.385534591195</v>
      </c>
      <c r="AN17" s="145" t="n">
        <f aca="false">IFERROR('Price History'!T3+(INDEX('Price History'!T:T,MATCH(9.99E+307,'Price History'!$A:$A))-'Price History'!T3)*(ROW()-3)/(MATCH(9.99E+307,'Returns (Calc)'!$A:$A)-3),"")</f>
        <v>24.5405660377359</v>
      </c>
      <c r="AO17" s="146" t="n">
        <f aca="false">IFERROR('Price History'!V3+(INDEX('Price History'!V:V,MATCH(9.99E+307,'Price History'!$A:$A))-'Price History'!V3)*(ROW()-3)/(MATCH(9.99E+307,'Returns (Calc)'!$A:$A)-3),"")</f>
        <v>0</v>
      </c>
    </row>
    <row r="18" customFormat="false" ht="15" hidden="false" customHeight="true" outlineLevel="0" collapsed="false">
      <c r="A18" s="142" t="n">
        <f aca="false">IF('Price History'!A19="","",'Price History'!A19)</f>
        <v>45296</v>
      </c>
      <c r="B18" s="143" t="n">
        <f aca="false">IFERROR(IF(OR(NOT(ISNUMBER('Price History'!B19)),NOT(ISNUMBER('Price History'!B18)),'Price History'!B18=0),"",'Price History'!B19/'Price History'!B18-1),"")</f>
        <v>-0.0536372779081462</v>
      </c>
      <c r="C18" s="143" t="n">
        <f aca="false">IFERROR(IF(OR(NOT(ISNUMBER('Price History'!C19)),NOT(ISNUMBER('Price History'!C18)),'Price History'!C18=0),"",'Price History'!C19/'Price History'!C18-1),"")</f>
        <v>-0.0195312500000001</v>
      </c>
      <c r="D18" s="143" t="n">
        <f aca="false">IFERROR(IF(OR(NOT(ISNUMBER('Price History'!D19)),NOT(ISNUMBER('Price History'!D18)),'Price History'!D18=0),"",'Price History'!D19/'Price History'!D18-1),"")</f>
        <v>-0.0707888088837253</v>
      </c>
      <c r="E18" s="143" t="n">
        <f aca="false">IFERROR(IF(OR(NOT(ISNUMBER('Price History'!E19)),NOT(ISNUMBER('Price History'!E18)),'Price History'!E18=0),"",'Price History'!E19/'Price History'!E18-1),"")</f>
        <v>-0.0600589535740604</v>
      </c>
      <c r="F18" s="143" t="n">
        <f aca="false">IFERROR(IF(OR(NOT(ISNUMBER('Price History'!F19)),NOT(ISNUMBER('Price History'!F18)),'Price History'!F18=0),"",'Price History'!F19/'Price History'!F18-1),"")</f>
        <v>-0.0259211902824597</v>
      </c>
      <c r="G18" s="143" t="n">
        <f aca="false">IFERROR(IF(OR(NOT(ISNUMBER('Price History'!G19)),NOT(ISNUMBER('Price History'!G18)),'Price History'!G18=0),"",'Price History'!G19/'Price History'!G18-1),"")</f>
        <v>-0.0307065643114524</v>
      </c>
      <c r="H18" s="143" t="n">
        <f aca="false">IFERROR(IF(OR(NOT(ISNUMBER('Price History'!H19)),NOT(ISNUMBER('Price History'!H18)),'Price History'!H18=0),"",'Price History'!H19/'Price History'!H18-1),"")</f>
        <v>0.00705882352941178</v>
      </c>
      <c r="I18" s="143" t="n">
        <f aca="false">IFERROR(IF(OR(NOT(ISNUMBER('Price History'!I19)),NOT(ISNUMBER('Price History'!I18)),'Price History'!I18=0),"",'Price History'!I19/'Price History'!I18-1),"")</f>
        <v>-0.0635980323260718</v>
      </c>
      <c r="J18" s="143" t="n">
        <f aca="false">IFERROR(IF(OR(NOT(ISNUMBER('Price History'!J19)),NOT(ISNUMBER('Price History'!J18)),'Price History'!J18=0),"",'Price History'!J19/'Price History'!J18-1),"")</f>
        <v>-0.0220909627879504</v>
      </c>
      <c r="K18" s="143" t="n">
        <f aca="false">IFERROR(IF(OR(NOT(ISNUMBER('Price History'!K19)),NOT(ISNUMBER('Price History'!K18)),'Price History'!K18=0),"",'Price History'!K19/'Price History'!K18-1),"")</f>
        <v>-0.00850546780072903</v>
      </c>
      <c r="L18" s="143" t="n">
        <f aca="false">IFERROR(IF(OR(NOT(ISNUMBER('Price History'!L19)),NOT(ISNUMBER('Price History'!L18)),'Price History'!L18=0),"",'Price History'!L19/'Price History'!L18-1),"")</f>
        <v>-0.0205254515599344</v>
      </c>
      <c r="M18" s="143" t="n">
        <f aca="false">IFERROR(IF(OR(NOT(ISNUMBER('Price History'!M19)),NOT(ISNUMBER('Price History'!M18)),'Price History'!M18=0),"",'Price History'!M19/'Price History'!M18-1),"")</f>
        <v>-0.0693069306930694</v>
      </c>
      <c r="N18" s="143" t="n">
        <f aca="false">IFERROR(IF(OR(NOT(ISNUMBER('Price History'!N19)),NOT(ISNUMBER('Price History'!N18)),'Price History'!N18=0),"",'Price History'!N19/'Price History'!N18-1),"")</f>
        <v>0.00304612706701479</v>
      </c>
      <c r="O18" s="143" t="n">
        <f aca="false">IFERROR(IF(OR(NOT(ISNUMBER('Price History'!O19)),NOT(ISNUMBER('Price History'!O18)),'Price History'!O18=0),"",'Price History'!O19/'Price History'!O18-1),"")</f>
        <v>-0.0102707749766574</v>
      </c>
      <c r="P18" s="143" t="n">
        <f aca="false">IFERROR(IF(OR(NOT(ISNUMBER('Price History'!P19)),NOT(ISNUMBER('Price History'!P18)),'Price History'!P18=0),"",'Price History'!P19/'Price History'!P18-1),"")</f>
        <v>-0.0422310756972113</v>
      </c>
      <c r="Q18" s="143" t="n">
        <f aca="false">IFERROR(IF(OR(NOT(ISNUMBER('Price History'!Q19)),NOT(ISNUMBER('Price History'!Q18)),'Price History'!Q18=0),"",'Price History'!Q19/'Price History'!Q18-1),"")</f>
        <v>-0.0025096070896401</v>
      </c>
      <c r="R18" s="143" t="n">
        <f aca="false">IFERROR(IF(OR(NOT(ISNUMBER('Price History'!R19)),NOT(ISNUMBER('Price History'!R18)),'Price History'!R18=0),"",'Price History'!R19/'Price History'!R18-1),"")</f>
        <v>-0.00670322973796467</v>
      </c>
      <c r="S18" s="143" t="n">
        <f aca="false">IFERROR(IF(OR(NOT(ISNUMBER('Price History'!S19)),NOT(ISNUMBER('Price History'!S18)),'Price History'!S18=0),"",'Price History'!S19/'Price History'!S18-1),"")</f>
        <v>-0.00225697243269385</v>
      </c>
      <c r="T18" s="143" t="n">
        <f aca="false">IFERROR(IF(OR(NOT(ISNUMBER('Price History'!T19)),NOT(ISNUMBER('Price History'!T18)),'Price History'!T18=0),"",'Price History'!T19/'Price History'!T18-1),"")</f>
        <v>0.0134428678117999</v>
      </c>
      <c r="U18" s="143" t="str">
        <f aca="false">IFERROR(IF(OR(NOT(ISNUMBER('Price History'!U19)),NOT(ISNUMBER('Price History'!U18)),'Price History'!U18=0),"",'Price History'!U19/'Price History'!U18-1),"")</f>
        <v/>
      </c>
      <c r="V18" s="144" t="n">
        <f aca="false">IFERROR(IF(OR(NOT(ISNUMBER('Price History'!V19)),NOT(ISNUMBER('Price History'!V18)),'Price History'!V18=0),"",'Price History'!V19/'Price History'!V18-1),"")</f>
        <v>0.00843034925732633</v>
      </c>
      <c r="W18" s="145" t="str">
        <f aca="false">IFERROR('Price History'!B3+(INDEX('Price History'!B:B,MATCH(9.99E+307,'Price History'!$A:$A))-'Price History'!B3)*(ROW()-3)/(MATCH(9.99E+307,'Returns (Calc)'!$A:$A)-3),"")</f>
        <v/>
      </c>
      <c r="X18" s="145" t="n">
        <f aca="false">IFERROR('Price History'!C3+(INDEX('Price History'!C:C,MATCH(9.99E+307,'Price History'!$A:$A))-'Price History'!C3)*(ROW()-3)/(MATCH(9.99E+307,'Returns (Calc)'!$A:$A)-3),"")</f>
        <v>41.8233962264151</v>
      </c>
      <c r="Y18" s="145" t="n">
        <f aca="false">IFERROR('Price History'!D3+(INDEX('Price History'!D:D,MATCH(9.99E+307,'Price History'!$A:$A))-'Price History'!D3)*(ROW()-3)/(MATCH(9.99E+307,'Returns (Calc)'!$A:$A)-3),"")</f>
        <v>527.103396226415</v>
      </c>
      <c r="Z18" s="145" t="n">
        <f aca="false">IFERROR('Price History'!E3+(INDEX('Price History'!E:E,MATCH(9.99E+307,'Price History'!$A:$A))-'Price History'!E3)*(ROW()-3)/(MATCH(9.99E+307,'Returns (Calc)'!$A:$A)-3),"")</f>
        <v>74.2641509433962</v>
      </c>
      <c r="AA18" s="145" t="n">
        <f aca="false">IFERROR('Price History'!F3+(INDEX('Price History'!F:F,MATCH(9.99E+307,'Price History'!$A:$A))-'Price History'!F3)*(ROW()-3)/(MATCH(9.99E+307,'Returns (Calc)'!$A:$A)-3),"")</f>
        <v>68.2052830188679</v>
      </c>
      <c r="AB18" s="145" t="n">
        <f aca="false">IFERROR('Price History'!G3+(INDEX('Price History'!G:G,MATCH(9.99E+307,'Price History'!$A:$A))-'Price History'!G3)*(ROW()-3)/(MATCH(9.99E+307,'Returns (Calc)'!$A:$A)-3),"")</f>
        <v>37.4581132075472</v>
      </c>
      <c r="AC18" s="145" t="n">
        <f aca="false">IFERROR('Price History'!H3+(INDEX('Price History'!H:H,MATCH(9.99E+307,'Price History'!$A:$A))-'Price History'!H3)*(ROW()-3)/(MATCH(9.99E+307,'Returns (Calc)'!$A:$A)-3),"")</f>
        <v>91.1003773584906</v>
      </c>
      <c r="AD18" s="145" t="n">
        <f aca="false">IFERROR('Price History'!I3+(INDEX('Price History'!I:I,MATCH(9.99E+307,'Price History'!$A:$A))-'Price History'!I3)*(ROW()-3)/(MATCH(9.99E+307,'Returns (Calc)'!$A:$A)-3),"")</f>
        <v>40.1660377358491</v>
      </c>
      <c r="AE18" s="145" t="n">
        <f aca="false">IFERROR('Price History'!J3+(INDEX('Price History'!J:J,MATCH(9.99E+307,'Price History'!$A:$A))-'Price History'!J3)*(ROW()-3)/(MATCH(9.99E+307,'Returns (Calc)'!$A:$A)-3),"")</f>
        <v>62.5901886792453</v>
      </c>
      <c r="AF18" s="145" t="n">
        <f aca="false">IFERROR('Price History'!K3+(INDEX('Price History'!K:K,MATCH(9.99E+307,'Price History'!$A:$A))-'Price History'!K3)*(ROW()-3)/(MATCH(9.99E+307,'Returns (Calc)'!$A:$A)-3),"")</f>
        <v>39.6407547169811</v>
      </c>
      <c r="AG18" s="145" t="n">
        <f aca="false">IFERROR('Price History'!L3+(INDEX('Price History'!L:L,MATCH(9.99E+307,'Price History'!$A:$A))-'Price History'!L3)*(ROW()-3)/(MATCH(9.99E+307,'Returns (Calc)'!$A:$A)-3),"")</f>
        <v>101.289056603774</v>
      </c>
      <c r="AH18" s="145" t="n">
        <f aca="false">IFERROR('Price History'!M3+(INDEX('Price History'!M:M,MATCH(9.99E+307,'Price History'!$A:$A))-'Price History'!M3)*(ROW()-3)/(MATCH(9.99E+307,'Returns (Calc)'!$A:$A)-3),"")</f>
        <v>13.8837735849057</v>
      </c>
      <c r="AI18" s="145" t="n">
        <f aca="false">IFERROR('Price History'!N3+(INDEX('Price History'!N:N,MATCH(9.99E+307,'Price History'!$A:$A))-'Price History'!N3)*(ROW()-3)/(MATCH(9.99E+307,'Returns (Calc)'!$A:$A)-3),"")</f>
        <v>19.7433962264151</v>
      </c>
      <c r="AJ18" s="145" t="n">
        <f aca="false">IFERROR('Price History'!O3+(INDEX('Price History'!O:O,MATCH(9.99E+307,'Price History'!$A:$A))-'Price History'!O3)*(ROW()-3)/(MATCH(9.99E+307,'Returns (Calc)'!$A:$A)-3),"")</f>
        <v>52.1932075471698</v>
      </c>
      <c r="AK18" s="145" t="n">
        <f aca="false">IFERROR('Price History'!Q3+(INDEX('Price History'!Q:Q,MATCH(9.99E+307,'Price History'!$A:$A))-'Price History'!Q3)*(ROW()-3)/(MATCH(9.99E+307,'Returns (Calc)'!$A:$A)-3),"")</f>
        <v>213.400754716981</v>
      </c>
      <c r="AL18" s="145" t="n">
        <f aca="false">IFERROR('Price History'!R3+(INDEX('Price History'!R:R,MATCH(9.99E+307,'Price History'!$A:$A))-'Price History'!R3)*(ROW()-3)/(MATCH(9.99E+307,'Returns (Calc)'!$A:$A)-3),"")</f>
        <v>43.308679245283</v>
      </c>
      <c r="AM18" s="145" t="n">
        <f aca="false">IFERROR('Price History'!S3+(INDEX('Price History'!S:S,MATCH(9.99E+307,'Price History'!$A:$A))-'Price History'!S3)*(ROW()-3)/(MATCH(9.99E+307,'Returns (Calc)'!$A:$A)-3),"")</f>
        <v>53.017358490566</v>
      </c>
      <c r="AN18" s="145" t="n">
        <f aca="false">IFERROR('Price History'!T3+(INDEX('Price History'!T:T,MATCH(9.99E+307,'Price History'!$A:$A))-'Price History'!T3)*(ROW()-3)/(MATCH(9.99E+307,'Returns (Calc)'!$A:$A)-3),"")</f>
        <v>24.371320754717</v>
      </c>
      <c r="AO18" s="146" t="n">
        <f aca="false">IFERROR('Price History'!V3+(INDEX('Price History'!V:V,MATCH(9.99E+307,'Price History'!$A:$A))-'Price History'!V3)*(ROW()-3)/(MATCH(9.99E+307,'Returns (Calc)'!$A:$A)-3),"")</f>
        <v>0</v>
      </c>
    </row>
    <row r="19" customFormat="false" ht="15" hidden="false" customHeight="true" outlineLevel="0" collapsed="false">
      <c r="A19" s="142" t="n">
        <f aca="false">IF('Price History'!A20="","",'Price History'!A20)</f>
        <v>45303</v>
      </c>
      <c r="B19" s="143" t="n">
        <f aca="false">IFERROR(IF(OR(NOT(ISNUMBER('Price History'!B20)),NOT(ISNUMBER('Price History'!B19)),'Price History'!B19=0),"",'Price History'!B20/'Price History'!B19-1),"")</f>
        <v>0.0565710237336166</v>
      </c>
      <c r="C19" s="143" t="n">
        <f aca="false">IFERROR(IF(OR(NOT(ISNUMBER('Price History'!C20)),NOT(ISNUMBER('Price History'!C19)),'Price History'!C19=0),"",'Price History'!C20/'Price History'!C19-1),"")</f>
        <v>0.0914602459726313</v>
      </c>
      <c r="D19" s="143" t="n">
        <f aca="false">IFERROR(IF(OR(NOT(ISNUMBER('Price History'!D20)),NOT(ISNUMBER('Price History'!D19)),'Price History'!D19=0),"",'Price History'!D20/'Price History'!D19-1),"")</f>
        <v>0.0140441678903216</v>
      </c>
      <c r="E19" s="143" t="n">
        <f aca="false">IFERROR(IF(OR(NOT(ISNUMBER('Price History'!E20)),NOT(ISNUMBER('Price History'!E19)),'Price History'!E19=0),"",'Price History'!E20/'Price History'!E19-1),"")</f>
        <v>0.0556644453155624</v>
      </c>
      <c r="F19" s="143" t="n">
        <f aca="false">IFERROR(IF(OR(NOT(ISNUMBER('Price History'!F20)),NOT(ISNUMBER('Price History'!F19)),'Price History'!F19=0),"",'Price History'!F20/'Price History'!F19-1),"")</f>
        <v>-0.0113365155131265</v>
      </c>
      <c r="G19" s="143" t="n">
        <f aca="false">IFERROR(IF(OR(NOT(ISNUMBER('Price History'!G20)),NOT(ISNUMBER('Price History'!G19)),'Price History'!G19=0),"",'Price History'!G20/'Price History'!G19-1),"")</f>
        <v>0.144981412639405</v>
      </c>
      <c r="H19" s="143" t="n">
        <f aca="false">IFERROR(IF(OR(NOT(ISNUMBER('Price History'!H20)),NOT(ISNUMBER('Price History'!H19)),'Price History'!H19=0),"",'Price History'!H20/'Price History'!H19-1),"")</f>
        <v>-0.0138317757009346</v>
      </c>
      <c r="I19" s="143" t="n">
        <f aca="false">IFERROR(IF(OR(NOT(ISNUMBER('Price History'!I20)),NOT(ISNUMBER('Price History'!I19)),'Price History'!I19=0),"",'Price History'!I20/'Price History'!I19-1),"")</f>
        <v>0.0298311444652908</v>
      </c>
      <c r="J19" s="143" t="n">
        <f aca="false">IFERROR(IF(OR(NOT(ISNUMBER('Price History'!J20)),NOT(ISNUMBER('Price History'!J19)),'Price History'!J19=0),"",'Price History'!J20/'Price History'!J19-1),"")</f>
        <v>-0.0128050253684465</v>
      </c>
      <c r="K19" s="143" t="n">
        <f aca="false">IFERROR(IF(OR(NOT(ISNUMBER('Price History'!K20)),NOT(ISNUMBER('Price History'!K19)),'Price History'!K19=0),"",'Price History'!K20/'Price History'!K19-1),"")</f>
        <v>0.114174836601307</v>
      </c>
      <c r="L19" s="143" t="n">
        <f aca="false">IFERROR(IF(OR(NOT(ISNUMBER('Price History'!L20)),NOT(ISNUMBER('Price History'!L19)),'Price History'!L19=0),"",'Price History'!L20/'Price History'!L19-1),"")</f>
        <v>0.0075440067057837</v>
      </c>
      <c r="M19" s="143" t="n">
        <f aca="false">IFERROR(IF(OR(NOT(ISNUMBER('Price History'!M20)),NOT(ISNUMBER('Price History'!M19)),'Price History'!M19=0),"",'Price History'!M20/'Price History'!M19-1),"")</f>
        <v>0.0488110137672091</v>
      </c>
      <c r="N19" s="143" t="n">
        <f aca="false">IFERROR(IF(OR(NOT(ISNUMBER('Price History'!N20)),NOT(ISNUMBER('Price History'!N19)),'Price History'!N19=0),"",'Price History'!N20/'Price History'!N19-1),"")</f>
        <v>-0.00130151843817794</v>
      </c>
      <c r="O19" s="143" t="n">
        <f aca="false">IFERROR(IF(OR(NOT(ISNUMBER('Price History'!O20)),NOT(ISNUMBER('Price History'!O19)),'Price History'!O19=0),"",'Price History'!O20/'Price History'!O19-1),"")</f>
        <v>0.0309748427672956</v>
      </c>
      <c r="P19" s="143" t="n">
        <f aca="false">IFERROR(IF(OR(NOT(ISNUMBER('Price History'!P20)),NOT(ISNUMBER('Price History'!P19)),'Price History'!P19=0),"",'Price History'!P20/'Price History'!P19-1),"")</f>
        <v>0.0163269550748753</v>
      </c>
      <c r="Q19" s="143" t="n">
        <f aca="false">IFERROR(IF(OR(NOT(ISNUMBER('Price History'!Q20)),NOT(ISNUMBER('Price History'!Q19)),'Price History'!Q19=0),"",'Price History'!Q20/'Price History'!Q19-1),"")</f>
        <v>0.0172183347747463</v>
      </c>
      <c r="R19" s="143" t="n">
        <f aca="false">IFERROR(IF(OR(NOT(ISNUMBER('Price History'!R20)),NOT(ISNUMBER('Price History'!R19)),'Price History'!R19=0),"",'Price History'!R20/'Price History'!R19-1),"")</f>
        <v>0.00736196319018401</v>
      </c>
      <c r="S19" s="143" t="n">
        <f aca="false">IFERROR(IF(OR(NOT(ISNUMBER('Price History'!S20)),NOT(ISNUMBER('Price History'!S19)),'Price History'!S19=0),"",'Price History'!S20/'Price History'!S19-1),"")</f>
        <v>0.0037162708030376</v>
      </c>
      <c r="T19" s="143" t="n">
        <f aca="false">IFERROR(IF(OR(NOT(ISNUMBER('Price History'!T20)),NOT(ISNUMBER('Price History'!T19)),'Price History'!T19=0),"",'Price History'!T20/'Price History'!T19-1),"")</f>
        <v>0.00884303610906412</v>
      </c>
      <c r="U19" s="143" t="str">
        <f aca="false">IFERROR(IF(OR(NOT(ISNUMBER('Price History'!U20)),NOT(ISNUMBER('Price History'!U19)),'Price History'!U19=0),"",'Price History'!U20/'Price History'!U19-1),"")</f>
        <v/>
      </c>
      <c r="V19" s="144" t="n">
        <f aca="false">IFERROR(IF(OR(NOT(ISNUMBER('Price History'!V20)),NOT(ISNUMBER('Price History'!V19)),'Price History'!V19=0),"",'Price History'!V20/'Price History'!V19-1),"")</f>
        <v>-0.00274681528662424</v>
      </c>
      <c r="W19" s="145" t="str">
        <f aca="false">IFERROR('Price History'!B3+(INDEX('Price History'!B:B,MATCH(9.99E+307,'Price History'!$A:$A))-'Price History'!B3)*(ROW()-3)/(MATCH(9.99E+307,'Returns (Calc)'!$A:$A)-3),"")</f>
        <v/>
      </c>
      <c r="X19" s="145" t="n">
        <f aca="false">IFERROR('Price History'!C3+(INDEX('Price History'!C:C,MATCH(9.99E+307,'Price History'!$A:$A))-'Price History'!C3)*(ROW()-3)/(MATCH(9.99E+307,'Returns (Calc)'!$A:$A)-3),"")</f>
        <v>41.5329559748428</v>
      </c>
      <c r="Y19" s="145" t="n">
        <f aca="false">IFERROR('Price History'!D3+(INDEX('Price History'!D:D,MATCH(9.99E+307,'Price History'!$A:$A))-'Price History'!D3)*(ROW()-3)/(MATCH(9.99E+307,'Returns (Calc)'!$A:$A)-3),"")</f>
        <v>523.442955974843</v>
      </c>
      <c r="Z19" s="145" t="n">
        <f aca="false">IFERROR('Price History'!E3+(INDEX('Price History'!E:E,MATCH(9.99E+307,'Price History'!$A:$A))-'Price History'!E3)*(ROW()-3)/(MATCH(9.99E+307,'Returns (Calc)'!$A:$A)-3),"")</f>
        <v>73.748427672956</v>
      </c>
      <c r="AA19" s="145" t="n">
        <f aca="false">IFERROR('Price History'!F3+(INDEX('Price History'!F:F,MATCH(9.99E+307,'Price History'!$A:$A))-'Price History'!F3)*(ROW()-3)/(MATCH(9.99E+307,'Returns (Calc)'!$A:$A)-3),"")</f>
        <v>67.7316352201258</v>
      </c>
      <c r="AB19" s="145" t="n">
        <f aca="false">IFERROR('Price History'!G3+(INDEX('Price History'!G:G,MATCH(9.99E+307,'Price History'!$A:$A))-'Price History'!G3)*(ROW()-3)/(MATCH(9.99E+307,'Returns (Calc)'!$A:$A)-3),"")</f>
        <v>37.1979874213836</v>
      </c>
      <c r="AC19" s="145" t="n">
        <f aca="false">IFERROR('Price History'!H3+(INDEX('Price History'!H:H,MATCH(9.99E+307,'Price History'!$A:$A))-'Price History'!H3)*(ROW()-3)/(MATCH(9.99E+307,'Returns (Calc)'!$A:$A)-3),"")</f>
        <v>90.4677358490566</v>
      </c>
      <c r="AD19" s="145" t="n">
        <f aca="false">IFERROR('Price History'!I3+(INDEX('Price History'!I:I,MATCH(9.99E+307,'Price History'!$A:$A))-'Price History'!I3)*(ROW()-3)/(MATCH(9.99E+307,'Returns (Calc)'!$A:$A)-3),"")</f>
        <v>39.887106918239</v>
      </c>
      <c r="AE19" s="145" t="n">
        <f aca="false">IFERROR('Price History'!J3+(INDEX('Price History'!J:J,MATCH(9.99E+307,'Price History'!$A:$A))-'Price History'!J3)*(ROW()-3)/(MATCH(9.99E+307,'Returns (Calc)'!$A:$A)-3),"")</f>
        <v>62.155534591195</v>
      </c>
      <c r="AF19" s="145" t="n">
        <f aca="false">IFERROR('Price History'!K3+(INDEX('Price History'!K:K,MATCH(9.99E+307,'Price History'!$A:$A))-'Price History'!K3)*(ROW()-3)/(MATCH(9.99E+307,'Returns (Calc)'!$A:$A)-3),"")</f>
        <v>39.3654716981132</v>
      </c>
      <c r="AG19" s="145" t="n">
        <f aca="false">IFERROR('Price History'!L3+(INDEX('Price History'!L:L,MATCH(9.99E+307,'Price History'!$A:$A))-'Price History'!L3)*(ROW()-3)/(MATCH(9.99E+307,'Returns (Calc)'!$A:$A)-3),"")</f>
        <v>100.585660377359</v>
      </c>
      <c r="AH19" s="145" t="n">
        <f aca="false">IFERROR('Price History'!M3+(INDEX('Price History'!M:M,MATCH(9.99E+307,'Price History'!$A:$A))-'Price History'!M3)*(ROW()-3)/(MATCH(9.99E+307,'Returns (Calc)'!$A:$A)-3),"")</f>
        <v>13.787358490566</v>
      </c>
      <c r="AI19" s="145" t="n">
        <f aca="false">IFERROR('Price History'!N3+(INDEX('Price History'!N:N,MATCH(9.99E+307,'Price History'!$A:$A))-'Price History'!N3)*(ROW()-3)/(MATCH(9.99E+307,'Returns (Calc)'!$A:$A)-3),"")</f>
        <v>19.6062893081761</v>
      </c>
      <c r="AJ19" s="145" t="n">
        <f aca="false">IFERROR('Price History'!O3+(INDEX('Price History'!O:O,MATCH(9.99E+307,'Price History'!$A:$A))-'Price History'!O3)*(ROW()-3)/(MATCH(9.99E+307,'Returns (Calc)'!$A:$A)-3),"")</f>
        <v>51.8307547169811</v>
      </c>
      <c r="AK19" s="145" t="n">
        <f aca="false">IFERROR('Price History'!Q3+(INDEX('Price History'!Q:Q,MATCH(9.99E+307,'Price History'!$A:$A))-'Price History'!Q3)*(ROW()-3)/(MATCH(9.99E+307,'Returns (Calc)'!$A:$A)-3),"")</f>
        <v>211.918805031447</v>
      </c>
      <c r="AL19" s="145" t="n">
        <f aca="false">IFERROR('Price History'!R3+(INDEX('Price History'!R:R,MATCH(9.99E+307,'Price History'!$A:$A))-'Price History'!R3)*(ROW()-3)/(MATCH(9.99E+307,'Returns (Calc)'!$A:$A)-3),"")</f>
        <v>43.0079245283019</v>
      </c>
      <c r="AM19" s="145" t="n">
        <f aca="false">IFERROR('Price History'!S3+(INDEX('Price History'!S:S,MATCH(9.99E+307,'Price History'!$A:$A))-'Price History'!S3)*(ROW()-3)/(MATCH(9.99E+307,'Returns (Calc)'!$A:$A)-3),"")</f>
        <v>52.6491823899371</v>
      </c>
      <c r="AN19" s="145" t="n">
        <f aca="false">IFERROR('Price History'!T3+(INDEX('Price History'!T:T,MATCH(9.99E+307,'Price History'!$A:$A))-'Price History'!T3)*(ROW()-3)/(MATCH(9.99E+307,'Returns (Calc)'!$A:$A)-3),"")</f>
        <v>24.2020754716981</v>
      </c>
      <c r="AO19" s="146" t="n">
        <f aca="false">IFERROR('Price History'!V3+(INDEX('Price History'!V:V,MATCH(9.99E+307,'Price History'!$A:$A))-'Price History'!V3)*(ROW()-3)/(MATCH(9.99E+307,'Returns (Calc)'!$A:$A)-3),"")</f>
        <v>0</v>
      </c>
    </row>
    <row r="20" customFormat="false" ht="15" hidden="false" customHeight="true" outlineLevel="0" collapsed="false">
      <c r="A20" s="142" t="n">
        <f aca="false">IF('Price History'!A21="","",'Price History'!A21)</f>
        <v>45310</v>
      </c>
      <c r="B20" s="143" t="n">
        <f aca="false">IFERROR(IF(OR(NOT(ISNUMBER('Price History'!B21)),NOT(ISNUMBER('Price History'!B20)),'Price History'!B20=0),"",'Price History'!B21/'Price History'!B20-1),"")</f>
        <v>0.0251617661850001</v>
      </c>
      <c r="C20" s="143" t="n">
        <f aca="false">IFERROR(IF(OR(NOT(ISNUMBER('Price History'!C21)),NOT(ISNUMBER('Price History'!C20)),'Price History'!C20=0),"",'Price History'!C21/'Price History'!C20-1),"")</f>
        <v>0.0455483256625933</v>
      </c>
      <c r="D20" s="143" t="n">
        <f aca="false">IFERROR(IF(OR(NOT(ISNUMBER('Price History'!D21)),NOT(ISNUMBER('Price History'!D20)),'Price History'!D20=0),"",'Price History'!D21/'Price History'!D20-1),"")</f>
        <v>0.0625528681414787</v>
      </c>
      <c r="E20" s="143" t="n">
        <f aca="false">IFERROR(IF(OR(NOT(ISNUMBER('Price History'!E21)),NOT(ISNUMBER('Price History'!E20)),'Price History'!E20=0),"",'Price History'!E21/'Price History'!E20-1),"")</f>
        <v>0.0934831043445972</v>
      </c>
      <c r="F20" s="143" t="n">
        <f aca="false">IFERROR(IF(OR(NOT(ISNUMBER('Price History'!F21)),NOT(ISNUMBER('Price History'!F20)),'Price History'!F20=0),"",'Price History'!F21/'Price History'!F20-1),"")</f>
        <v>0.0030175015087508</v>
      </c>
      <c r="G20" s="143" t="n">
        <f aca="false">IFERROR(IF(OR(NOT(ISNUMBER('Price History'!G21)),NOT(ISNUMBER('Price History'!G20)),'Price History'!G20=0),"",'Price History'!G21/'Price History'!G20-1),"")</f>
        <v>0.0254093732354601</v>
      </c>
      <c r="H20" s="143" t="n">
        <f aca="false">IFERROR(IF(OR(NOT(ISNUMBER('Price History'!H21)),NOT(ISNUMBER('Price History'!H20)),'Price History'!H20=0),"",'Price History'!H21/'Price History'!H20-1),"")</f>
        <v>-0.0131728582259287</v>
      </c>
      <c r="I20" s="143" t="n">
        <f aca="false">IFERROR(IF(OR(NOT(ISNUMBER('Price History'!I21)),NOT(ISNUMBER('Price History'!I20)),'Price History'!I20=0),"",'Price History'!I21/'Price History'!I20-1),"")</f>
        <v>0.093459646565859</v>
      </c>
      <c r="J20" s="143" t="n">
        <f aca="false">IFERROR(IF(OR(NOT(ISNUMBER('Price History'!J21)),NOT(ISNUMBER('Price History'!J20)),'Price History'!J20=0),"",'Price History'!J21/'Price History'!J20-1),"")</f>
        <v>0.062163485070974</v>
      </c>
      <c r="K20" s="143" t="n">
        <f aca="false">IFERROR(IF(OR(NOT(ISNUMBER('Price History'!K21)),NOT(ISNUMBER('Price History'!K20)),'Price History'!K20=0),"",'Price History'!K21/'Price History'!K20-1),"")</f>
        <v>0.0874427131072411</v>
      </c>
      <c r="L20" s="143" t="n">
        <f aca="false">IFERROR(IF(OR(NOT(ISNUMBER('Price History'!L21)),NOT(ISNUMBER('Price History'!L20)),'Price History'!L20=0),"",'Price History'!L21/'Price History'!L20-1),"")</f>
        <v>-0.0236272878535774</v>
      </c>
      <c r="M20" s="143" t="n">
        <f aca="false">IFERROR(IF(OR(NOT(ISNUMBER('Price History'!M21)),NOT(ISNUMBER('Price History'!M20)),'Price History'!M20=0),"",'Price History'!M21/'Price History'!M20-1),"")</f>
        <v>0.00119331742243434</v>
      </c>
      <c r="N20" s="143" t="n">
        <f aca="false">IFERROR(IF(OR(NOT(ISNUMBER('Price History'!N21)),NOT(ISNUMBER('Price History'!N20)),'Price History'!N20=0),"",'Price History'!N21/'Price History'!N20-1),"")</f>
        <v>0.00434404865334503</v>
      </c>
      <c r="O20" s="143" t="n">
        <f aca="false">IFERROR(IF(OR(NOT(ISNUMBER('Price History'!O21)),NOT(ISNUMBER('Price History'!O20)),'Price History'!O20=0),"",'Price History'!O21/'Price History'!O20-1),"")</f>
        <v>0.0211987189263383</v>
      </c>
      <c r="P20" s="143" t="n">
        <f aca="false">IFERROR(IF(OR(NOT(ISNUMBER('Price History'!P21)),NOT(ISNUMBER('Price History'!P20)),'Price History'!P20=0),"",'Price History'!P21/'Price History'!P20-1),"")</f>
        <v>0.128005730072649</v>
      </c>
      <c r="Q20" s="143" t="n">
        <f aca="false">IFERROR(IF(OR(NOT(ISNUMBER('Price History'!Q21)),NOT(ISNUMBER('Price History'!Q20)),'Price History'!Q20=0),"",'Price History'!Q21/'Price History'!Q20-1),"")</f>
        <v>0.0255062606276086</v>
      </c>
      <c r="R20" s="143" t="n">
        <f aca="false">IFERROR(IF(OR(NOT(ISNUMBER('Price History'!R21)),NOT(ISNUMBER('Price History'!R20)),'Price History'!R20=0),"",'Price History'!R21/'Price History'!R20-1),"")</f>
        <v>0.0150223304912709</v>
      </c>
      <c r="S20" s="143" t="n">
        <f aca="false">IFERROR(IF(OR(NOT(ISNUMBER('Price History'!S21)),NOT(ISNUMBER('Price History'!S20)),'Price History'!S20=0),"",'Price History'!S21/'Price History'!S20-1),"")</f>
        <v>0.0341274951706374</v>
      </c>
      <c r="T20" s="143" t="n">
        <f aca="false">IFERROR(IF(OR(NOT(ISNUMBER('Price History'!T21)),NOT(ISNUMBER('Price History'!T20)),'Price History'!T20=0),"",'Price History'!T21/'Price History'!T20-1),"")</f>
        <v>0.0277574872169468</v>
      </c>
      <c r="U20" s="143" t="str">
        <f aca="false">IFERROR(IF(OR(NOT(ISNUMBER('Price History'!U21)),NOT(ISNUMBER('Price History'!U20)),'Price History'!U20=0),"",'Price History'!U21/'Price History'!U20-1),"")</f>
        <v/>
      </c>
      <c r="V20" s="144" t="n">
        <f aca="false">IFERROR(IF(OR(NOT(ISNUMBER('Price History'!V21)),NOT(ISNUMBER('Price History'!V20)),'Price History'!V20=0),"",'Price History'!V21/'Price History'!V20-1),"")</f>
        <v>0.00894175881202353</v>
      </c>
      <c r="W20" s="145" t="str">
        <f aca="false">IFERROR('Price History'!B3+(INDEX('Price History'!B:B,MATCH(9.99E+307,'Price History'!$A:$A))-'Price History'!B3)*(ROW()-3)/(MATCH(9.99E+307,'Returns (Calc)'!$A:$A)-3),"")</f>
        <v/>
      </c>
      <c r="X20" s="145" t="n">
        <f aca="false">IFERROR('Price History'!C3+(INDEX('Price History'!C:C,MATCH(9.99E+307,'Price History'!$A:$A))-'Price History'!C3)*(ROW()-3)/(MATCH(9.99E+307,'Returns (Calc)'!$A:$A)-3),"")</f>
        <v>41.2425157232704</v>
      </c>
      <c r="Y20" s="145" t="n">
        <f aca="false">IFERROR('Price History'!D3+(INDEX('Price History'!D:D,MATCH(9.99E+307,'Price History'!$A:$A))-'Price History'!D3)*(ROW()-3)/(MATCH(9.99E+307,'Returns (Calc)'!$A:$A)-3),"")</f>
        <v>519.78251572327</v>
      </c>
      <c r="Z20" s="145" t="n">
        <f aca="false">IFERROR('Price History'!E3+(INDEX('Price History'!E:E,MATCH(9.99E+307,'Price History'!$A:$A))-'Price History'!E3)*(ROW()-3)/(MATCH(9.99E+307,'Returns (Calc)'!$A:$A)-3),"")</f>
        <v>73.2327044025157</v>
      </c>
      <c r="AA20" s="145" t="n">
        <f aca="false">IFERROR('Price History'!F3+(INDEX('Price History'!F:F,MATCH(9.99E+307,'Price History'!$A:$A))-'Price History'!F3)*(ROW()-3)/(MATCH(9.99E+307,'Returns (Calc)'!$A:$A)-3),"")</f>
        <v>67.2579874213837</v>
      </c>
      <c r="AB20" s="145" t="n">
        <f aca="false">IFERROR('Price History'!G3+(INDEX('Price History'!G:G,MATCH(9.99E+307,'Price History'!$A:$A))-'Price History'!G3)*(ROW()-3)/(MATCH(9.99E+307,'Returns (Calc)'!$A:$A)-3),"")</f>
        <v>36.9378616352201</v>
      </c>
      <c r="AC20" s="145" t="n">
        <f aca="false">IFERROR('Price History'!H3+(INDEX('Price History'!H:H,MATCH(9.99E+307,'Price History'!$A:$A))-'Price History'!H3)*(ROW()-3)/(MATCH(9.99E+307,'Returns (Calc)'!$A:$A)-3),"")</f>
        <v>89.8350943396226</v>
      </c>
      <c r="AD20" s="145" t="n">
        <f aca="false">IFERROR('Price History'!I3+(INDEX('Price History'!I:I,MATCH(9.99E+307,'Price History'!$A:$A))-'Price History'!I3)*(ROW()-3)/(MATCH(9.99E+307,'Returns (Calc)'!$A:$A)-3),"")</f>
        <v>39.6081761006289</v>
      </c>
      <c r="AE20" s="145" t="n">
        <f aca="false">IFERROR('Price History'!J3+(INDEX('Price History'!J:J,MATCH(9.99E+307,'Price History'!$A:$A))-'Price History'!J3)*(ROW()-3)/(MATCH(9.99E+307,'Returns (Calc)'!$A:$A)-3),"")</f>
        <v>61.7208805031447</v>
      </c>
      <c r="AF20" s="145" t="n">
        <f aca="false">IFERROR('Price History'!K3+(INDEX('Price History'!K:K,MATCH(9.99E+307,'Price History'!$A:$A))-'Price History'!K3)*(ROW()-3)/(MATCH(9.99E+307,'Returns (Calc)'!$A:$A)-3),"")</f>
        <v>39.0901886792453</v>
      </c>
      <c r="AG20" s="145" t="n">
        <f aca="false">IFERROR('Price History'!L3+(INDEX('Price History'!L:L,MATCH(9.99E+307,'Price History'!$A:$A))-'Price History'!L3)*(ROW()-3)/(MATCH(9.99E+307,'Returns (Calc)'!$A:$A)-3),"")</f>
        <v>99.8822641509434</v>
      </c>
      <c r="AH20" s="145" t="n">
        <f aca="false">IFERROR('Price History'!M3+(INDEX('Price History'!M:M,MATCH(9.99E+307,'Price History'!$A:$A))-'Price History'!M3)*(ROW()-3)/(MATCH(9.99E+307,'Returns (Calc)'!$A:$A)-3),"")</f>
        <v>13.6909433962264</v>
      </c>
      <c r="AI20" s="145" t="n">
        <f aca="false">IFERROR('Price History'!N3+(INDEX('Price History'!N:N,MATCH(9.99E+307,'Price History'!$A:$A))-'Price History'!N3)*(ROW()-3)/(MATCH(9.99E+307,'Returns (Calc)'!$A:$A)-3),"")</f>
        <v>19.4691823899371</v>
      </c>
      <c r="AJ20" s="145" t="n">
        <f aca="false">IFERROR('Price History'!O3+(INDEX('Price History'!O:O,MATCH(9.99E+307,'Price History'!$A:$A))-'Price History'!O3)*(ROW()-3)/(MATCH(9.99E+307,'Returns (Calc)'!$A:$A)-3),"")</f>
        <v>51.4683018867925</v>
      </c>
      <c r="AK20" s="145" t="n">
        <f aca="false">IFERROR('Price History'!Q3+(INDEX('Price History'!Q:Q,MATCH(9.99E+307,'Price History'!$A:$A))-'Price History'!Q3)*(ROW()-3)/(MATCH(9.99E+307,'Returns (Calc)'!$A:$A)-3),"")</f>
        <v>210.436855345912</v>
      </c>
      <c r="AL20" s="145" t="n">
        <f aca="false">IFERROR('Price History'!R3+(INDEX('Price History'!R:R,MATCH(9.99E+307,'Price History'!$A:$A))-'Price History'!R3)*(ROW()-3)/(MATCH(9.99E+307,'Returns (Calc)'!$A:$A)-3),"")</f>
        <v>42.7071698113208</v>
      </c>
      <c r="AM20" s="145" t="n">
        <f aca="false">IFERROR('Price History'!S3+(INDEX('Price History'!S:S,MATCH(9.99E+307,'Price History'!$A:$A))-'Price History'!S3)*(ROW()-3)/(MATCH(9.99E+307,'Returns (Calc)'!$A:$A)-3),"")</f>
        <v>52.2810062893082</v>
      </c>
      <c r="AN20" s="145" t="n">
        <f aca="false">IFERROR('Price History'!T3+(INDEX('Price History'!T:T,MATCH(9.99E+307,'Price History'!$A:$A))-'Price History'!T3)*(ROW()-3)/(MATCH(9.99E+307,'Returns (Calc)'!$A:$A)-3),"")</f>
        <v>24.0328301886792</v>
      </c>
      <c r="AO20" s="146" t="n">
        <f aca="false">IFERROR('Price History'!V3+(INDEX('Price History'!V:V,MATCH(9.99E+307,'Price History'!$A:$A))-'Price History'!V3)*(ROW()-3)/(MATCH(9.99E+307,'Returns (Calc)'!$A:$A)-3),"")</f>
        <v>0</v>
      </c>
    </row>
    <row r="21" customFormat="false" ht="15" hidden="false" customHeight="true" outlineLevel="0" collapsed="false">
      <c r="A21" s="142" t="n">
        <f aca="false">IF('Price History'!A22="","",'Price History'!A22)</f>
        <v>45317</v>
      </c>
      <c r="B21" s="143" t="n">
        <f aca="false">IFERROR(IF(OR(NOT(ISNUMBER('Price History'!B22)),NOT(ISNUMBER('Price History'!B21)),'Price History'!B21=0),"",'Price History'!B22/'Price History'!B21-1),"")</f>
        <v>0.00389175047011681</v>
      </c>
      <c r="C21" s="143" t="n">
        <f aca="false">IFERROR(IF(OR(NOT(ISNUMBER('Price History'!C22)),NOT(ISNUMBER('Price History'!C21)),'Price History'!C21=0),"",'Price History'!C22/'Price History'!C21-1),"")</f>
        <v>0.00333940497874918</v>
      </c>
      <c r="D21" s="143" t="n">
        <f aca="false">IFERROR(IF(OR(NOT(ISNUMBER('Price History'!D22)),NOT(ISNUMBER('Price History'!D21)),'Price History'!D21=0),"",'Price History'!D22/'Price History'!D21-1),"")</f>
        <v>0.145037240932643</v>
      </c>
      <c r="E21" s="143" t="n">
        <f aca="false">IFERROR(IF(OR(NOT(ISNUMBER('Price History'!E22)),NOT(ISNUMBER('Price History'!E21)),'Price History'!E21=0),"",'Price History'!E22/'Price History'!E21-1),"")</f>
        <v>-0.00517870786993802</v>
      </c>
      <c r="F21" s="143" t="n">
        <f aca="false">IFERROR(IF(OR(NOT(ISNUMBER('Price History'!F22)),NOT(ISNUMBER('Price History'!F21)),'Price History'!F21=0),"",'Price History'!F22/'Price History'!F21-1),"")</f>
        <v>0.023586040914561</v>
      </c>
      <c r="G21" s="143" t="n">
        <f aca="false">IFERROR(IF(OR(NOT(ISNUMBER('Price History'!G22)),NOT(ISNUMBER('Price History'!G21)),'Price History'!G21=0),"",'Price History'!G22/'Price History'!G21-1),"")</f>
        <v>-0.000825991189427389</v>
      </c>
      <c r="H21" s="143" t="n">
        <f aca="false">IFERROR(IF(OR(NOT(ISNUMBER('Price History'!H22)),NOT(ISNUMBER('Price History'!H21)),'Price History'!H21=0),"",'Price History'!H22/'Price History'!H21-1),"")</f>
        <v>0.0157495438394315</v>
      </c>
      <c r="I21" s="143" t="n">
        <f aca="false">IFERROR(IF(OR(NOT(ISNUMBER('Price History'!I22)),NOT(ISNUMBER('Price History'!I21)),'Price History'!I21=0),"",'Price History'!I22/'Price History'!I21-1),"")</f>
        <v>-0.0221592802399201</v>
      </c>
      <c r="J21" s="143" t="n">
        <f aca="false">IFERROR(IF(OR(NOT(ISNUMBER('Price History'!J22)),NOT(ISNUMBER('Price History'!J21)),'Price History'!J21=0),"",'Price History'!J22/'Price History'!J21-1),"")</f>
        <v>0.00622119815668221</v>
      </c>
      <c r="K21" s="143" t="n">
        <f aca="false">IFERROR(IF(OR(NOT(ISNUMBER('Price History'!K22)),NOT(ISNUMBER('Price History'!K21)),'Price History'!K21=0),"",'Price History'!K22/'Price History'!K21-1),"")</f>
        <v>0.0257923128792987</v>
      </c>
      <c r="L21" s="143" t="n">
        <f aca="false">IFERROR(IF(OR(NOT(ISNUMBER('Price History'!L22)),NOT(ISNUMBER('Price History'!L21)),'Price History'!L21=0),"",'Price History'!L22/'Price History'!L21-1),"")</f>
        <v>-0.0121847307430129</v>
      </c>
      <c r="M21" s="143" t="n">
        <f aca="false">IFERROR(IF(OR(NOT(ISNUMBER('Price History'!M22)),NOT(ISNUMBER('Price History'!M21)),'Price History'!M21=0),"",'Price History'!M22/'Price History'!M21-1),"")</f>
        <v>-0.0256257449344458</v>
      </c>
      <c r="N21" s="143" t="n">
        <f aca="false">IFERROR(IF(OR(NOT(ISNUMBER('Price History'!N22)),NOT(ISNUMBER('Price History'!N21)),'Price History'!N21=0),"",'Price History'!N22/'Price History'!N21-1),"")</f>
        <v>0.00562283737024227</v>
      </c>
      <c r="O21" s="143" t="n">
        <f aca="false">IFERROR(IF(OR(NOT(ISNUMBER('Price History'!O22)),NOT(ISNUMBER('Price History'!O21)),'Price History'!O21=0),"",'Price History'!O22/'Price History'!O21-1),"")</f>
        <v>0.0161290322580647</v>
      </c>
      <c r="P21" s="143" t="n">
        <f aca="false">IFERROR(IF(OR(NOT(ISNUMBER('Price History'!P22)),NOT(ISNUMBER('Price History'!P21)),'Price History'!P21=0),"",'Price History'!P22/'Price History'!P21-1),"")</f>
        <v>0.0268505079825836</v>
      </c>
      <c r="Q21" s="143" t="n">
        <f aca="false">IFERROR(IF(OR(NOT(ISNUMBER('Price History'!Q22)),NOT(ISNUMBER('Price History'!Q21)),'Price History'!Q21=0),"",'Price History'!Q22/'Price History'!Q21-1),"")</f>
        <v>-0.0109285498944831</v>
      </c>
      <c r="R21" s="143" t="n">
        <f aca="false">IFERROR(IF(OR(NOT(ISNUMBER('Price History'!R22)),NOT(ISNUMBER('Price History'!R21)),'Price History'!R21=0),"",'Price History'!R22/'Price History'!R21-1),"")</f>
        <v>0.00319999999999987</v>
      </c>
      <c r="S21" s="143" t="n">
        <f aca="false">IFERROR(IF(OR(NOT(ISNUMBER('Price History'!S22)),NOT(ISNUMBER('Price History'!S21)),'Price History'!S21=0),"",'Price History'!S22/'Price History'!S21-1),"")</f>
        <v>0.0124533001245333</v>
      </c>
      <c r="T21" s="143" t="n">
        <f aca="false">IFERROR(IF(OR(NOT(ISNUMBER('Price History'!T22)),NOT(ISNUMBER('Price History'!T21)),'Price History'!T21=0),"",'Price History'!T22/'Price History'!T21-1),"")</f>
        <v>0.00959488272921116</v>
      </c>
      <c r="U21" s="143" t="str">
        <f aca="false">IFERROR(IF(OR(NOT(ISNUMBER('Price History'!U22)),NOT(ISNUMBER('Price History'!U21)),'Price History'!U21=0),"",'Price History'!U22/'Price History'!U21-1),"")</f>
        <v/>
      </c>
      <c r="V21" s="144" t="n">
        <f aca="false">IFERROR(IF(OR(NOT(ISNUMBER('Price History'!V22)),NOT(ISNUMBER('Price History'!V21)),'Price History'!V21=0),"",'Price History'!V22/'Price History'!V21-1),"")</f>
        <v>0.0015430267062313</v>
      </c>
      <c r="W21" s="145" t="str">
        <f aca="false">IFERROR('Price History'!B3+(INDEX('Price History'!B:B,MATCH(9.99E+307,'Price History'!$A:$A))-'Price History'!B3)*(ROW()-3)/(MATCH(9.99E+307,'Returns (Calc)'!$A:$A)-3),"")</f>
        <v/>
      </c>
      <c r="X21" s="145" t="n">
        <f aca="false">IFERROR('Price History'!C3+(INDEX('Price History'!C:C,MATCH(9.99E+307,'Price History'!$A:$A))-'Price History'!C3)*(ROW()-3)/(MATCH(9.99E+307,'Returns (Calc)'!$A:$A)-3),"")</f>
        <v>40.9520754716981</v>
      </c>
      <c r="Y21" s="145" t="n">
        <f aca="false">IFERROR('Price History'!D3+(INDEX('Price History'!D:D,MATCH(9.99E+307,'Price History'!$A:$A))-'Price History'!D3)*(ROW()-3)/(MATCH(9.99E+307,'Returns (Calc)'!$A:$A)-3),"")</f>
        <v>516.122075471698</v>
      </c>
      <c r="Z21" s="145" t="n">
        <f aca="false">IFERROR('Price History'!E3+(INDEX('Price History'!E:E,MATCH(9.99E+307,'Price History'!$A:$A))-'Price History'!E3)*(ROW()-3)/(MATCH(9.99E+307,'Returns (Calc)'!$A:$A)-3),"")</f>
        <v>72.7169811320755</v>
      </c>
      <c r="AA21" s="145" t="n">
        <f aca="false">IFERROR('Price History'!F3+(INDEX('Price History'!F:F,MATCH(9.99E+307,'Price History'!$A:$A))-'Price History'!F3)*(ROW()-3)/(MATCH(9.99E+307,'Returns (Calc)'!$A:$A)-3),"")</f>
        <v>66.7843396226415</v>
      </c>
      <c r="AB21" s="145" t="n">
        <f aca="false">IFERROR('Price History'!G3+(INDEX('Price History'!G:G,MATCH(9.99E+307,'Price History'!$A:$A))-'Price History'!G3)*(ROW()-3)/(MATCH(9.99E+307,'Returns (Calc)'!$A:$A)-3),"")</f>
        <v>36.6777358490566</v>
      </c>
      <c r="AC21" s="145" t="n">
        <f aca="false">IFERROR('Price History'!H3+(INDEX('Price History'!H:H,MATCH(9.99E+307,'Price History'!$A:$A))-'Price History'!H3)*(ROW()-3)/(MATCH(9.99E+307,'Returns (Calc)'!$A:$A)-3),"")</f>
        <v>89.2024528301887</v>
      </c>
      <c r="AD21" s="145" t="n">
        <f aca="false">IFERROR('Price History'!I3+(INDEX('Price History'!I:I,MATCH(9.99E+307,'Price History'!$A:$A))-'Price History'!I3)*(ROW()-3)/(MATCH(9.99E+307,'Returns (Calc)'!$A:$A)-3),"")</f>
        <v>39.3292452830189</v>
      </c>
      <c r="AE21" s="145" t="n">
        <f aca="false">IFERROR('Price History'!J3+(INDEX('Price History'!J:J,MATCH(9.99E+307,'Price History'!$A:$A))-'Price History'!J3)*(ROW()-3)/(MATCH(9.99E+307,'Returns (Calc)'!$A:$A)-3),"")</f>
        <v>61.2862264150943</v>
      </c>
      <c r="AF21" s="145" t="n">
        <f aca="false">IFERROR('Price History'!K3+(INDEX('Price History'!K:K,MATCH(9.99E+307,'Price History'!$A:$A))-'Price History'!K3)*(ROW()-3)/(MATCH(9.99E+307,'Returns (Calc)'!$A:$A)-3),"")</f>
        <v>38.8149056603774</v>
      </c>
      <c r="AG21" s="145" t="n">
        <f aca="false">IFERROR('Price History'!L3+(INDEX('Price History'!L:L,MATCH(9.99E+307,'Price History'!$A:$A))-'Price History'!L3)*(ROW()-3)/(MATCH(9.99E+307,'Returns (Calc)'!$A:$A)-3),"")</f>
        <v>99.1788679245283</v>
      </c>
      <c r="AH21" s="145" t="n">
        <f aca="false">IFERROR('Price History'!M3+(INDEX('Price History'!M:M,MATCH(9.99E+307,'Price History'!$A:$A))-'Price History'!M3)*(ROW()-3)/(MATCH(9.99E+307,'Returns (Calc)'!$A:$A)-3),"")</f>
        <v>13.5945283018868</v>
      </c>
      <c r="AI21" s="145" t="n">
        <f aca="false">IFERROR('Price History'!N3+(INDEX('Price History'!N:N,MATCH(9.99E+307,'Price History'!$A:$A))-'Price History'!N3)*(ROW()-3)/(MATCH(9.99E+307,'Returns (Calc)'!$A:$A)-3),"")</f>
        <v>19.3320754716981</v>
      </c>
      <c r="AJ21" s="145" t="n">
        <f aca="false">IFERROR('Price History'!O3+(INDEX('Price History'!O:O,MATCH(9.99E+307,'Price History'!$A:$A))-'Price History'!O3)*(ROW()-3)/(MATCH(9.99E+307,'Returns (Calc)'!$A:$A)-3),"")</f>
        <v>51.1058490566038</v>
      </c>
      <c r="AK21" s="145" t="n">
        <f aca="false">IFERROR('Price History'!Q3+(INDEX('Price History'!Q:Q,MATCH(9.99E+307,'Price History'!$A:$A))-'Price History'!Q3)*(ROW()-3)/(MATCH(9.99E+307,'Returns (Calc)'!$A:$A)-3),"")</f>
        <v>208.954905660377</v>
      </c>
      <c r="AL21" s="145" t="n">
        <f aca="false">IFERROR('Price History'!R3+(INDEX('Price History'!R:R,MATCH(9.99E+307,'Price History'!$A:$A))-'Price History'!R3)*(ROW()-3)/(MATCH(9.99E+307,'Returns (Calc)'!$A:$A)-3),"")</f>
        <v>42.4064150943396</v>
      </c>
      <c r="AM21" s="145" t="n">
        <f aca="false">IFERROR('Price History'!S3+(INDEX('Price History'!S:S,MATCH(9.99E+307,'Price History'!$A:$A))-'Price History'!S3)*(ROW()-3)/(MATCH(9.99E+307,'Returns (Calc)'!$A:$A)-3),"")</f>
        <v>51.9128301886792</v>
      </c>
      <c r="AN21" s="145" t="n">
        <f aca="false">IFERROR('Price History'!T3+(INDEX('Price History'!T:T,MATCH(9.99E+307,'Price History'!$A:$A))-'Price History'!T3)*(ROW()-3)/(MATCH(9.99E+307,'Returns (Calc)'!$A:$A)-3),"")</f>
        <v>23.8635849056604</v>
      </c>
      <c r="AO21" s="146" t="n">
        <f aca="false">IFERROR('Price History'!V3+(INDEX('Price History'!V:V,MATCH(9.99E+307,'Price History'!$A:$A))-'Price History'!V3)*(ROW()-3)/(MATCH(9.99E+307,'Returns (Calc)'!$A:$A)-3),"")</f>
        <v>0</v>
      </c>
    </row>
    <row r="22" customFormat="false" ht="15" hidden="false" customHeight="true" outlineLevel="0" collapsed="false">
      <c r="A22" s="142" t="n">
        <f aca="false">IF('Price History'!A23="","",'Price History'!A23)</f>
        <v>45324</v>
      </c>
      <c r="B22" s="143" t="n">
        <f aca="false">IFERROR(IF(OR(NOT(ISNUMBER('Price History'!B23)),NOT(ISNUMBER('Price History'!B22)),'Price History'!B22=0),"",'Price History'!B23/'Price History'!B22-1),"")</f>
        <v>0.0339289495545096</v>
      </c>
      <c r="C22" s="143" t="n">
        <f aca="false">IFERROR(IF(OR(NOT(ISNUMBER('Price History'!C23)),NOT(ISNUMBER('Price History'!C22)),'Price History'!C22=0),"",'Price History'!C23/'Price History'!C22-1),"")</f>
        <v>0.032980332829047</v>
      </c>
      <c r="D22" s="143" t="n">
        <f aca="false">IFERROR(IF(OR(NOT(ISNUMBER('Price History'!D23)),NOT(ISNUMBER('Price History'!D22)),'Price History'!D22=0),"",'Price History'!D23/'Price History'!D22-1),"")</f>
        <v>0.0264078905504295</v>
      </c>
      <c r="E22" s="143" t="n">
        <f aca="false">IFERROR(IF(OR(NOT(ISNUMBER('Price History'!E23)),NOT(ISNUMBER('Price History'!E22)),'Price History'!E22=0),"",'Price History'!E23/'Price History'!E22-1),"")</f>
        <v>0.0161290322580645</v>
      </c>
      <c r="F22" s="143" t="n">
        <f aca="false">IFERROR(IF(OR(NOT(ISNUMBER('Price History'!F23)),NOT(ISNUMBER('Price History'!F22)),'Price History'!F22=0),"",'Price History'!F23/'Price History'!F22-1),"")</f>
        <v>-0.0186926875146956</v>
      </c>
      <c r="G22" s="143" t="n">
        <f aca="false">IFERROR(IF(OR(NOT(ISNUMBER('Price History'!G23)),NOT(ISNUMBER('Price History'!G22)),'Price History'!G22=0),"",'Price History'!G23/'Price History'!G22-1),"")</f>
        <v>0.0456048498208874</v>
      </c>
      <c r="H22" s="143" t="n">
        <f aca="false">IFERROR(IF(OR(NOT(ISNUMBER('Price History'!H23)),NOT(ISNUMBER('Price History'!H22)),'Price History'!H22=0),"",'Price History'!H23/'Price History'!H22-1),"")</f>
        <v>-0.0128580883048123</v>
      </c>
      <c r="I22" s="143" t="n">
        <f aca="false">IFERROR(IF(OR(NOT(ISNUMBER('Price History'!I23)),NOT(ISNUMBER('Price History'!I22)),'Price History'!I22=0),"",'Price History'!I23/'Price History'!I22-1),"")</f>
        <v>0.0081785653433295</v>
      </c>
      <c r="J22" s="143" t="n">
        <f aca="false">IFERROR(IF(OR(NOT(ISNUMBER('Price History'!J23)),NOT(ISNUMBER('Price History'!J22)),'Price History'!J22=0),"",'Price History'!J23/'Price History'!J22-1),"")</f>
        <v>-0.0178612319670255</v>
      </c>
      <c r="K22" s="143" t="n">
        <f aca="false">IFERROR(IF(OR(NOT(ISNUMBER('Price History'!K23)),NOT(ISNUMBER('Price History'!K22)),'Price History'!K22=0),"",'Price History'!K23/'Price History'!K22-1),"")</f>
        <v>0.0841413311421528</v>
      </c>
      <c r="L22" s="143" t="n">
        <f aca="false">IFERROR(IF(OR(NOT(ISNUMBER('Price History'!L23)),NOT(ISNUMBER('Price History'!L22)),'Price History'!L22=0),"",'Price History'!L23/'Price History'!L22-1),"")</f>
        <v>0.0187181920124211</v>
      </c>
      <c r="M22" s="143" t="n">
        <f aca="false">IFERROR(IF(OR(NOT(ISNUMBER('Price History'!M23)),NOT(ISNUMBER('Price History'!M22)),'Price History'!M22=0),"",'Price History'!M23/'Price History'!M22-1),"")</f>
        <v>0.0409785932721711</v>
      </c>
      <c r="N22" s="143" t="n">
        <f aca="false">IFERROR(IF(OR(NOT(ISNUMBER('Price History'!N23)),NOT(ISNUMBER('Price History'!N22)),'Price History'!N22=0),"",'Price History'!N23/'Price History'!N22-1),"")</f>
        <v>-0.000430107526881773</v>
      </c>
      <c r="O22" s="143" t="n">
        <f aca="false">IFERROR(IF(OR(NOT(ISNUMBER('Price History'!O23)),NOT(ISNUMBER('Price History'!O22)),'Price History'!O22=0),"",'Price History'!O23/'Price History'!O22-1),"")</f>
        <v>0.0457084068195179</v>
      </c>
      <c r="P22" s="143" t="n">
        <f aca="false">IFERROR(IF(OR(NOT(ISNUMBER('Price History'!P23)),NOT(ISNUMBER('Price History'!P22)),'Price History'!P22=0),"",'Price History'!P23/'Price History'!P22-1),"")</f>
        <v>-0.0128975265017669</v>
      </c>
      <c r="Q22" s="143" t="n">
        <f aca="false">IFERROR(IF(OR(NOT(ISNUMBER('Price History'!Q23)),NOT(ISNUMBER('Price History'!Q22)),'Price History'!Q22=0),"",'Price History'!Q23/'Price History'!Q22-1),"")</f>
        <v>0.0344814447915873</v>
      </c>
      <c r="R22" s="143" t="n">
        <f aca="false">IFERROR(IF(OR(NOT(ISNUMBER('Price History'!R23)),NOT(ISNUMBER('Price History'!R22)),'Price History'!R22=0),"",'Price History'!R23/'Price History'!R22-1),"")</f>
        <v>-0.00458532695374792</v>
      </c>
      <c r="S22" s="143" t="n">
        <f aca="false">IFERROR(IF(OR(NOT(ISNUMBER('Price History'!S23)),NOT(ISNUMBER('Price History'!S22)),'Price History'!S22=0),"",'Price History'!S23/'Price History'!S22-1),"")</f>
        <v>0.00707257072570711</v>
      </c>
      <c r="T22" s="143" t="n">
        <f aca="false">IFERROR(IF(OR(NOT(ISNUMBER('Price History'!T23)),NOT(ISNUMBER('Price History'!T22)),'Price History'!T22=0),"",'Price History'!T23/'Price History'!T22-1),"")</f>
        <v>-0.0024639211545231</v>
      </c>
      <c r="U22" s="143" t="str">
        <f aca="false">IFERROR(IF(OR(NOT(ISNUMBER('Price History'!U23)),NOT(ISNUMBER('Price History'!U22)),'Price History'!U22=0),"",'Price History'!U23/'Price History'!U22-1),"")</f>
        <v/>
      </c>
      <c r="V22" s="144" t="n">
        <f aca="false">IFERROR(IF(OR(NOT(ISNUMBER('Price History'!V23)),NOT(ISNUMBER('Price History'!V22)),'Price History'!V22=0),"",'Price History'!V23/'Price History'!V22-1),"")</f>
        <v>0.00742672039187808</v>
      </c>
      <c r="W22" s="145" t="str">
        <f aca="false">IFERROR('Price History'!B3+(INDEX('Price History'!B:B,MATCH(9.99E+307,'Price History'!$A:$A))-'Price History'!B3)*(ROW()-3)/(MATCH(9.99E+307,'Returns (Calc)'!$A:$A)-3),"")</f>
        <v/>
      </c>
      <c r="X22" s="145" t="n">
        <f aca="false">IFERROR('Price History'!C3+(INDEX('Price History'!C:C,MATCH(9.99E+307,'Price History'!$A:$A))-'Price History'!C3)*(ROW()-3)/(MATCH(9.99E+307,'Returns (Calc)'!$A:$A)-3),"")</f>
        <v>40.6616352201258</v>
      </c>
      <c r="Y22" s="145" t="n">
        <f aca="false">IFERROR('Price History'!D3+(INDEX('Price History'!D:D,MATCH(9.99E+307,'Price History'!$A:$A))-'Price History'!D3)*(ROW()-3)/(MATCH(9.99E+307,'Returns (Calc)'!$A:$A)-3),"")</f>
        <v>512.461635220126</v>
      </c>
      <c r="Z22" s="145" t="n">
        <f aca="false">IFERROR('Price History'!E3+(INDEX('Price History'!E:E,MATCH(9.99E+307,'Price History'!$A:$A))-'Price History'!E3)*(ROW()-3)/(MATCH(9.99E+307,'Returns (Calc)'!$A:$A)-3),"")</f>
        <v>72.2012578616352</v>
      </c>
      <c r="AA22" s="145" t="n">
        <f aca="false">IFERROR('Price History'!F3+(INDEX('Price History'!F:F,MATCH(9.99E+307,'Price History'!$A:$A))-'Price History'!F3)*(ROW()-3)/(MATCH(9.99E+307,'Returns (Calc)'!$A:$A)-3),"")</f>
        <v>66.3106918238994</v>
      </c>
      <c r="AB22" s="145" t="n">
        <f aca="false">IFERROR('Price History'!G3+(INDEX('Price History'!G:G,MATCH(9.99E+307,'Price History'!$A:$A))-'Price History'!G3)*(ROW()-3)/(MATCH(9.99E+307,'Returns (Calc)'!$A:$A)-3),"")</f>
        <v>36.4176100628931</v>
      </c>
      <c r="AC22" s="145" t="n">
        <f aca="false">IFERROR('Price History'!H3+(INDEX('Price History'!H:H,MATCH(9.99E+307,'Price History'!$A:$A))-'Price History'!H3)*(ROW()-3)/(MATCH(9.99E+307,'Returns (Calc)'!$A:$A)-3),"")</f>
        <v>88.5698113207547</v>
      </c>
      <c r="AD22" s="145" t="n">
        <f aca="false">IFERROR('Price History'!I3+(INDEX('Price History'!I:I,MATCH(9.99E+307,'Price History'!$A:$A))-'Price History'!I3)*(ROW()-3)/(MATCH(9.99E+307,'Returns (Calc)'!$A:$A)-3),"")</f>
        <v>39.0503144654088</v>
      </c>
      <c r="AE22" s="145" t="n">
        <f aca="false">IFERROR('Price History'!J3+(INDEX('Price History'!J:J,MATCH(9.99E+307,'Price History'!$A:$A))-'Price History'!J3)*(ROW()-3)/(MATCH(9.99E+307,'Returns (Calc)'!$A:$A)-3),"")</f>
        <v>60.851572327044</v>
      </c>
      <c r="AF22" s="145" t="n">
        <f aca="false">IFERROR('Price History'!K3+(INDEX('Price History'!K:K,MATCH(9.99E+307,'Price History'!$A:$A))-'Price History'!K3)*(ROW()-3)/(MATCH(9.99E+307,'Returns (Calc)'!$A:$A)-3),"")</f>
        <v>38.5396226415094</v>
      </c>
      <c r="AG22" s="145" t="n">
        <f aca="false">IFERROR('Price History'!L3+(INDEX('Price History'!L:L,MATCH(9.99E+307,'Price History'!$A:$A))-'Price History'!L3)*(ROW()-3)/(MATCH(9.99E+307,'Returns (Calc)'!$A:$A)-3),"")</f>
        <v>98.4754716981132</v>
      </c>
      <c r="AH22" s="145" t="n">
        <f aca="false">IFERROR('Price History'!M3+(INDEX('Price History'!M:M,MATCH(9.99E+307,'Price History'!$A:$A))-'Price History'!M3)*(ROW()-3)/(MATCH(9.99E+307,'Returns (Calc)'!$A:$A)-3),"")</f>
        <v>13.4981132075472</v>
      </c>
      <c r="AI22" s="145" t="n">
        <f aca="false">IFERROR('Price History'!N3+(INDEX('Price History'!N:N,MATCH(9.99E+307,'Price History'!$A:$A))-'Price History'!N3)*(ROW()-3)/(MATCH(9.99E+307,'Returns (Calc)'!$A:$A)-3),"")</f>
        <v>19.1949685534591</v>
      </c>
      <c r="AJ22" s="145" t="n">
        <f aca="false">IFERROR('Price History'!O3+(INDEX('Price History'!O:O,MATCH(9.99E+307,'Price History'!$A:$A))-'Price History'!O3)*(ROW()-3)/(MATCH(9.99E+307,'Returns (Calc)'!$A:$A)-3),"")</f>
        <v>50.7433962264151</v>
      </c>
      <c r="AK22" s="145" t="n">
        <f aca="false">IFERROR('Price History'!Q3+(INDEX('Price History'!Q:Q,MATCH(9.99E+307,'Price History'!$A:$A))-'Price History'!Q3)*(ROW()-3)/(MATCH(9.99E+307,'Returns (Calc)'!$A:$A)-3),"")</f>
        <v>207.472955974843</v>
      </c>
      <c r="AL22" s="145" t="n">
        <f aca="false">IFERROR('Price History'!R3+(INDEX('Price History'!R:R,MATCH(9.99E+307,'Price History'!$A:$A))-'Price History'!R3)*(ROW()-3)/(MATCH(9.99E+307,'Returns (Calc)'!$A:$A)-3),"")</f>
        <v>42.1056603773585</v>
      </c>
      <c r="AM22" s="145" t="n">
        <f aca="false">IFERROR('Price History'!S3+(INDEX('Price History'!S:S,MATCH(9.99E+307,'Price History'!$A:$A))-'Price History'!S3)*(ROW()-3)/(MATCH(9.99E+307,'Returns (Calc)'!$A:$A)-3),"")</f>
        <v>51.5446540880503</v>
      </c>
      <c r="AN22" s="145" t="n">
        <f aca="false">IFERROR('Price History'!T3+(INDEX('Price History'!T:T,MATCH(9.99E+307,'Price History'!$A:$A))-'Price History'!T3)*(ROW()-3)/(MATCH(9.99E+307,'Returns (Calc)'!$A:$A)-3),"")</f>
        <v>23.6943396226415</v>
      </c>
      <c r="AO22" s="146" t="n">
        <f aca="false">IFERROR('Price History'!V3+(INDEX('Price History'!V:V,MATCH(9.99E+307,'Price History'!$A:$A))-'Price History'!V3)*(ROW()-3)/(MATCH(9.99E+307,'Returns (Calc)'!$A:$A)-3),"")</f>
        <v>0</v>
      </c>
    </row>
    <row r="23" customFormat="false" ht="15" hidden="false" customHeight="true" outlineLevel="0" collapsed="false">
      <c r="A23" s="142" t="n">
        <f aca="false">IF('Price History'!A24="","",'Price History'!A24)</f>
        <v>45331</v>
      </c>
      <c r="B23" s="143" t="n">
        <f aca="false">IFERROR(IF(OR(NOT(ISNUMBER('Price History'!B24)),NOT(ISNUMBER('Price History'!B23)),'Price History'!B23=0),"",'Price History'!B24/'Price History'!B23-1),"")</f>
        <v>-0.0118942592475896</v>
      </c>
      <c r="C23" s="143" t="n">
        <f aca="false">IFERROR(IF(OR(NOT(ISNUMBER('Price History'!C24)),NOT(ISNUMBER('Price History'!C23)),'Price History'!C23=0),"",'Price History'!C24/'Price History'!C23-1),"")</f>
        <v>0.0341241944932631</v>
      </c>
      <c r="D23" s="143" t="n">
        <f aca="false">IFERROR(IF(OR(NOT(ISNUMBER('Price History'!D24)),NOT(ISNUMBER('Price History'!D23)),'Price History'!D23=0),"",'Price History'!D24/'Price History'!D23-1),"")</f>
        <v>0.0680351771486303</v>
      </c>
      <c r="E23" s="143" t="n">
        <f aca="false">IFERROR(IF(OR(NOT(ISNUMBER('Price History'!E24)),NOT(ISNUMBER('Price History'!E23)),'Price History'!E23=0),"",'Price History'!E24/'Price History'!E23-1),"")</f>
        <v>0.0482909213067944</v>
      </c>
      <c r="F23" s="143" t="n">
        <f aca="false">IFERROR(IF(OR(NOT(ISNUMBER('Price History'!F24)),NOT(ISNUMBER('Price History'!F23)),'Price History'!F23=0),"",'Price History'!F24/'Price History'!F23-1),"")</f>
        <v>0.00898526416676648</v>
      </c>
      <c r="G23" s="143" t="n">
        <f aca="false">IFERROR(IF(OR(NOT(ISNUMBER('Price History'!G24)),NOT(ISNUMBER('Price History'!G23)),'Price History'!G23=0),"",'Price History'!G24/'Price History'!G23-1),"")</f>
        <v>0.0848596653050469</v>
      </c>
      <c r="H23" s="143" t="n">
        <f aca="false">IFERROR(IF(OR(NOT(ISNUMBER('Price History'!H24)),NOT(ISNUMBER('Price History'!H23)),'Price History'!H23=0),"",'Price History'!H24/'Price History'!H23-1),"")</f>
        <v>-0.00890719279762464</v>
      </c>
      <c r="I23" s="143" t="n">
        <f aca="false">IFERROR(IF(OR(NOT(ISNUMBER('Price History'!I24)),NOT(ISNUMBER('Price History'!I23)),'Price History'!I23=0),"",'Price History'!I24/'Price History'!I23-1),"")</f>
        <v>0.0753760351529491</v>
      </c>
      <c r="J23" s="143" t="n">
        <f aca="false">IFERROR(IF(OR(NOT(ISNUMBER('Price History'!J24)),NOT(ISNUMBER('Price History'!J23)),'Price History'!J23=0),"",'Price History'!J24/'Price History'!J23-1),"")</f>
        <v>-0.0106085334576824</v>
      </c>
      <c r="K23" s="143" t="n">
        <f aca="false">IFERROR(IF(OR(NOT(ISNUMBER('Price History'!K24)),NOT(ISNUMBER('Price History'!K23)),'Price History'!K23=0),"",'Price History'!K24/'Price History'!K23-1),"")</f>
        <v>0.0901925117477642</v>
      </c>
      <c r="L23" s="143" t="n">
        <f aca="false">IFERROR(IF(OR(NOT(ISNUMBER('Price History'!L24)),NOT(ISNUMBER('Price History'!L23)),'Price History'!L23=0),"",'Price History'!L24/'Price History'!L23-1),"")</f>
        <v>0.0249788314987298</v>
      </c>
      <c r="M23" s="143" t="n">
        <f aca="false">IFERROR(IF(OR(NOT(ISNUMBER('Price History'!M24)),NOT(ISNUMBER('Price History'!M23)),'Price History'!M23=0),"",'Price History'!M24/'Price History'!M23-1),"")</f>
        <v>0.432432432432432</v>
      </c>
      <c r="N23" s="143" t="n">
        <f aca="false">IFERROR(IF(OR(NOT(ISNUMBER('Price History'!N24)),NOT(ISNUMBER('Price History'!N23)),'Price History'!N23=0),"",'Price History'!N24/'Price History'!N23-1),"")</f>
        <v>-0.00258175559380369</v>
      </c>
      <c r="O23" s="143" t="n">
        <f aca="false">IFERROR(IF(OR(NOT(ISNUMBER('Price History'!O24)),NOT(ISNUMBER('Price History'!O23)),'Price History'!O23=0),"",'Price History'!O24/'Price History'!O23-1),"")</f>
        <v>0.0238931834153195</v>
      </c>
      <c r="P23" s="143" t="n">
        <f aca="false">IFERROR(IF(OR(NOT(ISNUMBER('Price History'!P24)),NOT(ISNUMBER('Price History'!P23)),'Price History'!P23=0),"",'Price History'!P24/'Price History'!P23-1),"")</f>
        <v>0.149991050653302</v>
      </c>
      <c r="Q23" s="143" t="n">
        <f aca="false">IFERROR(IF(OR(NOT(ISNUMBER('Price History'!Q24)),NOT(ISNUMBER('Price History'!Q23)),'Price History'!Q23=0),"",'Price History'!Q24/'Price History'!Q23-1),"")</f>
        <v>-0.000847114286766648</v>
      </c>
      <c r="R23" s="143" t="n">
        <f aca="false">IFERROR(IF(OR(NOT(ISNUMBER('Price History'!R24)),NOT(ISNUMBER('Price History'!R23)),'Price History'!R23=0),"",'Price History'!R24/'Price History'!R23-1),"")</f>
        <v>-0.0156218706188664</v>
      </c>
      <c r="S23" s="143" t="n">
        <f aca="false">IFERROR(IF(OR(NOT(ISNUMBER('Price History'!S24)),NOT(ISNUMBER('Price History'!S23)),'Price History'!S23=0),"",'Price History'!S24/'Price History'!S23-1),"")</f>
        <v>-0.0103816793893131</v>
      </c>
      <c r="T23" s="143" t="n">
        <f aca="false">IFERROR(IF(OR(NOT(ISNUMBER('Price History'!T24)),NOT(ISNUMBER('Price History'!T23)),'Price History'!T23=0),"",'Price History'!T24/'Price History'!T23-1),"")</f>
        <v>0.00105857445307</v>
      </c>
      <c r="U23" s="143" t="str">
        <f aca="false">IFERROR(IF(OR(NOT(ISNUMBER('Price History'!U24)),NOT(ISNUMBER('Price History'!U23)),'Price History'!U23=0),"",'Price History'!U24/'Price History'!U23-1),"")</f>
        <v/>
      </c>
      <c r="V23" s="144" t="n">
        <f aca="false">IFERROR(IF(OR(NOT(ISNUMBER('Price History'!V24)),NOT(ISNUMBER('Price History'!V23)),'Price History'!V23=0),"",'Price History'!V24/'Price History'!V23-1),"")</f>
        <v>-0.00254881970041565</v>
      </c>
      <c r="W23" s="145" t="str">
        <f aca="false">IFERROR('Price History'!B3+(INDEX('Price History'!B:B,MATCH(9.99E+307,'Price History'!$A:$A))-'Price History'!B3)*(ROW()-3)/(MATCH(9.99E+307,'Returns (Calc)'!$A:$A)-3),"")</f>
        <v/>
      </c>
      <c r="X23" s="145" t="n">
        <f aca="false">IFERROR('Price History'!C3+(INDEX('Price History'!C:C,MATCH(9.99E+307,'Price History'!$A:$A))-'Price History'!C3)*(ROW()-3)/(MATCH(9.99E+307,'Returns (Calc)'!$A:$A)-3),"")</f>
        <v>40.3711949685535</v>
      </c>
      <c r="Y23" s="145" t="n">
        <f aca="false">IFERROR('Price History'!D3+(INDEX('Price History'!D:D,MATCH(9.99E+307,'Price History'!$A:$A))-'Price History'!D3)*(ROW()-3)/(MATCH(9.99E+307,'Returns (Calc)'!$A:$A)-3),"")</f>
        <v>508.801194968553</v>
      </c>
      <c r="Z23" s="145" t="n">
        <f aca="false">IFERROR('Price History'!E3+(INDEX('Price History'!E:E,MATCH(9.99E+307,'Price History'!$A:$A))-'Price History'!E3)*(ROW()-3)/(MATCH(9.99E+307,'Returns (Calc)'!$A:$A)-3),"")</f>
        <v>71.685534591195</v>
      </c>
      <c r="AA23" s="145" t="n">
        <f aca="false">IFERROR('Price History'!F3+(INDEX('Price History'!F:F,MATCH(9.99E+307,'Price History'!$A:$A))-'Price History'!F3)*(ROW()-3)/(MATCH(9.99E+307,'Returns (Calc)'!$A:$A)-3),"")</f>
        <v>65.8370440251572</v>
      </c>
      <c r="AB23" s="145" t="n">
        <f aca="false">IFERROR('Price History'!G3+(INDEX('Price History'!G:G,MATCH(9.99E+307,'Price History'!$A:$A))-'Price History'!G3)*(ROW()-3)/(MATCH(9.99E+307,'Returns (Calc)'!$A:$A)-3),"")</f>
        <v>36.1574842767296</v>
      </c>
      <c r="AC23" s="145" t="n">
        <f aca="false">IFERROR('Price History'!H3+(INDEX('Price History'!H:H,MATCH(9.99E+307,'Price History'!$A:$A))-'Price History'!H3)*(ROW()-3)/(MATCH(9.99E+307,'Returns (Calc)'!$A:$A)-3),"")</f>
        <v>87.9371698113208</v>
      </c>
      <c r="AD23" s="145" t="n">
        <f aca="false">IFERROR('Price History'!I3+(INDEX('Price History'!I:I,MATCH(9.99E+307,'Price History'!$A:$A))-'Price History'!I3)*(ROW()-3)/(MATCH(9.99E+307,'Returns (Calc)'!$A:$A)-3),"")</f>
        <v>38.7713836477987</v>
      </c>
      <c r="AE23" s="145" t="n">
        <f aca="false">IFERROR('Price History'!J3+(INDEX('Price History'!J:J,MATCH(9.99E+307,'Price History'!$A:$A))-'Price History'!J3)*(ROW()-3)/(MATCH(9.99E+307,'Returns (Calc)'!$A:$A)-3),"")</f>
        <v>60.4169182389937</v>
      </c>
      <c r="AF23" s="145" t="n">
        <f aca="false">IFERROR('Price History'!K3+(INDEX('Price History'!K:K,MATCH(9.99E+307,'Price History'!$A:$A))-'Price History'!K3)*(ROW()-3)/(MATCH(9.99E+307,'Returns (Calc)'!$A:$A)-3),"")</f>
        <v>38.2643396226415</v>
      </c>
      <c r="AG23" s="145" t="n">
        <f aca="false">IFERROR('Price History'!L3+(INDEX('Price History'!L:L,MATCH(9.99E+307,'Price History'!$A:$A))-'Price History'!L3)*(ROW()-3)/(MATCH(9.99E+307,'Returns (Calc)'!$A:$A)-3),"")</f>
        <v>97.7720754716981</v>
      </c>
      <c r="AH23" s="145" t="n">
        <f aca="false">IFERROR('Price History'!M3+(INDEX('Price History'!M:M,MATCH(9.99E+307,'Price History'!$A:$A))-'Price History'!M3)*(ROW()-3)/(MATCH(9.99E+307,'Returns (Calc)'!$A:$A)-3),"")</f>
        <v>13.4016981132075</v>
      </c>
      <c r="AI23" s="145" t="n">
        <f aca="false">IFERROR('Price History'!N3+(INDEX('Price History'!N:N,MATCH(9.99E+307,'Price History'!$A:$A))-'Price History'!N3)*(ROW()-3)/(MATCH(9.99E+307,'Returns (Calc)'!$A:$A)-3),"")</f>
        <v>19.0578616352201</v>
      </c>
      <c r="AJ23" s="145" t="n">
        <f aca="false">IFERROR('Price History'!O3+(INDEX('Price History'!O:O,MATCH(9.99E+307,'Price History'!$A:$A))-'Price History'!O3)*(ROW()-3)/(MATCH(9.99E+307,'Returns (Calc)'!$A:$A)-3),"")</f>
        <v>50.3809433962264</v>
      </c>
      <c r="AK23" s="145" t="n">
        <f aca="false">IFERROR('Price History'!Q3+(INDEX('Price History'!Q:Q,MATCH(9.99E+307,'Price History'!$A:$A))-'Price History'!Q3)*(ROW()-3)/(MATCH(9.99E+307,'Returns (Calc)'!$A:$A)-3),"")</f>
        <v>205.991006289308</v>
      </c>
      <c r="AL23" s="145" t="n">
        <f aca="false">IFERROR('Price History'!R3+(INDEX('Price History'!R:R,MATCH(9.99E+307,'Price History'!$A:$A))-'Price History'!R3)*(ROW()-3)/(MATCH(9.99E+307,'Returns (Calc)'!$A:$A)-3),"")</f>
        <v>41.8049056603774</v>
      </c>
      <c r="AM23" s="145" t="n">
        <f aca="false">IFERROR('Price History'!S3+(INDEX('Price History'!S:S,MATCH(9.99E+307,'Price History'!$A:$A))-'Price History'!S3)*(ROW()-3)/(MATCH(9.99E+307,'Returns (Calc)'!$A:$A)-3),"")</f>
        <v>51.1764779874214</v>
      </c>
      <c r="AN23" s="145" t="n">
        <f aca="false">IFERROR('Price History'!T3+(INDEX('Price History'!T:T,MATCH(9.99E+307,'Price History'!$A:$A))-'Price History'!T3)*(ROW()-3)/(MATCH(9.99E+307,'Returns (Calc)'!$A:$A)-3),"")</f>
        <v>23.5250943396226</v>
      </c>
      <c r="AO23" s="146" t="n">
        <f aca="false">IFERROR('Price History'!V3+(INDEX('Price History'!V:V,MATCH(9.99E+307,'Price History'!$A:$A))-'Price History'!V3)*(ROW()-3)/(MATCH(9.99E+307,'Returns (Calc)'!$A:$A)-3),"")</f>
        <v>0</v>
      </c>
    </row>
    <row r="24" customFormat="false" ht="15" hidden="false" customHeight="true" outlineLevel="0" collapsed="false">
      <c r="A24" s="142" t="n">
        <f aca="false">IF('Price History'!A25="","",'Price History'!A25)</f>
        <v>45338</v>
      </c>
      <c r="B24" s="143" t="n">
        <f aca="false">IFERROR(IF(OR(NOT(ISNUMBER('Price History'!B25)),NOT(ISNUMBER('Price History'!B24)),'Price History'!B24=0),"",'Price History'!B25/'Price History'!B24-1),"")</f>
        <v>-0.128425886066868</v>
      </c>
      <c r="C24" s="143" t="n">
        <f aca="false">IFERROR(IF(OR(NOT(ISNUMBER('Price History'!C25)),NOT(ISNUMBER('Price History'!C24)),'Price History'!C24=0),"",'Price History'!C25/'Price History'!C24-1),"")</f>
        <v>-0.0732190907803427</v>
      </c>
      <c r="D24" s="143" t="n">
        <f aca="false">IFERROR(IF(OR(NOT(ISNUMBER('Price History'!D25)),NOT(ISNUMBER('Price History'!D24)),'Price History'!D24=0),"",'Price History'!D25/'Price History'!D24-1),"")</f>
        <v>-0.0217461409468117</v>
      </c>
      <c r="E24" s="143" t="n">
        <f aca="false">IFERROR(IF(OR(NOT(ISNUMBER('Price History'!E25)),NOT(ISNUMBER('Price History'!E24)),'Price History'!E24=0),"",'Price History'!E25/'Price History'!E24-1),"")</f>
        <v>-0.0296426854670725</v>
      </c>
      <c r="F24" s="143" t="n">
        <f aca="false">IFERROR(IF(OR(NOT(ISNUMBER('Price History'!F25)),NOT(ISNUMBER('Price History'!F24)),'Price History'!F24=0),"",'Price History'!F25/'Price History'!F24-1),"")</f>
        <v>0.00712419852766555</v>
      </c>
      <c r="G24" s="143" t="n">
        <f aca="false">IFERROR(IF(OR(NOT(ISNUMBER('Price History'!G25)),NOT(ISNUMBER('Price History'!G24)),'Price History'!G24=0),"",'Price History'!G25/'Price History'!G24-1),"")</f>
        <v>-0.000242924814769729</v>
      </c>
      <c r="H24" s="143" t="n">
        <f aca="false">IFERROR(IF(OR(NOT(ISNUMBER('Price History'!H25)),NOT(ISNUMBER('Price History'!H24)),'Price History'!H24=0),"",'Price History'!H25/'Price History'!H24-1),"")</f>
        <v>0.011693080788558</v>
      </c>
      <c r="I24" s="143" t="n">
        <f aca="false">IFERROR(IF(OR(NOT(ISNUMBER('Price History'!I25)),NOT(ISNUMBER('Price History'!I24)),'Price History'!I24=0),"",'Price History'!I25/'Price History'!I24-1),"")</f>
        <v>0.0199591387710201</v>
      </c>
      <c r="J24" s="143" t="n">
        <f aca="false">IFERROR(IF(OR(NOT(ISNUMBER('Price History'!J25)),NOT(ISNUMBER('Price History'!J24)),'Price History'!J24=0),"",'Price History'!J25/'Price History'!J24-1),"")</f>
        <v>-0.0708141864027336</v>
      </c>
      <c r="K24" s="143" t="n">
        <f aca="false">IFERROR(IF(OR(NOT(ISNUMBER('Price History'!K25)),NOT(ISNUMBER('Price History'!K24)),'Price History'!K24=0),"",'Price History'!K25/'Price History'!K24-1),"")</f>
        <v>0.00667408231368194</v>
      </c>
      <c r="L24" s="143" t="n">
        <f aca="false">IFERROR(IF(OR(NOT(ISNUMBER('Price History'!L25)),NOT(ISNUMBER('Price History'!L24)),'Price History'!L24=0),"",'Price History'!L25/'Price History'!L24-1),"")</f>
        <v>0.00685667079719132</v>
      </c>
      <c r="M24" s="143" t="n">
        <f aca="false">IFERROR(IF(OR(NOT(ISNUMBER('Price History'!M25)),NOT(ISNUMBER('Price History'!M24)),'Price History'!M24=0),"",'Price History'!M25/'Price History'!M24-1),"")</f>
        <v>0.00246103363412642</v>
      </c>
      <c r="N24" s="143" t="n">
        <f aca="false">IFERROR(IF(OR(NOT(ISNUMBER('Price History'!N25)),NOT(ISNUMBER('Price History'!N24)),'Price History'!N24=0),"",'Price History'!N25/'Price History'!N24-1),"")</f>
        <v>0.002588438308887</v>
      </c>
      <c r="O24" s="143" t="n">
        <f aca="false">IFERROR(IF(OR(NOT(ISNUMBER('Price History'!O25)),NOT(ISNUMBER('Price History'!O24)),'Price History'!O24=0),"",'Price History'!O25/'Price History'!O24-1),"")</f>
        <v>0.00837336993822913</v>
      </c>
      <c r="P24" s="143" t="n">
        <f aca="false">IFERROR(IF(OR(NOT(ISNUMBER('Price History'!P25)),NOT(ISNUMBER('Price History'!P24)),'Price History'!P24=0),"",'Price History'!P25/'Price History'!P24-1),"")</f>
        <v>-0.0482490272373541</v>
      </c>
      <c r="Q24" s="143" t="n">
        <f aca="false">IFERROR(IF(OR(NOT(ISNUMBER('Price History'!Q25)),NOT(ISNUMBER('Price History'!Q24)),'Price History'!Q24=0),"",'Price History'!Q25/'Price History'!Q24-1),"")</f>
        <v>0.00770421704511959</v>
      </c>
      <c r="R24" s="143" t="n">
        <f aca="false">IFERROR(IF(OR(NOT(ISNUMBER('Price History'!R25)),NOT(ISNUMBER('Price History'!R24)),'Price History'!R24=0),"",'Price History'!R25/'Price History'!R24-1),"")</f>
        <v>0.0272634791454731</v>
      </c>
      <c r="S24" s="143" t="n">
        <f aca="false">IFERROR(IF(OR(NOT(ISNUMBER('Price History'!S25)),NOT(ISNUMBER('Price History'!S24)),'Price History'!S24=0),"",'Price History'!S25/'Price History'!S24-1),"")</f>
        <v>0.0311632212280162</v>
      </c>
      <c r="T24" s="143" t="n">
        <f aca="false">IFERROR(IF(OR(NOT(ISNUMBER('Price History'!T25)),NOT(ISNUMBER('Price History'!T24)),'Price History'!T24=0),"",'Price History'!T25/'Price History'!T24-1),"")</f>
        <v>-0.00281988015509349</v>
      </c>
      <c r="U24" s="143" t="str">
        <f aca="false">IFERROR(IF(OR(NOT(ISNUMBER('Price History'!U25)),NOT(ISNUMBER('Price History'!U24)),'Price History'!U24=0),"",'Price History'!U25/'Price History'!U24-1),"")</f>
        <v/>
      </c>
      <c r="V24" s="144" t="n">
        <f aca="false">IFERROR(IF(OR(NOT(ISNUMBER('Price History'!V25)),NOT(ISNUMBER('Price History'!V24)),'Price History'!V24=0),"",'Price History'!V25/'Price History'!V24-1),"")</f>
        <v>0.0172583244879505</v>
      </c>
      <c r="W24" s="145" t="str">
        <f aca="false">IFERROR('Price History'!B3+(INDEX('Price History'!B:B,MATCH(9.99E+307,'Price History'!$A:$A))-'Price History'!B3)*(ROW()-3)/(MATCH(9.99E+307,'Returns (Calc)'!$A:$A)-3),"")</f>
        <v/>
      </c>
      <c r="X24" s="145" t="n">
        <f aca="false">IFERROR('Price History'!C3+(INDEX('Price History'!C:C,MATCH(9.99E+307,'Price History'!$A:$A))-'Price History'!C3)*(ROW()-3)/(MATCH(9.99E+307,'Returns (Calc)'!$A:$A)-3),"")</f>
        <v>40.0807547169811</v>
      </c>
      <c r="Y24" s="145" t="n">
        <f aca="false">IFERROR('Price History'!D3+(INDEX('Price History'!D:D,MATCH(9.99E+307,'Price History'!$A:$A))-'Price History'!D3)*(ROW()-3)/(MATCH(9.99E+307,'Returns (Calc)'!$A:$A)-3),"")</f>
        <v>505.140754716981</v>
      </c>
      <c r="Z24" s="145" t="n">
        <f aca="false">IFERROR('Price History'!E3+(INDEX('Price History'!E:E,MATCH(9.99E+307,'Price History'!$A:$A))-'Price History'!E3)*(ROW()-3)/(MATCH(9.99E+307,'Returns (Calc)'!$A:$A)-3),"")</f>
        <v>71.1698113207547</v>
      </c>
      <c r="AA24" s="145" t="n">
        <f aca="false">IFERROR('Price History'!F3+(INDEX('Price History'!F:F,MATCH(9.99E+307,'Price History'!$A:$A))-'Price History'!F3)*(ROW()-3)/(MATCH(9.99E+307,'Returns (Calc)'!$A:$A)-3),"")</f>
        <v>65.3633962264151</v>
      </c>
      <c r="AB24" s="145" t="n">
        <f aca="false">IFERROR('Price History'!G3+(INDEX('Price History'!G:G,MATCH(9.99E+307,'Price History'!$A:$A))-'Price History'!G3)*(ROW()-3)/(MATCH(9.99E+307,'Returns (Calc)'!$A:$A)-3),"")</f>
        <v>35.897358490566</v>
      </c>
      <c r="AC24" s="145" t="n">
        <f aca="false">IFERROR('Price History'!H3+(INDEX('Price History'!H:H,MATCH(9.99E+307,'Price History'!$A:$A))-'Price History'!H3)*(ROW()-3)/(MATCH(9.99E+307,'Returns (Calc)'!$A:$A)-3),"")</f>
        <v>87.3045283018868</v>
      </c>
      <c r="AD24" s="145" t="n">
        <f aca="false">IFERROR('Price History'!I3+(INDEX('Price History'!I:I,MATCH(9.99E+307,'Price History'!$A:$A))-'Price History'!I3)*(ROW()-3)/(MATCH(9.99E+307,'Returns (Calc)'!$A:$A)-3),"")</f>
        <v>38.4924528301887</v>
      </c>
      <c r="AE24" s="145" t="n">
        <f aca="false">IFERROR('Price History'!J3+(INDEX('Price History'!J:J,MATCH(9.99E+307,'Price History'!$A:$A))-'Price History'!J3)*(ROW()-3)/(MATCH(9.99E+307,'Returns (Calc)'!$A:$A)-3),"")</f>
        <v>59.9822641509434</v>
      </c>
      <c r="AF24" s="145" t="n">
        <f aca="false">IFERROR('Price History'!K3+(INDEX('Price History'!K:K,MATCH(9.99E+307,'Price History'!$A:$A))-'Price History'!K3)*(ROW()-3)/(MATCH(9.99E+307,'Returns (Calc)'!$A:$A)-3),"")</f>
        <v>37.9890566037736</v>
      </c>
      <c r="AG24" s="145" t="n">
        <f aca="false">IFERROR('Price History'!L3+(INDEX('Price History'!L:L,MATCH(9.99E+307,'Price History'!$A:$A))-'Price History'!L3)*(ROW()-3)/(MATCH(9.99E+307,'Returns (Calc)'!$A:$A)-3),"")</f>
        <v>97.068679245283</v>
      </c>
      <c r="AH24" s="145" t="n">
        <f aca="false">IFERROR('Price History'!M3+(INDEX('Price History'!M:M,MATCH(9.99E+307,'Price History'!$A:$A))-'Price History'!M3)*(ROW()-3)/(MATCH(9.99E+307,'Returns (Calc)'!$A:$A)-3),"")</f>
        <v>13.3052830188679</v>
      </c>
      <c r="AI24" s="145" t="n">
        <f aca="false">IFERROR('Price History'!N3+(INDEX('Price History'!N:N,MATCH(9.99E+307,'Price History'!$A:$A))-'Price History'!N3)*(ROW()-3)/(MATCH(9.99E+307,'Returns (Calc)'!$A:$A)-3),"")</f>
        <v>18.9207547169811</v>
      </c>
      <c r="AJ24" s="145" t="n">
        <f aca="false">IFERROR('Price History'!O3+(INDEX('Price History'!O:O,MATCH(9.99E+307,'Price History'!$A:$A))-'Price History'!O3)*(ROW()-3)/(MATCH(9.99E+307,'Returns (Calc)'!$A:$A)-3),"")</f>
        <v>50.0184905660377</v>
      </c>
      <c r="AK24" s="145" t="n">
        <f aca="false">IFERROR('Price History'!Q3+(INDEX('Price History'!Q:Q,MATCH(9.99E+307,'Price History'!$A:$A))-'Price History'!Q3)*(ROW()-3)/(MATCH(9.99E+307,'Returns (Calc)'!$A:$A)-3),"")</f>
        <v>204.509056603774</v>
      </c>
      <c r="AL24" s="145" t="n">
        <f aca="false">IFERROR('Price History'!R3+(INDEX('Price History'!R:R,MATCH(9.99E+307,'Price History'!$A:$A))-'Price History'!R3)*(ROW()-3)/(MATCH(9.99E+307,'Returns (Calc)'!$A:$A)-3),"")</f>
        <v>41.5041509433962</v>
      </c>
      <c r="AM24" s="145" t="n">
        <f aca="false">IFERROR('Price History'!S3+(INDEX('Price History'!S:S,MATCH(9.99E+307,'Price History'!$A:$A))-'Price History'!S3)*(ROW()-3)/(MATCH(9.99E+307,'Returns (Calc)'!$A:$A)-3),"")</f>
        <v>50.8083018867925</v>
      </c>
      <c r="AN24" s="145" t="n">
        <f aca="false">IFERROR('Price History'!T3+(INDEX('Price History'!T:T,MATCH(9.99E+307,'Price History'!$A:$A))-'Price History'!T3)*(ROW()-3)/(MATCH(9.99E+307,'Returns (Calc)'!$A:$A)-3),"")</f>
        <v>23.3558490566038</v>
      </c>
      <c r="AO24" s="146" t="n">
        <f aca="false">IFERROR('Price History'!V3+(INDEX('Price History'!V:V,MATCH(9.99E+307,'Price History'!$A:$A))-'Price History'!V3)*(ROW()-3)/(MATCH(9.99E+307,'Returns (Calc)'!$A:$A)-3),"")</f>
        <v>0</v>
      </c>
    </row>
    <row r="25" customFormat="false" ht="15" hidden="false" customHeight="true" outlineLevel="0" collapsed="false">
      <c r="A25" s="142" t="n">
        <f aca="false">IF('Price History'!A26="","",'Price History'!A26)</f>
        <v>45345</v>
      </c>
      <c r="B25" s="143" t="n">
        <f aca="false">IFERROR(IF(OR(NOT(ISNUMBER('Price History'!B26)),NOT(ISNUMBER('Price History'!B25)),'Price History'!B25=0),"",'Price History'!B26/'Price History'!B25-1),"")</f>
        <v>0.0124025902754914</v>
      </c>
      <c r="C25" s="143" t="n">
        <f aca="false">IFERROR(IF(OR(NOT(ISNUMBER('Price History'!C26)),NOT(ISNUMBER('Price History'!C25)),'Price History'!C25=0),"",'Price History'!C26/'Price History'!C25-1),"")</f>
        <v>0.0226161369193154</v>
      </c>
      <c r="D25" s="143" t="n">
        <f aca="false">IFERROR(IF(OR(NOT(ISNUMBER('Price History'!D26)),NOT(ISNUMBER('Price History'!D25)),'Price History'!D25=0),"",'Price History'!D26/'Price History'!D25-1),"")</f>
        <v>0.00463710785121707</v>
      </c>
      <c r="E25" s="143" t="n">
        <f aca="false">IFERROR(IF(OR(NOT(ISNUMBER('Price History'!E26)),NOT(ISNUMBER('Price History'!E25)),'Price History'!E25=0),"",'Price History'!E26/'Price History'!E25-1),"")</f>
        <v>0.0408685601056802</v>
      </c>
      <c r="F25" s="143" t="n">
        <f aca="false">IFERROR(IF(OR(NOT(ISNUMBER('Price History'!F26)),NOT(ISNUMBER('Price History'!F25)),'Price History'!F25=0),"",'Price History'!F26/'Price History'!F25-1),"")</f>
        <v>-0.00330110822919105</v>
      </c>
      <c r="G25" s="143" t="n">
        <f aca="false">IFERROR(IF(OR(NOT(ISNUMBER('Price History'!G26)),NOT(ISNUMBER('Price History'!G25)),'Price History'!G25=0),"",'Price History'!G26/'Price History'!G25-1),"")</f>
        <v>-0.0539424128295468</v>
      </c>
      <c r="H25" s="143" t="n">
        <f aca="false">IFERROR(IF(OR(NOT(ISNUMBER('Price History'!H26)),NOT(ISNUMBER('Price History'!H25)),'Price History'!H25=0),"",'Price History'!H26/'Price History'!H25-1),"")</f>
        <v>0.0084057694144617</v>
      </c>
      <c r="I25" s="143" t="n">
        <f aca="false">IFERROR(IF(OR(NOT(ISNUMBER('Price History'!I26)),NOT(ISNUMBER('Price History'!I25)),'Price History'!I25=0),"",'Price History'!I26/'Price History'!I25-1),"")</f>
        <v>0.0112480739599381</v>
      </c>
      <c r="J25" s="143" t="n">
        <f aca="false">IFERROR(IF(OR(NOT(ISNUMBER('Price History'!J26)),NOT(ISNUMBER('Price History'!J25)),'Price History'!J25=0),"",'Price History'!J26/'Price History'!J25-1),"")</f>
        <v>0.0817905148364191</v>
      </c>
      <c r="K25" s="143" t="n">
        <f aca="false">IFERROR(IF(OR(NOT(ISNUMBER('Price History'!K26)),NOT(ISNUMBER('Price History'!K25)),'Price History'!K25=0),"",'Price History'!K26/'Price History'!K25-1),"")</f>
        <v>0.0854972375690608</v>
      </c>
      <c r="L25" s="143" t="n">
        <f aca="false">IFERROR(IF(OR(NOT(ISNUMBER('Price History'!L26)),NOT(ISNUMBER('Price History'!L25)),'Price History'!L25=0),"",'Price History'!L26/'Price History'!L25-1),"")</f>
        <v>-0.00131276665572688</v>
      </c>
      <c r="M25" s="143" t="n">
        <f aca="false">IFERROR(IF(OR(NOT(ISNUMBER('Price History'!M26)),NOT(ISNUMBER('Price History'!M25)),'Price History'!M25=0),"",'Price History'!M26/'Price History'!M25-1),"")</f>
        <v>-0.0601472995090018</v>
      </c>
      <c r="N25" s="143" t="n">
        <f aca="false">IFERROR(IF(OR(NOT(ISNUMBER('Price History'!N26)),NOT(ISNUMBER('Price History'!N25)),'Price History'!N25=0),"",'Price History'!N26/'Price History'!N25-1),"")</f>
        <v>0.0116179001721173</v>
      </c>
      <c r="O25" s="143" t="n">
        <f aca="false">IFERROR(IF(OR(NOT(ISNUMBER('Price History'!O26)),NOT(ISNUMBER('Price History'!O25)),'Price History'!O25=0),"",'Price History'!O26/'Price History'!O25-1),"")</f>
        <v>0.022325074870678</v>
      </c>
      <c r="P25" s="143" t="n">
        <f aca="false">IFERROR(IF(OR(NOT(ISNUMBER('Price History'!P26)),NOT(ISNUMBER('Price History'!P25)),'Price History'!P25=0),"",'Price History'!P26/'Price History'!P25-1),"")</f>
        <v>0.0224039247751431</v>
      </c>
      <c r="Q25" s="143" t="n">
        <f aca="false">IFERROR(IF(OR(NOT(ISNUMBER('Price History'!Q26)),NOT(ISNUMBER('Price History'!Q25)),'Price History'!Q25=0),"",'Price History'!Q26/'Price History'!Q25-1),"")</f>
        <v>0.0180707466071623</v>
      </c>
      <c r="R25" s="143" t="n">
        <f aca="false">IFERROR(IF(OR(NOT(ISNUMBER('Price History'!R26)),NOT(ISNUMBER('Price History'!R25)),'Price History'!R25=0),"",'Price History'!R26/'Price History'!R25-1),"")</f>
        <v>0.017825311942959</v>
      </c>
      <c r="S25" s="143" t="n">
        <f aca="false">IFERROR(IF(OR(NOT(ISNUMBER('Price History'!S26)),NOT(ISNUMBER('Price History'!S25)),'Price History'!S25=0),"",'Price History'!S26/'Price History'!S25-1),"")</f>
        <v>0.0210951526032315</v>
      </c>
      <c r="T25" s="143" t="n">
        <f aca="false">IFERROR(IF(OR(NOT(ISNUMBER('Price History'!T26)),NOT(ISNUMBER('Price History'!T25)),'Price History'!T25=0),"",'Price History'!T26/'Price History'!T25-1),"")</f>
        <v>-0.00954400848356307</v>
      </c>
      <c r="U25" s="143" t="str">
        <f aca="false">IFERROR(IF(OR(NOT(ISNUMBER('Price History'!U26)),NOT(ISNUMBER('Price History'!U25)),'Price History'!U25=0),"",'Price History'!U26/'Price History'!U25-1),"")</f>
        <v/>
      </c>
      <c r="V25" s="144" t="n">
        <f aca="false">IFERROR(IF(OR(NOT(ISNUMBER('Price History'!V26)),NOT(ISNUMBER('Price History'!V25)),'Price History'!V25=0),"",'Price History'!V26/'Price History'!V25-1),"")</f>
        <v>0.0255062606276086</v>
      </c>
      <c r="W25" s="145" t="str">
        <f aca="false">IFERROR('Price History'!B3+(INDEX('Price History'!B:B,MATCH(9.99E+307,'Price History'!$A:$A))-'Price History'!B3)*(ROW()-3)/(MATCH(9.99E+307,'Returns (Calc)'!$A:$A)-3),"")</f>
        <v/>
      </c>
      <c r="X25" s="145" t="n">
        <f aca="false">IFERROR('Price History'!C3+(INDEX('Price History'!C:C,MATCH(9.99E+307,'Price History'!$A:$A))-'Price History'!C3)*(ROW()-3)/(MATCH(9.99E+307,'Returns (Calc)'!$A:$A)-3),"")</f>
        <v>39.7903144654088</v>
      </c>
      <c r="Y25" s="145" t="n">
        <f aca="false">IFERROR('Price History'!D3+(INDEX('Price History'!D:D,MATCH(9.99E+307,'Price History'!$A:$A))-'Price History'!D3)*(ROW()-3)/(MATCH(9.99E+307,'Returns (Calc)'!$A:$A)-3),"")</f>
        <v>501.480314465409</v>
      </c>
      <c r="Z25" s="145" t="n">
        <f aca="false">IFERROR('Price History'!E3+(INDEX('Price History'!E:E,MATCH(9.99E+307,'Price History'!$A:$A))-'Price History'!E3)*(ROW()-3)/(MATCH(9.99E+307,'Returns (Calc)'!$A:$A)-3),"")</f>
        <v>70.6540880503145</v>
      </c>
      <c r="AA25" s="145" t="n">
        <f aca="false">IFERROR('Price History'!F3+(INDEX('Price History'!F:F,MATCH(9.99E+307,'Price History'!$A:$A))-'Price History'!F3)*(ROW()-3)/(MATCH(9.99E+307,'Returns (Calc)'!$A:$A)-3),"")</f>
        <v>64.889748427673</v>
      </c>
      <c r="AB25" s="145" t="n">
        <f aca="false">IFERROR('Price History'!G3+(INDEX('Price History'!G:G,MATCH(9.99E+307,'Price History'!$A:$A))-'Price History'!G3)*(ROW()-3)/(MATCH(9.99E+307,'Returns (Calc)'!$A:$A)-3),"")</f>
        <v>35.6372327044025</v>
      </c>
      <c r="AC25" s="145" t="n">
        <f aca="false">IFERROR('Price History'!H3+(INDEX('Price History'!H:H,MATCH(9.99E+307,'Price History'!$A:$A))-'Price History'!H3)*(ROW()-3)/(MATCH(9.99E+307,'Returns (Calc)'!$A:$A)-3),"")</f>
        <v>86.6718867924528</v>
      </c>
      <c r="AD25" s="145" t="n">
        <f aca="false">IFERROR('Price History'!I3+(INDEX('Price History'!I:I,MATCH(9.99E+307,'Price History'!$A:$A))-'Price History'!I3)*(ROW()-3)/(MATCH(9.99E+307,'Returns (Calc)'!$A:$A)-3),"")</f>
        <v>38.2135220125786</v>
      </c>
      <c r="AE25" s="145" t="n">
        <f aca="false">IFERROR('Price History'!J3+(INDEX('Price History'!J:J,MATCH(9.99E+307,'Price History'!$A:$A))-'Price History'!J3)*(ROW()-3)/(MATCH(9.99E+307,'Returns (Calc)'!$A:$A)-3),"")</f>
        <v>59.5476100628931</v>
      </c>
      <c r="AF25" s="145" t="n">
        <f aca="false">IFERROR('Price History'!K3+(INDEX('Price History'!K:K,MATCH(9.99E+307,'Price History'!$A:$A))-'Price History'!K3)*(ROW()-3)/(MATCH(9.99E+307,'Returns (Calc)'!$A:$A)-3),"")</f>
        <v>37.7137735849057</v>
      </c>
      <c r="AG25" s="145" t="n">
        <f aca="false">IFERROR('Price History'!L3+(INDEX('Price History'!L:L,MATCH(9.99E+307,'Price History'!$A:$A))-'Price History'!L3)*(ROW()-3)/(MATCH(9.99E+307,'Returns (Calc)'!$A:$A)-3),"")</f>
        <v>96.3652830188679</v>
      </c>
      <c r="AH25" s="145" t="n">
        <f aca="false">IFERROR('Price History'!M3+(INDEX('Price History'!M:M,MATCH(9.99E+307,'Price History'!$A:$A))-'Price History'!M3)*(ROW()-3)/(MATCH(9.99E+307,'Returns (Calc)'!$A:$A)-3),"")</f>
        <v>13.2088679245283</v>
      </c>
      <c r="AI25" s="145" t="n">
        <f aca="false">IFERROR('Price History'!N3+(INDEX('Price History'!N:N,MATCH(9.99E+307,'Price History'!$A:$A))-'Price History'!N3)*(ROW()-3)/(MATCH(9.99E+307,'Returns (Calc)'!$A:$A)-3),"")</f>
        <v>18.7836477987421</v>
      </c>
      <c r="AJ25" s="145" t="n">
        <f aca="false">IFERROR('Price History'!O3+(INDEX('Price History'!O:O,MATCH(9.99E+307,'Price History'!$A:$A))-'Price History'!O3)*(ROW()-3)/(MATCH(9.99E+307,'Returns (Calc)'!$A:$A)-3),"")</f>
        <v>49.6560377358491</v>
      </c>
      <c r="AK25" s="145" t="n">
        <f aca="false">IFERROR('Price History'!Q3+(INDEX('Price History'!Q:Q,MATCH(9.99E+307,'Price History'!$A:$A))-'Price History'!Q3)*(ROW()-3)/(MATCH(9.99E+307,'Returns (Calc)'!$A:$A)-3),"")</f>
        <v>203.027106918239</v>
      </c>
      <c r="AL25" s="145" t="n">
        <f aca="false">IFERROR('Price History'!R3+(INDEX('Price History'!R:R,MATCH(9.99E+307,'Price History'!$A:$A))-'Price History'!R3)*(ROW()-3)/(MATCH(9.99E+307,'Returns (Calc)'!$A:$A)-3),"")</f>
        <v>41.2033962264151</v>
      </c>
      <c r="AM25" s="145" t="n">
        <f aca="false">IFERROR('Price History'!S3+(INDEX('Price History'!S:S,MATCH(9.99E+307,'Price History'!$A:$A))-'Price History'!S3)*(ROW()-3)/(MATCH(9.99E+307,'Returns (Calc)'!$A:$A)-3),"")</f>
        <v>50.4401257861635</v>
      </c>
      <c r="AN25" s="145" t="n">
        <f aca="false">IFERROR('Price History'!T3+(INDEX('Price History'!T:T,MATCH(9.99E+307,'Price History'!$A:$A))-'Price History'!T3)*(ROW()-3)/(MATCH(9.99E+307,'Returns (Calc)'!$A:$A)-3),"")</f>
        <v>23.1866037735849</v>
      </c>
      <c r="AO25" s="146" t="n">
        <f aca="false">IFERROR('Price History'!V3+(INDEX('Price History'!V:V,MATCH(9.99E+307,'Price History'!$A:$A))-'Price History'!V3)*(ROW()-3)/(MATCH(9.99E+307,'Returns (Calc)'!$A:$A)-3),"")</f>
        <v>0</v>
      </c>
    </row>
    <row r="26" customFormat="false" ht="15" hidden="false" customHeight="true" outlineLevel="0" collapsed="false">
      <c r="A26" s="142" t="n">
        <f aca="false">IF('Price History'!A27="","",'Price History'!A27)</f>
        <v>45352</v>
      </c>
      <c r="B26" s="143" t="n">
        <f aca="false">IFERROR(IF(OR(NOT(ISNUMBER('Price History'!B27)),NOT(ISNUMBER('Price History'!B26)),'Price History'!B26=0),"",'Price History'!B27/'Price History'!B26-1),"")</f>
        <v>0.0316023417172591</v>
      </c>
      <c r="C26" s="143" t="n">
        <f aca="false">IFERROR(IF(OR(NOT(ISNUMBER('Price History'!C27)),NOT(ISNUMBER('Price History'!C26)),'Price History'!C26=0),"",'Price History'!C27/'Price History'!C26-1),"")</f>
        <v>0.0748655110579797</v>
      </c>
      <c r="D26" s="143" t="n">
        <f aca="false">IFERROR(IF(OR(NOT(ISNUMBER('Price History'!D27)),NOT(ISNUMBER('Price History'!D26)),'Price History'!D26=0),"",'Price History'!D27/'Price History'!D26-1),"")</f>
        <v>0.0618088748400363</v>
      </c>
      <c r="E26" s="143" t="n">
        <f aca="false">IFERROR(IF(OR(NOT(ISNUMBER('Price History'!E27)),NOT(ISNUMBER('Price History'!E26)),'Price History'!E26=0),"",'Price History'!E27/'Price History'!E26-1),"")</f>
        <v>0.0793210121361148</v>
      </c>
      <c r="F26" s="143" t="n">
        <f aca="false">IFERROR(IF(OR(NOT(ISNUMBER('Price History'!F27)),NOT(ISNUMBER('Price History'!F26)),'Price History'!F26=0),"",'Price History'!F27/'Price History'!F26-1),"")</f>
        <v>0.0157321977762006</v>
      </c>
      <c r="G26" s="143" t="n">
        <f aca="false">IFERROR(IF(OR(NOT(ISNUMBER('Price History'!G27)),NOT(ISNUMBER('Price History'!G26)),'Price History'!G26=0),"",'Price History'!G27/'Price History'!G26-1),"")</f>
        <v>0.010016694490818</v>
      </c>
      <c r="H26" s="143" t="n">
        <f aca="false">IFERROR(IF(OR(NOT(ISNUMBER('Price History'!H27)),NOT(ISNUMBER('Price History'!H26)),'Price History'!H26=0),"",'Price History'!H27/'Price History'!H26-1),"")</f>
        <v>0.000189447759780359</v>
      </c>
      <c r="I26" s="143" t="n">
        <f aca="false">IFERROR(IF(OR(NOT(ISNUMBER('Price History'!I27)),NOT(ISNUMBER('Price History'!I26)),'Price History'!I26=0),"",'Price History'!I27/'Price History'!I26-1),"")</f>
        <v>0.0729849154350146</v>
      </c>
      <c r="J26" s="143" t="n">
        <f aca="false">IFERROR(IF(OR(NOT(ISNUMBER('Price History'!J27)),NOT(ISNUMBER('Price History'!J26)),'Price History'!J26=0),"",'Price History'!J27/'Price History'!J26-1),"")</f>
        <v>0.106318133864729</v>
      </c>
      <c r="K26" s="143" t="n">
        <f aca="false">IFERROR(IF(OR(NOT(ISNUMBER('Price History'!K27)),NOT(ISNUMBER('Price History'!K26)),'Price History'!K26=0),"",'Price History'!K27/'Price History'!K26-1),"")</f>
        <v>0.0438987148492176</v>
      </c>
      <c r="L26" s="143" t="n">
        <f aca="false">IFERROR(IF(OR(NOT(ISNUMBER('Price History'!L27)),NOT(ISNUMBER('Price History'!L26)),'Price History'!L26=0),"",'Price History'!L27/'Price History'!L26-1),"")</f>
        <v>0.0104337824515282</v>
      </c>
      <c r="M26" s="143" t="n">
        <f aca="false">IFERROR(IF(OR(NOT(ISNUMBER('Price History'!M27)),NOT(ISNUMBER('Price History'!M26)),'Price History'!M26=0),"",'Price History'!M27/'Price History'!M26-1),"")</f>
        <v>0.0853286895951242</v>
      </c>
      <c r="N26" s="143" t="n">
        <f aca="false">IFERROR(IF(OR(NOT(ISNUMBER('Price History'!N27)),NOT(ISNUMBER('Price History'!N26)),'Price History'!N26=0),"",'Price History'!N27/'Price History'!N26-1),"")</f>
        <v>0.00340280731603571</v>
      </c>
      <c r="O26" s="143" t="n">
        <f aca="false">IFERROR(IF(OR(NOT(ISNUMBER('Price History'!O27)),NOT(ISNUMBER('Price History'!O26)),'Price History'!O26=0),"",'Price History'!O27/'Price History'!O26-1),"")</f>
        <v>0.0280958721704394</v>
      </c>
      <c r="P26" s="143" t="n">
        <f aca="false">IFERROR(IF(OR(NOT(ISNUMBER('Price History'!P27)),NOT(ISNUMBER('Price History'!P26)),'Price History'!P26=0),"",'Price History'!P27/'Price History'!P26-1),"")</f>
        <v>0.0337492002559179</v>
      </c>
      <c r="Q26" s="143" t="n">
        <f aca="false">IFERROR(IF(OR(NOT(ISNUMBER('Price History'!Q27)),NOT(ISNUMBER('Price History'!Q26)),'Price History'!Q26=0),"",'Price History'!Q27/'Price History'!Q26-1),"")</f>
        <v>-0.00154503970392728</v>
      </c>
      <c r="R26" s="143" t="n">
        <f aca="false">IFERROR(IF(OR(NOT(ISNUMBER('Price History'!R27)),NOT(ISNUMBER('Price History'!R26)),'Price History'!R26=0),"",'Price History'!R27/'Price History'!R26-1),"")</f>
        <v>0.00778361548939488</v>
      </c>
      <c r="S26" s="143" t="n">
        <f aca="false">IFERROR(IF(OR(NOT(ISNUMBER('Price History'!S27)),NOT(ISNUMBER('Price History'!S26)),'Price History'!S26=0),"",'Price History'!S27/'Price History'!S26-1),"")</f>
        <v>0.0161172161172161</v>
      </c>
      <c r="T26" s="143" t="n">
        <f aca="false">IFERROR(IF(OR(NOT(ISNUMBER('Price History'!T27)),NOT(ISNUMBER('Price History'!T26)),'Price History'!T26=0),"",'Price History'!T27/'Price History'!T26-1),"")</f>
        <v>0.00820842255531762</v>
      </c>
      <c r="U26" s="143" t="str">
        <f aca="false">IFERROR(IF(OR(NOT(ISNUMBER('Price History'!U27)),NOT(ISNUMBER('Price History'!U26)),'Price History'!U26=0),"",'Price History'!U27/'Price History'!U26-1),"")</f>
        <v/>
      </c>
      <c r="V26" s="144" t="n">
        <f aca="false">IFERROR(IF(OR(NOT(ISNUMBER('Price History'!V27)),NOT(ISNUMBER('Price History'!V26)),'Price History'!V26=0),"",'Price History'!V27/'Price History'!V26-1),"")</f>
        <v>-0.0109285498944831</v>
      </c>
      <c r="W26" s="145" t="str">
        <f aca="false">IFERROR('Price History'!B3+(INDEX('Price History'!B:B,MATCH(9.99E+307,'Price History'!$A:$A))-'Price History'!B3)*(ROW()-3)/(MATCH(9.99E+307,'Returns (Calc)'!$A:$A)-3),"")</f>
        <v/>
      </c>
      <c r="X26" s="145" t="n">
        <f aca="false">IFERROR('Price History'!C3+(INDEX('Price History'!C:C,MATCH(9.99E+307,'Price History'!$A:$A))-'Price History'!C3)*(ROW()-3)/(MATCH(9.99E+307,'Returns (Calc)'!$A:$A)-3),"")</f>
        <v>39.4998742138365</v>
      </c>
      <c r="Y26" s="145" t="n">
        <f aca="false">IFERROR('Price History'!D3+(INDEX('Price History'!D:D,MATCH(9.99E+307,'Price History'!$A:$A))-'Price History'!D3)*(ROW()-3)/(MATCH(9.99E+307,'Returns (Calc)'!$A:$A)-3),"")</f>
        <v>497.819874213836</v>
      </c>
      <c r="Z26" s="145" t="n">
        <f aca="false">IFERROR('Price History'!E3+(INDEX('Price History'!E:E,MATCH(9.99E+307,'Price History'!$A:$A))-'Price History'!E3)*(ROW()-3)/(MATCH(9.99E+307,'Returns (Calc)'!$A:$A)-3),"")</f>
        <v>70.1383647798742</v>
      </c>
      <c r="AA26" s="145" t="n">
        <f aca="false">IFERROR('Price History'!F3+(INDEX('Price History'!F:F,MATCH(9.99E+307,'Price History'!$A:$A))-'Price History'!F3)*(ROW()-3)/(MATCH(9.99E+307,'Returns (Calc)'!$A:$A)-3),"")</f>
        <v>64.4161006289308</v>
      </c>
      <c r="AB26" s="145" t="n">
        <f aca="false">IFERROR('Price History'!G3+(INDEX('Price History'!G:G,MATCH(9.99E+307,'Price History'!$A:$A))-'Price History'!G3)*(ROW()-3)/(MATCH(9.99E+307,'Returns (Calc)'!$A:$A)-3),"")</f>
        <v>35.377106918239</v>
      </c>
      <c r="AC26" s="145" t="n">
        <f aca="false">IFERROR('Price History'!H3+(INDEX('Price History'!H:H,MATCH(9.99E+307,'Price History'!$A:$A))-'Price History'!H3)*(ROW()-3)/(MATCH(9.99E+307,'Returns (Calc)'!$A:$A)-3),"")</f>
        <v>86.0392452830189</v>
      </c>
      <c r="AD26" s="145" t="n">
        <f aca="false">IFERROR('Price History'!I3+(INDEX('Price History'!I:I,MATCH(9.99E+307,'Price History'!$A:$A))-'Price History'!I3)*(ROW()-3)/(MATCH(9.99E+307,'Returns (Calc)'!$A:$A)-3),"")</f>
        <v>37.9345911949686</v>
      </c>
      <c r="AE26" s="145" t="n">
        <f aca="false">IFERROR('Price History'!J3+(INDEX('Price History'!J:J,MATCH(9.99E+307,'Price History'!$A:$A))-'Price History'!J3)*(ROW()-3)/(MATCH(9.99E+307,'Returns (Calc)'!$A:$A)-3),"")</f>
        <v>59.1129559748428</v>
      </c>
      <c r="AF26" s="145" t="n">
        <f aca="false">IFERROR('Price History'!K3+(INDEX('Price History'!K:K,MATCH(9.99E+307,'Price History'!$A:$A))-'Price History'!K3)*(ROW()-3)/(MATCH(9.99E+307,'Returns (Calc)'!$A:$A)-3),"")</f>
        <v>37.4384905660377</v>
      </c>
      <c r="AG26" s="145" t="n">
        <f aca="false">IFERROR('Price History'!L3+(INDEX('Price History'!L:L,MATCH(9.99E+307,'Price History'!$A:$A))-'Price History'!L3)*(ROW()-3)/(MATCH(9.99E+307,'Returns (Calc)'!$A:$A)-3),"")</f>
        <v>95.6618867924528</v>
      </c>
      <c r="AH26" s="145" t="n">
        <f aca="false">IFERROR('Price History'!M3+(INDEX('Price History'!M:M,MATCH(9.99E+307,'Price History'!$A:$A))-'Price History'!M3)*(ROW()-3)/(MATCH(9.99E+307,'Returns (Calc)'!$A:$A)-3),"")</f>
        <v>13.1124528301887</v>
      </c>
      <c r="AI26" s="145" t="n">
        <f aca="false">IFERROR('Price History'!N3+(INDEX('Price History'!N:N,MATCH(9.99E+307,'Price History'!$A:$A))-'Price History'!N3)*(ROW()-3)/(MATCH(9.99E+307,'Returns (Calc)'!$A:$A)-3),"")</f>
        <v>18.6465408805031</v>
      </c>
      <c r="AJ26" s="145" t="n">
        <f aca="false">IFERROR('Price History'!O3+(INDEX('Price History'!O:O,MATCH(9.99E+307,'Price History'!$A:$A))-'Price History'!O3)*(ROW()-3)/(MATCH(9.99E+307,'Returns (Calc)'!$A:$A)-3),"")</f>
        <v>49.2935849056604</v>
      </c>
      <c r="AK26" s="145" t="n">
        <f aca="false">IFERROR('Price History'!Q3+(INDEX('Price History'!Q:Q,MATCH(9.99E+307,'Price History'!$A:$A))-'Price History'!Q3)*(ROW()-3)/(MATCH(9.99E+307,'Returns (Calc)'!$A:$A)-3),"")</f>
        <v>201.545157232704</v>
      </c>
      <c r="AL26" s="145" t="n">
        <f aca="false">IFERROR('Price History'!R3+(INDEX('Price History'!R:R,MATCH(9.99E+307,'Price History'!$A:$A))-'Price History'!R3)*(ROW()-3)/(MATCH(9.99E+307,'Returns (Calc)'!$A:$A)-3),"")</f>
        <v>40.902641509434</v>
      </c>
      <c r="AM26" s="145" t="n">
        <f aca="false">IFERROR('Price History'!S3+(INDEX('Price History'!S:S,MATCH(9.99E+307,'Price History'!$A:$A))-'Price History'!S3)*(ROW()-3)/(MATCH(9.99E+307,'Returns (Calc)'!$A:$A)-3),"")</f>
        <v>50.0719496855346</v>
      </c>
      <c r="AN26" s="145" t="n">
        <f aca="false">IFERROR('Price History'!T3+(INDEX('Price History'!T:T,MATCH(9.99E+307,'Price History'!$A:$A))-'Price History'!T3)*(ROW()-3)/(MATCH(9.99E+307,'Returns (Calc)'!$A:$A)-3),"")</f>
        <v>23.017358490566</v>
      </c>
      <c r="AO26" s="146" t="n">
        <f aca="false">IFERROR('Price History'!V3+(INDEX('Price History'!V:V,MATCH(9.99E+307,'Price History'!$A:$A))-'Price History'!V3)*(ROW()-3)/(MATCH(9.99E+307,'Returns (Calc)'!$A:$A)-3),"")</f>
        <v>0</v>
      </c>
    </row>
    <row r="27" customFormat="false" ht="15" hidden="false" customHeight="true" outlineLevel="0" collapsed="false">
      <c r="A27" s="142" t="n">
        <f aca="false">IF('Price History'!A28="","",'Price History'!A28)</f>
        <v>45359</v>
      </c>
      <c r="B27" s="143" t="n">
        <f aca="false">IFERROR(IF(OR(NOT(ISNUMBER('Price History'!B28)),NOT(ISNUMBER('Price History'!B27)),'Price History'!B27=0),"",'Price History'!B28/'Price History'!B27-1),"")</f>
        <v>-0.0336994027288807</v>
      </c>
      <c r="C27" s="143" t="n">
        <f aca="false">IFERROR(IF(OR(NOT(ISNUMBER('Price History'!C28)),NOT(ISNUMBER('Price History'!C27)),'Price History'!C27=0),"",'Price History'!C28/'Price History'!C27-1),"")</f>
        <v>-0.0507437786737106</v>
      </c>
      <c r="D27" s="143" t="n">
        <f aca="false">IFERROR(IF(OR(NOT(ISNUMBER('Price History'!D28)),NOT(ISNUMBER('Price History'!D27)),'Price History'!D27=0),"",'Price History'!D28/'Price History'!D27-1),"")</f>
        <v>0.00343023136034937</v>
      </c>
      <c r="E27" s="143" t="n">
        <f aca="false">IFERROR(IF(OR(NOT(ISNUMBER('Price History'!E28)),NOT(ISNUMBER('Price History'!E27)),'Price History'!E27=0),"",'Price History'!E28/'Price History'!E27-1),"")</f>
        <v>-0.0646725949878739</v>
      </c>
      <c r="F27" s="143" t="n">
        <f aca="false">IFERROR(IF(OR(NOT(ISNUMBER('Price History'!F28)),NOT(ISNUMBER('Price History'!F27)),'Price History'!F27=0),"",'Price History'!F28/'Price History'!F27-1),"")</f>
        <v>0.00116455106556423</v>
      </c>
      <c r="G27" s="143" t="n">
        <f aca="false">IFERROR(IF(OR(NOT(ISNUMBER('Price History'!G28)),NOT(ISNUMBER('Price History'!G27)),'Price History'!G27=0),"",'Price History'!G28/'Price History'!G27-1),"")</f>
        <v>0.0261919898283534</v>
      </c>
      <c r="H27" s="143" t="n">
        <f aca="false">IFERROR(IF(OR(NOT(ISNUMBER('Price History'!H28)),NOT(ISNUMBER('Price History'!H27)),'Price History'!H27=0),"",'Price History'!H28/'Price History'!H27-1),"")</f>
        <v>0.0267070745335731</v>
      </c>
      <c r="I27" s="143" t="n">
        <f aca="false">IFERROR(IF(OR(NOT(ISNUMBER('Price History'!I28)),NOT(ISNUMBER('Price History'!I27)),'Price History'!I27=0),"",'Price History'!I28/'Price History'!I27-1),"")</f>
        <v>-0.0255609201931269</v>
      </c>
      <c r="J27" s="143" t="n">
        <f aca="false">IFERROR(IF(OR(NOT(ISNUMBER('Price History'!J28)),NOT(ISNUMBER('Price History'!J27)),'Price History'!J27=0),"",'Price History'!J28/'Price History'!J27-1),"")</f>
        <v>0.0259588895952532</v>
      </c>
      <c r="K27" s="143" t="n">
        <f aca="false">IFERROR(IF(OR(NOT(ISNUMBER('Price History'!K28)),NOT(ISNUMBER('Price History'!K27)),'Price History'!K27=0),"",'Price History'!K28/'Price History'!K27-1),"")</f>
        <v>0.0638712823013163</v>
      </c>
      <c r="L27" s="143" t="n">
        <f aca="false">IFERROR(IF(OR(NOT(ISNUMBER('Price History'!L28)),NOT(ISNUMBER('Price History'!L27)),'Price History'!L27=0),"",'Price History'!L28/'Price History'!L27-1),"")</f>
        <v>0.00349621920481336</v>
      </c>
      <c r="M27" s="143" t="n">
        <f aca="false">IFERROR(IF(OR(NOT(ISNUMBER('Price History'!M28)),NOT(ISNUMBER('Price History'!M27)),'Price History'!M27=0),"",'Price History'!M28/'Price History'!M27-1),"")</f>
        <v>0.0445246690734056</v>
      </c>
      <c r="N27" s="143" t="n">
        <f aca="false">IFERROR(IF(OR(NOT(ISNUMBER('Price History'!N28)),NOT(ISNUMBER('Price History'!N27)),'Price History'!N27=0),"",'Price History'!N28/'Price History'!N27-1),"")</f>
        <v>0.00339126748622309</v>
      </c>
      <c r="O27" s="143" t="n">
        <f aca="false">IFERROR(IF(OR(NOT(ISNUMBER('Price History'!O28)),NOT(ISNUMBER('Price History'!O27)),'Price History'!O27=0),"",'Price History'!O28/'Price History'!O27-1),"")</f>
        <v>0.00388550705867141</v>
      </c>
      <c r="P27" s="143" t="n">
        <f aca="false">IFERROR(IF(OR(NOT(ISNUMBER('Price History'!P28)),NOT(ISNUMBER('Price History'!P27)),'Price History'!P27=0),"",'Price History'!P28/'Price History'!P27-1),"")</f>
        <v>0.0931455980194957</v>
      </c>
      <c r="Q27" s="143" t="n">
        <f aca="false">IFERROR(IF(OR(NOT(ISNUMBER('Price History'!Q28)),NOT(ISNUMBER('Price History'!Q27)),'Price History'!Q27=0),"",'Price History'!Q28/'Price History'!Q27-1),"")</f>
        <v>-0.0110119476032819</v>
      </c>
      <c r="R27" s="143" t="n">
        <f aca="false">IFERROR(IF(OR(NOT(ISNUMBER('Price History'!R28)),NOT(ISNUMBER('Price History'!R27)),'Price History'!R27=0),"",'Price History'!R28/'Price History'!R27-1),"")</f>
        <v>0.00289631202934926</v>
      </c>
      <c r="S27" s="143" t="n">
        <f aca="false">IFERROR(IF(OR(NOT(ISNUMBER('Price History'!S28)),NOT(ISNUMBER('Price History'!S27)),'Price History'!S27=0),"",'Price History'!S28/'Price History'!S27-1),"")</f>
        <v>0.0457101658255228</v>
      </c>
      <c r="T27" s="143" t="n">
        <f aca="false">IFERROR(IF(OR(NOT(ISNUMBER('Price History'!T28)),NOT(ISNUMBER('Price History'!T27)),'Price History'!T27=0),"",'Price History'!T28/'Price History'!T27-1),"")</f>
        <v>0.00955752212389371</v>
      </c>
      <c r="U27" s="143" t="str">
        <f aca="false">IFERROR(IF(OR(NOT(ISNUMBER('Price History'!U28)),NOT(ISNUMBER('Price History'!U27)),'Price History'!U27=0),"",'Price History'!U28/'Price History'!U27-1),"")</f>
        <v/>
      </c>
      <c r="V27" s="144" t="n">
        <f aca="false">IFERROR(IF(OR(NOT(ISNUMBER('Price History'!V28)),NOT(ISNUMBER('Price History'!V27)),'Price History'!V27=0),"",'Price History'!V28/'Price History'!V27-1),"")</f>
        <v>0.0344814447915873</v>
      </c>
      <c r="W27" s="145" t="str">
        <f aca="false">IFERROR('Price History'!B3+(INDEX('Price History'!B:B,MATCH(9.99E+307,'Price History'!$A:$A))-'Price History'!B3)*(ROW()-3)/(MATCH(9.99E+307,'Returns (Calc)'!$A:$A)-3),"")</f>
        <v/>
      </c>
      <c r="X27" s="145" t="n">
        <f aca="false">IFERROR('Price History'!C3+(INDEX('Price History'!C:C,MATCH(9.99E+307,'Price History'!$A:$A))-'Price History'!C3)*(ROW()-3)/(MATCH(9.99E+307,'Returns (Calc)'!$A:$A)-3),"")</f>
        <v>39.2094339622642</v>
      </c>
      <c r="Y27" s="145" t="n">
        <f aca="false">IFERROR('Price History'!D3+(INDEX('Price History'!D:D,MATCH(9.99E+307,'Price History'!$A:$A))-'Price History'!D3)*(ROW()-3)/(MATCH(9.99E+307,'Returns (Calc)'!$A:$A)-3),"")</f>
        <v>494.159433962264</v>
      </c>
      <c r="Z27" s="145" t="n">
        <f aca="false">IFERROR('Price History'!E3+(INDEX('Price History'!E:E,MATCH(9.99E+307,'Price History'!$A:$A))-'Price History'!E3)*(ROW()-3)/(MATCH(9.99E+307,'Returns (Calc)'!$A:$A)-3),"")</f>
        <v>69.622641509434</v>
      </c>
      <c r="AA27" s="145" t="n">
        <f aca="false">IFERROR('Price History'!F3+(INDEX('Price History'!F:F,MATCH(9.99E+307,'Price History'!$A:$A))-'Price History'!F3)*(ROW()-3)/(MATCH(9.99E+307,'Returns (Calc)'!$A:$A)-3),"")</f>
        <v>63.9424528301887</v>
      </c>
      <c r="AB27" s="145" t="n">
        <f aca="false">IFERROR('Price History'!G3+(INDEX('Price History'!G:G,MATCH(9.99E+307,'Price History'!$A:$A))-'Price History'!G3)*(ROW()-3)/(MATCH(9.99E+307,'Returns (Calc)'!$A:$A)-3),"")</f>
        <v>35.1169811320755</v>
      </c>
      <c r="AC27" s="145" t="n">
        <f aca="false">IFERROR('Price History'!H3+(INDEX('Price History'!H:H,MATCH(9.99E+307,'Price History'!$A:$A))-'Price History'!H3)*(ROW()-3)/(MATCH(9.99E+307,'Returns (Calc)'!$A:$A)-3),"")</f>
        <v>85.4066037735849</v>
      </c>
      <c r="AD27" s="145" t="n">
        <f aca="false">IFERROR('Price History'!I3+(INDEX('Price History'!I:I,MATCH(9.99E+307,'Price History'!$A:$A))-'Price History'!I3)*(ROW()-3)/(MATCH(9.99E+307,'Returns (Calc)'!$A:$A)-3),"")</f>
        <v>37.6556603773585</v>
      </c>
      <c r="AE27" s="145" t="n">
        <f aca="false">IFERROR('Price History'!J3+(INDEX('Price History'!J:J,MATCH(9.99E+307,'Price History'!$A:$A))-'Price History'!J3)*(ROW()-3)/(MATCH(9.99E+307,'Returns (Calc)'!$A:$A)-3),"")</f>
        <v>58.6783018867925</v>
      </c>
      <c r="AF27" s="145" t="n">
        <f aca="false">IFERROR('Price History'!K3+(INDEX('Price History'!K:K,MATCH(9.99E+307,'Price History'!$A:$A))-'Price History'!K3)*(ROW()-3)/(MATCH(9.99E+307,'Returns (Calc)'!$A:$A)-3),"")</f>
        <v>37.1632075471698</v>
      </c>
      <c r="AG27" s="145" t="n">
        <f aca="false">IFERROR('Price History'!L3+(INDEX('Price History'!L:L,MATCH(9.99E+307,'Price History'!$A:$A))-'Price History'!L3)*(ROW()-3)/(MATCH(9.99E+307,'Returns (Calc)'!$A:$A)-3),"")</f>
        <v>94.9584905660377</v>
      </c>
      <c r="AH27" s="145" t="n">
        <f aca="false">IFERROR('Price History'!M3+(INDEX('Price History'!M:M,MATCH(9.99E+307,'Price History'!$A:$A))-'Price History'!M3)*(ROW()-3)/(MATCH(9.99E+307,'Returns (Calc)'!$A:$A)-3),"")</f>
        <v>13.0160377358491</v>
      </c>
      <c r="AI27" s="145" t="n">
        <f aca="false">IFERROR('Price History'!N3+(INDEX('Price History'!N:N,MATCH(9.99E+307,'Price History'!$A:$A))-'Price History'!N3)*(ROW()-3)/(MATCH(9.99E+307,'Returns (Calc)'!$A:$A)-3),"")</f>
        <v>18.5094339622642</v>
      </c>
      <c r="AJ27" s="145" t="n">
        <f aca="false">IFERROR('Price History'!O3+(INDEX('Price History'!O:O,MATCH(9.99E+307,'Price History'!$A:$A))-'Price History'!O3)*(ROW()-3)/(MATCH(9.99E+307,'Returns (Calc)'!$A:$A)-3),"")</f>
        <v>48.9311320754717</v>
      </c>
      <c r="AK27" s="145" t="n">
        <f aca="false">IFERROR('Price History'!Q3+(INDEX('Price History'!Q:Q,MATCH(9.99E+307,'Price History'!$A:$A))-'Price History'!Q3)*(ROW()-3)/(MATCH(9.99E+307,'Returns (Calc)'!$A:$A)-3),"")</f>
        <v>200.06320754717</v>
      </c>
      <c r="AL27" s="145" t="n">
        <f aca="false">IFERROR('Price History'!R3+(INDEX('Price History'!R:R,MATCH(9.99E+307,'Price History'!$A:$A))-'Price History'!R3)*(ROW()-3)/(MATCH(9.99E+307,'Returns (Calc)'!$A:$A)-3),"")</f>
        <v>40.6018867924528</v>
      </c>
      <c r="AM27" s="145" t="n">
        <f aca="false">IFERROR('Price History'!S3+(INDEX('Price History'!S:S,MATCH(9.99E+307,'Price History'!$A:$A))-'Price History'!S3)*(ROW()-3)/(MATCH(9.99E+307,'Returns (Calc)'!$A:$A)-3),"")</f>
        <v>49.7037735849057</v>
      </c>
      <c r="AN27" s="145" t="n">
        <f aca="false">IFERROR('Price History'!T3+(INDEX('Price History'!T:T,MATCH(9.99E+307,'Price History'!$A:$A))-'Price History'!T3)*(ROW()-3)/(MATCH(9.99E+307,'Returns (Calc)'!$A:$A)-3),"")</f>
        <v>22.8481132075472</v>
      </c>
      <c r="AO27" s="146" t="n">
        <f aca="false">IFERROR('Price History'!V3+(INDEX('Price History'!V:V,MATCH(9.99E+307,'Price History'!$A:$A))-'Price History'!V3)*(ROW()-3)/(MATCH(9.99E+307,'Returns (Calc)'!$A:$A)-3),"")</f>
        <v>0</v>
      </c>
    </row>
    <row r="28" customFormat="false" ht="15" hidden="false" customHeight="true" outlineLevel="0" collapsed="false">
      <c r="A28" s="142" t="n">
        <f aca="false">IF('Price History'!A29="","",'Price History'!A29)</f>
        <v>45366</v>
      </c>
      <c r="B28" s="143" t="n">
        <f aca="false">IFERROR(IF(OR(NOT(ISNUMBER('Price History'!B29)),NOT(ISNUMBER('Price History'!B28)),'Price History'!B28=0),"",'Price History'!B29/'Price History'!B28-1),"")</f>
        <v>-0.107361017962987</v>
      </c>
      <c r="C28" s="143" t="n">
        <f aca="false">IFERROR(IF(OR(NOT(ISNUMBER('Price History'!C29)),NOT(ISNUMBER('Price History'!C28)),'Price History'!C28=0),"",'Price History'!C29/'Price History'!C28-1),"")</f>
        <v>0.0168424135910956</v>
      </c>
      <c r="D28" s="143" t="n">
        <f aca="false">IFERROR(IF(OR(NOT(ISNUMBER('Price History'!D29)),NOT(ISNUMBER('Price History'!D28)),'Price History'!D28=0),"",'Price History'!D29/'Price History'!D28-1),"")</f>
        <v>-0.054429171243494</v>
      </c>
      <c r="E28" s="143" t="n">
        <f aca="false">IFERROR(IF(OR(NOT(ISNUMBER('Price History'!E29)),NOT(ISNUMBER('Price History'!E28)),'Price History'!E28=0),"",'Price History'!E29/'Price History'!E28-1),"")</f>
        <v>-0.0559440559440558</v>
      </c>
      <c r="F28" s="143" t="n">
        <f aca="false">IFERROR(IF(OR(NOT(ISNUMBER('Price History'!F29)),NOT(ISNUMBER('Price History'!F28)),'Price History'!F28=0),"",'Price History'!F29/'Price History'!F28-1),"")</f>
        <v>-0.00849133418634407</v>
      </c>
      <c r="G28" s="143" t="n">
        <f aca="false">IFERROR(IF(OR(NOT(ISNUMBER('Price History'!G29)),NOT(ISNUMBER('Price History'!G28)),'Price History'!G28=0),"",'Price History'!G29/'Price History'!G28-1),"")</f>
        <v>-0.0223020691364143</v>
      </c>
      <c r="H28" s="143" t="n">
        <f aca="false">IFERROR(IF(OR(NOT(ISNUMBER('Price History'!H29)),NOT(ISNUMBER('Price History'!H28)),'Price History'!H28=0),"",'Price History'!H29/'Price History'!H28-1),"")</f>
        <v>-0.0032284844571534</v>
      </c>
      <c r="I28" s="143" t="n">
        <f aca="false">IFERROR(IF(OR(NOT(ISNUMBER('Price History'!I29)),NOT(ISNUMBER('Price History'!I28)),'Price History'!I28=0),"",'Price History'!I29/'Price History'!I28-1),"")</f>
        <v>-0.0220052462838823</v>
      </c>
      <c r="J28" s="143" t="n">
        <f aca="false">IFERROR(IF(OR(NOT(ISNUMBER('Price History'!J29)),NOT(ISNUMBER('Price History'!J28)),'Price History'!J28=0),"",'Price History'!J29/'Price History'!J28-1),"")</f>
        <v>-0.044717546215016</v>
      </c>
      <c r="K28" s="143" t="n">
        <f aca="false">IFERROR(IF(OR(NOT(ISNUMBER('Price History'!K29)),NOT(ISNUMBER('Price History'!K28)),'Price History'!K28=0),"",'Price History'!K29/'Price History'!K28-1),"")</f>
        <v>0.00355178735105421</v>
      </c>
      <c r="L28" s="143" t="n">
        <f aca="false">IFERROR(IF(OR(NOT(ISNUMBER('Price History'!L29)),NOT(ISNUMBER('Price History'!L28)),'Price History'!L28=0),"",'Price History'!L29/'Price History'!L28-1),"")</f>
        <v>-0.037757251660995</v>
      </c>
      <c r="M28" s="143" t="n">
        <f aca="false">IFERROR(IF(OR(NOT(ISNUMBER('Price History'!M29)),NOT(ISNUMBER('Price History'!M28)),'Price History'!M28=0),"",'Price History'!M29/'Price History'!M28-1),"")</f>
        <v>-0.097926267281106</v>
      </c>
      <c r="N28" s="143" t="n">
        <f aca="false">IFERROR(IF(OR(NOT(ISNUMBER('Price History'!N29)),NOT(ISNUMBER('Price History'!N28)),'Price History'!N28=0),"",'Price History'!N29/'Price History'!N28-1),"")</f>
        <v>0.00168990283058723</v>
      </c>
      <c r="O28" s="143" t="n">
        <f aca="false">IFERROR(IF(OR(NOT(ISNUMBER('Price History'!O29)),NOT(ISNUMBER('Price History'!O28)),'Price History'!O28=0),"",'Price History'!O29/'Price History'!O28-1),"")</f>
        <v>-0.00516062443555676</v>
      </c>
      <c r="P28" s="143" t="n">
        <f aca="false">IFERROR(IF(OR(NOT(ISNUMBER('Price History'!P29)),NOT(ISNUMBER('Price History'!P28)),'Price History'!P28=0),"",'Price History'!P29/'Price History'!P28-1),"")</f>
        <v>-0.0641896673743809</v>
      </c>
      <c r="Q28" s="143" t="n">
        <f aca="false">IFERROR(IF(OR(NOT(ISNUMBER('Price History'!Q29)),NOT(ISNUMBER('Price History'!Q28)),'Price History'!Q28=0),"",'Price History'!Q29/'Price History'!Q28-1),"")</f>
        <v>0.0106979113601631</v>
      </c>
      <c r="R28" s="143" t="n">
        <f aca="false">IFERROR(IF(OR(NOT(ISNUMBER('Price History'!R29)),NOT(ISNUMBER('Price History'!R28)),'Price History'!R28=0),"",'Price History'!R29/'Price History'!R28-1),"")</f>
        <v>0.0105891413169041</v>
      </c>
      <c r="S28" s="143" t="n">
        <f aca="false">IFERROR(IF(OR(NOT(ISNUMBER('Price History'!S29)),NOT(ISNUMBER('Price History'!S28)),'Price History'!S28=0),"",'Price History'!S29/'Price History'!S28-1),"")</f>
        <v>0.0238554881412025</v>
      </c>
      <c r="T28" s="143" t="n">
        <f aca="false">IFERROR(IF(OR(NOT(ISNUMBER('Price History'!T29)),NOT(ISNUMBER('Price History'!T28)),'Price History'!T28=0),"",'Price History'!T29/'Price History'!T28-1),"")</f>
        <v>0.0038569424964936</v>
      </c>
      <c r="U28" s="143" t="str">
        <f aca="false">IFERROR(IF(OR(NOT(ISNUMBER('Price History'!U29)),NOT(ISNUMBER('Price History'!U28)),'Price History'!U28=0),"",'Price History'!U29/'Price History'!U28-1),"")</f>
        <v/>
      </c>
      <c r="V28" s="144" t="n">
        <f aca="false">IFERROR(IF(OR(NOT(ISNUMBER('Price History'!V29)),NOT(ISNUMBER('Price History'!V28)),'Price History'!V28=0),"",'Price History'!V29/'Price History'!V28-1),"")</f>
        <v>-0.000847114286766648</v>
      </c>
      <c r="W28" s="145" t="str">
        <f aca="false">IFERROR('Price History'!B3+(INDEX('Price History'!B:B,MATCH(9.99E+307,'Price History'!$A:$A))-'Price History'!B3)*(ROW()-3)/(MATCH(9.99E+307,'Returns (Calc)'!$A:$A)-3),"")</f>
        <v/>
      </c>
      <c r="X28" s="145" t="n">
        <f aca="false">IFERROR('Price History'!C3+(INDEX('Price History'!C:C,MATCH(9.99E+307,'Price History'!$A:$A))-'Price History'!C3)*(ROW()-3)/(MATCH(9.99E+307,'Returns (Calc)'!$A:$A)-3),"")</f>
        <v>38.9189937106918</v>
      </c>
      <c r="Y28" s="145" t="n">
        <f aca="false">IFERROR('Price History'!D3+(INDEX('Price History'!D:D,MATCH(9.99E+307,'Price History'!$A:$A))-'Price History'!D3)*(ROW()-3)/(MATCH(9.99E+307,'Returns (Calc)'!$A:$A)-3),"")</f>
        <v>490.498993710692</v>
      </c>
      <c r="Z28" s="145" t="n">
        <f aca="false">IFERROR('Price History'!E3+(INDEX('Price History'!E:E,MATCH(9.99E+307,'Price History'!$A:$A))-'Price History'!E3)*(ROW()-3)/(MATCH(9.99E+307,'Returns (Calc)'!$A:$A)-3),"")</f>
        <v>69.1069182389937</v>
      </c>
      <c r="AA28" s="145" t="n">
        <f aca="false">IFERROR('Price History'!F3+(INDEX('Price History'!F:F,MATCH(9.99E+307,'Price History'!$A:$A))-'Price History'!F3)*(ROW()-3)/(MATCH(9.99E+307,'Returns (Calc)'!$A:$A)-3),"")</f>
        <v>63.4688050314465</v>
      </c>
      <c r="AB28" s="145" t="n">
        <f aca="false">IFERROR('Price History'!G3+(INDEX('Price History'!G:G,MATCH(9.99E+307,'Price History'!$A:$A))-'Price History'!G3)*(ROW()-3)/(MATCH(9.99E+307,'Returns (Calc)'!$A:$A)-3),"")</f>
        <v>34.856855345912</v>
      </c>
      <c r="AC28" s="145" t="n">
        <f aca="false">IFERROR('Price History'!H3+(INDEX('Price History'!H:H,MATCH(9.99E+307,'Price History'!$A:$A))-'Price History'!H3)*(ROW()-3)/(MATCH(9.99E+307,'Returns (Calc)'!$A:$A)-3),"")</f>
        <v>84.773962264151</v>
      </c>
      <c r="AD28" s="145" t="n">
        <f aca="false">IFERROR('Price History'!I3+(INDEX('Price History'!I:I,MATCH(9.99E+307,'Price History'!$A:$A))-'Price History'!I3)*(ROW()-3)/(MATCH(9.99E+307,'Returns (Calc)'!$A:$A)-3),"")</f>
        <v>37.3767295597484</v>
      </c>
      <c r="AE28" s="145" t="n">
        <f aca="false">IFERROR('Price History'!J3+(INDEX('Price History'!J:J,MATCH(9.99E+307,'Price History'!$A:$A))-'Price History'!J3)*(ROW()-3)/(MATCH(9.99E+307,'Returns (Calc)'!$A:$A)-3),"")</f>
        <v>58.2436477987421</v>
      </c>
      <c r="AF28" s="145" t="n">
        <f aca="false">IFERROR('Price History'!K3+(INDEX('Price History'!K:K,MATCH(9.99E+307,'Price History'!$A:$A))-'Price History'!K3)*(ROW()-3)/(MATCH(9.99E+307,'Returns (Calc)'!$A:$A)-3),"")</f>
        <v>36.8879245283019</v>
      </c>
      <c r="AG28" s="145" t="n">
        <f aca="false">IFERROR('Price History'!L3+(INDEX('Price History'!L:L,MATCH(9.99E+307,'Price History'!$A:$A))-'Price History'!L3)*(ROW()-3)/(MATCH(9.99E+307,'Returns (Calc)'!$A:$A)-3),"")</f>
        <v>94.2550943396226</v>
      </c>
      <c r="AH28" s="145" t="n">
        <f aca="false">IFERROR('Price History'!M3+(INDEX('Price History'!M:M,MATCH(9.99E+307,'Price History'!$A:$A))-'Price History'!M3)*(ROW()-3)/(MATCH(9.99E+307,'Returns (Calc)'!$A:$A)-3),"")</f>
        <v>12.9196226415094</v>
      </c>
      <c r="AI28" s="145" t="n">
        <f aca="false">IFERROR('Price History'!N3+(INDEX('Price History'!N:N,MATCH(9.99E+307,'Price History'!$A:$A))-'Price History'!N3)*(ROW()-3)/(MATCH(9.99E+307,'Returns (Calc)'!$A:$A)-3),"")</f>
        <v>18.3723270440252</v>
      </c>
      <c r="AJ28" s="145" t="n">
        <f aca="false">IFERROR('Price History'!O3+(INDEX('Price History'!O:O,MATCH(9.99E+307,'Price History'!$A:$A))-'Price History'!O3)*(ROW()-3)/(MATCH(9.99E+307,'Returns (Calc)'!$A:$A)-3),"")</f>
        <v>48.568679245283</v>
      </c>
      <c r="AK28" s="145" t="n">
        <f aca="false">IFERROR('Price History'!Q3+(INDEX('Price History'!Q:Q,MATCH(9.99E+307,'Price History'!$A:$A))-'Price History'!Q3)*(ROW()-3)/(MATCH(9.99E+307,'Returns (Calc)'!$A:$A)-3),"")</f>
        <v>198.581257861635</v>
      </c>
      <c r="AL28" s="145" t="n">
        <f aca="false">IFERROR('Price History'!R3+(INDEX('Price History'!R:R,MATCH(9.99E+307,'Price History'!$A:$A))-'Price History'!R3)*(ROW()-3)/(MATCH(9.99E+307,'Returns (Calc)'!$A:$A)-3),"")</f>
        <v>40.3011320754717</v>
      </c>
      <c r="AM28" s="145" t="n">
        <f aca="false">IFERROR('Price History'!S3+(INDEX('Price History'!S:S,MATCH(9.99E+307,'Price History'!$A:$A))-'Price History'!S3)*(ROW()-3)/(MATCH(9.99E+307,'Returns (Calc)'!$A:$A)-3),"")</f>
        <v>49.3355974842767</v>
      </c>
      <c r="AN28" s="145" t="n">
        <f aca="false">IFERROR('Price History'!T3+(INDEX('Price History'!T:T,MATCH(9.99E+307,'Price History'!$A:$A))-'Price History'!T3)*(ROW()-3)/(MATCH(9.99E+307,'Returns (Calc)'!$A:$A)-3),"")</f>
        <v>22.6788679245283</v>
      </c>
      <c r="AO28" s="146" t="n">
        <f aca="false">IFERROR('Price History'!V3+(INDEX('Price History'!V:V,MATCH(9.99E+307,'Price History'!$A:$A))-'Price History'!V3)*(ROW()-3)/(MATCH(9.99E+307,'Returns (Calc)'!$A:$A)-3),"")</f>
        <v>0</v>
      </c>
    </row>
    <row r="29" customFormat="false" ht="15" hidden="false" customHeight="true" outlineLevel="0" collapsed="false">
      <c r="A29" s="142" t="n">
        <f aca="false">IF('Price History'!A30="","",'Price History'!A30)</f>
        <v>45373</v>
      </c>
      <c r="B29" s="143" t="n">
        <f aca="false">IFERROR(IF(OR(NOT(ISNUMBER('Price History'!B30)),NOT(ISNUMBER('Price History'!B29)),'Price History'!B29=0),"",'Price History'!B30/'Price History'!B29-1),"")</f>
        <v>0.0143361897412988</v>
      </c>
      <c r="C29" s="143" t="n">
        <f aca="false">IFERROR(IF(OR(NOT(ISNUMBER('Price History'!C30)),NOT(ISNUMBER('Price History'!C29)),'Price History'!C29=0),"",'Price History'!C30/'Price History'!C29-1),"")</f>
        <v>0.103413510010082</v>
      </c>
      <c r="D29" s="143" t="n">
        <f aca="false">IFERROR(IF(OR(NOT(ISNUMBER('Price History'!D30)),NOT(ISNUMBER('Price History'!D29)),'Price History'!D29=0),"",'Price History'!D30/'Price History'!D29-1),"")</f>
        <v>0.042275999088037</v>
      </c>
      <c r="E29" s="143" t="n">
        <f aca="false">IFERROR(IF(OR(NOT(ISNUMBER('Price History'!E30)),NOT(ISNUMBER('Price History'!E29)),'Price History'!E29=0),"",'Price History'!E30/'Price History'!E29-1),"")</f>
        <v>0.100208073241781</v>
      </c>
      <c r="F29" s="143" t="n">
        <f aca="false">IFERROR(IF(OR(NOT(ISNUMBER('Price History'!F30)),NOT(ISNUMBER('Price History'!F29)),'Price History'!F29=0),"",'Price History'!F30/'Price History'!F29-1),"")</f>
        <v>0.0273345847020179</v>
      </c>
      <c r="G29" s="143" t="n">
        <f aca="false">IFERROR(IF(OR(NOT(ISNUMBER('Price History'!G30)),NOT(ISNUMBER('Price History'!G29)),'Price History'!G29=0),"",'Price History'!G30/'Price History'!G29-1),"")</f>
        <v>0.037764541883158</v>
      </c>
      <c r="H29" s="143" t="n">
        <f aca="false">IFERROR(IF(OR(NOT(ISNUMBER('Price History'!H30)),NOT(ISNUMBER('Price History'!H29)),'Price History'!H29=0),"",'Price History'!H30/'Price History'!H29-1),"")</f>
        <v>0.0161947066444568</v>
      </c>
      <c r="I29" s="143" t="n">
        <f aca="false">IFERROR(IF(OR(NOT(ISNUMBER('Price History'!I30)),NOT(ISNUMBER('Price History'!I29)),'Price History'!I29=0),"",'Price History'!I30/'Price History'!I29-1),"")</f>
        <v>0.0390403814632694</v>
      </c>
      <c r="J29" s="143" t="n">
        <f aca="false">IFERROR(IF(OR(NOT(ISNUMBER('Price History'!J30)),NOT(ISNUMBER('Price History'!J29)),'Price History'!J29=0),"",'Price History'!J30/'Price History'!J29-1),"")</f>
        <v>0.181837837837838</v>
      </c>
      <c r="K29" s="143" t="n">
        <f aca="false">IFERROR(IF(OR(NOT(ISNUMBER('Price History'!K30)),NOT(ISNUMBER('Price History'!K29)),'Price History'!K29=0),"",'Price History'!K30/'Price History'!K29-1),"")</f>
        <v>0.0734102066445941</v>
      </c>
      <c r="L29" s="143" t="n">
        <f aca="false">IFERROR(IF(OR(NOT(ISNUMBER('Price History'!L30)),NOT(ISNUMBER('Price History'!L29)),'Price History'!L29=0),"",'Price History'!L30/'Price History'!L29-1),"")</f>
        <v>-0.00303132367800607</v>
      </c>
      <c r="M29" s="143" t="n">
        <f aca="false">IFERROR(IF(OR(NOT(ISNUMBER('Price History'!M30)),NOT(ISNUMBER('Price History'!M29)),'Price History'!M29=0),"",'Price History'!M30/'Price History'!M29-1),"")</f>
        <v>0.029374201787995</v>
      </c>
      <c r="N29" s="143" t="n">
        <f aca="false">IFERROR(IF(OR(NOT(ISNUMBER('Price History'!N30)),NOT(ISNUMBER('Price History'!N29)),'Price History'!N29=0),"",'Price History'!N30/'Price History'!N29-1),"")</f>
        <v>0.0185575706452972</v>
      </c>
      <c r="O29" s="143" t="n">
        <f aca="false">IFERROR(IF(OR(NOT(ISNUMBER('Price History'!O30)),NOT(ISNUMBER('Price History'!O29)),'Price History'!O29=0),"",'Price History'!O30/'Price History'!O29-1),"")</f>
        <v>0.0300868888600701</v>
      </c>
      <c r="P29" s="143" t="n">
        <f aca="false">IFERROR(IF(OR(NOT(ISNUMBER('Price History'!P30)),NOT(ISNUMBER('Price History'!P29)),'Price History'!P29=0),"",'Price History'!P30/'Price History'!P29-1),"")</f>
        <v>0.0301746956061408</v>
      </c>
      <c r="Q29" s="143" t="n">
        <f aca="false">IFERROR(IF(OR(NOT(ISNUMBER('Price History'!Q30)),NOT(ISNUMBER('Price History'!Q29)),'Price History'!Q29=0),"",'Price History'!Q30/'Price History'!Q29-1),"")</f>
        <v>0.000792050691244439</v>
      </c>
      <c r="R29" s="143" t="n">
        <f aca="false">IFERROR(IF(OR(NOT(ISNUMBER('Price History'!R30)),NOT(ISNUMBER('Price History'!R29)),'Price History'!R29=0),"",'Price History'!R30/'Price History'!R29-1),"")</f>
        <v>-0.00323871213564497</v>
      </c>
      <c r="S29" s="143" t="n">
        <f aca="false">IFERROR(IF(OR(NOT(ISNUMBER('Price History'!S30)),NOT(ISNUMBER('Price History'!S29)),'Price History'!S29=0),"",'Price History'!S30/'Price History'!S29-1),"")</f>
        <v>0.00835016835016833</v>
      </c>
      <c r="T29" s="143" t="n">
        <f aca="false">IFERROR(IF(OR(NOT(ISNUMBER('Price History'!T30)),NOT(ISNUMBER('Price History'!T29)),'Price History'!T29=0),"",'Price History'!T30/'Price History'!T29-1),"")</f>
        <v>0.00838281522878104</v>
      </c>
      <c r="U29" s="143" t="str">
        <f aca="false">IFERROR(IF(OR(NOT(ISNUMBER('Price History'!U30)),NOT(ISNUMBER('Price History'!U29)),'Price History'!U29=0),"",'Price History'!U30/'Price History'!U29-1),"")</f>
        <v/>
      </c>
      <c r="V29" s="144" t="n">
        <f aca="false">IFERROR(IF(OR(NOT(ISNUMBER('Price History'!V30)),NOT(ISNUMBER('Price History'!V29)),'Price History'!V29=0),"",'Price History'!V30/'Price History'!V29-1),"")</f>
        <v>0.00770421704511959</v>
      </c>
      <c r="W29" s="145" t="str">
        <f aca="false">IFERROR('Price History'!B3+(INDEX('Price History'!B:B,MATCH(9.99E+307,'Price History'!$A:$A))-'Price History'!B3)*(ROW()-3)/(MATCH(9.99E+307,'Returns (Calc)'!$A:$A)-3),"")</f>
        <v/>
      </c>
      <c r="X29" s="145" t="n">
        <f aca="false">IFERROR('Price History'!C3+(INDEX('Price History'!C:C,MATCH(9.99E+307,'Price History'!$A:$A))-'Price History'!C3)*(ROW()-3)/(MATCH(9.99E+307,'Returns (Calc)'!$A:$A)-3),"")</f>
        <v>38.6285534591195</v>
      </c>
      <c r="Y29" s="145" t="n">
        <f aca="false">IFERROR('Price History'!D3+(INDEX('Price History'!D:D,MATCH(9.99E+307,'Price History'!$A:$A))-'Price History'!D3)*(ROW()-3)/(MATCH(9.99E+307,'Returns (Calc)'!$A:$A)-3),"")</f>
        <v>486.838553459119</v>
      </c>
      <c r="Z29" s="145" t="n">
        <f aca="false">IFERROR('Price History'!E3+(INDEX('Price History'!E:E,MATCH(9.99E+307,'Price History'!$A:$A))-'Price History'!E3)*(ROW()-3)/(MATCH(9.99E+307,'Returns (Calc)'!$A:$A)-3),"")</f>
        <v>68.5911949685535</v>
      </c>
      <c r="AA29" s="145" t="n">
        <f aca="false">IFERROR('Price History'!F3+(INDEX('Price History'!F:F,MATCH(9.99E+307,'Price History'!$A:$A))-'Price History'!F3)*(ROW()-3)/(MATCH(9.99E+307,'Returns (Calc)'!$A:$A)-3),"")</f>
        <v>62.9951572327044</v>
      </c>
      <c r="AB29" s="145" t="n">
        <f aca="false">IFERROR('Price History'!G3+(INDEX('Price History'!G:G,MATCH(9.99E+307,'Price History'!$A:$A))-'Price History'!G3)*(ROW()-3)/(MATCH(9.99E+307,'Returns (Calc)'!$A:$A)-3),"")</f>
        <v>34.5967295597484</v>
      </c>
      <c r="AC29" s="145" t="n">
        <f aca="false">IFERROR('Price History'!H3+(INDEX('Price History'!H:H,MATCH(9.99E+307,'Price History'!$A:$A))-'Price History'!H3)*(ROW()-3)/(MATCH(9.99E+307,'Returns (Calc)'!$A:$A)-3),"")</f>
        <v>84.141320754717</v>
      </c>
      <c r="AD29" s="145" t="n">
        <f aca="false">IFERROR('Price History'!I3+(INDEX('Price History'!I:I,MATCH(9.99E+307,'Price History'!$A:$A))-'Price History'!I3)*(ROW()-3)/(MATCH(9.99E+307,'Returns (Calc)'!$A:$A)-3),"")</f>
        <v>37.0977987421384</v>
      </c>
      <c r="AE29" s="145" t="n">
        <f aca="false">IFERROR('Price History'!J3+(INDEX('Price History'!J:J,MATCH(9.99E+307,'Price History'!$A:$A))-'Price History'!J3)*(ROW()-3)/(MATCH(9.99E+307,'Returns (Calc)'!$A:$A)-3),"")</f>
        <v>57.8089937106918</v>
      </c>
      <c r="AF29" s="145" t="n">
        <f aca="false">IFERROR('Price History'!K3+(INDEX('Price History'!K:K,MATCH(9.99E+307,'Price History'!$A:$A))-'Price History'!K3)*(ROW()-3)/(MATCH(9.99E+307,'Returns (Calc)'!$A:$A)-3),"")</f>
        <v>36.612641509434</v>
      </c>
      <c r="AG29" s="145" t="n">
        <f aca="false">IFERROR('Price History'!L3+(INDEX('Price History'!L:L,MATCH(9.99E+307,'Price History'!$A:$A))-'Price History'!L3)*(ROW()-3)/(MATCH(9.99E+307,'Returns (Calc)'!$A:$A)-3),"")</f>
        <v>93.5516981132076</v>
      </c>
      <c r="AH29" s="145" t="n">
        <f aca="false">IFERROR('Price History'!M3+(INDEX('Price History'!M:M,MATCH(9.99E+307,'Price History'!$A:$A))-'Price History'!M3)*(ROW()-3)/(MATCH(9.99E+307,'Returns (Calc)'!$A:$A)-3),"")</f>
        <v>12.8232075471698</v>
      </c>
      <c r="AI29" s="145" t="n">
        <f aca="false">IFERROR('Price History'!N3+(INDEX('Price History'!N:N,MATCH(9.99E+307,'Price History'!$A:$A))-'Price History'!N3)*(ROW()-3)/(MATCH(9.99E+307,'Returns (Calc)'!$A:$A)-3),"")</f>
        <v>18.2352201257862</v>
      </c>
      <c r="AJ29" s="145" t="n">
        <f aca="false">IFERROR('Price History'!O3+(INDEX('Price History'!O:O,MATCH(9.99E+307,'Price History'!$A:$A))-'Price History'!O3)*(ROW()-3)/(MATCH(9.99E+307,'Returns (Calc)'!$A:$A)-3),"")</f>
        <v>48.2062264150943</v>
      </c>
      <c r="AK29" s="145" t="n">
        <f aca="false">IFERROR('Price History'!Q3+(INDEX('Price History'!Q:Q,MATCH(9.99E+307,'Price History'!$A:$A))-'Price History'!Q3)*(ROW()-3)/(MATCH(9.99E+307,'Returns (Calc)'!$A:$A)-3),"")</f>
        <v>197.099308176101</v>
      </c>
      <c r="AL29" s="145" t="n">
        <f aca="false">IFERROR('Price History'!R3+(INDEX('Price History'!R:R,MATCH(9.99E+307,'Price History'!$A:$A))-'Price History'!R3)*(ROW()-3)/(MATCH(9.99E+307,'Returns (Calc)'!$A:$A)-3),"")</f>
        <v>40.0003773584906</v>
      </c>
      <c r="AM29" s="145" t="n">
        <f aca="false">IFERROR('Price History'!S3+(INDEX('Price History'!S:S,MATCH(9.99E+307,'Price History'!$A:$A))-'Price History'!S3)*(ROW()-3)/(MATCH(9.99E+307,'Returns (Calc)'!$A:$A)-3),"")</f>
        <v>48.9674213836478</v>
      </c>
      <c r="AN29" s="145" t="n">
        <f aca="false">IFERROR('Price History'!T3+(INDEX('Price History'!T:T,MATCH(9.99E+307,'Price History'!$A:$A))-'Price History'!T3)*(ROW()-3)/(MATCH(9.99E+307,'Returns (Calc)'!$A:$A)-3),"")</f>
        <v>22.5096226415094</v>
      </c>
      <c r="AO29" s="146" t="n">
        <f aca="false">IFERROR('Price History'!V3+(INDEX('Price History'!V:V,MATCH(9.99E+307,'Price History'!$A:$A))-'Price History'!V3)*(ROW()-3)/(MATCH(9.99E+307,'Returns (Calc)'!$A:$A)-3),"")</f>
        <v>0</v>
      </c>
    </row>
    <row r="30" customFormat="false" ht="15" hidden="false" customHeight="true" outlineLevel="0" collapsed="false">
      <c r="A30" s="142" t="n">
        <f aca="false">IF('Price History'!A31="","",'Price History'!A31)</f>
        <v>45380</v>
      </c>
      <c r="B30" s="143" t="n">
        <f aca="false">IFERROR(IF(OR(NOT(ISNUMBER('Price History'!B31)),NOT(ISNUMBER('Price History'!B30)),'Price History'!B30=0),"",'Price History'!B31/'Price History'!B30-1),"")</f>
        <v>0.0101697629724535</v>
      </c>
      <c r="C30" s="143" t="n">
        <f aca="false">IFERROR(IF(OR(NOT(ISNUMBER('Price History'!C31)),NOT(ISNUMBER('Price History'!C30)),'Price History'!C30=0),"",'Price History'!C31/'Price History'!C30-1),"")</f>
        <v>-0.0536483487795327</v>
      </c>
      <c r="D30" s="143" t="n">
        <f aca="false">IFERROR(IF(OR(NOT(ISNUMBER('Price History'!D31)),NOT(ISNUMBER('Price History'!D30)),'Price History'!D30=0),"",'Price History'!D31/'Price History'!D30-1),"")</f>
        <v>-0.00968719727508516</v>
      </c>
      <c r="E30" s="143" t="n">
        <f aca="false">IFERROR(IF(OR(NOT(ISNUMBER('Price History'!E31)),NOT(ISNUMBER('Price History'!E30)),'Price History'!E30=0),"",'Price History'!E31/'Price History'!E30-1),"")</f>
        <v>-0.0207277403737046</v>
      </c>
      <c r="F30" s="143" t="n">
        <f aca="false">IFERROR(IF(OR(NOT(ISNUMBER('Price History'!F31)),NOT(ISNUMBER('Price History'!F30)),'Price History'!F30=0),"",'Price History'!F31/'Price History'!F30-1),"")</f>
        <v>0.0286627840584677</v>
      </c>
      <c r="G30" s="143" t="n">
        <f aca="false">IFERROR(IF(OR(NOT(ISNUMBER('Price History'!G31)),NOT(ISNUMBER('Price History'!G30)),'Price History'!G30=0),"",'Price History'!G31/'Price History'!G30-1),"")</f>
        <v>-0.0212480156307241</v>
      </c>
      <c r="H30" s="143" t="n">
        <f aca="false">IFERROR(IF(OR(NOT(ISNUMBER('Price History'!H31)),NOT(ISNUMBER('Price History'!H30)),'Price History'!H30=0),"",'Price History'!H31/'Price History'!H30-1),"")</f>
        <v>0.0252253893088061</v>
      </c>
      <c r="I30" s="143" t="n">
        <f aca="false">IFERROR(IF(OR(NOT(ISNUMBER('Price History'!I31)),NOT(ISNUMBER('Price History'!I30)),'Price History'!I30=0),"",'Price History'!I31/'Price History'!I30-1),"")</f>
        <v>-0.0169224150293992</v>
      </c>
      <c r="J30" s="143" t="n">
        <f aca="false">IFERROR(IF(OR(NOT(ISNUMBER('Price History'!J31)),NOT(ISNUMBER('Price History'!J30)),'Price History'!J30=0),"",'Price History'!J31/'Price History'!J30-1),"")</f>
        <v>0.0707098426637396</v>
      </c>
      <c r="K30" s="143" t="n">
        <f aca="false">IFERROR(IF(OR(NOT(ISNUMBER('Price History'!K31)),NOT(ISNUMBER('Price History'!K30)),'Price History'!K30=0),"",'Price History'!K31/'Price History'!K30-1),"")</f>
        <v>-0.0416932567538821</v>
      </c>
      <c r="L30" s="143" t="n">
        <f aca="false">IFERROR(IF(OR(NOT(ISNUMBER('Price History'!L31)),NOT(ISNUMBER('Price History'!L30)),'Price History'!L30=0),"",'Price History'!L31/'Price History'!L30-1),"")</f>
        <v>0.0124155405405406</v>
      </c>
      <c r="M30" s="143" t="n">
        <f aca="false">IFERROR(IF(OR(NOT(ISNUMBER('Price History'!M31)),NOT(ISNUMBER('Price History'!M30)),'Price History'!M30=0),"",'Price History'!M31/'Price History'!M30-1),"")</f>
        <v>-0.0483870967741935</v>
      </c>
      <c r="N30" s="143" t="n">
        <f aca="false">IFERROR(IF(OR(NOT(ISNUMBER('Price History'!N31)),NOT(ISNUMBER('Price History'!N30)),'Price History'!N30=0),"",'Price History'!N31/'Price History'!N30-1),"")</f>
        <v>0.0157349896480332</v>
      </c>
      <c r="O30" s="143" t="n">
        <f aca="false">IFERROR(IF(OR(NOT(ISNUMBER('Price History'!O31)),NOT(ISNUMBER('Price History'!O30)),'Price History'!O30=0),"",'Price History'!O31/'Price History'!O30-1),"")</f>
        <v>-0.00755382097444302</v>
      </c>
      <c r="P30" s="143" t="n">
        <f aca="false">IFERROR(IF(OR(NOT(ISNUMBER('Price History'!P31)),NOT(ISNUMBER('Price History'!P30)),'Price History'!P30=0),"",'Price History'!P31/'Price History'!P30-1),"")</f>
        <v>-0.0319336367640581</v>
      </c>
      <c r="Q30" s="143" t="n">
        <f aca="false">IFERROR(IF(OR(NOT(ISNUMBER('Price History'!Q31)),NOT(ISNUMBER('Price History'!Q30)),'Price History'!Q30=0),"",'Price History'!Q31/'Price History'!Q30-1),"")</f>
        <v>-0.0147492625368733</v>
      </c>
      <c r="R30" s="143" t="n">
        <f aca="false">IFERROR(IF(OR(NOT(ISNUMBER('Price History'!R31)),NOT(ISNUMBER('Price History'!R30)),'Price History'!R30=0),"",'Price History'!R31/'Price History'!R30-1),"")</f>
        <v>0.0126146788990824</v>
      </c>
      <c r="S30" s="143" t="n">
        <f aca="false">IFERROR(IF(OR(NOT(ISNUMBER('Price History'!S31)),NOT(ISNUMBER('Price History'!S30)),'Price History'!S30=0),"",'Price History'!S31/'Price History'!S30-1),"")</f>
        <v>0.0224388940830773</v>
      </c>
      <c r="T30" s="143" t="n">
        <f aca="false">IFERROR(IF(OR(NOT(ISNUMBER('Price History'!T31)),NOT(ISNUMBER('Price History'!T30)),'Price History'!T30=0),"",'Price History'!T31/'Price History'!T30-1),"")</f>
        <v>0.0218219605126428</v>
      </c>
      <c r="U30" s="143" t="str">
        <f aca="false">IFERROR(IF(OR(NOT(ISNUMBER('Price History'!U31)),NOT(ISNUMBER('Price History'!U30)),'Price History'!U30=0),"",'Price History'!U31/'Price History'!U30-1),"")</f>
        <v/>
      </c>
      <c r="V30" s="144" t="n">
        <f aca="false">IFERROR(IF(OR(NOT(ISNUMBER('Price History'!V31)),NOT(ISNUMBER('Price History'!V30)),'Price History'!V30=0),"",'Price History'!V31/'Price History'!V30-1),"")</f>
        <v>0.0180707466071623</v>
      </c>
      <c r="W30" s="145" t="str">
        <f aca="false">IFERROR('Price History'!B3+(INDEX('Price History'!B:B,MATCH(9.99E+307,'Price History'!$A:$A))-'Price History'!B3)*(ROW()-3)/(MATCH(9.99E+307,'Returns (Calc)'!$A:$A)-3),"")</f>
        <v/>
      </c>
      <c r="X30" s="145" t="n">
        <f aca="false">IFERROR('Price History'!C3+(INDEX('Price History'!C:C,MATCH(9.99E+307,'Price History'!$A:$A))-'Price History'!C3)*(ROW()-3)/(MATCH(9.99E+307,'Returns (Calc)'!$A:$A)-3),"")</f>
        <v>38.3381132075472</v>
      </c>
      <c r="Y30" s="145" t="n">
        <f aca="false">IFERROR('Price History'!D3+(INDEX('Price History'!D:D,MATCH(9.99E+307,'Price History'!$A:$A))-'Price History'!D3)*(ROW()-3)/(MATCH(9.99E+307,'Returns (Calc)'!$A:$A)-3),"")</f>
        <v>483.178113207547</v>
      </c>
      <c r="Z30" s="145" t="n">
        <f aca="false">IFERROR('Price History'!E3+(INDEX('Price History'!E:E,MATCH(9.99E+307,'Price History'!$A:$A))-'Price History'!E3)*(ROW()-3)/(MATCH(9.99E+307,'Returns (Calc)'!$A:$A)-3),"")</f>
        <v>68.0754716981132</v>
      </c>
      <c r="AA30" s="145" t="n">
        <f aca="false">IFERROR('Price History'!F3+(INDEX('Price History'!F:F,MATCH(9.99E+307,'Price History'!$A:$A))-'Price History'!F3)*(ROW()-3)/(MATCH(9.99E+307,'Returns (Calc)'!$A:$A)-3),"")</f>
        <v>62.5215094339623</v>
      </c>
      <c r="AB30" s="145" t="n">
        <f aca="false">IFERROR('Price History'!G3+(INDEX('Price History'!G:G,MATCH(9.99E+307,'Price History'!$A:$A))-'Price History'!G3)*(ROW()-3)/(MATCH(9.99E+307,'Returns (Calc)'!$A:$A)-3),"")</f>
        <v>34.3366037735849</v>
      </c>
      <c r="AC30" s="145" t="n">
        <f aca="false">IFERROR('Price History'!H3+(INDEX('Price History'!H:H,MATCH(9.99E+307,'Price History'!$A:$A))-'Price History'!H3)*(ROW()-3)/(MATCH(9.99E+307,'Returns (Calc)'!$A:$A)-3),"")</f>
        <v>83.508679245283</v>
      </c>
      <c r="AD30" s="145" t="n">
        <f aca="false">IFERROR('Price History'!I3+(INDEX('Price History'!I:I,MATCH(9.99E+307,'Price History'!$A:$A))-'Price History'!I3)*(ROW()-3)/(MATCH(9.99E+307,'Returns (Calc)'!$A:$A)-3),"")</f>
        <v>36.8188679245283</v>
      </c>
      <c r="AE30" s="145" t="n">
        <f aca="false">IFERROR('Price History'!J3+(INDEX('Price History'!J:J,MATCH(9.99E+307,'Price History'!$A:$A))-'Price History'!J3)*(ROW()-3)/(MATCH(9.99E+307,'Returns (Calc)'!$A:$A)-3),"")</f>
        <v>57.3743396226415</v>
      </c>
      <c r="AF30" s="145" t="n">
        <f aca="false">IFERROR('Price History'!K3+(INDEX('Price History'!K:K,MATCH(9.99E+307,'Price History'!$A:$A))-'Price History'!K3)*(ROW()-3)/(MATCH(9.99E+307,'Returns (Calc)'!$A:$A)-3),"")</f>
        <v>36.337358490566</v>
      </c>
      <c r="AG30" s="145" t="n">
        <f aca="false">IFERROR('Price History'!L3+(INDEX('Price History'!L:L,MATCH(9.99E+307,'Price History'!$A:$A))-'Price History'!L3)*(ROW()-3)/(MATCH(9.99E+307,'Returns (Calc)'!$A:$A)-3),"")</f>
        <v>92.8483018867925</v>
      </c>
      <c r="AH30" s="145" t="n">
        <f aca="false">IFERROR('Price History'!M3+(INDEX('Price History'!M:M,MATCH(9.99E+307,'Price History'!$A:$A))-'Price History'!M3)*(ROW()-3)/(MATCH(9.99E+307,'Returns (Calc)'!$A:$A)-3),"")</f>
        <v>12.7267924528302</v>
      </c>
      <c r="AI30" s="145" t="n">
        <f aca="false">IFERROR('Price History'!N3+(INDEX('Price History'!N:N,MATCH(9.99E+307,'Price History'!$A:$A))-'Price History'!N3)*(ROW()-3)/(MATCH(9.99E+307,'Returns (Calc)'!$A:$A)-3),"")</f>
        <v>18.0981132075472</v>
      </c>
      <c r="AJ30" s="145" t="n">
        <f aca="false">IFERROR('Price History'!O3+(INDEX('Price History'!O:O,MATCH(9.99E+307,'Price History'!$A:$A))-'Price History'!O3)*(ROW()-3)/(MATCH(9.99E+307,'Returns (Calc)'!$A:$A)-3),"")</f>
        <v>47.8437735849057</v>
      </c>
      <c r="AK30" s="145" t="n">
        <f aca="false">IFERROR('Price History'!Q3+(INDEX('Price History'!Q:Q,MATCH(9.99E+307,'Price History'!$A:$A))-'Price History'!Q3)*(ROW()-3)/(MATCH(9.99E+307,'Returns (Calc)'!$A:$A)-3),"")</f>
        <v>195.617358490566</v>
      </c>
      <c r="AL30" s="145" t="n">
        <f aca="false">IFERROR('Price History'!R3+(INDEX('Price History'!R:R,MATCH(9.99E+307,'Price History'!$A:$A))-'Price History'!R3)*(ROW()-3)/(MATCH(9.99E+307,'Returns (Calc)'!$A:$A)-3),"")</f>
        <v>39.6996226415094</v>
      </c>
      <c r="AM30" s="145" t="n">
        <f aca="false">IFERROR('Price History'!S3+(INDEX('Price History'!S:S,MATCH(9.99E+307,'Price History'!$A:$A))-'Price History'!S3)*(ROW()-3)/(MATCH(9.99E+307,'Returns (Calc)'!$A:$A)-3),"")</f>
        <v>48.5992452830189</v>
      </c>
      <c r="AN30" s="145" t="n">
        <f aca="false">IFERROR('Price History'!T3+(INDEX('Price History'!T:T,MATCH(9.99E+307,'Price History'!$A:$A))-'Price History'!T3)*(ROW()-3)/(MATCH(9.99E+307,'Returns (Calc)'!$A:$A)-3),"")</f>
        <v>22.3403773584906</v>
      </c>
      <c r="AO30" s="146" t="n">
        <f aca="false">IFERROR('Price History'!V3+(INDEX('Price History'!V:V,MATCH(9.99E+307,'Price History'!$A:$A))-'Price History'!V3)*(ROW()-3)/(MATCH(9.99E+307,'Returns (Calc)'!$A:$A)-3),"")</f>
        <v>0</v>
      </c>
    </row>
    <row r="31" customFormat="false" ht="15" hidden="false" customHeight="true" outlineLevel="0" collapsed="false">
      <c r="A31" s="142" t="n">
        <f aca="false">IF('Price History'!A32="","",'Price History'!A32)</f>
        <v>45387</v>
      </c>
      <c r="B31" s="143" t="n">
        <f aca="false">IFERROR(IF(OR(NOT(ISNUMBER('Price History'!B32)),NOT(ISNUMBER('Price History'!B31)),'Price History'!B31=0),"",'Price History'!B32/'Price History'!B31-1),"")</f>
        <v>-0.0386048355132779</v>
      </c>
      <c r="C31" s="143" t="n">
        <f aca="false">IFERROR(IF(OR(NOT(ISNUMBER('Price History'!C32)),NOT(ISNUMBER('Price History'!C31)),'Price History'!C31=0),"",'Price History'!C32/'Price History'!C31-1),"")</f>
        <v>0.0262068965517241</v>
      </c>
      <c r="D31" s="143" t="n">
        <f aca="false">IFERROR(IF(OR(NOT(ISNUMBER('Price History'!D32)),NOT(ISNUMBER('Price History'!D31)),'Price History'!D31=0),"",'Price History'!D32/'Price History'!D31-1),"")</f>
        <v>0.00936122768819736</v>
      </c>
      <c r="E31" s="143" t="n">
        <f aca="false">IFERROR(IF(OR(NOT(ISNUMBER('Price History'!E32)),NOT(ISNUMBER('Price History'!E31)),'Price History'!E31=0),"",'Price History'!E32/'Price History'!E31-1),"")</f>
        <v>0.010583236770954</v>
      </c>
      <c r="F31" s="143" t="n">
        <f aca="false">IFERROR(IF(OR(NOT(ISNUMBER('Price History'!F32)),NOT(ISNUMBER('Price History'!F31)),'Price History'!F31=0),"",'Price History'!F32/'Price History'!F31-1),"")</f>
        <v>-0.0215364120781527</v>
      </c>
      <c r="G31" s="143" t="n">
        <f aca="false">IFERROR(IF(OR(NOT(ISNUMBER('Price History'!G32)),NOT(ISNUMBER('Price History'!G31)),'Price History'!G31=0),"",'Price History'!G32/'Price History'!G31-1),"")</f>
        <v>-0.015845290081098</v>
      </c>
      <c r="H31" s="143" t="n">
        <f aca="false">IFERROR(IF(OR(NOT(ISNUMBER('Price History'!H32)),NOT(ISNUMBER('Price History'!H31)),'Price History'!H31=0),"",'Price History'!H32/'Price History'!H31-1),"")</f>
        <v>-0.0177651447859301</v>
      </c>
      <c r="I31" s="143" t="n">
        <f aca="false">IFERROR(IF(OR(NOT(ISNUMBER('Price History'!I32)),NOT(ISNUMBER('Price History'!I31)),'Price History'!I31=0),"",'Price History'!I32/'Price History'!I31-1),"")</f>
        <v>-0.022465353756382</v>
      </c>
      <c r="J31" s="143" t="n">
        <f aca="false">IFERROR(IF(OR(NOT(ISNUMBER('Price History'!J32)),NOT(ISNUMBER('Price History'!J31)),'Price History'!J31=0),"",'Price History'!J32/'Price History'!J31-1),"")</f>
        <v>0.0482699700982487</v>
      </c>
      <c r="K31" s="143" t="n">
        <f aca="false">IFERROR(IF(OR(NOT(ISNUMBER('Price History'!K32)),NOT(ISNUMBER('Price History'!K31)),'Price History'!K31=0),"",'Price History'!K32/'Price History'!K31-1),"")</f>
        <v>-0.0259711431742508</v>
      </c>
      <c r="L31" s="143" t="n">
        <f aca="false">IFERROR(IF(OR(NOT(ISNUMBER('Price History'!L32)),NOT(ISNUMBER('Price History'!L31)),'Price History'!L31=0),"",'Price History'!L32/'Price History'!L31-1),"")</f>
        <v>-0.0421289730541421</v>
      </c>
      <c r="M31" s="143" t="n">
        <f aca="false">IFERROR(IF(OR(NOT(ISNUMBER('Price History'!M32)),NOT(ISNUMBER('Price History'!M31)),'Price History'!M31=0),"",'Price History'!M32/'Price History'!M31-1),"")</f>
        <v>-0.00217296827466318</v>
      </c>
      <c r="N31" s="143" t="n">
        <f aca="false">IFERROR(IF(OR(NOT(ISNUMBER('Price History'!N32)),NOT(ISNUMBER('Price History'!N31)),'Price History'!N31=0),"",'Price History'!N32/'Price History'!N31-1),"")</f>
        <v>-0.0203832042397065</v>
      </c>
      <c r="O31" s="143" t="n">
        <f aca="false">IFERROR(IF(OR(NOT(ISNUMBER('Price History'!O32)),NOT(ISNUMBER('Price History'!O31)),'Price History'!O31=0),"",'Price History'!O32/'Price History'!O31-1),"")</f>
        <v>0.00291767093746032</v>
      </c>
      <c r="P31" s="143" t="n">
        <f aca="false">IFERROR(IF(OR(NOT(ISNUMBER('Price History'!P32)),NOT(ISNUMBER('Price History'!P31)),'Price History'!P31=0),"",'Price History'!P32/'Price History'!P31-1),"")</f>
        <v>0.0389777811481002</v>
      </c>
      <c r="Q31" s="143" t="n">
        <f aca="false">IFERROR(IF(OR(NOT(ISNUMBER('Price History'!Q32)),NOT(ISNUMBER('Price History'!Q31)),'Price History'!Q31=0),"",'Price History'!Q32/'Price History'!Q31-1),"")</f>
        <v>-0.00697385716372123</v>
      </c>
      <c r="R31" s="143" t="n">
        <f aca="false">IFERROR(IF(OR(NOT(ISNUMBER('Price History'!R32)),NOT(ISNUMBER('Price History'!R31)),'Price History'!R31=0),"",'Price History'!R32/'Price History'!R31-1),"")</f>
        <v>0.00528501321253305</v>
      </c>
      <c r="S31" s="143" t="n">
        <f aca="false">IFERROR(IF(OR(NOT(ISNUMBER('Price History'!S32)),NOT(ISNUMBER('Price History'!S31)),'Price History'!S31=0),"",'Price History'!S32/'Price History'!S31-1),"")</f>
        <v>0.0280862181580668</v>
      </c>
      <c r="T31" s="143" t="n">
        <f aca="false">IFERROR(IF(OR(NOT(ISNUMBER('Price History'!T32)),NOT(ISNUMBER('Price History'!T31)),'Price History'!T31=0),"",'Price History'!T32/'Price History'!T31-1),"")</f>
        <v>0.0220338983050847</v>
      </c>
      <c r="U31" s="143" t="str">
        <f aca="false">IFERROR(IF(OR(NOT(ISNUMBER('Price History'!U32)),NOT(ISNUMBER('Price History'!U31)),'Price History'!U31=0),"",'Price History'!U32/'Price History'!U31-1),"")</f>
        <v/>
      </c>
      <c r="V31" s="144" t="n">
        <f aca="false">IFERROR(IF(OR(NOT(ISNUMBER('Price History'!V32)),NOT(ISNUMBER('Price History'!V31)),'Price History'!V31=0),"",'Price History'!V32/'Price History'!V31-1),"")</f>
        <v>-0.00154503970392728</v>
      </c>
      <c r="W31" s="145" t="str">
        <f aca="false">IFERROR('Price History'!B3+(INDEX('Price History'!B:B,MATCH(9.99E+307,'Price History'!$A:$A))-'Price History'!B3)*(ROW()-3)/(MATCH(9.99E+307,'Returns (Calc)'!$A:$A)-3),"")</f>
        <v/>
      </c>
      <c r="X31" s="145" t="n">
        <f aca="false">IFERROR('Price History'!C3+(INDEX('Price History'!C:C,MATCH(9.99E+307,'Price History'!$A:$A))-'Price History'!C3)*(ROW()-3)/(MATCH(9.99E+307,'Returns (Calc)'!$A:$A)-3),"")</f>
        <v>38.0476729559748</v>
      </c>
      <c r="Y31" s="145" t="n">
        <f aca="false">IFERROR('Price History'!D3+(INDEX('Price History'!D:D,MATCH(9.99E+307,'Price History'!$A:$A))-'Price History'!D3)*(ROW()-3)/(MATCH(9.99E+307,'Returns (Calc)'!$A:$A)-3),"")</f>
        <v>479.517672955975</v>
      </c>
      <c r="Z31" s="145" t="n">
        <f aca="false">IFERROR('Price History'!E3+(INDEX('Price History'!E:E,MATCH(9.99E+307,'Price History'!$A:$A))-'Price History'!E3)*(ROW()-3)/(MATCH(9.99E+307,'Returns (Calc)'!$A:$A)-3),"")</f>
        <v>67.559748427673</v>
      </c>
      <c r="AA31" s="145" t="n">
        <f aca="false">IFERROR('Price History'!F3+(INDEX('Price History'!F:F,MATCH(9.99E+307,'Price History'!$A:$A))-'Price History'!F3)*(ROW()-3)/(MATCH(9.99E+307,'Returns (Calc)'!$A:$A)-3),"")</f>
        <v>62.0478616352201</v>
      </c>
      <c r="AB31" s="145" t="n">
        <f aca="false">IFERROR('Price History'!G3+(INDEX('Price History'!G:G,MATCH(9.99E+307,'Price History'!$A:$A))-'Price History'!G3)*(ROW()-3)/(MATCH(9.99E+307,'Returns (Calc)'!$A:$A)-3),"")</f>
        <v>34.0764779874214</v>
      </c>
      <c r="AC31" s="145" t="n">
        <f aca="false">IFERROR('Price History'!H3+(INDEX('Price History'!H:H,MATCH(9.99E+307,'Price History'!$A:$A))-'Price History'!H3)*(ROW()-3)/(MATCH(9.99E+307,'Returns (Calc)'!$A:$A)-3),"")</f>
        <v>82.8760377358491</v>
      </c>
      <c r="AD31" s="145" t="n">
        <f aca="false">IFERROR('Price History'!I3+(INDEX('Price History'!I:I,MATCH(9.99E+307,'Price History'!$A:$A))-'Price History'!I3)*(ROW()-3)/(MATCH(9.99E+307,'Returns (Calc)'!$A:$A)-3),"")</f>
        <v>36.5399371069182</v>
      </c>
      <c r="AE31" s="145" t="n">
        <f aca="false">IFERROR('Price History'!J3+(INDEX('Price History'!J:J,MATCH(9.99E+307,'Price History'!$A:$A))-'Price History'!J3)*(ROW()-3)/(MATCH(9.99E+307,'Returns (Calc)'!$A:$A)-3),"")</f>
        <v>56.9396855345912</v>
      </c>
      <c r="AF31" s="145" t="n">
        <f aca="false">IFERROR('Price History'!K3+(INDEX('Price History'!K:K,MATCH(9.99E+307,'Price History'!$A:$A))-'Price History'!K3)*(ROW()-3)/(MATCH(9.99E+307,'Returns (Calc)'!$A:$A)-3),"")</f>
        <v>36.0620754716981</v>
      </c>
      <c r="AG31" s="145" t="n">
        <f aca="false">IFERROR('Price History'!L3+(INDEX('Price History'!L:L,MATCH(9.99E+307,'Price History'!$A:$A))-'Price History'!L3)*(ROW()-3)/(MATCH(9.99E+307,'Returns (Calc)'!$A:$A)-3),"")</f>
        <v>92.1449056603774</v>
      </c>
      <c r="AH31" s="145" t="n">
        <f aca="false">IFERROR('Price History'!M3+(INDEX('Price History'!M:M,MATCH(9.99E+307,'Price History'!$A:$A))-'Price History'!M3)*(ROW()-3)/(MATCH(9.99E+307,'Returns (Calc)'!$A:$A)-3),"")</f>
        <v>12.6303773584906</v>
      </c>
      <c r="AI31" s="145" t="n">
        <f aca="false">IFERROR('Price History'!N3+(INDEX('Price History'!N:N,MATCH(9.99E+307,'Price History'!$A:$A))-'Price History'!N3)*(ROW()-3)/(MATCH(9.99E+307,'Returns (Calc)'!$A:$A)-3),"")</f>
        <v>17.9610062893082</v>
      </c>
      <c r="AJ31" s="145" t="n">
        <f aca="false">IFERROR('Price History'!O3+(INDEX('Price History'!O:O,MATCH(9.99E+307,'Price History'!$A:$A))-'Price History'!O3)*(ROW()-3)/(MATCH(9.99E+307,'Returns (Calc)'!$A:$A)-3),"")</f>
        <v>47.481320754717</v>
      </c>
      <c r="AK31" s="145" t="n">
        <f aca="false">IFERROR('Price History'!Q3+(INDEX('Price History'!Q:Q,MATCH(9.99E+307,'Price History'!$A:$A))-'Price History'!Q3)*(ROW()-3)/(MATCH(9.99E+307,'Returns (Calc)'!$A:$A)-3),"")</f>
        <v>194.135408805031</v>
      </c>
      <c r="AL31" s="145" t="n">
        <f aca="false">IFERROR('Price History'!R3+(INDEX('Price History'!R:R,MATCH(9.99E+307,'Price History'!$A:$A))-'Price History'!R3)*(ROW()-3)/(MATCH(9.99E+307,'Returns (Calc)'!$A:$A)-3),"")</f>
        <v>39.3988679245283</v>
      </c>
      <c r="AM31" s="145" t="n">
        <f aca="false">IFERROR('Price History'!S3+(INDEX('Price History'!S:S,MATCH(9.99E+307,'Price History'!$A:$A))-'Price History'!S3)*(ROW()-3)/(MATCH(9.99E+307,'Returns (Calc)'!$A:$A)-3),"")</f>
        <v>48.2310691823899</v>
      </c>
      <c r="AN31" s="145" t="n">
        <f aca="false">IFERROR('Price History'!T3+(INDEX('Price History'!T:T,MATCH(9.99E+307,'Price History'!$A:$A))-'Price History'!T3)*(ROW()-3)/(MATCH(9.99E+307,'Returns (Calc)'!$A:$A)-3),"")</f>
        <v>22.1711320754717</v>
      </c>
      <c r="AO31" s="146" t="n">
        <f aca="false">IFERROR('Price History'!V3+(INDEX('Price History'!V:V,MATCH(9.99E+307,'Price History'!$A:$A))-'Price History'!V3)*(ROW()-3)/(MATCH(9.99E+307,'Returns (Calc)'!$A:$A)-3),"")</f>
        <v>0</v>
      </c>
    </row>
    <row r="32" customFormat="false" ht="15" hidden="false" customHeight="true" outlineLevel="0" collapsed="false">
      <c r="A32" s="142" t="n">
        <f aca="false">IF('Price History'!A33="","",'Price History'!A33)</f>
        <v>45394</v>
      </c>
      <c r="B32" s="143" t="n">
        <f aca="false">IFERROR(IF(OR(NOT(ISNUMBER('Price History'!B33)),NOT(ISNUMBER('Price History'!B32)),'Price History'!B32=0),"",'Price History'!B33/'Price History'!B32-1),"")</f>
        <v>-0.0227366424802111</v>
      </c>
      <c r="C32" s="143" t="n">
        <f aca="false">IFERROR(IF(OR(NOT(ISNUMBER('Price History'!C33)),NOT(ISNUMBER('Price History'!C32)),'Price History'!C32=0),"",'Price History'!C33/'Price History'!C32-1),"")</f>
        <v>-0.0885752688172043</v>
      </c>
      <c r="D32" s="143" t="n">
        <f aca="false">IFERROR(IF(OR(NOT(ISNUMBER('Price History'!D33)),NOT(ISNUMBER('Price History'!D32)),'Price History'!D32=0),"",'Price History'!D33/'Price History'!D32-1),"")</f>
        <v>-0.01807988495566</v>
      </c>
      <c r="E32" s="143" t="n">
        <f aca="false">IFERROR(IF(OR(NOT(ISNUMBER('Price History'!E33)),NOT(ISNUMBER('Price History'!E32)),'Price History'!E32=0),"",'Price History'!E33/'Price History'!E32-1),"")</f>
        <v>0.00343984100290484</v>
      </c>
      <c r="F32" s="143" t="n">
        <f aca="false">IFERROR(IF(OR(NOT(ISNUMBER('Price History'!F33)),NOT(ISNUMBER('Price History'!F32)),'Price History'!F32=0),"",'Price History'!F33/'Price History'!F32-1),"")</f>
        <v>-0.0308599954617653</v>
      </c>
      <c r="G32" s="143" t="n">
        <f aca="false">IFERROR(IF(OR(NOT(ISNUMBER('Price History'!G33)),NOT(ISNUMBER('Price History'!G32)),'Price History'!G32=0),"",'Price History'!G33/'Price History'!G32-1),"")</f>
        <v>-0.0205375253549694</v>
      </c>
      <c r="H32" s="143" t="n">
        <f aca="false">IFERROR(IF(OR(NOT(ISNUMBER('Price History'!H33)),NOT(ISNUMBER('Price History'!H32)),'Price History'!H32=0),"",'Price History'!H33/'Price History'!H32-1),"")</f>
        <v>-0.0285765961294989</v>
      </c>
      <c r="I32" s="143" t="n">
        <f aca="false">IFERROR(IF(OR(NOT(ISNUMBER('Price History'!I33)),NOT(ISNUMBER('Price History'!I32)),'Price History'!I32=0),"",'Price History'!I33/'Price History'!I32-1),"")</f>
        <v>-0.00298462915982689</v>
      </c>
      <c r="J32" s="143" t="n">
        <f aca="false">IFERROR(IF(OR(NOT(ISNUMBER('Price History'!J33)),NOT(ISNUMBER('Price History'!J32)),'Price History'!J32=0),"",'Price History'!J33/'Price History'!J32-1),"")</f>
        <v>-0.00855745721271395</v>
      </c>
      <c r="K32" s="143" t="n">
        <f aca="false">IFERROR(IF(OR(NOT(ISNUMBER('Price History'!K33)),NOT(ISNUMBER('Price History'!K32)),'Price History'!K32=0),"",'Price History'!K33/'Price History'!K32-1),"")</f>
        <v>0.00205104831358249</v>
      </c>
      <c r="L32" s="143" t="n">
        <f aca="false">IFERROR(IF(OR(NOT(ISNUMBER('Price History'!L33)),NOT(ISNUMBER('Price History'!L32)),'Price History'!L32=0),"",'Price History'!L33/'Price History'!L32-1),"")</f>
        <v>-0.0459850200313533</v>
      </c>
      <c r="M32" s="143" t="n">
        <f aca="false">IFERROR(IF(OR(NOT(ISNUMBER('Price History'!M33)),NOT(ISNUMBER('Price History'!M32)),'Price History'!M32=0),"",'Price History'!M33/'Price History'!M32-1),"")</f>
        <v>-0.0126306620209059</v>
      </c>
      <c r="N32" s="143" t="n">
        <f aca="false">IFERROR(IF(OR(NOT(ISNUMBER('Price History'!N33)),NOT(ISNUMBER('Price History'!N32)),'Price History'!N32=0),"",'Price History'!N33/'Price History'!N32-1),"")</f>
        <v>-0.0278818143986684</v>
      </c>
      <c r="O32" s="143" t="n">
        <f aca="false">IFERROR(IF(OR(NOT(ISNUMBER('Price History'!O33)),NOT(ISNUMBER('Price History'!O32)),'Price History'!O32=0),"",'Price History'!O33/'Price History'!O32-1),"")</f>
        <v>-0.0140399696433089</v>
      </c>
      <c r="P32" s="143" t="n">
        <f aca="false">IFERROR(IF(OR(NOT(ISNUMBER('Price History'!P33)),NOT(ISNUMBER('Price History'!P32)),'Price History'!P32=0),"",'Price History'!P33/'Price History'!P32-1),"")</f>
        <v>0.00824757316984148</v>
      </c>
      <c r="Q32" s="143" t="n">
        <f aca="false">IFERROR(IF(OR(NOT(ISNUMBER('Price History'!Q33)),NOT(ISNUMBER('Price History'!Q32)),'Price History'!Q32=0),"",'Price History'!Q33/'Price History'!Q32-1),"")</f>
        <v>-0.00422840754494991</v>
      </c>
      <c r="R32" s="143" t="n">
        <f aca="false">IFERROR(IF(OR(NOT(ISNUMBER('Price History'!R33)),NOT(ISNUMBER('Price History'!R32)),'Price History'!R32=0),"",'Price History'!R33/'Price History'!R32-1),"")</f>
        <v>-0.00131430717236203</v>
      </c>
      <c r="S32" s="143" t="n">
        <f aca="false">IFERROR(IF(OR(NOT(ISNUMBER('Price History'!S33)),NOT(ISNUMBER('Price History'!S32)),'Price History'!S32=0),"",'Price History'!S33/'Price History'!S32-1),"")</f>
        <v>0.00381194409148655</v>
      </c>
      <c r="T32" s="143" t="n">
        <f aca="false">IFERROR(IF(OR(NOT(ISNUMBER('Price History'!T33)),NOT(ISNUMBER('Price History'!T32)),'Price History'!T32=0),"",'Price History'!T33/'Price History'!T32-1),"")</f>
        <v>0.0195688225538972</v>
      </c>
      <c r="U32" s="143" t="str">
        <f aca="false">IFERROR(IF(OR(NOT(ISNUMBER('Price History'!U33)),NOT(ISNUMBER('Price History'!U32)),'Price History'!U32=0),"",'Price History'!U33/'Price History'!U32-1),"")</f>
        <v/>
      </c>
      <c r="V32" s="144" t="n">
        <f aca="false">IFERROR(IF(OR(NOT(ISNUMBER('Price History'!V33)),NOT(ISNUMBER('Price History'!V32)),'Price History'!V32=0),"",'Price History'!V33/'Price History'!V32-1),"")</f>
        <v>-0.0110119476032819</v>
      </c>
      <c r="W32" s="145" t="str">
        <f aca="false">IFERROR('Price History'!B3+(INDEX('Price History'!B:B,MATCH(9.99E+307,'Price History'!$A:$A))-'Price History'!B3)*(ROW()-3)/(MATCH(9.99E+307,'Returns (Calc)'!$A:$A)-3),"")</f>
        <v/>
      </c>
      <c r="X32" s="145" t="n">
        <f aca="false">IFERROR('Price History'!C3+(INDEX('Price History'!C:C,MATCH(9.99E+307,'Price History'!$A:$A))-'Price History'!C3)*(ROW()-3)/(MATCH(9.99E+307,'Returns (Calc)'!$A:$A)-3),"")</f>
        <v>37.7572327044025</v>
      </c>
      <c r="Y32" s="145" t="n">
        <f aca="false">IFERROR('Price History'!D3+(INDEX('Price History'!D:D,MATCH(9.99E+307,'Price History'!$A:$A))-'Price History'!D3)*(ROW()-3)/(MATCH(9.99E+307,'Returns (Calc)'!$A:$A)-3),"")</f>
        <v>475.857232704403</v>
      </c>
      <c r="Z32" s="145" t="n">
        <f aca="false">IFERROR('Price History'!E3+(INDEX('Price History'!E:E,MATCH(9.99E+307,'Price History'!$A:$A))-'Price History'!E3)*(ROW()-3)/(MATCH(9.99E+307,'Returns (Calc)'!$A:$A)-3),"")</f>
        <v>67.0440251572327</v>
      </c>
      <c r="AA32" s="145" t="n">
        <f aca="false">IFERROR('Price History'!F3+(INDEX('Price History'!F:F,MATCH(9.99E+307,'Price History'!$A:$A))-'Price History'!F3)*(ROW()-3)/(MATCH(9.99E+307,'Returns (Calc)'!$A:$A)-3),"")</f>
        <v>61.574213836478</v>
      </c>
      <c r="AB32" s="145" t="n">
        <f aca="false">IFERROR('Price History'!G3+(INDEX('Price History'!G:G,MATCH(9.99E+307,'Price History'!$A:$A))-'Price History'!G3)*(ROW()-3)/(MATCH(9.99E+307,'Returns (Calc)'!$A:$A)-3),"")</f>
        <v>33.8163522012579</v>
      </c>
      <c r="AC32" s="145" t="n">
        <f aca="false">IFERROR('Price History'!H3+(INDEX('Price History'!H:H,MATCH(9.99E+307,'Price History'!$A:$A))-'Price History'!H3)*(ROW()-3)/(MATCH(9.99E+307,'Returns (Calc)'!$A:$A)-3),"")</f>
        <v>82.2433962264151</v>
      </c>
      <c r="AD32" s="145" t="n">
        <f aca="false">IFERROR('Price History'!I3+(INDEX('Price History'!I:I,MATCH(9.99E+307,'Price History'!$A:$A))-'Price History'!I3)*(ROW()-3)/(MATCH(9.99E+307,'Returns (Calc)'!$A:$A)-3),"")</f>
        <v>36.2610062893082</v>
      </c>
      <c r="AE32" s="145" t="n">
        <f aca="false">IFERROR('Price History'!J3+(INDEX('Price History'!J:J,MATCH(9.99E+307,'Price History'!$A:$A))-'Price History'!J3)*(ROW()-3)/(MATCH(9.99E+307,'Returns (Calc)'!$A:$A)-3),"")</f>
        <v>56.5050314465409</v>
      </c>
      <c r="AF32" s="145" t="n">
        <f aca="false">IFERROR('Price History'!K3+(INDEX('Price History'!K:K,MATCH(9.99E+307,'Price History'!$A:$A))-'Price History'!K3)*(ROW()-3)/(MATCH(9.99E+307,'Returns (Calc)'!$A:$A)-3),"")</f>
        <v>35.7867924528302</v>
      </c>
      <c r="AG32" s="145" t="n">
        <f aca="false">IFERROR('Price History'!L3+(INDEX('Price History'!L:L,MATCH(9.99E+307,'Price History'!$A:$A))-'Price History'!L3)*(ROW()-3)/(MATCH(9.99E+307,'Returns (Calc)'!$A:$A)-3),"")</f>
        <v>91.4415094339623</v>
      </c>
      <c r="AH32" s="145" t="n">
        <f aca="false">IFERROR('Price History'!M3+(INDEX('Price History'!M:M,MATCH(9.99E+307,'Price History'!$A:$A))-'Price History'!M3)*(ROW()-3)/(MATCH(9.99E+307,'Returns (Calc)'!$A:$A)-3),"")</f>
        <v>12.5339622641509</v>
      </c>
      <c r="AI32" s="145" t="n">
        <f aca="false">IFERROR('Price History'!N3+(INDEX('Price History'!N:N,MATCH(9.99E+307,'Price History'!$A:$A))-'Price History'!N3)*(ROW()-3)/(MATCH(9.99E+307,'Returns (Calc)'!$A:$A)-3),"")</f>
        <v>17.8238993710692</v>
      </c>
      <c r="AJ32" s="145" t="n">
        <f aca="false">IFERROR('Price History'!O3+(INDEX('Price History'!O:O,MATCH(9.99E+307,'Price History'!$A:$A))-'Price History'!O3)*(ROW()-3)/(MATCH(9.99E+307,'Returns (Calc)'!$A:$A)-3),"")</f>
        <v>47.1188679245283</v>
      </c>
      <c r="AK32" s="145" t="n">
        <f aca="false">IFERROR('Price History'!Q3+(INDEX('Price History'!Q:Q,MATCH(9.99E+307,'Price History'!$A:$A))-'Price History'!Q3)*(ROW()-3)/(MATCH(9.99E+307,'Returns (Calc)'!$A:$A)-3),"")</f>
        <v>192.653459119497</v>
      </c>
      <c r="AL32" s="145" t="n">
        <f aca="false">IFERROR('Price History'!R3+(INDEX('Price History'!R:R,MATCH(9.99E+307,'Price History'!$A:$A))-'Price History'!R3)*(ROW()-3)/(MATCH(9.99E+307,'Returns (Calc)'!$A:$A)-3),"")</f>
        <v>39.0981132075472</v>
      </c>
      <c r="AM32" s="145" t="n">
        <f aca="false">IFERROR('Price History'!S3+(INDEX('Price History'!S:S,MATCH(9.99E+307,'Price History'!$A:$A))-'Price History'!S3)*(ROW()-3)/(MATCH(9.99E+307,'Returns (Calc)'!$A:$A)-3),"")</f>
        <v>47.862893081761</v>
      </c>
      <c r="AN32" s="145" t="n">
        <f aca="false">IFERROR('Price History'!T3+(INDEX('Price History'!T:T,MATCH(9.99E+307,'Price History'!$A:$A))-'Price History'!T3)*(ROW()-3)/(MATCH(9.99E+307,'Returns (Calc)'!$A:$A)-3),"")</f>
        <v>22.0018867924528</v>
      </c>
      <c r="AO32" s="146" t="n">
        <f aca="false">IFERROR('Price History'!V3+(INDEX('Price History'!V:V,MATCH(9.99E+307,'Price History'!$A:$A))-'Price History'!V3)*(ROW()-3)/(MATCH(9.99E+307,'Returns (Calc)'!$A:$A)-3),"")</f>
        <v>0</v>
      </c>
    </row>
    <row r="33" customFormat="false" ht="15" hidden="false" customHeight="true" outlineLevel="0" collapsed="false">
      <c r="A33" s="142" t="n">
        <f aca="false">IF('Price History'!A34="","",'Price History'!A34)</f>
        <v>45401</v>
      </c>
      <c r="B33" s="143" t="n">
        <f aca="false">IFERROR(IF(OR(NOT(ISNUMBER('Price History'!B34)),NOT(ISNUMBER('Price History'!B33)),'Price History'!B33=0),"",'Price History'!B34/'Price History'!B33-1),"")</f>
        <v>-0.0191313885549157</v>
      </c>
      <c r="C33" s="143" t="n">
        <f aca="false">IFERROR(IF(OR(NOT(ISNUMBER('Price History'!C34)),NOT(ISNUMBER('Price History'!C33)),'Price History'!C33=0),"",'Price History'!C34/'Price History'!C33-1),"")</f>
        <v>-0.0927591800619377</v>
      </c>
      <c r="D33" s="143" t="n">
        <f aca="false">IFERROR(IF(OR(NOT(ISNUMBER('Price History'!D34)),NOT(ISNUMBER('Price History'!D33)),'Price History'!D33=0),"",'Price History'!D34/'Price History'!D33-1),"")</f>
        <v>-0.106359044020886</v>
      </c>
      <c r="E33" s="143" t="n">
        <f aca="false">IFERROR(IF(OR(NOT(ISNUMBER('Price History'!E34)),NOT(ISNUMBER('Price History'!E33)),'Price History'!E33=0),"",'Price History'!E34/'Price History'!E33-1),"")</f>
        <v>-0.103679439323532</v>
      </c>
      <c r="F33" s="143" t="n">
        <f aca="false">IFERROR(IF(OR(NOT(ISNUMBER('Price History'!F34)),NOT(ISNUMBER('Price History'!F33)),'Price History'!F33=0),"",'Price History'!F34/'Price History'!F33-1),"")</f>
        <v>-0.00901428236946844</v>
      </c>
      <c r="G33" s="143" t="n">
        <f aca="false">IFERROR(IF(OR(NOT(ISNUMBER('Price History'!G34)),NOT(ISNUMBER('Price History'!G33)),'Price History'!G33=0),"",'Price History'!G34/'Price History'!G33-1),"")</f>
        <v>-0.0854258348433861</v>
      </c>
      <c r="H33" s="143" t="n">
        <f aca="false">IFERROR(IF(OR(NOT(ISNUMBER('Price History'!H34)),NOT(ISNUMBER('Price History'!H33)),'Price History'!H33=0),"",'Price History'!H34/'Price History'!H33-1),"")</f>
        <v>0.00986780860175007</v>
      </c>
      <c r="I33" s="143" t="n">
        <f aca="false">IFERROR(IF(OR(NOT(ISNUMBER('Price History'!I34)),NOT(ISNUMBER('Price History'!I33)),'Price History'!I33=0),"",'Price History'!I34/'Price History'!I33-1),"")</f>
        <v>-0.0773836252058076</v>
      </c>
      <c r="J33" s="143" t="n">
        <f aca="false">IFERROR(IF(OR(NOT(ISNUMBER('Price History'!J34)),NOT(ISNUMBER('Price History'!J33)),'Price History'!J33=0),"",'Price History'!J34/'Price History'!J33-1),"")</f>
        <v>-0.128565556925606</v>
      </c>
      <c r="K33" s="143" t="n">
        <f aca="false">IFERROR(IF(OR(NOT(ISNUMBER('Price History'!K34)),NOT(ISNUMBER('Price History'!K33)),'Price History'!K33=0),"",'Price History'!K34/'Price History'!K33-1),"")</f>
        <v>-0.136001819422333</v>
      </c>
      <c r="L33" s="143" t="n">
        <f aca="false">IFERROR(IF(OR(NOT(ISNUMBER('Price History'!L34)),NOT(ISNUMBER('Price History'!L33)),'Price History'!L33=0),"",'Price History'!L34/'Price History'!L33-1),"")</f>
        <v>-0.130363337593573</v>
      </c>
      <c r="M33" s="143" t="n">
        <f aca="false">IFERROR(IF(OR(NOT(ISNUMBER('Price History'!M34)),NOT(ISNUMBER('Price History'!M33)),'Price History'!M33=0),"",'Price History'!M34/'Price History'!M33-1),"")</f>
        <v>-0.0970445522717248</v>
      </c>
      <c r="N33" s="143" t="n">
        <f aca="false">IFERROR(IF(OR(NOT(ISNUMBER('Price History'!N34)),NOT(ISNUMBER('Price History'!N33)),'Price History'!N33=0),"",'Price History'!N34/'Price History'!N33-1),"")</f>
        <v>-0.00171232876712324</v>
      </c>
      <c r="O33" s="143" t="n">
        <f aca="false">IFERROR(IF(OR(NOT(ISNUMBER('Price History'!O34)),NOT(ISNUMBER('Price History'!O33)),'Price History'!O33=0),"",'Price History'!O34/'Price History'!O33-1),"")</f>
        <v>-0.0568313021167416</v>
      </c>
      <c r="P33" s="143" t="n">
        <f aca="false">IFERROR(IF(OR(NOT(ISNUMBER('Price History'!P34)),NOT(ISNUMBER('Price History'!P33)),'Price History'!P33=0),"",'Price History'!P34/'Price History'!P33-1),"")</f>
        <v>-0.104024902273056</v>
      </c>
      <c r="Q33" s="143" t="n">
        <f aca="false">IFERROR(IF(OR(NOT(ISNUMBER('Price History'!Q34)),NOT(ISNUMBER('Price History'!Q33)),'Price History'!Q33=0),"",'Price History'!Q34/'Price History'!Q33-1),"")</f>
        <v>-0.0224134111217783</v>
      </c>
      <c r="R33" s="143" t="n">
        <f aca="false">IFERROR(IF(OR(NOT(ISNUMBER('Price History'!R34)),NOT(ISNUMBER('Price History'!R33)),'Price History'!R33=0),"",'Price History'!R34/'Price History'!R33-1),"")</f>
        <v>-0.00526414739612713</v>
      </c>
      <c r="S33" s="143" t="n">
        <f aca="false">IFERROR(IF(OR(NOT(ISNUMBER('Price History'!S34)),NOT(ISNUMBER('Price History'!S33)),'Price History'!S33=0),"",'Price History'!S34/'Price History'!S33-1),"")</f>
        <v>-0.00518987341772148</v>
      </c>
      <c r="T33" s="143" t="n">
        <f aca="false">IFERROR(IF(OR(NOT(ISNUMBER('Price History'!T34)),NOT(ISNUMBER('Price History'!T33)),'Price History'!T33=0),"",'Price History'!T34/'Price History'!T33-1),"")</f>
        <v>0.0136629798308394</v>
      </c>
      <c r="U33" s="143" t="str">
        <f aca="false">IFERROR(IF(OR(NOT(ISNUMBER('Price History'!U34)),NOT(ISNUMBER('Price History'!U33)),'Price History'!U33=0),"",'Price History'!U34/'Price History'!U33-1),"")</f>
        <v/>
      </c>
      <c r="V33" s="144" t="n">
        <f aca="false">IFERROR(IF(OR(NOT(ISNUMBER('Price History'!V34)),NOT(ISNUMBER('Price History'!V33)),'Price History'!V33=0),"",'Price History'!V34/'Price History'!V33-1),"")</f>
        <v>0.0106979113601631</v>
      </c>
      <c r="W33" s="145" t="str">
        <f aca="false">IFERROR('Price History'!B3+(INDEX('Price History'!B:B,MATCH(9.99E+307,'Price History'!$A:$A))-'Price History'!B3)*(ROW()-3)/(MATCH(9.99E+307,'Returns (Calc)'!$A:$A)-3),"")</f>
        <v/>
      </c>
      <c r="X33" s="145" t="n">
        <f aca="false">IFERROR('Price History'!C3+(INDEX('Price History'!C:C,MATCH(9.99E+307,'Price History'!$A:$A))-'Price History'!C3)*(ROW()-3)/(MATCH(9.99E+307,'Returns (Calc)'!$A:$A)-3),"")</f>
        <v>37.4667924528302</v>
      </c>
      <c r="Y33" s="145" t="n">
        <f aca="false">IFERROR('Price History'!D3+(INDEX('Price History'!D:D,MATCH(9.99E+307,'Price History'!$A:$A))-'Price History'!D3)*(ROW()-3)/(MATCH(9.99E+307,'Returns (Calc)'!$A:$A)-3),"")</f>
        <v>472.19679245283</v>
      </c>
      <c r="Z33" s="145" t="n">
        <f aca="false">IFERROR('Price History'!E3+(INDEX('Price History'!E:E,MATCH(9.99E+307,'Price History'!$A:$A))-'Price History'!E3)*(ROW()-3)/(MATCH(9.99E+307,'Returns (Calc)'!$A:$A)-3),"")</f>
        <v>66.5283018867925</v>
      </c>
      <c r="AA33" s="145" t="n">
        <f aca="false">IFERROR('Price History'!F3+(INDEX('Price History'!F:F,MATCH(9.99E+307,'Price History'!$A:$A))-'Price History'!F3)*(ROW()-3)/(MATCH(9.99E+307,'Returns (Calc)'!$A:$A)-3),"")</f>
        <v>61.1005660377359</v>
      </c>
      <c r="AB33" s="145" t="n">
        <f aca="false">IFERROR('Price History'!G3+(INDEX('Price History'!G:G,MATCH(9.99E+307,'Price History'!$A:$A))-'Price History'!G3)*(ROW()-3)/(MATCH(9.99E+307,'Returns (Calc)'!$A:$A)-3),"")</f>
        <v>33.5562264150943</v>
      </c>
      <c r="AC33" s="145" t="n">
        <f aca="false">IFERROR('Price History'!H3+(INDEX('Price History'!H:H,MATCH(9.99E+307,'Price History'!$A:$A))-'Price History'!H3)*(ROW()-3)/(MATCH(9.99E+307,'Returns (Calc)'!$A:$A)-3),"")</f>
        <v>81.6107547169811</v>
      </c>
      <c r="AD33" s="145" t="n">
        <f aca="false">IFERROR('Price History'!I3+(INDEX('Price History'!I:I,MATCH(9.99E+307,'Price History'!$A:$A))-'Price History'!I3)*(ROW()-3)/(MATCH(9.99E+307,'Returns (Calc)'!$A:$A)-3),"")</f>
        <v>35.9820754716981</v>
      </c>
      <c r="AE33" s="145" t="n">
        <f aca="false">IFERROR('Price History'!J3+(INDEX('Price History'!J:J,MATCH(9.99E+307,'Price History'!$A:$A))-'Price History'!J3)*(ROW()-3)/(MATCH(9.99E+307,'Returns (Calc)'!$A:$A)-3),"")</f>
        <v>56.0703773584906</v>
      </c>
      <c r="AF33" s="145" t="n">
        <f aca="false">IFERROR('Price History'!K3+(INDEX('Price History'!K:K,MATCH(9.99E+307,'Price History'!$A:$A))-'Price History'!K3)*(ROW()-3)/(MATCH(9.99E+307,'Returns (Calc)'!$A:$A)-3),"")</f>
        <v>35.5115094339623</v>
      </c>
      <c r="AG33" s="145" t="n">
        <f aca="false">IFERROR('Price History'!L3+(INDEX('Price History'!L:L,MATCH(9.99E+307,'Price History'!$A:$A))-'Price History'!L3)*(ROW()-3)/(MATCH(9.99E+307,'Returns (Calc)'!$A:$A)-3),"")</f>
        <v>90.7381132075472</v>
      </c>
      <c r="AH33" s="145" t="n">
        <f aca="false">IFERROR('Price History'!M3+(INDEX('Price History'!M:M,MATCH(9.99E+307,'Price History'!$A:$A))-'Price History'!M3)*(ROW()-3)/(MATCH(9.99E+307,'Returns (Calc)'!$A:$A)-3),"")</f>
        <v>12.4375471698113</v>
      </c>
      <c r="AI33" s="145" t="n">
        <f aca="false">IFERROR('Price History'!N3+(INDEX('Price History'!N:N,MATCH(9.99E+307,'Price History'!$A:$A))-'Price History'!N3)*(ROW()-3)/(MATCH(9.99E+307,'Returns (Calc)'!$A:$A)-3),"")</f>
        <v>17.6867924528302</v>
      </c>
      <c r="AJ33" s="145" t="n">
        <f aca="false">IFERROR('Price History'!O3+(INDEX('Price History'!O:O,MATCH(9.99E+307,'Price History'!$A:$A))-'Price History'!O3)*(ROW()-3)/(MATCH(9.99E+307,'Returns (Calc)'!$A:$A)-3),"")</f>
        <v>46.7564150943396</v>
      </c>
      <c r="AK33" s="145" t="n">
        <f aca="false">IFERROR('Price History'!Q3+(INDEX('Price History'!Q:Q,MATCH(9.99E+307,'Price History'!$A:$A))-'Price History'!Q3)*(ROW()-3)/(MATCH(9.99E+307,'Returns (Calc)'!$A:$A)-3),"")</f>
        <v>191.171509433962</v>
      </c>
      <c r="AL33" s="145" t="n">
        <f aca="false">IFERROR('Price History'!R3+(INDEX('Price History'!R:R,MATCH(9.99E+307,'Price History'!$A:$A))-'Price History'!R3)*(ROW()-3)/(MATCH(9.99E+307,'Returns (Calc)'!$A:$A)-3),"")</f>
        <v>38.797358490566</v>
      </c>
      <c r="AM33" s="145" t="n">
        <f aca="false">IFERROR('Price History'!S3+(INDEX('Price History'!S:S,MATCH(9.99E+307,'Price History'!$A:$A))-'Price History'!S3)*(ROW()-3)/(MATCH(9.99E+307,'Returns (Calc)'!$A:$A)-3),"")</f>
        <v>47.4947169811321</v>
      </c>
      <c r="AN33" s="145" t="n">
        <f aca="false">IFERROR('Price History'!T3+(INDEX('Price History'!T:T,MATCH(9.99E+307,'Price History'!$A:$A))-'Price History'!T3)*(ROW()-3)/(MATCH(9.99E+307,'Returns (Calc)'!$A:$A)-3),"")</f>
        <v>21.832641509434</v>
      </c>
      <c r="AO33" s="146" t="n">
        <f aca="false">IFERROR('Price History'!V3+(INDEX('Price History'!V:V,MATCH(9.99E+307,'Price History'!$A:$A))-'Price History'!V3)*(ROW()-3)/(MATCH(9.99E+307,'Returns (Calc)'!$A:$A)-3),"")</f>
        <v>0</v>
      </c>
    </row>
    <row r="34" customFormat="false" ht="15" hidden="false" customHeight="true" outlineLevel="0" collapsed="false">
      <c r="A34" s="142" t="n">
        <f aca="false">IF('Price History'!A35="","",'Price History'!A35)</f>
        <v>45408</v>
      </c>
      <c r="B34" s="143" t="n">
        <f aca="false">IFERROR(IF(OR(NOT(ISNUMBER('Price History'!B35)),NOT(ISNUMBER('Price History'!B34)),'Price History'!B34=0),"",'Price History'!B35/'Price History'!B34-1),"")</f>
        <v>0.0269665820824911</v>
      </c>
      <c r="C34" s="143" t="n">
        <f aca="false">IFERROR(IF(OR(NOT(ISNUMBER('Price History'!C35)),NOT(ISNUMBER('Price History'!C34)),'Price History'!C34=0),"",'Price History'!C35/'Price History'!C34-1),"")</f>
        <v>0.0757477243172953</v>
      </c>
      <c r="D34" s="143" t="n">
        <f aca="false">IFERROR(IF(OR(NOT(ISNUMBER('Price History'!D35)),NOT(ISNUMBER('Price History'!D34)),'Price History'!D34=0),"",'Price History'!D35/'Price History'!D34-1),"")</f>
        <v>0.0713607106381968</v>
      </c>
      <c r="E34" s="143" t="n">
        <f aca="false">IFERROR(IF(OR(NOT(ISNUMBER('Price History'!E35)),NOT(ISNUMBER('Price History'!E34)),'Price History'!E34=0),"",'Price History'!E35/'Price History'!E34-1),"")</f>
        <v>0.115672276049635</v>
      </c>
      <c r="F34" s="143" t="n">
        <f aca="false">IFERROR(IF(OR(NOT(ISNUMBER('Price History'!F35)),NOT(ISNUMBER('Price History'!F34)),'Price History'!F34=0),"",'Price History'!F35/'Price History'!F34-1),"")</f>
        <v>0.0248080330773774</v>
      </c>
      <c r="G34" s="143" t="n">
        <f aca="false">IFERROR(IF(OR(NOT(ISNUMBER('Price History'!G35)),NOT(ISNUMBER('Price History'!G34)),'Price History'!G34=0),"",'Price History'!G35/'Price History'!G34-1),"")</f>
        <v>0.0758562128502689</v>
      </c>
      <c r="H34" s="143" t="n">
        <f aca="false">IFERROR(IF(OR(NOT(ISNUMBER('Price History'!H35)),NOT(ISNUMBER('Price History'!H34)),'Price History'!H34=0),"",'Price History'!H35/'Price History'!H34-1),"")</f>
        <v>0.00912610619469012</v>
      </c>
      <c r="I34" s="143" t="n">
        <f aca="false">IFERROR(IF(OR(NOT(ISNUMBER('Price History'!I35)),NOT(ISNUMBER('Price History'!I34)),'Price History'!I34=0),"",'Price History'!I35/'Price History'!I34-1),"")</f>
        <v>0.124432186891629</v>
      </c>
      <c r="J34" s="143" t="n">
        <f aca="false">IFERROR(IF(OR(NOT(ISNUMBER('Price History'!J35)),NOT(ISNUMBER('Price History'!J34)),'Price History'!J34=0),"",'Price History'!J35/'Price History'!J34-1),"")</f>
        <v>0.0755589095368361</v>
      </c>
      <c r="K34" s="143" t="n">
        <f aca="false">IFERROR(IF(OR(NOT(ISNUMBER('Price History'!K35)),NOT(ISNUMBER('Price History'!K34)),'Price History'!K34=0),"",'Price History'!K35/'Price History'!K34-1),"")</f>
        <v>0.151487233482495</v>
      </c>
      <c r="L34" s="143" t="n">
        <f aca="false">IFERROR(IF(OR(NOT(ISNUMBER('Price History'!L35)),NOT(ISNUMBER('Price History'!L34)),'Price History'!L34=0),"",'Price History'!L35/'Price History'!L34-1),"")</f>
        <v>0.00556372034432084</v>
      </c>
      <c r="M34" s="143" t="n">
        <f aca="false">IFERROR(IF(OR(NOT(ISNUMBER('Price History'!M35)),NOT(ISNUMBER('Price History'!M34)),'Price History'!M34=0),"",'Price History'!M35/'Price History'!M34-1),"")</f>
        <v>0.100146555935515</v>
      </c>
      <c r="N34" s="143" t="n">
        <f aca="false">IFERROR(IF(OR(NOT(ISNUMBER('Price History'!N35)),NOT(ISNUMBER('Price History'!N34)),'Price History'!N34=0),"",'Price History'!N35/'Price History'!N34-1),"")</f>
        <v>0.010720411663808</v>
      </c>
      <c r="O34" s="143" t="n">
        <f aca="false">IFERROR(IF(OR(NOT(ISNUMBER('Price History'!O35)),NOT(ISNUMBER('Price History'!O34)),'Price History'!O34=0),"",'Price History'!O35/'Price History'!O34-1),"")</f>
        <v>0.0300598476605007</v>
      </c>
      <c r="P34" s="143" t="n">
        <f aca="false">IFERROR(IF(OR(NOT(ISNUMBER('Price History'!P35)),NOT(ISNUMBER('Price History'!P34)),'Price History'!P34=0),"",'Price History'!P35/'Price History'!P34-1),"")</f>
        <v>0.0830572836713259</v>
      </c>
      <c r="Q34" s="143" t="n">
        <f aca="false">IFERROR(IF(OR(NOT(ISNUMBER('Price History'!Q35)),NOT(ISNUMBER('Price History'!Q34)),'Price History'!Q34=0),"",'Price History'!Q35/'Price History'!Q34-1),"")</f>
        <v>0.0175637393767705</v>
      </c>
      <c r="R34" s="143" t="n">
        <f aca="false">IFERROR(IF(OR(NOT(ISNUMBER('Price History'!R35)),NOT(ISNUMBER('Price History'!R34)),'Price History'!R34=0),"",'Price History'!R35/'Price History'!R34-1),"")</f>
        <v>0.0255150255150256</v>
      </c>
      <c r="S34" s="143" t="n">
        <f aca="false">IFERROR(IF(OR(NOT(ISNUMBER('Price History'!S35)),NOT(ISNUMBER('Price History'!S34)),'Price History'!S34=0),"",'Price History'!S35/'Price History'!S34-1),"")</f>
        <v>0.028502353989057</v>
      </c>
      <c r="T34" s="143" t="n">
        <f aca="false">IFERROR(IF(OR(NOT(ISNUMBER('Price History'!T35)),NOT(ISNUMBER('Price History'!T34)),'Price History'!T34=0),"",'Price History'!T35/'Price History'!T34-1),"")</f>
        <v>0.0240693196405648</v>
      </c>
      <c r="U34" s="143" t="str">
        <f aca="false">IFERROR(IF(OR(NOT(ISNUMBER('Price History'!U35)),NOT(ISNUMBER('Price History'!U34)),'Price History'!U34=0),"",'Price History'!U35/'Price History'!U34-1),"")</f>
        <v/>
      </c>
      <c r="V34" s="144" t="n">
        <f aca="false">IFERROR(IF(OR(NOT(ISNUMBER('Price History'!V35)),NOT(ISNUMBER('Price History'!V34)),'Price History'!V34=0),"",'Price History'!V35/'Price History'!V34-1),"")</f>
        <v>0.000792050691244439</v>
      </c>
      <c r="W34" s="145" t="str">
        <f aca="false">IFERROR('Price History'!B3+(INDEX('Price History'!B:B,MATCH(9.99E+307,'Price History'!$A:$A))-'Price History'!B3)*(ROW()-3)/(MATCH(9.99E+307,'Returns (Calc)'!$A:$A)-3),"")</f>
        <v/>
      </c>
      <c r="X34" s="145" t="n">
        <f aca="false">IFERROR('Price History'!C3+(INDEX('Price History'!C:C,MATCH(9.99E+307,'Price History'!$A:$A))-'Price History'!C3)*(ROW()-3)/(MATCH(9.99E+307,'Returns (Calc)'!$A:$A)-3),"")</f>
        <v>37.1763522012579</v>
      </c>
      <c r="Y34" s="145" t="n">
        <f aca="false">IFERROR('Price History'!D3+(INDEX('Price History'!D:D,MATCH(9.99E+307,'Price History'!$A:$A))-'Price History'!D3)*(ROW()-3)/(MATCH(9.99E+307,'Returns (Calc)'!$A:$A)-3),"")</f>
        <v>468.536352201258</v>
      </c>
      <c r="Z34" s="145" t="n">
        <f aca="false">IFERROR('Price History'!E3+(INDEX('Price History'!E:E,MATCH(9.99E+307,'Price History'!$A:$A))-'Price History'!E3)*(ROW()-3)/(MATCH(9.99E+307,'Returns (Calc)'!$A:$A)-3),"")</f>
        <v>66.0125786163522</v>
      </c>
      <c r="AA34" s="145" t="n">
        <f aca="false">IFERROR('Price History'!F3+(INDEX('Price History'!F:F,MATCH(9.99E+307,'Price History'!$A:$A))-'Price History'!F3)*(ROW()-3)/(MATCH(9.99E+307,'Returns (Calc)'!$A:$A)-3),"")</f>
        <v>60.6269182389937</v>
      </c>
      <c r="AB34" s="145" t="n">
        <f aca="false">IFERROR('Price History'!G3+(INDEX('Price History'!G:G,MATCH(9.99E+307,'Price History'!$A:$A))-'Price History'!G3)*(ROW()-3)/(MATCH(9.99E+307,'Returns (Calc)'!$A:$A)-3),"")</f>
        <v>33.2961006289308</v>
      </c>
      <c r="AC34" s="145" t="n">
        <f aca="false">IFERROR('Price History'!H3+(INDEX('Price History'!H:H,MATCH(9.99E+307,'Price History'!$A:$A))-'Price History'!H3)*(ROW()-3)/(MATCH(9.99E+307,'Returns (Calc)'!$A:$A)-3),"")</f>
        <v>80.9781132075472</v>
      </c>
      <c r="AD34" s="145" t="n">
        <f aca="false">IFERROR('Price History'!I3+(INDEX('Price History'!I:I,MATCH(9.99E+307,'Price History'!$A:$A))-'Price History'!I3)*(ROW()-3)/(MATCH(9.99E+307,'Returns (Calc)'!$A:$A)-3),"")</f>
        <v>35.7031446540881</v>
      </c>
      <c r="AE34" s="145" t="n">
        <f aca="false">IFERROR('Price History'!J3+(INDEX('Price History'!J:J,MATCH(9.99E+307,'Price History'!$A:$A))-'Price History'!J3)*(ROW()-3)/(MATCH(9.99E+307,'Returns (Calc)'!$A:$A)-3),"")</f>
        <v>55.6357232704403</v>
      </c>
      <c r="AF34" s="145" t="n">
        <f aca="false">IFERROR('Price History'!K3+(INDEX('Price History'!K:K,MATCH(9.99E+307,'Price History'!$A:$A))-'Price History'!K3)*(ROW()-3)/(MATCH(9.99E+307,'Returns (Calc)'!$A:$A)-3),"")</f>
        <v>35.2362264150943</v>
      </c>
      <c r="AG34" s="145" t="n">
        <f aca="false">IFERROR('Price History'!L3+(INDEX('Price History'!L:L,MATCH(9.99E+307,'Price History'!$A:$A))-'Price History'!L3)*(ROW()-3)/(MATCH(9.99E+307,'Returns (Calc)'!$A:$A)-3),"")</f>
        <v>90.0347169811321</v>
      </c>
      <c r="AH34" s="145" t="n">
        <f aca="false">IFERROR('Price History'!M3+(INDEX('Price History'!M:M,MATCH(9.99E+307,'Price History'!$A:$A))-'Price History'!M3)*(ROW()-3)/(MATCH(9.99E+307,'Returns (Calc)'!$A:$A)-3),"")</f>
        <v>12.3411320754717</v>
      </c>
      <c r="AI34" s="145" t="n">
        <f aca="false">IFERROR('Price History'!N3+(INDEX('Price History'!N:N,MATCH(9.99E+307,'Price History'!$A:$A))-'Price History'!N3)*(ROW()-3)/(MATCH(9.99E+307,'Returns (Calc)'!$A:$A)-3),"")</f>
        <v>17.5496855345912</v>
      </c>
      <c r="AJ34" s="145" t="n">
        <f aca="false">IFERROR('Price History'!O3+(INDEX('Price History'!O:O,MATCH(9.99E+307,'Price History'!$A:$A))-'Price History'!O3)*(ROW()-3)/(MATCH(9.99E+307,'Returns (Calc)'!$A:$A)-3),"")</f>
        <v>46.3939622641509</v>
      </c>
      <c r="AK34" s="145" t="n">
        <f aca="false">IFERROR('Price History'!Q3+(INDEX('Price History'!Q:Q,MATCH(9.99E+307,'Price History'!$A:$A))-'Price History'!Q3)*(ROW()-3)/(MATCH(9.99E+307,'Returns (Calc)'!$A:$A)-3),"")</f>
        <v>189.689559748428</v>
      </c>
      <c r="AL34" s="145" t="n">
        <f aca="false">IFERROR('Price History'!R3+(INDEX('Price History'!R:R,MATCH(9.99E+307,'Price History'!$A:$A))-'Price History'!R3)*(ROW()-3)/(MATCH(9.99E+307,'Returns (Calc)'!$A:$A)-3),"")</f>
        <v>38.4966037735849</v>
      </c>
      <c r="AM34" s="145" t="n">
        <f aca="false">IFERROR('Price History'!S3+(INDEX('Price History'!S:S,MATCH(9.99E+307,'Price History'!$A:$A))-'Price History'!S3)*(ROW()-3)/(MATCH(9.99E+307,'Returns (Calc)'!$A:$A)-3),"")</f>
        <v>47.1265408805031</v>
      </c>
      <c r="AN34" s="145" t="n">
        <f aca="false">IFERROR('Price History'!T3+(INDEX('Price History'!T:T,MATCH(9.99E+307,'Price History'!$A:$A))-'Price History'!T3)*(ROW()-3)/(MATCH(9.99E+307,'Returns (Calc)'!$A:$A)-3),"")</f>
        <v>21.6633962264151</v>
      </c>
      <c r="AO34" s="146" t="n">
        <f aca="false">IFERROR('Price History'!V3+(INDEX('Price History'!V:V,MATCH(9.99E+307,'Price History'!$A:$A))-'Price History'!V3)*(ROW()-3)/(MATCH(9.99E+307,'Returns (Calc)'!$A:$A)-3),"")</f>
        <v>0</v>
      </c>
    </row>
    <row r="35" customFormat="false" ht="15" hidden="false" customHeight="true" outlineLevel="0" collapsed="false">
      <c r="A35" s="142" t="n">
        <f aca="false">IF('Price History'!A36="","",'Price History'!A36)</f>
        <v>45415</v>
      </c>
      <c r="B35" s="143" t="n">
        <f aca="false">IFERROR(IF(OR(NOT(ISNUMBER('Price History'!B36)),NOT(ISNUMBER('Price History'!B35)),'Price History'!B35=0),"",'Price History'!B36/'Price History'!B35-1),"")</f>
        <v>0.0180500879470642</v>
      </c>
      <c r="C35" s="143" t="n">
        <f aca="false">IFERROR(IF(OR(NOT(ISNUMBER('Price History'!C36)),NOT(ISNUMBER('Price History'!C35)),'Price History'!C35=0),"",'Price History'!C36/'Price History'!C35-1),"")</f>
        <v>0.0365669386521605</v>
      </c>
      <c r="D35" s="143" t="n">
        <f aca="false">IFERROR(IF(OR(NOT(ISNUMBER('Price History'!D36)),NOT(ISNUMBER('Price History'!D35)),'Price History'!D35=0),"",'Price History'!D36/'Price History'!D35-1),"")</f>
        <v>-0.0188660422324447</v>
      </c>
      <c r="E35" s="143" t="n">
        <f aca="false">IFERROR(IF(OR(NOT(ISNUMBER('Price History'!E36)),NOT(ISNUMBER('Price History'!E35)),'Price History'!E35=0),"",'Price History'!E36/'Price History'!E35-1),"")</f>
        <v>-0.0490591909804221</v>
      </c>
      <c r="F35" s="143" t="n">
        <f aca="false">IFERROR(IF(OR(NOT(ISNUMBER('Price History'!F36)),NOT(ISNUMBER('Price History'!F35)),'Price History'!F35=0),"",'Price History'!F36/'Price History'!F35-1),"")</f>
        <v>0.00680115273775228</v>
      </c>
      <c r="G35" s="143" t="n">
        <f aca="false">IFERROR(IF(OR(NOT(ISNUMBER('Price History'!G36)),NOT(ISNUMBER('Price History'!G35)),'Price History'!G35=0),"",'Price History'!G36/'Price History'!G35-1),"")</f>
        <v>0.0201262825572217</v>
      </c>
      <c r="H35" s="143" t="n">
        <f aca="false">IFERROR(IF(OR(NOT(ISNUMBER('Price History'!H36)),NOT(ISNUMBER('Price History'!H35)),'Price History'!H35=0),"",'Price History'!H36/'Price History'!H35-1),"")</f>
        <v>0.0122407965652691</v>
      </c>
      <c r="I35" s="143" t="n">
        <f aca="false">IFERROR(IF(OR(NOT(ISNUMBER('Price History'!I36)),NOT(ISNUMBER('Price History'!I35)),'Price History'!I35=0),"",'Price History'!I36/'Price History'!I35-1),"")</f>
        <v>-0.0137065358534122</v>
      </c>
      <c r="J35" s="143" t="n">
        <f aca="false">IFERROR(IF(OR(NOT(ISNUMBER('Price History'!J36)),NOT(ISNUMBER('Price History'!J35)),'Price History'!J35=0),"",'Price History'!J36/'Price History'!J35-1),"")</f>
        <v>-0.00122785476232246</v>
      </c>
      <c r="K35" s="143" t="n">
        <f aca="false">IFERROR(IF(OR(NOT(ISNUMBER('Price History'!K36)),NOT(ISNUMBER('Price History'!K35)),'Price History'!K35=0),"",'Price History'!K36/'Price History'!K35-1),"")</f>
        <v>0.0120013715853242</v>
      </c>
      <c r="L35" s="143" t="n">
        <f aca="false">IFERROR(IF(OR(NOT(ISNUMBER('Price History'!L36)),NOT(ISNUMBER('Price History'!L35)),'Price History'!L35=0),"",'Price History'!L36/'Price History'!L35-1),"")</f>
        <v>0.0175383651738177</v>
      </c>
      <c r="M35" s="143" t="n">
        <f aca="false">IFERROR(IF(OR(NOT(ISNUMBER('Price History'!M36)),NOT(ISNUMBER('Price History'!M35)),'Price History'!M35=0),"",'Price History'!M36/'Price History'!M35-1),"")</f>
        <v>0.0359680284191828</v>
      </c>
      <c r="N35" s="143" t="n">
        <f aca="false">IFERROR(IF(OR(NOT(ISNUMBER('Price History'!N36)),NOT(ISNUMBER('Price History'!N35)),'Price History'!N35=0),"",'Price History'!N36/'Price History'!N35-1),"")</f>
        <v>0.0063640220619432</v>
      </c>
      <c r="O35" s="143" t="n">
        <f aca="false">IFERROR(IF(OR(NOT(ISNUMBER('Price History'!O36)),NOT(ISNUMBER('Price History'!O35)),'Price History'!O35=0),"",'Price History'!O36/'Price History'!O35-1),"")</f>
        <v>0.00977155684669206</v>
      </c>
      <c r="P35" s="143" t="n">
        <f aca="false">IFERROR(IF(OR(NOT(ISNUMBER('Price History'!P36)),NOT(ISNUMBER('Price History'!P35)),'Price History'!P35=0),"",'Price History'!P36/'Price History'!P35-1),"")</f>
        <v>0.023573293547184</v>
      </c>
      <c r="Q35" s="143" t="n">
        <f aca="false">IFERROR(IF(OR(NOT(ISNUMBER('Price History'!Q36)),NOT(ISNUMBER('Price History'!Q35)),'Price History'!Q35=0),"",'Price History'!Q36/'Price History'!Q35-1),"")</f>
        <v>-0.0219376391982181</v>
      </c>
      <c r="R35" s="143" t="n">
        <f aca="false">IFERROR(IF(OR(NOT(ISNUMBER('Price History'!R36)),NOT(ISNUMBER('Price History'!R35)),'Price History'!R35=0),"",'Price History'!R36/'Price History'!R35-1),"")</f>
        <v>-0.000368595650571235</v>
      </c>
      <c r="S35" s="143" t="n">
        <f aca="false">IFERROR(IF(OR(NOT(ISNUMBER('Price History'!S36)),NOT(ISNUMBER('Price History'!S35)),'Price History'!S35=0),"",'Price History'!S36/'Price History'!S35-1),"")</f>
        <v>-0.00754670295682292</v>
      </c>
      <c r="T35" s="143" t="n">
        <f aca="false">IFERROR(IF(OR(NOT(ISNUMBER('Price History'!T36)),NOT(ISNUMBER('Price History'!T35)),'Price History'!T35=0),"",'Price History'!T36/'Price History'!T35-1),"")</f>
        <v>0.0156690692572861</v>
      </c>
      <c r="U35" s="143" t="str">
        <f aca="false">IFERROR(IF(OR(NOT(ISNUMBER('Price History'!U36)),NOT(ISNUMBER('Price History'!U35)),'Price History'!U35=0),"",'Price History'!U36/'Price History'!U35-1),"")</f>
        <v/>
      </c>
      <c r="V35" s="144" t="str">
        <f aca="false">IFERROR(IF(OR(NOT(ISNUMBER('Price History'!V36)),NOT(ISNUMBER('Price History'!V35)),'Price History'!V35=0),"",'Price History'!V36/'Price History'!V35-1),"")</f>
        <v/>
      </c>
      <c r="W35" s="145" t="str">
        <f aca="false">IFERROR('Price History'!B3+(INDEX('Price History'!B:B,MATCH(9.99E+307,'Price History'!$A:$A))-'Price History'!B3)*(ROW()-3)/(MATCH(9.99E+307,'Returns (Calc)'!$A:$A)-3),"")</f>
        <v/>
      </c>
      <c r="X35" s="145" t="n">
        <f aca="false">IFERROR('Price History'!C3+(INDEX('Price History'!C:C,MATCH(9.99E+307,'Price History'!$A:$A))-'Price History'!C3)*(ROW()-3)/(MATCH(9.99E+307,'Returns (Calc)'!$A:$A)-3),"")</f>
        <v>36.8859119496855</v>
      </c>
      <c r="Y35" s="145" t="n">
        <f aca="false">IFERROR('Price History'!D3+(INDEX('Price History'!D:D,MATCH(9.99E+307,'Price History'!$A:$A))-'Price History'!D3)*(ROW()-3)/(MATCH(9.99E+307,'Returns (Calc)'!$A:$A)-3),"")</f>
        <v>464.875911949686</v>
      </c>
      <c r="Z35" s="145" t="n">
        <f aca="false">IFERROR('Price History'!E3+(INDEX('Price History'!E:E,MATCH(9.99E+307,'Price History'!$A:$A))-'Price History'!E3)*(ROW()-3)/(MATCH(9.99E+307,'Returns (Calc)'!$A:$A)-3),"")</f>
        <v>65.496855345912</v>
      </c>
      <c r="AA35" s="145" t="n">
        <f aca="false">IFERROR('Price History'!F3+(INDEX('Price History'!F:F,MATCH(9.99E+307,'Price History'!$A:$A))-'Price History'!F3)*(ROW()-3)/(MATCH(9.99E+307,'Returns (Calc)'!$A:$A)-3),"")</f>
        <v>60.1532704402516</v>
      </c>
      <c r="AB35" s="145" t="n">
        <f aca="false">IFERROR('Price History'!G3+(INDEX('Price History'!G:G,MATCH(9.99E+307,'Price History'!$A:$A))-'Price History'!G3)*(ROW()-3)/(MATCH(9.99E+307,'Returns (Calc)'!$A:$A)-3),"")</f>
        <v>33.0359748427673</v>
      </c>
      <c r="AC35" s="145" t="n">
        <f aca="false">IFERROR('Price History'!H3+(INDEX('Price History'!H:H,MATCH(9.99E+307,'Price History'!$A:$A))-'Price History'!H3)*(ROW()-3)/(MATCH(9.99E+307,'Returns (Calc)'!$A:$A)-3),"")</f>
        <v>80.3454716981132</v>
      </c>
      <c r="AD35" s="145" t="n">
        <f aca="false">IFERROR('Price History'!I3+(INDEX('Price History'!I:I,MATCH(9.99E+307,'Price History'!$A:$A))-'Price History'!I3)*(ROW()-3)/(MATCH(9.99E+307,'Returns (Calc)'!$A:$A)-3),"")</f>
        <v>35.424213836478</v>
      </c>
      <c r="AE35" s="145" t="n">
        <f aca="false">IFERROR('Price History'!J3+(INDEX('Price History'!J:J,MATCH(9.99E+307,'Price History'!$A:$A))-'Price History'!J3)*(ROW()-3)/(MATCH(9.99E+307,'Returns (Calc)'!$A:$A)-3),"")</f>
        <v>55.2010691823899</v>
      </c>
      <c r="AF35" s="145" t="n">
        <f aca="false">IFERROR('Price History'!K3+(INDEX('Price History'!K:K,MATCH(9.99E+307,'Price History'!$A:$A))-'Price History'!K3)*(ROW()-3)/(MATCH(9.99E+307,'Returns (Calc)'!$A:$A)-3),"")</f>
        <v>34.9609433962264</v>
      </c>
      <c r="AG35" s="145" t="n">
        <f aca="false">IFERROR('Price History'!L3+(INDEX('Price History'!L:L,MATCH(9.99E+307,'Price History'!$A:$A))-'Price History'!L3)*(ROW()-3)/(MATCH(9.99E+307,'Returns (Calc)'!$A:$A)-3),"")</f>
        <v>89.331320754717</v>
      </c>
      <c r="AH35" s="145" t="n">
        <f aca="false">IFERROR('Price History'!M3+(INDEX('Price History'!M:M,MATCH(9.99E+307,'Price History'!$A:$A))-'Price History'!M3)*(ROW()-3)/(MATCH(9.99E+307,'Returns (Calc)'!$A:$A)-3),"")</f>
        <v>12.2447169811321</v>
      </c>
      <c r="AI35" s="145" t="n">
        <f aca="false">IFERROR('Price History'!N3+(INDEX('Price History'!N:N,MATCH(9.99E+307,'Price History'!$A:$A))-'Price History'!N3)*(ROW()-3)/(MATCH(9.99E+307,'Returns (Calc)'!$A:$A)-3),"")</f>
        <v>17.4125786163522</v>
      </c>
      <c r="AJ35" s="145" t="n">
        <f aca="false">IFERROR('Price History'!O3+(INDEX('Price History'!O:O,MATCH(9.99E+307,'Price History'!$A:$A))-'Price History'!O3)*(ROW()-3)/(MATCH(9.99E+307,'Returns (Calc)'!$A:$A)-3),"")</f>
        <v>46.0315094339623</v>
      </c>
      <c r="AK35" s="145" t="n">
        <f aca="false">IFERROR('Price History'!Q3+(INDEX('Price History'!Q:Q,MATCH(9.99E+307,'Price History'!$A:$A))-'Price History'!Q3)*(ROW()-3)/(MATCH(9.99E+307,'Returns (Calc)'!$A:$A)-3),"")</f>
        <v>188.207610062893</v>
      </c>
      <c r="AL35" s="145" t="n">
        <f aca="false">IFERROR('Price History'!R3+(INDEX('Price History'!R:R,MATCH(9.99E+307,'Price History'!$A:$A))-'Price History'!R3)*(ROW()-3)/(MATCH(9.99E+307,'Returns (Calc)'!$A:$A)-3),"")</f>
        <v>38.1958490566038</v>
      </c>
      <c r="AM35" s="145" t="n">
        <f aca="false">IFERROR('Price History'!S3+(INDEX('Price History'!S:S,MATCH(9.99E+307,'Price History'!$A:$A))-'Price History'!S3)*(ROW()-3)/(MATCH(9.99E+307,'Returns (Calc)'!$A:$A)-3),"")</f>
        <v>46.7583647798742</v>
      </c>
      <c r="AN35" s="145" t="n">
        <f aca="false">IFERROR('Price History'!T3+(INDEX('Price History'!T:T,MATCH(9.99E+307,'Price History'!$A:$A))-'Price History'!T3)*(ROW()-3)/(MATCH(9.99E+307,'Returns (Calc)'!$A:$A)-3),"")</f>
        <v>21.4941509433962</v>
      </c>
      <c r="AO35" s="146" t="n">
        <f aca="false">IFERROR('Price History'!V3+(INDEX('Price History'!V:V,MATCH(9.99E+307,'Price History'!$A:$A))-'Price History'!V3)*(ROW()-3)/(MATCH(9.99E+307,'Returns (Calc)'!$A:$A)-3),"")</f>
        <v>0</v>
      </c>
    </row>
    <row r="36" customFormat="false" ht="15" hidden="false" customHeight="true" outlineLevel="0" collapsed="false">
      <c r="A36" s="142" t="n">
        <f aca="false">IF('Price History'!A37="","",'Price History'!A37)</f>
        <v>45422</v>
      </c>
      <c r="B36" s="143" t="n">
        <f aca="false">IFERROR(IF(OR(NOT(ISNUMBER('Price History'!B37)),NOT(ISNUMBER('Price History'!B36)),'Price History'!B36=0),"",'Price History'!B37/'Price History'!B36-1),"")</f>
        <v>-0.00800115183676819</v>
      </c>
      <c r="C36" s="143" t="n">
        <f aca="false">IFERROR(IF(OR(NOT(ISNUMBER('Price History'!C37)),NOT(ISNUMBER('Price History'!C36)),'Price History'!C36=0),"",'Price History'!C37/'Price History'!C36-1),"")</f>
        <v>0.144460641399417</v>
      </c>
      <c r="D36" s="143" t="n">
        <f aca="false">IFERROR(IF(OR(NOT(ISNUMBER('Price History'!D37)),NOT(ISNUMBER('Price History'!D36)),'Price History'!D36=0),"",'Price History'!D37/'Price History'!D36-1),"")</f>
        <v>0.031780642391513</v>
      </c>
      <c r="E36" s="143" t="n">
        <f aca="false">IFERROR(IF(OR(NOT(ISNUMBER('Price History'!E37)),NOT(ISNUMBER('Price History'!E36)),'Price History'!E36=0),"",'Price History'!E37/'Price History'!E36-1),"")</f>
        <v>0.0427781783225185</v>
      </c>
      <c r="F36" s="143" t="n">
        <f aca="false">IFERROR(IF(OR(NOT(ISNUMBER('Price History'!F37)),NOT(ISNUMBER('Price History'!F36)),'Price History'!F36=0),"",'Price History'!F37/'Price History'!F36-1),"")</f>
        <v>0.0172887565834667</v>
      </c>
      <c r="G36" s="143" t="n">
        <f aca="false">IFERROR(IF(OR(NOT(ISNUMBER('Price History'!G37)),NOT(ISNUMBER('Price History'!G36)),'Price History'!G36=0),"",'Price History'!G37/'Price History'!G36-1),"")</f>
        <v>0.0340425531914894</v>
      </c>
      <c r="H36" s="143" t="n">
        <f aca="false">IFERROR(IF(OR(NOT(ISNUMBER('Price History'!H37)),NOT(ISNUMBER('Price History'!H36)),'Price History'!H36=0),"",'Price History'!H37/'Price History'!H36-1),"")</f>
        <v>0.0247270101976356</v>
      </c>
      <c r="I36" s="143" t="n">
        <f aca="false">IFERROR(IF(OR(NOT(ISNUMBER('Price History'!I37)),NOT(ISNUMBER('Price History'!I36)),'Price History'!I36=0),"",'Price History'!I37/'Price History'!I36-1),"")</f>
        <v>0.031158572264482</v>
      </c>
      <c r="J36" s="143" t="n">
        <f aca="false">IFERROR(IF(OR(NOT(ISNUMBER('Price History'!J37)),NOT(ISNUMBER('Price History'!J36)),'Price History'!J36=0),"",'Price History'!J37/'Price History'!J36-1),"")</f>
        <v>0.0570776255707763</v>
      </c>
      <c r="K36" s="143" t="n">
        <f aca="false">IFERROR(IF(OR(NOT(ISNUMBER('Price History'!K37)),NOT(ISNUMBER('Price History'!K36)),'Price History'!K36=0),"",'Price History'!K37/'Price History'!K36-1),"")</f>
        <v>0.0121978766659137</v>
      </c>
      <c r="L36" s="143" t="n">
        <f aca="false">IFERROR(IF(OR(NOT(ISNUMBER('Price History'!L37)),NOT(ISNUMBER('Price History'!L36)),'Price History'!L36=0),"",'Price History'!L37/'Price History'!L36-1),"")</f>
        <v>0.0151841592284807</v>
      </c>
      <c r="M36" s="143" t="n">
        <f aca="false">IFERROR(IF(OR(NOT(ISNUMBER('Price History'!M37)),NOT(ISNUMBER('Price History'!M36)),'Price History'!M36=0),"",'Price History'!M37/'Price History'!M36-1),"")</f>
        <v>-0.11701671667381</v>
      </c>
      <c r="N36" s="143" t="n">
        <f aca="false">IFERROR(IF(OR(NOT(ISNUMBER('Price History'!N37)),NOT(ISNUMBER('Price History'!N36)),'Price History'!N36=0),"",'Price History'!N37/'Price History'!N36-1),"")</f>
        <v>0.0168634064080946</v>
      </c>
      <c r="O36" s="143" t="n">
        <f aca="false">IFERROR(IF(OR(NOT(ISNUMBER('Price History'!O37)),NOT(ISNUMBER('Price History'!O36)),'Price History'!O36=0),"",'Price History'!O37/'Price History'!O36-1),"")</f>
        <v>0.0222309402380019</v>
      </c>
      <c r="P36" s="143" t="n">
        <f aca="false">IFERROR(IF(OR(NOT(ISNUMBER('Price History'!P37)),NOT(ISNUMBER('Price History'!P36)),'Price History'!P36=0),"",'Price History'!P37/'Price History'!P36-1),"")</f>
        <v>0.0543692150717876</v>
      </c>
      <c r="Q36" s="143" t="n">
        <f aca="false">IFERROR(IF(OR(NOT(ISNUMBER('Price History'!Q37)),NOT(ISNUMBER('Price History'!Q36)),'Price History'!Q36=0),"",'Price History'!Q37/'Price History'!Q36-1),"")</f>
        <v>0.045618429541918</v>
      </c>
      <c r="R36" s="143" t="n">
        <f aca="false">IFERROR(IF(OR(NOT(ISNUMBER('Price History'!R37)),NOT(ISNUMBER('Price History'!R36)),'Price History'!R36=0),"",'Price History'!R37/'Price History'!R36-1),"")</f>
        <v>-0.0119837758112095</v>
      </c>
      <c r="S36" s="143" t="n">
        <f aca="false">IFERROR(IF(OR(NOT(ISNUMBER('Price History'!S37)),NOT(ISNUMBER('Price History'!S36)),'Price History'!S36=0),"",'Price History'!S37/'Price History'!S36-1),"")</f>
        <v>0.00286711543256057</v>
      </c>
      <c r="T36" s="143" t="n">
        <f aca="false">IFERROR(IF(OR(NOT(ISNUMBER('Price History'!T37)),NOT(ISNUMBER('Price History'!T36)),'Price History'!T36=0),"",'Price History'!T37/'Price History'!T36-1),"")</f>
        <v>-0.00246837395865474</v>
      </c>
      <c r="U36" s="143" t="str">
        <f aca="false">IFERROR(IF(OR(NOT(ISNUMBER('Price History'!U37)),NOT(ISNUMBER('Price History'!U36)),'Price History'!U36=0),"",'Price History'!U37/'Price History'!U36-1),"")</f>
        <v/>
      </c>
      <c r="V36" s="144" t="str">
        <f aca="false">IFERROR(IF(OR(NOT(ISNUMBER('Price History'!V37)),NOT(ISNUMBER('Price History'!V36)),'Price History'!V36=0),"",'Price History'!V37/'Price History'!V36-1),"")</f>
        <v/>
      </c>
      <c r="W36" s="145" t="str">
        <f aca="false">IFERROR('Price History'!B3+(INDEX('Price History'!B:B,MATCH(9.99E+307,'Price History'!$A:$A))-'Price History'!B3)*(ROW()-3)/(MATCH(9.99E+307,'Returns (Calc)'!$A:$A)-3),"")</f>
        <v/>
      </c>
      <c r="X36" s="145" t="n">
        <f aca="false">IFERROR('Price History'!C3+(INDEX('Price History'!C:C,MATCH(9.99E+307,'Price History'!$A:$A))-'Price History'!C3)*(ROW()-3)/(MATCH(9.99E+307,'Returns (Calc)'!$A:$A)-3),"")</f>
        <v>36.5954716981132</v>
      </c>
      <c r="Y36" s="145" t="n">
        <f aca="false">IFERROR('Price History'!D3+(INDEX('Price History'!D:D,MATCH(9.99E+307,'Price History'!$A:$A))-'Price History'!D3)*(ROW()-3)/(MATCH(9.99E+307,'Returns (Calc)'!$A:$A)-3),"")</f>
        <v>461.215471698113</v>
      </c>
      <c r="Z36" s="145" t="n">
        <f aca="false">IFERROR('Price History'!E3+(INDEX('Price History'!E:E,MATCH(9.99E+307,'Price History'!$A:$A))-'Price History'!E3)*(ROW()-3)/(MATCH(9.99E+307,'Returns (Calc)'!$A:$A)-3),"")</f>
        <v>64.9811320754717</v>
      </c>
      <c r="AA36" s="145" t="n">
        <f aca="false">IFERROR('Price History'!F3+(INDEX('Price History'!F:F,MATCH(9.99E+307,'Price History'!$A:$A))-'Price History'!F3)*(ROW()-3)/(MATCH(9.99E+307,'Returns (Calc)'!$A:$A)-3),"")</f>
        <v>59.6796226415094</v>
      </c>
      <c r="AB36" s="145" t="n">
        <f aca="false">IFERROR('Price History'!G3+(INDEX('Price History'!G:G,MATCH(9.99E+307,'Price History'!$A:$A))-'Price History'!G3)*(ROW()-3)/(MATCH(9.99E+307,'Returns (Calc)'!$A:$A)-3),"")</f>
        <v>32.7758490566038</v>
      </c>
      <c r="AC36" s="145" t="n">
        <f aca="false">IFERROR('Price History'!H3+(INDEX('Price History'!H:H,MATCH(9.99E+307,'Price History'!$A:$A))-'Price History'!H3)*(ROW()-3)/(MATCH(9.99E+307,'Returns (Calc)'!$A:$A)-3),"")</f>
        <v>79.7128301886793</v>
      </c>
      <c r="AD36" s="145" t="n">
        <f aca="false">IFERROR('Price History'!I3+(INDEX('Price History'!I:I,MATCH(9.99E+307,'Price History'!$A:$A))-'Price History'!I3)*(ROW()-3)/(MATCH(9.99E+307,'Returns (Calc)'!$A:$A)-3),"")</f>
        <v>35.1452830188679</v>
      </c>
      <c r="AE36" s="145" t="n">
        <f aca="false">IFERROR('Price History'!J3+(INDEX('Price History'!J:J,MATCH(9.99E+307,'Price History'!$A:$A))-'Price History'!J3)*(ROW()-3)/(MATCH(9.99E+307,'Returns (Calc)'!$A:$A)-3),"")</f>
        <v>54.7664150943396</v>
      </c>
      <c r="AF36" s="145" t="n">
        <f aca="false">IFERROR('Price History'!K3+(INDEX('Price History'!K:K,MATCH(9.99E+307,'Price History'!$A:$A))-'Price History'!K3)*(ROW()-3)/(MATCH(9.99E+307,'Returns (Calc)'!$A:$A)-3),"")</f>
        <v>34.6856603773585</v>
      </c>
      <c r="AG36" s="145" t="n">
        <f aca="false">IFERROR('Price History'!L3+(INDEX('Price History'!L:L,MATCH(9.99E+307,'Price History'!$A:$A))-'Price History'!L3)*(ROW()-3)/(MATCH(9.99E+307,'Returns (Calc)'!$A:$A)-3),"")</f>
        <v>88.6279245283019</v>
      </c>
      <c r="AH36" s="145" t="n">
        <f aca="false">IFERROR('Price History'!M3+(INDEX('Price History'!M:M,MATCH(9.99E+307,'Price History'!$A:$A))-'Price History'!M3)*(ROW()-3)/(MATCH(9.99E+307,'Returns (Calc)'!$A:$A)-3),"")</f>
        <v>12.1483018867925</v>
      </c>
      <c r="AI36" s="145" t="n">
        <f aca="false">IFERROR('Price History'!N3+(INDEX('Price History'!N:N,MATCH(9.99E+307,'Price History'!$A:$A))-'Price History'!N3)*(ROW()-3)/(MATCH(9.99E+307,'Returns (Calc)'!$A:$A)-3),"")</f>
        <v>17.2754716981132</v>
      </c>
      <c r="AJ36" s="145" t="n">
        <f aca="false">IFERROR('Price History'!O3+(INDEX('Price History'!O:O,MATCH(9.99E+307,'Price History'!$A:$A))-'Price History'!O3)*(ROW()-3)/(MATCH(9.99E+307,'Returns (Calc)'!$A:$A)-3),"")</f>
        <v>45.6690566037736</v>
      </c>
      <c r="AK36" s="145" t="n">
        <f aca="false">IFERROR('Price History'!Q3+(INDEX('Price History'!Q:Q,MATCH(9.99E+307,'Price History'!$A:$A))-'Price History'!Q3)*(ROW()-3)/(MATCH(9.99E+307,'Returns (Calc)'!$A:$A)-3),"")</f>
        <v>186.725660377358</v>
      </c>
      <c r="AL36" s="145" t="n">
        <f aca="false">IFERROR('Price History'!R3+(INDEX('Price History'!R:R,MATCH(9.99E+307,'Price History'!$A:$A))-'Price History'!R3)*(ROW()-3)/(MATCH(9.99E+307,'Returns (Calc)'!$A:$A)-3),"")</f>
        <v>37.8950943396226</v>
      </c>
      <c r="AM36" s="145" t="n">
        <f aca="false">IFERROR('Price History'!S3+(INDEX('Price History'!S:S,MATCH(9.99E+307,'Price History'!$A:$A))-'Price History'!S3)*(ROW()-3)/(MATCH(9.99E+307,'Returns (Calc)'!$A:$A)-3),"")</f>
        <v>46.3901886792453</v>
      </c>
      <c r="AN36" s="145" t="n">
        <f aca="false">IFERROR('Price History'!T3+(INDEX('Price History'!T:T,MATCH(9.99E+307,'Price History'!$A:$A))-'Price History'!T3)*(ROW()-3)/(MATCH(9.99E+307,'Returns (Calc)'!$A:$A)-3),"")</f>
        <v>21.3249056603774</v>
      </c>
      <c r="AO36" s="146" t="n">
        <f aca="false">IFERROR('Price History'!V3+(INDEX('Price History'!V:V,MATCH(9.99E+307,'Price History'!$A:$A))-'Price History'!V3)*(ROW()-3)/(MATCH(9.99E+307,'Returns (Calc)'!$A:$A)-3),"")</f>
        <v>0</v>
      </c>
    </row>
    <row r="37" customFormat="false" ht="15" hidden="false" customHeight="true" outlineLevel="0" collapsed="false">
      <c r="A37" s="142" t="n">
        <f aca="false">IF('Price History'!A38="","",'Price History'!A38)</f>
        <v>45429</v>
      </c>
      <c r="B37" s="143" t="n">
        <f aca="false">IFERROR(IF(OR(NOT(ISNUMBER('Price History'!B38)),NOT(ISNUMBER('Price History'!B37)),'Price History'!B37=0),"",'Price History'!B38/'Price History'!B37-1),"")</f>
        <v>0.00236372307118127</v>
      </c>
      <c r="C37" s="143" t="n">
        <f aca="false">IFERROR(IF(OR(NOT(ISNUMBER('Price History'!C38)),NOT(ISNUMBER('Price History'!C37)),'Price History'!C37=0),"",'Price History'!C38/'Price History'!C37-1),"")</f>
        <v>0.0185963571519552</v>
      </c>
      <c r="D37" s="143" t="n">
        <f aca="false">IFERROR(IF(OR(NOT(ISNUMBER('Price History'!D38)),NOT(ISNUMBER('Price History'!D37)),'Price History'!D37=0),"",'Price History'!D38/'Price History'!D37-1),"")</f>
        <v>-0.00571578739898826</v>
      </c>
      <c r="E37" s="143" t="n">
        <f aca="false">IFERROR(IF(OR(NOT(ISNUMBER('Price History'!E38)),NOT(ISNUMBER('Price History'!E37)),'Price History'!E37=0),"",'Price History'!E38/'Price History'!E37-1),"")</f>
        <v>0.0468617961127757</v>
      </c>
      <c r="F37" s="143" t="n">
        <f aca="false">IFERROR(IF(OR(NOT(ISNUMBER('Price History'!F38)),NOT(ISNUMBER('Price History'!F37)),'Price History'!F37=0),"",'Price History'!F38/'Price History'!F37-1),"")</f>
        <v>0.0110298255486776</v>
      </c>
      <c r="G37" s="143" t="n">
        <f aca="false">IFERROR(IF(OR(NOT(ISNUMBER('Price History'!G38)),NOT(ISNUMBER('Price History'!G37)),'Price History'!G37=0),"",'Price History'!G38/'Price History'!G37-1),"")</f>
        <v>0.0784387080683378</v>
      </c>
      <c r="H37" s="143" t="n">
        <f aca="false">IFERROR(IF(OR(NOT(ISNUMBER('Price History'!H38)),NOT(ISNUMBER('Price History'!H37)),'Price History'!H37=0),"",'Price History'!H38/'Price History'!H37-1),"")</f>
        <v>0.0121532364597094</v>
      </c>
      <c r="I37" s="143" t="n">
        <f aca="false">IFERROR(IF(OR(NOT(ISNUMBER('Price History'!I38)),NOT(ISNUMBER('Price History'!I37)),'Price History'!I37=0),"",'Price History'!I38/'Price History'!I37-1),"")</f>
        <v>0.0429848205419208</v>
      </c>
      <c r="J37" s="143" t="n">
        <f aca="false">IFERROR(IF(OR(NOT(ISNUMBER('Price History'!J38)),NOT(ISNUMBER('Price History'!J37)),'Price History'!J37=0),"",'Price History'!J38/'Price History'!J37-1),"")</f>
        <v>0.0333942515368002</v>
      </c>
      <c r="K37" s="143" t="n">
        <f aca="false">IFERROR(IF(OR(NOT(ISNUMBER('Price History'!K38)),NOT(ISNUMBER('Price History'!K37)),'Price History'!K37=0),"",'Price History'!K38/'Price History'!K37-1),"")</f>
        <v>0.029011381388083</v>
      </c>
      <c r="L37" s="143" t="n">
        <f aca="false">IFERROR(IF(OR(NOT(ISNUMBER('Price History'!L38)),NOT(ISNUMBER('Price History'!L37)),'Price History'!L37=0),"",'Price History'!L38/'Price History'!L37-1),"")</f>
        <v>0.0372915613946438</v>
      </c>
      <c r="M37" s="143" t="n">
        <f aca="false">IFERROR(IF(OR(NOT(ISNUMBER('Price History'!M38)),NOT(ISNUMBER('Price History'!M37)),'Price History'!M37=0),"",'Price History'!M38/'Price History'!M37-1),"")</f>
        <v>0.0563106796116506</v>
      </c>
      <c r="N37" s="143" t="n">
        <f aca="false">IFERROR(IF(OR(NOT(ISNUMBER('Price History'!N38)),NOT(ISNUMBER('Price History'!N37)),'Price History'!N37=0),"",'Price History'!N38/'Price History'!N37-1),"")</f>
        <v>0.00995024875621886</v>
      </c>
      <c r="O37" s="143" t="n">
        <f aca="false">IFERROR(IF(OR(NOT(ISNUMBER('Price History'!O38)),NOT(ISNUMBER('Price History'!O37)),'Price History'!O37=0),"",'Price History'!O38/'Price History'!O37-1),"")</f>
        <v>0.0150953051042599</v>
      </c>
      <c r="P37" s="143" t="n">
        <f aca="false">IFERROR(IF(OR(NOT(ISNUMBER('Price History'!P38)),NOT(ISNUMBER('Price History'!P37)),'Price History'!P37=0),"",'Price History'!P38/'Price History'!P37-1),"")</f>
        <v>0.0162438653487249</v>
      </c>
      <c r="Q37" s="143" t="n">
        <f aca="false">IFERROR(IF(OR(NOT(ISNUMBER('Price History'!Q38)),NOT(ISNUMBER('Price History'!Q37)),'Price History'!Q37=0),"",'Price History'!Q38/'Price History'!Q37-1),"")</f>
        <v>-0.000435555878189553</v>
      </c>
      <c r="R37" s="143" t="n">
        <f aca="false">IFERROR(IF(OR(NOT(ISNUMBER('Price History'!R38)),NOT(ISNUMBER('Price History'!R37)),'Price History'!R37=0),"",'Price History'!R38/'Price History'!R37-1),"")</f>
        <v>-0.0035454375816385</v>
      </c>
      <c r="S37" s="143" t="n">
        <f aca="false">IFERROR(IF(OR(NOT(ISNUMBER('Price History'!S38)),NOT(ISNUMBER('Price History'!S37)),'Price History'!S37=0),"",'Price History'!S38/'Price History'!S37-1),"")</f>
        <v>-0.0140459912989436</v>
      </c>
      <c r="T37" s="143" t="n">
        <f aca="false">IFERROR(IF(OR(NOT(ISNUMBER('Price History'!T38)),NOT(ISNUMBER('Price History'!T37)),'Price History'!T37=0),"",'Price History'!T38/'Price History'!T37-1),"")</f>
        <v>-0.0259820600061862</v>
      </c>
      <c r="U37" s="143" t="str">
        <f aca="false">IFERROR(IF(OR(NOT(ISNUMBER('Price History'!U38)),NOT(ISNUMBER('Price History'!U37)),'Price History'!U37=0),"",'Price History'!U38/'Price History'!U37-1),"")</f>
        <v/>
      </c>
      <c r="V37" s="144" t="n">
        <f aca="false">IFERROR(IF(OR(NOT(ISNUMBER('Price History'!V38)),NOT(ISNUMBER('Price History'!V37)),'Price History'!V37=0),"",'Price History'!V38/'Price History'!V37-1),"")</f>
        <v>-0.00422840754494991</v>
      </c>
      <c r="W37" s="145" t="str">
        <f aca="false">IFERROR('Price History'!B3+(INDEX('Price History'!B:B,MATCH(9.99E+307,'Price History'!$A:$A))-'Price History'!B3)*(ROW()-3)/(MATCH(9.99E+307,'Returns (Calc)'!$A:$A)-3),"")</f>
        <v/>
      </c>
      <c r="X37" s="145" t="n">
        <f aca="false">IFERROR('Price History'!C3+(INDEX('Price History'!C:C,MATCH(9.99E+307,'Price History'!$A:$A))-'Price History'!C3)*(ROW()-3)/(MATCH(9.99E+307,'Returns (Calc)'!$A:$A)-3),"")</f>
        <v>36.3050314465409</v>
      </c>
      <c r="Y37" s="145" t="n">
        <f aca="false">IFERROR('Price History'!D3+(INDEX('Price History'!D:D,MATCH(9.99E+307,'Price History'!$A:$A))-'Price History'!D3)*(ROW()-3)/(MATCH(9.99E+307,'Returns (Calc)'!$A:$A)-3),"")</f>
        <v>457.555031446541</v>
      </c>
      <c r="Z37" s="145" t="n">
        <f aca="false">IFERROR('Price History'!E3+(INDEX('Price History'!E:E,MATCH(9.99E+307,'Price History'!$A:$A))-'Price History'!E3)*(ROW()-3)/(MATCH(9.99E+307,'Returns (Calc)'!$A:$A)-3),"")</f>
        <v>64.4654088050314</v>
      </c>
      <c r="AA37" s="145" t="n">
        <f aca="false">IFERROR('Price History'!F3+(INDEX('Price History'!F:F,MATCH(9.99E+307,'Price History'!$A:$A))-'Price History'!F3)*(ROW()-3)/(MATCH(9.99E+307,'Returns (Calc)'!$A:$A)-3),"")</f>
        <v>59.2059748427673</v>
      </c>
      <c r="AB37" s="145" t="n">
        <f aca="false">IFERROR('Price History'!G3+(INDEX('Price History'!G:G,MATCH(9.99E+307,'Price History'!$A:$A))-'Price History'!G3)*(ROW()-3)/(MATCH(9.99E+307,'Returns (Calc)'!$A:$A)-3),"")</f>
        <v>32.5157232704403</v>
      </c>
      <c r="AC37" s="145" t="n">
        <f aca="false">IFERROR('Price History'!H3+(INDEX('Price History'!H:H,MATCH(9.99E+307,'Price History'!$A:$A))-'Price History'!H3)*(ROW()-3)/(MATCH(9.99E+307,'Returns (Calc)'!$A:$A)-3),"")</f>
        <v>79.0801886792453</v>
      </c>
      <c r="AD37" s="145" t="n">
        <f aca="false">IFERROR('Price History'!I3+(INDEX('Price History'!I:I,MATCH(9.99E+307,'Price History'!$A:$A))-'Price History'!I3)*(ROW()-3)/(MATCH(9.99E+307,'Returns (Calc)'!$A:$A)-3),"")</f>
        <v>34.8663522012579</v>
      </c>
      <c r="AE37" s="145" t="n">
        <f aca="false">IFERROR('Price History'!J3+(INDEX('Price History'!J:J,MATCH(9.99E+307,'Price History'!$A:$A))-'Price History'!J3)*(ROW()-3)/(MATCH(9.99E+307,'Returns (Calc)'!$A:$A)-3),"")</f>
        <v>54.3317610062893</v>
      </c>
      <c r="AF37" s="145" t="n">
        <f aca="false">IFERROR('Price History'!K3+(INDEX('Price History'!K:K,MATCH(9.99E+307,'Price History'!$A:$A))-'Price History'!K3)*(ROW()-3)/(MATCH(9.99E+307,'Returns (Calc)'!$A:$A)-3),"")</f>
        <v>34.4103773584906</v>
      </c>
      <c r="AG37" s="145" t="n">
        <f aca="false">IFERROR('Price History'!L3+(INDEX('Price History'!L:L,MATCH(9.99E+307,'Price History'!$A:$A))-'Price History'!L3)*(ROW()-3)/(MATCH(9.99E+307,'Returns (Calc)'!$A:$A)-3),"")</f>
        <v>87.9245283018868</v>
      </c>
      <c r="AH37" s="145" t="n">
        <f aca="false">IFERROR('Price History'!M3+(INDEX('Price History'!M:M,MATCH(9.99E+307,'Price History'!$A:$A))-'Price History'!M3)*(ROW()-3)/(MATCH(9.99E+307,'Returns (Calc)'!$A:$A)-3),"")</f>
        <v>12.0518867924528</v>
      </c>
      <c r="AI37" s="145" t="n">
        <f aca="false">IFERROR('Price History'!N3+(INDEX('Price History'!N:N,MATCH(9.99E+307,'Price History'!$A:$A))-'Price History'!N3)*(ROW()-3)/(MATCH(9.99E+307,'Returns (Calc)'!$A:$A)-3),"")</f>
        <v>17.1383647798742</v>
      </c>
      <c r="AJ37" s="145" t="n">
        <f aca="false">IFERROR('Price History'!O3+(INDEX('Price History'!O:O,MATCH(9.99E+307,'Price History'!$A:$A))-'Price History'!O3)*(ROW()-3)/(MATCH(9.99E+307,'Returns (Calc)'!$A:$A)-3),"")</f>
        <v>45.3066037735849</v>
      </c>
      <c r="AK37" s="145" t="n">
        <f aca="false">IFERROR('Price History'!Q3+(INDEX('Price History'!Q:Q,MATCH(9.99E+307,'Price History'!$A:$A))-'Price History'!Q3)*(ROW()-3)/(MATCH(9.99E+307,'Returns (Calc)'!$A:$A)-3),"")</f>
        <v>185.243710691824</v>
      </c>
      <c r="AL37" s="145" t="n">
        <f aca="false">IFERROR('Price History'!R3+(INDEX('Price History'!R:R,MATCH(9.99E+307,'Price History'!$A:$A))-'Price History'!R3)*(ROW()-3)/(MATCH(9.99E+307,'Returns (Calc)'!$A:$A)-3),"")</f>
        <v>37.5943396226415</v>
      </c>
      <c r="AM37" s="145" t="n">
        <f aca="false">IFERROR('Price History'!S3+(INDEX('Price History'!S:S,MATCH(9.99E+307,'Price History'!$A:$A))-'Price History'!S3)*(ROW()-3)/(MATCH(9.99E+307,'Returns (Calc)'!$A:$A)-3),"")</f>
        <v>46.0220125786164</v>
      </c>
      <c r="AN37" s="145" t="n">
        <f aca="false">IFERROR('Price History'!T3+(INDEX('Price History'!T:T,MATCH(9.99E+307,'Price History'!$A:$A))-'Price History'!T3)*(ROW()-3)/(MATCH(9.99E+307,'Returns (Calc)'!$A:$A)-3),"")</f>
        <v>21.1556603773585</v>
      </c>
      <c r="AO37" s="146" t="n">
        <f aca="false">IFERROR('Price History'!V3+(INDEX('Price History'!V:V,MATCH(9.99E+307,'Price History'!$A:$A))-'Price History'!V3)*(ROW()-3)/(MATCH(9.99E+307,'Returns (Calc)'!$A:$A)-3),"")</f>
        <v>0</v>
      </c>
    </row>
    <row r="38" customFormat="false" ht="15" hidden="false" customHeight="true" outlineLevel="0" collapsed="false">
      <c r="A38" s="142" t="n">
        <f aca="false">IF('Price History'!A39="","",'Price History'!A39)</f>
        <v>45436</v>
      </c>
      <c r="B38" s="143" t="n">
        <f aca="false">IFERROR(IF(OR(NOT(ISNUMBER('Price History'!B39)),NOT(ISNUMBER('Price History'!B38)),'Price History'!B38=0),"",'Price History'!B39/'Price History'!B38-1),"")</f>
        <v>-0.0165484144550401</v>
      </c>
      <c r="C38" s="143" t="n">
        <f aca="false">IFERROR(IF(OR(NOT(ISNUMBER('Price History'!C39)),NOT(ISNUMBER('Price History'!C38)),'Price History'!C38=0),"",'Price History'!C39/'Price History'!C38-1),"")</f>
        <v>-0.0416406152307115</v>
      </c>
      <c r="D38" s="143" t="n">
        <f aca="false">IFERROR(IF(OR(NOT(ISNUMBER('Price History'!D39)),NOT(ISNUMBER('Price History'!D38)),'Price History'!D38=0),"",'Price History'!D39/'Price History'!D38-1),"")</f>
        <v>0.0337870578388617</v>
      </c>
      <c r="E38" s="143" t="n">
        <f aca="false">IFERROR(IF(OR(NOT(ISNUMBER('Price History'!E39)),NOT(ISNUMBER('Price History'!E38)),'Price History'!E38=0),"",'Price History'!E39/'Price History'!E38-1),"")</f>
        <v>0.00902619798928583</v>
      </c>
      <c r="F38" s="143" t="n">
        <f aca="false">IFERROR(IF(OR(NOT(ISNUMBER('Price History'!F39)),NOT(ISNUMBER('Price History'!F38)),'Price History'!F38=0),"",'Price History'!F39/'Price History'!F38-1),"")</f>
        <v>-0.0148057441834576</v>
      </c>
      <c r="G38" s="143" t="n">
        <f aca="false">IFERROR(IF(OR(NOT(ISNUMBER('Price History'!G39)),NOT(ISNUMBER('Price History'!G38)),'Price History'!G38=0),"",'Price History'!G39/'Price History'!G38-1),"")</f>
        <v>0.0160730804810361</v>
      </c>
      <c r="H38" s="143" t="n">
        <f aca="false">IFERROR(IF(OR(NOT(ISNUMBER('Price History'!H39)),NOT(ISNUMBER('Price History'!H38)),'Price History'!H38=0),"",'Price History'!H39/'Price History'!H38-1),"")</f>
        <v>-0.0204472287479336</v>
      </c>
      <c r="I38" s="143" t="n">
        <f aca="false">IFERROR(IF(OR(NOT(ISNUMBER('Price History'!I39)),NOT(ISNUMBER('Price History'!I38)),'Price History'!I38=0),"",'Price History'!I39/'Price History'!I38-1),"")</f>
        <v>0.0420293797606095</v>
      </c>
      <c r="J38" s="143" t="n">
        <f aca="false">IFERROR(IF(OR(NOT(ISNUMBER('Price History'!J39)),NOT(ISNUMBER('Price History'!J38)),'Price History'!J38=0),"",'Price History'!J39/'Price History'!J38-1),"")</f>
        <v>0.0335209003215433</v>
      </c>
      <c r="K38" s="143" t="n">
        <f aca="false">IFERROR(IF(OR(NOT(ISNUMBER('Price History'!K39)),NOT(ISNUMBER('Price History'!K38)),'Price History'!K38=0),"",'Price History'!K39/'Price History'!K38-1),"")</f>
        <v>0.151268705270007</v>
      </c>
      <c r="L38" s="143" t="n">
        <f aca="false">IFERROR(IF(OR(NOT(ISNUMBER('Price History'!L39)),NOT(ISNUMBER('Price History'!L38)),'Price History'!L38=0),"",'Price History'!L39/'Price History'!L38-1),"")</f>
        <v>-0.0606001558846454</v>
      </c>
      <c r="M38" s="143" t="n">
        <f aca="false">IFERROR(IF(OR(NOT(ISNUMBER('Price History'!M39)),NOT(ISNUMBER('Price History'!M38)),'Price History'!M38=0),"",'Price History'!M39/'Price History'!M38-1),"")</f>
        <v>-0.0344669117647058</v>
      </c>
      <c r="N38" s="143" t="n">
        <f aca="false">IFERROR(IF(OR(NOT(ISNUMBER('Price History'!N39)),NOT(ISNUMBER('Price History'!N38)),'Price History'!N38=0),"",'Price History'!N39/'Price History'!N38-1),"")</f>
        <v>-0.024630541871921</v>
      </c>
      <c r="O38" s="143" t="n">
        <f aca="false">IFERROR(IF(OR(NOT(ISNUMBER('Price History'!O39)),NOT(ISNUMBER('Price History'!O38)),'Price History'!O38=0),"",'Price History'!O39/'Price History'!O38-1),"")</f>
        <v>0.019533711405167</v>
      </c>
      <c r="P38" s="143" t="n">
        <f aca="false">IFERROR(IF(OR(NOT(ISNUMBER('Price History'!P39)),NOT(ISNUMBER('Price History'!P38)),'Price History'!P38=0),"",'Price History'!P39/'Price History'!P38-1),"")</f>
        <v>0.054822473132907</v>
      </c>
      <c r="Q38" s="143" t="n">
        <f aca="false">IFERROR(IF(OR(NOT(ISNUMBER('Price History'!Q39)),NOT(ISNUMBER('Price History'!Q38)),'Price History'!Q38=0),"",'Price History'!Q39/'Price History'!Q38-1),"")</f>
        <v>-0.0200443008097606</v>
      </c>
      <c r="R38" s="143" t="n">
        <f aca="false">IFERROR(IF(OR(NOT(ISNUMBER('Price History'!R39)),NOT(ISNUMBER('Price History'!R38)),'Price History'!R38=0),"",'Price History'!R39/'Price History'!R38-1),"")</f>
        <v>-0.047940074906367</v>
      </c>
      <c r="S38" s="143" t="n">
        <f aca="false">IFERROR(IF(OR(NOT(ISNUMBER('Price History'!S39)),NOT(ISNUMBER('Price History'!S38)),'Price History'!S38=0),"",'Price History'!S39/'Price History'!S38-1),"")</f>
        <v>-0.0568582955118506</v>
      </c>
      <c r="T38" s="143" t="n">
        <f aca="false">IFERROR(IF(OR(NOT(ISNUMBER('Price History'!T39)),NOT(ISNUMBER('Price History'!T38)),'Price History'!T38=0),"",'Price History'!T39/'Price History'!T38-1),"")</f>
        <v>-0.017783423308987</v>
      </c>
      <c r="U38" s="143" t="str">
        <f aca="false">IFERROR(IF(OR(NOT(ISNUMBER('Price History'!U39)),NOT(ISNUMBER('Price History'!U38)),'Price History'!U38=0),"",'Price History'!U39/'Price History'!U38-1),"")</f>
        <v/>
      </c>
      <c r="V38" s="144" t="n">
        <f aca="false">IFERROR(IF(OR(NOT(ISNUMBER('Price History'!V39)),NOT(ISNUMBER('Price History'!V38)),'Price History'!V38=0),"",'Price History'!V39/'Price History'!V38-1),"")</f>
        <v>-0.0224134111217783</v>
      </c>
      <c r="W38" s="145" t="str">
        <f aca="false">IFERROR('Price History'!B3+(INDEX('Price History'!B:B,MATCH(9.99E+307,'Price History'!$A:$A))-'Price History'!B3)*(ROW()-3)/(MATCH(9.99E+307,'Returns (Calc)'!$A:$A)-3),"")</f>
        <v/>
      </c>
      <c r="X38" s="145" t="n">
        <f aca="false">IFERROR('Price History'!C3+(INDEX('Price History'!C:C,MATCH(9.99E+307,'Price History'!$A:$A))-'Price History'!C3)*(ROW()-3)/(MATCH(9.99E+307,'Returns (Calc)'!$A:$A)-3),"")</f>
        <v>36.0145911949686</v>
      </c>
      <c r="Y38" s="145" t="n">
        <f aca="false">IFERROR('Price History'!D3+(INDEX('Price History'!D:D,MATCH(9.99E+307,'Price History'!$A:$A))-'Price History'!D3)*(ROW()-3)/(MATCH(9.99E+307,'Returns (Calc)'!$A:$A)-3),"")</f>
        <v>453.894591194969</v>
      </c>
      <c r="Z38" s="145" t="n">
        <f aca="false">IFERROR('Price History'!E3+(INDEX('Price History'!E:E,MATCH(9.99E+307,'Price History'!$A:$A))-'Price History'!E3)*(ROW()-3)/(MATCH(9.99E+307,'Returns (Calc)'!$A:$A)-3),"")</f>
        <v>63.9496855345912</v>
      </c>
      <c r="AA38" s="145" t="n">
        <f aca="false">IFERROR('Price History'!F3+(INDEX('Price History'!F:F,MATCH(9.99E+307,'Price History'!$A:$A))-'Price History'!F3)*(ROW()-3)/(MATCH(9.99E+307,'Returns (Calc)'!$A:$A)-3),"")</f>
        <v>58.7323270440252</v>
      </c>
      <c r="AB38" s="145" t="n">
        <f aca="false">IFERROR('Price History'!G3+(INDEX('Price History'!G:G,MATCH(9.99E+307,'Price History'!$A:$A))-'Price History'!G3)*(ROW()-3)/(MATCH(9.99E+307,'Returns (Calc)'!$A:$A)-3),"")</f>
        <v>32.2555974842767</v>
      </c>
      <c r="AC38" s="145" t="n">
        <f aca="false">IFERROR('Price History'!H3+(INDEX('Price History'!H:H,MATCH(9.99E+307,'Price History'!$A:$A))-'Price History'!H3)*(ROW()-3)/(MATCH(9.99E+307,'Returns (Calc)'!$A:$A)-3),"")</f>
        <v>78.4475471698113</v>
      </c>
      <c r="AD38" s="145" t="n">
        <f aca="false">IFERROR('Price History'!I3+(INDEX('Price History'!I:I,MATCH(9.99E+307,'Price History'!$A:$A))-'Price History'!I3)*(ROW()-3)/(MATCH(9.99E+307,'Returns (Calc)'!$A:$A)-3),"")</f>
        <v>34.5874213836478</v>
      </c>
      <c r="AE38" s="145" t="n">
        <f aca="false">IFERROR('Price History'!J3+(INDEX('Price History'!J:J,MATCH(9.99E+307,'Price History'!$A:$A))-'Price History'!J3)*(ROW()-3)/(MATCH(9.99E+307,'Returns (Calc)'!$A:$A)-3),"")</f>
        <v>53.897106918239</v>
      </c>
      <c r="AF38" s="145" t="n">
        <f aca="false">IFERROR('Price History'!K3+(INDEX('Price History'!K:K,MATCH(9.99E+307,'Price History'!$A:$A))-'Price History'!K3)*(ROW()-3)/(MATCH(9.99E+307,'Returns (Calc)'!$A:$A)-3),"")</f>
        <v>34.1350943396227</v>
      </c>
      <c r="AG38" s="145" t="n">
        <f aca="false">IFERROR('Price History'!L3+(INDEX('Price History'!L:L,MATCH(9.99E+307,'Price History'!$A:$A))-'Price History'!L3)*(ROW()-3)/(MATCH(9.99E+307,'Returns (Calc)'!$A:$A)-3),"")</f>
        <v>87.2211320754717</v>
      </c>
      <c r="AH38" s="145" t="n">
        <f aca="false">IFERROR('Price History'!M3+(INDEX('Price History'!M:M,MATCH(9.99E+307,'Price History'!$A:$A))-'Price History'!M3)*(ROW()-3)/(MATCH(9.99E+307,'Returns (Calc)'!$A:$A)-3),"")</f>
        <v>11.9554716981132</v>
      </c>
      <c r="AI38" s="145" t="n">
        <f aca="false">IFERROR('Price History'!N3+(INDEX('Price History'!N:N,MATCH(9.99E+307,'Price History'!$A:$A))-'Price History'!N3)*(ROW()-3)/(MATCH(9.99E+307,'Returns (Calc)'!$A:$A)-3),"")</f>
        <v>17.0012578616352</v>
      </c>
      <c r="AJ38" s="145" t="n">
        <f aca="false">IFERROR('Price History'!O3+(INDEX('Price History'!O:O,MATCH(9.99E+307,'Price History'!$A:$A))-'Price History'!O3)*(ROW()-3)/(MATCH(9.99E+307,'Returns (Calc)'!$A:$A)-3),"")</f>
        <v>44.9441509433962</v>
      </c>
      <c r="AK38" s="145" t="n">
        <f aca="false">IFERROR('Price History'!Q3+(INDEX('Price History'!Q:Q,MATCH(9.99E+307,'Price History'!$A:$A))-'Price History'!Q3)*(ROW()-3)/(MATCH(9.99E+307,'Returns (Calc)'!$A:$A)-3),"")</f>
        <v>183.761761006289</v>
      </c>
      <c r="AL38" s="145" t="n">
        <f aca="false">IFERROR('Price History'!R3+(INDEX('Price History'!R:R,MATCH(9.99E+307,'Price History'!$A:$A))-'Price History'!R3)*(ROW()-3)/(MATCH(9.99E+307,'Returns (Calc)'!$A:$A)-3),"")</f>
        <v>37.2935849056604</v>
      </c>
      <c r="AM38" s="145" t="n">
        <f aca="false">IFERROR('Price History'!S3+(INDEX('Price History'!S:S,MATCH(9.99E+307,'Price History'!$A:$A))-'Price History'!S3)*(ROW()-3)/(MATCH(9.99E+307,'Returns (Calc)'!$A:$A)-3),"")</f>
        <v>45.6538364779874</v>
      </c>
      <c r="AN38" s="145" t="n">
        <f aca="false">IFERROR('Price History'!T3+(INDEX('Price History'!T:T,MATCH(9.99E+307,'Price History'!$A:$A))-'Price History'!T3)*(ROW()-3)/(MATCH(9.99E+307,'Returns (Calc)'!$A:$A)-3),"")</f>
        <v>20.9864150943396</v>
      </c>
      <c r="AO38" s="146" t="n">
        <f aca="false">IFERROR('Price History'!V3+(INDEX('Price History'!V:V,MATCH(9.99E+307,'Price History'!$A:$A))-'Price History'!V3)*(ROW()-3)/(MATCH(9.99E+307,'Returns (Calc)'!$A:$A)-3),"")</f>
        <v>0</v>
      </c>
    </row>
    <row r="39" customFormat="false" ht="15" hidden="false" customHeight="true" outlineLevel="0" collapsed="false">
      <c r="A39" s="142" t="n">
        <f aca="false">IF('Price History'!A40="","",'Price History'!A40)</f>
        <v>45443</v>
      </c>
      <c r="B39" s="143" t="n">
        <f aca="false">IFERROR(IF(OR(NOT(ISNUMBER('Price History'!B40)),NOT(ISNUMBER('Price History'!B39)),'Price History'!B39=0),"",'Price History'!B40/'Price History'!B39-1),"")</f>
        <v>-0.0645100225059421</v>
      </c>
      <c r="C39" s="143" t="n">
        <f aca="false">IFERROR(IF(OR(NOT(ISNUMBER('Price History'!C40)),NOT(ISNUMBER('Price History'!C39)),'Price History'!C39=0),"",'Price History'!C40/'Price History'!C39-1),"")</f>
        <v>-0.0290970772442589</v>
      </c>
      <c r="D39" s="143" t="n">
        <f aca="false">IFERROR(IF(OR(NOT(ISNUMBER('Price History'!D40)),NOT(ISNUMBER('Price History'!D39)),'Price History'!D39=0),"",'Price History'!D40/'Price History'!D39-1),"")</f>
        <v>0.00431438554627572</v>
      </c>
      <c r="E39" s="143" t="n">
        <f aca="false">IFERROR(IF(OR(NOT(ISNUMBER('Price History'!E40)),NOT(ISNUMBER('Price History'!E39)),'Price History'!E39=0),"",'Price History'!E40/'Price History'!E39-1),"")</f>
        <v>-0.0563636363636364</v>
      </c>
      <c r="F39" s="143" t="n">
        <f aca="false">IFERROR(IF(OR(NOT(ISNUMBER('Price History'!F40)),NOT(ISNUMBER('Price History'!F39)),'Price History'!F39=0),"",'Price History'!F40/'Price History'!F39-1),"")</f>
        <v>0.0107344632768362</v>
      </c>
      <c r="G39" s="143" t="n">
        <f aca="false">IFERROR(IF(OR(NOT(ISNUMBER('Price History'!G40)),NOT(ISNUMBER('Price History'!G39)),'Price History'!G39=0),"",'Price History'!G40/'Price History'!G39-1),"")</f>
        <v>-0.107545237282349</v>
      </c>
      <c r="H39" s="143" t="n">
        <f aca="false">IFERROR(IF(OR(NOT(ISNUMBER('Price History'!H40)),NOT(ISNUMBER('Price History'!H39)),'Price History'!H39=0),"",'Price History'!H40/'Price History'!H39-1),"")</f>
        <v>0.0104814354236988</v>
      </c>
      <c r="I39" s="143" t="n">
        <f aca="false">IFERROR(IF(OR(NOT(ISNUMBER('Price History'!I40)),NOT(ISNUMBER('Price History'!I39)),'Price History'!I39=0),"",'Price History'!I40/'Price History'!I39-1),"")</f>
        <v>-0.0250620023495628</v>
      </c>
      <c r="J39" s="143" t="n">
        <f aca="false">IFERROR(IF(OR(NOT(ISNUMBER('Price History'!J40)),NOT(ISNUMBER('Price History'!J39)),'Price History'!J39=0),"",'Price History'!J40/'Price History'!J39-1),"")</f>
        <v>-0.0346892743252703</v>
      </c>
      <c r="K39" s="143" t="n">
        <f aca="false">IFERROR(IF(OR(NOT(ISNUMBER('Price History'!K40)),NOT(ISNUMBER('Price History'!K39)),'Price History'!K39=0),"",'Price History'!K40/'Price History'!K39-1),"")</f>
        <v>0.0296693981350664</v>
      </c>
      <c r="L39" s="143" t="n">
        <f aca="false">IFERROR(IF(OR(NOT(ISNUMBER('Price History'!L40)),NOT(ISNUMBER('Price History'!L39)),'Price History'!L39=0),"",'Price History'!L40/'Price History'!L39-1),"")</f>
        <v>0.0548641360713544</v>
      </c>
      <c r="M39" s="143" t="n">
        <f aca="false">IFERROR(IF(OR(NOT(ISNUMBER('Price History'!M40)),NOT(ISNUMBER('Price History'!M39)),'Price History'!M39=0),"",'Price History'!M40/'Price History'!M39-1),"")</f>
        <v>0.031889576392194</v>
      </c>
      <c r="N39" s="143" t="n">
        <f aca="false">IFERROR(IF(OR(NOT(ISNUMBER('Price History'!N40)),NOT(ISNUMBER('Price History'!N39)),'Price History'!N39=0),"",'Price History'!N40/'Price History'!N39-1),"")</f>
        <v>0.00589225589225584</v>
      </c>
      <c r="O39" s="143" t="n">
        <f aca="false">IFERROR(IF(OR(NOT(ISNUMBER('Price History'!O40)),NOT(ISNUMBER('Price History'!O39)),'Price History'!O39=0),"",'Price History'!O40/'Price History'!O39-1),"")</f>
        <v>-0.0110012360939431</v>
      </c>
      <c r="P39" s="143" t="n">
        <f aca="false">IFERROR(IF(OR(NOT(ISNUMBER('Price History'!P40)),NOT(ISNUMBER('Price History'!P39)),'Price History'!P39=0),"",'Price History'!P40/'Price History'!P39-1),"")</f>
        <v>-0.055971111684292</v>
      </c>
      <c r="Q39" s="143" t="n">
        <f aca="false">IFERROR(IF(OR(NOT(ISNUMBER('Price History'!Q40)),NOT(ISNUMBER('Price History'!Q39)),'Price History'!Q39=0),"",'Price History'!Q40/'Price History'!Q39-1),"")</f>
        <v>-0.00737392077667032</v>
      </c>
      <c r="R39" s="143" t="n">
        <f aca="false">IFERROR(IF(OR(NOT(ISNUMBER('Price History'!R40)),NOT(ISNUMBER('Price History'!R39)),'Price History'!R39=0),"",'Price History'!R40/'Price History'!R39-1),"")</f>
        <v>0.0357985837922894</v>
      </c>
      <c r="S39" s="143" t="n">
        <f aca="false">IFERROR(IF(OR(NOT(ISNUMBER('Price History'!S40)),NOT(ISNUMBER('Price History'!S39)),'Price History'!S39=0),"",'Price History'!S40/'Price History'!S39-1),"")</f>
        <v>0.0300761930223232</v>
      </c>
      <c r="T39" s="143" t="n">
        <f aca="false">IFERROR(IF(OR(NOT(ISNUMBER('Price History'!T40)),NOT(ISNUMBER('Price History'!T39)),'Price History'!T39=0),"",'Price History'!T40/'Price History'!T39-1),"")</f>
        <v>0.0126091173617846</v>
      </c>
      <c r="U39" s="143" t="str">
        <f aca="false">IFERROR(IF(OR(NOT(ISNUMBER('Price History'!U40)),NOT(ISNUMBER('Price History'!U39)),'Price History'!U39=0),"",'Price History'!U40/'Price History'!U39-1),"")</f>
        <v/>
      </c>
      <c r="V39" s="144" t="n">
        <f aca="false">IFERROR(IF(OR(NOT(ISNUMBER('Price History'!V40)),NOT(ISNUMBER('Price History'!V39)),'Price History'!V39=0),"",'Price History'!V40/'Price History'!V39-1),"")</f>
        <v>0.0175637393767705</v>
      </c>
      <c r="W39" s="145" t="str">
        <f aca="false">IFERROR('Price History'!B3+(INDEX('Price History'!B:B,MATCH(9.99E+307,'Price History'!$A:$A))-'Price History'!B3)*(ROW()-3)/(MATCH(9.99E+307,'Returns (Calc)'!$A:$A)-3),"")</f>
        <v/>
      </c>
      <c r="X39" s="145" t="n">
        <f aca="false">IFERROR('Price History'!C3+(INDEX('Price History'!C:C,MATCH(9.99E+307,'Price History'!$A:$A))-'Price History'!C3)*(ROW()-3)/(MATCH(9.99E+307,'Returns (Calc)'!$A:$A)-3),"")</f>
        <v>35.7241509433962</v>
      </c>
      <c r="Y39" s="145" t="n">
        <f aca="false">IFERROR('Price History'!D3+(INDEX('Price History'!D:D,MATCH(9.99E+307,'Price History'!$A:$A))-'Price History'!D3)*(ROW()-3)/(MATCH(9.99E+307,'Returns (Calc)'!$A:$A)-3),"")</f>
        <v>450.234150943396</v>
      </c>
      <c r="Z39" s="145" t="n">
        <f aca="false">IFERROR('Price History'!E3+(INDEX('Price History'!E:E,MATCH(9.99E+307,'Price History'!$A:$A))-'Price History'!E3)*(ROW()-3)/(MATCH(9.99E+307,'Returns (Calc)'!$A:$A)-3),"")</f>
        <v>63.4339622641509</v>
      </c>
      <c r="AA39" s="145" t="n">
        <f aca="false">IFERROR('Price History'!F3+(INDEX('Price History'!F:F,MATCH(9.99E+307,'Price History'!$A:$A))-'Price History'!F3)*(ROW()-3)/(MATCH(9.99E+307,'Returns (Calc)'!$A:$A)-3),"")</f>
        <v>58.258679245283</v>
      </c>
      <c r="AB39" s="145" t="n">
        <f aca="false">IFERROR('Price History'!G3+(INDEX('Price History'!G:G,MATCH(9.99E+307,'Price History'!$A:$A))-'Price History'!G3)*(ROW()-3)/(MATCH(9.99E+307,'Returns (Calc)'!$A:$A)-3),"")</f>
        <v>31.9954716981132</v>
      </c>
      <c r="AC39" s="145" t="n">
        <f aca="false">IFERROR('Price History'!H3+(INDEX('Price History'!H:H,MATCH(9.99E+307,'Price History'!$A:$A))-'Price History'!H3)*(ROW()-3)/(MATCH(9.99E+307,'Returns (Calc)'!$A:$A)-3),"")</f>
        <v>77.8149056603774</v>
      </c>
      <c r="AD39" s="145" t="n">
        <f aca="false">IFERROR('Price History'!I3+(INDEX('Price History'!I:I,MATCH(9.99E+307,'Price History'!$A:$A))-'Price History'!I3)*(ROW()-3)/(MATCH(9.99E+307,'Returns (Calc)'!$A:$A)-3),"")</f>
        <v>34.3084905660377</v>
      </c>
      <c r="AE39" s="145" t="n">
        <f aca="false">IFERROR('Price History'!J3+(INDEX('Price History'!J:J,MATCH(9.99E+307,'Price History'!$A:$A))-'Price History'!J3)*(ROW()-3)/(MATCH(9.99E+307,'Returns (Calc)'!$A:$A)-3),"")</f>
        <v>53.4624528301887</v>
      </c>
      <c r="AF39" s="145" t="n">
        <f aca="false">IFERROR('Price History'!K3+(INDEX('Price History'!K:K,MATCH(9.99E+307,'Price History'!$A:$A))-'Price History'!K3)*(ROW()-3)/(MATCH(9.99E+307,'Returns (Calc)'!$A:$A)-3),"")</f>
        <v>33.8598113207547</v>
      </c>
      <c r="AG39" s="145" t="n">
        <f aca="false">IFERROR('Price History'!L3+(INDEX('Price History'!L:L,MATCH(9.99E+307,'Price History'!$A:$A))-'Price History'!L3)*(ROW()-3)/(MATCH(9.99E+307,'Returns (Calc)'!$A:$A)-3),"")</f>
        <v>86.5177358490566</v>
      </c>
      <c r="AH39" s="145" t="n">
        <f aca="false">IFERROR('Price History'!M3+(INDEX('Price History'!M:M,MATCH(9.99E+307,'Price History'!$A:$A))-'Price History'!M3)*(ROW()-3)/(MATCH(9.99E+307,'Returns (Calc)'!$A:$A)-3),"")</f>
        <v>11.8590566037736</v>
      </c>
      <c r="AI39" s="145" t="n">
        <f aca="false">IFERROR('Price History'!N3+(INDEX('Price History'!N:N,MATCH(9.99E+307,'Price History'!$A:$A))-'Price History'!N3)*(ROW()-3)/(MATCH(9.99E+307,'Returns (Calc)'!$A:$A)-3),"")</f>
        <v>16.8641509433962</v>
      </c>
      <c r="AJ39" s="145" t="n">
        <f aca="false">IFERROR('Price History'!O3+(INDEX('Price History'!O:O,MATCH(9.99E+307,'Price History'!$A:$A))-'Price History'!O3)*(ROW()-3)/(MATCH(9.99E+307,'Returns (Calc)'!$A:$A)-3),"")</f>
        <v>44.5816981132076</v>
      </c>
      <c r="AK39" s="145" t="n">
        <f aca="false">IFERROR('Price History'!Q3+(INDEX('Price History'!Q:Q,MATCH(9.99E+307,'Price History'!$A:$A))-'Price History'!Q3)*(ROW()-3)/(MATCH(9.99E+307,'Returns (Calc)'!$A:$A)-3),"")</f>
        <v>182.279811320755</v>
      </c>
      <c r="AL39" s="145" t="n">
        <f aca="false">IFERROR('Price History'!R3+(INDEX('Price History'!R:R,MATCH(9.99E+307,'Price History'!$A:$A))-'Price History'!R3)*(ROW()-3)/(MATCH(9.99E+307,'Returns (Calc)'!$A:$A)-3),"")</f>
        <v>36.9928301886793</v>
      </c>
      <c r="AM39" s="145" t="n">
        <f aca="false">IFERROR('Price History'!S3+(INDEX('Price History'!S:S,MATCH(9.99E+307,'Price History'!$A:$A))-'Price History'!S3)*(ROW()-3)/(MATCH(9.99E+307,'Returns (Calc)'!$A:$A)-3),"")</f>
        <v>45.2856603773585</v>
      </c>
      <c r="AN39" s="145" t="n">
        <f aca="false">IFERROR('Price History'!T3+(INDEX('Price History'!T:T,MATCH(9.99E+307,'Price History'!$A:$A))-'Price History'!T3)*(ROW()-3)/(MATCH(9.99E+307,'Returns (Calc)'!$A:$A)-3),"")</f>
        <v>20.8171698113208</v>
      </c>
      <c r="AO39" s="146" t="n">
        <f aca="false">IFERROR('Price History'!V3+(INDEX('Price History'!V:V,MATCH(9.99E+307,'Price History'!$A:$A))-'Price History'!V3)*(ROW()-3)/(MATCH(9.99E+307,'Returns (Calc)'!$A:$A)-3),"")</f>
        <v>0</v>
      </c>
    </row>
    <row r="40" customFormat="false" ht="15" hidden="false" customHeight="true" outlineLevel="0" collapsed="false">
      <c r="A40" s="142" t="n">
        <f aca="false">IF('Price History'!A41="","",'Price History'!A41)</f>
        <v>45450</v>
      </c>
      <c r="B40" s="143" t="n">
        <f aca="false">IFERROR(IF(OR(NOT(ISNUMBER('Price History'!B41)),NOT(ISNUMBER('Price History'!B40)),'Price History'!B40=0),"",'Price History'!B41/'Price History'!B40-1),"")</f>
        <v>0.0464745031027971</v>
      </c>
      <c r="C40" s="143" t="n">
        <f aca="false">IFERROR(IF(OR(NOT(ISNUMBER('Price History'!C41)),NOT(ISNUMBER('Price History'!C40)),'Price History'!C40=0),"",'Price History'!C41/'Price History'!C40-1),"")</f>
        <v>-0.00282220131702715</v>
      </c>
      <c r="D40" s="143" t="n">
        <f aca="false">IFERROR(IF(OR(NOT(ISNUMBER('Price History'!D41)),NOT(ISNUMBER('Price History'!D40)),'Price History'!D40=0),"",'Price History'!D41/'Price History'!D40-1),"")</f>
        <v>0.0708868546941461</v>
      </c>
      <c r="E40" s="143" t="n">
        <f aca="false">IFERROR(IF(OR(NOT(ISNUMBER('Price History'!E41)),NOT(ISNUMBER('Price History'!E40)),'Price History'!E40=0),"",'Price History'!E41/'Price History'!E40-1),"")</f>
        <v>0.058805394990366</v>
      </c>
      <c r="F40" s="143" t="n">
        <f aca="false">IFERROR(IF(OR(NOT(ISNUMBER('Price History'!F41)),NOT(ISNUMBER('Price History'!F40)),'Price History'!F40=0),"",'Price History'!F41/'Price History'!F40-1),"")</f>
        <v>-0.0340972610396869</v>
      </c>
      <c r="G40" s="143" t="n">
        <f aca="false">IFERROR(IF(OR(NOT(ISNUMBER('Price History'!G41)),NOT(ISNUMBER('Price History'!G40)),'Price History'!G40=0),"",'Price History'!G41/'Price History'!G40-1),"")</f>
        <v>0.112981382300434</v>
      </c>
      <c r="H40" s="143" t="n">
        <f aca="false">IFERROR(IF(OR(NOT(ISNUMBER('Price History'!H41)),NOT(ISNUMBER('Price History'!H40)),'Price History'!H40=0),"",'Price History'!H41/'Price History'!H40-1),"")</f>
        <v>-0.0202180028129396</v>
      </c>
      <c r="I40" s="143" t="n">
        <f aca="false">IFERROR(IF(OR(NOT(ISNUMBER('Price History'!I41)),NOT(ISNUMBER('Price History'!I40)),'Price History'!I40=0),"",'Price History'!I41/'Price History'!I40-1),"")</f>
        <v>0.0123175793278887</v>
      </c>
      <c r="J40" s="143" t="n">
        <f aca="false">IFERROR(IF(OR(NOT(ISNUMBER('Price History'!J41)),NOT(ISNUMBER('Price History'!J40)),'Price History'!J40=0),"",'Price History'!J41/'Price History'!J40-1),"")</f>
        <v>0.0475384739344129</v>
      </c>
      <c r="K40" s="143" t="n">
        <f aca="false">IFERROR(IF(OR(NOT(ISNUMBER('Price History'!K41)),NOT(ISNUMBER('Price History'!K40)),'Price History'!K40=0),"",'Price History'!K41/'Price History'!K40-1),"")</f>
        <v>0.102634467618002</v>
      </c>
      <c r="L40" s="143" t="n">
        <f aca="false">IFERROR(IF(OR(NOT(ISNUMBER('Price History'!L41)),NOT(ISNUMBER('Price History'!L40)),'Price History'!L40=0),"",'Price History'!L41/'Price History'!L40-1),"")</f>
        <v>-0.00265460623340863</v>
      </c>
      <c r="M40" s="143" t="n">
        <f aca="false">IFERROR(IF(OR(NOT(ISNUMBER('Price History'!M41)),NOT(ISNUMBER('Price History'!M40)),'Price History'!M40=0),"",'Price History'!M41/'Price History'!M40-1),"")</f>
        <v>0.0751845018450184</v>
      </c>
      <c r="N40" s="143" t="n">
        <f aca="false">IFERROR(IF(OR(NOT(ISNUMBER('Price History'!N41)),NOT(ISNUMBER('Price History'!N40)),'Price History'!N40=0),"",'Price History'!N41/'Price History'!N40-1),"")</f>
        <v>-0.00878661087866095</v>
      </c>
      <c r="O40" s="143" t="n">
        <f aca="false">IFERROR(IF(OR(NOT(ISNUMBER('Price History'!O41)),NOT(ISNUMBER('Price History'!O40)),'Price History'!O40=0),"",'Price History'!O41/'Price History'!O40-1),"")</f>
        <v>0.03037120359955</v>
      </c>
      <c r="P40" s="143" t="n">
        <f aca="false">IFERROR(IF(OR(NOT(ISNUMBER('Price History'!P41)),NOT(ISNUMBER('Price History'!P40)),'Price History'!P40=0),"",'Price History'!P41/'Price History'!P40-1),"")</f>
        <v>0.0883879781420764</v>
      </c>
      <c r="Q40" s="143" t="n">
        <f aca="false">IFERROR(IF(OR(NOT(ISNUMBER('Price History'!Q41)),NOT(ISNUMBER('Price History'!Q40)),'Price History'!Q40=0),"",'Price History'!Q41/'Price History'!Q40-1),"")</f>
        <v>0.0227713901747051</v>
      </c>
      <c r="R40" s="143" t="n">
        <f aca="false">IFERROR(IF(OR(NOT(ISNUMBER('Price History'!R41)),NOT(ISNUMBER('Price History'!R40)),'Price History'!R40=0),"",'Price History'!R41/'Price History'!R40-1),"")</f>
        <v>0.00170907709836698</v>
      </c>
      <c r="S40" s="143" t="n">
        <f aca="false">IFERROR(IF(OR(NOT(ISNUMBER('Price History'!S41)),NOT(ISNUMBER('Price History'!S40)),'Price History'!S40=0),"",'Price History'!S41/'Price History'!S40-1),"")</f>
        <v>0.00986244484817012</v>
      </c>
      <c r="T40" s="143" t="n">
        <f aca="false">IFERROR(IF(OR(NOT(ISNUMBER('Price History'!T41)),NOT(ISNUMBER('Price History'!T40)),'Price History'!T40=0),"",'Price History'!T41/'Price History'!T40-1),"")</f>
        <v>-0.0156449553001278</v>
      </c>
      <c r="U40" s="143" t="str">
        <f aca="false">IFERROR(IF(OR(NOT(ISNUMBER('Price History'!U41)),NOT(ISNUMBER('Price History'!U40)),'Price History'!U40=0),"",'Price History'!U41/'Price History'!U40-1),"")</f>
        <v/>
      </c>
      <c r="V40" s="144" t="n">
        <f aca="false">IFERROR(IF(OR(NOT(ISNUMBER('Price History'!V41)),NOT(ISNUMBER('Price History'!V40)),'Price History'!V40=0),"",'Price History'!V41/'Price History'!V40-1),"")</f>
        <v>-0.0219376391982181</v>
      </c>
      <c r="W40" s="145" t="str">
        <f aca="false">IFERROR('Price History'!B3+(INDEX('Price History'!B:B,MATCH(9.99E+307,'Price History'!$A:$A))-'Price History'!B3)*(ROW()-3)/(MATCH(9.99E+307,'Returns (Calc)'!$A:$A)-3),"")</f>
        <v/>
      </c>
      <c r="X40" s="145" t="n">
        <f aca="false">IFERROR('Price History'!C3+(INDEX('Price History'!C:C,MATCH(9.99E+307,'Price History'!$A:$A))-'Price History'!C3)*(ROW()-3)/(MATCH(9.99E+307,'Returns (Calc)'!$A:$A)-3),"")</f>
        <v>35.4337106918239</v>
      </c>
      <c r="Y40" s="145" t="n">
        <f aca="false">IFERROR('Price History'!D3+(INDEX('Price History'!D:D,MATCH(9.99E+307,'Price History'!$A:$A))-'Price History'!D3)*(ROW()-3)/(MATCH(9.99E+307,'Returns (Calc)'!$A:$A)-3),"")</f>
        <v>446.573710691824</v>
      </c>
      <c r="Z40" s="145" t="n">
        <f aca="false">IFERROR('Price History'!E3+(INDEX('Price History'!E:E,MATCH(9.99E+307,'Price History'!$A:$A))-'Price History'!E3)*(ROW()-3)/(MATCH(9.99E+307,'Returns (Calc)'!$A:$A)-3),"")</f>
        <v>62.9182389937107</v>
      </c>
      <c r="AA40" s="145" t="n">
        <f aca="false">IFERROR('Price History'!F3+(INDEX('Price History'!F:F,MATCH(9.99E+307,'Price History'!$A:$A))-'Price History'!F3)*(ROW()-3)/(MATCH(9.99E+307,'Returns (Calc)'!$A:$A)-3),"")</f>
        <v>57.7850314465409</v>
      </c>
      <c r="AB40" s="145" t="n">
        <f aca="false">IFERROR('Price History'!G3+(INDEX('Price History'!G:G,MATCH(9.99E+307,'Price History'!$A:$A))-'Price History'!G3)*(ROW()-3)/(MATCH(9.99E+307,'Returns (Calc)'!$A:$A)-3),"")</f>
        <v>31.7353459119497</v>
      </c>
      <c r="AC40" s="145" t="n">
        <f aca="false">IFERROR('Price History'!H3+(INDEX('Price History'!H:H,MATCH(9.99E+307,'Price History'!$A:$A))-'Price History'!H3)*(ROW()-3)/(MATCH(9.99E+307,'Returns (Calc)'!$A:$A)-3),"")</f>
        <v>77.1822641509434</v>
      </c>
      <c r="AD40" s="145" t="n">
        <f aca="false">IFERROR('Price History'!I3+(INDEX('Price History'!I:I,MATCH(9.99E+307,'Price History'!$A:$A))-'Price History'!I3)*(ROW()-3)/(MATCH(9.99E+307,'Returns (Calc)'!$A:$A)-3),"")</f>
        <v>34.0295597484277</v>
      </c>
      <c r="AE40" s="145" t="n">
        <f aca="false">IFERROR('Price History'!J3+(INDEX('Price History'!J:J,MATCH(9.99E+307,'Price History'!$A:$A))-'Price History'!J3)*(ROW()-3)/(MATCH(9.99E+307,'Returns (Calc)'!$A:$A)-3),"")</f>
        <v>53.0277987421384</v>
      </c>
      <c r="AF40" s="145" t="n">
        <f aca="false">IFERROR('Price History'!K3+(INDEX('Price History'!K:K,MATCH(9.99E+307,'Price History'!$A:$A))-'Price History'!K3)*(ROW()-3)/(MATCH(9.99E+307,'Returns (Calc)'!$A:$A)-3),"")</f>
        <v>33.5845283018868</v>
      </c>
      <c r="AG40" s="145" t="n">
        <f aca="false">IFERROR('Price History'!L3+(INDEX('Price History'!L:L,MATCH(9.99E+307,'Price History'!$A:$A))-'Price History'!L3)*(ROW()-3)/(MATCH(9.99E+307,'Returns (Calc)'!$A:$A)-3),"")</f>
        <v>85.8143396226415</v>
      </c>
      <c r="AH40" s="145" t="n">
        <f aca="false">IFERROR('Price History'!M3+(INDEX('Price History'!M:M,MATCH(9.99E+307,'Price History'!$A:$A))-'Price History'!M3)*(ROW()-3)/(MATCH(9.99E+307,'Returns (Calc)'!$A:$A)-3),"")</f>
        <v>11.762641509434</v>
      </c>
      <c r="AI40" s="145" t="n">
        <f aca="false">IFERROR('Price History'!N3+(INDEX('Price History'!N:N,MATCH(9.99E+307,'Price History'!$A:$A))-'Price History'!N3)*(ROW()-3)/(MATCH(9.99E+307,'Returns (Calc)'!$A:$A)-3),"")</f>
        <v>16.7270440251572</v>
      </c>
      <c r="AJ40" s="145" t="n">
        <f aca="false">IFERROR('Price History'!O3+(INDEX('Price History'!O:O,MATCH(9.99E+307,'Price History'!$A:$A))-'Price History'!O3)*(ROW()-3)/(MATCH(9.99E+307,'Returns (Calc)'!$A:$A)-3),"")</f>
        <v>44.2192452830189</v>
      </c>
      <c r="AK40" s="145" t="n">
        <f aca="false">IFERROR('Price History'!Q3+(INDEX('Price History'!Q:Q,MATCH(9.99E+307,'Price History'!$A:$A))-'Price History'!Q3)*(ROW()-3)/(MATCH(9.99E+307,'Returns (Calc)'!$A:$A)-3),"")</f>
        <v>180.79786163522</v>
      </c>
      <c r="AL40" s="145" t="n">
        <f aca="false">IFERROR('Price History'!R3+(INDEX('Price History'!R:R,MATCH(9.99E+307,'Price History'!$A:$A))-'Price History'!R3)*(ROW()-3)/(MATCH(9.99E+307,'Returns (Calc)'!$A:$A)-3),"")</f>
        <v>36.6920754716981</v>
      </c>
      <c r="AM40" s="145" t="n">
        <f aca="false">IFERROR('Price History'!S3+(INDEX('Price History'!S:S,MATCH(9.99E+307,'Price History'!$A:$A))-'Price History'!S3)*(ROW()-3)/(MATCH(9.99E+307,'Returns (Calc)'!$A:$A)-3),"")</f>
        <v>44.9174842767296</v>
      </c>
      <c r="AN40" s="145" t="n">
        <f aca="false">IFERROR('Price History'!T3+(INDEX('Price History'!T:T,MATCH(9.99E+307,'Price History'!$A:$A))-'Price History'!T3)*(ROW()-3)/(MATCH(9.99E+307,'Returns (Calc)'!$A:$A)-3),"")</f>
        <v>20.6479245283019</v>
      </c>
      <c r="AO40" s="146" t="n">
        <f aca="false">IFERROR('Price History'!V3+(INDEX('Price History'!V:V,MATCH(9.99E+307,'Price History'!$A:$A))-'Price History'!V3)*(ROW()-3)/(MATCH(9.99E+307,'Returns (Calc)'!$A:$A)-3),"")</f>
        <v>0</v>
      </c>
    </row>
    <row r="41" customFormat="false" ht="15" hidden="false" customHeight="true" outlineLevel="0" collapsed="false">
      <c r="A41" s="142" t="n">
        <f aca="false">IF('Price History'!A42="","",'Price History'!A42)</f>
        <v>45457</v>
      </c>
      <c r="B41" s="143" t="n">
        <f aca="false">IFERROR(IF(OR(NOT(ISNUMBER('Price History'!B42)),NOT(ISNUMBER('Price History'!B41)),'Price History'!B41=0),"",'Price History'!B42/'Price History'!B41-1),"")</f>
        <v>0.128655222052725</v>
      </c>
      <c r="C41" s="143" t="n">
        <f aca="false">IFERROR(IF(OR(NOT(ISNUMBER('Price History'!C42)),NOT(ISNUMBER('Price History'!C41)),'Price History'!C41=0),"",'Price History'!C42/'Price History'!C41-1),"")</f>
        <v>0.106738544474394</v>
      </c>
      <c r="D41" s="143" t="n">
        <f aca="false">IFERROR(IF(OR(NOT(ISNUMBER('Price History'!D42)),NOT(ISNUMBER('Price History'!D41)),'Price History'!D41=0),"",'Price History'!D42/'Price History'!D41-1),"")</f>
        <v>-0.000505150554675149</v>
      </c>
      <c r="E41" s="143" t="n">
        <f aca="false">IFERROR(IF(OR(NOT(ISNUMBER('Price History'!E42)),NOT(ISNUMBER('Price History'!E41)),'Price History'!E41=0),"",'Price History'!E42/'Price History'!E41-1),"")</f>
        <v>0.233440093172223</v>
      </c>
      <c r="F41" s="143" t="n">
        <f aca="false">IFERROR(IF(OR(NOT(ISNUMBER('Price History'!F42)),NOT(ISNUMBER('Price History'!F41)),'Price History'!F41=0),"",'Price History'!F42/'Price History'!F41-1),"")</f>
        <v>-0.0238425925925926</v>
      </c>
      <c r="G41" s="143" t="n">
        <f aca="false">IFERROR(IF(OR(NOT(ISNUMBER('Price History'!G42)),NOT(ISNUMBER('Price History'!G41)),'Price History'!G41=0),"",'Price History'!G42/'Price History'!G41-1),"")</f>
        <v>0.104032997250229</v>
      </c>
      <c r="H41" s="143" t="n">
        <f aca="false">IFERROR(IF(OR(NOT(ISNUMBER('Price History'!H42)),NOT(ISNUMBER('Price History'!H41)),'Price History'!H41=0),"",'Price History'!H42/'Price History'!H41-1),"")</f>
        <v>-0.0168670375022429</v>
      </c>
      <c r="I41" s="143" t="n">
        <f aca="false">IFERROR(IF(OR(NOT(ISNUMBER('Price History'!I42)),NOT(ISNUMBER('Price History'!I41)),'Price History'!I41=0),"",'Price History'!I42/'Price History'!I41-1),"")</f>
        <v>0.0727417008332232</v>
      </c>
      <c r="J41" s="143" t="n">
        <f aca="false">IFERROR(IF(OR(NOT(ISNUMBER('Price History'!J42)),NOT(ISNUMBER('Price History'!J41)),'Price History'!J41=0),"",'Price History'!J42/'Price History'!J41-1),"")</f>
        <v>0.0795323436658719</v>
      </c>
      <c r="K41" s="143" t="n">
        <f aca="false">IFERROR(IF(OR(NOT(ISNUMBER('Price History'!K42)),NOT(ISNUMBER('Price History'!K41)),'Price History'!K41=0),"",'Price History'!K42/'Price History'!K41-1),"")</f>
        <v>0.0910900945744151</v>
      </c>
      <c r="L41" s="143" t="n">
        <f aca="false">IFERROR(IF(OR(NOT(ISNUMBER('Price History'!L42)),NOT(ISNUMBER('Price History'!L41)),'Price History'!L41=0),"",'Price History'!L42/'Price History'!L41-1),"")</f>
        <v>0.0189274447949528</v>
      </c>
      <c r="M41" s="143" t="n">
        <f aca="false">IFERROR(IF(OR(NOT(ISNUMBER('Price History'!M42)),NOT(ISNUMBER('Price History'!M41)),'Price History'!M41=0),"",'Price History'!M42/'Price History'!M41-1),"")</f>
        <v>0.0111540111540112</v>
      </c>
      <c r="N41" s="143" t="n">
        <f aca="false">IFERROR(IF(OR(NOT(ISNUMBER('Price History'!N42)),NOT(ISNUMBER('Price History'!N41)),'Price History'!N41=0),"",'Price History'!N42/'Price History'!N41-1),"")</f>
        <v>-0.0139299282397637</v>
      </c>
      <c r="O41" s="143" t="n">
        <f aca="false">IFERROR(IF(OR(NOT(ISNUMBER('Price History'!O42)),NOT(ISNUMBER('Price History'!O41)),'Price History'!O41=0),"",'Price History'!O42/'Price History'!O41-1),"")</f>
        <v>0.042212518195051</v>
      </c>
      <c r="P41" s="143" t="n">
        <f aca="false">IFERROR(IF(OR(NOT(ISNUMBER('Price History'!P42)),NOT(ISNUMBER('Price History'!P41)),'Price History'!P41=0),"",'Price History'!P42/'Price History'!P41-1),"")</f>
        <v>0.0526547006401406</v>
      </c>
      <c r="Q41" s="143" t="n">
        <f aca="false">IFERROR(IF(OR(NOT(ISNUMBER('Price History'!Q42)),NOT(ISNUMBER('Price History'!Q41)),'Price History'!Q41=0),"",'Price History'!Q42/'Price History'!Q41-1),"")</f>
        <v>-0.0287247244324403</v>
      </c>
      <c r="R41" s="143" t="n">
        <f aca="false">IFERROR(IF(OR(NOT(ISNUMBER('Price History'!R42)),NOT(ISNUMBER('Price History'!R41)),'Price History'!R41=0),"",'Price History'!R42/'Price History'!R41-1),"")</f>
        <v>0.0138388625592416</v>
      </c>
      <c r="S41" s="143" t="n">
        <f aca="false">IFERROR(IF(OR(NOT(ISNUMBER('Price History'!S42)),NOT(ISNUMBER('Price History'!S41)),'Price History'!S41=0),"",'Price History'!S42/'Price History'!S41-1),"")</f>
        <v>0.0222307890002571</v>
      </c>
      <c r="T41" s="143" t="n">
        <f aca="false">IFERROR(IF(OR(NOT(ISNUMBER('Price History'!T42)),NOT(ISNUMBER('Price History'!T41)),'Price History'!T41=0),"",'Price History'!T42/'Price History'!T41-1),"")</f>
        <v>0.0220564385338957</v>
      </c>
      <c r="U41" s="143" t="str">
        <f aca="false">IFERROR(IF(OR(NOT(ISNUMBER('Price History'!U42)),NOT(ISNUMBER('Price History'!U41)),'Price History'!U41=0),"",'Price History'!U42/'Price History'!U41-1),"")</f>
        <v/>
      </c>
      <c r="V41" s="144" t="n">
        <f aca="false">IFERROR(IF(OR(NOT(ISNUMBER('Price History'!V42)),NOT(ISNUMBER('Price History'!V41)),'Price History'!V41=0),"",'Price History'!V42/'Price History'!V41-1),"")</f>
        <v>0.045618429541918</v>
      </c>
      <c r="W41" s="145" t="str">
        <f aca="false">IFERROR('Price History'!B3+(INDEX('Price History'!B:B,MATCH(9.99E+307,'Price History'!$A:$A))-'Price History'!B3)*(ROW()-3)/(MATCH(9.99E+307,'Returns (Calc)'!$A:$A)-3),"")</f>
        <v/>
      </c>
      <c r="X41" s="145" t="n">
        <f aca="false">IFERROR('Price History'!C3+(INDEX('Price History'!C:C,MATCH(9.99E+307,'Price History'!$A:$A))-'Price History'!C3)*(ROW()-3)/(MATCH(9.99E+307,'Returns (Calc)'!$A:$A)-3),"")</f>
        <v>35.1432704402516</v>
      </c>
      <c r="Y41" s="145" t="n">
        <f aca="false">IFERROR('Price History'!D3+(INDEX('Price History'!D:D,MATCH(9.99E+307,'Price History'!$A:$A))-'Price History'!D3)*(ROW()-3)/(MATCH(9.99E+307,'Returns (Calc)'!$A:$A)-3),"")</f>
        <v>442.913270440252</v>
      </c>
      <c r="Z41" s="145" t="n">
        <f aca="false">IFERROR('Price History'!E3+(INDEX('Price History'!E:E,MATCH(9.99E+307,'Price History'!$A:$A))-'Price History'!E3)*(ROW()-3)/(MATCH(9.99E+307,'Returns (Calc)'!$A:$A)-3),"")</f>
        <v>62.4025157232704</v>
      </c>
      <c r="AA41" s="145" t="n">
        <f aca="false">IFERROR('Price History'!F3+(INDEX('Price History'!F:F,MATCH(9.99E+307,'Price History'!$A:$A))-'Price History'!F3)*(ROW()-3)/(MATCH(9.99E+307,'Returns (Calc)'!$A:$A)-3),"")</f>
        <v>57.3113836477987</v>
      </c>
      <c r="AB41" s="145" t="n">
        <f aca="false">IFERROR('Price History'!G3+(INDEX('Price History'!G:G,MATCH(9.99E+307,'Price History'!$A:$A))-'Price History'!G3)*(ROW()-3)/(MATCH(9.99E+307,'Returns (Calc)'!$A:$A)-3),"")</f>
        <v>31.4752201257862</v>
      </c>
      <c r="AC41" s="145" t="n">
        <f aca="false">IFERROR('Price History'!H3+(INDEX('Price History'!H:H,MATCH(9.99E+307,'Price History'!$A:$A))-'Price History'!H3)*(ROW()-3)/(MATCH(9.99E+307,'Returns (Calc)'!$A:$A)-3),"")</f>
        <v>76.5496226415094</v>
      </c>
      <c r="AD41" s="145" t="n">
        <f aca="false">IFERROR('Price History'!I3+(INDEX('Price History'!I:I,MATCH(9.99E+307,'Price History'!$A:$A))-'Price History'!I3)*(ROW()-3)/(MATCH(9.99E+307,'Returns (Calc)'!$A:$A)-3),"")</f>
        <v>33.7506289308176</v>
      </c>
      <c r="AE41" s="145" t="n">
        <f aca="false">IFERROR('Price History'!J3+(INDEX('Price History'!J:J,MATCH(9.99E+307,'Price History'!$A:$A))-'Price History'!J3)*(ROW()-3)/(MATCH(9.99E+307,'Returns (Calc)'!$A:$A)-3),"")</f>
        <v>52.5931446540881</v>
      </c>
      <c r="AF41" s="145" t="n">
        <f aca="false">IFERROR('Price History'!K3+(INDEX('Price History'!K:K,MATCH(9.99E+307,'Price History'!$A:$A))-'Price History'!K3)*(ROW()-3)/(MATCH(9.99E+307,'Returns (Calc)'!$A:$A)-3),"")</f>
        <v>33.3092452830189</v>
      </c>
      <c r="AG41" s="145" t="n">
        <f aca="false">IFERROR('Price History'!L3+(INDEX('Price History'!L:L,MATCH(9.99E+307,'Price History'!$A:$A))-'Price History'!L3)*(ROW()-3)/(MATCH(9.99E+307,'Returns (Calc)'!$A:$A)-3),"")</f>
        <v>85.1109433962264</v>
      </c>
      <c r="AH41" s="145" t="n">
        <f aca="false">IFERROR('Price History'!M3+(INDEX('Price History'!M:M,MATCH(9.99E+307,'Price History'!$A:$A))-'Price History'!M3)*(ROW()-3)/(MATCH(9.99E+307,'Returns (Calc)'!$A:$A)-3),"")</f>
        <v>11.6662264150943</v>
      </c>
      <c r="AI41" s="145" t="n">
        <f aca="false">IFERROR('Price History'!N3+(INDEX('Price History'!N:N,MATCH(9.99E+307,'Price History'!$A:$A))-'Price History'!N3)*(ROW()-3)/(MATCH(9.99E+307,'Returns (Calc)'!$A:$A)-3),"")</f>
        <v>16.5899371069182</v>
      </c>
      <c r="AJ41" s="145" t="n">
        <f aca="false">IFERROR('Price History'!O3+(INDEX('Price History'!O:O,MATCH(9.99E+307,'Price History'!$A:$A))-'Price History'!O3)*(ROW()-3)/(MATCH(9.99E+307,'Returns (Calc)'!$A:$A)-3),"")</f>
        <v>43.8567924528302</v>
      </c>
      <c r="AK41" s="145" t="n">
        <f aca="false">IFERROR('Price History'!Q3+(INDEX('Price History'!Q:Q,MATCH(9.99E+307,'Price History'!$A:$A))-'Price History'!Q3)*(ROW()-3)/(MATCH(9.99E+307,'Returns (Calc)'!$A:$A)-3),"")</f>
        <v>179.315911949686</v>
      </c>
      <c r="AL41" s="145" t="n">
        <f aca="false">IFERROR('Price History'!R3+(INDEX('Price History'!R:R,MATCH(9.99E+307,'Price History'!$A:$A))-'Price History'!R3)*(ROW()-3)/(MATCH(9.99E+307,'Returns (Calc)'!$A:$A)-3),"")</f>
        <v>36.391320754717</v>
      </c>
      <c r="AM41" s="145" t="n">
        <f aca="false">IFERROR('Price History'!S3+(INDEX('Price History'!S:S,MATCH(9.99E+307,'Price History'!$A:$A))-'Price History'!S3)*(ROW()-3)/(MATCH(9.99E+307,'Returns (Calc)'!$A:$A)-3),"")</f>
        <v>44.5493081761006</v>
      </c>
      <c r="AN41" s="145" t="n">
        <f aca="false">IFERROR('Price History'!T3+(INDEX('Price History'!T:T,MATCH(9.99E+307,'Price History'!$A:$A))-'Price History'!T3)*(ROW()-3)/(MATCH(9.99E+307,'Returns (Calc)'!$A:$A)-3),"")</f>
        <v>20.478679245283</v>
      </c>
      <c r="AO41" s="146" t="n">
        <f aca="false">IFERROR('Price History'!V3+(INDEX('Price History'!V:V,MATCH(9.99E+307,'Price History'!$A:$A))-'Price History'!V3)*(ROW()-3)/(MATCH(9.99E+307,'Returns (Calc)'!$A:$A)-3),"")</f>
        <v>0</v>
      </c>
    </row>
    <row r="42" customFormat="false" ht="15" hidden="false" customHeight="true" outlineLevel="0" collapsed="false">
      <c r="A42" s="142" t="n">
        <f aca="false">IF('Price History'!A43="","",'Price History'!A43)</f>
        <v>45464</v>
      </c>
      <c r="B42" s="143" t="n">
        <f aca="false">IFERROR(IF(OR(NOT(ISNUMBER('Price History'!B43)),NOT(ISNUMBER('Price History'!B42)),'Price History'!B42=0),"",'Price History'!B43/'Price History'!B42-1),"")</f>
        <v>0.0154765757362321</v>
      </c>
      <c r="C42" s="143" t="n">
        <f aca="false">IFERROR(IF(OR(NOT(ISNUMBER('Price History'!C43)),NOT(ISNUMBER('Price History'!C42)),'Price History'!C42=0),"",'Price History'!C43/'Price History'!C42-1),"")</f>
        <v>0.0270336093521675</v>
      </c>
      <c r="D42" s="143" t="n">
        <f aca="false">IFERROR(IF(OR(NOT(ISNUMBER('Price History'!D43)),NOT(ISNUMBER('Price History'!D42)),'Price History'!D42=0),"",'Price History'!D43/'Price History'!D42-1),"")</f>
        <v>0.00846307068745111</v>
      </c>
      <c r="E42" s="143" t="n">
        <f aca="false">IFERROR(IF(OR(NOT(ISNUMBER('Price History'!E43)),NOT(ISNUMBER('Price History'!E42)),'Price History'!E42=0),"",'Price History'!E43/'Price History'!E42-1),"")</f>
        <v>-0.0440247860725876</v>
      </c>
      <c r="F42" s="143" t="n">
        <f aca="false">IFERROR(IF(OR(NOT(ISNUMBER('Price History'!F43)),NOT(ISNUMBER('Price History'!F42)),'Price History'!F42=0),"",'Price History'!F43/'Price History'!F42-1),"")</f>
        <v>0.0107896608963718</v>
      </c>
      <c r="G42" s="143" t="n">
        <f aca="false">IFERROR(IF(OR(NOT(ISNUMBER('Price History'!G43)),NOT(ISNUMBER('Price History'!G42)),'Price History'!G42=0),"",'Price History'!G43/'Price History'!G42-1),"")</f>
        <v>-0.0124533001245331</v>
      </c>
      <c r="H42" s="143" t="n">
        <f aca="false">IFERROR(IF(OR(NOT(ISNUMBER('Price History'!H43)),NOT(ISNUMBER('Price History'!H42)),'Price History'!H42=0),"",'Price History'!H43/'Price History'!H42-1),"")</f>
        <v>0.0137798868406644</v>
      </c>
      <c r="I42" s="143" t="n">
        <f aca="false">IFERROR(IF(OR(NOT(ISNUMBER('Price History'!I43)),NOT(ISNUMBER('Price History'!I42)),'Price History'!I42=0),"",'Price History'!I43/'Price History'!I42-1),"")</f>
        <v>-0.010109727530514</v>
      </c>
      <c r="J42" s="143" t="n">
        <f aca="false">IFERROR(IF(OR(NOT(ISNUMBER('Price History'!J43)),NOT(ISNUMBER('Price History'!J42)),'Price History'!J42=0),"",'Price History'!J43/'Price History'!J42-1),"")</f>
        <v>-0.0128250801567509</v>
      </c>
      <c r="K42" s="143" t="n">
        <f aca="false">IFERROR(IF(OR(NOT(ISNUMBER('Price History'!K43)),NOT(ISNUMBER('Price History'!K42)),'Price History'!K42=0),"",'Price History'!K43/'Price History'!K42-1),"")</f>
        <v>-0.0402980535279807</v>
      </c>
      <c r="L42" s="143" t="n">
        <f aca="false">IFERROR(IF(OR(NOT(ISNUMBER('Price History'!L43)),NOT(ISNUMBER('Price History'!L42)),'Price History'!L42=0),"",'Price History'!L43/'Price History'!L42-1),"")</f>
        <v>-0.0173181114551084</v>
      </c>
      <c r="M42" s="143" t="n">
        <f aca="false">IFERROR(IF(OR(NOT(ISNUMBER('Price History'!M43)),NOT(ISNUMBER('Price History'!M42)),'Price History'!M42=0),"",'Price History'!M43/'Price History'!M42-1),"")</f>
        <v>0.0114552397114978</v>
      </c>
      <c r="N42" s="143" t="n">
        <f aca="false">IFERROR(IF(OR(NOT(ISNUMBER('Price History'!N43)),NOT(ISNUMBER('Price History'!N42)),'Price History'!N42=0),"",'Price History'!N43/'Price History'!N42-1),"")</f>
        <v>0.0171232876712331</v>
      </c>
      <c r="O42" s="143" t="n">
        <f aca="false">IFERROR(IF(OR(NOT(ISNUMBER('Price History'!O43)),NOT(ISNUMBER('Price History'!O42)),'Price History'!O42=0),"",'Price History'!O43/'Price History'!O42-1),"")</f>
        <v>-0.000814711359404141</v>
      </c>
      <c r="P42" s="143" t="n">
        <f aca="false">IFERROR(IF(OR(NOT(ISNUMBER('Price History'!P43)),NOT(ISNUMBER('Price History'!P42)),'Price History'!P42=0),"",'Price History'!P43/'Price History'!P42-1),"")</f>
        <v>0.00840636737614031</v>
      </c>
      <c r="Q42" s="143" t="n">
        <f aca="false">IFERROR(IF(OR(NOT(ISNUMBER('Price History'!Q43)),NOT(ISNUMBER('Price History'!Q42)),'Price History'!Q42=0),"",'Price History'!Q43/'Price History'!Q42-1),"")</f>
        <v>0.0168351433617675</v>
      </c>
      <c r="R42" s="143" t="n">
        <f aca="false">IFERROR(IF(OR(NOT(ISNUMBER('Price History'!R43)),NOT(ISNUMBER('Price History'!R42)),'Price History'!R42=0),"",'Price History'!R43/'Price History'!R42-1),"")</f>
        <v>0.011967090501122</v>
      </c>
      <c r="S42" s="143" t="n">
        <f aca="false">IFERROR(IF(OR(NOT(ISNUMBER('Price History'!S43)),NOT(ISNUMBER('Price History'!S42)),'Price History'!S42=0),"",'Price History'!S43/'Price History'!S42-1),"")</f>
        <v>0.0150848522941547</v>
      </c>
      <c r="T42" s="143" t="n">
        <f aca="false">IFERROR(IF(OR(NOT(ISNUMBER('Price History'!T43)),NOT(ISNUMBER('Price History'!T42)),'Price History'!T42=0),"",'Price History'!T43/'Price History'!T42-1),"")</f>
        <v>0.00920342748333858</v>
      </c>
      <c r="U42" s="143" t="str">
        <f aca="false">IFERROR(IF(OR(NOT(ISNUMBER('Price History'!U43)),NOT(ISNUMBER('Price History'!U42)),'Price History'!U42=0),"",'Price History'!U43/'Price History'!U42-1),"")</f>
        <v/>
      </c>
      <c r="V42" s="144" t="n">
        <f aca="false">IFERROR(IF(OR(NOT(ISNUMBER('Price History'!V43)),NOT(ISNUMBER('Price History'!V42)),'Price History'!V42=0),"",'Price History'!V43/'Price History'!V42-1),"")</f>
        <v>-0.000435555878189553</v>
      </c>
      <c r="W42" s="145" t="str">
        <f aca="false">IFERROR('Price History'!B3+(INDEX('Price History'!B:B,MATCH(9.99E+307,'Price History'!$A:$A))-'Price History'!B3)*(ROW()-3)/(MATCH(9.99E+307,'Returns (Calc)'!$A:$A)-3),"")</f>
        <v/>
      </c>
      <c r="X42" s="145" t="n">
        <f aca="false">IFERROR('Price History'!C3+(INDEX('Price History'!C:C,MATCH(9.99E+307,'Price History'!$A:$A))-'Price History'!C3)*(ROW()-3)/(MATCH(9.99E+307,'Returns (Calc)'!$A:$A)-3),"")</f>
        <v>34.8528301886793</v>
      </c>
      <c r="Y42" s="145" t="n">
        <f aca="false">IFERROR('Price History'!D3+(INDEX('Price History'!D:D,MATCH(9.99E+307,'Price History'!$A:$A))-'Price History'!D3)*(ROW()-3)/(MATCH(9.99E+307,'Returns (Calc)'!$A:$A)-3),"")</f>
        <v>439.252830188679</v>
      </c>
      <c r="Z42" s="145" t="n">
        <f aca="false">IFERROR('Price History'!E3+(INDEX('Price History'!E:E,MATCH(9.99E+307,'Price History'!$A:$A))-'Price History'!E3)*(ROW()-3)/(MATCH(9.99E+307,'Returns (Calc)'!$A:$A)-3),"")</f>
        <v>61.8867924528302</v>
      </c>
      <c r="AA42" s="145" t="n">
        <f aca="false">IFERROR('Price History'!F3+(INDEX('Price History'!F:F,MATCH(9.99E+307,'Price History'!$A:$A))-'Price History'!F3)*(ROW()-3)/(MATCH(9.99E+307,'Returns (Calc)'!$A:$A)-3),"")</f>
        <v>56.8377358490566</v>
      </c>
      <c r="AB42" s="145" t="n">
        <f aca="false">IFERROR('Price History'!G3+(INDEX('Price History'!G:G,MATCH(9.99E+307,'Price History'!$A:$A))-'Price History'!G3)*(ROW()-3)/(MATCH(9.99E+307,'Returns (Calc)'!$A:$A)-3),"")</f>
        <v>31.2150943396226</v>
      </c>
      <c r="AC42" s="145" t="n">
        <f aca="false">IFERROR('Price History'!H3+(INDEX('Price History'!H:H,MATCH(9.99E+307,'Price History'!$A:$A))-'Price History'!H3)*(ROW()-3)/(MATCH(9.99E+307,'Returns (Calc)'!$A:$A)-3),"")</f>
        <v>75.9169811320755</v>
      </c>
      <c r="AD42" s="145" t="n">
        <f aca="false">IFERROR('Price History'!I3+(INDEX('Price History'!I:I,MATCH(9.99E+307,'Price History'!$A:$A))-'Price History'!I3)*(ROW()-3)/(MATCH(9.99E+307,'Returns (Calc)'!$A:$A)-3),"")</f>
        <v>33.4716981132076</v>
      </c>
      <c r="AE42" s="145" t="n">
        <f aca="false">IFERROR('Price History'!J3+(INDEX('Price History'!J:J,MATCH(9.99E+307,'Price History'!$A:$A))-'Price History'!J3)*(ROW()-3)/(MATCH(9.99E+307,'Returns (Calc)'!$A:$A)-3),"")</f>
        <v>52.1584905660377</v>
      </c>
      <c r="AF42" s="145" t="n">
        <f aca="false">IFERROR('Price History'!K3+(INDEX('Price History'!K:K,MATCH(9.99E+307,'Price History'!$A:$A))-'Price History'!K3)*(ROW()-3)/(MATCH(9.99E+307,'Returns (Calc)'!$A:$A)-3),"")</f>
        <v>33.0339622641509</v>
      </c>
      <c r="AG42" s="145" t="n">
        <f aca="false">IFERROR('Price History'!L3+(INDEX('Price History'!L:L,MATCH(9.99E+307,'Price History'!$A:$A))-'Price History'!L3)*(ROW()-3)/(MATCH(9.99E+307,'Returns (Calc)'!$A:$A)-3),"")</f>
        <v>84.4075471698113</v>
      </c>
      <c r="AH42" s="145" t="n">
        <f aca="false">IFERROR('Price History'!M3+(INDEX('Price History'!M:M,MATCH(9.99E+307,'Price History'!$A:$A))-'Price History'!M3)*(ROW()-3)/(MATCH(9.99E+307,'Returns (Calc)'!$A:$A)-3),"")</f>
        <v>11.5698113207547</v>
      </c>
      <c r="AI42" s="145" t="n">
        <f aca="false">IFERROR('Price History'!N3+(INDEX('Price History'!N:N,MATCH(9.99E+307,'Price History'!$A:$A))-'Price History'!N3)*(ROW()-3)/(MATCH(9.99E+307,'Returns (Calc)'!$A:$A)-3),"")</f>
        <v>16.4528301886792</v>
      </c>
      <c r="AJ42" s="145" t="n">
        <f aca="false">IFERROR('Price History'!O3+(INDEX('Price History'!O:O,MATCH(9.99E+307,'Price History'!$A:$A))-'Price History'!O3)*(ROW()-3)/(MATCH(9.99E+307,'Returns (Calc)'!$A:$A)-3),"")</f>
        <v>43.4943396226415</v>
      </c>
      <c r="AK42" s="145" t="n">
        <f aca="false">IFERROR('Price History'!Q3+(INDEX('Price History'!Q:Q,MATCH(9.99E+307,'Price History'!$A:$A))-'Price History'!Q3)*(ROW()-3)/(MATCH(9.99E+307,'Returns (Calc)'!$A:$A)-3),"")</f>
        <v>177.833962264151</v>
      </c>
      <c r="AL42" s="145" t="n">
        <f aca="false">IFERROR('Price History'!R3+(INDEX('Price History'!R:R,MATCH(9.99E+307,'Price History'!$A:$A))-'Price History'!R3)*(ROW()-3)/(MATCH(9.99E+307,'Returns (Calc)'!$A:$A)-3),"")</f>
        <v>36.0905660377359</v>
      </c>
      <c r="AM42" s="145" t="n">
        <f aca="false">IFERROR('Price History'!S3+(INDEX('Price History'!S:S,MATCH(9.99E+307,'Price History'!$A:$A))-'Price History'!S3)*(ROW()-3)/(MATCH(9.99E+307,'Returns (Calc)'!$A:$A)-3),"")</f>
        <v>44.1811320754717</v>
      </c>
      <c r="AN42" s="145" t="n">
        <f aca="false">IFERROR('Price History'!T3+(INDEX('Price History'!T:T,MATCH(9.99E+307,'Price History'!$A:$A))-'Price History'!T3)*(ROW()-3)/(MATCH(9.99E+307,'Returns (Calc)'!$A:$A)-3),"")</f>
        <v>20.3094339622642</v>
      </c>
      <c r="AO42" s="146" t="n">
        <f aca="false">IFERROR('Price History'!V3+(INDEX('Price History'!V:V,MATCH(9.99E+307,'Price History'!$A:$A))-'Price History'!V3)*(ROW()-3)/(MATCH(9.99E+307,'Returns (Calc)'!$A:$A)-3),"")</f>
        <v>0</v>
      </c>
    </row>
    <row r="43" customFormat="false" ht="15" hidden="false" customHeight="true" outlineLevel="0" collapsed="false">
      <c r="A43" s="142" t="n">
        <f aca="false">IF('Price History'!A44="","",'Price History'!A44)</f>
        <v>45471</v>
      </c>
      <c r="B43" s="143" t="n">
        <f aca="false">IFERROR(IF(OR(NOT(ISNUMBER('Price History'!B44)),NOT(ISNUMBER('Price History'!B43)),'Price History'!B43=0),"",'Price History'!B44/'Price History'!B43-1),"")</f>
        <v>0.0414292141571684</v>
      </c>
      <c r="C43" s="143" t="n">
        <f aca="false">IFERROR(IF(OR(NOT(ISNUMBER('Price History'!C44)),NOT(ISNUMBER('Price History'!C43)),'Price History'!C43=0),"",'Price History'!C44/'Price History'!C43-1),"")</f>
        <v>0.0388902063078018</v>
      </c>
      <c r="D43" s="143" t="n">
        <f aca="false">IFERROR(IF(OR(NOT(ISNUMBER('Price History'!D44)),NOT(ISNUMBER('Price History'!D43)),'Price History'!D43=0),"",'Price History'!D44/'Price History'!D43-1),"")</f>
        <v>-0.0133840393856314</v>
      </c>
      <c r="E43" s="143" t="n">
        <f aca="false">IFERROR(IF(OR(NOT(ISNUMBER('Price History'!E44)),NOT(ISNUMBER('Price History'!E43)),'Price History'!E43=0),"",'Price History'!E44/'Price History'!E43-1),"")</f>
        <v>-0.0289524044694117</v>
      </c>
      <c r="F43" s="143" t="n">
        <f aca="false">IFERROR(IF(OR(NOT(ISNUMBER('Price History'!F44)),NOT(ISNUMBER('Price History'!F43)),'Price History'!F43=0),"",'Price History'!F44/'Price History'!F43-1),"")</f>
        <v>0.0166568914956011</v>
      </c>
      <c r="G43" s="143" t="n">
        <f aca="false">IFERROR(IF(OR(NOT(ISNUMBER('Price History'!G44)),NOT(ISNUMBER('Price History'!G43)),'Price History'!G43=0),"",'Price History'!G44/'Price History'!G43-1),"")</f>
        <v>0.00672551492223628</v>
      </c>
      <c r="H43" s="143" t="n">
        <f aca="false">IFERROR(IF(OR(NOT(ISNUMBER('Price History'!H44)),NOT(ISNUMBER('Price History'!H43)),'Price History'!H43=0),"",'Price History'!H44/'Price History'!H43-1),"")</f>
        <v>0.00297056440723731</v>
      </c>
      <c r="I43" s="143" t="n">
        <f aca="false">IFERROR(IF(OR(NOT(ISNUMBER('Price History'!I44)),NOT(ISNUMBER('Price History'!I43)),'Price History'!I43=0),"",'Price History'!I44/'Price History'!I43-1),"")</f>
        <v>0.00983933241997748</v>
      </c>
      <c r="J43" s="143" t="n">
        <f aca="false">IFERROR(IF(OR(NOT(ISNUMBER('Price History'!J44)),NOT(ISNUMBER('Price History'!J43)),'Price History'!J43=0),"",'Price History'!J44/'Price History'!J43-1),"")</f>
        <v>-0.0574521833273187</v>
      </c>
      <c r="K43" s="143" t="n">
        <f aca="false">IFERROR(IF(OR(NOT(ISNUMBER('Price History'!K44)),NOT(ISNUMBER('Price History'!K43)),'Price History'!K43=0),"",'Price History'!K44/'Price History'!K43-1),"")</f>
        <v>-0.0239264775788306</v>
      </c>
      <c r="L43" s="143" t="n">
        <f aca="false">IFERROR(IF(OR(NOT(ISNUMBER('Price History'!L44)),NOT(ISNUMBER('Price History'!L43)),'Price History'!L43=0),"",'Price History'!L44/'Price History'!L43-1),"")</f>
        <v>0.0265826523579797</v>
      </c>
      <c r="M43" s="143" t="n">
        <f aca="false">IFERROR(IF(OR(NOT(ISNUMBER('Price History'!M44)),NOT(ISNUMBER('Price History'!M43)),'Price History'!M43=0),"",'Price History'!M44/'Price History'!M43-1),"")</f>
        <v>0.0625</v>
      </c>
      <c r="N43" s="143" t="n">
        <f aca="false">IFERROR(IF(OR(NOT(ISNUMBER('Price History'!N44)),NOT(ISNUMBER('Price History'!N43)),'Price History'!N43=0),"",'Price History'!N44/'Price History'!N43-1),"")</f>
        <v>0.00589225589225584</v>
      </c>
      <c r="O43" s="143" t="n">
        <f aca="false">IFERROR(IF(OR(NOT(ISNUMBER('Price History'!O44)),NOT(ISNUMBER('Price History'!O43)),'Price History'!O43=0),"",'Price History'!O44/'Price History'!O43-1),"")</f>
        <v>0.00186371578334321</v>
      </c>
      <c r="P43" s="143" t="n">
        <f aca="false">IFERROR(IF(OR(NOT(ISNUMBER('Price History'!P44)),NOT(ISNUMBER('Price History'!P43)),'Price History'!P43=0),"",'Price History'!P44/'Price History'!P43-1),"")</f>
        <v>-0.000827716684403401</v>
      </c>
      <c r="Q43" s="143" t="n">
        <f aca="false">IFERROR(IF(OR(NOT(ISNUMBER('Price History'!Q44)),NOT(ISNUMBER('Price History'!Q43)),'Price History'!Q43=0),"",'Price History'!Q44/'Price History'!Q43-1),"")</f>
        <v>-0.0463431760227649</v>
      </c>
      <c r="R43" s="143" t="n">
        <f aca="false">IFERROR(IF(OR(NOT(ISNUMBER('Price History'!R44)),NOT(ISNUMBER('Price History'!R43)),'Price History'!R43=0),"",'Price History'!R44/'Price History'!R43-1),"")</f>
        <v>0.00480413895048049</v>
      </c>
      <c r="S43" s="143" t="n">
        <f aca="false">IFERROR(IF(OR(NOT(ISNUMBER('Price History'!S44)),NOT(ISNUMBER('Price History'!S43)),'Price History'!S43=0),"",'Price History'!S44/'Price History'!S43-1),"")</f>
        <v>0.0194427244582043</v>
      </c>
      <c r="T43" s="143" t="n">
        <f aca="false">IFERROR(IF(OR(NOT(ISNUMBER('Price History'!T44)),NOT(ISNUMBER('Price History'!T43)),'Price History'!T43=0),"",'Price History'!T44/'Price History'!T43-1),"")</f>
        <v>-0.0169811320754717</v>
      </c>
      <c r="U43" s="143" t="str">
        <f aca="false">IFERROR(IF(OR(NOT(ISNUMBER('Price History'!U44)),NOT(ISNUMBER('Price History'!U43)),'Price History'!U43=0),"",'Price History'!U44/'Price History'!U43-1),"")</f>
        <v/>
      </c>
      <c r="V43" s="144" t="n">
        <f aca="false">IFERROR(IF(OR(NOT(ISNUMBER('Price History'!V44)),NOT(ISNUMBER('Price History'!V43)),'Price History'!V43=0),"",'Price History'!V44/'Price History'!V43-1),"")</f>
        <v>-0.0200443008097606</v>
      </c>
      <c r="W43" s="145" t="str">
        <f aca="false">IFERROR('Price History'!B3+(INDEX('Price History'!B:B,MATCH(9.99E+307,'Price History'!$A:$A))-'Price History'!B3)*(ROW()-3)/(MATCH(9.99E+307,'Returns (Calc)'!$A:$A)-3),"")</f>
        <v/>
      </c>
      <c r="X43" s="145" t="n">
        <f aca="false">IFERROR('Price History'!C3+(INDEX('Price History'!C:C,MATCH(9.99E+307,'Price History'!$A:$A))-'Price History'!C3)*(ROW()-3)/(MATCH(9.99E+307,'Returns (Calc)'!$A:$A)-3),"")</f>
        <v>34.5623899371069</v>
      </c>
      <c r="Y43" s="145" t="n">
        <f aca="false">IFERROR('Price History'!D3+(INDEX('Price History'!D:D,MATCH(9.99E+307,'Price History'!$A:$A))-'Price History'!D3)*(ROW()-3)/(MATCH(9.99E+307,'Returns (Calc)'!$A:$A)-3),"")</f>
        <v>435.592389937107</v>
      </c>
      <c r="Z43" s="145" t="n">
        <f aca="false">IFERROR('Price History'!E3+(INDEX('Price History'!E:E,MATCH(9.99E+307,'Price History'!$A:$A))-'Price History'!E3)*(ROW()-3)/(MATCH(9.99E+307,'Returns (Calc)'!$A:$A)-3),"")</f>
        <v>61.3710691823899</v>
      </c>
      <c r="AA43" s="145" t="n">
        <f aca="false">IFERROR('Price History'!F3+(INDEX('Price History'!F:F,MATCH(9.99E+307,'Price History'!$A:$A))-'Price History'!F3)*(ROW()-3)/(MATCH(9.99E+307,'Returns (Calc)'!$A:$A)-3),"")</f>
        <v>56.3640880503145</v>
      </c>
      <c r="AB43" s="145" t="n">
        <f aca="false">IFERROR('Price History'!G3+(INDEX('Price History'!G:G,MATCH(9.99E+307,'Price History'!$A:$A))-'Price History'!G3)*(ROW()-3)/(MATCH(9.99E+307,'Returns (Calc)'!$A:$A)-3),"")</f>
        <v>30.9549685534591</v>
      </c>
      <c r="AC43" s="145" t="n">
        <f aca="false">IFERROR('Price History'!H3+(INDEX('Price History'!H:H,MATCH(9.99E+307,'Price History'!$A:$A))-'Price History'!H3)*(ROW()-3)/(MATCH(9.99E+307,'Returns (Calc)'!$A:$A)-3),"")</f>
        <v>75.2843396226415</v>
      </c>
      <c r="AD43" s="145" t="n">
        <f aca="false">IFERROR('Price History'!I3+(INDEX('Price History'!I:I,MATCH(9.99E+307,'Price History'!$A:$A))-'Price History'!I3)*(ROW()-3)/(MATCH(9.99E+307,'Returns (Calc)'!$A:$A)-3),"")</f>
        <v>33.1927672955975</v>
      </c>
      <c r="AE43" s="145" t="n">
        <f aca="false">IFERROR('Price History'!J3+(INDEX('Price History'!J:J,MATCH(9.99E+307,'Price History'!$A:$A))-'Price History'!J3)*(ROW()-3)/(MATCH(9.99E+307,'Returns (Calc)'!$A:$A)-3),"")</f>
        <v>51.7238364779874</v>
      </c>
      <c r="AF43" s="145" t="n">
        <f aca="false">IFERROR('Price History'!K3+(INDEX('Price History'!K:K,MATCH(9.99E+307,'Price History'!$A:$A))-'Price History'!K3)*(ROW()-3)/(MATCH(9.99E+307,'Returns (Calc)'!$A:$A)-3),"")</f>
        <v>32.758679245283</v>
      </c>
      <c r="AG43" s="145" t="n">
        <f aca="false">IFERROR('Price History'!L3+(INDEX('Price History'!L:L,MATCH(9.99E+307,'Price History'!$A:$A))-'Price History'!L3)*(ROW()-3)/(MATCH(9.99E+307,'Returns (Calc)'!$A:$A)-3),"")</f>
        <v>83.7041509433962</v>
      </c>
      <c r="AH43" s="145" t="n">
        <f aca="false">IFERROR('Price History'!M3+(INDEX('Price History'!M:M,MATCH(9.99E+307,'Price History'!$A:$A))-'Price History'!M3)*(ROW()-3)/(MATCH(9.99E+307,'Returns (Calc)'!$A:$A)-3),"")</f>
        <v>11.4733962264151</v>
      </c>
      <c r="AI43" s="145" t="n">
        <f aca="false">IFERROR('Price History'!N3+(INDEX('Price History'!N:N,MATCH(9.99E+307,'Price History'!$A:$A))-'Price History'!N3)*(ROW()-3)/(MATCH(9.99E+307,'Returns (Calc)'!$A:$A)-3),"")</f>
        <v>16.3157232704403</v>
      </c>
      <c r="AJ43" s="145" t="n">
        <f aca="false">IFERROR('Price History'!O3+(INDEX('Price History'!O:O,MATCH(9.99E+307,'Price History'!$A:$A))-'Price History'!O3)*(ROW()-3)/(MATCH(9.99E+307,'Returns (Calc)'!$A:$A)-3),"")</f>
        <v>43.1318867924528</v>
      </c>
      <c r="AK43" s="145" t="n">
        <f aca="false">IFERROR('Price History'!Q3+(INDEX('Price History'!Q:Q,MATCH(9.99E+307,'Price History'!$A:$A))-'Price History'!Q3)*(ROW()-3)/(MATCH(9.99E+307,'Returns (Calc)'!$A:$A)-3),"")</f>
        <v>176.352012578616</v>
      </c>
      <c r="AL43" s="145" t="n">
        <f aca="false">IFERROR('Price History'!R3+(INDEX('Price History'!R:R,MATCH(9.99E+307,'Price History'!$A:$A))-'Price History'!R3)*(ROW()-3)/(MATCH(9.99E+307,'Returns (Calc)'!$A:$A)-3),"")</f>
        <v>35.7898113207547</v>
      </c>
      <c r="AM43" s="145" t="n">
        <f aca="false">IFERROR('Price History'!S3+(INDEX('Price History'!S:S,MATCH(9.99E+307,'Price History'!$A:$A))-'Price History'!S3)*(ROW()-3)/(MATCH(9.99E+307,'Returns (Calc)'!$A:$A)-3),"")</f>
        <v>43.8129559748428</v>
      </c>
      <c r="AN43" s="145" t="n">
        <f aca="false">IFERROR('Price History'!T3+(INDEX('Price History'!T:T,MATCH(9.99E+307,'Price History'!$A:$A))-'Price History'!T3)*(ROW()-3)/(MATCH(9.99E+307,'Returns (Calc)'!$A:$A)-3),"")</f>
        <v>20.1401886792453</v>
      </c>
      <c r="AO43" s="146" t="n">
        <f aca="false">IFERROR('Price History'!V3+(INDEX('Price History'!V:V,MATCH(9.99E+307,'Price History'!$A:$A))-'Price History'!V3)*(ROW()-3)/(MATCH(9.99E+307,'Returns (Calc)'!$A:$A)-3),"")</f>
        <v>0</v>
      </c>
    </row>
    <row r="44" customFormat="false" ht="15" hidden="false" customHeight="true" outlineLevel="0" collapsed="false">
      <c r="A44" s="142" t="n">
        <f aca="false">IF('Price History'!A45="","",'Price History'!A45)</f>
        <v>45478</v>
      </c>
      <c r="B44" s="143" t="n">
        <f aca="false">IFERROR(IF(OR(NOT(ISNUMBER('Price History'!B45)),NOT(ISNUMBER('Price History'!B44)),'Price History'!B44=0),"",'Price History'!B45/'Price History'!B44-1),"")</f>
        <v>0.0410411491521765</v>
      </c>
      <c r="C44" s="143" t="n">
        <f aca="false">IFERROR(IF(OR(NOT(ISNUMBER('Price History'!C45)),NOT(ISNUMBER('Price History'!C44)),'Price History'!C44=0),"",'Price History'!C45/'Price History'!C44-1),"")</f>
        <v>0.0447386441451723</v>
      </c>
      <c r="D44" s="143" t="n">
        <f aca="false">IFERROR(IF(OR(NOT(ISNUMBER('Price History'!D45)),NOT(ISNUMBER('Price History'!D44)),'Price History'!D44=0),"",'Price History'!D45/'Price History'!D44-1),"")</f>
        <v>0.0505971056065178</v>
      </c>
      <c r="E44" s="143" t="n">
        <f aca="false">IFERROR(IF(OR(NOT(ISNUMBER('Price History'!E45)),NOT(ISNUMBER('Price History'!E44)),'Price History'!E44=0),"",'Price History'!E45/'Price History'!E44-1),"")</f>
        <v>0.0609027336300063</v>
      </c>
      <c r="F44" s="143" t="n">
        <f aca="false">IFERROR(IF(OR(NOT(ISNUMBER('Price History'!F45)),NOT(ISNUMBER('Price History'!F44)),'Price History'!F44=0),"",'Price History'!F45/'Price History'!F44-1),"")</f>
        <v>-0.0164993654090229</v>
      </c>
      <c r="G44" s="143" t="n">
        <f aca="false">IFERROR(IF(OR(NOT(ISNUMBER('Price History'!G45)),NOT(ISNUMBER('Price History'!G44)),'Price History'!G44=0),"",'Price History'!G45/'Price History'!G44-1),"")</f>
        <v>0.016910229645094</v>
      </c>
      <c r="H44" s="143" t="n">
        <f aca="false">IFERROR(IF(OR(NOT(ISNUMBER('Price History'!H45)),NOT(ISNUMBER('Price History'!H44)),'Price History'!H44=0),"",'Price History'!H45/'Price History'!H44-1),"")</f>
        <v>-0.00816729492012203</v>
      </c>
      <c r="I44" s="143" t="n">
        <f aca="false">IFERROR(IF(OR(NOT(ISNUMBER('Price History'!I45)),NOT(ISNUMBER('Price History'!I44)),'Price History'!I44=0),"",'Price History'!I45/'Price History'!I44-1),"")</f>
        <v>0.0372471632955105</v>
      </c>
      <c r="J44" s="143" t="n">
        <f aca="false">IFERROR(IF(OR(NOT(ISNUMBER('Price History'!J45)),NOT(ISNUMBER('Price History'!J44)),'Price History'!J44=0),"",'Price History'!J45/'Price History'!J44-1),"")</f>
        <v>0.000536028792403664</v>
      </c>
      <c r="K44" s="143" t="n">
        <f aca="false">IFERROR(IF(OR(NOT(ISNUMBER('Price History'!K45)),NOT(ISNUMBER('Price History'!K44)),'Price History'!K44=0),"",'Price History'!K45/'Price History'!K44-1),"")</f>
        <v>0.0185064935064936</v>
      </c>
      <c r="L44" s="143" t="n">
        <f aca="false">IFERROR(IF(OR(NOT(ISNUMBER('Price History'!L45)),NOT(ISNUMBER('Price History'!L44)),'Price History'!L44=0),"",'Price History'!L45/'Price History'!L44-1),"")</f>
        <v>0.0191809724753045</v>
      </c>
      <c r="M44" s="143" t="n">
        <f aca="false">IFERROR(IF(OR(NOT(ISNUMBER('Price History'!M45)),NOT(ISNUMBER('Price History'!M44)),'Price History'!M44=0),"",'Price History'!M45/'Price History'!M44-1),"")</f>
        <v>0.0750098697197001</v>
      </c>
      <c r="N44" s="143" t="n">
        <f aca="false">IFERROR(IF(OR(NOT(ISNUMBER('Price History'!N45)),NOT(ISNUMBER('Price History'!N44)),'Price History'!N44=0),"",'Price History'!N45/'Price History'!N44-1),"")</f>
        <v>-0.00920502092050202</v>
      </c>
      <c r="O44" s="143" t="n">
        <f aca="false">IFERROR(IF(OR(NOT(ISNUMBER('Price History'!O45)),NOT(ISNUMBER('Price History'!O44)),'Price History'!O44=0),"",'Price History'!O45/'Price History'!O44-1),"")</f>
        <v>0.0310429019881409</v>
      </c>
      <c r="P44" s="143" t="n">
        <f aca="false">IFERROR(IF(OR(NOT(ISNUMBER('Price History'!P45)),NOT(ISNUMBER('Price History'!P44)),'Price History'!P44=0),"",'Price History'!P45/'Price History'!P44-1),"")</f>
        <v>0.0585798816568048</v>
      </c>
      <c r="Q44" s="143" t="n">
        <f aca="false">IFERROR(IF(OR(NOT(ISNUMBER('Price History'!Q45)),NOT(ISNUMBER('Price History'!Q44)),'Price History'!Q44=0),"",'Price History'!Q45/'Price History'!Q44-1),"")</f>
        <v>0.0300716915326487</v>
      </c>
      <c r="R44" s="143" t="n">
        <f aca="false">IFERROR(IF(OR(NOT(ISNUMBER('Price History'!R45)),NOT(ISNUMBER('Price History'!R44)),'Price History'!R44=0),"",'Price History'!R45/'Price History'!R44-1),"")</f>
        <v>-0.00349393159249733</v>
      </c>
      <c r="S44" s="143" t="n">
        <f aca="false">IFERROR(IF(OR(NOT(ISNUMBER('Price History'!S45)),NOT(ISNUMBER('Price History'!S44)),'Price History'!S44=0),"",'Price History'!S45/'Price History'!S44-1),"")</f>
        <v>-0.0109329446064139</v>
      </c>
      <c r="T44" s="143" t="n">
        <f aca="false">IFERROR(IF(OR(NOT(ISNUMBER('Price History'!T45)),NOT(ISNUMBER('Price History'!T44)),'Price History'!T44=0),"",'Price History'!T45/'Price History'!T44-1),"")</f>
        <v>0.0115163147792705</v>
      </c>
      <c r="U44" s="143" t="str">
        <f aca="false">IFERROR(IF(OR(NOT(ISNUMBER('Price History'!U45)),NOT(ISNUMBER('Price History'!U44)),'Price History'!U44=0),"",'Price History'!U45/'Price History'!U44-1),"")</f>
        <v/>
      </c>
      <c r="V44" s="144" t="n">
        <f aca="false">IFERROR(IF(OR(NOT(ISNUMBER('Price History'!V45)),NOT(ISNUMBER('Price History'!V44)),'Price History'!V44=0),"",'Price History'!V45/'Price History'!V44-1),"")</f>
        <v>-0.00737392077667032</v>
      </c>
      <c r="W44" s="145" t="str">
        <f aca="false">IFERROR('Price History'!B3+(INDEX('Price History'!B:B,MATCH(9.99E+307,'Price History'!$A:$A))-'Price History'!B3)*(ROW()-3)/(MATCH(9.99E+307,'Returns (Calc)'!$A:$A)-3),"")</f>
        <v/>
      </c>
      <c r="X44" s="145" t="n">
        <f aca="false">IFERROR('Price History'!C3+(INDEX('Price History'!C:C,MATCH(9.99E+307,'Price History'!$A:$A))-'Price History'!C3)*(ROW()-3)/(MATCH(9.99E+307,'Returns (Calc)'!$A:$A)-3),"")</f>
        <v>34.2719496855346</v>
      </c>
      <c r="Y44" s="145" t="n">
        <f aca="false">IFERROR('Price History'!D3+(INDEX('Price History'!D:D,MATCH(9.99E+307,'Price History'!$A:$A))-'Price History'!D3)*(ROW()-3)/(MATCH(9.99E+307,'Returns (Calc)'!$A:$A)-3),"")</f>
        <v>431.931949685535</v>
      </c>
      <c r="Z44" s="145" t="n">
        <f aca="false">IFERROR('Price History'!E3+(INDEX('Price History'!E:E,MATCH(9.99E+307,'Price History'!$A:$A))-'Price History'!E3)*(ROW()-3)/(MATCH(9.99E+307,'Returns (Calc)'!$A:$A)-3),"")</f>
        <v>60.8553459119497</v>
      </c>
      <c r="AA44" s="145" t="n">
        <f aca="false">IFERROR('Price History'!F3+(INDEX('Price History'!F:F,MATCH(9.99E+307,'Price History'!$A:$A))-'Price History'!F3)*(ROW()-3)/(MATCH(9.99E+307,'Returns (Calc)'!$A:$A)-3),"")</f>
        <v>55.8904402515723</v>
      </c>
      <c r="AB44" s="145" t="n">
        <f aca="false">IFERROR('Price History'!G3+(INDEX('Price History'!G:G,MATCH(9.99E+307,'Price History'!$A:$A))-'Price History'!G3)*(ROW()-3)/(MATCH(9.99E+307,'Returns (Calc)'!$A:$A)-3),"")</f>
        <v>30.6948427672956</v>
      </c>
      <c r="AC44" s="145" t="n">
        <f aca="false">IFERROR('Price History'!H3+(INDEX('Price History'!H:H,MATCH(9.99E+307,'Price History'!$A:$A))-'Price History'!H3)*(ROW()-3)/(MATCH(9.99E+307,'Returns (Calc)'!$A:$A)-3),"")</f>
        <v>74.6516981132075</v>
      </c>
      <c r="AD44" s="145" t="n">
        <f aca="false">IFERROR('Price History'!I3+(INDEX('Price History'!I:I,MATCH(9.99E+307,'Price History'!$A:$A))-'Price History'!I3)*(ROW()-3)/(MATCH(9.99E+307,'Returns (Calc)'!$A:$A)-3),"")</f>
        <v>32.9138364779874</v>
      </c>
      <c r="AE44" s="145" t="n">
        <f aca="false">IFERROR('Price History'!J3+(INDEX('Price History'!J:J,MATCH(9.99E+307,'Price History'!$A:$A))-'Price History'!J3)*(ROW()-3)/(MATCH(9.99E+307,'Returns (Calc)'!$A:$A)-3),"")</f>
        <v>51.2891823899371</v>
      </c>
      <c r="AF44" s="145" t="n">
        <f aca="false">IFERROR('Price History'!K3+(INDEX('Price History'!K:K,MATCH(9.99E+307,'Price History'!$A:$A))-'Price History'!K3)*(ROW()-3)/(MATCH(9.99E+307,'Returns (Calc)'!$A:$A)-3),"")</f>
        <v>32.4833962264151</v>
      </c>
      <c r="AG44" s="145" t="n">
        <f aca="false">IFERROR('Price History'!L3+(INDEX('Price History'!L:L,MATCH(9.99E+307,'Price History'!$A:$A))-'Price History'!L3)*(ROW()-3)/(MATCH(9.99E+307,'Returns (Calc)'!$A:$A)-3),"")</f>
        <v>83.0007547169811</v>
      </c>
      <c r="AH44" s="145" t="n">
        <f aca="false">IFERROR('Price History'!M3+(INDEX('Price History'!M:M,MATCH(9.99E+307,'Price History'!$A:$A))-'Price History'!M3)*(ROW()-3)/(MATCH(9.99E+307,'Returns (Calc)'!$A:$A)-3),"")</f>
        <v>11.3769811320755</v>
      </c>
      <c r="AI44" s="145" t="n">
        <f aca="false">IFERROR('Price History'!N3+(INDEX('Price History'!N:N,MATCH(9.99E+307,'Price History'!$A:$A))-'Price History'!N3)*(ROW()-3)/(MATCH(9.99E+307,'Returns (Calc)'!$A:$A)-3),"")</f>
        <v>16.1786163522013</v>
      </c>
      <c r="AJ44" s="145" t="n">
        <f aca="false">IFERROR('Price History'!O3+(INDEX('Price History'!O:O,MATCH(9.99E+307,'Price History'!$A:$A))-'Price History'!O3)*(ROW()-3)/(MATCH(9.99E+307,'Returns (Calc)'!$A:$A)-3),"")</f>
        <v>42.7694339622642</v>
      </c>
      <c r="AK44" s="145" t="n">
        <f aca="false">IFERROR('Price History'!Q3+(INDEX('Price History'!Q:Q,MATCH(9.99E+307,'Price History'!$A:$A))-'Price History'!Q3)*(ROW()-3)/(MATCH(9.99E+307,'Returns (Calc)'!$A:$A)-3),"")</f>
        <v>174.870062893082</v>
      </c>
      <c r="AL44" s="145" t="n">
        <f aca="false">IFERROR('Price History'!R3+(INDEX('Price History'!R:R,MATCH(9.99E+307,'Price History'!$A:$A))-'Price History'!R3)*(ROW()-3)/(MATCH(9.99E+307,'Returns (Calc)'!$A:$A)-3),"")</f>
        <v>35.4890566037736</v>
      </c>
      <c r="AM44" s="145" t="n">
        <f aca="false">IFERROR('Price History'!S3+(INDEX('Price History'!S:S,MATCH(9.99E+307,'Price History'!$A:$A))-'Price History'!S3)*(ROW()-3)/(MATCH(9.99E+307,'Returns (Calc)'!$A:$A)-3),"")</f>
        <v>43.4447798742138</v>
      </c>
      <c r="AN44" s="145" t="n">
        <f aca="false">IFERROR('Price History'!T3+(INDEX('Price History'!T:T,MATCH(9.99E+307,'Price History'!$A:$A))-'Price History'!T3)*(ROW()-3)/(MATCH(9.99E+307,'Returns (Calc)'!$A:$A)-3),"")</f>
        <v>19.9709433962264</v>
      </c>
      <c r="AO44" s="146" t="n">
        <f aca="false">IFERROR('Price History'!V3+(INDEX('Price History'!V:V,MATCH(9.99E+307,'Price History'!$A:$A))-'Price History'!V3)*(ROW()-3)/(MATCH(9.99E+307,'Returns (Calc)'!$A:$A)-3),"")</f>
        <v>0</v>
      </c>
    </row>
    <row r="45" customFormat="false" ht="15" hidden="false" customHeight="true" outlineLevel="0" collapsed="false">
      <c r="A45" s="142" t="n">
        <f aca="false">IF('Price History'!A46="","",'Price History'!A46)</f>
        <v>45485</v>
      </c>
      <c r="B45" s="143" t="n">
        <f aca="false">IFERROR(IF(OR(NOT(ISNUMBER('Price History'!B46)),NOT(ISNUMBER('Price History'!B45)),'Price History'!B45=0),"",'Price History'!B46/'Price History'!B45-1),"")</f>
        <v>-0.0333540823736903</v>
      </c>
      <c r="C45" s="143" t="n">
        <f aca="false">IFERROR(IF(OR(NOT(ISNUMBER('Price History'!C46)),NOT(ISNUMBER('Price History'!C45)),'Price History'!C45=0),"",'Price History'!C46/'Price History'!C45-1),"")</f>
        <v>-0.0116888791785013</v>
      </c>
      <c r="D45" s="143" t="n">
        <f aca="false">IFERROR(IF(OR(NOT(ISNUMBER('Price History'!D46)),NOT(ISNUMBER('Price History'!D45)),'Price History'!D45=0),"",'Price History'!D46/'Price History'!D45-1),"")</f>
        <v>0.0100397227936786</v>
      </c>
      <c r="E45" s="143" t="n">
        <f aca="false">IFERROR(IF(OR(NOT(ISNUMBER('Price History'!E46)),NOT(ISNUMBER('Price History'!E45)),'Price History'!E45=0),"",'Price History'!E46/'Price History'!E45-1),"")</f>
        <v>-0.00155800575263654</v>
      </c>
      <c r="F45" s="143" t="n">
        <f aca="false">IFERROR(IF(OR(NOT(ISNUMBER('Price History'!F46)),NOT(ISNUMBER('Price History'!F45)),'Price History'!F45=0),"",'Price History'!F46/'Price History'!F45-1),"")</f>
        <v>0.0557250117315815</v>
      </c>
      <c r="G45" s="143" t="n">
        <f aca="false">IFERROR(IF(OR(NOT(ISNUMBER('Price History'!G46)),NOT(ISNUMBER('Price History'!G45)),'Price History'!G45=0),"",'Price History'!G46/'Price History'!G45-1),"")</f>
        <v>-0.0471155820160132</v>
      </c>
      <c r="H45" s="143" t="n">
        <f aca="false">IFERROR(IF(OR(NOT(ISNUMBER('Price History'!H46)),NOT(ISNUMBER('Price History'!H45)),'Price History'!H45=0),"",'Price History'!H46/'Price History'!H45-1),"")</f>
        <v>0.0420776400325762</v>
      </c>
      <c r="I45" s="143" t="n">
        <f aca="false">IFERROR(IF(OR(NOT(ISNUMBER('Price History'!I46)),NOT(ISNUMBER('Price History'!I45)),'Price History'!I45=0),"",'Price History'!I46/'Price History'!I45-1),"")</f>
        <v>0.00285374554102269</v>
      </c>
      <c r="J45" s="143" t="n">
        <f aca="false">IFERROR(IF(OR(NOT(ISNUMBER('Price History'!J46)),NOT(ISNUMBER('Price History'!J45)),'Price History'!J45=0),"",'Price History'!J46/'Price History'!J45-1),"")</f>
        <v>0.0157661105158426</v>
      </c>
      <c r="K45" s="143" t="n">
        <f aca="false">IFERROR(IF(OR(NOT(ISNUMBER('Price History'!K46)),NOT(ISNUMBER('Price History'!K45)),'Price History'!K45=0),"",'Price History'!K46/'Price History'!K45-1),"")</f>
        <v>0.0270959515460631</v>
      </c>
      <c r="L45" s="143" t="n">
        <f aca="false">IFERROR(IF(OR(NOT(ISNUMBER('Price History'!L46)),NOT(ISNUMBER('Price History'!L45)),'Price History'!L45=0),"",'Price History'!L46/'Price History'!L45-1),"")</f>
        <v>0.0496847652206645</v>
      </c>
      <c r="M45" s="143" t="n">
        <f aca="false">IFERROR(IF(OR(NOT(ISNUMBER('Price History'!M46)),NOT(ISNUMBER('Price History'!M45)),'Price History'!M45=0),"",'Price History'!M46/'Price History'!M45-1),"")</f>
        <v>0.0308483290488433</v>
      </c>
      <c r="N45" s="143" t="n">
        <f aca="false">IFERROR(IF(OR(NOT(ISNUMBER('Price History'!N46)),NOT(ISNUMBER('Price History'!N45)),'Price History'!N45=0),"",'Price History'!N46/'Price History'!N45-1),"")</f>
        <v>0.0337837837837838</v>
      </c>
      <c r="O45" s="143" t="n">
        <f aca="false">IFERROR(IF(OR(NOT(ISNUMBER('Price History'!O46)),NOT(ISNUMBER('Price History'!O45)),'Price History'!O45=0),"",'Price History'!O46/'Price History'!O45-1),"")</f>
        <v>-0.00202976995940463</v>
      </c>
      <c r="P45" s="143" t="n">
        <f aca="false">IFERROR(IF(OR(NOT(ISNUMBER('Price History'!P46)),NOT(ISNUMBER('Price History'!P45)),'Price History'!P45=0),"",'Price History'!P46/'Price History'!P45-1),"")</f>
        <v>0.0182224706539966</v>
      </c>
      <c r="Q45" s="143" t="n">
        <f aca="false">IFERROR(IF(OR(NOT(ISNUMBER('Price History'!Q46)),NOT(ISNUMBER('Price History'!Q45)),'Price History'!Q45=0),"",'Price History'!Q46/'Price History'!Q45-1),"")</f>
        <v>-0.0170798690794177</v>
      </c>
      <c r="R45" s="143" t="n">
        <f aca="false">IFERROR(IF(OR(NOT(ISNUMBER('Price History'!R46)),NOT(ISNUMBER('Price History'!R45)),'Price History'!R45=0),"",'Price History'!R46/'Price History'!R45-1),"")</f>
        <v>0.00553607676693124</v>
      </c>
      <c r="S45" s="143" t="n">
        <f aca="false">IFERROR(IF(OR(NOT(ISNUMBER('Price History'!S46)),NOT(ISNUMBER('Price History'!S45)),'Price History'!S45=0),"",'Price History'!S46/'Price History'!S45-1),"")</f>
        <v>0.0303365266519282</v>
      </c>
      <c r="T45" s="143" t="n">
        <f aca="false">IFERROR(IF(OR(NOT(ISNUMBER('Price History'!T46)),NOT(ISNUMBER('Price History'!T45)),'Price History'!T45=0),"",'Price History'!T46/'Price History'!T45-1),"")</f>
        <v>-0.0211891208096142</v>
      </c>
      <c r="U45" s="143" t="str">
        <f aca="false">IFERROR(IF(OR(NOT(ISNUMBER('Price History'!U46)),NOT(ISNUMBER('Price History'!U45)),'Price History'!U45=0),"",'Price History'!U46/'Price History'!U45-1),"")</f>
        <v/>
      </c>
      <c r="V45" s="144" t="n">
        <f aca="false">IFERROR(IF(OR(NOT(ISNUMBER('Price History'!V46)),NOT(ISNUMBER('Price History'!V45)),'Price History'!V45=0),"",'Price History'!V46/'Price History'!V45-1),"")</f>
        <v>0.0227713901747051</v>
      </c>
      <c r="W45" s="145" t="str">
        <f aca="false">IFERROR('Price History'!B3+(INDEX('Price History'!B:B,MATCH(9.99E+307,'Price History'!$A:$A))-'Price History'!B3)*(ROW()-3)/(MATCH(9.99E+307,'Returns (Calc)'!$A:$A)-3),"")</f>
        <v/>
      </c>
      <c r="X45" s="145" t="n">
        <f aca="false">IFERROR('Price History'!C3+(INDEX('Price History'!C:C,MATCH(9.99E+307,'Price History'!$A:$A))-'Price History'!C3)*(ROW()-3)/(MATCH(9.99E+307,'Returns (Calc)'!$A:$A)-3),"")</f>
        <v>33.9815094339623</v>
      </c>
      <c r="Y45" s="145" t="n">
        <f aca="false">IFERROR('Price History'!D3+(INDEX('Price History'!D:D,MATCH(9.99E+307,'Price History'!$A:$A))-'Price History'!D3)*(ROW()-3)/(MATCH(9.99E+307,'Returns (Calc)'!$A:$A)-3),"")</f>
        <v>428.271509433962</v>
      </c>
      <c r="Z45" s="145" t="n">
        <f aca="false">IFERROR('Price History'!E3+(INDEX('Price History'!E:E,MATCH(9.99E+307,'Price History'!$A:$A))-'Price History'!E3)*(ROW()-3)/(MATCH(9.99E+307,'Returns (Calc)'!$A:$A)-3),"")</f>
        <v>60.3396226415094</v>
      </c>
      <c r="AA45" s="145" t="n">
        <f aca="false">IFERROR('Price History'!F3+(INDEX('Price History'!F:F,MATCH(9.99E+307,'Price History'!$A:$A))-'Price History'!F3)*(ROW()-3)/(MATCH(9.99E+307,'Returns (Calc)'!$A:$A)-3),"")</f>
        <v>55.4167924528302</v>
      </c>
      <c r="AB45" s="145" t="n">
        <f aca="false">IFERROR('Price History'!G3+(INDEX('Price History'!G:G,MATCH(9.99E+307,'Price History'!$A:$A))-'Price History'!G3)*(ROW()-3)/(MATCH(9.99E+307,'Returns (Calc)'!$A:$A)-3),"")</f>
        <v>30.4347169811321</v>
      </c>
      <c r="AC45" s="145" t="n">
        <f aca="false">IFERROR('Price History'!H3+(INDEX('Price History'!H:H,MATCH(9.99E+307,'Price History'!$A:$A))-'Price History'!H3)*(ROW()-3)/(MATCH(9.99E+307,'Returns (Calc)'!$A:$A)-3),"")</f>
        <v>74.0190566037736</v>
      </c>
      <c r="AD45" s="145" t="n">
        <f aca="false">IFERROR('Price History'!I3+(INDEX('Price History'!I:I,MATCH(9.99E+307,'Price History'!$A:$A))-'Price History'!I3)*(ROW()-3)/(MATCH(9.99E+307,'Returns (Calc)'!$A:$A)-3),"")</f>
        <v>32.6349056603774</v>
      </c>
      <c r="AE45" s="145" t="n">
        <f aca="false">IFERROR('Price History'!J3+(INDEX('Price History'!J:J,MATCH(9.99E+307,'Price History'!$A:$A))-'Price History'!J3)*(ROW()-3)/(MATCH(9.99E+307,'Returns (Calc)'!$A:$A)-3),"")</f>
        <v>50.8545283018868</v>
      </c>
      <c r="AF45" s="145" t="n">
        <f aca="false">IFERROR('Price History'!K3+(INDEX('Price History'!K:K,MATCH(9.99E+307,'Price History'!$A:$A))-'Price History'!K3)*(ROW()-3)/(MATCH(9.99E+307,'Returns (Calc)'!$A:$A)-3),"")</f>
        <v>32.2081132075472</v>
      </c>
      <c r="AG45" s="145" t="n">
        <f aca="false">IFERROR('Price History'!L3+(INDEX('Price History'!L:L,MATCH(9.99E+307,'Price History'!$A:$A))-'Price History'!L3)*(ROW()-3)/(MATCH(9.99E+307,'Returns (Calc)'!$A:$A)-3),"")</f>
        <v>82.297358490566</v>
      </c>
      <c r="AH45" s="145" t="n">
        <f aca="false">IFERROR('Price History'!M3+(INDEX('Price History'!M:M,MATCH(9.99E+307,'Price History'!$A:$A))-'Price History'!M3)*(ROW()-3)/(MATCH(9.99E+307,'Returns (Calc)'!$A:$A)-3),"")</f>
        <v>11.2805660377358</v>
      </c>
      <c r="AI45" s="145" t="n">
        <f aca="false">IFERROR('Price History'!N3+(INDEX('Price History'!N:N,MATCH(9.99E+307,'Price History'!$A:$A))-'Price History'!N3)*(ROW()-3)/(MATCH(9.99E+307,'Returns (Calc)'!$A:$A)-3),"")</f>
        <v>16.0415094339623</v>
      </c>
      <c r="AJ45" s="145" t="n">
        <f aca="false">IFERROR('Price History'!O3+(INDEX('Price History'!O:O,MATCH(9.99E+307,'Price History'!$A:$A))-'Price History'!O3)*(ROW()-3)/(MATCH(9.99E+307,'Returns (Calc)'!$A:$A)-3),"")</f>
        <v>42.4069811320755</v>
      </c>
      <c r="AK45" s="145" t="n">
        <f aca="false">IFERROR('Price History'!Q3+(INDEX('Price History'!Q:Q,MATCH(9.99E+307,'Price History'!$A:$A))-'Price History'!Q3)*(ROW()-3)/(MATCH(9.99E+307,'Returns (Calc)'!$A:$A)-3),"")</f>
        <v>173.388113207547</v>
      </c>
      <c r="AL45" s="145" t="n">
        <f aca="false">IFERROR('Price History'!R3+(INDEX('Price History'!R:R,MATCH(9.99E+307,'Price History'!$A:$A))-'Price History'!R3)*(ROW()-3)/(MATCH(9.99E+307,'Returns (Calc)'!$A:$A)-3),"")</f>
        <v>35.1883018867925</v>
      </c>
      <c r="AM45" s="145" t="n">
        <f aca="false">IFERROR('Price History'!S3+(INDEX('Price History'!S:S,MATCH(9.99E+307,'Price History'!$A:$A))-'Price History'!S3)*(ROW()-3)/(MATCH(9.99E+307,'Returns (Calc)'!$A:$A)-3),"")</f>
        <v>43.0766037735849</v>
      </c>
      <c r="AN45" s="145" t="n">
        <f aca="false">IFERROR('Price History'!T3+(INDEX('Price History'!T:T,MATCH(9.99E+307,'Price History'!$A:$A))-'Price History'!T3)*(ROW()-3)/(MATCH(9.99E+307,'Returns (Calc)'!$A:$A)-3),"")</f>
        <v>19.8016981132075</v>
      </c>
      <c r="AO45" s="146" t="n">
        <f aca="false">IFERROR('Price History'!V3+(INDEX('Price History'!V:V,MATCH(9.99E+307,'Price History'!$A:$A))-'Price History'!V3)*(ROW()-3)/(MATCH(9.99E+307,'Returns (Calc)'!$A:$A)-3),"")</f>
        <v>0</v>
      </c>
    </row>
    <row r="46" customFormat="false" ht="15" hidden="false" customHeight="true" outlineLevel="0" collapsed="false">
      <c r="A46" s="142" t="n">
        <f aca="false">IF('Price History'!A47="","",'Price History'!A47)</f>
        <v>45492</v>
      </c>
      <c r="B46" s="143" t="n">
        <f aca="false">IFERROR(IF(OR(NOT(ISNUMBER('Price History'!B47)),NOT(ISNUMBER('Price History'!B46)),'Price History'!B46=0),"",'Price History'!B47/'Price History'!B46-1),"")</f>
        <v>-0.0143994276003935</v>
      </c>
      <c r="C46" s="143" t="n">
        <f aca="false">IFERROR(IF(OR(NOT(ISNUMBER('Price History'!C47)),NOT(ISNUMBER('Price History'!C46)),'Price History'!C46=0),"",'Price History'!C47/'Price History'!C46-1),"")</f>
        <v>-0.0865480269702664</v>
      </c>
      <c r="D46" s="143" t="n">
        <f aca="false">IFERROR(IF(OR(NOT(ISNUMBER('Price History'!D47)),NOT(ISNUMBER('Price History'!D46)),'Price History'!D46=0),"",'Price History'!D47/'Price History'!D46-1),"")</f>
        <v>-0.174976534634879</v>
      </c>
      <c r="E46" s="143" t="n">
        <f aca="false">IFERROR(IF(OR(NOT(ISNUMBER('Price History'!E47)),NOT(ISNUMBER('Price History'!E46)),'Price History'!E46=0),"",'Price History'!E47/'Price History'!E46-1),"")</f>
        <v>-0.0747809386628257</v>
      </c>
      <c r="F46" s="143" t="n">
        <f aca="false">IFERROR(IF(OR(NOT(ISNUMBER('Price History'!F47)),NOT(ISNUMBER('Price History'!F46)),'Price History'!F46=0),"",'Price History'!F47/'Price History'!F46-1),"")</f>
        <v>0.0264473830425604</v>
      </c>
      <c r="G46" s="143" t="n">
        <f aca="false">IFERROR(IF(OR(NOT(ISNUMBER('Price History'!G47)),NOT(ISNUMBER('Price History'!G46)),'Price History'!G46=0),"",'Price History'!G47/'Price History'!G46-1),"")</f>
        <v>-0.178713777873532</v>
      </c>
      <c r="H46" s="143" t="n">
        <f aca="false">IFERROR(IF(OR(NOT(ISNUMBER('Price History'!H47)),NOT(ISNUMBER('Price History'!H46)),'Price History'!H46=0),"",'Price History'!H47/'Price History'!H46-1),"")</f>
        <v>0.0141542202153526</v>
      </c>
      <c r="I46" s="143" t="n">
        <f aca="false">IFERROR(IF(OR(NOT(ISNUMBER('Price History'!I47)),NOT(ISNUMBER('Price History'!I46)),'Price History'!I46=0),"",'Price History'!I47/'Price History'!I46-1),"")</f>
        <v>-0.110979369219825</v>
      </c>
      <c r="J46" s="143" t="n">
        <f aca="false">IFERROR(IF(OR(NOT(ISNUMBER('Price History'!J47)),NOT(ISNUMBER('Price History'!J46)),'Price History'!J46=0),"",'Price History'!J47/'Price History'!J46-1),"")</f>
        <v>-0.144439421338156</v>
      </c>
      <c r="K46" s="143" t="n">
        <f aca="false">IFERROR(IF(OR(NOT(ISNUMBER('Price History'!K47)),NOT(ISNUMBER('Price History'!K46)),'Price History'!K46=0),"",'Price History'!K47/'Price History'!K46-1),"")</f>
        <v>-0.0875232774674115</v>
      </c>
      <c r="L46" s="143" t="n">
        <f aca="false">IFERROR(IF(OR(NOT(ISNUMBER('Price History'!L47)),NOT(ISNUMBER('Price History'!L46)),'Price History'!L46=0),"",'Price History'!L47/'Price History'!L46-1),"")</f>
        <v>0.0300313760645452</v>
      </c>
      <c r="M46" s="143" t="n">
        <f aca="false">IFERROR(IF(OR(NOT(ISNUMBER('Price History'!M47)),NOT(ISNUMBER('Price History'!M46)),'Price History'!M46=0),"",'Price History'!M47/'Price History'!M46-1),"")</f>
        <v>0.0181688635553972</v>
      </c>
      <c r="N46" s="143" t="n">
        <f aca="false">IFERROR(IF(OR(NOT(ISNUMBER('Price History'!N47)),NOT(ISNUMBER('Price History'!N46)),'Price History'!N46=0),"",'Price History'!N47/'Price History'!N46-1),"")</f>
        <v>0.0183823529411764</v>
      </c>
      <c r="O46" s="143" t="n">
        <f aca="false">IFERROR(IF(OR(NOT(ISNUMBER('Price History'!O47)),NOT(ISNUMBER('Price History'!O46)),'Price History'!O46=0),"",'Price History'!O47/'Price History'!O46-1),"")</f>
        <v>-0.0404519774011299</v>
      </c>
      <c r="P46" s="143" t="n">
        <f aca="false">IFERROR(IF(OR(NOT(ISNUMBER('Price History'!P47)),NOT(ISNUMBER('Price History'!P46)),'Price History'!P46=0),"",'Price History'!P47/'Price History'!P46-1),"")</f>
        <v>-0.115173473869126</v>
      </c>
      <c r="Q46" s="143" t="n">
        <f aca="false">IFERROR(IF(OR(NOT(ISNUMBER('Price History'!Q47)),NOT(ISNUMBER('Price History'!Q46)),'Price History'!Q46=0),"",'Price History'!Q47/'Price History'!Q46-1),"")</f>
        <v>-0.00107168829180526</v>
      </c>
      <c r="R46" s="143" t="n">
        <f aca="false">IFERROR(IF(OR(NOT(ISNUMBER('Price History'!R47)),NOT(ISNUMBER('Price History'!R46)),'Price History'!R46=0),"",'Price History'!R47/'Price History'!R46-1),"")</f>
        <v>0.0126628739218204</v>
      </c>
      <c r="S46" s="143" t="n">
        <f aca="false">IFERROR(IF(OR(NOT(ISNUMBER('Price History'!S47)),NOT(ISNUMBER('Price History'!S46)),'Price History'!S46=0),"",'Price History'!S47/'Price History'!S46-1),"")</f>
        <v>0.0421981165812375</v>
      </c>
      <c r="T46" s="143" t="n">
        <f aca="false">IFERROR(IF(OR(NOT(ISNUMBER('Price History'!T47)),NOT(ISNUMBER('Price History'!T46)),'Price History'!T46=0),"",'Price History'!T47/'Price History'!T46-1),"")</f>
        <v>-0.00420032310177698</v>
      </c>
      <c r="U46" s="143" t="str">
        <f aca="false">IFERROR(IF(OR(NOT(ISNUMBER('Price History'!U47)),NOT(ISNUMBER('Price History'!U46)),'Price History'!U46=0),"",'Price History'!U47/'Price History'!U46-1),"")</f>
        <v/>
      </c>
      <c r="V46" s="144" t="n">
        <f aca="false">IFERROR(IF(OR(NOT(ISNUMBER('Price History'!V47)),NOT(ISNUMBER('Price History'!V46)),'Price History'!V46=0),"",'Price History'!V47/'Price History'!V46-1),"")</f>
        <v>-0.0287247244324403</v>
      </c>
      <c r="W46" s="145" t="str">
        <f aca="false">IFERROR('Price History'!B3+(INDEX('Price History'!B:B,MATCH(9.99E+307,'Price History'!$A:$A))-'Price History'!B3)*(ROW()-3)/(MATCH(9.99E+307,'Returns (Calc)'!$A:$A)-3),"")</f>
        <v/>
      </c>
      <c r="X46" s="145" t="n">
        <f aca="false">IFERROR('Price History'!C3+(INDEX('Price History'!C:C,MATCH(9.99E+307,'Price History'!$A:$A))-'Price History'!C3)*(ROW()-3)/(MATCH(9.99E+307,'Returns (Calc)'!$A:$A)-3),"")</f>
        <v>33.6910691823899</v>
      </c>
      <c r="Y46" s="145" t="n">
        <f aca="false">IFERROR('Price History'!D3+(INDEX('Price History'!D:D,MATCH(9.99E+307,'Price History'!$A:$A))-'Price History'!D3)*(ROW()-3)/(MATCH(9.99E+307,'Returns (Calc)'!$A:$A)-3),"")</f>
        <v>424.61106918239</v>
      </c>
      <c r="Z46" s="145" t="n">
        <f aca="false">IFERROR('Price History'!E3+(INDEX('Price History'!E:E,MATCH(9.99E+307,'Price History'!$A:$A))-'Price History'!E3)*(ROW()-3)/(MATCH(9.99E+307,'Returns (Calc)'!$A:$A)-3),"")</f>
        <v>59.8238993710692</v>
      </c>
      <c r="AA46" s="145" t="n">
        <f aca="false">IFERROR('Price History'!F3+(INDEX('Price History'!F:F,MATCH(9.99E+307,'Price History'!$A:$A))-'Price History'!F3)*(ROW()-3)/(MATCH(9.99E+307,'Returns (Calc)'!$A:$A)-3),"")</f>
        <v>54.9431446540881</v>
      </c>
      <c r="AB46" s="145" t="n">
        <f aca="false">IFERROR('Price History'!G3+(INDEX('Price History'!G:G,MATCH(9.99E+307,'Price History'!$A:$A))-'Price History'!G3)*(ROW()-3)/(MATCH(9.99E+307,'Returns (Calc)'!$A:$A)-3),"")</f>
        <v>30.1745911949686</v>
      </c>
      <c r="AC46" s="145" t="n">
        <f aca="false">IFERROR('Price History'!H3+(INDEX('Price History'!H:H,MATCH(9.99E+307,'Price History'!$A:$A))-'Price History'!H3)*(ROW()-3)/(MATCH(9.99E+307,'Returns (Calc)'!$A:$A)-3),"")</f>
        <v>73.3864150943396</v>
      </c>
      <c r="AD46" s="145" t="n">
        <f aca="false">IFERROR('Price History'!I3+(INDEX('Price History'!I:I,MATCH(9.99E+307,'Price History'!$A:$A))-'Price History'!I3)*(ROW()-3)/(MATCH(9.99E+307,'Returns (Calc)'!$A:$A)-3),"")</f>
        <v>32.3559748427673</v>
      </c>
      <c r="AE46" s="145" t="n">
        <f aca="false">IFERROR('Price History'!J3+(INDEX('Price History'!J:J,MATCH(9.99E+307,'Price History'!$A:$A))-'Price History'!J3)*(ROW()-3)/(MATCH(9.99E+307,'Returns (Calc)'!$A:$A)-3),"")</f>
        <v>50.4198742138365</v>
      </c>
      <c r="AF46" s="145" t="n">
        <f aca="false">IFERROR('Price History'!K3+(INDEX('Price History'!K:K,MATCH(9.99E+307,'Price History'!$A:$A))-'Price History'!K3)*(ROW()-3)/(MATCH(9.99E+307,'Returns (Calc)'!$A:$A)-3),"")</f>
        <v>31.9328301886792</v>
      </c>
      <c r="AG46" s="145" t="n">
        <f aca="false">IFERROR('Price History'!L3+(INDEX('Price History'!L:L,MATCH(9.99E+307,'Price History'!$A:$A))-'Price History'!L3)*(ROW()-3)/(MATCH(9.99E+307,'Returns (Calc)'!$A:$A)-3),"")</f>
        <v>81.593962264151</v>
      </c>
      <c r="AH46" s="145" t="n">
        <f aca="false">IFERROR('Price History'!M3+(INDEX('Price History'!M:M,MATCH(9.99E+307,'Price History'!$A:$A))-'Price History'!M3)*(ROW()-3)/(MATCH(9.99E+307,'Returns (Calc)'!$A:$A)-3),"")</f>
        <v>11.1841509433962</v>
      </c>
      <c r="AI46" s="145" t="n">
        <f aca="false">IFERROR('Price History'!N3+(INDEX('Price History'!N:N,MATCH(9.99E+307,'Price History'!$A:$A))-'Price History'!N3)*(ROW()-3)/(MATCH(9.99E+307,'Returns (Calc)'!$A:$A)-3),"")</f>
        <v>15.9044025157233</v>
      </c>
      <c r="AJ46" s="145" t="n">
        <f aca="false">IFERROR('Price History'!O3+(INDEX('Price History'!O:O,MATCH(9.99E+307,'Price History'!$A:$A))-'Price History'!O3)*(ROW()-3)/(MATCH(9.99E+307,'Returns (Calc)'!$A:$A)-3),"")</f>
        <v>42.0445283018868</v>
      </c>
      <c r="AK46" s="145" t="n">
        <f aca="false">IFERROR('Price History'!Q3+(INDEX('Price History'!Q:Q,MATCH(9.99E+307,'Price History'!$A:$A))-'Price History'!Q3)*(ROW()-3)/(MATCH(9.99E+307,'Returns (Calc)'!$A:$A)-3),"")</f>
        <v>171.906163522013</v>
      </c>
      <c r="AL46" s="145" t="n">
        <f aca="false">IFERROR('Price History'!R3+(INDEX('Price History'!R:R,MATCH(9.99E+307,'Price History'!$A:$A))-'Price History'!R3)*(ROW()-3)/(MATCH(9.99E+307,'Returns (Calc)'!$A:$A)-3),"")</f>
        <v>34.8875471698113</v>
      </c>
      <c r="AM46" s="145" t="n">
        <f aca="false">IFERROR('Price History'!S3+(INDEX('Price History'!S:S,MATCH(9.99E+307,'Price History'!$A:$A))-'Price History'!S3)*(ROW()-3)/(MATCH(9.99E+307,'Returns (Calc)'!$A:$A)-3),"")</f>
        <v>42.708427672956</v>
      </c>
      <c r="AN46" s="145" t="n">
        <f aca="false">IFERROR('Price History'!T3+(INDEX('Price History'!T:T,MATCH(9.99E+307,'Price History'!$A:$A))-'Price History'!T3)*(ROW()-3)/(MATCH(9.99E+307,'Returns (Calc)'!$A:$A)-3),"")</f>
        <v>19.6324528301887</v>
      </c>
      <c r="AO46" s="146" t="n">
        <f aca="false">IFERROR('Price History'!V3+(INDEX('Price History'!V:V,MATCH(9.99E+307,'Price History'!$A:$A))-'Price History'!V3)*(ROW()-3)/(MATCH(9.99E+307,'Returns (Calc)'!$A:$A)-3),"")</f>
        <v>0</v>
      </c>
    </row>
    <row r="47" customFormat="false" ht="15" hidden="false" customHeight="true" outlineLevel="0" collapsed="false">
      <c r="A47" s="142" t="n">
        <f aca="false">IF('Price History'!A48="","",'Price History'!A48)</f>
        <v>45499</v>
      </c>
      <c r="B47" s="143" t="n">
        <f aca="false">IFERROR(IF(OR(NOT(ISNUMBER('Price History'!B48)),NOT(ISNUMBER('Price History'!B47)),'Price History'!B47=0),"",'Price History'!B48/'Price History'!B47-1),"")</f>
        <v>-0.0155353901996369</v>
      </c>
      <c r="C47" s="143" t="n">
        <f aca="false">IFERROR(IF(OR(NOT(ISNUMBER('Price History'!C48)),NOT(ISNUMBER('Price History'!C47)),'Price History'!C47=0),"",'Price History'!C48/'Price History'!C47-1),"")</f>
        <v>-0.0343659244917716</v>
      </c>
      <c r="D47" s="143" t="n">
        <f aca="false">IFERROR(IF(OR(NOT(ISNUMBER('Price History'!D48)),NOT(ISNUMBER('Price History'!D47)),'Price History'!D47=0),"",'Price History'!D48/'Price History'!D47-1),"")</f>
        <v>-0.00779312384809672</v>
      </c>
      <c r="E47" s="143" t="n">
        <f aca="false">IFERROR(IF(OR(NOT(ISNUMBER('Price History'!E48)),NOT(ISNUMBER('Price History'!E47)),'Price History'!E47=0),"",'Price History'!E48/'Price History'!E47-1),"")</f>
        <v>-0.0363258951738453</v>
      </c>
      <c r="F47" s="143" t="n">
        <f aca="false">IFERROR(IF(OR(NOT(ISNUMBER('Price History'!F48)),NOT(ISNUMBER('Price History'!F47)),'Price History'!F47=0),"",'Price History'!F48/'Price History'!F47-1),"")</f>
        <v>0.0362671863159034</v>
      </c>
      <c r="G47" s="143" t="n">
        <f aca="false">IFERROR(IF(OR(NOT(ISNUMBER('Price History'!G48)),NOT(ISNUMBER('Price History'!G47)),'Price History'!G47=0),"",'Price History'!G48/'Price History'!G47-1),"")</f>
        <v>-0.160020986358867</v>
      </c>
      <c r="H47" s="143" t="n">
        <f aca="false">IFERROR(IF(OR(NOT(ISNUMBER('Price History'!H48)),NOT(ISNUMBER('Price History'!H47)),'Price History'!H47=0),"",'Price History'!H48/'Price History'!H47-1),"")</f>
        <v>0.0211490709821047</v>
      </c>
      <c r="I47" s="143" t="n">
        <f aca="false">IFERROR(IF(OR(NOT(ISNUMBER('Price History'!I48)),NOT(ISNUMBER('Price History'!I47)),'Price History'!I47=0),"",'Price History'!I48/'Price History'!I47-1),"")</f>
        <v>0.0326753801013604</v>
      </c>
      <c r="J47" s="143" t="n">
        <f aca="false">IFERROR(IF(OR(NOT(ISNUMBER('Price History'!J48)),NOT(ISNUMBER('Price History'!J47)),'Price History'!J47=0),"",'Price History'!J48/'Price History'!J47-1),"")</f>
        <v>-0.0424482606781154</v>
      </c>
      <c r="K47" s="143" t="n">
        <f aca="false">IFERROR(IF(OR(NOT(ISNUMBER('Price History'!K48)),NOT(ISNUMBER('Price History'!K47)),'Price History'!K47=0),"",'Price History'!K48/'Price History'!K47-1),"")</f>
        <v>-0.0412414965986394</v>
      </c>
      <c r="L47" s="143" t="n">
        <f aca="false">IFERROR(IF(OR(NOT(ISNUMBER('Price History'!L48)),NOT(ISNUMBER('Price History'!L47)),'Price History'!L47=0),"",'Price History'!L48/'Price History'!L47-1),"")</f>
        <v>-0.00870322019147085</v>
      </c>
      <c r="M47" s="143" t="n">
        <f aca="false">IFERROR(IF(OR(NOT(ISNUMBER('Price History'!M48)),NOT(ISNUMBER('Price History'!M47)),'Price History'!M47=0),"",'Price History'!M48/'Price History'!M47-1),"")</f>
        <v>-0.0489853044086773</v>
      </c>
      <c r="N47" s="143" t="n">
        <f aca="false">IFERROR(IF(OR(NOT(ISNUMBER('Price History'!N48)),NOT(ISNUMBER('Price History'!N47)),'Price History'!N47=0),"",'Price History'!N48/'Price History'!N47-1),"")</f>
        <v>0.0168471720818293</v>
      </c>
      <c r="O47" s="143" t="n">
        <f aca="false">IFERROR(IF(OR(NOT(ISNUMBER('Price History'!O48)),NOT(ISNUMBER('Price History'!O47)),'Price History'!O47=0),"",'Price History'!O48/'Price History'!O47-1),"")</f>
        <v>-0.0188412623645785</v>
      </c>
      <c r="P47" s="143" t="n">
        <f aca="false">IFERROR(IF(OR(NOT(ISNUMBER('Price History'!P48)),NOT(ISNUMBER('Price History'!P47)),'Price History'!P47=0),"",'Price History'!P48/'Price History'!P47-1),"")</f>
        <v>-0.0230797865740167</v>
      </c>
      <c r="Q47" s="143" t="n">
        <f aca="false">IFERROR(IF(OR(NOT(ISNUMBER('Price History'!Q48)),NOT(ISNUMBER('Price History'!Q47)),'Price History'!Q47=0),"",'Price History'!Q48/'Price History'!Q47-1),"")</f>
        <v>-0.0226062301237595</v>
      </c>
      <c r="R47" s="143" t="n">
        <f aca="false">IFERROR(IF(OR(NOT(ISNUMBER('Price History'!R48)),NOT(ISNUMBER('Price History'!R47)),'Price History'!R47=0),"",'Price History'!R48/'Price History'!R47-1),"")</f>
        <v>0.00108735048930786</v>
      </c>
      <c r="S47" s="143" t="n">
        <f aca="false">IFERROR(IF(OR(NOT(ISNUMBER('Price History'!S48)),NOT(ISNUMBER('Price History'!S47)),'Price History'!S47=0),"",'Price History'!S48/'Price History'!S47-1),"")</f>
        <v>-0.000800640512410022</v>
      </c>
      <c r="T47" s="143" t="n">
        <f aca="false">IFERROR(IF(OR(NOT(ISNUMBER('Price History'!T48)),NOT(ISNUMBER('Price History'!T47)),'Price History'!T47=0),"",'Price History'!T48/'Price History'!T47-1),"")</f>
        <v>0.00973393900064901</v>
      </c>
      <c r="U47" s="143" t="str">
        <f aca="false">IFERROR(IF(OR(NOT(ISNUMBER('Price History'!U48)),NOT(ISNUMBER('Price History'!U47)),'Price History'!U47=0),"",'Price History'!U48/'Price History'!U47-1),"")</f>
        <v/>
      </c>
      <c r="V47" s="144" t="n">
        <f aca="false">IFERROR(IF(OR(NOT(ISNUMBER('Price History'!V48)),NOT(ISNUMBER('Price History'!V47)),'Price History'!V47=0),"",'Price History'!V48/'Price History'!V47-1),"")</f>
        <v>0.0168351433617675</v>
      </c>
      <c r="W47" s="145" t="str">
        <f aca="false">IFERROR('Price History'!B3+(INDEX('Price History'!B:B,MATCH(9.99E+307,'Price History'!$A:$A))-'Price History'!B3)*(ROW()-3)/(MATCH(9.99E+307,'Returns (Calc)'!$A:$A)-3),"")</f>
        <v/>
      </c>
      <c r="X47" s="145" t="n">
        <f aca="false">IFERROR('Price History'!C3+(INDEX('Price History'!C:C,MATCH(9.99E+307,'Price History'!$A:$A))-'Price History'!C3)*(ROW()-3)/(MATCH(9.99E+307,'Returns (Calc)'!$A:$A)-3),"")</f>
        <v>33.4006289308176</v>
      </c>
      <c r="Y47" s="145" t="n">
        <f aca="false">IFERROR('Price History'!D3+(INDEX('Price History'!D:D,MATCH(9.99E+307,'Price History'!$A:$A))-'Price History'!D3)*(ROW()-3)/(MATCH(9.99E+307,'Returns (Calc)'!$A:$A)-3),"")</f>
        <v>420.950628930818</v>
      </c>
      <c r="Z47" s="145" t="n">
        <f aca="false">IFERROR('Price History'!E3+(INDEX('Price History'!E:E,MATCH(9.99E+307,'Price History'!$A:$A))-'Price History'!E3)*(ROW()-3)/(MATCH(9.99E+307,'Returns (Calc)'!$A:$A)-3),"")</f>
        <v>59.3081761006289</v>
      </c>
      <c r="AA47" s="145" t="n">
        <f aca="false">IFERROR('Price History'!F3+(INDEX('Price History'!F:F,MATCH(9.99E+307,'Price History'!$A:$A))-'Price History'!F3)*(ROW()-3)/(MATCH(9.99E+307,'Returns (Calc)'!$A:$A)-3),"")</f>
        <v>54.4694968553459</v>
      </c>
      <c r="AB47" s="145" t="n">
        <f aca="false">IFERROR('Price History'!G3+(INDEX('Price History'!G:G,MATCH(9.99E+307,'Price History'!$A:$A))-'Price History'!G3)*(ROW()-3)/(MATCH(9.99E+307,'Returns (Calc)'!$A:$A)-3),"")</f>
        <v>29.914465408805</v>
      </c>
      <c r="AC47" s="145" t="n">
        <f aca="false">IFERROR('Price History'!H3+(INDEX('Price History'!H:H,MATCH(9.99E+307,'Price History'!$A:$A))-'Price History'!H3)*(ROW()-3)/(MATCH(9.99E+307,'Returns (Calc)'!$A:$A)-3),"")</f>
        <v>72.7537735849057</v>
      </c>
      <c r="AD47" s="145" t="n">
        <f aca="false">IFERROR('Price History'!I3+(INDEX('Price History'!I:I,MATCH(9.99E+307,'Price History'!$A:$A))-'Price History'!I3)*(ROW()-3)/(MATCH(9.99E+307,'Returns (Calc)'!$A:$A)-3),"")</f>
        <v>32.0770440251572</v>
      </c>
      <c r="AE47" s="145" t="n">
        <f aca="false">IFERROR('Price History'!J3+(INDEX('Price History'!J:J,MATCH(9.99E+307,'Price History'!$A:$A))-'Price History'!J3)*(ROW()-3)/(MATCH(9.99E+307,'Returns (Calc)'!$A:$A)-3),"")</f>
        <v>49.9852201257862</v>
      </c>
      <c r="AF47" s="145" t="n">
        <f aca="false">IFERROR('Price History'!K3+(INDEX('Price History'!K:K,MATCH(9.99E+307,'Price History'!$A:$A))-'Price History'!K3)*(ROW()-3)/(MATCH(9.99E+307,'Returns (Calc)'!$A:$A)-3),"")</f>
        <v>31.6575471698113</v>
      </c>
      <c r="AG47" s="145" t="n">
        <f aca="false">IFERROR('Price History'!L3+(INDEX('Price History'!L:L,MATCH(9.99E+307,'Price History'!$A:$A))-'Price History'!L3)*(ROW()-3)/(MATCH(9.99E+307,'Returns (Calc)'!$A:$A)-3),"")</f>
        <v>80.8905660377359</v>
      </c>
      <c r="AH47" s="145" t="n">
        <f aca="false">IFERROR('Price History'!M3+(INDEX('Price History'!M:M,MATCH(9.99E+307,'Price History'!$A:$A))-'Price History'!M3)*(ROW()-3)/(MATCH(9.99E+307,'Returns (Calc)'!$A:$A)-3),"")</f>
        <v>11.0877358490566</v>
      </c>
      <c r="AI47" s="145" t="n">
        <f aca="false">IFERROR('Price History'!N3+(INDEX('Price History'!N:N,MATCH(9.99E+307,'Price History'!$A:$A))-'Price History'!N3)*(ROW()-3)/(MATCH(9.99E+307,'Returns (Calc)'!$A:$A)-3),"")</f>
        <v>15.7672955974843</v>
      </c>
      <c r="AJ47" s="145" t="n">
        <f aca="false">IFERROR('Price History'!O3+(INDEX('Price History'!O:O,MATCH(9.99E+307,'Price History'!$A:$A))-'Price History'!O3)*(ROW()-3)/(MATCH(9.99E+307,'Returns (Calc)'!$A:$A)-3),"")</f>
        <v>41.6820754716981</v>
      </c>
      <c r="AK47" s="145" t="n">
        <f aca="false">IFERROR('Price History'!Q3+(INDEX('Price History'!Q:Q,MATCH(9.99E+307,'Price History'!$A:$A))-'Price History'!Q3)*(ROW()-3)/(MATCH(9.99E+307,'Returns (Calc)'!$A:$A)-3),"")</f>
        <v>170.424213836478</v>
      </c>
      <c r="AL47" s="145" t="n">
        <f aca="false">IFERROR('Price History'!R3+(INDEX('Price History'!R:R,MATCH(9.99E+307,'Price History'!$A:$A))-'Price History'!R3)*(ROW()-3)/(MATCH(9.99E+307,'Returns (Calc)'!$A:$A)-3),"")</f>
        <v>34.5867924528302</v>
      </c>
      <c r="AM47" s="145" t="n">
        <f aca="false">IFERROR('Price History'!S3+(INDEX('Price History'!S:S,MATCH(9.99E+307,'Price History'!$A:$A))-'Price History'!S3)*(ROW()-3)/(MATCH(9.99E+307,'Returns (Calc)'!$A:$A)-3),"")</f>
        <v>42.3402515723271</v>
      </c>
      <c r="AN47" s="145" t="n">
        <f aca="false">IFERROR('Price History'!T3+(INDEX('Price History'!T:T,MATCH(9.99E+307,'Price History'!$A:$A))-'Price History'!T3)*(ROW()-3)/(MATCH(9.99E+307,'Returns (Calc)'!$A:$A)-3),"")</f>
        <v>19.4632075471698</v>
      </c>
      <c r="AO47" s="146" t="n">
        <f aca="false">IFERROR('Price History'!V3+(INDEX('Price History'!V:V,MATCH(9.99E+307,'Price History'!$A:$A))-'Price History'!V3)*(ROW()-3)/(MATCH(9.99E+307,'Returns (Calc)'!$A:$A)-3),"")</f>
        <v>0</v>
      </c>
    </row>
    <row r="48" customFormat="false" ht="15" hidden="false" customHeight="true" outlineLevel="0" collapsed="false">
      <c r="A48" s="142" t="n">
        <f aca="false">IF('Price History'!A49="","",'Price History'!A49)</f>
        <v>45506</v>
      </c>
      <c r="B48" s="143" t="n">
        <f aca="false">IFERROR(IF(OR(NOT(ISNUMBER('Price History'!B49)),NOT(ISNUMBER('Price History'!B48)),'Price History'!B48=0),"",'Price History'!B49/'Price History'!B48-1),"")</f>
        <v>-0.0299941007300348</v>
      </c>
      <c r="C48" s="143" t="n">
        <f aca="false">IFERROR(IF(OR(NOT(ISNUMBER('Price History'!C49)),NOT(ISNUMBER('Price History'!C48)),'Price History'!C48=0),"",'Price History'!C49/'Price History'!C48-1),"")</f>
        <v>0.000375939849624141</v>
      </c>
      <c r="D48" s="143" t="n">
        <f aca="false">IFERROR(IF(OR(NOT(ISNUMBER('Price History'!D49)),NOT(ISNUMBER('Price History'!D48)),'Price History'!D48=0),"",'Price History'!D49/'Price History'!D48-1),"")</f>
        <v>-0.0872805659706695</v>
      </c>
      <c r="E48" s="143" t="n">
        <f aca="false">IFERROR(IF(OR(NOT(ISNUMBER('Price History'!E49)),NOT(ISNUMBER('Price History'!E48)),'Price History'!E48=0),"",'Price History'!E49/'Price History'!E48-1),"")</f>
        <v>-0.0514943457189015</v>
      </c>
      <c r="F48" s="143" t="n">
        <f aca="false">IFERROR(IF(OR(NOT(ISNUMBER('Price History'!F49)),NOT(ISNUMBER('Price History'!F48)),'Price History'!F48=0),"",'Price History'!F49/'Price History'!F48-1),"")</f>
        <v>-0.0714584203928124</v>
      </c>
      <c r="G48" s="143" t="n">
        <f aca="false">IFERROR(IF(OR(NOT(ISNUMBER('Price History'!G49)),NOT(ISNUMBER('Price History'!G48)),'Price History'!G48=0),"",'Price History'!G49/'Price History'!G48-1),"")</f>
        <v>-0.149437851342911</v>
      </c>
      <c r="H48" s="143" t="n">
        <f aca="false">IFERROR(IF(OR(NOT(ISNUMBER('Price History'!H49)),NOT(ISNUMBER('Price History'!H48)),'Price History'!H48=0),"",'Price History'!H49/'Price History'!H48-1),"")</f>
        <v>-0.0144222706691263</v>
      </c>
      <c r="I48" s="143" t="n">
        <f aca="false">IFERROR(IF(OR(NOT(ISNUMBER('Price History'!I49)),NOT(ISNUMBER('Price History'!I48)),'Price History'!I48=0),"",'Price History'!I49/'Price History'!I48-1),"")</f>
        <v>-0.115846571096474</v>
      </c>
      <c r="J48" s="143" t="n">
        <f aca="false">IFERROR(IF(OR(NOT(ISNUMBER('Price History'!J49)),NOT(ISNUMBER('Price History'!J48)),'Price History'!J48=0),"",'Price History'!J49/'Price History'!J48-1),"")</f>
        <v>-0.152763726662375</v>
      </c>
      <c r="K48" s="143" t="n">
        <f aca="false">IFERROR(IF(OR(NOT(ISNUMBER('Price History'!K49)),NOT(ISNUMBER('Price History'!K48)),'Price History'!K48=0),"",'Price History'!K49/'Price History'!K48-1),"")</f>
        <v>-0.0512638580931264</v>
      </c>
      <c r="L48" s="143" t="n">
        <f aca="false">IFERROR(IF(OR(NOT(ISNUMBER('Price History'!L49)),NOT(ISNUMBER('Price History'!L48)),'Price History'!L48=0),"",'Price History'!L49/'Price History'!L48-1),"")</f>
        <v>0.0106233538191396</v>
      </c>
      <c r="M48" s="143" t="n">
        <f aca="false">IFERROR(IF(OR(NOT(ISNUMBER('Price History'!M49)),NOT(ISNUMBER('Price History'!M48)),'Price History'!M48=0),"",'Price History'!M49/'Price History'!M48-1),"")</f>
        <v>-0.0897718910963945</v>
      </c>
      <c r="N48" s="143" t="n">
        <f aca="false">IFERROR(IF(OR(NOT(ISNUMBER('Price History'!N49)),NOT(ISNUMBER('Price History'!N48)),'Price History'!N48=0),"",'Price History'!N49/'Price History'!N48-1),"")</f>
        <v>-0.0201183431952663</v>
      </c>
      <c r="O48" s="143" t="n">
        <f aca="false">IFERROR(IF(OR(NOT(ISNUMBER('Price History'!O49)),NOT(ISNUMBER('Price History'!O48)),'Price History'!O48=0),"",'Price History'!O49/'Price History'!O48-1),"")</f>
        <v>-0.0297647623619778</v>
      </c>
      <c r="P48" s="143" t="n">
        <f aca="false">IFERROR(IF(OR(NOT(ISNUMBER('Price History'!P49)),NOT(ISNUMBER('Price History'!P48)),'Price History'!P48=0),"",'Price History'!P49/'Price History'!P48-1),"")</f>
        <v>-0.0746221262542868</v>
      </c>
      <c r="Q48" s="143" t="n">
        <f aca="false">IFERROR(IF(OR(NOT(ISNUMBER('Price History'!Q49)),NOT(ISNUMBER('Price History'!Q48)),'Price History'!Q48=0),"",'Price History'!Q49/'Price History'!Q48-1),"")</f>
        <v>0.0274804970794622</v>
      </c>
      <c r="R48" s="143" t="n">
        <f aca="false">IFERROR(IF(OR(NOT(ISNUMBER('Price History'!R49)),NOT(ISNUMBER('Price History'!R48)),'Price History'!R48=0),"",'Price History'!R49/'Price History'!R48-1),"")</f>
        <v>0.00470673425054313</v>
      </c>
      <c r="S48" s="143" t="n">
        <f aca="false">IFERROR(IF(OR(NOT(ISNUMBER('Price History'!S49)),NOT(ISNUMBER('Price History'!S48)),'Price History'!S48=0),"",'Price History'!S49/'Price History'!S48-1),"")</f>
        <v>0.00114468864468864</v>
      </c>
      <c r="T48" s="143" t="n">
        <f aca="false">IFERROR(IF(OR(NOT(ISNUMBER('Price History'!T49)),NOT(ISNUMBER('Price History'!T48)),'Price History'!T48=0),"",'Price History'!T49/'Price History'!T48-1),"")</f>
        <v>-0.00642673521850901</v>
      </c>
      <c r="U48" s="143" t="str">
        <f aca="false">IFERROR(IF(OR(NOT(ISNUMBER('Price History'!U49)),NOT(ISNUMBER('Price History'!U48)),'Price History'!U48=0),"",'Price History'!U49/'Price History'!U48-1),"")</f>
        <v/>
      </c>
      <c r="V48" s="144" t="n">
        <f aca="false">IFERROR(IF(OR(NOT(ISNUMBER('Price History'!V49)),NOT(ISNUMBER('Price History'!V48)),'Price History'!V48=0),"",'Price History'!V49/'Price History'!V48-1),"")</f>
        <v>-0.0463431760227649</v>
      </c>
      <c r="W48" s="145" t="str">
        <f aca="false">IFERROR('Price History'!B3+(INDEX('Price History'!B:B,MATCH(9.99E+307,'Price History'!$A:$A))-'Price History'!B3)*(ROW()-3)/(MATCH(9.99E+307,'Returns (Calc)'!$A:$A)-3),"")</f>
        <v/>
      </c>
      <c r="X48" s="145" t="n">
        <f aca="false">IFERROR('Price History'!C3+(INDEX('Price History'!C:C,MATCH(9.99E+307,'Price History'!$A:$A))-'Price History'!C3)*(ROW()-3)/(MATCH(9.99E+307,'Returns (Calc)'!$A:$A)-3),"")</f>
        <v>33.1101886792453</v>
      </c>
      <c r="Y48" s="145" t="n">
        <f aca="false">IFERROR('Price History'!D3+(INDEX('Price History'!D:D,MATCH(9.99E+307,'Price History'!$A:$A))-'Price History'!D3)*(ROW()-3)/(MATCH(9.99E+307,'Returns (Calc)'!$A:$A)-3),"")</f>
        <v>417.290188679245</v>
      </c>
      <c r="Z48" s="145" t="n">
        <f aca="false">IFERROR('Price History'!E3+(INDEX('Price History'!E:E,MATCH(9.99E+307,'Price History'!$A:$A))-'Price History'!E3)*(ROW()-3)/(MATCH(9.99E+307,'Returns (Calc)'!$A:$A)-3),"")</f>
        <v>58.7924528301887</v>
      </c>
      <c r="AA48" s="145" t="n">
        <f aca="false">IFERROR('Price History'!F3+(INDEX('Price History'!F:F,MATCH(9.99E+307,'Price History'!$A:$A))-'Price History'!F3)*(ROW()-3)/(MATCH(9.99E+307,'Returns (Calc)'!$A:$A)-3),"")</f>
        <v>53.9958490566038</v>
      </c>
      <c r="AB48" s="145" t="n">
        <f aca="false">IFERROR('Price History'!G3+(INDEX('Price History'!G:G,MATCH(9.99E+307,'Price History'!$A:$A))-'Price History'!G3)*(ROW()-3)/(MATCH(9.99E+307,'Returns (Calc)'!$A:$A)-3),"")</f>
        <v>29.6543396226415</v>
      </c>
      <c r="AC48" s="145" t="n">
        <f aca="false">IFERROR('Price History'!H3+(INDEX('Price History'!H:H,MATCH(9.99E+307,'Price History'!$A:$A))-'Price History'!H3)*(ROW()-3)/(MATCH(9.99E+307,'Returns (Calc)'!$A:$A)-3),"")</f>
        <v>72.1211320754717</v>
      </c>
      <c r="AD48" s="145" t="n">
        <f aca="false">IFERROR('Price History'!I3+(INDEX('Price History'!I:I,MATCH(9.99E+307,'Price History'!$A:$A))-'Price History'!I3)*(ROW()-3)/(MATCH(9.99E+307,'Returns (Calc)'!$A:$A)-3),"")</f>
        <v>31.7981132075472</v>
      </c>
      <c r="AE48" s="145" t="n">
        <f aca="false">IFERROR('Price History'!J3+(INDEX('Price History'!J:J,MATCH(9.99E+307,'Price History'!$A:$A))-'Price History'!J3)*(ROW()-3)/(MATCH(9.99E+307,'Returns (Calc)'!$A:$A)-3),"")</f>
        <v>49.5505660377359</v>
      </c>
      <c r="AF48" s="145" t="n">
        <f aca="false">IFERROR('Price History'!K3+(INDEX('Price History'!K:K,MATCH(9.99E+307,'Price History'!$A:$A))-'Price History'!K3)*(ROW()-3)/(MATCH(9.99E+307,'Returns (Calc)'!$A:$A)-3),"")</f>
        <v>31.3822641509434</v>
      </c>
      <c r="AG48" s="145" t="n">
        <f aca="false">IFERROR('Price History'!L3+(INDEX('Price History'!L:L,MATCH(9.99E+307,'Price History'!$A:$A))-'Price History'!L3)*(ROW()-3)/(MATCH(9.99E+307,'Returns (Calc)'!$A:$A)-3),"")</f>
        <v>80.1871698113208</v>
      </c>
      <c r="AH48" s="145" t="n">
        <f aca="false">IFERROR('Price History'!M3+(INDEX('Price History'!M:M,MATCH(9.99E+307,'Price History'!$A:$A))-'Price History'!M3)*(ROW()-3)/(MATCH(9.99E+307,'Returns (Calc)'!$A:$A)-3),"")</f>
        <v>10.991320754717</v>
      </c>
      <c r="AI48" s="145" t="n">
        <f aca="false">IFERROR('Price History'!N3+(INDEX('Price History'!N:N,MATCH(9.99E+307,'Price History'!$A:$A))-'Price History'!N3)*(ROW()-3)/(MATCH(9.99E+307,'Returns (Calc)'!$A:$A)-3),"")</f>
        <v>15.6301886792453</v>
      </c>
      <c r="AJ48" s="145" t="n">
        <f aca="false">IFERROR('Price History'!O3+(INDEX('Price History'!O:O,MATCH(9.99E+307,'Price History'!$A:$A))-'Price History'!O3)*(ROW()-3)/(MATCH(9.99E+307,'Returns (Calc)'!$A:$A)-3),"")</f>
        <v>41.3196226415094</v>
      </c>
      <c r="AK48" s="145" t="n">
        <f aca="false">IFERROR('Price History'!Q3+(INDEX('Price History'!Q:Q,MATCH(9.99E+307,'Price History'!$A:$A))-'Price History'!Q3)*(ROW()-3)/(MATCH(9.99E+307,'Returns (Calc)'!$A:$A)-3),"")</f>
        <v>168.942264150943</v>
      </c>
      <c r="AL48" s="145" t="n">
        <f aca="false">IFERROR('Price History'!R3+(INDEX('Price History'!R:R,MATCH(9.99E+307,'Price History'!$A:$A))-'Price History'!R3)*(ROW()-3)/(MATCH(9.99E+307,'Returns (Calc)'!$A:$A)-3),"")</f>
        <v>34.2860377358491</v>
      </c>
      <c r="AM48" s="145" t="n">
        <f aca="false">IFERROR('Price History'!S3+(INDEX('Price History'!S:S,MATCH(9.99E+307,'Price History'!$A:$A))-'Price History'!S3)*(ROW()-3)/(MATCH(9.99E+307,'Returns (Calc)'!$A:$A)-3),"")</f>
        <v>41.9720754716981</v>
      </c>
      <c r="AN48" s="145" t="n">
        <f aca="false">IFERROR('Price History'!T3+(INDEX('Price History'!T:T,MATCH(9.99E+307,'Price History'!$A:$A))-'Price History'!T3)*(ROW()-3)/(MATCH(9.99E+307,'Returns (Calc)'!$A:$A)-3),"")</f>
        <v>19.2939622641509</v>
      </c>
      <c r="AO48" s="146" t="n">
        <f aca="false">IFERROR('Price History'!V3+(INDEX('Price History'!V:V,MATCH(9.99E+307,'Price History'!$A:$A))-'Price History'!V3)*(ROW()-3)/(MATCH(9.99E+307,'Returns (Calc)'!$A:$A)-3),"")</f>
        <v>0</v>
      </c>
    </row>
    <row r="49" customFormat="false" ht="15" hidden="false" customHeight="true" outlineLevel="0" collapsed="false">
      <c r="A49" s="142" t="n">
        <f aca="false">IF('Price History'!A50="","",'Price History'!A50)</f>
        <v>45513</v>
      </c>
      <c r="B49" s="143" t="n">
        <f aca="false">IFERROR(IF(OR(NOT(ISNUMBER('Price History'!B50)),NOT(ISNUMBER('Price History'!B49)),'Price History'!B49=0),"",'Price History'!B50/'Price History'!B49-1),"")</f>
        <v>0.0192523328962122</v>
      </c>
      <c r="C49" s="143" t="n">
        <f aca="false">IFERROR(IF(OR(NOT(ISNUMBER('Price History'!C50)),NOT(ISNUMBER('Price History'!C49)),'Price History'!C49=0),"",'Price History'!C50/'Price History'!C49-1),"")</f>
        <v>0.0516096705499187</v>
      </c>
      <c r="D49" s="143" t="n">
        <f aca="false">IFERROR(IF(OR(NOT(ISNUMBER('Price History'!D50)),NOT(ISNUMBER('Price History'!D49)),'Price History'!D49=0),"",'Price History'!D50/'Price History'!D49-1),"")</f>
        <v>0.0632529742088668</v>
      </c>
      <c r="E49" s="143" t="n">
        <f aca="false">IFERROR(IF(OR(NOT(ISNUMBER('Price History'!E50)),NOT(ISNUMBER('Price History'!E49)),'Price History'!E49=0),"",'Price History'!E50/'Price History'!E49-1),"")</f>
        <v>0.0308707685756866</v>
      </c>
      <c r="F49" s="143" t="n">
        <f aca="false">IFERROR(IF(OR(NOT(ISNUMBER('Price History'!F50)),NOT(ISNUMBER('Price History'!F49)),'Price History'!F49=0),"",'Price History'!F50/'Price History'!F49-1),"")</f>
        <v>-0.0176642664266425</v>
      </c>
      <c r="G49" s="143" t="n">
        <f aca="false">IFERROR(IF(OR(NOT(ISNUMBER('Price History'!G50)),NOT(ISNUMBER('Price History'!G49)),'Price History'!G49=0),"",'Price History'!G50/'Price History'!G49-1),"")</f>
        <v>0.105562695061502</v>
      </c>
      <c r="H49" s="143" t="n">
        <f aca="false">IFERROR(IF(OR(NOT(ISNUMBER('Price History'!H50)),NOT(ISNUMBER('Price History'!H49)),'Price History'!H49=0),"",'Price History'!H50/'Price History'!H49-1),"")</f>
        <v>-0.0101242130338609</v>
      </c>
      <c r="I49" s="143" t="n">
        <f aca="false">IFERROR(IF(OR(NOT(ISNUMBER('Price History'!I50)),NOT(ISNUMBER('Price History'!I49)),'Price History'!I49=0),"",'Price History'!I50/'Price History'!I49-1),"")</f>
        <v>0.072597137014315</v>
      </c>
      <c r="J49" s="143" t="n">
        <f aca="false">IFERROR(IF(OR(NOT(ISNUMBER('Price History'!J50)),NOT(ISNUMBER('Price History'!J49)),'Price History'!J49=0),"",'Price History'!J50/'Price History'!J49-1),"")</f>
        <v>0.00412505427702992</v>
      </c>
      <c r="K49" s="143" t="n">
        <f aca="false">IFERROR(IF(OR(NOT(ISNUMBER('Price History'!K50)),NOT(ISNUMBER('Price History'!K49)),'Price History'!K49=0),"",'Price History'!K50/'Price History'!K49-1),"")</f>
        <v>-0.0234645227633916</v>
      </c>
      <c r="L49" s="143" t="n">
        <f aca="false">IFERROR(IF(OR(NOT(ISNUMBER('Price History'!L50)),NOT(ISNUMBER('Price History'!L49)),'Price History'!L49=0),"",'Price History'!L50/'Price History'!L49-1),"")</f>
        <v>-0.0167665711058986</v>
      </c>
      <c r="M49" s="143" t="n">
        <f aca="false">IFERROR(IF(OR(NOT(ISNUMBER('Price History'!M50)),NOT(ISNUMBER('Price History'!M49)),'Price History'!M49=0),"",'Price History'!M50/'Price History'!M49-1),"")</f>
        <v>0.21301535974131</v>
      </c>
      <c r="N49" s="143" t="n">
        <f aca="false">IFERROR(IF(OR(NOT(ISNUMBER('Price History'!N50)),NOT(ISNUMBER('Price History'!N49)),'Price History'!N49=0),"",'Price History'!N50/'Price History'!N49-1),"")</f>
        <v>-0.00805152979066015</v>
      </c>
      <c r="O49" s="143" t="n">
        <f aca="false">IFERROR(IF(OR(NOT(ISNUMBER('Price History'!O50)),NOT(ISNUMBER('Price History'!O49)),'Price History'!O49=0),"",'Price History'!O50/'Price History'!O49-1),"")</f>
        <v>0.0173181593270657</v>
      </c>
      <c r="P49" s="143" t="n">
        <f aca="false">IFERROR(IF(OR(NOT(ISNUMBER('Price History'!P50)),NOT(ISNUMBER('Price History'!P49)),'Price History'!P49=0),"",'Price History'!P50/'Price History'!P49-1),"")</f>
        <v>0.115160249811269</v>
      </c>
      <c r="Q49" s="143" t="n">
        <f aca="false">IFERROR(IF(OR(NOT(ISNUMBER('Price History'!Q50)),NOT(ISNUMBER('Price History'!Q49)),'Price History'!Q49=0),"",'Price History'!Q50/'Price History'!Q49-1),"")</f>
        <v>-0.0236550934757727</v>
      </c>
      <c r="R49" s="143" t="n">
        <f aca="false">IFERROR(IF(OR(NOT(ISNUMBER('Price History'!R50)),NOT(ISNUMBER('Price History'!R49)),'Price History'!R49=0),"",'Price History'!R50/'Price History'!R49-1),"")</f>
        <v>0.006846846846847</v>
      </c>
      <c r="S49" s="143" t="n">
        <f aca="false">IFERROR(IF(OR(NOT(ISNUMBER('Price History'!S50)),NOT(ISNUMBER('Price History'!S49)),'Price History'!S49=0),"",'Price History'!S50/'Price History'!S49-1),"")</f>
        <v>0.0309855934141323</v>
      </c>
      <c r="T49" s="143" t="n">
        <f aca="false">IFERROR(IF(OR(NOT(ISNUMBER('Price History'!T50)),NOT(ISNUMBER('Price History'!T49)),'Price History'!T49=0),"",'Price History'!T50/'Price History'!T49-1),"")</f>
        <v>-0.0200517464424321</v>
      </c>
      <c r="U49" s="143" t="str">
        <f aca="false">IFERROR(IF(OR(NOT(ISNUMBER('Price History'!U50)),NOT(ISNUMBER('Price History'!U49)),'Price History'!U49=0),"",'Price History'!U50/'Price History'!U49-1),"")</f>
        <v/>
      </c>
      <c r="V49" s="144" t="n">
        <f aca="false">IFERROR(IF(OR(NOT(ISNUMBER('Price History'!V50)),NOT(ISNUMBER('Price History'!V49)),'Price History'!V49=0),"",'Price History'!V50/'Price History'!V49-1),"")</f>
        <v>0.0300716915326487</v>
      </c>
      <c r="W49" s="145" t="str">
        <f aca="false">IFERROR('Price History'!B3+(INDEX('Price History'!B:B,MATCH(9.99E+307,'Price History'!$A:$A))-'Price History'!B3)*(ROW()-3)/(MATCH(9.99E+307,'Returns (Calc)'!$A:$A)-3),"")</f>
        <v/>
      </c>
      <c r="X49" s="145" t="n">
        <f aca="false">IFERROR('Price History'!C3+(INDEX('Price History'!C:C,MATCH(9.99E+307,'Price History'!$A:$A))-'Price History'!C3)*(ROW()-3)/(MATCH(9.99E+307,'Returns (Calc)'!$A:$A)-3),"")</f>
        <v>32.819748427673</v>
      </c>
      <c r="Y49" s="145" t="n">
        <f aca="false">IFERROR('Price History'!D3+(INDEX('Price History'!D:D,MATCH(9.99E+307,'Price History'!$A:$A))-'Price History'!D3)*(ROW()-3)/(MATCH(9.99E+307,'Returns (Calc)'!$A:$A)-3),"")</f>
        <v>413.629748427673</v>
      </c>
      <c r="Z49" s="145" t="n">
        <f aca="false">IFERROR('Price History'!E3+(INDEX('Price History'!E:E,MATCH(9.99E+307,'Price History'!$A:$A))-'Price History'!E3)*(ROW()-3)/(MATCH(9.99E+307,'Returns (Calc)'!$A:$A)-3),"")</f>
        <v>58.2767295597484</v>
      </c>
      <c r="AA49" s="145" t="n">
        <f aca="false">IFERROR('Price History'!F3+(INDEX('Price History'!F:F,MATCH(9.99E+307,'Price History'!$A:$A))-'Price History'!F3)*(ROW()-3)/(MATCH(9.99E+307,'Returns (Calc)'!$A:$A)-3),"")</f>
        <v>53.5222012578616</v>
      </c>
      <c r="AB49" s="145" t="n">
        <f aca="false">IFERROR('Price History'!G3+(INDEX('Price History'!G:G,MATCH(9.99E+307,'Price History'!$A:$A))-'Price History'!G3)*(ROW()-3)/(MATCH(9.99E+307,'Returns (Calc)'!$A:$A)-3),"")</f>
        <v>29.394213836478</v>
      </c>
      <c r="AC49" s="145" t="n">
        <f aca="false">IFERROR('Price History'!H3+(INDEX('Price History'!H:H,MATCH(9.99E+307,'Price History'!$A:$A))-'Price History'!H3)*(ROW()-3)/(MATCH(9.99E+307,'Returns (Calc)'!$A:$A)-3),"")</f>
        <v>71.4884905660377</v>
      </c>
      <c r="AD49" s="145" t="n">
        <f aca="false">IFERROR('Price History'!I3+(INDEX('Price History'!I:I,MATCH(9.99E+307,'Price History'!$A:$A))-'Price History'!I3)*(ROW()-3)/(MATCH(9.99E+307,'Returns (Calc)'!$A:$A)-3),"")</f>
        <v>31.5191823899371</v>
      </c>
      <c r="AE49" s="145" t="n">
        <f aca="false">IFERROR('Price History'!J3+(INDEX('Price History'!J:J,MATCH(9.99E+307,'Price History'!$A:$A))-'Price History'!J3)*(ROW()-3)/(MATCH(9.99E+307,'Returns (Calc)'!$A:$A)-3),"")</f>
        <v>49.1159119496855</v>
      </c>
      <c r="AF49" s="145" t="n">
        <f aca="false">IFERROR('Price History'!K3+(INDEX('Price History'!K:K,MATCH(9.99E+307,'Price History'!$A:$A))-'Price History'!K3)*(ROW()-3)/(MATCH(9.99E+307,'Returns (Calc)'!$A:$A)-3),"")</f>
        <v>31.1069811320755</v>
      </c>
      <c r="AG49" s="145" t="n">
        <f aca="false">IFERROR('Price History'!L3+(INDEX('Price History'!L:L,MATCH(9.99E+307,'Price History'!$A:$A))-'Price History'!L3)*(ROW()-3)/(MATCH(9.99E+307,'Returns (Calc)'!$A:$A)-3),"")</f>
        <v>79.4837735849057</v>
      </c>
      <c r="AH49" s="145" t="n">
        <f aca="false">IFERROR('Price History'!M3+(INDEX('Price History'!M:M,MATCH(9.99E+307,'Price History'!$A:$A))-'Price History'!M3)*(ROW()-3)/(MATCH(9.99E+307,'Returns (Calc)'!$A:$A)-3),"")</f>
        <v>10.8949056603774</v>
      </c>
      <c r="AI49" s="145" t="n">
        <f aca="false">IFERROR('Price History'!N3+(INDEX('Price History'!N:N,MATCH(9.99E+307,'Price History'!$A:$A))-'Price History'!N3)*(ROW()-3)/(MATCH(9.99E+307,'Returns (Calc)'!$A:$A)-3),"")</f>
        <v>15.4930817610063</v>
      </c>
      <c r="AJ49" s="145" t="n">
        <f aca="false">IFERROR('Price History'!O3+(INDEX('Price History'!O:O,MATCH(9.99E+307,'Price History'!$A:$A))-'Price History'!O3)*(ROW()-3)/(MATCH(9.99E+307,'Returns (Calc)'!$A:$A)-3),"")</f>
        <v>40.9571698113208</v>
      </c>
      <c r="AK49" s="145" t="n">
        <f aca="false">IFERROR('Price History'!Q3+(INDEX('Price History'!Q:Q,MATCH(9.99E+307,'Price History'!$A:$A))-'Price History'!Q3)*(ROW()-3)/(MATCH(9.99E+307,'Returns (Calc)'!$A:$A)-3),"")</f>
        <v>167.460314465409</v>
      </c>
      <c r="AL49" s="145" t="n">
        <f aca="false">IFERROR('Price History'!R3+(INDEX('Price History'!R:R,MATCH(9.99E+307,'Price History'!$A:$A))-'Price History'!R3)*(ROW()-3)/(MATCH(9.99E+307,'Returns (Calc)'!$A:$A)-3),"")</f>
        <v>33.9852830188679</v>
      </c>
      <c r="AM49" s="145" t="n">
        <f aca="false">IFERROR('Price History'!S3+(INDEX('Price History'!S:S,MATCH(9.99E+307,'Price History'!$A:$A))-'Price History'!S3)*(ROW()-3)/(MATCH(9.99E+307,'Returns (Calc)'!$A:$A)-3),"")</f>
        <v>41.6038993710692</v>
      </c>
      <c r="AN49" s="145" t="n">
        <f aca="false">IFERROR('Price History'!T3+(INDEX('Price History'!T:T,MATCH(9.99E+307,'Price History'!$A:$A))-'Price History'!T3)*(ROW()-3)/(MATCH(9.99E+307,'Returns (Calc)'!$A:$A)-3),"")</f>
        <v>19.1247169811321</v>
      </c>
      <c r="AO49" s="146" t="n">
        <f aca="false">IFERROR('Price History'!V3+(INDEX('Price History'!V:V,MATCH(9.99E+307,'Price History'!$A:$A))-'Price History'!V3)*(ROW()-3)/(MATCH(9.99E+307,'Returns (Calc)'!$A:$A)-3),"")</f>
        <v>0</v>
      </c>
    </row>
    <row r="50" customFormat="false" ht="15" hidden="false" customHeight="true" outlineLevel="0" collapsed="false">
      <c r="A50" s="142" t="n">
        <f aca="false">IF('Price History'!A51="","",'Price History'!A51)</f>
        <v>45520</v>
      </c>
      <c r="B50" s="143" t="n">
        <f aca="false">IFERROR(IF(OR(NOT(ISNUMBER('Price History'!B51)),NOT(ISNUMBER('Price History'!B50)),'Price History'!B50=0),"",'Price History'!B51/'Price History'!B50-1),"")</f>
        <v>0.0319970165951895</v>
      </c>
      <c r="C50" s="143" t="n">
        <f aca="false">IFERROR(IF(OR(NOT(ISNUMBER('Price History'!C51)),NOT(ISNUMBER('Price History'!C50)),'Price History'!C50=0),"",'Price History'!C51/'Price History'!C50-1),"")</f>
        <v>0.0538415723645027</v>
      </c>
      <c r="D50" s="143" t="n">
        <f aca="false">IFERROR(IF(OR(NOT(ISNUMBER('Price History'!D51)),NOT(ISNUMBER('Price History'!D50)),'Price History'!D50=0),"",'Price History'!D51/'Price History'!D50-1),"")</f>
        <v>0.0675362729807647</v>
      </c>
      <c r="E50" s="143" t="n">
        <f aca="false">IFERROR(IF(OR(NOT(ISNUMBER('Price History'!E51)),NOT(ISNUMBER('Price History'!E50)),'Price History'!E50=0),"",'Price History'!E51/'Price History'!E50-1),"")</f>
        <v>0.117788792509982</v>
      </c>
      <c r="F50" s="143" t="n">
        <f aca="false">IFERROR(IF(OR(NOT(ISNUMBER('Price History'!F51)),NOT(ISNUMBER('Price History'!F50)),'Price History'!F50=0),"",'Price History'!F51/'Price History'!F50-1),"")</f>
        <v>0.0286336043981217</v>
      </c>
      <c r="G50" s="143" t="n">
        <f aca="false">IFERROR(IF(OR(NOT(ISNUMBER('Price History'!G51)),NOT(ISNUMBER('Price History'!G50)),'Price History'!G50=0),"",'Price History'!G51/'Price History'!G50-1),"")</f>
        <v>0.0900033211557623</v>
      </c>
      <c r="H50" s="143" t="n">
        <f aca="false">IFERROR(IF(OR(NOT(ISNUMBER('Price History'!H51)),NOT(ISNUMBER('Price History'!H50)),'Price History'!H50=0),"",'Price History'!H51/'Price History'!H50-1),"")</f>
        <v>0.0256123764503653</v>
      </c>
      <c r="I50" s="143" t="n">
        <f aca="false">IFERROR(IF(OR(NOT(ISNUMBER('Price History'!I51)),NOT(ISNUMBER('Price History'!I50)),'Price History'!I50=0),"",'Price History'!I51/'Price History'!I50-1),"")</f>
        <v>0.0995505924009259</v>
      </c>
      <c r="J50" s="143" t="n">
        <f aca="false">IFERROR(IF(OR(NOT(ISNUMBER('Price History'!J51)),NOT(ISNUMBER('Price History'!J50)),'Price History'!J50=0),"",'Price History'!J51/'Price History'!J50-1),"")</f>
        <v>0.160216216216216</v>
      </c>
      <c r="K50" s="143" t="n">
        <f aca="false">IFERROR(IF(OR(NOT(ISNUMBER('Price History'!K51)),NOT(ISNUMBER('Price History'!K50)),'Price History'!K50=0),"",'Price History'!K51/'Price History'!K50-1),"")</f>
        <v>0.189354776948114</v>
      </c>
      <c r="L50" s="143" t="n">
        <f aca="false">IFERROR(IF(OR(NOT(ISNUMBER('Price History'!L51)),NOT(ISNUMBER('Price History'!L50)),'Price History'!L50=0),"",'Price History'!L51/'Price History'!L50-1),"")</f>
        <v>0.00777522530482422</v>
      </c>
      <c r="M50" s="143" t="n">
        <f aca="false">IFERROR(IF(OR(NOT(ISNUMBER('Price History'!M51)),NOT(ISNUMBER('Price History'!M50)),'Price History'!M50=0),"",'Price History'!M51/'Price History'!M50-1),"")</f>
        <v>0.0689770076641119</v>
      </c>
      <c r="N50" s="143" t="n">
        <f aca="false">IFERROR(IF(OR(NOT(ISNUMBER('Price History'!N51)),NOT(ISNUMBER('Price History'!N50)),'Price History'!N50=0),"",'Price History'!N51/'Price History'!N50-1),"")</f>
        <v>0.0227272727272727</v>
      </c>
      <c r="O50" s="143" t="n">
        <f aca="false">IFERROR(IF(OR(NOT(ISNUMBER('Price History'!O51)),NOT(ISNUMBER('Price History'!O50)),'Price History'!O50=0),"",'Price History'!O51/'Price History'!O50-1),"")</f>
        <v>0.0570282101167317</v>
      </c>
      <c r="P50" s="143" t="n">
        <f aca="false">IFERROR(IF(OR(NOT(ISNUMBER('Price History'!P51)),NOT(ISNUMBER('Price History'!P50)),'Price History'!P50=0),"",'Price History'!P51/'Price History'!P50-1),"")</f>
        <v>0.0444335036002215</v>
      </c>
      <c r="Q50" s="143" t="n">
        <f aca="false">IFERROR(IF(OR(NOT(ISNUMBER('Price History'!Q51)),NOT(ISNUMBER('Price History'!Q50)),'Price History'!Q50=0),"",'Price History'!Q51/'Price History'!Q50-1),"")</f>
        <v>0.0293474013286441</v>
      </c>
      <c r="R50" s="143" t="n">
        <f aca="false">IFERROR(IF(OR(NOT(ISNUMBER('Price History'!R51)),NOT(ISNUMBER('Price History'!R50)),'Price History'!R50=0),"",'Price History'!R51/'Price History'!R50-1),"")</f>
        <v>-0.000715819613457347</v>
      </c>
      <c r="S50" s="143" t="n">
        <f aca="false">IFERROR(IF(OR(NOT(ISNUMBER('Price History'!S51)),NOT(ISNUMBER('Price History'!S50)),'Price History'!S50=0),"",'Price History'!S51/'Price History'!S50-1),"")</f>
        <v>-0.00199622934457144</v>
      </c>
      <c r="T50" s="143" t="n">
        <f aca="false">IFERROR(IF(OR(NOT(ISNUMBER('Price History'!T51)),NOT(ISNUMBER('Price History'!T50)),'Price History'!T50=0),"",'Price History'!T51/'Price History'!T50-1),"")</f>
        <v>0.0382838283828384</v>
      </c>
      <c r="U50" s="143" t="str">
        <f aca="false">IFERROR(IF(OR(NOT(ISNUMBER('Price History'!U51)),NOT(ISNUMBER('Price History'!U50)),'Price History'!U50=0),"",'Price History'!U51/'Price History'!U50-1),"")</f>
        <v/>
      </c>
      <c r="V50" s="144" t="n">
        <f aca="false">IFERROR(IF(OR(NOT(ISNUMBER('Price History'!V51)),NOT(ISNUMBER('Price History'!V50)),'Price History'!V50=0),"",'Price History'!V51/'Price History'!V50-1),"")</f>
        <v>-0.0170798690794177</v>
      </c>
      <c r="W50" s="145" t="str">
        <f aca="false">IFERROR('Price History'!B3+(INDEX('Price History'!B:B,MATCH(9.99E+307,'Price History'!$A:$A))-'Price History'!B3)*(ROW()-3)/(MATCH(9.99E+307,'Returns (Calc)'!$A:$A)-3),"")</f>
        <v/>
      </c>
      <c r="X50" s="145" t="n">
        <f aca="false">IFERROR('Price History'!C3+(INDEX('Price History'!C:C,MATCH(9.99E+307,'Price History'!$A:$A))-'Price History'!C3)*(ROW()-3)/(MATCH(9.99E+307,'Returns (Calc)'!$A:$A)-3),"")</f>
        <v>32.5293081761006</v>
      </c>
      <c r="Y50" s="145" t="n">
        <f aca="false">IFERROR('Price History'!D3+(INDEX('Price History'!D:D,MATCH(9.99E+307,'Price History'!$A:$A))-'Price History'!D3)*(ROW()-3)/(MATCH(9.99E+307,'Returns (Calc)'!$A:$A)-3),"")</f>
        <v>409.969308176101</v>
      </c>
      <c r="Z50" s="145" t="n">
        <f aca="false">IFERROR('Price History'!E3+(INDEX('Price History'!E:E,MATCH(9.99E+307,'Price History'!$A:$A))-'Price History'!E3)*(ROW()-3)/(MATCH(9.99E+307,'Returns (Calc)'!$A:$A)-3),"")</f>
        <v>57.7610062893082</v>
      </c>
      <c r="AA50" s="145" t="n">
        <f aca="false">IFERROR('Price History'!F3+(INDEX('Price History'!F:F,MATCH(9.99E+307,'Price History'!$A:$A))-'Price History'!F3)*(ROW()-3)/(MATCH(9.99E+307,'Returns (Calc)'!$A:$A)-3),"")</f>
        <v>53.0485534591195</v>
      </c>
      <c r="AB50" s="145" t="n">
        <f aca="false">IFERROR('Price History'!G3+(INDEX('Price History'!G:G,MATCH(9.99E+307,'Price History'!$A:$A))-'Price History'!G3)*(ROW()-3)/(MATCH(9.99E+307,'Returns (Calc)'!$A:$A)-3),"")</f>
        <v>29.1340880503145</v>
      </c>
      <c r="AC50" s="145" t="n">
        <f aca="false">IFERROR('Price History'!H3+(INDEX('Price History'!H:H,MATCH(9.99E+307,'Price History'!$A:$A))-'Price History'!H3)*(ROW()-3)/(MATCH(9.99E+307,'Returns (Calc)'!$A:$A)-3),"")</f>
        <v>70.8558490566038</v>
      </c>
      <c r="AD50" s="145" t="n">
        <f aca="false">IFERROR('Price History'!I3+(INDEX('Price History'!I:I,MATCH(9.99E+307,'Price History'!$A:$A))-'Price History'!I3)*(ROW()-3)/(MATCH(9.99E+307,'Returns (Calc)'!$A:$A)-3),"")</f>
        <v>31.240251572327</v>
      </c>
      <c r="AE50" s="145" t="n">
        <f aca="false">IFERROR('Price History'!J3+(INDEX('Price History'!J:J,MATCH(9.99E+307,'Price History'!$A:$A))-'Price History'!J3)*(ROW()-3)/(MATCH(9.99E+307,'Returns (Calc)'!$A:$A)-3),"")</f>
        <v>48.6812578616352</v>
      </c>
      <c r="AF50" s="145" t="n">
        <f aca="false">IFERROR('Price History'!K3+(INDEX('Price History'!K:K,MATCH(9.99E+307,'Price History'!$A:$A))-'Price History'!K3)*(ROW()-3)/(MATCH(9.99E+307,'Returns (Calc)'!$A:$A)-3),"")</f>
        <v>30.8316981132076</v>
      </c>
      <c r="AG50" s="145" t="n">
        <f aca="false">IFERROR('Price History'!L3+(INDEX('Price History'!L:L,MATCH(9.99E+307,'Price History'!$A:$A))-'Price History'!L3)*(ROW()-3)/(MATCH(9.99E+307,'Returns (Calc)'!$A:$A)-3),"")</f>
        <v>78.7803773584906</v>
      </c>
      <c r="AH50" s="145" t="n">
        <f aca="false">IFERROR('Price History'!M3+(INDEX('Price History'!M:M,MATCH(9.99E+307,'Price History'!$A:$A))-'Price History'!M3)*(ROW()-3)/(MATCH(9.99E+307,'Returns (Calc)'!$A:$A)-3),"")</f>
        <v>10.7984905660377</v>
      </c>
      <c r="AI50" s="145" t="n">
        <f aca="false">IFERROR('Price History'!N3+(INDEX('Price History'!N:N,MATCH(9.99E+307,'Price History'!$A:$A))-'Price History'!N3)*(ROW()-3)/(MATCH(9.99E+307,'Returns (Calc)'!$A:$A)-3),"")</f>
        <v>15.3559748427673</v>
      </c>
      <c r="AJ50" s="145" t="n">
        <f aca="false">IFERROR('Price History'!O3+(INDEX('Price History'!O:O,MATCH(9.99E+307,'Price History'!$A:$A))-'Price History'!O3)*(ROW()-3)/(MATCH(9.99E+307,'Returns (Calc)'!$A:$A)-3),"")</f>
        <v>40.5947169811321</v>
      </c>
      <c r="AK50" s="145" t="n">
        <f aca="false">IFERROR('Price History'!Q3+(INDEX('Price History'!Q:Q,MATCH(9.99E+307,'Price History'!$A:$A))-'Price History'!Q3)*(ROW()-3)/(MATCH(9.99E+307,'Returns (Calc)'!$A:$A)-3),"")</f>
        <v>165.978364779874</v>
      </c>
      <c r="AL50" s="145" t="n">
        <f aca="false">IFERROR('Price History'!R3+(INDEX('Price History'!R:R,MATCH(9.99E+307,'Price History'!$A:$A))-'Price History'!R3)*(ROW()-3)/(MATCH(9.99E+307,'Returns (Calc)'!$A:$A)-3),"")</f>
        <v>33.6845283018868</v>
      </c>
      <c r="AM50" s="145" t="n">
        <f aca="false">IFERROR('Price History'!S3+(INDEX('Price History'!S:S,MATCH(9.99E+307,'Price History'!$A:$A))-'Price History'!S3)*(ROW()-3)/(MATCH(9.99E+307,'Returns (Calc)'!$A:$A)-3),"")</f>
        <v>41.2357232704402</v>
      </c>
      <c r="AN50" s="145" t="n">
        <f aca="false">IFERROR('Price History'!T3+(INDEX('Price History'!T:T,MATCH(9.99E+307,'Price History'!$A:$A))-'Price History'!T3)*(ROW()-3)/(MATCH(9.99E+307,'Returns (Calc)'!$A:$A)-3),"")</f>
        <v>18.9554716981132</v>
      </c>
      <c r="AO50" s="146" t="n">
        <f aca="false">IFERROR('Price History'!V3+(INDEX('Price History'!V:V,MATCH(9.99E+307,'Price History'!$A:$A))-'Price History'!V3)*(ROW()-3)/(MATCH(9.99E+307,'Returns (Calc)'!$A:$A)-3),"")</f>
        <v>0</v>
      </c>
    </row>
    <row r="51" customFormat="false" ht="15" hidden="false" customHeight="true" outlineLevel="0" collapsed="false">
      <c r="A51" s="142" t="n">
        <f aca="false">IF('Price History'!A52="","",'Price History'!A52)</f>
        <v>45527</v>
      </c>
      <c r="B51" s="143" t="n">
        <f aca="false">IFERROR(IF(OR(NOT(ISNUMBER('Price History'!B52)),NOT(ISNUMBER('Price History'!B51)),'Price History'!B51=0),"",'Price History'!B52/'Price History'!B51-1),"")</f>
        <v>0.00874498608752194</v>
      </c>
      <c r="C51" s="143" t="n">
        <f aca="false">IFERROR(IF(OR(NOT(ISNUMBER('Price History'!C52)),NOT(ISNUMBER('Price History'!C51)),'Price History'!C51=0),"",'Price History'!C52/'Price History'!C51-1),"")</f>
        <v>0.00350401265965861</v>
      </c>
      <c r="D51" s="143" t="n">
        <f aca="false">IFERROR(IF(OR(NOT(ISNUMBER('Price History'!D52)),NOT(ISNUMBER('Price History'!D51)),'Price History'!D51=0),"",'Price History'!D52/'Price History'!D51-1),"")</f>
        <v>-0.0124180981051887</v>
      </c>
      <c r="E51" s="143" t="n">
        <f aca="false">IFERROR(IF(OR(NOT(ISNUMBER('Price History'!E52)),NOT(ISNUMBER('Price History'!E51)),'Price History'!E51=0),"",'Price History'!E52/'Price History'!E51-1),"")</f>
        <v>0.00381843936687809</v>
      </c>
      <c r="F51" s="143" t="n">
        <f aca="false">IFERROR(IF(OR(NOT(ISNUMBER('Price History'!F52)),NOT(ISNUMBER('Price History'!F51)),'Price History'!F51=0),"",'Price History'!F52/'Price History'!F51-1),"")</f>
        <v>0.0310655828972275</v>
      </c>
      <c r="G51" s="143" t="n">
        <f aca="false">IFERROR(IF(OR(NOT(ISNUMBER('Price History'!G52)),NOT(ISNUMBER('Price History'!G51)),'Price History'!G51=0),"",'Price History'!G52/'Price History'!G51-1),"")</f>
        <v>0.0342778793418648</v>
      </c>
      <c r="H51" s="143" t="n">
        <f aca="false">IFERROR(IF(OR(NOT(ISNUMBER('Price History'!H52)),NOT(ISNUMBER('Price History'!H51)),'Price History'!H51=0),"",'Price History'!H52/'Price History'!H51-1),"")</f>
        <v>0.0207827034274701</v>
      </c>
      <c r="I51" s="143" t="n">
        <f aca="false">IFERROR(IF(OR(NOT(ISNUMBER('Price History'!I52)),NOT(ISNUMBER('Price History'!I51)),'Price History'!I51=0),"",'Price History'!I52/'Price History'!I51-1),"")</f>
        <v>-0.00210552390388907</v>
      </c>
      <c r="J51" s="143" t="n">
        <f aca="false">IFERROR(IF(OR(NOT(ISNUMBER('Price History'!J52)),NOT(ISNUMBER('Price History'!J51)),'Price History'!J51=0),"",'Price History'!J52/'Price History'!J51-1),"")</f>
        <v>-0.0476146105106224</v>
      </c>
      <c r="K51" s="143" t="n">
        <f aca="false">IFERROR(IF(OR(NOT(ISNUMBER('Price History'!K52)),NOT(ISNUMBER('Price History'!K51)),'Price History'!K51=0),"",'Price History'!K52/'Price History'!K51-1),"")</f>
        <v>0.0383934320669672</v>
      </c>
      <c r="L51" s="143" t="n">
        <f aca="false">IFERROR(IF(OR(NOT(ISNUMBER('Price History'!L52)),NOT(ISNUMBER('Price History'!L51)),'Price History'!L51=0),"",'Price History'!L52/'Price History'!L51-1),"")</f>
        <v>0.0489216201998948</v>
      </c>
      <c r="M51" s="143" t="n">
        <f aca="false">IFERROR(IF(OR(NOT(ISNUMBER('Price History'!M52)),NOT(ISNUMBER('Price History'!M51)),'Price History'!M51=0),"",'Price History'!M52/'Price History'!M51-1),"")</f>
        <v>-0.00935162094763087</v>
      </c>
      <c r="N51" s="143" t="n">
        <f aca="false">IFERROR(IF(OR(NOT(ISNUMBER('Price History'!N52)),NOT(ISNUMBER('Price History'!N51)),'Price History'!N51=0),"",'Price History'!N52/'Price History'!N51-1),"")</f>
        <v>0.0186507936507938</v>
      </c>
      <c r="O51" s="143" t="n">
        <f aca="false">IFERROR(IF(OR(NOT(ISNUMBER('Price History'!O52)),NOT(ISNUMBER('Price History'!O51)),'Price History'!O51=0),"",'Price History'!O52/'Price History'!O51-1),"")</f>
        <v>0.0138042102841365</v>
      </c>
      <c r="P51" s="143" t="n">
        <f aca="false">IFERROR(IF(OR(NOT(ISNUMBER('Price History'!P52)),NOT(ISNUMBER('Price History'!P51)),'Price History'!P51=0),"",'Price History'!P52/'Price History'!P51-1),"")</f>
        <v>-0.0186789228684227</v>
      </c>
      <c r="Q51" s="143" t="n">
        <f aca="false">IFERROR(IF(OR(NOT(ISNUMBER('Price History'!Q52)),NOT(ISNUMBER('Price History'!Q51)),'Price History'!Q51=0),"",'Price History'!Q52/'Price History'!Q51-1),"")</f>
        <v>0.000227781785050007</v>
      </c>
      <c r="R51" s="143" t="n">
        <f aca="false">IFERROR(IF(OR(NOT(ISNUMBER('Price History'!R52)),NOT(ISNUMBER('Price History'!R51)),'Price History'!R51=0),"",'Price History'!R52/'Price History'!R51-1),"")</f>
        <v>-0.0295487106017193</v>
      </c>
      <c r="S51" s="143" t="n">
        <f aca="false">IFERROR(IF(OR(NOT(ISNUMBER('Price History'!S52)),NOT(ISNUMBER('Price History'!S51)),'Price History'!S51=0),"",'Price History'!S52/'Price History'!S51-1),"")</f>
        <v>-0.0404489387709746</v>
      </c>
      <c r="T51" s="143" t="n">
        <f aca="false">IFERROR(IF(OR(NOT(ISNUMBER('Price History'!T52)),NOT(ISNUMBER('Price History'!T51)),'Price History'!T51=0),"",'Price History'!T52/'Price History'!T51-1),"")</f>
        <v>0.0152574698029244</v>
      </c>
      <c r="U51" s="143" t="str">
        <f aca="false">IFERROR(IF(OR(NOT(ISNUMBER('Price History'!U52)),NOT(ISNUMBER('Price History'!U51)),'Price History'!U51=0),"",'Price History'!U52/'Price History'!U51-1),"")</f>
        <v/>
      </c>
      <c r="V51" s="144" t="n">
        <f aca="false">IFERROR(IF(OR(NOT(ISNUMBER('Price History'!V52)),NOT(ISNUMBER('Price History'!V51)),'Price History'!V51=0),"",'Price History'!V52/'Price History'!V51-1),"")</f>
        <v>-0.00107168829180526</v>
      </c>
      <c r="W51" s="145" t="str">
        <f aca="false">IFERROR('Price History'!B3+(INDEX('Price History'!B:B,MATCH(9.99E+307,'Price History'!$A:$A))-'Price History'!B3)*(ROW()-3)/(MATCH(9.99E+307,'Returns (Calc)'!$A:$A)-3),"")</f>
        <v/>
      </c>
      <c r="X51" s="145" t="n">
        <f aca="false">IFERROR('Price History'!C3+(INDEX('Price History'!C:C,MATCH(9.99E+307,'Price History'!$A:$A))-'Price History'!C3)*(ROW()-3)/(MATCH(9.99E+307,'Returns (Calc)'!$A:$A)-3),"")</f>
        <v>32.2388679245283</v>
      </c>
      <c r="Y51" s="145" t="n">
        <f aca="false">IFERROR('Price History'!D3+(INDEX('Price History'!D:D,MATCH(9.99E+307,'Price History'!$A:$A))-'Price History'!D3)*(ROW()-3)/(MATCH(9.99E+307,'Returns (Calc)'!$A:$A)-3),"")</f>
        <v>406.308867924528</v>
      </c>
      <c r="Z51" s="145" t="n">
        <f aca="false">IFERROR('Price History'!E3+(INDEX('Price History'!E:E,MATCH(9.99E+307,'Price History'!$A:$A))-'Price History'!E3)*(ROW()-3)/(MATCH(9.99E+307,'Returns (Calc)'!$A:$A)-3),"")</f>
        <v>57.2452830188679</v>
      </c>
      <c r="AA51" s="145" t="n">
        <f aca="false">IFERROR('Price History'!F3+(INDEX('Price History'!F:F,MATCH(9.99E+307,'Price History'!$A:$A))-'Price History'!F3)*(ROW()-3)/(MATCH(9.99E+307,'Returns (Calc)'!$A:$A)-3),"")</f>
        <v>52.5749056603774</v>
      </c>
      <c r="AB51" s="145" t="n">
        <f aca="false">IFERROR('Price History'!G3+(INDEX('Price History'!G:G,MATCH(9.99E+307,'Price History'!$A:$A))-'Price History'!G3)*(ROW()-3)/(MATCH(9.99E+307,'Returns (Calc)'!$A:$A)-3),"")</f>
        <v>28.8739622641509</v>
      </c>
      <c r="AC51" s="145" t="n">
        <f aca="false">IFERROR('Price History'!H3+(INDEX('Price History'!H:H,MATCH(9.99E+307,'Price History'!$A:$A))-'Price History'!H3)*(ROW()-3)/(MATCH(9.99E+307,'Returns (Calc)'!$A:$A)-3),"")</f>
        <v>70.2232075471698</v>
      </c>
      <c r="AD51" s="145" t="n">
        <f aca="false">IFERROR('Price History'!I3+(INDEX('Price History'!I:I,MATCH(9.99E+307,'Price History'!$A:$A))-'Price History'!I3)*(ROW()-3)/(MATCH(9.99E+307,'Returns (Calc)'!$A:$A)-3),"")</f>
        <v>30.961320754717</v>
      </c>
      <c r="AE51" s="145" t="n">
        <f aca="false">IFERROR('Price History'!J3+(INDEX('Price History'!J:J,MATCH(9.99E+307,'Price History'!$A:$A))-'Price History'!J3)*(ROW()-3)/(MATCH(9.99E+307,'Returns (Calc)'!$A:$A)-3),"")</f>
        <v>48.2466037735849</v>
      </c>
      <c r="AF51" s="145" t="n">
        <f aca="false">IFERROR('Price History'!K3+(INDEX('Price History'!K:K,MATCH(9.99E+307,'Price History'!$A:$A))-'Price History'!K3)*(ROW()-3)/(MATCH(9.99E+307,'Returns (Calc)'!$A:$A)-3),"")</f>
        <v>30.5564150943396</v>
      </c>
      <c r="AG51" s="145" t="n">
        <f aca="false">IFERROR('Price History'!L3+(INDEX('Price History'!L:L,MATCH(9.99E+307,'Price History'!$A:$A))-'Price History'!L3)*(ROW()-3)/(MATCH(9.99E+307,'Returns (Calc)'!$A:$A)-3),"")</f>
        <v>78.0769811320755</v>
      </c>
      <c r="AH51" s="145" t="n">
        <f aca="false">IFERROR('Price History'!M3+(INDEX('Price History'!M:M,MATCH(9.99E+307,'Price History'!$A:$A))-'Price History'!M3)*(ROW()-3)/(MATCH(9.99E+307,'Returns (Calc)'!$A:$A)-3),"")</f>
        <v>10.7020754716981</v>
      </c>
      <c r="AI51" s="145" t="n">
        <f aca="false">IFERROR('Price History'!N3+(INDEX('Price History'!N:N,MATCH(9.99E+307,'Price History'!$A:$A))-'Price History'!N3)*(ROW()-3)/(MATCH(9.99E+307,'Returns (Calc)'!$A:$A)-3),"")</f>
        <v>15.2188679245283</v>
      </c>
      <c r="AJ51" s="145" t="n">
        <f aca="false">IFERROR('Price History'!O3+(INDEX('Price History'!O:O,MATCH(9.99E+307,'Price History'!$A:$A))-'Price History'!O3)*(ROW()-3)/(MATCH(9.99E+307,'Returns (Calc)'!$A:$A)-3),"")</f>
        <v>40.2322641509434</v>
      </c>
      <c r="AK51" s="145" t="n">
        <f aca="false">IFERROR('Price History'!Q3+(INDEX('Price History'!Q:Q,MATCH(9.99E+307,'Price History'!$A:$A))-'Price History'!Q3)*(ROW()-3)/(MATCH(9.99E+307,'Returns (Calc)'!$A:$A)-3),"")</f>
        <v>164.49641509434</v>
      </c>
      <c r="AL51" s="145" t="n">
        <f aca="false">IFERROR('Price History'!R3+(INDEX('Price History'!R:R,MATCH(9.99E+307,'Price History'!$A:$A))-'Price History'!R3)*(ROW()-3)/(MATCH(9.99E+307,'Returns (Calc)'!$A:$A)-3),"")</f>
        <v>33.3837735849057</v>
      </c>
      <c r="AM51" s="145" t="n">
        <f aca="false">IFERROR('Price History'!S3+(INDEX('Price History'!S:S,MATCH(9.99E+307,'Price History'!$A:$A))-'Price History'!S3)*(ROW()-3)/(MATCH(9.99E+307,'Returns (Calc)'!$A:$A)-3),"")</f>
        <v>40.8675471698113</v>
      </c>
      <c r="AN51" s="145" t="n">
        <f aca="false">IFERROR('Price History'!T3+(INDEX('Price History'!T:T,MATCH(9.99E+307,'Price History'!$A:$A))-'Price History'!T3)*(ROW()-3)/(MATCH(9.99E+307,'Returns (Calc)'!$A:$A)-3),"")</f>
        <v>18.7862264150943</v>
      </c>
      <c r="AO51" s="146" t="n">
        <f aca="false">IFERROR('Price History'!V3+(INDEX('Price History'!V:V,MATCH(9.99E+307,'Price History'!$A:$A))-'Price History'!V3)*(ROW()-3)/(MATCH(9.99E+307,'Returns (Calc)'!$A:$A)-3),"")</f>
        <v>0</v>
      </c>
    </row>
    <row r="52" customFormat="false" ht="15" hidden="false" customHeight="true" outlineLevel="0" collapsed="false">
      <c r="A52" s="142" t="n">
        <f aca="false">IF('Price History'!A53="","",'Price History'!A53)</f>
        <v>45534</v>
      </c>
      <c r="B52" s="143" t="n">
        <f aca="false">IFERROR(IF(OR(NOT(ISNUMBER('Price History'!B53)),NOT(ISNUMBER('Price History'!B52)),'Price History'!B52=0),"",'Price History'!B53/'Price History'!B52-1),"")</f>
        <v>0.0288554540569586</v>
      </c>
      <c r="C52" s="143" t="n">
        <f aca="false">IFERROR(IF(OR(NOT(ISNUMBER('Price History'!C53)),NOT(ISNUMBER('Price History'!C52)),'Price History'!C52=0),"",'Price History'!C53/'Price History'!C52-1),"")</f>
        <v>-0.00484343320567704</v>
      </c>
      <c r="D52" s="143" t="n">
        <f aca="false">IFERROR(IF(OR(NOT(ISNUMBER('Price History'!D53)),NOT(ISNUMBER('Price History'!D52)),'Price History'!D52=0),"",'Price History'!D53/'Price History'!D52-1),"")</f>
        <v>-0.00373192872352335</v>
      </c>
      <c r="E52" s="143" t="n">
        <f aca="false">IFERROR(IF(OR(NOT(ISNUMBER('Price History'!E53)),NOT(ISNUMBER('Price History'!E52)),'Price History'!E52=0),"",'Price History'!E53/'Price History'!E52-1),"")</f>
        <v>-0.0212896496717589</v>
      </c>
      <c r="F52" s="143" t="n">
        <f aca="false">IFERROR(IF(OR(NOT(ISNUMBER('Price History'!F53)),NOT(ISNUMBER('Price History'!F52)),'Price History'!F52=0),"",'Price History'!F53/'Price History'!F52-1),"")</f>
        <v>0.000539956803455866</v>
      </c>
      <c r="G52" s="143" t="n">
        <f aca="false">IFERROR(IF(OR(NOT(ISNUMBER('Price History'!G53)),NOT(ISNUMBER('Price History'!G52)),'Price History'!G52=0),"",'Price History'!G53/'Price History'!G52-1),"")</f>
        <v>0.0210634850493445</v>
      </c>
      <c r="H52" s="143" t="n">
        <f aca="false">IFERROR(IF(OR(NOT(ISNUMBER('Price History'!H53)),NOT(ISNUMBER('Price History'!H52)),'Price History'!H52=0),"",'Price History'!H53/'Price History'!H52-1),"")</f>
        <v>0.0137098760364502</v>
      </c>
      <c r="I52" s="143" t="n">
        <f aca="false">IFERROR(IF(OR(NOT(ISNUMBER('Price History'!I53)),NOT(ISNUMBER('Price History'!I52)),'Price History'!I52=0),"",'Price History'!I53/'Price History'!I52-1),"")</f>
        <v>0.00186173513714794</v>
      </c>
      <c r="J52" s="143" t="n">
        <f aca="false">IFERROR(IF(OR(NOT(ISNUMBER('Price History'!J53)),NOT(ISNUMBER('Price History'!J52)),'Price History'!J52=0),"",'Price History'!J53/'Price History'!J52-1),"")</f>
        <v>-0.0642794247138244</v>
      </c>
      <c r="K52" s="143" t="n">
        <f aca="false">IFERROR(IF(OR(NOT(ISNUMBER('Price History'!K53)),NOT(ISNUMBER('Price History'!K52)),'Price History'!K52=0),"",'Price History'!K53/'Price History'!K52-1),"")</f>
        <v>-0.0772808309433376</v>
      </c>
      <c r="L52" s="143" t="n">
        <f aca="false">IFERROR(IF(OR(NOT(ISNUMBER('Price History'!L53)),NOT(ISNUMBER('Price History'!L52)),'Price History'!L52=0),"",'Price History'!L53/'Price History'!L52-1),"")</f>
        <v>-0.00810765630224009</v>
      </c>
      <c r="M52" s="143" t="n">
        <f aca="false">IFERROR(IF(OR(NOT(ISNUMBER('Price History'!M53)),NOT(ISNUMBER('Price History'!M52)),'Price History'!M52=0),"",'Price History'!M53/'Price History'!M52-1),"")</f>
        <v>-0.0094398993077407</v>
      </c>
      <c r="N52" s="143" t="n">
        <f aca="false">IFERROR(IF(OR(NOT(ISNUMBER('Price History'!N53)),NOT(ISNUMBER('Price History'!N52)),'Price History'!N52=0),"",'Price History'!N53/'Price History'!N52-1),"")</f>
        <v>0.0124659135177247</v>
      </c>
      <c r="O52" s="143" t="n">
        <f aca="false">IFERROR(IF(OR(NOT(ISNUMBER('Price History'!O53)),NOT(ISNUMBER('Price History'!O52)),'Price History'!O52=0),"",'Price History'!O53/'Price History'!O52-1),"")</f>
        <v>-0.00397140587768063</v>
      </c>
      <c r="P52" s="143" t="n">
        <f aca="false">IFERROR(IF(OR(NOT(ISNUMBER('Price History'!P53)),NOT(ISNUMBER('Price History'!P52)),'Price History'!P52=0),"",'Price History'!P53/'Price History'!P52-1),"")</f>
        <v>0.00246187102197659</v>
      </c>
      <c r="Q52" s="143" t="n">
        <f aca="false">IFERROR(IF(OR(NOT(ISNUMBER('Price History'!Q53)),NOT(ISNUMBER('Price History'!Q52)),'Price History'!Q52=0),"",'Price History'!Q53/'Price History'!Q52-1),"")</f>
        <v>0.0334003871408508</v>
      </c>
      <c r="R52" s="143" t="n">
        <f aca="false">IFERROR(IF(OR(NOT(ISNUMBER('Price History'!R53)),NOT(ISNUMBER('Price History'!R52)),'Price History'!R52=0),"",'Price History'!R53/'Price History'!R52-1),"")</f>
        <v>-0.0226979147444177</v>
      </c>
      <c r="S52" s="143" t="n">
        <f aca="false">IFERROR(IF(OR(NOT(ISNUMBER('Price History'!S53)),NOT(ISNUMBER('Price History'!S52)),'Price History'!S52=0),"",'Price History'!S53/'Price History'!S52-1),"")</f>
        <v>-0.0188766647365373</v>
      </c>
      <c r="T52" s="143" t="n">
        <f aca="false">IFERROR(IF(OR(NOT(ISNUMBER('Price History'!T53)),NOT(ISNUMBER('Price History'!T52)),'Price History'!T52=0),"",'Price History'!T53/'Price History'!T52-1),"")</f>
        <v>0.0178459611772073</v>
      </c>
      <c r="U52" s="143" t="str">
        <f aca="false">IFERROR(IF(OR(NOT(ISNUMBER('Price History'!U53)),NOT(ISNUMBER('Price History'!U52)),'Price History'!U52=0),"",'Price History'!U53/'Price History'!U52-1),"")</f>
        <v/>
      </c>
      <c r="V52" s="144" t="n">
        <f aca="false">IFERROR(IF(OR(NOT(ISNUMBER('Price History'!V53)),NOT(ISNUMBER('Price History'!V52)),'Price History'!V52=0),"",'Price History'!V53/'Price History'!V52-1),"")</f>
        <v>-0.0226062301237595</v>
      </c>
      <c r="W52" s="145" t="str">
        <f aca="false">IFERROR('Price History'!B3+(INDEX('Price History'!B:B,MATCH(9.99E+307,'Price History'!$A:$A))-'Price History'!B3)*(ROW()-3)/(MATCH(9.99E+307,'Returns (Calc)'!$A:$A)-3),"")</f>
        <v/>
      </c>
      <c r="X52" s="145" t="n">
        <f aca="false">IFERROR('Price History'!C3+(INDEX('Price History'!C:C,MATCH(9.99E+307,'Price History'!$A:$A))-'Price History'!C3)*(ROW()-3)/(MATCH(9.99E+307,'Returns (Calc)'!$A:$A)-3),"")</f>
        <v>31.948427672956</v>
      </c>
      <c r="Y52" s="145" t="n">
        <f aca="false">IFERROR('Price History'!D3+(INDEX('Price History'!D:D,MATCH(9.99E+307,'Price History'!$A:$A))-'Price History'!D3)*(ROW()-3)/(MATCH(9.99E+307,'Returns (Calc)'!$A:$A)-3),"")</f>
        <v>402.648427672956</v>
      </c>
      <c r="Z52" s="145" t="n">
        <f aca="false">IFERROR('Price History'!E3+(INDEX('Price History'!E:E,MATCH(9.99E+307,'Price History'!$A:$A))-'Price History'!E3)*(ROW()-3)/(MATCH(9.99E+307,'Returns (Calc)'!$A:$A)-3),"")</f>
        <v>56.7295597484277</v>
      </c>
      <c r="AA52" s="145" t="n">
        <f aca="false">IFERROR('Price History'!F3+(INDEX('Price History'!F:F,MATCH(9.99E+307,'Price History'!$A:$A))-'Price History'!F3)*(ROW()-3)/(MATCH(9.99E+307,'Returns (Calc)'!$A:$A)-3),"")</f>
        <v>52.1012578616352</v>
      </c>
      <c r="AB52" s="145" t="n">
        <f aca="false">IFERROR('Price History'!G3+(INDEX('Price History'!G:G,MATCH(9.99E+307,'Price History'!$A:$A))-'Price History'!G3)*(ROW()-3)/(MATCH(9.99E+307,'Returns (Calc)'!$A:$A)-3),"")</f>
        <v>28.6138364779874</v>
      </c>
      <c r="AC52" s="145" t="n">
        <f aca="false">IFERROR('Price History'!H3+(INDEX('Price History'!H:H,MATCH(9.99E+307,'Price History'!$A:$A))-'Price History'!H3)*(ROW()-3)/(MATCH(9.99E+307,'Returns (Calc)'!$A:$A)-3),"")</f>
        <v>69.5905660377359</v>
      </c>
      <c r="AD52" s="145" t="n">
        <f aca="false">IFERROR('Price History'!I3+(INDEX('Price History'!I:I,MATCH(9.99E+307,'Price History'!$A:$A))-'Price History'!I3)*(ROW()-3)/(MATCH(9.99E+307,'Returns (Calc)'!$A:$A)-3),"")</f>
        <v>30.6823899371069</v>
      </c>
      <c r="AE52" s="145" t="n">
        <f aca="false">IFERROR('Price History'!J3+(INDEX('Price History'!J:J,MATCH(9.99E+307,'Price History'!$A:$A))-'Price History'!J3)*(ROW()-3)/(MATCH(9.99E+307,'Returns (Calc)'!$A:$A)-3),"")</f>
        <v>47.8119496855346</v>
      </c>
      <c r="AF52" s="145" t="n">
        <f aca="false">IFERROR('Price History'!K3+(INDEX('Price History'!K:K,MATCH(9.99E+307,'Price History'!$A:$A))-'Price History'!K3)*(ROW()-3)/(MATCH(9.99E+307,'Returns (Calc)'!$A:$A)-3),"")</f>
        <v>30.2811320754717</v>
      </c>
      <c r="AG52" s="145" t="n">
        <f aca="false">IFERROR('Price History'!L3+(INDEX('Price History'!L:L,MATCH(9.99E+307,'Price History'!$A:$A))-'Price History'!L3)*(ROW()-3)/(MATCH(9.99E+307,'Returns (Calc)'!$A:$A)-3),"")</f>
        <v>77.3735849056604</v>
      </c>
      <c r="AH52" s="145" t="n">
        <f aca="false">IFERROR('Price History'!M3+(INDEX('Price History'!M:M,MATCH(9.99E+307,'Price History'!$A:$A))-'Price History'!M3)*(ROW()-3)/(MATCH(9.99E+307,'Returns (Calc)'!$A:$A)-3),"")</f>
        <v>10.6056603773585</v>
      </c>
      <c r="AI52" s="145" t="n">
        <f aca="false">IFERROR('Price History'!N3+(INDEX('Price History'!N:N,MATCH(9.99E+307,'Price History'!$A:$A))-'Price History'!N3)*(ROW()-3)/(MATCH(9.99E+307,'Returns (Calc)'!$A:$A)-3),"")</f>
        <v>15.0817610062893</v>
      </c>
      <c r="AJ52" s="145" t="n">
        <f aca="false">IFERROR('Price History'!O3+(INDEX('Price History'!O:O,MATCH(9.99E+307,'Price History'!$A:$A))-'Price History'!O3)*(ROW()-3)/(MATCH(9.99E+307,'Returns (Calc)'!$A:$A)-3),"")</f>
        <v>39.8698113207547</v>
      </c>
      <c r="AK52" s="145" t="n">
        <f aca="false">IFERROR('Price History'!Q3+(INDEX('Price History'!Q:Q,MATCH(9.99E+307,'Price History'!$A:$A))-'Price History'!Q3)*(ROW()-3)/(MATCH(9.99E+307,'Returns (Calc)'!$A:$A)-3),"")</f>
        <v>163.014465408805</v>
      </c>
      <c r="AL52" s="145" t="n">
        <f aca="false">IFERROR('Price History'!R3+(INDEX('Price History'!R:R,MATCH(9.99E+307,'Price History'!$A:$A))-'Price History'!R3)*(ROW()-3)/(MATCH(9.99E+307,'Returns (Calc)'!$A:$A)-3),"")</f>
        <v>33.0830188679245</v>
      </c>
      <c r="AM52" s="145" t="n">
        <f aca="false">IFERROR('Price History'!S3+(INDEX('Price History'!S:S,MATCH(9.99E+307,'Price History'!$A:$A))-'Price History'!S3)*(ROW()-3)/(MATCH(9.99E+307,'Returns (Calc)'!$A:$A)-3),"")</f>
        <v>40.4993710691824</v>
      </c>
      <c r="AN52" s="145" t="n">
        <f aca="false">IFERROR('Price History'!T3+(INDEX('Price History'!T:T,MATCH(9.99E+307,'Price History'!$A:$A))-'Price History'!T3)*(ROW()-3)/(MATCH(9.99E+307,'Returns (Calc)'!$A:$A)-3),"")</f>
        <v>18.6169811320755</v>
      </c>
      <c r="AO52" s="146" t="n">
        <f aca="false">IFERROR('Price History'!V3+(INDEX('Price History'!V:V,MATCH(9.99E+307,'Price History'!$A:$A))-'Price History'!V3)*(ROW()-3)/(MATCH(9.99E+307,'Returns (Calc)'!$A:$A)-3),"")</f>
        <v>0</v>
      </c>
    </row>
    <row r="53" customFormat="false" ht="15" hidden="false" customHeight="true" outlineLevel="0" collapsed="false">
      <c r="A53" s="142" t="n">
        <f aca="false">IF('Price History'!A54="","",'Price History'!A54)</f>
        <v>45541</v>
      </c>
      <c r="B53" s="143" t="n">
        <f aca="false">IFERROR(IF(OR(NOT(ISNUMBER('Price History'!B54)),NOT(ISNUMBER('Price History'!B53)),'Price History'!B53=0),"",'Price History'!B54/'Price History'!B53-1),"")</f>
        <v>-0.0191500844344632</v>
      </c>
      <c r="C53" s="143" t="n">
        <f aca="false">IFERROR(IF(OR(NOT(ISNUMBER('Price History'!C54)),NOT(ISNUMBER('Price History'!C53)),'Price History'!C53=0),"",'Price History'!C54/'Price History'!C53-1),"")</f>
        <v>-0.110582908885116</v>
      </c>
      <c r="D53" s="143" t="n">
        <f aca="false">IFERROR(IF(OR(NOT(ISNUMBER('Price History'!D54)),NOT(ISNUMBER('Price History'!D53)),'Price History'!D53=0),"",'Price History'!D54/'Price History'!D53-1),"")</f>
        <v>-0.167148497699585</v>
      </c>
      <c r="E53" s="143" t="n">
        <f aca="false">IFERROR(IF(OR(NOT(ISNUMBER('Price History'!E54)),NOT(ISNUMBER('Price History'!E53)),'Price History'!E53=0),"",'Price History'!E54/'Price History'!E53-1),"")</f>
        <v>-0.158538114343029</v>
      </c>
      <c r="F53" s="143" t="n">
        <f aca="false">IFERROR(IF(OR(NOT(ISNUMBER('Price History'!F54)),NOT(ISNUMBER('Price History'!F53)),'Price History'!F53=0),"",'Price History'!F54/'Price History'!F53-1),"")</f>
        <v>-0.0566648677819752</v>
      </c>
      <c r="G53" s="143" t="n">
        <f aca="false">IFERROR(IF(OR(NOT(ISNUMBER('Price History'!G54)),NOT(ISNUMBER('Price History'!G53)),'Price History'!G53=0),"",'Price History'!G54/'Price History'!G53-1),"")</f>
        <v>-0.11136757068667</v>
      </c>
      <c r="H53" s="143" t="n">
        <f aca="false">IFERROR(IF(OR(NOT(ISNUMBER('Price History'!H54)),NOT(ISNUMBER('Price History'!H53)),'Price History'!H53=0),"",'Price History'!H54/'Price History'!H53-1),"")</f>
        <v>-0.0213799805636541</v>
      </c>
      <c r="I53" s="143" t="n">
        <f aca="false">IFERROR(IF(OR(NOT(ISNUMBER('Price History'!I54)),NOT(ISNUMBER('Price History'!I53)),'Price History'!I53=0),"",'Price History'!I54/'Price History'!I53-1),"")</f>
        <v>-0.142343904856293</v>
      </c>
      <c r="J53" s="143" t="n">
        <f aca="false">IFERROR(IF(OR(NOT(ISNUMBER('Price History'!J54)),NOT(ISNUMBER('Price History'!J53)),'Price History'!J53=0),"",'Price History'!J54/'Price History'!J53-1),"")</f>
        <v>-0.102467586783772</v>
      </c>
      <c r="K53" s="143" t="n">
        <f aca="false">IFERROR(IF(OR(NOT(ISNUMBER('Price History'!K54)),NOT(ISNUMBER('Price History'!K53)),'Price History'!K53=0),"",'Price History'!K54/'Price History'!K53-1),"")</f>
        <v>-0.138524865591398</v>
      </c>
      <c r="L53" s="143" t="n">
        <f aca="false">IFERROR(IF(OR(NOT(ISNUMBER('Price History'!L54)),NOT(ISNUMBER('Price History'!L53)),'Price History'!L53=0),"",'Price History'!L54/'Price History'!L53-1),"")</f>
        <v>-0.00455043397657373</v>
      </c>
      <c r="M53" s="143" t="n">
        <f aca="false">IFERROR(IF(OR(NOT(ISNUMBER('Price History'!M54)),NOT(ISNUMBER('Price History'!M53)),'Price History'!M53=0),"",'Price History'!M54/'Price History'!M53-1),"")</f>
        <v>-0.0365311308767472</v>
      </c>
      <c r="N53" s="143" t="n">
        <f aca="false">IFERROR(IF(OR(NOT(ISNUMBER('Price History'!N54)),NOT(ISNUMBER('Price History'!N53)),'Price History'!N53=0),"",'Price History'!N54/'Price History'!N53-1),"")</f>
        <v>-0.0300115429011157</v>
      </c>
      <c r="O53" s="143" t="n">
        <f aca="false">IFERROR(IF(OR(NOT(ISNUMBER('Price History'!O54)),NOT(ISNUMBER('Price History'!O53)),'Price History'!O53=0),"",'Price History'!O54/'Price History'!O53-1),"")</f>
        <v>-0.0598086124401914</v>
      </c>
      <c r="P53" s="143" t="n">
        <f aca="false">IFERROR(IF(OR(NOT(ISNUMBER('Price History'!P54)),NOT(ISNUMBER('Price History'!P53)),'Price History'!P53=0),"",'Price History'!P54/'Price History'!P53-1),"")</f>
        <v>-0.0866726564839773</v>
      </c>
      <c r="Q53" s="143" t="n">
        <f aca="false">IFERROR(IF(OR(NOT(ISNUMBER('Price History'!Q54)),NOT(ISNUMBER('Price History'!Q53)),'Price History'!Q53=0),"",'Price History'!Q54/'Price History'!Q53-1),"")</f>
        <v>0.0108348330701145</v>
      </c>
      <c r="R53" s="143" t="n">
        <f aca="false">IFERROR(IF(OR(NOT(ISNUMBER('Price History'!R54)),NOT(ISNUMBER('Price History'!R53)),'Price History'!R53=0),"",'Price History'!R54/'Price History'!R53-1),"")</f>
        <v>-0.0343655589123867</v>
      </c>
      <c r="S53" s="143" t="n">
        <f aca="false">IFERROR(IF(OR(NOT(ISNUMBER('Price History'!S54)),NOT(ISNUMBER('Price History'!S53)),'Price History'!S53=0),"",'Price History'!S54/'Price History'!S53-1),"")</f>
        <v>-0.0297450424929178</v>
      </c>
      <c r="T53" s="143" t="n">
        <f aca="false">IFERROR(IF(OR(NOT(ISNUMBER('Price History'!T54)),NOT(ISNUMBER('Price History'!T53)),'Price History'!T53=0),"",'Price History'!T54/'Price History'!T53-1),"")</f>
        <v>-0.0286065825899723</v>
      </c>
      <c r="U53" s="143" t="str">
        <f aca="false">IFERROR(IF(OR(NOT(ISNUMBER('Price History'!U54)),NOT(ISNUMBER('Price History'!U53)),'Price History'!U53=0),"",'Price History'!U54/'Price History'!U53-1),"")</f>
        <v/>
      </c>
      <c r="V53" s="144" t="n">
        <f aca="false">IFERROR(IF(OR(NOT(ISNUMBER('Price History'!V54)),NOT(ISNUMBER('Price History'!V53)),'Price History'!V53=0),"",'Price History'!V54/'Price History'!V53-1),"")</f>
        <v>0.0274804970794622</v>
      </c>
      <c r="W53" s="145" t="str">
        <f aca="false">IFERROR('Price History'!B3+(INDEX('Price History'!B:B,MATCH(9.99E+307,'Price History'!$A:$A))-'Price History'!B3)*(ROW()-3)/(MATCH(9.99E+307,'Returns (Calc)'!$A:$A)-3),"")</f>
        <v/>
      </c>
      <c r="X53" s="145" t="n">
        <f aca="false">IFERROR('Price History'!C3+(INDEX('Price History'!C:C,MATCH(9.99E+307,'Price History'!$A:$A))-'Price History'!C3)*(ROW()-3)/(MATCH(9.99E+307,'Returns (Calc)'!$A:$A)-3),"")</f>
        <v>31.6579874213837</v>
      </c>
      <c r="Y53" s="145" t="n">
        <f aca="false">IFERROR('Price History'!D3+(INDEX('Price History'!D:D,MATCH(9.99E+307,'Price History'!$A:$A))-'Price History'!D3)*(ROW()-3)/(MATCH(9.99E+307,'Returns (Calc)'!$A:$A)-3),"")</f>
        <v>398.987987421384</v>
      </c>
      <c r="Z53" s="145" t="n">
        <f aca="false">IFERROR('Price History'!E3+(INDEX('Price History'!E:E,MATCH(9.99E+307,'Price History'!$A:$A))-'Price History'!E3)*(ROW()-3)/(MATCH(9.99E+307,'Returns (Calc)'!$A:$A)-3),"")</f>
        <v>56.2138364779874</v>
      </c>
      <c r="AA53" s="145" t="n">
        <f aca="false">IFERROR('Price History'!F3+(INDEX('Price History'!F:F,MATCH(9.99E+307,'Price History'!$A:$A))-'Price History'!F3)*(ROW()-3)/(MATCH(9.99E+307,'Returns (Calc)'!$A:$A)-3),"")</f>
        <v>51.6276100628931</v>
      </c>
      <c r="AB53" s="145" t="n">
        <f aca="false">IFERROR('Price History'!G3+(INDEX('Price History'!G:G,MATCH(9.99E+307,'Price History'!$A:$A))-'Price History'!G3)*(ROW()-3)/(MATCH(9.99E+307,'Returns (Calc)'!$A:$A)-3),"")</f>
        <v>28.3537106918239</v>
      </c>
      <c r="AC53" s="145" t="n">
        <f aca="false">IFERROR('Price History'!H3+(INDEX('Price History'!H:H,MATCH(9.99E+307,'Price History'!$A:$A))-'Price History'!H3)*(ROW()-3)/(MATCH(9.99E+307,'Returns (Calc)'!$A:$A)-3),"")</f>
        <v>68.9579245283019</v>
      </c>
      <c r="AD53" s="145" t="n">
        <f aca="false">IFERROR('Price History'!I3+(INDEX('Price History'!I:I,MATCH(9.99E+307,'Price History'!$A:$A))-'Price History'!I3)*(ROW()-3)/(MATCH(9.99E+307,'Returns (Calc)'!$A:$A)-3),"")</f>
        <v>30.4034591194969</v>
      </c>
      <c r="AE53" s="145" t="n">
        <f aca="false">IFERROR('Price History'!J3+(INDEX('Price History'!J:J,MATCH(9.99E+307,'Price History'!$A:$A))-'Price History'!J3)*(ROW()-3)/(MATCH(9.99E+307,'Returns (Calc)'!$A:$A)-3),"")</f>
        <v>47.3772955974843</v>
      </c>
      <c r="AF53" s="145" t="n">
        <f aca="false">IFERROR('Price History'!K3+(INDEX('Price History'!K:K,MATCH(9.99E+307,'Price History'!$A:$A))-'Price History'!K3)*(ROW()-3)/(MATCH(9.99E+307,'Returns (Calc)'!$A:$A)-3),"")</f>
        <v>30.0058490566038</v>
      </c>
      <c r="AG53" s="145" t="n">
        <f aca="false">IFERROR('Price History'!L3+(INDEX('Price History'!L:L,MATCH(9.99E+307,'Price History'!$A:$A))-'Price History'!L3)*(ROW()-3)/(MATCH(9.99E+307,'Returns (Calc)'!$A:$A)-3),"")</f>
        <v>76.6701886792453</v>
      </c>
      <c r="AH53" s="145" t="n">
        <f aca="false">IFERROR('Price History'!M3+(INDEX('Price History'!M:M,MATCH(9.99E+307,'Price History'!$A:$A))-'Price History'!M3)*(ROW()-3)/(MATCH(9.99E+307,'Returns (Calc)'!$A:$A)-3),"")</f>
        <v>10.5092452830189</v>
      </c>
      <c r="AI53" s="145" t="n">
        <f aca="false">IFERROR('Price History'!N3+(INDEX('Price History'!N:N,MATCH(9.99E+307,'Price History'!$A:$A))-'Price History'!N3)*(ROW()-3)/(MATCH(9.99E+307,'Returns (Calc)'!$A:$A)-3),"")</f>
        <v>14.9446540880503</v>
      </c>
      <c r="AJ53" s="145" t="n">
        <f aca="false">IFERROR('Price History'!O3+(INDEX('Price History'!O:O,MATCH(9.99E+307,'Price History'!$A:$A))-'Price History'!O3)*(ROW()-3)/(MATCH(9.99E+307,'Returns (Calc)'!$A:$A)-3),"")</f>
        <v>39.507358490566</v>
      </c>
      <c r="AK53" s="145" t="n">
        <f aca="false">IFERROR('Price History'!Q3+(INDEX('Price History'!Q:Q,MATCH(9.99E+307,'Price History'!$A:$A))-'Price History'!Q3)*(ROW()-3)/(MATCH(9.99E+307,'Returns (Calc)'!$A:$A)-3),"")</f>
        <v>161.53251572327</v>
      </c>
      <c r="AL53" s="145" t="n">
        <f aca="false">IFERROR('Price History'!R3+(INDEX('Price History'!R:R,MATCH(9.99E+307,'Price History'!$A:$A))-'Price History'!R3)*(ROW()-3)/(MATCH(9.99E+307,'Returns (Calc)'!$A:$A)-3),"")</f>
        <v>32.7822641509434</v>
      </c>
      <c r="AM53" s="145" t="n">
        <f aca="false">IFERROR('Price History'!S3+(INDEX('Price History'!S:S,MATCH(9.99E+307,'Price History'!$A:$A))-'Price History'!S3)*(ROW()-3)/(MATCH(9.99E+307,'Returns (Calc)'!$A:$A)-3),"")</f>
        <v>40.1311949685535</v>
      </c>
      <c r="AN53" s="145" t="n">
        <f aca="false">IFERROR('Price History'!T3+(INDEX('Price History'!T:T,MATCH(9.99E+307,'Price History'!$A:$A))-'Price History'!T3)*(ROW()-3)/(MATCH(9.99E+307,'Returns (Calc)'!$A:$A)-3),"")</f>
        <v>18.4477358490566</v>
      </c>
      <c r="AO53" s="146" t="n">
        <f aca="false">IFERROR('Price History'!V3+(INDEX('Price History'!V:V,MATCH(9.99E+307,'Price History'!$A:$A))-'Price History'!V3)*(ROW()-3)/(MATCH(9.99E+307,'Returns (Calc)'!$A:$A)-3),"")</f>
        <v>0</v>
      </c>
    </row>
    <row r="54" customFormat="false" ht="15" hidden="false" customHeight="true" outlineLevel="0" collapsed="false">
      <c r="A54" s="142" t="n">
        <f aca="false">IF('Price History'!A55="","",'Price History'!A55)</f>
        <v>45548</v>
      </c>
      <c r="B54" s="143" t="n">
        <f aca="false">IFERROR(IF(OR(NOT(ISNUMBER('Price History'!B55)),NOT(ISNUMBER('Price History'!B54)),'Price History'!B54=0),"",'Price History'!B55/'Price History'!B54-1),"")</f>
        <v>-0.0471060151577004</v>
      </c>
      <c r="C54" s="143" t="n">
        <f aca="false">IFERROR(IF(OR(NOT(ISNUMBER('Price History'!C55)),NOT(ISNUMBER('Price History'!C54)),'Price History'!C54=0),"",'Price History'!C55/'Price History'!C54-1),"")</f>
        <v>0.14456604734029</v>
      </c>
      <c r="D54" s="143" t="n">
        <f aca="false">IFERROR(IF(OR(NOT(ISNUMBER('Price History'!D55)),NOT(ISNUMBER('Price History'!D54)),'Price History'!D54=0),"",'Price History'!D55/'Price History'!D54-1),"")</f>
        <v>0.0844431238012913</v>
      </c>
      <c r="E54" s="143" t="n">
        <f aca="false">IFERROR(IF(OR(NOT(ISNUMBER('Price History'!E55)),NOT(ISNUMBER('Price History'!E54)),'Price History'!E54=0),"",'Price History'!E55/'Price History'!E54-1),"")</f>
        <v>0.224018475750578</v>
      </c>
      <c r="F54" s="143" t="n">
        <f aca="false">IFERROR(IF(OR(NOT(ISNUMBER('Price History'!F55)),NOT(ISNUMBER('Price History'!F54)),'Price History'!F54=0),"",'Price History'!F55/'Price History'!F54-1),"")</f>
        <v>0.0288329519450801</v>
      </c>
      <c r="G54" s="143" t="n">
        <f aca="false">IFERROR(IF(OR(NOT(ISNUMBER('Price History'!G55)),NOT(ISNUMBER('Price History'!G54)),'Price History'!G54=0),"",'Price History'!G55/'Price History'!G54-1),"")</f>
        <v>0.0516233766233767</v>
      </c>
      <c r="H54" s="143" t="n">
        <f aca="false">IFERROR(IF(OR(NOT(ISNUMBER('Price History'!H55)),NOT(ISNUMBER('Price History'!H54)),'Price History'!H54=0),"",'Price History'!H55/'Price History'!H54-1),"")</f>
        <v>0.0185369083085072</v>
      </c>
      <c r="I54" s="143" t="n">
        <f aca="false">IFERROR(IF(OR(NOT(ISNUMBER('Price History'!I55)),NOT(ISNUMBER('Price History'!I54)),'Price History'!I54=0),"",'Price History'!I55/'Price History'!I54-1),"")</f>
        <v>0.0693341037122635</v>
      </c>
      <c r="J54" s="143" t="n">
        <f aca="false">IFERROR(IF(OR(NOT(ISNUMBER('Price History'!J55)),NOT(ISNUMBER('Price History'!J54)),'Price History'!J54=0),"",'Price History'!J55/'Price History'!J54-1),"")</f>
        <v>0.0560344827586208</v>
      </c>
      <c r="K54" s="143" t="n">
        <f aca="false">IFERROR(IF(OR(NOT(ISNUMBER('Price History'!K55)),NOT(ISNUMBER('Price History'!K54)),'Price History'!K54=0),"",'Price History'!K55/'Price History'!K54-1),"")</f>
        <v>0.158264261335934</v>
      </c>
      <c r="L54" s="143" t="n">
        <f aca="false">IFERROR(IF(OR(NOT(ISNUMBER('Price History'!L55)),NOT(ISNUMBER('Price History'!L54)),'Price History'!L54=0),"",'Price History'!L55/'Price History'!L54-1),"")</f>
        <v>0.0215863878777618</v>
      </c>
      <c r="M54" s="143" t="n">
        <f aca="false">IFERROR(IF(OR(NOT(ISNUMBER('Price History'!M55)),NOT(ISNUMBER('Price History'!M54)),'Price History'!M54=0),"",'Price History'!M55/'Price History'!M54-1),"")</f>
        <v>0.173425651170458</v>
      </c>
      <c r="N54" s="143" t="n">
        <f aca="false">IFERROR(IF(OR(NOT(ISNUMBER('Price History'!N55)),NOT(ISNUMBER('Price History'!N54)),'Price History'!N54=0),"",'Price History'!N55/'Price History'!N54-1),"")</f>
        <v>0.0166600555335183</v>
      </c>
      <c r="O54" s="143" t="n">
        <f aca="false">IFERROR(IF(OR(NOT(ISNUMBER('Price History'!O55)),NOT(ISNUMBER('Price History'!O54)),'Price History'!O54=0),"",'Price History'!O55/'Price History'!O54-1),"")</f>
        <v>0.0615533745304737</v>
      </c>
      <c r="P54" s="143" t="n">
        <f aca="false">IFERROR(IF(OR(NOT(ISNUMBER('Price History'!P55)),NOT(ISNUMBER('Price History'!P54)),'Price History'!P54=0),"",'Price History'!P55/'Price History'!P54-1),"")</f>
        <v>0.104013641133264</v>
      </c>
      <c r="Q54" s="143" t="n">
        <f aca="false">IFERROR(IF(OR(NOT(ISNUMBER('Price History'!Q55)),NOT(ISNUMBER('Price History'!Q54)),'Price History'!Q54=0),"",'Price History'!Q55/'Price History'!Q54-1),"")</f>
        <v>0.028558971005014</v>
      </c>
      <c r="R54" s="143" t="n">
        <f aca="false">IFERROR(IF(OR(NOT(ISNUMBER('Price History'!R55)),NOT(ISNUMBER('Price History'!R54)),'Price History'!R54=0),"",'Price History'!R55/'Price History'!R54-1),"")</f>
        <v>0.00293312475557284</v>
      </c>
      <c r="S54" s="143" t="n">
        <f aca="false">IFERROR(IF(OR(NOT(ISNUMBER('Price History'!S55)),NOT(ISNUMBER('Price History'!S54)),'Price History'!S54=0),"",'Price History'!S55/'Price History'!S54-1),"")</f>
        <v>0.0172749391727494</v>
      </c>
      <c r="T54" s="143" t="n">
        <f aca="false">IFERROR(IF(OR(NOT(ISNUMBER('Price History'!T55)),NOT(ISNUMBER('Price History'!T54)),'Price History'!T54=0),"",'Price History'!T55/'Price History'!T54-1),"")</f>
        <v>-0.00158328055731471</v>
      </c>
      <c r="U54" s="143" t="str">
        <f aca="false">IFERROR(IF(OR(NOT(ISNUMBER('Price History'!U55)),NOT(ISNUMBER('Price History'!U54)),'Price History'!U54=0),"",'Price History'!U55/'Price History'!U54-1),"")</f>
        <v/>
      </c>
      <c r="V54" s="144" t="n">
        <f aca="false">IFERROR(IF(OR(NOT(ISNUMBER('Price History'!V55)),NOT(ISNUMBER('Price History'!V54)),'Price History'!V54=0),"",'Price History'!V55/'Price History'!V54-1),"")</f>
        <v>-0.0236550934757727</v>
      </c>
      <c r="W54" s="145" t="str">
        <f aca="false">IFERROR('Price History'!B3+(INDEX('Price History'!B:B,MATCH(9.99E+307,'Price History'!$A:$A))-'Price History'!B3)*(ROW()-3)/(MATCH(9.99E+307,'Returns (Calc)'!$A:$A)-3),"")</f>
        <v/>
      </c>
      <c r="X54" s="145" t="n">
        <f aca="false">IFERROR('Price History'!C3+(INDEX('Price History'!C:C,MATCH(9.99E+307,'Price History'!$A:$A))-'Price History'!C3)*(ROW()-3)/(MATCH(9.99E+307,'Returns (Calc)'!$A:$A)-3),"")</f>
        <v>31.3675471698113</v>
      </c>
      <c r="Y54" s="145" t="n">
        <f aca="false">IFERROR('Price History'!D3+(INDEX('Price History'!D:D,MATCH(9.99E+307,'Price History'!$A:$A))-'Price History'!D3)*(ROW()-3)/(MATCH(9.99E+307,'Returns (Calc)'!$A:$A)-3),"")</f>
        <v>395.327547169811</v>
      </c>
      <c r="Z54" s="145" t="n">
        <f aca="false">IFERROR('Price History'!E3+(INDEX('Price History'!E:E,MATCH(9.99E+307,'Price History'!$A:$A))-'Price History'!E3)*(ROW()-3)/(MATCH(9.99E+307,'Returns (Calc)'!$A:$A)-3),"")</f>
        <v>55.6981132075472</v>
      </c>
      <c r="AA54" s="145" t="n">
        <f aca="false">IFERROR('Price History'!F3+(INDEX('Price History'!F:F,MATCH(9.99E+307,'Price History'!$A:$A))-'Price History'!F3)*(ROW()-3)/(MATCH(9.99E+307,'Returns (Calc)'!$A:$A)-3),"")</f>
        <v>51.153962264151</v>
      </c>
      <c r="AB54" s="145" t="n">
        <f aca="false">IFERROR('Price History'!G3+(INDEX('Price History'!G:G,MATCH(9.99E+307,'Price History'!$A:$A))-'Price History'!G3)*(ROW()-3)/(MATCH(9.99E+307,'Returns (Calc)'!$A:$A)-3),"")</f>
        <v>28.0935849056604</v>
      </c>
      <c r="AC54" s="145" t="n">
        <f aca="false">IFERROR('Price History'!H3+(INDEX('Price History'!H:H,MATCH(9.99E+307,'Price History'!$A:$A))-'Price History'!H3)*(ROW()-3)/(MATCH(9.99E+307,'Returns (Calc)'!$A:$A)-3),"")</f>
        <v>68.3252830188679</v>
      </c>
      <c r="AD54" s="145" t="n">
        <f aca="false">IFERROR('Price History'!I3+(INDEX('Price History'!I:I,MATCH(9.99E+307,'Price History'!$A:$A))-'Price History'!I3)*(ROW()-3)/(MATCH(9.99E+307,'Returns (Calc)'!$A:$A)-3),"")</f>
        <v>30.1245283018868</v>
      </c>
      <c r="AE54" s="145" t="n">
        <f aca="false">IFERROR('Price History'!J3+(INDEX('Price History'!J:J,MATCH(9.99E+307,'Price History'!$A:$A))-'Price History'!J3)*(ROW()-3)/(MATCH(9.99E+307,'Returns (Calc)'!$A:$A)-3),"")</f>
        <v>46.942641509434</v>
      </c>
      <c r="AF54" s="145" t="n">
        <f aca="false">IFERROR('Price History'!K3+(INDEX('Price History'!K:K,MATCH(9.99E+307,'Price History'!$A:$A))-'Price History'!K3)*(ROW()-3)/(MATCH(9.99E+307,'Returns (Calc)'!$A:$A)-3),"")</f>
        <v>29.7305660377359</v>
      </c>
      <c r="AG54" s="145" t="n">
        <f aca="false">IFERROR('Price History'!L3+(INDEX('Price History'!L:L,MATCH(9.99E+307,'Price History'!$A:$A))-'Price History'!L3)*(ROW()-3)/(MATCH(9.99E+307,'Returns (Calc)'!$A:$A)-3),"")</f>
        <v>75.9667924528302</v>
      </c>
      <c r="AH54" s="145" t="n">
        <f aca="false">IFERROR('Price History'!M3+(INDEX('Price History'!M:M,MATCH(9.99E+307,'Price History'!$A:$A))-'Price History'!M3)*(ROW()-3)/(MATCH(9.99E+307,'Returns (Calc)'!$A:$A)-3),"")</f>
        <v>10.4128301886792</v>
      </c>
      <c r="AI54" s="145" t="n">
        <f aca="false">IFERROR('Price History'!N3+(INDEX('Price History'!N:N,MATCH(9.99E+307,'Price History'!$A:$A))-'Price History'!N3)*(ROW()-3)/(MATCH(9.99E+307,'Returns (Calc)'!$A:$A)-3),"")</f>
        <v>14.8075471698113</v>
      </c>
      <c r="AJ54" s="145" t="n">
        <f aca="false">IFERROR('Price History'!O3+(INDEX('Price History'!O:O,MATCH(9.99E+307,'Price History'!$A:$A))-'Price History'!O3)*(ROW()-3)/(MATCH(9.99E+307,'Returns (Calc)'!$A:$A)-3),"")</f>
        <v>39.1449056603774</v>
      </c>
      <c r="AK54" s="145" t="n">
        <f aca="false">IFERROR('Price History'!Q3+(INDEX('Price History'!Q:Q,MATCH(9.99E+307,'Price History'!$A:$A))-'Price History'!Q3)*(ROW()-3)/(MATCH(9.99E+307,'Returns (Calc)'!$A:$A)-3),"")</f>
        <v>160.050566037736</v>
      </c>
      <c r="AL54" s="145" t="n">
        <f aca="false">IFERROR('Price History'!R3+(INDEX('Price History'!R:R,MATCH(9.99E+307,'Price History'!$A:$A))-'Price History'!R3)*(ROW()-3)/(MATCH(9.99E+307,'Returns (Calc)'!$A:$A)-3),"")</f>
        <v>32.4815094339623</v>
      </c>
      <c r="AM54" s="145" t="n">
        <f aca="false">IFERROR('Price History'!S3+(INDEX('Price History'!S:S,MATCH(9.99E+307,'Price History'!$A:$A))-'Price History'!S3)*(ROW()-3)/(MATCH(9.99E+307,'Returns (Calc)'!$A:$A)-3),"")</f>
        <v>39.7630188679245</v>
      </c>
      <c r="AN54" s="145" t="n">
        <f aca="false">IFERROR('Price History'!T3+(INDEX('Price History'!T:T,MATCH(9.99E+307,'Price History'!$A:$A))-'Price History'!T3)*(ROW()-3)/(MATCH(9.99E+307,'Returns (Calc)'!$A:$A)-3),"")</f>
        <v>18.2784905660377</v>
      </c>
      <c r="AO54" s="146" t="n">
        <f aca="false">IFERROR('Price History'!V3+(INDEX('Price History'!V:V,MATCH(9.99E+307,'Price History'!$A:$A))-'Price History'!V3)*(ROW()-3)/(MATCH(9.99E+307,'Returns (Calc)'!$A:$A)-3),"")</f>
        <v>0</v>
      </c>
    </row>
    <row r="55" customFormat="false" ht="15" hidden="false" customHeight="true" outlineLevel="0" collapsed="false">
      <c r="A55" s="142" t="n">
        <f aca="false">IF('Price History'!A56="","",'Price History'!A56)</f>
        <v>45555</v>
      </c>
      <c r="B55" s="143" t="n">
        <f aca="false">IFERROR(IF(OR(NOT(ISNUMBER('Price History'!B56)),NOT(ISNUMBER('Price History'!B55)),'Price History'!B55=0),"",'Price History'!B56/'Price History'!B55-1),"")</f>
        <v>-0.0271387859258294</v>
      </c>
      <c r="C55" s="143" t="n">
        <f aca="false">IFERROR(IF(OR(NOT(ISNUMBER('Price History'!C56)),NOT(ISNUMBER('Price History'!C55)),'Price History'!C55=0),"",'Price History'!C56/'Price History'!C55-1),"")</f>
        <v>0.0686012897487214</v>
      </c>
      <c r="D55" s="143" t="n">
        <f aca="false">IFERROR(IF(OR(NOT(ISNUMBER('Price History'!D56)),NOT(ISNUMBER('Price History'!D55)),'Price History'!D55=0),"",'Price History'!D56/'Price History'!D55-1),"")</f>
        <v>-0.0258189064640678</v>
      </c>
      <c r="E55" s="143" t="n">
        <f aca="false">IFERROR(IF(OR(NOT(ISNUMBER('Price History'!E56)),NOT(ISNUMBER('Price History'!E55)),'Price History'!E55=0),"",'Price History'!E56/'Price History'!E55-1),"")</f>
        <v>0.0236762020693853</v>
      </c>
      <c r="F55" s="143" t="n">
        <f aca="false">IFERROR(IF(OR(NOT(ISNUMBER('Price History'!F56)),NOT(ISNUMBER('Price History'!F55)),'Price History'!F55=0),"",'Price History'!F56/'Price History'!F55-1),"")</f>
        <v>0.0302491103202847</v>
      </c>
      <c r="G55" s="143" t="n">
        <f aca="false">IFERROR(IF(OR(NOT(ISNUMBER('Price History'!G56)),NOT(ISNUMBER('Price History'!G55)),'Price History'!G55=0),"",'Price History'!G56/'Price History'!G55-1),"")</f>
        <v>0.157147267675208</v>
      </c>
      <c r="H55" s="143" t="n">
        <f aca="false">IFERROR(IF(OR(NOT(ISNUMBER('Price History'!H56)),NOT(ISNUMBER('Price History'!H55)),'Price History'!H55=0),"",'Price History'!H56/'Price History'!H55-1),"")</f>
        <v>0.0121059473513161</v>
      </c>
      <c r="I55" s="143" t="n">
        <f aca="false">IFERROR(IF(OR(NOT(ISNUMBER('Price History'!I56)),NOT(ISNUMBER('Price History'!I55)),'Price History'!I55=0),"",'Price History'!I56/'Price History'!I55-1),"")</f>
        <v>0.00986086721599366</v>
      </c>
      <c r="J55" s="143" t="n">
        <f aca="false">IFERROR(IF(OR(NOT(ISNUMBER('Price History'!J56)),NOT(ISNUMBER('Price History'!J55)),'Price History'!J55=0),"",'Price History'!J56/'Price History'!J55-1),"")</f>
        <v>-0.00353006067291795</v>
      </c>
      <c r="K55" s="143" t="n">
        <f aca="false">IFERROR(IF(OR(NOT(ISNUMBER('Price History'!K56)),NOT(ISNUMBER('Price History'!K55)),'Price History'!K55=0),"",'Price History'!K56/'Price History'!K55-1),"")</f>
        <v>-0.0260144805522815</v>
      </c>
      <c r="L55" s="143" t="n">
        <f aca="false">IFERROR(IF(OR(NOT(ISNUMBER('Price History'!L56)),NOT(ISNUMBER('Price History'!L55)),'Price History'!L55=0),"",'Price History'!L56/'Price History'!L55-1),"")</f>
        <v>-0.0275107722903547</v>
      </c>
      <c r="M55" s="143" t="n">
        <f aca="false">IFERROR(IF(OR(NOT(ISNUMBER('Price History'!M56)),NOT(ISNUMBER('Price History'!M55)),'Price History'!M55=0),"",'Price History'!M56/'Price History'!M55-1),"")</f>
        <v>0.0452374262433268</v>
      </c>
      <c r="N55" s="143" t="n">
        <f aca="false">IFERROR(IF(OR(NOT(ISNUMBER('Price History'!N56)),NOT(ISNUMBER('Price History'!N55)),'Price History'!N55=0),"",'Price History'!N56/'Price History'!N55-1),"")</f>
        <v>0.0132657042528288</v>
      </c>
      <c r="O55" s="143" t="n">
        <f aca="false">IFERROR(IF(OR(NOT(ISNUMBER('Price History'!O56)),NOT(ISNUMBER('Price History'!O55)),'Price History'!O55=0),"",'Price History'!O56/'Price History'!O55-1),"")</f>
        <v>0.0162081954114828</v>
      </c>
      <c r="P55" s="143" t="n">
        <f aca="false">IFERROR(IF(OR(NOT(ISNUMBER('Price History'!P56)),NOT(ISNUMBER('Price History'!P55)),'Price History'!P55=0),"",'Price History'!P56/'Price History'!P55-1),"")</f>
        <v>0.00920755613639046</v>
      </c>
      <c r="Q55" s="143" t="n">
        <f aca="false">IFERROR(IF(OR(NOT(ISNUMBER('Price History'!Q56)),NOT(ISNUMBER('Price History'!Q55)),'Price History'!Q55=0),"",'Price History'!Q56/'Price History'!Q55-1),"")</f>
        <v>-0.00897272855729814</v>
      </c>
      <c r="R55" s="143" t="n">
        <f aca="false">IFERROR(IF(OR(NOT(ISNUMBER('Price History'!R56)),NOT(ISNUMBER('Price History'!R55)),'Price History'!R55=0),"",'Price History'!R56/'Price History'!R55-1),"")</f>
        <v>0.0421134724117762</v>
      </c>
      <c r="S55" s="143" t="n">
        <f aca="false">IFERROR(IF(OR(NOT(ISNUMBER('Price History'!S56)),NOT(ISNUMBER('Price History'!S55)),'Price History'!S55=0),"",'Price History'!S56/'Price History'!S55-1),"")</f>
        <v>0.0570437694331498</v>
      </c>
      <c r="T55" s="143" t="n">
        <f aca="false">IFERROR(IF(OR(NOT(ISNUMBER('Price History'!T56)),NOT(ISNUMBER('Price History'!T55)),'Price History'!T55=0),"",'Price History'!T56/'Price History'!T55-1),"")</f>
        <v>0.0161750713606088</v>
      </c>
      <c r="U55" s="143" t="str">
        <f aca="false">IFERROR(IF(OR(NOT(ISNUMBER('Price History'!U56)),NOT(ISNUMBER('Price History'!U55)),'Price History'!U55=0),"",'Price History'!U56/'Price History'!U55-1),"")</f>
        <v/>
      </c>
      <c r="V55" s="144" t="n">
        <f aca="false">IFERROR(IF(OR(NOT(ISNUMBER('Price History'!V56)),NOT(ISNUMBER('Price History'!V55)),'Price History'!V55=0),"",'Price History'!V56/'Price History'!V55-1),"")</f>
        <v>0.0293474013286441</v>
      </c>
      <c r="W55" s="145" t="str">
        <f aca="false">IFERROR('Price History'!B3+(INDEX('Price History'!B:B,MATCH(9.99E+307,'Price History'!$A:$A))-'Price History'!B3)*(ROW()-3)/(MATCH(9.99E+307,'Returns (Calc)'!$A:$A)-3),"")</f>
        <v/>
      </c>
      <c r="X55" s="145" t="n">
        <f aca="false">IFERROR('Price History'!C3+(INDEX('Price History'!C:C,MATCH(9.99E+307,'Price History'!$A:$A))-'Price History'!C3)*(ROW()-3)/(MATCH(9.99E+307,'Returns (Calc)'!$A:$A)-3),"")</f>
        <v>31.077106918239</v>
      </c>
      <c r="Y55" s="145" t="n">
        <f aca="false">IFERROR('Price History'!D3+(INDEX('Price History'!D:D,MATCH(9.99E+307,'Price History'!$A:$A))-'Price History'!D3)*(ROW()-3)/(MATCH(9.99E+307,'Returns (Calc)'!$A:$A)-3),"")</f>
        <v>391.667106918239</v>
      </c>
      <c r="Z55" s="145" t="n">
        <f aca="false">IFERROR('Price History'!E3+(INDEX('Price History'!E:E,MATCH(9.99E+307,'Price History'!$A:$A))-'Price History'!E3)*(ROW()-3)/(MATCH(9.99E+307,'Returns (Calc)'!$A:$A)-3),"")</f>
        <v>55.1823899371069</v>
      </c>
      <c r="AA55" s="145" t="n">
        <f aca="false">IFERROR('Price History'!F3+(INDEX('Price History'!F:F,MATCH(9.99E+307,'Price History'!$A:$A))-'Price History'!F3)*(ROW()-3)/(MATCH(9.99E+307,'Returns (Calc)'!$A:$A)-3),"")</f>
        <v>50.6803144654088</v>
      </c>
      <c r="AB55" s="145" t="n">
        <f aca="false">IFERROR('Price History'!G3+(INDEX('Price History'!G:G,MATCH(9.99E+307,'Price History'!$A:$A))-'Price History'!G3)*(ROW()-3)/(MATCH(9.99E+307,'Returns (Calc)'!$A:$A)-3),"")</f>
        <v>27.8334591194969</v>
      </c>
      <c r="AC55" s="145" t="n">
        <f aca="false">IFERROR('Price History'!H3+(INDEX('Price History'!H:H,MATCH(9.99E+307,'Price History'!$A:$A))-'Price History'!H3)*(ROW()-3)/(MATCH(9.99E+307,'Returns (Calc)'!$A:$A)-3),"")</f>
        <v>67.692641509434</v>
      </c>
      <c r="AD55" s="145" t="n">
        <f aca="false">IFERROR('Price History'!I3+(INDEX('Price History'!I:I,MATCH(9.99E+307,'Price History'!$A:$A))-'Price History'!I3)*(ROW()-3)/(MATCH(9.99E+307,'Returns (Calc)'!$A:$A)-3),"")</f>
        <v>29.8455974842767</v>
      </c>
      <c r="AE55" s="145" t="n">
        <f aca="false">IFERROR('Price History'!J3+(INDEX('Price History'!J:J,MATCH(9.99E+307,'Price History'!$A:$A))-'Price History'!J3)*(ROW()-3)/(MATCH(9.99E+307,'Returns (Calc)'!$A:$A)-3),"")</f>
        <v>46.5079874213836</v>
      </c>
      <c r="AF55" s="145" t="n">
        <f aca="false">IFERROR('Price History'!K3+(INDEX('Price History'!K:K,MATCH(9.99E+307,'Price History'!$A:$A))-'Price History'!K3)*(ROW()-3)/(MATCH(9.99E+307,'Returns (Calc)'!$A:$A)-3),"")</f>
        <v>29.4552830188679</v>
      </c>
      <c r="AG55" s="145" t="n">
        <f aca="false">IFERROR('Price History'!L3+(INDEX('Price History'!L:L,MATCH(9.99E+307,'Price History'!$A:$A))-'Price History'!L3)*(ROW()-3)/(MATCH(9.99E+307,'Returns (Calc)'!$A:$A)-3),"")</f>
        <v>75.2633962264151</v>
      </c>
      <c r="AH55" s="145" t="n">
        <f aca="false">IFERROR('Price History'!M3+(INDEX('Price History'!M:M,MATCH(9.99E+307,'Price History'!$A:$A))-'Price History'!M3)*(ROW()-3)/(MATCH(9.99E+307,'Returns (Calc)'!$A:$A)-3),"")</f>
        <v>10.3164150943396</v>
      </c>
      <c r="AI55" s="145" t="n">
        <f aca="false">IFERROR('Price History'!N3+(INDEX('Price History'!N:N,MATCH(9.99E+307,'Price History'!$A:$A))-'Price History'!N3)*(ROW()-3)/(MATCH(9.99E+307,'Returns (Calc)'!$A:$A)-3),"")</f>
        <v>14.6704402515723</v>
      </c>
      <c r="AJ55" s="145" t="n">
        <f aca="false">IFERROR('Price History'!O3+(INDEX('Price History'!O:O,MATCH(9.99E+307,'Price History'!$A:$A))-'Price History'!O3)*(ROW()-3)/(MATCH(9.99E+307,'Returns (Calc)'!$A:$A)-3),"")</f>
        <v>38.7824528301887</v>
      </c>
      <c r="AK55" s="145" t="n">
        <f aca="false">IFERROR('Price History'!Q3+(INDEX('Price History'!Q:Q,MATCH(9.99E+307,'Price History'!$A:$A))-'Price History'!Q3)*(ROW()-3)/(MATCH(9.99E+307,'Returns (Calc)'!$A:$A)-3),"")</f>
        <v>158.568616352201</v>
      </c>
      <c r="AL55" s="145" t="n">
        <f aca="false">IFERROR('Price History'!R3+(INDEX('Price History'!R:R,MATCH(9.99E+307,'Price History'!$A:$A))-'Price History'!R3)*(ROW()-3)/(MATCH(9.99E+307,'Returns (Calc)'!$A:$A)-3),"")</f>
        <v>32.1807547169811</v>
      </c>
      <c r="AM55" s="145" t="n">
        <f aca="false">IFERROR('Price History'!S3+(INDEX('Price History'!S:S,MATCH(9.99E+307,'Price History'!$A:$A))-'Price History'!S3)*(ROW()-3)/(MATCH(9.99E+307,'Returns (Calc)'!$A:$A)-3),"")</f>
        <v>39.3948427672956</v>
      </c>
      <c r="AN55" s="145" t="n">
        <f aca="false">IFERROR('Price History'!T3+(INDEX('Price History'!T:T,MATCH(9.99E+307,'Price History'!$A:$A))-'Price History'!T3)*(ROW()-3)/(MATCH(9.99E+307,'Returns (Calc)'!$A:$A)-3),"")</f>
        <v>18.1092452830189</v>
      </c>
      <c r="AO55" s="146" t="n">
        <f aca="false">IFERROR('Price History'!V3+(INDEX('Price History'!V:V,MATCH(9.99E+307,'Price History'!$A:$A))-'Price History'!V3)*(ROW()-3)/(MATCH(9.99E+307,'Returns (Calc)'!$A:$A)-3),"")</f>
        <v>0</v>
      </c>
    </row>
    <row r="56" customFormat="false" ht="15" hidden="false" customHeight="true" outlineLevel="0" collapsed="false">
      <c r="A56" s="142" t="n">
        <f aca="false">IF('Price History'!A57="","",'Price History'!A57)</f>
        <v>45562</v>
      </c>
      <c r="B56" s="143" t="n">
        <f aca="false">IFERROR(IF(OR(NOT(ISNUMBER('Price History'!B57)),NOT(ISNUMBER('Price History'!B56)),'Price History'!B56=0),"",'Price History'!B57/'Price History'!B56-1),"")</f>
        <v>-0.0130576297147232</v>
      </c>
      <c r="C56" s="143" t="n">
        <f aca="false">IFERROR(IF(OR(NOT(ISNUMBER('Price History'!C57)),NOT(ISNUMBER('Price History'!C56)),'Price History'!C56=0),"",'Price History'!C57/'Price History'!C56-1),"")</f>
        <v>-0.0108209343460619</v>
      </c>
      <c r="D56" s="143" t="n">
        <f aca="false">IFERROR(IF(OR(NOT(ISNUMBER('Price History'!D57)),NOT(ISNUMBER('Price History'!D56)),'Price History'!D56=0),"",'Price History'!D57/'Price History'!D56-1),"")</f>
        <v>0.0581714972448444</v>
      </c>
      <c r="E56" s="143" t="n">
        <f aca="false">IFERROR(IF(OR(NOT(ISNUMBER('Price History'!E57)),NOT(ISNUMBER('Price History'!E56)),'Price History'!E56=0),"",'Price History'!E57/'Price History'!E56-1),"")</f>
        <v>0.00927522444854034</v>
      </c>
      <c r="F56" s="143" t="n">
        <f aca="false">IFERROR(IF(OR(NOT(ISNUMBER('Price History'!F57)),NOT(ISNUMBER('Price History'!F56)),'Price History'!F56=0),"",'Price History'!F57/'Price History'!F56-1),"")</f>
        <v>0.000431778929188331</v>
      </c>
      <c r="G56" s="143" t="n">
        <f aca="false">IFERROR(IF(OR(NOT(ISNUMBER('Price History'!G57)),NOT(ISNUMBER('Price History'!G56)),'Price History'!G56=0),"",'Price History'!G57/'Price History'!G56-1),"")</f>
        <v>-0.0466915688367129</v>
      </c>
      <c r="H56" s="143" t="n">
        <f aca="false">IFERROR(IF(OR(NOT(ISNUMBER('Price History'!H57)),NOT(ISNUMBER('Price History'!H56)),'Price History'!H56=0),"",'Price History'!H57/'Price History'!H56-1),"")</f>
        <v>0.00770651039576142</v>
      </c>
      <c r="I56" s="143" t="n">
        <f aca="false">IFERROR(IF(OR(NOT(ISNUMBER('Price History'!I57)),NOT(ISNUMBER('Price History'!I56)),'Price History'!I56=0),"",'Price History'!I57/'Price History'!I56-1),"")</f>
        <v>0.0310326377742107</v>
      </c>
      <c r="J56" s="143" t="n">
        <f aca="false">IFERROR(IF(OR(NOT(ISNUMBER('Price History'!J57)),NOT(ISNUMBER('Price History'!J56)),'Price History'!J56=0),"",'Price History'!J57/'Price History'!J56-1),"")</f>
        <v>0.182663566921289</v>
      </c>
      <c r="K56" s="143" t="n">
        <f aca="false">IFERROR(IF(OR(NOT(ISNUMBER('Price History'!K57)),NOT(ISNUMBER('Price History'!K56)),'Price History'!K56=0),"",'Price History'!K57/'Price History'!K56-1),"")</f>
        <v>0.0465900250669893</v>
      </c>
      <c r="L56" s="143" t="n">
        <f aca="false">IFERROR(IF(OR(NOT(ISNUMBER('Price History'!L57)),NOT(ISNUMBER('Price History'!L56)),'Price History'!L56=0),"",'Price History'!L57/'Price History'!L56-1),"")</f>
        <v>0.000937286980231766</v>
      </c>
      <c r="M56" s="143" t="n">
        <f aca="false">IFERROR(IF(OR(NOT(ISNUMBER('Price History'!M57)),NOT(ISNUMBER('Price History'!M56)),'Price History'!M56=0),"",'Price History'!M57/'Price History'!M56-1),"")</f>
        <v>-0.00967741935483868</v>
      </c>
      <c r="N56" s="143" t="n">
        <f aca="false">IFERROR(IF(OR(NOT(ISNUMBER('Price History'!N57)),NOT(ISNUMBER('Price History'!N56)),'Price History'!N56=0),"",'Price History'!N57/'Price History'!N56-1),"")</f>
        <v>0.00616095494801705</v>
      </c>
      <c r="O56" s="143" t="n">
        <f aca="false">IFERROR(IF(OR(NOT(ISNUMBER('Price History'!O57)),NOT(ISNUMBER('Price History'!O56)),'Price History'!O56=0),"",'Price History'!O57/'Price History'!O56-1),"")</f>
        <v>-0.00134786027181855</v>
      </c>
      <c r="P56" s="143" t="n">
        <f aca="false">IFERROR(IF(OR(NOT(ISNUMBER('Price History'!P57)),NOT(ISNUMBER('Price History'!P56)),'Price History'!P56=0),"",'Price History'!P57/'Price History'!P56-1),"")</f>
        <v>0.0223085525928544</v>
      </c>
      <c r="Q56" s="143" t="n">
        <f aca="false">IFERROR(IF(OR(NOT(ISNUMBER('Price History'!Q57)),NOT(ISNUMBER('Price History'!Q56)),'Price History'!Q56=0),"",'Price History'!Q57/'Price History'!Q56-1),"")</f>
        <v>-0.0337206815427391</v>
      </c>
      <c r="R56" s="143" t="n">
        <f aca="false">IFERROR(IF(OR(NOT(ISNUMBER('Price History'!R57)),NOT(ISNUMBER('Price History'!R56)),'Price History'!R56=0),"",'Price History'!R57/'Price History'!R56-1),"")</f>
        <v>0.00841908325537877</v>
      </c>
      <c r="S56" s="143" t="n">
        <f aca="false">IFERROR(IF(OR(NOT(ISNUMBER('Price History'!S57)),NOT(ISNUMBER('Price History'!S56)),'Price History'!S56=0),"",'Price History'!S57/'Price History'!S56-1),"")</f>
        <v>0.0138024663423464</v>
      </c>
      <c r="T56" s="143" t="n">
        <f aca="false">IFERROR(IF(OR(NOT(ISNUMBER('Price History'!T57)),NOT(ISNUMBER('Price History'!T56)),'Price History'!T56=0),"",'Price History'!T57/'Price History'!T56-1),"")</f>
        <v>0.0327715355805245</v>
      </c>
      <c r="U56" s="143" t="str">
        <f aca="false">IFERROR(IF(OR(NOT(ISNUMBER('Price History'!U57)),NOT(ISNUMBER('Price History'!U56)),'Price History'!U56=0),"",'Price History'!U57/'Price History'!U56-1),"")</f>
        <v/>
      </c>
      <c r="V56" s="144" t="n">
        <f aca="false">IFERROR(IF(OR(NOT(ISNUMBER('Price History'!V57)),NOT(ISNUMBER('Price History'!V56)),'Price History'!V56=0),"",'Price History'!V57/'Price History'!V56-1),"")</f>
        <v>0.000227781785050007</v>
      </c>
      <c r="W56" s="145" t="str">
        <f aca="false">IFERROR('Price History'!B3+(INDEX('Price History'!B:B,MATCH(9.99E+307,'Price History'!$A:$A))-'Price History'!B3)*(ROW()-3)/(MATCH(9.99E+307,'Returns (Calc)'!$A:$A)-3),"")</f>
        <v/>
      </c>
      <c r="X56" s="145" t="n">
        <f aca="false">IFERROR('Price History'!C3+(INDEX('Price History'!C:C,MATCH(9.99E+307,'Price History'!$A:$A))-'Price History'!C3)*(ROW()-3)/(MATCH(9.99E+307,'Returns (Calc)'!$A:$A)-3),"")</f>
        <v>30.7866666666667</v>
      </c>
      <c r="Y56" s="145" t="n">
        <f aca="false">IFERROR('Price History'!D3+(INDEX('Price History'!D:D,MATCH(9.99E+307,'Price History'!$A:$A))-'Price History'!D3)*(ROW()-3)/(MATCH(9.99E+307,'Returns (Calc)'!$A:$A)-3),"")</f>
        <v>388.006666666667</v>
      </c>
      <c r="Z56" s="145" t="n">
        <f aca="false">IFERROR('Price History'!E3+(INDEX('Price History'!E:E,MATCH(9.99E+307,'Price History'!$A:$A))-'Price History'!E3)*(ROW()-3)/(MATCH(9.99E+307,'Returns (Calc)'!$A:$A)-3),"")</f>
        <v>54.6666666666667</v>
      </c>
      <c r="AA56" s="145" t="n">
        <f aca="false">IFERROR('Price History'!F3+(INDEX('Price History'!F:F,MATCH(9.99E+307,'Price History'!$A:$A))-'Price History'!F3)*(ROW()-3)/(MATCH(9.99E+307,'Returns (Calc)'!$A:$A)-3),"")</f>
        <v>50.2066666666667</v>
      </c>
      <c r="AB56" s="145" t="n">
        <f aca="false">IFERROR('Price History'!G3+(INDEX('Price History'!G:G,MATCH(9.99E+307,'Price History'!$A:$A))-'Price History'!G3)*(ROW()-3)/(MATCH(9.99E+307,'Returns (Calc)'!$A:$A)-3),"")</f>
        <v>27.5733333333333</v>
      </c>
      <c r="AC56" s="145" t="n">
        <f aca="false">IFERROR('Price History'!H3+(INDEX('Price History'!H:H,MATCH(9.99E+307,'Price History'!$A:$A))-'Price History'!H3)*(ROW()-3)/(MATCH(9.99E+307,'Returns (Calc)'!$A:$A)-3),"")</f>
        <v>67.06</v>
      </c>
      <c r="AD56" s="145" t="n">
        <f aca="false">IFERROR('Price History'!I3+(INDEX('Price History'!I:I,MATCH(9.99E+307,'Price History'!$A:$A))-'Price History'!I3)*(ROW()-3)/(MATCH(9.99E+307,'Returns (Calc)'!$A:$A)-3),"")</f>
        <v>29.5666666666667</v>
      </c>
      <c r="AE56" s="145" t="n">
        <f aca="false">IFERROR('Price History'!J3+(INDEX('Price History'!J:J,MATCH(9.99E+307,'Price History'!$A:$A))-'Price History'!J3)*(ROW()-3)/(MATCH(9.99E+307,'Returns (Calc)'!$A:$A)-3),"")</f>
        <v>46.0733333333333</v>
      </c>
      <c r="AF56" s="145" t="n">
        <f aca="false">IFERROR('Price History'!K3+(INDEX('Price History'!K:K,MATCH(9.99E+307,'Price History'!$A:$A))-'Price History'!K3)*(ROW()-3)/(MATCH(9.99E+307,'Returns (Calc)'!$A:$A)-3),"")</f>
        <v>29.18</v>
      </c>
      <c r="AG56" s="145" t="n">
        <f aca="false">IFERROR('Price History'!L3+(INDEX('Price History'!L:L,MATCH(9.99E+307,'Price History'!$A:$A))-'Price History'!L3)*(ROW()-3)/(MATCH(9.99E+307,'Returns (Calc)'!$A:$A)-3),"")</f>
        <v>74.56</v>
      </c>
      <c r="AH56" s="145" t="n">
        <f aca="false">IFERROR('Price History'!M3+(INDEX('Price History'!M:M,MATCH(9.99E+307,'Price History'!$A:$A))-'Price History'!M3)*(ROW()-3)/(MATCH(9.99E+307,'Returns (Calc)'!$A:$A)-3),"")</f>
        <v>10.22</v>
      </c>
      <c r="AI56" s="145" t="n">
        <f aca="false">IFERROR('Price History'!N3+(INDEX('Price History'!N:N,MATCH(9.99E+307,'Price History'!$A:$A))-'Price History'!N3)*(ROW()-3)/(MATCH(9.99E+307,'Returns (Calc)'!$A:$A)-3),"")</f>
        <v>14.5333333333333</v>
      </c>
      <c r="AJ56" s="145" t="n">
        <f aca="false">IFERROR('Price History'!O3+(INDEX('Price History'!O:O,MATCH(9.99E+307,'Price History'!$A:$A))-'Price History'!O3)*(ROW()-3)/(MATCH(9.99E+307,'Returns (Calc)'!$A:$A)-3),"")</f>
        <v>38.42</v>
      </c>
      <c r="AK56" s="145" t="n">
        <f aca="false">IFERROR('Price History'!Q3+(INDEX('Price History'!Q:Q,MATCH(9.99E+307,'Price History'!$A:$A))-'Price History'!Q3)*(ROW()-3)/(MATCH(9.99E+307,'Returns (Calc)'!$A:$A)-3),"")</f>
        <v>157.086666666667</v>
      </c>
      <c r="AL56" s="145" t="n">
        <f aca="false">IFERROR('Price History'!R3+(INDEX('Price History'!R:R,MATCH(9.99E+307,'Price History'!$A:$A))-'Price History'!R3)*(ROW()-3)/(MATCH(9.99E+307,'Returns (Calc)'!$A:$A)-3),"")</f>
        <v>31.88</v>
      </c>
      <c r="AM56" s="145" t="n">
        <f aca="false">IFERROR('Price History'!S3+(INDEX('Price History'!S:S,MATCH(9.99E+307,'Price History'!$A:$A))-'Price History'!S3)*(ROW()-3)/(MATCH(9.99E+307,'Returns (Calc)'!$A:$A)-3),"")</f>
        <v>39.0266666666667</v>
      </c>
      <c r="AN56" s="145" t="n">
        <f aca="false">IFERROR('Price History'!T3+(INDEX('Price History'!T:T,MATCH(9.99E+307,'Price History'!$A:$A))-'Price History'!T3)*(ROW()-3)/(MATCH(9.99E+307,'Returns (Calc)'!$A:$A)-3),"")</f>
        <v>17.94</v>
      </c>
      <c r="AO56" s="146" t="n">
        <f aca="false">IFERROR('Price History'!V3+(INDEX('Price History'!V:V,MATCH(9.99E+307,'Price History'!$A:$A))-'Price History'!V3)*(ROW()-3)/(MATCH(9.99E+307,'Returns (Calc)'!$A:$A)-3),"")</f>
        <v>0</v>
      </c>
    </row>
    <row r="57" customFormat="false" ht="15" hidden="false" customHeight="true" outlineLevel="0" collapsed="false">
      <c r="A57" s="142" t="n">
        <f aca="false">IF('Price History'!A58="","",'Price History'!A58)</f>
        <v>45569</v>
      </c>
      <c r="B57" s="143" t="n">
        <f aca="false">IFERROR(IF(OR(NOT(ISNUMBER('Price History'!B58)),NOT(ISNUMBER('Price History'!B57)),'Price History'!B57=0),"",'Price History'!B58/'Price History'!B57-1),"")</f>
        <v>-0.0160239000543183</v>
      </c>
      <c r="C57" s="143" t="n">
        <f aca="false">IFERROR(IF(OR(NOT(ISNUMBER('Price History'!C58)),NOT(ISNUMBER('Price History'!C57)),'Price History'!C57=0),"",'Price History'!C58/'Price History'!C57-1),"")</f>
        <v>0.0412327758493742</v>
      </c>
      <c r="D57" s="143" t="n">
        <f aca="false">IFERROR(IF(OR(NOT(ISNUMBER('Price History'!D58)),NOT(ISNUMBER('Price History'!D57)),'Price History'!D57=0),"",'Price History'!D58/'Price History'!D57-1),"")</f>
        <v>-0.0101489724165428</v>
      </c>
      <c r="E57" s="143" t="n">
        <f aca="false">IFERROR(IF(OR(NOT(ISNUMBER('Price History'!E58)),NOT(ISNUMBER('Price History'!E57)),'Price History'!E57=0),"",'Price History'!E58/'Price History'!E57-1),"")</f>
        <v>0.0228571428571429</v>
      </c>
      <c r="F57" s="143" t="n">
        <f aca="false">IFERROR(IF(OR(NOT(ISNUMBER('Price History'!F58)),NOT(ISNUMBER('Price History'!F57)),'Price History'!F57=0),"",'Price History'!F58/'Price History'!F57-1),"")</f>
        <v>0.00280535174794982</v>
      </c>
      <c r="G57" s="143" t="n">
        <f aca="false">IFERROR(IF(OR(NOT(ISNUMBER('Price History'!G58)),NOT(ISNUMBER('Price History'!G57)),'Price History'!G57=0),"",'Price History'!G58/'Price History'!G57-1),"")</f>
        <v>0.0223901483347329</v>
      </c>
      <c r="H57" s="143" t="n">
        <f aca="false">IFERROR(IF(OR(NOT(ISNUMBER('Price History'!H58)),NOT(ISNUMBER('Price History'!H57)),'Price History'!H57=0),"",'Price History'!H58/'Price History'!H57-1),"")</f>
        <v>-0.00398311160678722</v>
      </c>
      <c r="I57" s="143" t="n">
        <f aca="false">IFERROR(IF(OR(NOT(ISNUMBER('Price History'!I58)),NOT(ISNUMBER('Price History'!I57)),'Price History'!I57=0),"",'Price History'!I58/'Price History'!I57-1),"")</f>
        <v>0.0063570316554229</v>
      </c>
      <c r="J57" s="143" t="n">
        <f aca="false">IFERROR(IF(OR(NOT(ISNUMBER('Price History'!J58)),NOT(ISNUMBER('Price History'!J57)),'Price History'!J57=0),"",'Price History'!J58/'Price History'!J57-1),"")</f>
        <v>-0.0488626790227464</v>
      </c>
      <c r="K57" s="143" t="n">
        <f aca="false">IFERROR(IF(OR(NOT(ISNUMBER('Price History'!K58)),NOT(ISNUMBER('Price History'!K57)),'Price History'!K57=0),"",'Price History'!K58/'Price History'!K57-1),"")</f>
        <v>0.0289890981169476</v>
      </c>
      <c r="L57" s="143" t="n">
        <f aca="false">IFERROR(IF(OR(NOT(ISNUMBER('Price History'!L58)),NOT(ISNUMBER('Price History'!L57)),'Price History'!L57=0),"",'Price History'!L58/'Price History'!L57-1),"")</f>
        <v>-0.0251979228739252</v>
      </c>
      <c r="M57" s="143" t="n">
        <f aca="false">IFERROR(IF(OR(NOT(ISNUMBER('Price History'!M58)),NOT(ISNUMBER('Price History'!M57)),'Price History'!M57=0),"",'Price History'!M58/'Price History'!M57-1),"")</f>
        <v>0.0860477741585233</v>
      </c>
      <c r="N57" s="143" t="n">
        <f aca="false">IFERROR(IF(OR(NOT(ISNUMBER('Price History'!N58)),NOT(ISNUMBER('Price History'!N57)),'Price History'!N57=0),"",'Price History'!N58/'Price History'!N57-1),"")</f>
        <v>0.00497512437810954</v>
      </c>
      <c r="O57" s="143" t="n">
        <f aca="false">IFERROR(IF(OR(NOT(ISNUMBER('Price History'!O58)),NOT(ISNUMBER('Price History'!O57)),'Price History'!O57=0),"",'Price History'!O58/'Price History'!O57-1),"")</f>
        <v>0.014958947250028</v>
      </c>
      <c r="P57" s="143" t="n">
        <f aca="false">IFERROR(IF(OR(NOT(ISNUMBER('Price History'!P58)),NOT(ISNUMBER('Price History'!P57)),'Price History'!P57=0),"",'Price History'!P58/'Price History'!P57-1),"")</f>
        <v>0.0179640718562875</v>
      </c>
      <c r="Q57" s="143" t="n">
        <f aca="false">IFERROR(IF(OR(NOT(ISNUMBER('Price History'!Q58)),NOT(ISNUMBER('Price History'!Q57)),'Price History'!Q57=0),"",'Price History'!Q58/'Price History'!Q57-1),"")</f>
        <v>0.010033938320791</v>
      </c>
      <c r="R57" s="143" t="n">
        <f aca="false">IFERROR(IF(OR(NOT(ISNUMBER('Price History'!R58)),NOT(ISNUMBER('Price History'!R57)),'Price History'!R57=0),"",'Price History'!R58/'Price History'!R57-1),"")</f>
        <v>0.00333951762523199</v>
      </c>
      <c r="S57" s="143" t="n">
        <f aca="false">IFERROR(IF(OR(NOT(ISNUMBER('Price History'!S58)),NOT(ISNUMBER('Price History'!S57)),'Price History'!S57=0),"",'Price History'!S58/'Price History'!S57-1),"")</f>
        <v>-0.00401740877134249</v>
      </c>
      <c r="T57" s="143" t="n">
        <f aca="false">IFERROR(IF(OR(NOT(ISNUMBER('Price History'!T58)),NOT(ISNUMBER('Price History'!T57)),'Price History'!T57=0),"",'Price History'!T58/'Price History'!T57-1),"")</f>
        <v>0.00332426715019651</v>
      </c>
      <c r="U57" s="143" t="str">
        <f aca="false">IFERROR(IF(OR(NOT(ISNUMBER('Price History'!U58)),NOT(ISNUMBER('Price History'!U57)),'Price History'!U57=0),"",'Price History'!U58/'Price History'!U57-1),"")</f>
        <v/>
      </c>
      <c r="V57" s="144" t="n">
        <f aca="false">IFERROR(IF(OR(NOT(ISNUMBER('Price History'!V58)),NOT(ISNUMBER('Price History'!V57)),'Price History'!V57=0),"",'Price History'!V58/'Price History'!V57-1),"")</f>
        <v>0.0334003871408508</v>
      </c>
      <c r="W57" s="145" t="str">
        <f aca="false">IFERROR('Price History'!B3+(INDEX('Price History'!B:B,MATCH(9.99E+307,'Price History'!$A:$A))-'Price History'!B3)*(ROW()-3)/(MATCH(9.99E+307,'Returns (Calc)'!$A:$A)-3),"")</f>
        <v/>
      </c>
      <c r="X57" s="145" t="n">
        <f aca="false">IFERROR('Price History'!C3+(INDEX('Price History'!C:C,MATCH(9.99E+307,'Price History'!$A:$A))-'Price History'!C3)*(ROW()-3)/(MATCH(9.99E+307,'Returns (Calc)'!$A:$A)-3),"")</f>
        <v>30.4962264150943</v>
      </c>
      <c r="Y57" s="145" t="n">
        <f aca="false">IFERROR('Price History'!D3+(INDEX('Price History'!D:D,MATCH(9.99E+307,'Price History'!$A:$A))-'Price History'!D3)*(ROW()-3)/(MATCH(9.99E+307,'Returns (Calc)'!$A:$A)-3),"")</f>
        <v>384.346226415094</v>
      </c>
      <c r="Z57" s="145" t="n">
        <f aca="false">IFERROR('Price History'!E3+(INDEX('Price History'!E:E,MATCH(9.99E+307,'Price History'!$A:$A))-'Price History'!E3)*(ROW()-3)/(MATCH(9.99E+307,'Returns (Calc)'!$A:$A)-3),"")</f>
        <v>54.1509433962264</v>
      </c>
      <c r="AA57" s="145" t="n">
        <f aca="false">IFERROR('Price History'!F3+(INDEX('Price History'!F:F,MATCH(9.99E+307,'Price History'!$A:$A))-'Price History'!F3)*(ROW()-3)/(MATCH(9.99E+307,'Returns (Calc)'!$A:$A)-3),"")</f>
        <v>49.7330188679245</v>
      </c>
      <c r="AB57" s="145" t="n">
        <f aca="false">IFERROR('Price History'!G3+(INDEX('Price History'!G:G,MATCH(9.99E+307,'Price History'!$A:$A))-'Price History'!G3)*(ROW()-3)/(MATCH(9.99E+307,'Returns (Calc)'!$A:$A)-3),"")</f>
        <v>27.3132075471698</v>
      </c>
      <c r="AC57" s="145" t="n">
        <f aca="false">IFERROR('Price History'!H3+(INDEX('Price History'!H:H,MATCH(9.99E+307,'Price History'!$A:$A))-'Price History'!H3)*(ROW()-3)/(MATCH(9.99E+307,'Returns (Calc)'!$A:$A)-3),"")</f>
        <v>66.427358490566</v>
      </c>
      <c r="AD57" s="145" t="n">
        <f aca="false">IFERROR('Price History'!I3+(INDEX('Price History'!I:I,MATCH(9.99E+307,'Price History'!$A:$A))-'Price History'!I3)*(ROW()-3)/(MATCH(9.99E+307,'Returns (Calc)'!$A:$A)-3),"")</f>
        <v>29.2877358490566</v>
      </c>
      <c r="AE57" s="145" t="n">
        <f aca="false">IFERROR('Price History'!J3+(INDEX('Price History'!J:J,MATCH(9.99E+307,'Price History'!$A:$A))-'Price History'!J3)*(ROW()-3)/(MATCH(9.99E+307,'Returns (Calc)'!$A:$A)-3),"")</f>
        <v>45.638679245283</v>
      </c>
      <c r="AF57" s="145" t="n">
        <f aca="false">IFERROR('Price History'!K3+(INDEX('Price History'!K:K,MATCH(9.99E+307,'Price History'!$A:$A))-'Price History'!K3)*(ROW()-3)/(MATCH(9.99E+307,'Returns (Calc)'!$A:$A)-3),"")</f>
        <v>28.9047169811321</v>
      </c>
      <c r="AG57" s="145" t="n">
        <f aca="false">IFERROR('Price History'!L3+(INDEX('Price History'!L:L,MATCH(9.99E+307,'Price History'!$A:$A))-'Price History'!L3)*(ROW()-3)/(MATCH(9.99E+307,'Returns (Calc)'!$A:$A)-3),"")</f>
        <v>73.8566037735849</v>
      </c>
      <c r="AH57" s="145" t="n">
        <f aca="false">IFERROR('Price History'!M3+(INDEX('Price History'!M:M,MATCH(9.99E+307,'Price History'!$A:$A))-'Price History'!M3)*(ROW()-3)/(MATCH(9.99E+307,'Returns (Calc)'!$A:$A)-3),"")</f>
        <v>10.1235849056604</v>
      </c>
      <c r="AI57" s="145" t="n">
        <f aca="false">IFERROR('Price History'!N3+(INDEX('Price History'!N:N,MATCH(9.99E+307,'Price History'!$A:$A))-'Price History'!N3)*(ROW()-3)/(MATCH(9.99E+307,'Returns (Calc)'!$A:$A)-3),"")</f>
        <v>14.3962264150943</v>
      </c>
      <c r="AJ57" s="145" t="n">
        <f aca="false">IFERROR('Price History'!O3+(INDEX('Price History'!O:O,MATCH(9.99E+307,'Price History'!$A:$A))-'Price History'!O3)*(ROW()-3)/(MATCH(9.99E+307,'Returns (Calc)'!$A:$A)-3),"")</f>
        <v>38.0575471698113</v>
      </c>
      <c r="AK57" s="145" t="n">
        <f aca="false">IFERROR('Price History'!Q3+(INDEX('Price History'!Q:Q,MATCH(9.99E+307,'Price History'!$A:$A))-'Price History'!Q3)*(ROW()-3)/(MATCH(9.99E+307,'Returns (Calc)'!$A:$A)-3),"")</f>
        <v>155.604716981132</v>
      </c>
      <c r="AL57" s="145" t="n">
        <f aca="false">IFERROR('Price History'!R3+(INDEX('Price History'!R:R,MATCH(9.99E+307,'Price History'!$A:$A))-'Price History'!R3)*(ROW()-3)/(MATCH(9.99E+307,'Returns (Calc)'!$A:$A)-3),"")</f>
        <v>31.5792452830189</v>
      </c>
      <c r="AM57" s="145" t="n">
        <f aca="false">IFERROR('Price History'!S3+(INDEX('Price History'!S:S,MATCH(9.99E+307,'Price History'!$A:$A))-'Price History'!S3)*(ROW()-3)/(MATCH(9.99E+307,'Returns (Calc)'!$A:$A)-3),"")</f>
        <v>38.6584905660377</v>
      </c>
      <c r="AN57" s="145" t="n">
        <f aca="false">IFERROR('Price History'!T3+(INDEX('Price History'!T:T,MATCH(9.99E+307,'Price History'!$A:$A))-'Price History'!T3)*(ROW()-3)/(MATCH(9.99E+307,'Returns (Calc)'!$A:$A)-3),"")</f>
        <v>17.7707547169811</v>
      </c>
      <c r="AO57" s="146" t="n">
        <f aca="false">IFERROR('Price History'!V3+(INDEX('Price History'!V:V,MATCH(9.99E+307,'Price History'!$A:$A))-'Price History'!V3)*(ROW()-3)/(MATCH(9.99E+307,'Returns (Calc)'!$A:$A)-3),"")</f>
        <v>0</v>
      </c>
    </row>
    <row r="58" customFormat="false" ht="15" hidden="false" customHeight="true" outlineLevel="0" collapsed="false">
      <c r="A58" s="142" t="n">
        <f aca="false">IF('Price History'!A59="","",'Price History'!A59)</f>
        <v>45576</v>
      </c>
      <c r="B58" s="143" t="n">
        <f aca="false">IFERROR(IF(OR(NOT(ISNUMBER('Price History'!B59)),NOT(ISNUMBER('Price History'!B58)),'Price History'!B58=0),"",'Price History'!B59/'Price History'!B58-1),"")</f>
        <v>-0.0232640668743346</v>
      </c>
      <c r="C58" s="143" t="n">
        <f aca="false">IFERROR(IF(OR(NOT(ISNUMBER('Price History'!C59)),NOT(ISNUMBER('Price History'!C58)),'Price History'!C58=0),"",'Price History'!C59/'Price History'!C58-1),"")</f>
        <v>0.0529346398626125</v>
      </c>
      <c r="D58" s="143" t="n">
        <f aca="false">IFERROR(IF(OR(NOT(ISNUMBER('Price History'!D59)),NOT(ISNUMBER('Price History'!D58)),'Price History'!D58=0),"",'Price History'!D59/'Price History'!D58-1),"")</f>
        <v>0.00922772712292663</v>
      </c>
      <c r="E58" s="143" t="n">
        <f aca="false">IFERROR(IF(OR(NOT(ISNUMBER('Price History'!E59)),NOT(ISNUMBER('Price History'!E58)),'Price History'!E58=0),"",'Price History'!E59/'Price History'!E58-1),"")</f>
        <v>0.0274146172896388</v>
      </c>
      <c r="F58" s="143" t="n">
        <f aca="false">IFERROR(IF(OR(NOT(ISNUMBER('Price History'!F59)),NOT(ISNUMBER('Price History'!F58)),'Price History'!F58=0),"",'Price History'!F59/'Price History'!F58-1),"")</f>
        <v>0.0119431891542932</v>
      </c>
      <c r="G58" s="143" t="n">
        <f aca="false">IFERROR(IF(OR(NOT(ISNUMBER('Price History'!G59)),NOT(ISNUMBER('Price History'!G58)),'Price History'!G58=0),"",'Price History'!G59/'Price History'!G58-1),"")</f>
        <v>0.0956747878456064</v>
      </c>
      <c r="H58" s="143" t="n">
        <f aca="false">IFERROR(IF(OR(NOT(ISNUMBER('Price History'!H59)),NOT(ISNUMBER('Price History'!H58)),'Price History'!H58=0),"",'Price History'!H59/'Price History'!H58-1),"")</f>
        <v>0.000559865632248302</v>
      </c>
      <c r="I58" s="143" t="n">
        <f aca="false">IFERROR(IF(OR(NOT(ISNUMBER('Price History'!I59)),NOT(ISNUMBER('Price History'!I58)),'Price History'!I58=0),"",'Price History'!I59/'Price History'!I58-1),"")</f>
        <v>0.0207554466933095</v>
      </c>
      <c r="J58" s="143" t="n">
        <f aca="false">IFERROR(IF(OR(NOT(ISNUMBER('Price History'!J59)),NOT(ISNUMBER('Price History'!J58)),'Price History'!J58=0),"",'Price History'!J59/'Price History'!J58-1),"")</f>
        <v>0.0468457828953843</v>
      </c>
      <c r="K58" s="143" t="n">
        <f aca="false">IFERROR(IF(OR(NOT(ISNUMBER('Price History'!K59)),NOT(ISNUMBER('Price History'!K58)),'Price History'!K58=0),"",'Price History'!K59/'Price History'!K58-1),"")</f>
        <v>0.0790593145517295</v>
      </c>
      <c r="L58" s="143" t="n">
        <f aca="false">IFERROR(IF(OR(NOT(ISNUMBER('Price History'!L59)),NOT(ISNUMBER('Price History'!L58)),'Price History'!L58=0),"",'Price History'!L59/'Price History'!L58-1),"")</f>
        <v>-0.0178150379879487</v>
      </c>
      <c r="M58" s="143" t="n">
        <f aca="false">IFERROR(IF(OR(NOT(ISNUMBER('Price History'!M59)),NOT(ISNUMBER('Price History'!M58)),'Price History'!M58=0),"",'Price History'!M59/'Price History'!M58-1),"")</f>
        <v>0.0874781304673831</v>
      </c>
      <c r="N58" s="143" t="n">
        <f aca="false">IFERROR(IF(OR(NOT(ISNUMBER('Price History'!N59)),NOT(ISNUMBER('Price History'!N58)),'Price History'!N58=0),"",'Price History'!N59/'Price History'!N58-1),"")</f>
        <v>0.0114242193450114</v>
      </c>
      <c r="O58" s="143" t="n">
        <f aca="false">IFERROR(IF(OR(NOT(ISNUMBER('Price History'!O59)),NOT(ISNUMBER('Price History'!O58)),'Price History'!O58=0),"",'Price History'!O59/'Price History'!O58-1),"")</f>
        <v>0.0216090425531916</v>
      </c>
      <c r="P58" s="143" t="n">
        <f aca="false">IFERROR(IF(OR(NOT(ISNUMBER('Price History'!P59)),NOT(ISNUMBER('Price History'!P58)),'Price History'!P58=0),"",'Price History'!P59/'Price History'!P58-1),"")</f>
        <v>0.0532239819004525</v>
      </c>
      <c r="Q58" s="143" t="n">
        <f aca="false">IFERROR(IF(OR(NOT(ISNUMBER('Price History'!Q59)),NOT(ISNUMBER('Price History'!Q58)),'Price History'!Q58=0),"",'Price History'!Q59/'Price History'!Q58-1),"")</f>
        <v>-0.000328707085463953</v>
      </c>
      <c r="R58" s="143" t="n">
        <f aca="false">IFERROR(IF(OR(NOT(ISNUMBER('Price History'!R59)),NOT(ISNUMBER('Price History'!R58)),'Price History'!R58=0),"",'Price History'!R59/'Price History'!R58-1),"")</f>
        <v>-0.0502958579881657</v>
      </c>
      <c r="S58" s="143" t="n">
        <f aca="false">IFERROR(IF(OR(NOT(ISNUMBER('Price History'!S59)),NOT(ISNUMBER('Price History'!S58)),'Price History'!S58=0),"",'Price History'!S59/'Price History'!S58-1),"")</f>
        <v>-0.059719887955182</v>
      </c>
      <c r="T58" s="143" t="n">
        <f aca="false">IFERROR(IF(OR(NOT(ISNUMBER('Price History'!T59)),NOT(ISNUMBER('Price History'!T58)),'Price History'!T58=0),"",'Price History'!T59/'Price History'!T58-1),"")</f>
        <v>-0.041265060240964</v>
      </c>
      <c r="U58" s="143" t="str">
        <f aca="false">IFERROR(IF(OR(NOT(ISNUMBER('Price History'!U59)),NOT(ISNUMBER('Price History'!U58)),'Price History'!U58=0),"",'Price History'!U59/'Price History'!U58-1),"")</f>
        <v/>
      </c>
      <c r="V58" s="144" t="n">
        <f aca="false">IFERROR(IF(OR(NOT(ISNUMBER('Price History'!V59)),NOT(ISNUMBER('Price History'!V58)),'Price History'!V58=0),"",'Price History'!V59/'Price History'!V58-1),"")</f>
        <v>0.0108348330701145</v>
      </c>
      <c r="W58" s="145" t="str">
        <f aca="false">IFERROR('Price History'!B3+(INDEX('Price History'!B:B,MATCH(9.99E+307,'Price History'!$A:$A))-'Price History'!B3)*(ROW()-3)/(MATCH(9.99E+307,'Returns (Calc)'!$A:$A)-3),"")</f>
        <v/>
      </c>
      <c r="X58" s="145" t="n">
        <f aca="false">IFERROR('Price History'!C3+(INDEX('Price History'!C:C,MATCH(9.99E+307,'Price History'!$A:$A))-'Price History'!C3)*(ROW()-3)/(MATCH(9.99E+307,'Returns (Calc)'!$A:$A)-3),"")</f>
        <v>30.205786163522</v>
      </c>
      <c r="Y58" s="145" t="n">
        <f aca="false">IFERROR('Price History'!D3+(INDEX('Price History'!D:D,MATCH(9.99E+307,'Price History'!$A:$A))-'Price History'!D3)*(ROW()-3)/(MATCH(9.99E+307,'Returns (Calc)'!$A:$A)-3),"")</f>
        <v>380.685786163522</v>
      </c>
      <c r="Z58" s="145" t="n">
        <f aca="false">IFERROR('Price History'!E3+(INDEX('Price History'!E:E,MATCH(9.99E+307,'Price History'!$A:$A))-'Price History'!E3)*(ROW()-3)/(MATCH(9.99E+307,'Returns (Calc)'!$A:$A)-3),"")</f>
        <v>53.6352201257862</v>
      </c>
      <c r="AA58" s="145" t="n">
        <f aca="false">IFERROR('Price History'!F3+(INDEX('Price History'!F:F,MATCH(9.99E+307,'Price History'!$A:$A))-'Price History'!F3)*(ROW()-3)/(MATCH(9.99E+307,'Returns (Calc)'!$A:$A)-3),"")</f>
        <v>49.2593710691824</v>
      </c>
      <c r="AB58" s="145" t="n">
        <f aca="false">IFERROR('Price History'!G3+(INDEX('Price History'!G:G,MATCH(9.99E+307,'Price History'!$A:$A))-'Price History'!G3)*(ROW()-3)/(MATCH(9.99E+307,'Returns (Calc)'!$A:$A)-3),"")</f>
        <v>27.0530817610063</v>
      </c>
      <c r="AC58" s="145" t="n">
        <f aca="false">IFERROR('Price History'!H3+(INDEX('Price History'!H:H,MATCH(9.99E+307,'Price History'!$A:$A))-'Price History'!H3)*(ROW()-3)/(MATCH(9.99E+307,'Returns (Calc)'!$A:$A)-3),"")</f>
        <v>65.7947169811321</v>
      </c>
      <c r="AD58" s="145" t="n">
        <f aca="false">IFERROR('Price History'!I3+(INDEX('Price History'!I:I,MATCH(9.99E+307,'Price History'!$A:$A))-'Price History'!I3)*(ROW()-3)/(MATCH(9.99E+307,'Returns (Calc)'!$A:$A)-3),"")</f>
        <v>29.0088050314465</v>
      </c>
      <c r="AE58" s="145" t="n">
        <f aca="false">IFERROR('Price History'!J3+(INDEX('Price History'!J:J,MATCH(9.99E+307,'Price History'!$A:$A))-'Price History'!J3)*(ROW()-3)/(MATCH(9.99E+307,'Returns (Calc)'!$A:$A)-3),"")</f>
        <v>45.2040251572327</v>
      </c>
      <c r="AF58" s="145" t="n">
        <f aca="false">IFERROR('Price History'!K3+(INDEX('Price History'!K:K,MATCH(9.99E+307,'Price History'!$A:$A))-'Price History'!K3)*(ROW()-3)/(MATCH(9.99E+307,'Returns (Calc)'!$A:$A)-3),"")</f>
        <v>28.6294339622642</v>
      </c>
      <c r="AG58" s="145" t="n">
        <f aca="false">IFERROR('Price History'!L3+(INDEX('Price History'!L:L,MATCH(9.99E+307,'Price History'!$A:$A))-'Price History'!L3)*(ROW()-3)/(MATCH(9.99E+307,'Returns (Calc)'!$A:$A)-3),"")</f>
        <v>73.1532075471698</v>
      </c>
      <c r="AH58" s="145" t="n">
        <f aca="false">IFERROR('Price History'!M3+(INDEX('Price History'!M:M,MATCH(9.99E+307,'Price History'!$A:$A))-'Price History'!M3)*(ROW()-3)/(MATCH(9.99E+307,'Returns (Calc)'!$A:$A)-3),"")</f>
        <v>10.0271698113208</v>
      </c>
      <c r="AI58" s="145" t="n">
        <f aca="false">IFERROR('Price History'!N3+(INDEX('Price History'!N:N,MATCH(9.99E+307,'Price History'!$A:$A))-'Price History'!N3)*(ROW()-3)/(MATCH(9.99E+307,'Returns (Calc)'!$A:$A)-3),"")</f>
        <v>14.2591194968553</v>
      </c>
      <c r="AJ58" s="145" t="n">
        <f aca="false">IFERROR('Price History'!O3+(INDEX('Price History'!O:O,MATCH(9.99E+307,'Price History'!$A:$A))-'Price History'!O3)*(ROW()-3)/(MATCH(9.99E+307,'Returns (Calc)'!$A:$A)-3),"")</f>
        <v>37.6950943396226</v>
      </c>
      <c r="AK58" s="145" t="n">
        <f aca="false">IFERROR('Price History'!Q3+(INDEX('Price History'!Q:Q,MATCH(9.99E+307,'Price History'!$A:$A))-'Price History'!Q3)*(ROW()-3)/(MATCH(9.99E+307,'Returns (Calc)'!$A:$A)-3),"")</f>
        <v>154.122767295598</v>
      </c>
      <c r="AL58" s="145" t="n">
        <f aca="false">IFERROR('Price History'!R3+(INDEX('Price History'!R:R,MATCH(9.99E+307,'Price History'!$A:$A))-'Price History'!R3)*(ROW()-3)/(MATCH(9.99E+307,'Returns (Calc)'!$A:$A)-3),"")</f>
        <v>31.2784905660377</v>
      </c>
      <c r="AM58" s="145" t="n">
        <f aca="false">IFERROR('Price History'!S3+(INDEX('Price History'!S:S,MATCH(9.99E+307,'Price History'!$A:$A))-'Price History'!S3)*(ROW()-3)/(MATCH(9.99E+307,'Returns (Calc)'!$A:$A)-3),"")</f>
        <v>38.2903144654088</v>
      </c>
      <c r="AN58" s="145" t="n">
        <f aca="false">IFERROR('Price History'!T3+(INDEX('Price History'!T:T,MATCH(9.99E+307,'Price History'!$A:$A))-'Price History'!T3)*(ROW()-3)/(MATCH(9.99E+307,'Returns (Calc)'!$A:$A)-3),"")</f>
        <v>17.6015094339623</v>
      </c>
      <c r="AO58" s="146" t="n">
        <f aca="false">IFERROR('Price History'!V3+(INDEX('Price History'!V:V,MATCH(9.99E+307,'Price History'!$A:$A))-'Price History'!V3)*(ROW()-3)/(MATCH(9.99E+307,'Returns (Calc)'!$A:$A)-3),"")</f>
        <v>0</v>
      </c>
    </row>
    <row r="59" customFormat="false" ht="15" hidden="false" customHeight="true" outlineLevel="0" collapsed="false">
      <c r="A59" s="142" t="n">
        <f aca="false">IF('Price History'!A60="","",'Price History'!A60)</f>
        <v>45583</v>
      </c>
      <c r="B59" s="143" t="n">
        <f aca="false">IFERROR(IF(OR(NOT(ISNUMBER('Price History'!B60)),NOT(ISNUMBER('Price History'!B59)),'Price History'!B59=0),"",'Price History'!B60/'Price History'!B59-1),"")</f>
        <v>-0.0010496144685318</v>
      </c>
      <c r="C59" s="143" t="n">
        <f aca="false">IFERROR(IF(OR(NOT(ISNUMBER('Price History'!C60)),NOT(ISNUMBER('Price History'!C59)),'Price History'!C59=0),"",'Price History'!C60/'Price History'!C59-1),"")</f>
        <v>-0.0357862419648853</v>
      </c>
      <c r="D59" s="143" t="n">
        <f aca="false">IFERROR(IF(OR(NOT(ISNUMBER('Price History'!D60)),NOT(ISNUMBER('Price History'!D59)),'Price History'!D59=0),"",'Price History'!D60/'Price History'!D59-1),"")</f>
        <v>-0.139678047482554</v>
      </c>
      <c r="E59" s="143" t="n">
        <f aca="false">IFERROR(IF(OR(NOT(ISNUMBER('Price History'!E60)),NOT(ISNUMBER('Price History'!E59)),'Price History'!E59=0),"",'Price History'!E60/'Price History'!E59-1),"")</f>
        <v>-0.00874488480295965</v>
      </c>
      <c r="F59" s="143" t="n">
        <f aca="false">IFERROR(IF(OR(NOT(ISNUMBER('Price History'!F60)),NOT(ISNUMBER('Price History'!F59)),'Price History'!F59=0),"",'Price History'!F60/'Price History'!F59-1),"")</f>
        <v>0.0125465178096758</v>
      </c>
      <c r="G59" s="143" t="n">
        <f aca="false">IFERROR(IF(OR(NOT(ISNUMBER('Price History'!G60)),NOT(ISNUMBER('Price History'!G59)),'Price History'!G59=0),"",'Price History'!G60/'Price History'!G59-1),"")</f>
        <v>-0.0313554028732042</v>
      </c>
      <c r="H59" s="143" t="n">
        <f aca="false">IFERROR(IF(OR(NOT(ISNUMBER('Price History'!H60)),NOT(ISNUMBER('Price History'!H59)),'Price History'!H59=0),"",'Price History'!H60/'Price History'!H59-1),"")</f>
        <v>0.0193445243804957</v>
      </c>
      <c r="I59" s="143" t="n">
        <f aca="false">IFERROR(IF(OR(NOT(ISNUMBER('Price History'!I60)),NOT(ISNUMBER('Price History'!I59)),'Price History'!I59=0),"",'Price History'!I60/'Price History'!I59-1),"")</f>
        <v>-0.155847436221268</v>
      </c>
      <c r="J59" s="143" t="n">
        <f aca="false">IFERROR(IF(OR(NOT(ISNUMBER('Price History'!J60)),NOT(ISNUMBER('Price History'!J59)),'Price History'!J59=0),"",'Price History'!J60/'Price History'!J59-1),"")</f>
        <v>0.0395788286170913</v>
      </c>
      <c r="K59" s="143" t="n">
        <f aca="false">IFERROR(IF(OR(NOT(ISNUMBER('Price History'!K60)),NOT(ISNUMBER('Price History'!K59)),'Price History'!K59=0),"",'Price History'!K60/'Price History'!K59-1),"")</f>
        <v>0.0237280571258554</v>
      </c>
      <c r="L59" s="143" t="n">
        <f aca="false">IFERROR(IF(OR(NOT(ISNUMBER('Price History'!L60)),NOT(ISNUMBER('Price History'!L59)),'Price History'!L59=0),"",'Price History'!L60/'Price History'!L59-1),"")</f>
        <v>0.0187605583711212</v>
      </c>
      <c r="M59" s="143" t="n">
        <f aca="false">IFERROR(IF(OR(NOT(ISNUMBER('Price History'!M60)),NOT(ISNUMBER('Price History'!M59)),'Price History'!M59=0),"",'Price History'!M60/'Price History'!M59-1),"")</f>
        <v>-0.01241094001379</v>
      </c>
      <c r="N59" s="143" t="n">
        <f aca="false">IFERROR(IF(OR(NOT(ISNUMBER('Price History'!N60)),NOT(ISNUMBER('Price History'!N59)),'Price History'!N59=0),"",'Price History'!N60/'Price History'!N59-1),"")</f>
        <v>0.0094126506024097</v>
      </c>
      <c r="O59" s="143" t="n">
        <f aca="false">IFERROR(IF(OR(NOT(ISNUMBER('Price History'!O60)),NOT(ISNUMBER('Price History'!O59)),'Price History'!O59=0),"",'Price History'!O60/'Price History'!O59-1),"")</f>
        <v>0.00433886538670136</v>
      </c>
      <c r="P59" s="143" t="n">
        <f aca="false">IFERROR(IF(OR(NOT(ISNUMBER('Price History'!P60)),NOT(ISNUMBER('Price History'!P59)),'Price History'!P59=0),"",'Price History'!P60/'Price History'!P59-1),"")</f>
        <v>0.0522528328231566</v>
      </c>
      <c r="Q59" s="143" t="n">
        <f aca="false">IFERROR(IF(OR(NOT(ISNUMBER('Price History'!Q60)),NOT(ISNUMBER('Price History'!Q59)),'Price History'!Q59=0),"",'Price History'!Q60/'Price History'!Q59-1),"")</f>
        <v>0.0459975886887583</v>
      </c>
      <c r="R59" s="143" t="n">
        <f aca="false">IFERROR(IF(OR(NOT(ISNUMBER('Price History'!R60)),NOT(ISNUMBER('Price History'!R59)),'Price History'!R59=0),"",'Price History'!R60/'Price History'!R59-1),"")</f>
        <v>0.0465342679127725</v>
      </c>
      <c r="S59" s="143" t="n">
        <f aca="false">IFERROR(IF(OR(NOT(ISNUMBER('Price History'!S60)),NOT(ISNUMBER('Price History'!S59)),'Price History'!S59=0),"",'Price History'!S60/'Price History'!S59-1),"")</f>
        <v>0.061487130600572</v>
      </c>
      <c r="T59" s="143" t="n">
        <f aca="false">IFERROR(IF(OR(NOT(ISNUMBER('Price History'!T60)),NOT(ISNUMBER('Price History'!T59)),'Price History'!T59=0),"",'Price History'!T60/'Price History'!T59-1),"")</f>
        <v>0.0235626767200754</v>
      </c>
      <c r="U59" s="143" t="str">
        <f aca="false">IFERROR(IF(OR(NOT(ISNUMBER('Price History'!U60)),NOT(ISNUMBER('Price History'!U59)),'Price History'!U59=0),"",'Price History'!U60/'Price History'!U59-1),"")</f>
        <v/>
      </c>
      <c r="V59" s="144" t="n">
        <f aca="false">IFERROR(IF(OR(NOT(ISNUMBER('Price History'!V60)),NOT(ISNUMBER('Price History'!V59)),'Price History'!V59=0),"",'Price History'!V60/'Price History'!V59-1),"")</f>
        <v>0.028558971005014</v>
      </c>
      <c r="W59" s="145" t="str">
        <f aca="false">IFERROR('Price History'!B3+(INDEX('Price History'!B:B,MATCH(9.99E+307,'Price History'!$A:$A))-'Price History'!B3)*(ROW()-3)/(MATCH(9.99E+307,'Returns (Calc)'!$A:$A)-3),"")</f>
        <v/>
      </c>
      <c r="X59" s="145" t="n">
        <f aca="false">IFERROR('Price History'!C3+(INDEX('Price History'!C:C,MATCH(9.99E+307,'Price History'!$A:$A))-'Price History'!C3)*(ROW()-3)/(MATCH(9.99E+307,'Returns (Calc)'!$A:$A)-3),"")</f>
        <v>29.9153459119497</v>
      </c>
      <c r="Y59" s="145" t="n">
        <f aca="false">IFERROR('Price History'!D3+(INDEX('Price History'!D:D,MATCH(9.99E+307,'Price History'!$A:$A))-'Price History'!D3)*(ROW()-3)/(MATCH(9.99E+307,'Returns (Calc)'!$A:$A)-3),"")</f>
        <v>377.02534591195</v>
      </c>
      <c r="Z59" s="145" t="n">
        <f aca="false">IFERROR('Price History'!E3+(INDEX('Price History'!E:E,MATCH(9.99E+307,'Price History'!$A:$A))-'Price History'!E3)*(ROW()-3)/(MATCH(9.99E+307,'Returns (Calc)'!$A:$A)-3),"")</f>
        <v>53.1194968553459</v>
      </c>
      <c r="AA59" s="145" t="n">
        <f aca="false">IFERROR('Price History'!F3+(INDEX('Price History'!F:F,MATCH(9.99E+307,'Price History'!$A:$A))-'Price History'!F3)*(ROW()-3)/(MATCH(9.99E+307,'Returns (Calc)'!$A:$A)-3),"")</f>
        <v>48.7857232704403</v>
      </c>
      <c r="AB59" s="145" t="n">
        <f aca="false">IFERROR('Price History'!G3+(INDEX('Price History'!G:G,MATCH(9.99E+307,'Price History'!$A:$A))-'Price History'!G3)*(ROW()-3)/(MATCH(9.99E+307,'Returns (Calc)'!$A:$A)-3),"")</f>
        <v>26.7929559748428</v>
      </c>
      <c r="AC59" s="145" t="n">
        <f aca="false">IFERROR('Price History'!H3+(INDEX('Price History'!H:H,MATCH(9.99E+307,'Price History'!$A:$A))-'Price History'!H3)*(ROW()-3)/(MATCH(9.99E+307,'Returns (Calc)'!$A:$A)-3),"")</f>
        <v>65.1620754716981</v>
      </c>
      <c r="AD59" s="145" t="n">
        <f aca="false">IFERROR('Price History'!I3+(INDEX('Price History'!I:I,MATCH(9.99E+307,'Price History'!$A:$A))-'Price History'!I3)*(ROW()-3)/(MATCH(9.99E+307,'Returns (Calc)'!$A:$A)-3),"")</f>
        <v>28.7298742138365</v>
      </c>
      <c r="AE59" s="145" t="n">
        <f aca="false">IFERROR('Price History'!J3+(INDEX('Price History'!J:J,MATCH(9.99E+307,'Price History'!$A:$A))-'Price History'!J3)*(ROW()-3)/(MATCH(9.99E+307,'Returns (Calc)'!$A:$A)-3),"")</f>
        <v>44.7693710691824</v>
      </c>
      <c r="AF59" s="145" t="n">
        <f aca="false">IFERROR('Price History'!K3+(INDEX('Price History'!K:K,MATCH(9.99E+307,'Price History'!$A:$A))-'Price History'!K3)*(ROW()-3)/(MATCH(9.99E+307,'Returns (Calc)'!$A:$A)-3),"")</f>
        <v>28.3541509433962</v>
      </c>
      <c r="AG59" s="145" t="n">
        <f aca="false">IFERROR('Price History'!L3+(INDEX('Price History'!L:L,MATCH(9.99E+307,'Price History'!$A:$A))-'Price History'!L3)*(ROW()-3)/(MATCH(9.99E+307,'Returns (Calc)'!$A:$A)-3),"")</f>
        <v>72.4498113207547</v>
      </c>
      <c r="AH59" s="145" t="n">
        <f aca="false">IFERROR('Price History'!M3+(INDEX('Price History'!M:M,MATCH(9.99E+307,'Price History'!$A:$A))-'Price History'!M3)*(ROW()-3)/(MATCH(9.99E+307,'Returns (Calc)'!$A:$A)-3),"")</f>
        <v>9.93075471698113</v>
      </c>
      <c r="AI59" s="145" t="n">
        <f aca="false">IFERROR('Price History'!N3+(INDEX('Price History'!N:N,MATCH(9.99E+307,'Price History'!$A:$A))-'Price History'!N3)*(ROW()-3)/(MATCH(9.99E+307,'Returns (Calc)'!$A:$A)-3),"")</f>
        <v>14.1220125786164</v>
      </c>
      <c r="AJ59" s="145" t="n">
        <f aca="false">IFERROR('Price History'!O3+(INDEX('Price History'!O:O,MATCH(9.99E+307,'Price History'!$A:$A))-'Price History'!O3)*(ROW()-3)/(MATCH(9.99E+307,'Returns (Calc)'!$A:$A)-3),"")</f>
        <v>37.332641509434</v>
      </c>
      <c r="AK59" s="145" t="n">
        <f aca="false">IFERROR('Price History'!Q3+(INDEX('Price History'!Q:Q,MATCH(9.99E+307,'Price History'!$A:$A))-'Price History'!Q3)*(ROW()-3)/(MATCH(9.99E+307,'Returns (Calc)'!$A:$A)-3),"")</f>
        <v>152.640817610063</v>
      </c>
      <c r="AL59" s="145" t="n">
        <f aca="false">IFERROR('Price History'!R3+(INDEX('Price History'!R:R,MATCH(9.99E+307,'Price History'!$A:$A))-'Price History'!R3)*(ROW()-3)/(MATCH(9.99E+307,'Returns (Calc)'!$A:$A)-3),"")</f>
        <v>30.9777358490566</v>
      </c>
      <c r="AM59" s="145" t="n">
        <f aca="false">IFERROR('Price History'!S3+(INDEX('Price History'!S:S,MATCH(9.99E+307,'Price History'!$A:$A))-'Price History'!S3)*(ROW()-3)/(MATCH(9.99E+307,'Returns (Calc)'!$A:$A)-3),"")</f>
        <v>37.9221383647799</v>
      </c>
      <c r="AN59" s="145" t="n">
        <f aca="false">IFERROR('Price History'!T3+(INDEX('Price History'!T:T,MATCH(9.99E+307,'Price History'!$A:$A))-'Price History'!T3)*(ROW()-3)/(MATCH(9.99E+307,'Returns (Calc)'!$A:$A)-3),"")</f>
        <v>17.4322641509434</v>
      </c>
      <c r="AO59" s="146" t="n">
        <f aca="false">IFERROR('Price History'!V3+(INDEX('Price History'!V:V,MATCH(9.99E+307,'Price History'!$A:$A))-'Price History'!V3)*(ROW()-3)/(MATCH(9.99E+307,'Returns (Calc)'!$A:$A)-3),"")</f>
        <v>0</v>
      </c>
    </row>
    <row r="60" customFormat="false" ht="15" hidden="false" customHeight="true" outlineLevel="0" collapsed="false">
      <c r="A60" s="142" t="n">
        <f aca="false">IF('Price History'!A61="","",'Price History'!A61)</f>
        <v>45590</v>
      </c>
      <c r="B60" s="143" t="n">
        <f aca="false">IFERROR(IF(OR(NOT(ISNUMBER('Price History'!B61)),NOT(ISNUMBER('Price History'!B60)),'Price History'!B60=0),"",'Price History'!B61/'Price History'!B60-1),"")</f>
        <v>-0.0225904223075368</v>
      </c>
      <c r="C60" s="143" t="n">
        <f aca="false">IFERROR(IF(OR(NOT(ISNUMBER('Price History'!C61)),NOT(ISNUMBER('Price History'!C60)),'Price History'!C60=0),"",'Price History'!C61/'Price History'!C60-1),"")</f>
        <v>-0.0197014925373135</v>
      </c>
      <c r="D60" s="143" t="n">
        <f aca="false">IFERROR(IF(OR(NOT(ISNUMBER('Price History'!D61)),NOT(ISNUMBER('Price History'!D60)),'Price History'!D60=0),"",'Price History'!D61/'Price History'!D60-1),"")</f>
        <v>-0.0159839176764979</v>
      </c>
      <c r="E60" s="143" t="n">
        <f aca="false">IFERROR(IF(OR(NOT(ISNUMBER('Price History'!E61)),NOT(ISNUMBER('Price History'!E60)),'Price History'!E60=0),"",'Price History'!E61/'Price History'!E60-1),"")</f>
        <v>-0.0382853588192049</v>
      </c>
      <c r="F60" s="143" t="n">
        <f aca="false">IFERROR(IF(OR(NOT(ISNUMBER('Price History'!F61)),NOT(ISNUMBER('Price History'!F60)),'Price History'!F60=0),"",'Price History'!F61/'Price History'!F60-1),"")</f>
        <v>-0.0332878294655046</v>
      </c>
      <c r="G60" s="143" t="n">
        <f aca="false">IFERROR(IF(OR(NOT(ISNUMBER('Price History'!G61)),NOT(ISNUMBER('Price History'!G60)),'Price History'!G60=0),"",'Price History'!G61/'Price History'!G60-1),"")</f>
        <v>-0.0308228011348981</v>
      </c>
      <c r="H60" s="143" t="n">
        <f aca="false">IFERROR(IF(OR(NOT(ISNUMBER('Price History'!H61)),NOT(ISNUMBER('Price History'!H60)),'Price History'!H60=0),"",'Price History'!H61/'Price History'!H60-1),"")</f>
        <v>-0.0236041405269761</v>
      </c>
      <c r="I60" s="143" t="n">
        <f aca="false">IFERROR(IF(OR(NOT(ISNUMBER('Price History'!I61)),NOT(ISNUMBER('Price History'!I60)),'Price History'!I60=0),"",'Price History'!I61/'Price History'!I60-1),"")</f>
        <v>-0.00792938360263318</v>
      </c>
      <c r="J60" s="143" t="n">
        <f aca="false">IFERROR(IF(OR(NOT(ISNUMBER('Price History'!J61)),NOT(ISNUMBER('Price History'!J60)),'Price History'!J60=0),"",'Price History'!J61/'Price History'!J60-1),"")</f>
        <v>-0.0291191897268945</v>
      </c>
      <c r="K60" s="143" t="n">
        <f aca="false">IFERROR(IF(OR(NOT(ISNUMBER('Price History'!K61)),NOT(ISNUMBER('Price History'!K60)),'Price History'!K60=0),"",'Price History'!K61/'Price History'!K60-1),"")</f>
        <v>0.0256484778028045</v>
      </c>
      <c r="L60" s="143" t="n">
        <f aca="false">IFERROR(IF(OR(NOT(ISNUMBER('Price History'!L61)),NOT(ISNUMBER('Price History'!L60)),'Price History'!L60=0),"",'Price History'!L61/'Price History'!L60-1),"")</f>
        <v>-0.0404957235119567</v>
      </c>
      <c r="M60" s="143" t="n">
        <f aca="false">IFERROR(IF(OR(NOT(ISNUMBER('Price History'!M61)),NOT(ISNUMBER('Price History'!M60)),'Price History'!M60=0),"",'Price History'!M61/'Price History'!M60-1),"")</f>
        <v>0.0439841750058181</v>
      </c>
      <c r="N60" s="143" t="n">
        <f aca="false">IFERROR(IF(OR(NOT(ISNUMBER('Price History'!N61)),NOT(ISNUMBER('Price History'!N60)),'Price History'!N60=0),"",'Price History'!N61/'Price History'!N60-1),"")</f>
        <v>-0.0231256993659081</v>
      </c>
      <c r="O60" s="143" t="n">
        <f aca="false">IFERROR(IF(OR(NOT(ISNUMBER('Price History'!O61)),NOT(ISNUMBER('Price History'!O60)),'Price History'!O60=0),"",'Price History'!O61/'Price History'!O60-1),"")</f>
        <v>-0.0146884112755157</v>
      </c>
      <c r="P60" s="143" t="n">
        <f aca="false">IFERROR(IF(OR(NOT(ISNUMBER('Price History'!P61)),NOT(ISNUMBER('Price History'!P60)),'Price History'!P60=0),"",'Price History'!P61/'Price History'!P60-1),"")</f>
        <v>0.0132693681739309</v>
      </c>
      <c r="Q60" s="143" t="n">
        <f aca="false">IFERROR(IF(OR(NOT(ISNUMBER('Price History'!Q61)),NOT(ISNUMBER('Price History'!Q60)),'Price History'!Q60=0),"",'Price History'!Q61/'Price History'!Q60-1),"")</f>
        <v>-0.030562347188264</v>
      </c>
      <c r="R60" s="143" t="n">
        <f aca="false">IFERROR(IF(OR(NOT(ISNUMBER('Price History'!R61)),NOT(ISNUMBER('Price History'!R60)),'Price History'!R60=0),"",'Price History'!R61/'Price History'!R60-1),"")</f>
        <v>0.0122790697674418</v>
      </c>
      <c r="S60" s="143" t="n">
        <f aca="false">IFERROR(IF(OR(NOT(ISNUMBER('Price History'!S61)),NOT(ISNUMBER('Price History'!S60)),'Price History'!S60=0),"",'Price History'!S61/'Price History'!S60-1),"")</f>
        <v>0.0162775033677594</v>
      </c>
      <c r="T60" s="143" t="n">
        <f aca="false">IFERROR(IF(OR(NOT(ISNUMBER('Price History'!T61)),NOT(ISNUMBER('Price History'!T60)),'Price History'!T60=0),"",'Price History'!T61/'Price History'!T60-1),"")</f>
        <v>0.0171884591774096</v>
      </c>
      <c r="U60" s="143" t="str">
        <f aca="false">IFERROR(IF(OR(NOT(ISNUMBER('Price History'!U61)),NOT(ISNUMBER('Price History'!U60)),'Price History'!U60=0),"",'Price History'!U61/'Price History'!U60-1),"")</f>
        <v/>
      </c>
      <c r="V60" s="144" t="n">
        <f aca="false">IFERROR(IF(OR(NOT(ISNUMBER('Price History'!V61)),NOT(ISNUMBER('Price History'!V60)),'Price History'!V60=0),"",'Price History'!V61/'Price History'!V60-1),"")</f>
        <v>-0.00897272855729814</v>
      </c>
      <c r="W60" s="145" t="str">
        <f aca="false">IFERROR('Price History'!B3+(INDEX('Price History'!B:B,MATCH(9.99E+307,'Price History'!$A:$A))-'Price History'!B3)*(ROW()-3)/(MATCH(9.99E+307,'Returns (Calc)'!$A:$A)-3),"")</f>
        <v/>
      </c>
      <c r="X60" s="145" t="n">
        <f aca="false">IFERROR('Price History'!C3+(INDEX('Price History'!C:C,MATCH(9.99E+307,'Price History'!$A:$A))-'Price History'!C3)*(ROW()-3)/(MATCH(9.99E+307,'Returns (Calc)'!$A:$A)-3),"")</f>
        <v>29.6249056603774</v>
      </c>
      <c r="Y60" s="145" t="n">
        <f aca="false">IFERROR('Price History'!D3+(INDEX('Price History'!D:D,MATCH(9.99E+307,'Price History'!$A:$A))-'Price History'!D3)*(ROW()-3)/(MATCH(9.99E+307,'Returns (Calc)'!$A:$A)-3),"")</f>
        <v>373.364905660377</v>
      </c>
      <c r="Z60" s="145" t="n">
        <f aca="false">IFERROR('Price History'!E3+(INDEX('Price History'!E:E,MATCH(9.99E+307,'Price History'!$A:$A))-'Price History'!E3)*(ROW()-3)/(MATCH(9.99E+307,'Returns (Calc)'!$A:$A)-3),"")</f>
        <v>52.6037735849057</v>
      </c>
      <c r="AA60" s="145" t="n">
        <f aca="false">IFERROR('Price History'!F3+(INDEX('Price History'!F:F,MATCH(9.99E+307,'Price History'!$A:$A))-'Price History'!F3)*(ROW()-3)/(MATCH(9.99E+307,'Returns (Calc)'!$A:$A)-3),"")</f>
        <v>48.3120754716981</v>
      </c>
      <c r="AB60" s="145" t="n">
        <f aca="false">IFERROR('Price History'!G3+(INDEX('Price History'!G:G,MATCH(9.99E+307,'Price History'!$A:$A))-'Price History'!G3)*(ROW()-3)/(MATCH(9.99E+307,'Returns (Calc)'!$A:$A)-3),"")</f>
        <v>26.5328301886792</v>
      </c>
      <c r="AC60" s="145" t="n">
        <f aca="false">IFERROR('Price History'!H3+(INDEX('Price History'!H:H,MATCH(9.99E+307,'Price History'!$A:$A))-'Price History'!H3)*(ROW()-3)/(MATCH(9.99E+307,'Returns (Calc)'!$A:$A)-3),"")</f>
        <v>64.5294339622642</v>
      </c>
      <c r="AD60" s="145" t="n">
        <f aca="false">IFERROR('Price History'!I3+(INDEX('Price History'!I:I,MATCH(9.99E+307,'Price History'!$A:$A))-'Price History'!I3)*(ROW()-3)/(MATCH(9.99E+307,'Returns (Calc)'!$A:$A)-3),"")</f>
        <v>28.4509433962264</v>
      </c>
      <c r="AE60" s="145" t="n">
        <f aca="false">IFERROR('Price History'!J3+(INDEX('Price History'!J:J,MATCH(9.99E+307,'Price History'!$A:$A))-'Price History'!J3)*(ROW()-3)/(MATCH(9.99E+307,'Returns (Calc)'!$A:$A)-3),"")</f>
        <v>44.3347169811321</v>
      </c>
      <c r="AF60" s="145" t="n">
        <f aca="false">IFERROR('Price History'!K3+(INDEX('Price History'!K:K,MATCH(9.99E+307,'Price History'!$A:$A))-'Price History'!K3)*(ROW()-3)/(MATCH(9.99E+307,'Returns (Calc)'!$A:$A)-3),"")</f>
        <v>28.0788679245283</v>
      </c>
      <c r="AG60" s="145" t="n">
        <f aca="false">IFERROR('Price History'!L3+(INDEX('Price History'!L:L,MATCH(9.99E+307,'Price History'!$A:$A))-'Price History'!L3)*(ROW()-3)/(MATCH(9.99E+307,'Returns (Calc)'!$A:$A)-3),"")</f>
        <v>71.7464150943396</v>
      </c>
      <c r="AH60" s="145" t="n">
        <f aca="false">IFERROR('Price History'!M3+(INDEX('Price History'!M:M,MATCH(9.99E+307,'Price History'!$A:$A))-'Price History'!M3)*(ROW()-3)/(MATCH(9.99E+307,'Returns (Calc)'!$A:$A)-3),"")</f>
        <v>9.83433962264151</v>
      </c>
      <c r="AI60" s="145" t="n">
        <f aca="false">IFERROR('Price History'!N3+(INDEX('Price History'!N:N,MATCH(9.99E+307,'Price History'!$A:$A))-'Price History'!N3)*(ROW()-3)/(MATCH(9.99E+307,'Returns (Calc)'!$A:$A)-3),"")</f>
        <v>13.9849056603774</v>
      </c>
      <c r="AJ60" s="145" t="n">
        <f aca="false">IFERROR('Price History'!O3+(INDEX('Price History'!O:O,MATCH(9.99E+307,'Price History'!$A:$A))-'Price History'!O3)*(ROW()-3)/(MATCH(9.99E+307,'Returns (Calc)'!$A:$A)-3),"")</f>
        <v>36.9701886792453</v>
      </c>
      <c r="AK60" s="145" t="n">
        <f aca="false">IFERROR('Price History'!Q3+(INDEX('Price History'!Q:Q,MATCH(9.99E+307,'Price History'!$A:$A))-'Price History'!Q3)*(ROW()-3)/(MATCH(9.99E+307,'Returns (Calc)'!$A:$A)-3),"")</f>
        <v>151.158867924528</v>
      </c>
      <c r="AL60" s="145" t="n">
        <f aca="false">IFERROR('Price History'!R3+(INDEX('Price History'!R:R,MATCH(9.99E+307,'Price History'!$A:$A))-'Price History'!R3)*(ROW()-3)/(MATCH(9.99E+307,'Returns (Calc)'!$A:$A)-3),"")</f>
        <v>30.6769811320755</v>
      </c>
      <c r="AM60" s="145" t="n">
        <f aca="false">IFERROR('Price History'!S3+(INDEX('Price History'!S:S,MATCH(9.99E+307,'Price History'!$A:$A))-'Price History'!S3)*(ROW()-3)/(MATCH(9.99E+307,'Returns (Calc)'!$A:$A)-3),"")</f>
        <v>37.5539622641509</v>
      </c>
      <c r="AN60" s="145" t="n">
        <f aca="false">IFERROR('Price History'!T3+(INDEX('Price History'!T:T,MATCH(9.99E+307,'Price History'!$A:$A))-'Price History'!T3)*(ROW()-3)/(MATCH(9.99E+307,'Returns (Calc)'!$A:$A)-3),"")</f>
        <v>17.2630188679245</v>
      </c>
      <c r="AO60" s="146" t="n">
        <f aca="false">IFERROR('Price History'!V3+(INDEX('Price History'!V:V,MATCH(9.99E+307,'Price History'!$A:$A))-'Price History'!V3)*(ROW()-3)/(MATCH(9.99E+307,'Returns (Calc)'!$A:$A)-3),"")</f>
        <v>0</v>
      </c>
    </row>
    <row r="61" customFormat="false" ht="15" hidden="false" customHeight="true" outlineLevel="0" collapsed="false">
      <c r="A61" s="142" t="n">
        <f aca="false">IF('Price History'!A62="","",'Price History'!A62)</f>
        <v>45597</v>
      </c>
      <c r="B61" s="143" t="n">
        <f aca="false">IFERROR(IF(OR(NOT(ISNUMBER('Price History'!B62)),NOT(ISNUMBER('Price History'!B61)),'Price History'!B61=0),"",'Price History'!B62/'Price History'!B61-1),"")</f>
        <v>-0.00190192673447454</v>
      </c>
      <c r="C61" s="143" t="n">
        <f aca="false">IFERROR(IF(OR(NOT(ISNUMBER('Price History'!C62)),NOT(ISNUMBER('Price History'!C61)),'Price History'!C61=0),"",'Price History'!C62/'Price History'!C61-1),"")</f>
        <v>0.000203004466098333</v>
      </c>
      <c r="D61" s="143" t="n">
        <f aca="false">IFERROR(IF(OR(NOT(ISNUMBER('Price History'!D62)),NOT(ISNUMBER('Price History'!D61)),'Price History'!D61=0),"",'Price History'!D62/'Price History'!D61-1),"")</f>
        <v>-0.0497449890709603</v>
      </c>
      <c r="E61" s="143" t="n">
        <f aca="false">IFERROR(IF(OR(NOT(ISNUMBER('Price History'!E62)),NOT(ISNUMBER('Price History'!E61)),'Price History'!E61=0),"",'Price History'!E62/'Price History'!E61-1),"")</f>
        <v>-0.0236387157473833</v>
      </c>
      <c r="F61" s="143" t="n">
        <f aca="false">IFERROR(IF(OR(NOT(ISNUMBER('Price History'!F62)),NOT(ISNUMBER('Price History'!F61)),'Price History'!F61=0),"",'Price History'!F62/'Price History'!F61-1),"")</f>
        <v>-0.00238974581794482</v>
      </c>
      <c r="G61" s="143" t="n">
        <f aca="false">IFERROR(IF(OR(NOT(ISNUMBER('Price History'!G62)),NOT(ISNUMBER('Price History'!G61)),'Price History'!G61=0),"",'Price History'!G62/'Price History'!G61-1),"")</f>
        <v>0.00838323353293413</v>
      </c>
      <c r="H61" s="143" t="n">
        <f aca="false">IFERROR(IF(OR(NOT(ISNUMBER('Price History'!H62)),NOT(ISNUMBER('Price History'!H61)),'Price History'!H61=0),"",'Price History'!H62/'Price History'!H61-1),"")</f>
        <v>-0.000963778009798411</v>
      </c>
      <c r="I61" s="143" t="n">
        <f aca="false">IFERROR(IF(OR(NOT(ISNUMBER('Price History'!I62)),NOT(ISNUMBER('Price History'!I61)),'Price History'!I61=0),"",'Price History'!I62/'Price History'!I61-1),"")</f>
        <v>-0.00557985220931989</v>
      </c>
      <c r="J61" s="143" t="n">
        <f aca="false">IFERROR(IF(OR(NOT(ISNUMBER('Price History'!J62)),NOT(ISNUMBER('Price History'!J61)),'Price History'!J61=0),"",'Price History'!J62/'Price History'!J61-1),"")</f>
        <v>-0.0758196721311476</v>
      </c>
      <c r="K61" s="143" t="n">
        <f aca="false">IFERROR(IF(OR(NOT(ISNUMBER('Price History'!K62)),NOT(ISNUMBER('Price History'!K61)),'Price History'!K61=0),"",'Price History'!K62/'Price History'!K61-1),"")</f>
        <v>-0.0433550580901105</v>
      </c>
      <c r="L61" s="143" t="n">
        <f aca="false">IFERROR(IF(OR(NOT(ISNUMBER('Price History'!L62)),NOT(ISNUMBER('Price History'!L61)),'Price History'!L61=0),"",'Price History'!L62/'Price History'!L61-1),"")</f>
        <v>-0.0352010187374933</v>
      </c>
      <c r="M61" s="143" t="n">
        <f aca="false">IFERROR(IF(OR(NOT(ISNUMBER('Price History'!M62)),NOT(ISNUMBER('Price History'!M61)),'Price History'!M61=0),"",'Price History'!M62/'Price History'!M61-1),"")</f>
        <v>-0.0655372269282211</v>
      </c>
      <c r="N61" s="143" t="n">
        <f aca="false">IFERROR(IF(OR(NOT(ISNUMBER('Price History'!N62)),NOT(ISNUMBER('Price History'!N61)),'Price History'!N61=0),"",'Price History'!N62/'Price History'!N61-1),"")</f>
        <v>-0.00152730049637273</v>
      </c>
      <c r="O61" s="143" t="n">
        <f aca="false">IFERROR(IF(OR(NOT(ISNUMBER('Price History'!O62)),NOT(ISNUMBER('Price History'!O61)),'Price History'!O61=0),"",'Price History'!O62/'Price History'!O61-1),"")</f>
        <v>-0.0137016332346815</v>
      </c>
      <c r="P61" s="143" t="n">
        <f aca="false">IFERROR(IF(OR(NOT(ISNUMBER('Price History'!P62)),NOT(ISNUMBER('Price History'!P61)),'Price History'!P61=0),"",'Price History'!P62/'Price History'!P61-1),"")</f>
        <v>-0.0515765085121385</v>
      </c>
      <c r="Q61" s="143" t="n">
        <f aca="false">IFERROR(IF(OR(NOT(ISNUMBER('Price History'!Q62)),NOT(ISNUMBER('Price History'!Q61)),'Price History'!Q61=0),"",'Price History'!Q62/'Price History'!Q61-1),"")</f>
        <v>0.0319582057286976</v>
      </c>
      <c r="R61" s="143" t="n">
        <f aca="false">IFERROR(IF(OR(NOT(ISNUMBER('Price History'!R62)),NOT(ISNUMBER('Price History'!R61)),'Price History'!R61=0),"",'Price History'!R62/'Price History'!R61-1),"")</f>
        <v>0.00716780003675788</v>
      </c>
      <c r="S61" s="143" t="n">
        <f aca="false">IFERROR(IF(OR(NOT(ISNUMBER('Price History'!S62)),NOT(ISNUMBER('Price History'!S61)),'Price History'!S61=0),"",'Price History'!S62/'Price History'!S61-1),"")</f>
        <v>-0.00209875179498509</v>
      </c>
      <c r="T61" s="143" t="n">
        <f aca="false">IFERROR(IF(OR(NOT(ISNUMBER('Price History'!T62)),NOT(ISNUMBER('Price History'!T61)),'Price History'!T61=0),"",'Price History'!T62/'Price History'!T61-1),"")</f>
        <v>0.00211225105612556</v>
      </c>
      <c r="U61" s="143" t="str">
        <f aca="false">IFERROR(IF(OR(NOT(ISNUMBER('Price History'!U62)),NOT(ISNUMBER('Price History'!U61)),'Price History'!U61=0),"",'Price History'!U62/'Price History'!U61-1),"")</f>
        <v/>
      </c>
      <c r="V61" s="144" t="n">
        <f aca="false">IFERROR(IF(OR(NOT(ISNUMBER('Price History'!V62)),NOT(ISNUMBER('Price History'!V61)),'Price History'!V61=0),"",'Price History'!V62/'Price History'!V61-1),"")</f>
        <v>-0.0337206815427391</v>
      </c>
      <c r="W61" s="145" t="str">
        <f aca="false">IFERROR('Price History'!B3+(INDEX('Price History'!B:B,MATCH(9.99E+307,'Price History'!$A:$A))-'Price History'!B3)*(ROW()-3)/(MATCH(9.99E+307,'Returns (Calc)'!$A:$A)-3),"")</f>
        <v/>
      </c>
      <c r="X61" s="145" t="n">
        <f aca="false">IFERROR('Price History'!C3+(INDEX('Price History'!C:C,MATCH(9.99E+307,'Price History'!$A:$A))-'Price History'!C3)*(ROW()-3)/(MATCH(9.99E+307,'Returns (Calc)'!$A:$A)-3),"")</f>
        <v>29.334465408805</v>
      </c>
      <c r="Y61" s="145" t="n">
        <f aca="false">IFERROR('Price History'!D3+(INDEX('Price History'!D:D,MATCH(9.99E+307,'Price History'!$A:$A))-'Price History'!D3)*(ROW()-3)/(MATCH(9.99E+307,'Returns (Calc)'!$A:$A)-3),"")</f>
        <v>369.704465408805</v>
      </c>
      <c r="Z61" s="145" t="n">
        <f aca="false">IFERROR('Price History'!E3+(INDEX('Price History'!E:E,MATCH(9.99E+307,'Price History'!$A:$A))-'Price History'!E3)*(ROW()-3)/(MATCH(9.99E+307,'Returns (Calc)'!$A:$A)-3),"")</f>
        <v>52.0880503144654</v>
      </c>
      <c r="AA61" s="145" t="n">
        <f aca="false">IFERROR('Price History'!F3+(INDEX('Price History'!F:F,MATCH(9.99E+307,'Price History'!$A:$A))-'Price History'!F3)*(ROW()-3)/(MATCH(9.99E+307,'Returns (Calc)'!$A:$A)-3),"")</f>
        <v>47.838427672956</v>
      </c>
      <c r="AB61" s="145" t="n">
        <f aca="false">IFERROR('Price History'!G3+(INDEX('Price History'!G:G,MATCH(9.99E+307,'Price History'!$A:$A))-'Price History'!G3)*(ROW()-3)/(MATCH(9.99E+307,'Returns (Calc)'!$A:$A)-3),"")</f>
        <v>26.2727044025157</v>
      </c>
      <c r="AC61" s="145" t="n">
        <f aca="false">IFERROR('Price History'!H3+(INDEX('Price History'!H:H,MATCH(9.99E+307,'Price History'!$A:$A))-'Price History'!H3)*(ROW()-3)/(MATCH(9.99E+307,'Returns (Calc)'!$A:$A)-3),"")</f>
        <v>63.8967924528302</v>
      </c>
      <c r="AD61" s="145" t="n">
        <f aca="false">IFERROR('Price History'!I3+(INDEX('Price History'!I:I,MATCH(9.99E+307,'Price History'!$A:$A))-'Price History'!I3)*(ROW()-3)/(MATCH(9.99E+307,'Returns (Calc)'!$A:$A)-3),"")</f>
        <v>28.1720125786164</v>
      </c>
      <c r="AE61" s="145" t="n">
        <f aca="false">IFERROR('Price History'!J3+(INDEX('Price History'!J:J,MATCH(9.99E+307,'Price History'!$A:$A))-'Price History'!J3)*(ROW()-3)/(MATCH(9.99E+307,'Returns (Calc)'!$A:$A)-3),"")</f>
        <v>43.9000628930818</v>
      </c>
      <c r="AF61" s="145" t="n">
        <f aca="false">IFERROR('Price History'!K3+(INDEX('Price History'!K:K,MATCH(9.99E+307,'Price History'!$A:$A))-'Price History'!K3)*(ROW()-3)/(MATCH(9.99E+307,'Returns (Calc)'!$A:$A)-3),"")</f>
        <v>27.8035849056604</v>
      </c>
      <c r="AG61" s="145" t="n">
        <f aca="false">IFERROR('Price History'!L3+(INDEX('Price History'!L:L,MATCH(9.99E+307,'Price History'!$A:$A))-'Price History'!L3)*(ROW()-3)/(MATCH(9.99E+307,'Returns (Calc)'!$A:$A)-3),"")</f>
        <v>71.0430188679245</v>
      </c>
      <c r="AH61" s="145" t="n">
        <f aca="false">IFERROR('Price History'!M3+(INDEX('Price History'!M:M,MATCH(9.99E+307,'Price History'!$A:$A))-'Price History'!M3)*(ROW()-3)/(MATCH(9.99E+307,'Returns (Calc)'!$A:$A)-3),"")</f>
        <v>9.73792452830189</v>
      </c>
      <c r="AI61" s="145" t="n">
        <f aca="false">IFERROR('Price History'!N3+(INDEX('Price History'!N:N,MATCH(9.99E+307,'Price History'!$A:$A))-'Price History'!N3)*(ROW()-3)/(MATCH(9.99E+307,'Returns (Calc)'!$A:$A)-3),"")</f>
        <v>13.8477987421384</v>
      </c>
      <c r="AJ61" s="145" t="n">
        <f aca="false">IFERROR('Price History'!O3+(INDEX('Price History'!O:O,MATCH(9.99E+307,'Price History'!$A:$A))-'Price History'!O3)*(ROW()-3)/(MATCH(9.99E+307,'Returns (Calc)'!$A:$A)-3),"")</f>
        <v>36.6077358490566</v>
      </c>
      <c r="AK61" s="145" t="n">
        <f aca="false">IFERROR('Price History'!Q3+(INDEX('Price History'!Q:Q,MATCH(9.99E+307,'Price History'!$A:$A))-'Price History'!Q3)*(ROW()-3)/(MATCH(9.99E+307,'Returns (Calc)'!$A:$A)-3),"")</f>
        <v>149.676918238994</v>
      </c>
      <c r="AL61" s="145" t="n">
        <f aca="false">IFERROR('Price History'!R3+(INDEX('Price History'!R:R,MATCH(9.99E+307,'Price History'!$A:$A))-'Price History'!R3)*(ROW()-3)/(MATCH(9.99E+307,'Returns (Calc)'!$A:$A)-3),"")</f>
        <v>30.3762264150943</v>
      </c>
      <c r="AM61" s="145" t="n">
        <f aca="false">IFERROR('Price History'!S3+(INDEX('Price History'!S:S,MATCH(9.99E+307,'Price History'!$A:$A))-'Price History'!S3)*(ROW()-3)/(MATCH(9.99E+307,'Returns (Calc)'!$A:$A)-3),"")</f>
        <v>37.185786163522</v>
      </c>
      <c r="AN61" s="145" t="n">
        <f aca="false">IFERROR('Price History'!T3+(INDEX('Price History'!T:T,MATCH(9.99E+307,'Price History'!$A:$A))-'Price History'!T3)*(ROW()-3)/(MATCH(9.99E+307,'Returns (Calc)'!$A:$A)-3),"")</f>
        <v>17.0937735849057</v>
      </c>
      <c r="AO61" s="146" t="n">
        <f aca="false">IFERROR('Price History'!V3+(INDEX('Price History'!V:V,MATCH(9.99E+307,'Price History'!$A:$A))-'Price History'!V3)*(ROW()-3)/(MATCH(9.99E+307,'Returns (Calc)'!$A:$A)-3),"")</f>
        <v>0</v>
      </c>
    </row>
    <row r="62" customFormat="false" ht="15" hidden="false" customHeight="true" outlineLevel="0" collapsed="false">
      <c r="A62" s="142" t="n">
        <f aca="false">IF('Price History'!A63="","",'Price History'!A63)</f>
        <v>45604</v>
      </c>
      <c r="B62" s="143" t="n">
        <f aca="false">IFERROR(IF(OR(NOT(ISNUMBER('Price History'!B63)),NOT(ISNUMBER('Price History'!B62)),'Price History'!B62=0),"",'Price History'!B63/'Price History'!B62-1),"")</f>
        <v>0.0246064623032312</v>
      </c>
      <c r="C62" s="143" t="n">
        <f aca="false">IFERROR(IF(OR(NOT(ISNUMBER('Price History'!C63)),NOT(ISNUMBER('Price History'!C62)),'Price History'!C62=0),"",'Price History'!C63/'Price History'!C62-1),"")</f>
        <v>0.0159326161964684</v>
      </c>
      <c r="D62" s="143" t="n">
        <f aca="false">IFERROR(IF(OR(NOT(ISNUMBER('Price History'!D63)),NOT(ISNUMBER('Price History'!D62)),'Price History'!D62=0),"",'Price History'!D63/'Price History'!D62-1),"")</f>
        <v>-0.00780275125911445</v>
      </c>
      <c r="E62" s="143" t="n">
        <f aca="false">IFERROR(IF(OR(NOT(ISNUMBER('Price History'!E63)),NOT(ISNUMBER('Price History'!E62)),'Price History'!E62=0),"",'Price History'!E63/'Price History'!E62-1),"")</f>
        <v>0.0871476752589737</v>
      </c>
      <c r="F62" s="143" t="n">
        <f aca="false">IFERROR(IF(OR(NOT(ISNUMBER('Price History'!F63)),NOT(ISNUMBER('Price History'!F62)),'Price History'!F62=0),"",'Price History'!F63/'Price History'!F62-1),"")</f>
        <v>0.0886324041811846</v>
      </c>
      <c r="G62" s="143" t="n">
        <f aca="false">IFERROR(IF(OR(NOT(ISNUMBER('Price History'!G63)),NOT(ISNUMBER('Price History'!G62)),'Price History'!G62=0),"",'Price History'!G63/'Price History'!G62-1),"")</f>
        <v>0.0888097123251519</v>
      </c>
      <c r="H62" s="143" t="n">
        <f aca="false">IFERROR(IF(OR(NOT(ISNUMBER('Price History'!H63)),NOT(ISNUMBER('Price History'!H62)),'Price History'!H62=0),"",'Price History'!H63/'Price History'!H62-1),"")</f>
        <v>0.0347294798617253</v>
      </c>
      <c r="I62" s="143" t="n">
        <f aca="false">IFERROR(IF(OR(NOT(ISNUMBER('Price History'!I63)),NOT(ISNUMBER('Price History'!I62)),'Price History'!I62=0),"",'Price History'!I63/'Price History'!I62-1),"")</f>
        <v>0.02699423718532</v>
      </c>
      <c r="J62" s="143" t="n">
        <f aca="false">IFERROR(IF(OR(NOT(ISNUMBER('Price History'!J63)),NOT(ISNUMBER('Price History'!J62)),'Price History'!J62=0),"",'Price History'!J63/'Price History'!J62-1),"")</f>
        <v>0.122052005644023</v>
      </c>
      <c r="K62" s="143" t="n">
        <f aca="false">IFERROR(IF(OR(NOT(ISNUMBER('Price History'!K63)),NOT(ISNUMBER('Price History'!K62)),'Price History'!K62=0),"",'Price History'!K63/'Price History'!K62-1),"")</f>
        <v>0.0902695497630333</v>
      </c>
      <c r="L62" s="143" t="n">
        <f aca="false">IFERROR(IF(OR(NOT(ISNUMBER('Price History'!L63)),NOT(ISNUMBER('Price History'!L62)),'Price History'!L62=0),"",'Price History'!L63/'Price History'!L62-1),"")</f>
        <v>0.0214009616291129</v>
      </c>
      <c r="M62" s="143" t="n">
        <f aca="false">IFERROR(IF(OR(NOT(ISNUMBER('Price History'!M63)),NOT(ISNUMBER('Price History'!M62)),'Price History'!M62=0),"",'Price History'!M63/'Price History'!M62-1),"")</f>
        <v>0.392891221374046</v>
      </c>
      <c r="N62" s="143" t="n">
        <f aca="false">IFERROR(IF(OR(NOT(ISNUMBER('Price History'!N63)),NOT(ISNUMBER('Price History'!N62)),'Price History'!N62=0),"",'Price History'!N63/'Price History'!N62-1),"")</f>
        <v>0.0347992351816444</v>
      </c>
      <c r="O62" s="143" t="n">
        <f aca="false">IFERROR(IF(OR(NOT(ISNUMBER('Price History'!O63)),NOT(ISNUMBER('Price History'!O62)),'Price History'!O62=0),"",'Price History'!O63/'Price History'!O62-1),"")</f>
        <v>0.0597910646810402</v>
      </c>
      <c r="P62" s="143" t="n">
        <f aca="false">IFERROR(IF(OR(NOT(ISNUMBER('Price History'!P63)),NOT(ISNUMBER('Price History'!P62)),'Price History'!P62=0),"",'Price History'!P63/'Price History'!P62-1),"")</f>
        <v>0.0427509293680297</v>
      </c>
      <c r="Q62" s="143" t="n">
        <f aca="false">IFERROR(IF(OR(NOT(ISNUMBER('Price History'!Q63)),NOT(ISNUMBER('Price History'!Q62)),'Price History'!Q62=0),"",'Price History'!Q63/'Price History'!Q62-1),"")</f>
        <v>0.0589344319530758</v>
      </c>
      <c r="R62" s="143" t="n">
        <f aca="false">IFERROR(IF(OR(NOT(ISNUMBER('Price History'!R63)),NOT(ISNUMBER('Price History'!R62)),'Price History'!R62=0),"",'Price History'!R63/'Price History'!R62-1),"")</f>
        <v>-0.00784671532846715</v>
      </c>
      <c r="S62" s="143" t="n">
        <f aca="false">IFERROR(IF(OR(NOT(ISNUMBER('Price History'!S63)),NOT(ISNUMBER('Price History'!S62)),'Price History'!S62=0),"",'Price History'!S63/'Price History'!S62-1),"")</f>
        <v>0.0149435466017267</v>
      </c>
      <c r="T62" s="143" t="n">
        <f aca="false">IFERROR(IF(OR(NOT(ISNUMBER('Price History'!T63)),NOT(ISNUMBER('Price History'!T62)),'Price History'!T62=0),"",'Price History'!T63/'Price History'!T62-1),"")</f>
        <v>0.0186690755796446</v>
      </c>
      <c r="U62" s="143" t="str">
        <f aca="false">IFERROR(IF(OR(NOT(ISNUMBER('Price History'!U63)),NOT(ISNUMBER('Price History'!U62)),'Price History'!U62=0),"",'Price History'!U63/'Price History'!U62-1),"")</f>
        <v/>
      </c>
      <c r="V62" s="144" t="n">
        <f aca="false">IFERROR(IF(OR(NOT(ISNUMBER('Price History'!V63)),NOT(ISNUMBER('Price History'!V62)),'Price History'!V62=0),"",'Price History'!V63/'Price History'!V62-1),"")</f>
        <v>0.010033938320791</v>
      </c>
      <c r="W62" s="145" t="str">
        <f aca="false">IFERROR('Price History'!B3+(INDEX('Price History'!B:B,MATCH(9.99E+307,'Price History'!$A:$A))-'Price History'!B3)*(ROW()-3)/(MATCH(9.99E+307,'Returns (Calc)'!$A:$A)-3),"")</f>
        <v/>
      </c>
      <c r="X62" s="145" t="n">
        <f aca="false">IFERROR('Price History'!C3+(INDEX('Price History'!C:C,MATCH(9.99E+307,'Price History'!$A:$A))-'Price History'!C3)*(ROW()-3)/(MATCH(9.99E+307,'Returns (Calc)'!$A:$A)-3),"")</f>
        <v>29.0440251572327</v>
      </c>
      <c r="Y62" s="145" t="n">
        <f aca="false">IFERROR('Price History'!D3+(INDEX('Price History'!D:D,MATCH(9.99E+307,'Price History'!$A:$A))-'Price History'!D3)*(ROW()-3)/(MATCH(9.99E+307,'Returns (Calc)'!$A:$A)-3),"")</f>
        <v>366.044025157233</v>
      </c>
      <c r="Z62" s="145" t="n">
        <f aca="false">IFERROR('Price History'!E3+(INDEX('Price History'!E:E,MATCH(9.99E+307,'Price History'!$A:$A))-'Price History'!E3)*(ROW()-3)/(MATCH(9.99E+307,'Returns (Calc)'!$A:$A)-3),"")</f>
        <v>51.5723270440252</v>
      </c>
      <c r="AA62" s="145" t="n">
        <f aca="false">IFERROR('Price History'!F3+(INDEX('Price History'!F:F,MATCH(9.99E+307,'Price History'!$A:$A))-'Price History'!F3)*(ROW()-3)/(MATCH(9.99E+307,'Returns (Calc)'!$A:$A)-3),"")</f>
        <v>47.3647798742138</v>
      </c>
      <c r="AB62" s="145" t="n">
        <f aca="false">IFERROR('Price History'!G3+(INDEX('Price History'!G:G,MATCH(9.99E+307,'Price History'!$A:$A))-'Price History'!G3)*(ROW()-3)/(MATCH(9.99E+307,'Returns (Calc)'!$A:$A)-3),"")</f>
        <v>26.0125786163522</v>
      </c>
      <c r="AC62" s="145" t="n">
        <f aca="false">IFERROR('Price History'!H3+(INDEX('Price History'!H:H,MATCH(9.99E+307,'Price History'!$A:$A))-'Price History'!H3)*(ROW()-3)/(MATCH(9.99E+307,'Returns (Calc)'!$A:$A)-3),"")</f>
        <v>63.2641509433962</v>
      </c>
      <c r="AD62" s="145" t="n">
        <f aca="false">IFERROR('Price History'!I3+(INDEX('Price History'!I:I,MATCH(9.99E+307,'Price History'!$A:$A))-'Price History'!I3)*(ROW()-3)/(MATCH(9.99E+307,'Returns (Calc)'!$A:$A)-3),"")</f>
        <v>27.8930817610063</v>
      </c>
      <c r="AE62" s="145" t="n">
        <f aca="false">IFERROR('Price History'!J3+(INDEX('Price History'!J:J,MATCH(9.99E+307,'Price History'!$A:$A))-'Price History'!J3)*(ROW()-3)/(MATCH(9.99E+307,'Returns (Calc)'!$A:$A)-3),"")</f>
        <v>43.4654088050314</v>
      </c>
      <c r="AF62" s="145" t="n">
        <f aca="false">IFERROR('Price History'!K3+(INDEX('Price History'!K:K,MATCH(9.99E+307,'Price History'!$A:$A))-'Price History'!K3)*(ROW()-3)/(MATCH(9.99E+307,'Returns (Calc)'!$A:$A)-3),"")</f>
        <v>27.5283018867925</v>
      </c>
      <c r="AG62" s="145" t="n">
        <f aca="false">IFERROR('Price History'!L3+(INDEX('Price History'!L:L,MATCH(9.99E+307,'Price History'!$A:$A))-'Price History'!L3)*(ROW()-3)/(MATCH(9.99E+307,'Returns (Calc)'!$A:$A)-3),"")</f>
        <v>70.3396226415094</v>
      </c>
      <c r="AH62" s="145" t="n">
        <f aca="false">IFERROR('Price History'!M3+(INDEX('Price History'!M:M,MATCH(9.99E+307,'Price History'!$A:$A))-'Price History'!M3)*(ROW()-3)/(MATCH(9.99E+307,'Returns (Calc)'!$A:$A)-3),"")</f>
        <v>9.64150943396226</v>
      </c>
      <c r="AI62" s="145" t="n">
        <f aca="false">IFERROR('Price History'!N3+(INDEX('Price History'!N:N,MATCH(9.99E+307,'Price History'!$A:$A))-'Price History'!N3)*(ROW()-3)/(MATCH(9.99E+307,'Returns (Calc)'!$A:$A)-3),"")</f>
        <v>13.7106918238994</v>
      </c>
      <c r="AJ62" s="145" t="n">
        <f aca="false">IFERROR('Price History'!O3+(INDEX('Price History'!O:O,MATCH(9.99E+307,'Price History'!$A:$A))-'Price History'!O3)*(ROW()-3)/(MATCH(9.99E+307,'Returns (Calc)'!$A:$A)-3),"")</f>
        <v>36.2452830188679</v>
      </c>
      <c r="AK62" s="145" t="n">
        <f aca="false">IFERROR('Price History'!Q3+(INDEX('Price History'!Q:Q,MATCH(9.99E+307,'Price History'!$A:$A))-'Price History'!Q3)*(ROW()-3)/(MATCH(9.99E+307,'Returns (Calc)'!$A:$A)-3),"")</f>
        <v>148.194968553459</v>
      </c>
      <c r="AL62" s="145" t="n">
        <f aca="false">IFERROR('Price History'!R3+(INDEX('Price History'!R:R,MATCH(9.99E+307,'Price History'!$A:$A))-'Price History'!R3)*(ROW()-3)/(MATCH(9.99E+307,'Returns (Calc)'!$A:$A)-3),"")</f>
        <v>30.0754716981132</v>
      </c>
      <c r="AM62" s="145" t="n">
        <f aca="false">IFERROR('Price History'!S3+(INDEX('Price History'!S:S,MATCH(9.99E+307,'Price History'!$A:$A))-'Price History'!S3)*(ROW()-3)/(MATCH(9.99E+307,'Returns (Calc)'!$A:$A)-3),"")</f>
        <v>36.8176100628931</v>
      </c>
      <c r="AN62" s="145" t="n">
        <f aca="false">IFERROR('Price History'!T3+(INDEX('Price History'!T:T,MATCH(9.99E+307,'Price History'!$A:$A))-'Price History'!T3)*(ROW()-3)/(MATCH(9.99E+307,'Returns (Calc)'!$A:$A)-3),"")</f>
        <v>16.9245283018868</v>
      </c>
      <c r="AO62" s="146" t="n">
        <f aca="false">IFERROR('Price History'!V3+(INDEX('Price History'!V:V,MATCH(9.99E+307,'Price History'!$A:$A))-'Price History'!V3)*(ROW()-3)/(MATCH(9.99E+307,'Returns (Calc)'!$A:$A)-3),"")</f>
        <v>0</v>
      </c>
    </row>
    <row r="63" customFormat="false" ht="15" hidden="false" customHeight="true" outlineLevel="0" collapsed="false">
      <c r="A63" s="142" t="n">
        <f aca="false">IF('Price History'!A64="","",'Price History'!A64)</f>
        <v>45611</v>
      </c>
      <c r="B63" s="143" t="n">
        <f aca="false">IFERROR(IF(OR(NOT(ISNUMBER('Price History'!B64)),NOT(ISNUMBER('Price History'!B63)),'Price History'!B63=0),"",'Price History'!B64/'Price History'!B63-1),"")</f>
        <v>0.0175669119430744</v>
      </c>
      <c r="C63" s="143" t="n">
        <f aca="false">IFERROR(IF(OR(NOT(ISNUMBER('Price History'!C64)),NOT(ISNUMBER('Price History'!C63)),'Price History'!C63=0),"",'Price History'!C64/'Price History'!C63-1),"")</f>
        <v>-0.0650284686844471</v>
      </c>
      <c r="D63" s="143" t="n">
        <f aca="false">IFERROR(IF(OR(NOT(ISNUMBER('Price History'!D64)),NOT(ISNUMBER('Price History'!D63)),'Price History'!D63=0),"",'Price History'!D64/'Price History'!D63-1),"")</f>
        <v>-0.0161827989575126</v>
      </c>
      <c r="E63" s="143" t="n">
        <f aca="false">IFERROR(IF(OR(NOT(ISNUMBER('Price History'!E64)),NOT(ISNUMBER('Price History'!E63)),'Price History'!E63=0),"",'Price History'!E64/'Price History'!E63-1),"")</f>
        <v>-0.102376599634369</v>
      </c>
      <c r="F63" s="143" t="n">
        <f aca="false">IFERROR(IF(OR(NOT(ISNUMBER('Price History'!F64)),NOT(ISNUMBER('Price History'!F63)),'Price History'!F63=0),"",'Price History'!F64/'Price History'!F63-1),"")</f>
        <v>-0.0194038807761552</v>
      </c>
      <c r="G63" s="143" t="n">
        <f aca="false">IFERROR(IF(OR(NOT(ISNUMBER('Price History'!G64)),NOT(ISNUMBER('Price History'!G63)),'Price History'!G63=0),"",'Price History'!G64/'Price History'!G63-1),"")</f>
        <v>0.020361168343231</v>
      </c>
      <c r="H63" s="143" t="n">
        <f aca="false">IFERROR(IF(OR(NOT(ISNUMBER('Price History'!H64)),NOT(ISNUMBER('Price History'!H63)),'Price History'!H63=0),"",'Price History'!H64/'Price History'!H63-1),"")</f>
        <v>0.00124310465387301</v>
      </c>
      <c r="I63" s="143" t="n">
        <f aca="false">IFERROR(IF(OR(NOT(ISNUMBER('Price History'!I64)),NOT(ISNUMBER('Price History'!I63)),'Price History'!I63=0),"",'Price History'!I64/'Price History'!I63-1),"")</f>
        <v>-0.106172474896633</v>
      </c>
      <c r="J63" s="143" t="n">
        <f aca="false">IFERROR(IF(OR(NOT(ISNUMBER('Price History'!J64)),NOT(ISNUMBER('Price History'!J63)),'Price History'!J63=0),"",'Price History'!J64/'Price History'!J63-1),"")</f>
        <v>-0.139046079223929</v>
      </c>
      <c r="K63" s="143" t="n">
        <f aca="false">IFERROR(IF(OR(NOT(ISNUMBER('Price History'!K64)),NOT(ISNUMBER('Price History'!K63)),'Price History'!K63=0),"",'Price History'!K64/'Price History'!K63-1),"")</f>
        <v>-0.038239489234531</v>
      </c>
      <c r="L63" s="143" t="n">
        <f aca="false">IFERROR(IF(OR(NOT(ISNUMBER('Price History'!L64)),NOT(ISNUMBER('Price History'!L63)),'Price History'!L63=0),"",'Price History'!L64/'Price History'!L63-1),"")</f>
        <v>-0.0207679527413698</v>
      </c>
      <c r="M63" s="143" t="n">
        <f aca="false">IFERROR(IF(OR(NOT(ISNUMBER('Price History'!M64)),NOT(ISNUMBER('Price History'!M63)),'Price History'!M63=0),"",'Price History'!M64/'Price History'!M63-1),"")</f>
        <v>0.126391505394759</v>
      </c>
      <c r="N63" s="143" t="n">
        <f aca="false">IFERROR(IF(OR(NOT(ISNUMBER('Price History'!N64)),NOT(ISNUMBER('Price History'!N63)),'Price History'!N63=0),"",'Price History'!N64/'Price History'!N63-1),"")</f>
        <v>-0.0155210643015521</v>
      </c>
      <c r="O63" s="143" t="n">
        <f aca="false">IFERROR(IF(OR(NOT(ISNUMBER('Price History'!O64)),NOT(ISNUMBER('Price History'!O63)),'Price History'!O63=0),"",'Price History'!O64/'Price History'!O63-1),"")</f>
        <v>-0.0308305369127516</v>
      </c>
      <c r="P63" s="143" t="n">
        <f aca="false">IFERROR(IF(OR(NOT(ISNUMBER('Price History'!P64)),NOT(ISNUMBER('Price History'!P63)),'Price History'!P63=0),"",'Price History'!P64/'Price History'!P63-1),"")</f>
        <v>-0.0754774637127578</v>
      </c>
      <c r="Q63" s="143" t="n">
        <f aca="false">IFERROR(IF(OR(NOT(ISNUMBER('Price History'!Q64)),NOT(ISNUMBER('Price History'!Q63)),'Price History'!Q63=0),"",'Price History'!Q64/'Price History'!Q63-1),"")</f>
        <v>0.00764919221892524</v>
      </c>
      <c r="R63" s="143" t="n">
        <f aca="false">IFERROR(IF(OR(NOT(ISNUMBER('Price History'!R64)),NOT(ISNUMBER('Price History'!R63)),'Price History'!R63=0),"",'Price History'!R64/'Price History'!R63-1),"")</f>
        <v>0.00901232297222743</v>
      </c>
      <c r="S63" s="143" t="n">
        <f aca="false">IFERROR(IF(OR(NOT(ISNUMBER('Price History'!S64)),NOT(ISNUMBER('Price History'!S63)),'Price History'!S63=0),"",'Price History'!S64/'Price History'!S63-1),"")</f>
        <v>0.021594503217363</v>
      </c>
      <c r="T63" s="143" t="n">
        <f aca="false">IFERROR(IF(OR(NOT(ISNUMBER('Price History'!T64)),NOT(ISNUMBER('Price History'!T63)),'Price History'!T63=0),"",'Price History'!T64/'Price History'!T63-1),"")</f>
        <v>0.00354714750221707</v>
      </c>
      <c r="U63" s="143" t="str">
        <f aca="false">IFERROR(IF(OR(NOT(ISNUMBER('Price History'!U64)),NOT(ISNUMBER('Price History'!U63)),'Price History'!U63=0),"",'Price History'!U64/'Price History'!U63-1),"")</f>
        <v/>
      </c>
      <c r="V63" s="144" t="n">
        <f aca="false">IFERROR(IF(OR(NOT(ISNUMBER('Price History'!V64)),NOT(ISNUMBER('Price History'!V63)),'Price History'!V63=0),"",'Price History'!V64/'Price History'!V63-1),"")</f>
        <v>-0.000328707085463953</v>
      </c>
      <c r="W63" s="145" t="str">
        <f aca="false">IFERROR('Price History'!B3+(INDEX('Price History'!B:B,MATCH(9.99E+307,'Price History'!$A:$A))-'Price History'!B3)*(ROW()-3)/(MATCH(9.99E+307,'Returns (Calc)'!$A:$A)-3),"")</f>
        <v/>
      </c>
      <c r="X63" s="145" t="n">
        <f aca="false">IFERROR('Price History'!C3+(INDEX('Price History'!C:C,MATCH(9.99E+307,'Price History'!$A:$A))-'Price History'!C3)*(ROW()-3)/(MATCH(9.99E+307,'Returns (Calc)'!$A:$A)-3),"")</f>
        <v>28.7535849056604</v>
      </c>
      <c r="Y63" s="145" t="n">
        <f aca="false">IFERROR('Price History'!D3+(INDEX('Price History'!D:D,MATCH(9.99E+307,'Price History'!$A:$A))-'Price History'!D3)*(ROW()-3)/(MATCH(9.99E+307,'Returns (Calc)'!$A:$A)-3),"")</f>
        <v>362.38358490566</v>
      </c>
      <c r="Z63" s="145" t="n">
        <f aca="false">IFERROR('Price History'!E3+(INDEX('Price History'!E:E,MATCH(9.99E+307,'Price History'!$A:$A))-'Price History'!E3)*(ROW()-3)/(MATCH(9.99E+307,'Returns (Calc)'!$A:$A)-3),"")</f>
        <v>51.0566037735849</v>
      </c>
      <c r="AA63" s="145" t="n">
        <f aca="false">IFERROR('Price History'!F3+(INDEX('Price History'!F:F,MATCH(9.99E+307,'Price History'!$A:$A))-'Price History'!F3)*(ROW()-3)/(MATCH(9.99E+307,'Returns (Calc)'!$A:$A)-3),"")</f>
        <v>46.8911320754717</v>
      </c>
      <c r="AB63" s="145" t="n">
        <f aca="false">IFERROR('Price History'!G3+(INDEX('Price History'!G:G,MATCH(9.99E+307,'Price History'!$A:$A))-'Price History'!G3)*(ROW()-3)/(MATCH(9.99E+307,'Returns (Calc)'!$A:$A)-3),"")</f>
        <v>25.7524528301887</v>
      </c>
      <c r="AC63" s="145" t="n">
        <f aca="false">IFERROR('Price History'!H3+(INDEX('Price History'!H:H,MATCH(9.99E+307,'Price History'!$A:$A))-'Price History'!H3)*(ROW()-3)/(MATCH(9.99E+307,'Returns (Calc)'!$A:$A)-3),"")</f>
        <v>62.6315094339623</v>
      </c>
      <c r="AD63" s="145" t="n">
        <f aca="false">IFERROR('Price History'!I3+(INDEX('Price History'!I:I,MATCH(9.99E+307,'Price History'!$A:$A))-'Price History'!I3)*(ROW()-3)/(MATCH(9.99E+307,'Returns (Calc)'!$A:$A)-3),"")</f>
        <v>27.6141509433962</v>
      </c>
      <c r="AE63" s="145" t="n">
        <f aca="false">IFERROR('Price History'!J3+(INDEX('Price History'!J:J,MATCH(9.99E+307,'Price History'!$A:$A))-'Price History'!J3)*(ROW()-3)/(MATCH(9.99E+307,'Returns (Calc)'!$A:$A)-3),"")</f>
        <v>43.0307547169811</v>
      </c>
      <c r="AF63" s="145" t="n">
        <f aca="false">IFERROR('Price History'!K3+(INDEX('Price History'!K:K,MATCH(9.99E+307,'Price History'!$A:$A))-'Price History'!K3)*(ROW()-3)/(MATCH(9.99E+307,'Returns (Calc)'!$A:$A)-3),"")</f>
        <v>27.2530188679245</v>
      </c>
      <c r="AG63" s="145" t="n">
        <f aca="false">IFERROR('Price History'!L3+(INDEX('Price History'!L:L,MATCH(9.99E+307,'Price History'!$A:$A))-'Price History'!L3)*(ROW()-3)/(MATCH(9.99E+307,'Returns (Calc)'!$A:$A)-3),"")</f>
        <v>69.6362264150943</v>
      </c>
      <c r="AH63" s="145" t="n">
        <f aca="false">IFERROR('Price History'!M3+(INDEX('Price History'!M:M,MATCH(9.99E+307,'Price History'!$A:$A))-'Price History'!M3)*(ROW()-3)/(MATCH(9.99E+307,'Returns (Calc)'!$A:$A)-3),"")</f>
        <v>9.54509433962264</v>
      </c>
      <c r="AI63" s="145" t="n">
        <f aca="false">IFERROR('Price History'!N3+(INDEX('Price History'!N:N,MATCH(9.99E+307,'Price History'!$A:$A))-'Price History'!N3)*(ROW()-3)/(MATCH(9.99E+307,'Returns (Calc)'!$A:$A)-3),"")</f>
        <v>13.5735849056604</v>
      </c>
      <c r="AJ63" s="145" t="n">
        <f aca="false">IFERROR('Price History'!O3+(INDEX('Price History'!O:O,MATCH(9.99E+307,'Price History'!$A:$A))-'Price History'!O3)*(ROW()-3)/(MATCH(9.99E+307,'Returns (Calc)'!$A:$A)-3),"")</f>
        <v>35.8828301886793</v>
      </c>
      <c r="AK63" s="145" t="n">
        <f aca="false">IFERROR('Price History'!Q3+(INDEX('Price History'!Q:Q,MATCH(9.99E+307,'Price History'!$A:$A))-'Price History'!Q3)*(ROW()-3)/(MATCH(9.99E+307,'Returns (Calc)'!$A:$A)-3),"")</f>
        <v>146.713018867925</v>
      </c>
      <c r="AL63" s="145" t="n">
        <f aca="false">IFERROR('Price History'!R3+(INDEX('Price History'!R:R,MATCH(9.99E+307,'Price History'!$A:$A))-'Price History'!R3)*(ROW()-3)/(MATCH(9.99E+307,'Returns (Calc)'!$A:$A)-3),"")</f>
        <v>29.7747169811321</v>
      </c>
      <c r="AM63" s="145" t="n">
        <f aca="false">IFERROR('Price History'!S3+(INDEX('Price History'!S:S,MATCH(9.99E+307,'Price History'!$A:$A))-'Price History'!S3)*(ROW()-3)/(MATCH(9.99E+307,'Returns (Calc)'!$A:$A)-3),"")</f>
        <v>36.4494339622642</v>
      </c>
      <c r="AN63" s="145" t="n">
        <f aca="false">IFERROR('Price History'!T3+(INDEX('Price History'!T:T,MATCH(9.99E+307,'Price History'!$A:$A))-'Price History'!T3)*(ROW()-3)/(MATCH(9.99E+307,'Returns (Calc)'!$A:$A)-3),"")</f>
        <v>16.7552830188679</v>
      </c>
      <c r="AO63" s="146" t="n">
        <f aca="false">IFERROR('Price History'!V3+(INDEX('Price History'!V:V,MATCH(9.99E+307,'Price History'!$A:$A))-'Price History'!V3)*(ROW()-3)/(MATCH(9.99E+307,'Returns (Calc)'!$A:$A)-3),"")</f>
        <v>0</v>
      </c>
    </row>
    <row r="64" customFormat="false" ht="15" hidden="false" customHeight="true" outlineLevel="0" collapsed="false">
      <c r="A64" s="142" t="n">
        <f aca="false">IF('Price History'!A65="","",'Price History'!A65)</f>
        <v>45618</v>
      </c>
      <c r="B64" s="143" t="n">
        <f aca="false">IFERROR(IF(OR(NOT(ISNUMBER('Price History'!B65)),NOT(ISNUMBER('Price History'!B64)),'Price History'!B64=0),"",'Price History'!B65/'Price History'!B64-1),"")</f>
        <v>0.0174424379680951</v>
      </c>
      <c r="C64" s="143" t="n">
        <f aca="false">IFERROR(IF(OR(NOT(ISNUMBER('Price History'!C65)),NOT(ISNUMBER('Price History'!C64)),'Price History'!C64=0),"",'Price History'!C65/'Price History'!C64-1),"")</f>
        <v>0.0856837606837608</v>
      </c>
      <c r="D64" s="143" t="n">
        <f aca="false">IFERROR(IF(OR(NOT(ISNUMBER('Price History'!D65)),NOT(ISNUMBER('Price History'!D64)),'Price History'!D64=0),"",'Price History'!D65/'Price History'!D64-1),"")</f>
        <v>0.0216239526860524</v>
      </c>
      <c r="E64" s="143" t="n">
        <f aca="false">IFERROR(IF(OR(NOT(ISNUMBER('Price History'!E65)),NOT(ISNUMBER('Price History'!E64)),'Price History'!E64=0),"",'Price History'!E65/'Price History'!E64-1),"")</f>
        <v>-0.00370301795963712</v>
      </c>
      <c r="F64" s="143" t="n">
        <f aca="false">IFERROR(IF(OR(NOT(ISNUMBER('Price History'!F65)),NOT(ISNUMBER('Price History'!F64)),'Price History'!F64=0),"",'Price History'!F65/'Price History'!F64-1),"")</f>
        <v>0.036515707874337</v>
      </c>
      <c r="G64" s="143" t="n">
        <f aca="false">IFERROR(IF(OR(NOT(ISNUMBER('Price History'!G65)),NOT(ISNUMBER('Price History'!G64)),'Price History'!G64=0),"",'Price History'!G65/'Price History'!G64-1),"")</f>
        <v>0.10547570970424</v>
      </c>
      <c r="H64" s="143" t="n">
        <f aca="false">IFERROR(IF(OR(NOT(ISNUMBER('Price History'!H65)),NOT(ISNUMBER('Price History'!H64)),'Price History'!H64=0),"",'Price History'!H65/'Price History'!H64-1),"")</f>
        <v>0.0271591526344379</v>
      </c>
      <c r="I64" s="143" t="n">
        <f aca="false">IFERROR(IF(OR(NOT(ISNUMBER('Price History'!I65)),NOT(ISNUMBER('Price History'!I64)),'Price History'!I64=0),"",'Price History'!I65/'Price History'!I64-1),"")</f>
        <v>0.0437799438295059</v>
      </c>
      <c r="J64" s="143" t="n">
        <f aca="false">IFERROR(IF(OR(NOT(ISNUMBER('Price History'!J65)),NOT(ISNUMBER('Price History'!J64)),'Price History'!J64=0),"",'Price History'!J65/'Price History'!J64-1),"")</f>
        <v>0.0653103808033386</v>
      </c>
      <c r="K64" s="143" t="n">
        <f aca="false">IFERROR(IF(OR(NOT(ISNUMBER('Price History'!K65)),NOT(ISNUMBER('Price History'!K64)),'Price History'!K64=0),"",'Price History'!K65/'Price History'!K64-1),"")</f>
        <v>-0.000211864406779672</v>
      </c>
      <c r="L64" s="143" t="n">
        <f aca="false">IFERROR(IF(OR(NOT(ISNUMBER('Price History'!L65)),NOT(ISNUMBER('Price History'!L64)),'Price History'!L64=0),"",'Price History'!L65/'Price History'!L64-1),"")</f>
        <v>0.0209256291827693</v>
      </c>
      <c r="M64" s="143" t="n">
        <f aca="false">IFERROR(IF(OR(NOT(ISNUMBER('Price History'!M65)),NOT(ISNUMBER('Price History'!M64)),'Price History'!M64=0),"",'Price History'!M65/'Price History'!M64-1),"")</f>
        <v>-0.0215903907556637</v>
      </c>
      <c r="N64" s="143" t="n">
        <f aca="false">IFERROR(IF(OR(NOT(ISNUMBER('Price History'!N65)),NOT(ISNUMBER('Price History'!N64)),'Price History'!N64=0),"",'Price History'!N65/'Price History'!N64-1),"")</f>
        <v>0.0251501501501501</v>
      </c>
      <c r="O64" s="143" t="n">
        <f aca="false">IFERROR(IF(OR(NOT(ISNUMBER('Price History'!O65)),NOT(ISNUMBER('Price History'!O64)),'Price History'!O64=0),"",'Price History'!O65/'Price History'!O64-1),"")</f>
        <v>0.0178532785111447</v>
      </c>
      <c r="P64" s="143" t="n">
        <f aca="false">IFERROR(IF(OR(NOT(ISNUMBER('Price History'!P65)),NOT(ISNUMBER('Price History'!P64)),'Price History'!P64=0),"",'Price History'!P65/'Price History'!P64-1),"")</f>
        <v>0.0218696634165152</v>
      </c>
      <c r="Q64" s="143" t="n">
        <f aca="false">IFERROR(IF(OR(NOT(ISNUMBER('Price History'!Q65)),NOT(ISNUMBER('Price History'!Q64)),'Price History'!Q64=0),"",'Price History'!Q65/'Price History'!Q64-1),"")</f>
        <v>0.000916170407695649</v>
      </c>
      <c r="R64" s="143" t="n">
        <f aca="false">IFERROR(IF(OR(NOT(ISNUMBER('Price History'!R65)),NOT(ISNUMBER('Price History'!R64)),'Price History'!R64=0),"",'Price History'!R65/'Price History'!R64-1),"")</f>
        <v>0.00747356908494345</v>
      </c>
      <c r="S64" s="143" t="n">
        <f aca="false">IFERROR(IF(OR(NOT(ISNUMBER('Price History'!S65)),NOT(ISNUMBER('Price History'!S64)),'Price History'!S64=0),"",'Price History'!S65/'Price History'!S64-1),"")</f>
        <v>0.00427031066510075</v>
      </c>
      <c r="T64" s="143" t="n">
        <f aca="false">IFERROR(IF(OR(NOT(ISNUMBER('Price History'!T65)),NOT(ISNUMBER('Price History'!T64)),'Price History'!T64=0),"",'Price History'!T65/'Price History'!T64-1),"")</f>
        <v>-0.00471281296023574</v>
      </c>
      <c r="U64" s="143" t="str">
        <f aca="false">IFERROR(IF(OR(NOT(ISNUMBER('Price History'!U65)),NOT(ISNUMBER('Price History'!U64)),'Price History'!U64=0),"",'Price History'!U65/'Price History'!U64-1),"")</f>
        <v/>
      </c>
      <c r="V64" s="144" t="n">
        <f aca="false">IFERROR(IF(OR(NOT(ISNUMBER('Price History'!V65)),NOT(ISNUMBER('Price History'!V64)),'Price History'!V64=0),"",'Price History'!V65/'Price History'!V64-1),"")</f>
        <v>0.0459975886887583</v>
      </c>
      <c r="W64" s="145" t="str">
        <f aca="false">IFERROR('Price History'!B3+(INDEX('Price History'!B:B,MATCH(9.99E+307,'Price History'!$A:$A))-'Price History'!B3)*(ROW()-3)/(MATCH(9.99E+307,'Returns (Calc)'!$A:$A)-3),"")</f>
        <v/>
      </c>
      <c r="X64" s="145" t="n">
        <f aca="false">IFERROR('Price History'!C3+(INDEX('Price History'!C:C,MATCH(9.99E+307,'Price History'!$A:$A))-'Price History'!C3)*(ROW()-3)/(MATCH(9.99E+307,'Returns (Calc)'!$A:$A)-3),"")</f>
        <v>28.4631446540881</v>
      </c>
      <c r="Y64" s="145" t="n">
        <f aca="false">IFERROR('Price History'!D3+(INDEX('Price History'!D:D,MATCH(9.99E+307,'Price History'!$A:$A))-'Price History'!D3)*(ROW()-3)/(MATCH(9.99E+307,'Returns (Calc)'!$A:$A)-3),"")</f>
        <v>358.723144654088</v>
      </c>
      <c r="Z64" s="145" t="n">
        <f aca="false">IFERROR('Price History'!E3+(INDEX('Price History'!E:E,MATCH(9.99E+307,'Price History'!$A:$A))-'Price History'!E3)*(ROW()-3)/(MATCH(9.99E+307,'Returns (Calc)'!$A:$A)-3),"")</f>
        <v>50.5408805031447</v>
      </c>
      <c r="AA64" s="145" t="n">
        <f aca="false">IFERROR('Price History'!F3+(INDEX('Price History'!F:F,MATCH(9.99E+307,'Price History'!$A:$A))-'Price History'!F3)*(ROW()-3)/(MATCH(9.99E+307,'Returns (Calc)'!$A:$A)-3),"")</f>
        <v>46.4174842767296</v>
      </c>
      <c r="AB64" s="145" t="n">
        <f aca="false">IFERROR('Price History'!G3+(INDEX('Price History'!G:G,MATCH(9.99E+307,'Price History'!$A:$A))-'Price History'!G3)*(ROW()-3)/(MATCH(9.99E+307,'Returns (Calc)'!$A:$A)-3),"")</f>
        <v>25.4923270440252</v>
      </c>
      <c r="AC64" s="145" t="n">
        <f aca="false">IFERROR('Price History'!H3+(INDEX('Price History'!H:H,MATCH(9.99E+307,'Price History'!$A:$A))-'Price History'!H3)*(ROW()-3)/(MATCH(9.99E+307,'Returns (Calc)'!$A:$A)-3),"")</f>
        <v>61.9988679245283</v>
      </c>
      <c r="AD64" s="145" t="n">
        <f aca="false">IFERROR('Price History'!I3+(INDEX('Price History'!I:I,MATCH(9.99E+307,'Price History'!$A:$A))-'Price History'!I3)*(ROW()-3)/(MATCH(9.99E+307,'Returns (Calc)'!$A:$A)-3),"")</f>
        <v>27.3352201257862</v>
      </c>
      <c r="AE64" s="145" t="n">
        <f aca="false">IFERROR('Price History'!J3+(INDEX('Price History'!J:J,MATCH(9.99E+307,'Price History'!$A:$A))-'Price History'!J3)*(ROW()-3)/(MATCH(9.99E+307,'Returns (Calc)'!$A:$A)-3),"")</f>
        <v>42.5961006289308</v>
      </c>
      <c r="AF64" s="145" t="n">
        <f aca="false">IFERROR('Price History'!K3+(INDEX('Price History'!K:K,MATCH(9.99E+307,'Price History'!$A:$A))-'Price History'!K3)*(ROW()-3)/(MATCH(9.99E+307,'Returns (Calc)'!$A:$A)-3),"")</f>
        <v>26.9777358490566</v>
      </c>
      <c r="AG64" s="145" t="n">
        <f aca="false">IFERROR('Price History'!L3+(INDEX('Price History'!L:L,MATCH(9.99E+307,'Price History'!$A:$A))-'Price History'!L3)*(ROW()-3)/(MATCH(9.99E+307,'Returns (Calc)'!$A:$A)-3),"")</f>
        <v>68.9328301886793</v>
      </c>
      <c r="AH64" s="145" t="n">
        <f aca="false">IFERROR('Price History'!M3+(INDEX('Price History'!M:M,MATCH(9.99E+307,'Price History'!$A:$A))-'Price History'!M3)*(ROW()-3)/(MATCH(9.99E+307,'Returns (Calc)'!$A:$A)-3),"")</f>
        <v>9.44867924528302</v>
      </c>
      <c r="AI64" s="145" t="n">
        <f aca="false">IFERROR('Price History'!N3+(INDEX('Price History'!N:N,MATCH(9.99E+307,'Price History'!$A:$A))-'Price History'!N3)*(ROW()-3)/(MATCH(9.99E+307,'Returns (Calc)'!$A:$A)-3),"")</f>
        <v>13.4364779874214</v>
      </c>
      <c r="AJ64" s="145" t="n">
        <f aca="false">IFERROR('Price History'!O3+(INDEX('Price History'!O:O,MATCH(9.99E+307,'Price History'!$A:$A))-'Price History'!O3)*(ROW()-3)/(MATCH(9.99E+307,'Returns (Calc)'!$A:$A)-3),"")</f>
        <v>35.5203773584906</v>
      </c>
      <c r="AK64" s="145" t="n">
        <f aca="false">IFERROR('Price History'!Q3+(INDEX('Price History'!Q:Q,MATCH(9.99E+307,'Price History'!$A:$A))-'Price History'!Q3)*(ROW()-3)/(MATCH(9.99E+307,'Returns (Calc)'!$A:$A)-3),"")</f>
        <v>145.23106918239</v>
      </c>
      <c r="AL64" s="145" t="n">
        <f aca="false">IFERROR('Price History'!R3+(INDEX('Price History'!R:R,MATCH(9.99E+307,'Price History'!$A:$A))-'Price History'!R3)*(ROW()-3)/(MATCH(9.99E+307,'Returns (Calc)'!$A:$A)-3),"")</f>
        <v>29.4739622641509</v>
      </c>
      <c r="AM64" s="145" t="n">
        <f aca="false">IFERROR('Price History'!S3+(INDEX('Price History'!S:S,MATCH(9.99E+307,'Price History'!$A:$A))-'Price History'!S3)*(ROW()-3)/(MATCH(9.99E+307,'Returns (Calc)'!$A:$A)-3),"")</f>
        <v>36.0812578616352</v>
      </c>
      <c r="AN64" s="145" t="n">
        <f aca="false">IFERROR('Price History'!T3+(INDEX('Price History'!T:T,MATCH(9.99E+307,'Price History'!$A:$A))-'Price History'!T3)*(ROW()-3)/(MATCH(9.99E+307,'Returns (Calc)'!$A:$A)-3),"")</f>
        <v>16.5860377358491</v>
      </c>
      <c r="AO64" s="146" t="n">
        <f aca="false">IFERROR('Price History'!V3+(INDEX('Price History'!V:V,MATCH(9.99E+307,'Price History'!$A:$A))-'Price History'!V3)*(ROW()-3)/(MATCH(9.99E+307,'Returns (Calc)'!$A:$A)-3),"")</f>
        <v>0</v>
      </c>
    </row>
    <row r="65" customFormat="false" ht="15" hidden="false" customHeight="true" outlineLevel="0" collapsed="false">
      <c r="A65" s="142" t="n">
        <f aca="false">IF('Price History'!A66="","",'Price History'!A66)</f>
        <v>45625</v>
      </c>
      <c r="B65" s="143" t="n">
        <f aca="false">IFERROR(IF(OR(NOT(ISNUMBER('Price History'!B66)),NOT(ISNUMBER('Price History'!B65)),'Price History'!B65=0),"",'Price History'!B66/'Price History'!B65-1),"")</f>
        <v>0.00738065020013656</v>
      </c>
      <c r="C65" s="143" t="n">
        <f aca="false">IFERROR(IF(OR(NOT(ISNUMBER('Price History'!C66)),NOT(ISNUMBER('Price History'!C65)),'Price History'!C65=0),"",'Price History'!C66/'Price History'!C65-1),"")</f>
        <v>-0.00157449320999814</v>
      </c>
      <c r="D65" s="143" t="n">
        <f aca="false">IFERROR(IF(OR(NOT(ISNUMBER('Price History'!D66)),NOT(ISNUMBER('Price History'!D65)),'Price History'!D65=0),"",'Price History'!D66/'Price History'!D65-1),"")</f>
        <v>0.020412470602424</v>
      </c>
      <c r="E65" s="143" t="n">
        <f aca="false">IFERROR(IF(OR(NOT(ISNUMBER('Price History'!E66)),NOT(ISNUMBER('Price History'!E65)),'Price History'!E65=0),"",'Price History'!E66/'Price History'!E65-1),"")</f>
        <v>-0.0130706807904356</v>
      </c>
      <c r="F65" s="143" t="n">
        <f aca="false">IFERROR(IF(OR(NOT(ISNUMBER('Price History'!F66)),NOT(ISNUMBER('Price History'!F65)),'Price History'!F65=0),"",'Price History'!F66/'Price History'!F65-1),"")</f>
        <v>0.00679000196811641</v>
      </c>
      <c r="G65" s="143" t="n">
        <f aca="false">IFERROR(IF(OR(NOT(ISNUMBER('Price History'!G66)),NOT(ISNUMBER('Price History'!G65)),'Price History'!G65=0),"",'Price History'!G66/'Price History'!G65-1),"")</f>
        <v>-0.070699473514559</v>
      </c>
      <c r="H65" s="143" t="n">
        <f aca="false">IFERROR(IF(OR(NOT(ISNUMBER('Price History'!H66)),NOT(ISNUMBER('Price History'!H65)),'Price History'!H65=0),"",'Price History'!H66/'Price History'!H65-1),"")</f>
        <v>0.00936768149882905</v>
      </c>
      <c r="I65" s="143" t="n">
        <f aca="false">IFERROR(IF(OR(NOT(ISNUMBER('Price History'!I66)),NOT(ISNUMBER('Price History'!I65)),'Price History'!I65=0),"",'Price History'!I66/'Price History'!I65-1),"")</f>
        <v>0.0117125672681229</v>
      </c>
      <c r="J65" s="143" t="n">
        <f aca="false">IFERROR(IF(OR(NOT(ISNUMBER('Price History'!J66)),NOT(ISNUMBER('Price History'!J65)),'Price History'!J65=0),"",'Price History'!J66/'Price History'!J65-1),"")</f>
        <v>-0.0456370580746254</v>
      </c>
      <c r="K65" s="143" t="n">
        <f aca="false">IFERROR(IF(OR(NOT(ISNUMBER('Price History'!K66)),NOT(ISNUMBER('Price History'!K65)),'Price History'!K65=0),"",'Price History'!K66/'Price History'!K65-1),"")</f>
        <v>-0.0260648442466624</v>
      </c>
      <c r="L65" s="143" t="n">
        <f aca="false">IFERROR(IF(OR(NOT(ISNUMBER('Price History'!L66)),NOT(ISNUMBER('Price History'!L65)),'Price History'!L65=0),"",'Price History'!L66/'Price History'!L65-1),"")</f>
        <v>0.00849413719878123</v>
      </c>
      <c r="M65" s="143" t="n">
        <f aca="false">IFERROR(IF(OR(NOT(ISNUMBER('Price History'!M66)),NOT(ISNUMBER('Price History'!M65)),'Price History'!M65=0),"",'Price History'!M66/'Price History'!M65-1),"")</f>
        <v>0.0424242424242425</v>
      </c>
      <c r="N65" s="143" t="n">
        <f aca="false">IFERROR(IF(OR(NOT(ISNUMBER('Price History'!N66)),NOT(ISNUMBER('Price History'!N65)),'Price History'!N65=0),"",'Price History'!N66/'Price History'!N65-1),"")</f>
        <v>0.00622482607103625</v>
      </c>
      <c r="O65" s="143" t="n">
        <f aca="false">IFERROR(IF(OR(NOT(ISNUMBER('Price History'!O66)),NOT(ISNUMBER('Price History'!O65)),'Price History'!O65=0),"",'Price History'!O66/'Price History'!O65-1),"")</f>
        <v>0.0130753694057617</v>
      </c>
      <c r="P65" s="143" t="n">
        <f aca="false">IFERROR(IF(OR(NOT(ISNUMBER('Price History'!P66)),NOT(ISNUMBER('Price History'!P65)),'Price History'!P65=0),"",'Price History'!P66/'Price History'!P65-1),"")</f>
        <v>-0.0285175202156334</v>
      </c>
      <c r="Q65" s="143" t="n">
        <f aca="false">IFERROR(IF(OR(NOT(ISNUMBER('Price History'!Q66)),NOT(ISNUMBER('Price History'!Q65)),'Price History'!Q65=0),"",'Price History'!Q66/'Price History'!Q65-1),"")</f>
        <v>0.0166394246485782</v>
      </c>
      <c r="R65" s="143" t="n">
        <f aca="false">IFERROR(IF(OR(NOT(ISNUMBER('Price History'!R66)),NOT(ISNUMBER('Price History'!R65)),'Price History'!R65=0),"",'Price History'!R66/'Price History'!R65-1),"")</f>
        <v>0.0023520897412701</v>
      </c>
      <c r="S65" s="143" t="n">
        <f aca="false">IFERROR(IF(OR(NOT(ISNUMBER('Price History'!S66)),NOT(ISNUMBER('Price History'!S65)),'Price History'!S65=0),"",'Price History'!S66/'Price History'!S65-1),"")</f>
        <v>-0.0146699266503667</v>
      </c>
      <c r="T65" s="143" t="n">
        <f aca="false">IFERROR(IF(OR(NOT(ISNUMBER('Price History'!T66)),NOT(ISNUMBER('Price History'!T65)),'Price History'!T65=0),"",'Price History'!T66/'Price History'!T65-1),"")</f>
        <v>-0.0192364604912696</v>
      </c>
      <c r="U65" s="143" t="str">
        <f aca="false">IFERROR(IF(OR(NOT(ISNUMBER('Price History'!U66)),NOT(ISNUMBER('Price History'!U65)),'Price History'!U65=0),"",'Price History'!U66/'Price History'!U65-1),"")</f>
        <v/>
      </c>
      <c r="V65" s="144" t="n">
        <f aca="false">IFERROR(IF(OR(NOT(ISNUMBER('Price History'!V66)),NOT(ISNUMBER('Price History'!V65)),'Price History'!V65=0),"",'Price History'!V66/'Price History'!V65-1),"")</f>
        <v>-0.030562347188264</v>
      </c>
      <c r="W65" s="145" t="str">
        <f aca="false">IFERROR('Price History'!B3+(INDEX('Price History'!B:B,MATCH(9.99E+307,'Price History'!$A:$A))-'Price History'!B3)*(ROW()-3)/(MATCH(9.99E+307,'Returns (Calc)'!$A:$A)-3),"")</f>
        <v/>
      </c>
      <c r="X65" s="145" t="n">
        <f aca="false">IFERROR('Price History'!C3+(INDEX('Price History'!C:C,MATCH(9.99E+307,'Price History'!$A:$A))-'Price History'!C3)*(ROW()-3)/(MATCH(9.99E+307,'Returns (Calc)'!$A:$A)-3),"")</f>
        <v>28.1727044025157</v>
      </c>
      <c r="Y65" s="145" t="n">
        <f aca="false">IFERROR('Price History'!D3+(INDEX('Price History'!D:D,MATCH(9.99E+307,'Price History'!$A:$A))-'Price History'!D3)*(ROW()-3)/(MATCH(9.99E+307,'Returns (Calc)'!$A:$A)-3),"")</f>
        <v>355.062704402516</v>
      </c>
      <c r="Z65" s="145" t="n">
        <f aca="false">IFERROR('Price History'!E3+(INDEX('Price History'!E:E,MATCH(9.99E+307,'Price History'!$A:$A))-'Price History'!E3)*(ROW()-3)/(MATCH(9.99E+307,'Returns (Calc)'!$A:$A)-3),"")</f>
        <v>50.0251572327044</v>
      </c>
      <c r="AA65" s="145" t="n">
        <f aca="false">IFERROR('Price History'!F3+(INDEX('Price History'!F:F,MATCH(9.99E+307,'Price History'!$A:$A))-'Price History'!F3)*(ROW()-3)/(MATCH(9.99E+307,'Returns (Calc)'!$A:$A)-3),"")</f>
        <v>45.9438364779874</v>
      </c>
      <c r="AB65" s="145" t="n">
        <f aca="false">IFERROR('Price History'!G3+(INDEX('Price History'!G:G,MATCH(9.99E+307,'Price History'!$A:$A))-'Price History'!G3)*(ROW()-3)/(MATCH(9.99E+307,'Returns (Calc)'!$A:$A)-3),"")</f>
        <v>25.2322012578616</v>
      </c>
      <c r="AC65" s="145" t="n">
        <f aca="false">IFERROR('Price History'!H3+(INDEX('Price History'!H:H,MATCH(9.99E+307,'Price History'!$A:$A))-'Price History'!H3)*(ROW()-3)/(MATCH(9.99E+307,'Returns (Calc)'!$A:$A)-3),"")</f>
        <v>61.3662264150943</v>
      </c>
      <c r="AD65" s="145" t="n">
        <f aca="false">IFERROR('Price History'!I3+(INDEX('Price History'!I:I,MATCH(9.99E+307,'Price History'!$A:$A))-'Price History'!I3)*(ROW()-3)/(MATCH(9.99E+307,'Returns (Calc)'!$A:$A)-3),"")</f>
        <v>27.0562893081761</v>
      </c>
      <c r="AE65" s="145" t="n">
        <f aca="false">IFERROR('Price History'!J3+(INDEX('Price History'!J:J,MATCH(9.99E+307,'Price History'!$A:$A))-'Price History'!J3)*(ROW()-3)/(MATCH(9.99E+307,'Returns (Calc)'!$A:$A)-3),"")</f>
        <v>42.1614465408805</v>
      </c>
      <c r="AF65" s="145" t="n">
        <f aca="false">IFERROR('Price History'!K3+(INDEX('Price History'!K:K,MATCH(9.99E+307,'Price History'!$A:$A))-'Price History'!K3)*(ROW()-3)/(MATCH(9.99E+307,'Returns (Calc)'!$A:$A)-3),"")</f>
        <v>26.7024528301887</v>
      </c>
      <c r="AG65" s="145" t="n">
        <f aca="false">IFERROR('Price History'!L3+(INDEX('Price History'!L:L,MATCH(9.99E+307,'Price History'!$A:$A))-'Price History'!L3)*(ROW()-3)/(MATCH(9.99E+307,'Returns (Calc)'!$A:$A)-3),"")</f>
        <v>68.2294339622642</v>
      </c>
      <c r="AH65" s="145" t="n">
        <f aca="false">IFERROR('Price History'!M3+(INDEX('Price History'!M:M,MATCH(9.99E+307,'Price History'!$A:$A))-'Price History'!M3)*(ROW()-3)/(MATCH(9.99E+307,'Returns (Calc)'!$A:$A)-3),"")</f>
        <v>9.3522641509434</v>
      </c>
      <c r="AI65" s="145" t="n">
        <f aca="false">IFERROR('Price History'!N3+(INDEX('Price History'!N:N,MATCH(9.99E+307,'Price History'!$A:$A))-'Price History'!N3)*(ROW()-3)/(MATCH(9.99E+307,'Returns (Calc)'!$A:$A)-3),"")</f>
        <v>13.2993710691824</v>
      </c>
      <c r="AJ65" s="145" t="n">
        <f aca="false">IFERROR('Price History'!O3+(INDEX('Price History'!O:O,MATCH(9.99E+307,'Price History'!$A:$A))-'Price History'!O3)*(ROW()-3)/(MATCH(9.99E+307,'Returns (Calc)'!$A:$A)-3),"")</f>
        <v>35.1579245283019</v>
      </c>
      <c r="AK65" s="145" t="n">
        <f aca="false">IFERROR('Price History'!Q3+(INDEX('Price History'!Q:Q,MATCH(9.99E+307,'Price History'!$A:$A))-'Price History'!Q3)*(ROW()-3)/(MATCH(9.99E+307,'Returns (Calc)'!$A:$A)-3),"")</f>
        <v>143.749119496855</v>
      </c>
      <c r="AL65" s="145" t="n">
        <f aca="false">IFERROR('Price History'!R3+(INDEX('Price History'!R:R,MATCH(9.99E+307,'Price History'!$A:$A))-'Price History'!R3)*(ROW()-3)/(MATCH(9.99E+307,'Returns (Calc)'!$A:$A)-3),"")</f>
        <v>29.1732075471698</v>
      </c>
      <c r="AM65" s="145" t="n">
        <f aca="false">IFERROR('Price History'!S3+(INDEX('Price History'!S:S,MATCH(9.99E+307,'Price History'!$A:$A))-'Price History'!S3)*(ROW()-3)/(MATCH(9.99E+307,'Returns (Calc)'!$A:$A)-3),"")</f>
        <v>35.7130817610063</v>
      </c>
      <c r="AN65" s="145" t="n">
        <f aca="false">IFERROR('Price History'!T3+(INDEX('Price History'!T:T,MATCH(9.99E+307,'Price History'!$A:$A))-'Price History'!T3)*(ROW()-3)/(MATCH(9.99E+307,'Returns (Calc)'!$A:$A)-3),"")</f>
        <v>16.4167924528302</v>
      </c>
      <c r="AO65" s="146" t="n">
        <f aca="false">IFERROR('Price History'!V3+(INDEX('Price History'!V:V,MATCH(9.99E+307,'Price History'!$A:$A))-'Price History'!V3)*(ROW()-3)/(MATCH(9.99E+307,'Returns (Calc)'!$A:$A)-3),"")</f>
        <v>0</v>
      </c>
    </row>
    <row r="66" customFormat="false" ht="15" hidden="false" customHeight="true" outlineLevel="0" collapsed="false">
      <c r="A66" s="142" t="n">
        <f aca="false">IF('Price History'!A67="","",'Price History'!A67)</f>
        <v>45632</v>
      </c>
      <c r="B66" s="143" t="n">
        <f aca="false">IFERROR(IF(OR(NOT(ISNUMBER('Price History'!B67)),NOT(ISNUMBER('Price History'!B66)),'Price History'!B66=0),"",'Price History'!B67/'Price History'!B66-1),"")</f>
        <v>0.0717733025798075</v>
      </c>
      <c r="C66" s="143" t="n">
        <f aca="false">IFERROR(IF(OR(NOT(ISNUMBER('Price History'!C67)),NOT(ISNUMBER('Price History'!C66)),'Price History'!C66=0),"",'Price History'!C67/'Price History'!C66-1),"")</f>
        <v>0.0669229252907551</v>
      </c>
      <c r="D66" s="143" t="n">
        <f aca="false">IFERROR(IF(OR(NOT(ISNUMBER('Price History'!D67)),NOT(ISNUMBER('Price History'!D66)),'Price History'!D66=0),"",'Price History'!D67/'Price History'!D66-1),"")</f>
        <v>0.0325768992110629</v>
      </c>
      <c r="E66" s="143" t="n">
        <f aca="false">IFERROR(IF(OR(NOT(ISNUMBER('Price History'!E67)),NOT(ISNUMBER('Price History'!E66)),'Price History'!E66=0),"",'Price History'!E67/'Price History'!E66-1),"")</f>
        <v>0.107644991212654</v>
      </c>
      <c r="F66" s="143" t="n">
        <f aca="false">IFERROR(IF(OR(NOT(ISNUMBER('Price History'!F67)),NOT(ISNUMBER('Price History'!F66)),'Price History'!F66=0),"",'Price History'!F67/'Price History'!F66-1),"")</f>
        <v>-0.0208190792688886</v>
      </c>
      <c r="G66" s="143" t="n">
        <f aca="false">IFERROR(IF(OR(NOT(ISNUMBER('Price History'!G67)),NOT(ISNUMBER('Price History'!G66)),'Price History'!G66=0),"",'Price History'!G67/'Price History'!G66-1),"")</f>
        <v>0.0568851890391953</v>
      </c>
      <c r="H66" s="143" t="n">
        <f aca="false">IFERROR(IF(OR(NOT(ISNUMBER('Price History'!H67)),NOT(ISNUMBER('Price History'!H66)),'Price History'!H66=0),"",'Price History'!H67/'Price History'!H66-1),"")</f>
        <v>-0.0252975076715817</v>
      </c>
      <c r="I66" s="143" t="n">
        <f aca="false">IFERROR(IF(OR(NOT(ISNUMBER('Price History'!I67)),NOT(ISNUMBER('Price History'!I66)),'Price History'!I66=0),"",'Price History'!I67/'Price History'!I66-1),"")</f>
        <v>0.0020337922403002</v>
      </c>
      <c r="J66" s="143" t="n">
        <f aca="false">IFERROR(IF(OR(NOT(ISNUMBER('Price History'!J67)),NOT(ISNUMBER('Price History'!J66)),'Price History'!J66=0),"",'Price History'!J67/'Price History'!J66-1),"")</f>
        <v>0.0328373524884555</v>
      </c>
      <c r="K66" s="143" t="n">
        <f aca="false">IFERROR(IF(OR(NOT(ISNUMBER('Price History'!K67)),NOT(ISNUMBER('Price History'!K66)),'Price History'!K66=0),"",'Price History'!K67/'Price History'!K66-1),"")</f>
        <v>0.0303887438352191</v>
      </c>
      <c r="L66" s="143" t="n">
        <f aca="false">IFERROR(IF(OR(NOT(ISNUMBER('Price History'!L67)),NOT(ISNUMBER('Price History'!L66)),'Price History'!L66=0),"",'Price History'!L67/'Price History'!L66-1),"")</f>
        <v>-0.0409228234001647</v>
      </c>
      <c r="M66" s="143" t="n">
        <f aca="false">IFERROR(IF(OR(NOT(ISNUMBER('Price History'!M67)),NOT(ISNUMBER('Price History'!M66)),'Price History'!M66=0),"",'Price History'!M67/'Price History'!M66-1),"")</f>
        <v>0.13804412641622</v>
      </c>
      <c r="N66" s="143" t="n">
        <f aca="false">IFERROR(IF(OR(NOT(ISNUMBER('Price History'!N67)),NOT(ISNUMBER('Price History'!N66)),'Price History'!N66=0),"",'Price History'!N67/'Price History'!N66-1),"")</f>
        <v>-0.0240174672489083</v>
      </c>
      <c r="O66" s="143" t="n">
        <f aca="false">IFERROR(IF(OR(NOT(ISNUMBER('Price History'!O67)),NOT(ISNUMBER('Price History'!O66)),'Price History'!O66=0),"",'Price History'!O67/'Price History'!O66-1),"")</f>
        <v>0.0193074501573978</v>
      </c>
      <c r="P66" s="143" t="n">
        <f aca="false">IFERROR(IF(OR(NOT(ISNUMBER('Price History'!P67)),NOT(ISNUMBER('Price History'!P66)),'Price History'!P66=0),"",'Price History'!P67/'Price History'!P66-1),"")</f>
        <v>0.0994395427556738</v>
      </c>
      <c r="Q66" s="143" t="n">
        <f aca="false">IFERROR(IF(OR(NOT(ISNUMBER('Price History'!Q67)),NOT(ISNUMBER('Price History'!Q66)),'Price History'!Q66=0),"",'Price History'!Q67/'Price History'!Q66-1),"")</f>
        <v>-0.0129264606578989</v>
      </c>
      <c r="R66" s="143" t="n">
        <f aca="false">IFERROR(IF(OR(NOT(ISNUMBER('Price History'!R67)),NOT(ISNUMBER('Price History'!R66)),'Price History'!R66=0),"",'Price History'!R67/'Price History'!R66-1),"")</f>
        <v>-0.0173285198555957</v>
      </c>
      <c r="S66" s="143" t="n">
        <f aca="false">IFERROR(IF(OR(NOT(ISNUMBER('Price History'!S67)),NOT(ISNUMBER('Price History'!S66)),'Price History'!S66=0),"",'Price History'!S67/'Price History'!S66-1),"")</f>
        <v>-0.0137015859315999</v>
      </c>
      <c r="T66" s="143" t="n">
        <f aca="false">IFERROR(IF(OR(NOT(ISNUMBER('Price History'!T67)),NOT(ISNUMBER('Price History'!T66)),'Price History'!T66=0),"",'Price History'!T67/'Price History'!T66-1),"")</f>
        <v>0.000603500301749937</v>
      </c>
      <c r="U66" s="143" t="str">
        <f aca="false">IFERROR(IF(OR(NOT(ISNUMBER('Price History'!U67)),NOT(ISNUMBER('Price History'!U66)),'Price History'!U66=0),"",'Price History'!U67/'Price History'!U66-1),"")</f>
        <v/>
      </c>
      <c r="V66" s="144" t="n">
        <f aca="false">IFERROR(IF(OR(NOT(ISNUMBER('Price History'!V67)),NOT(ISNUMBER('Price History'!V66)),'Price History'!V66=0),"",'Price History'!V67/'Price History'!V66-1),"")</f>
        <v>0.0319582057286976</v>
      </c>
      <c r="W66" s="145" t="str">
        <f aca="false">IFERROR('Price History'!B3+(INDEX('Price History'!B:B,MATCH(9.99E+307,'Price History'!$A:$A))-'Price History'!B3)*(ROW()-3)/(MATCH(9.99E+307,'Returns (Calc)'!$A:$A)-3),"")</f>
        <v/>
      </c>
      <c r="X66" s="145" t="n">
        <f aca="false">IFERROR('Price History'!C3+(INDEX('Price History'!C:C,MATCH(9.99E+307,'Price History'!$A:$A))-'Price History'!C3)*(ROW()-3)/(MATCH(9.99E+307,'Returns (Calc)'!$A:$A)-3),"")</f>
        <v>27.8822641509434</v>
      </c>
      <c r="Y66" s="145" t="n">
        <f aca="false">IFERROR('Price History'!D3+(INDEX('Price History'!D:D,MATCH(9.99E+307,'Price History'!$A:$A))-'Price History'!D3)*(ROW()-3)/(MATCH(9.99E+307,'Returns (Calc)'!$A:$A)-3),"")</f>
        <v>351.402264150943</v>
      </c>
      <c r="Z66" s="145" t="n">
        <f aca="false">IFERROR('Price History'!E3+(INDEX('Price History'!E:E,MATCH(9.99E+307,'Price History'!$A:$A))-'Price History'!E3)*(ROW()-3)/(MATCH(9.99E+307,'Returns (Calc)'!$A:$A)-3),"")</f>
        <v>49.5094339622642</v>
      </c>
      <c r="AA66" s="145" t="n">
        <f aca="false">IFERROR('Price History'!F3+(INDEX('Price History'!F:F,MATCH(9.99E+307,'Price History'!$A:$A))-'Price History'!F3)*(ROW()-3)/(MATCH(9.99E+307,'Returns (Calc)'!$A:$A)-3),"")</f>
        <v>45.4701886792453</v>
      </c>
      <c r="AB66" s="145" t="n">
        <f aca="false">IFERROR('Price History'!G3+(INDEX('Price History'!G:G,MATCH(9.99E+307,'Price History'!$A:$A))-'Price History'!G3)*(ROW()-3)/(MATCH(9.99E+307,'Returns (Calc)'!$A:$A)-3),"")</f>
        <v>24.9720754716981</v>
      </c>
      <c r="AC66" s="145" t="n">
        <f aca="false">IFERROR('Price History'!H3+(INDEX('Price History'!H:H,MATCH(9.99E+307,'Price History'!$A:$A))-'Price History'!H3)*(ROW()-3)/(MATCH(9.99E+307,'Returns (Calc)'!$A:$A)-3),"")</f>
        <v>60.7335849056604</v>
      </c>
      <c r="AD66" s="145" t="n">
        <f aca="false">IFERROR('Price History'!I3+(INDEX('Price History'!I:I,MATCH(9.99E+307,'Price History'!$A:$A))-'Price History'!I3)*(ROW()-3)/(MATCH(9.99E+307,'Returns (Calc)'!$A:$A)-3),"")</f>
        <v>26.777358490566</v>
      </c>
      <c r="AE66" s="145" t="n">
        <f aca="false">IFERROR('Price History'!J3+(INDEX('Price History'!J:J,MATCH(9.99E+307,'Price History'!$A:$A))-'Price History'!J3)*(ROW()-3)/(MATCH(9.99E+307,'Returns (Calc)'!$A:$A)-3),"")</f>
        <v>41.7267924528302</v>
      </c>
      <c r="AF66" s="145" t="n">
        <f aca="false">IFERROR('Price History'!K3+(INDEX('Price History'!K:K,MATCH(9.99E+307,'Price History'!$A:$A))-'Price History'!K3)*(ROW()-3)/(MATCH(9.99E+307,'Returns (Calc)'!$A:$A)-3),"")</f>
        <v>26.4271698113208</v>
      </c>
      <c r="AG66" s="145" t="n">
        <f aca="false">IFERROR('Price History'!L3+(INDEX('Price History'!L:L,MATCH(9.99E+307,'Price History'!$A:$A))-'Price History'!L3)*(ROW()-3)/(MATCH(9.99E+307,'Returns (Calc)'!$A:$A)-3),"")</f>
        <v>67.5260377358491</v>
      </c>
      <c r="AH66" s="145" t="n">
        <f aca="false">IFERROR('Price History'!M3+(INDEX('Price History'!M:M,MATCH(9.99E+307,'Price History'!$A:$A))-'Price History'!M3)*(ROW()-3)/(MATCH(9.99E+307,'Returns (Calc)'!$A:$A)-3),"")</f>
        <v>9.25584905660377</v>
      </c>
      <c r="AI66" s="145" t="n">
        <f aca="false">IFERROR('Price History'!N3+(INDEX('Price History'!N:N,MATCH(9.99E+307,'Price History'!$A:$A))-'Price History'!N3)*(ROW()-3)/(MATCH(9.99E+307,'Returns (Calc)'!$A:$A)-3),"")</f>
        <v>13.1622641509434</v>
      </c>
      <c r="AJ66" s="145" t="n">
        <f aca="false">IFERROR('Price History'!O3+(INDEX('Price History'!O:O,MATCH(9.99E+307,'Price History'!$A:$A))-'Price History'!O3)*(ROW()-3)/(MATCH(9.99E+307,'Returns (Calc)'!$A:$A)-3),"")</f>
        <v>34.7954716981132</v>
      </c>
      <c r="AK66" s="145" t="n">
        <f aca="false">IFERROR('Price History'!Q3+(INDEX('Price History'!Q:Q,MATCH(9.99E+307,'Price History'!$A:$A))-'Price History'!Q3)*(ROW()-3)/(MATCH(9.99E+307,'Returns (Calc)'!$A:$A)-3),"")</f>
        <v>142.267169811321</v>
      </c>
      <c r="AL66" s="145" t="n">
        <f aca="false">IFERROR('Price History'!R3+(INDEX('Price History'!R:R,MATCH(9.99E+307,'Price History'!$A:$A))-'Price History'!R3)*(ROW()-3)/(MATCH(9.99E+307,'Returns (Calc)'!$A:$A)-3),"")</f>
        <v>28.8724528301887</v>
      </c>
      <c r="AM66" s="145" t="n">
        <f aca="false">IFERROR('Price History'!S3+(INDEX('Price History'!S:S,MATCH(9.99E+307,'Price History'!$A:$A))-'Price History'!S3)*(ROW()-3)/(MATCH(9.99E+307,'Returns (Calc)'!$A:$A)-3),"")</f>
        <v>35.3449056603774</v>
      </c>
      <c r="AN66" s="145" t="n">
        <f aca="false">IFERROR('Price History'!T3+(INDEX('Price History'!T:T,MATCH(9.99E+307,'Price History'!$A:$A))-'Price History'!T3)*(ROW()-3)/(MATCH(9.99E+307,'Returns (Calc)'!$A:$A)-3),"")</f>
        <v>16.2475471698113</v>
      </c>
      <c r="AO66" s="146" t="n">
        <f aca="false">IFERROR('Price History'!V3+(INDEX('Price History'!V:V,MATCH(9.99E+307,'Price History'!$A:$A))-'Price History'!V3)*(ROW()-3)/(MATCH(9.99E+307,'Returns (Calc)'!$A:$A)-3),"")</f>
        <v>0</v>
      </c>
    </row>
    <row r="67" customFormat="false" ht="15" hidden="false" customHeight="true" outlineLevel="0" collapsed="false">
      <c r="A67" s="142" t="n">
        <f aca="false">IF('Price History'!A68="","",'Price History'!A68)</f>
        <v>45639</v>
      </c>
      <c r="B67" s="143" t="n">
        <f aca="false">IFERROR(IF(OR(NOT(ISNUMBER('Price History'!B68)),NOT(ISNUMBER('Price History'!B67)),'Price History'!B67=0),"",'Price History'!B68/'Price History'!B67-1),"")</f>
        <v>-0.157823350694445</v>
      </c>
      <c r="C67" s="143" t="n">
        <f aca="false">IFERROR(IF(OR(NOT(ISNUMBER('Price History'!C68)),NOT(ISNUMBER('Price History'!C67)),'Price History'!C67=0),"",'Price History'!C68/'Price History'!C67-1),"")</f>
        <v>0.0380600461893765</v>
      </c>
      <c r="D67" s="143" t="n">
        <f aca="false">IFERROR(IF(OR(NOT(ISNUMBER('Price History'!D68)),NOT(ISNUMBER('Price History'!D67)),'Price History'!D67=0),"",'Price History'!D68/'Price History'!D67-1),"")</f>
        <v>0.0135496702007412</v>
      </c>
      <c r="E67" s="143" t="n">
        <f aca="false">IFERROR(IF(OR(NOT(ISNUMBER('Price History'!E68)),NOT(ISNUMBER('Price History'!E67)),'Price History'!E67=0),"",'Price History'!E68/'Price History'!E67-1),"")</f>
        <v>0.252167507225024</v>
      </c>
      <c r="F67" s="143" t="n">
        <f aca="false">IFERROR(IF(OR(NOT(ISNUMBER('Price History'!F68)),NOT(ISNUMBER('Price History'!F67)),'Price History'!F67=0),"",'Price History'!F68/'Price History'!F67-1),"")</f>
        <v>-0.0123777201038132</v>
      </c>
      <c r="G67" s="143" t="n">
        <f aca="false">IFERROR(IF(OR(NOT(ISNUMBER('Price History'!G68)),NOT(ISNUMBER('Price History'!G67)),'Price History'!G67=0),"",'Price History'!G68/'Price History'!G67-1),"")</f>
        <v>0.00645443605732421</v>
      </c>
      <c r="H67" s="143" t="n">
        <f aca="false">IFERROR(IF(OR(NOT(ISNUMBER('Price History'!H68)),NOT(ISNUMBER('Price History'!H67)),'Price History'!H67=0),"",'Price History'!H68/'Price History'!H67-1),"")</f>
        <v>-0.0201950395454196</v>
      </c>
      <c r="I67" s="143" t="n">
        <f aca="false">IFERROR(IF(OR(NOT(ISNUMBER('Price History'!I68)),NOT(ISNUMBER('Price History'!I67)),'Price History'!I67=0),"",'Price History'!I68/'Price History'!I67-1),"")</f>
        <v>0.00827478532396575</v>
      </c>
      <c r="J67" s="143" t="n">
        <f aca="false">IFERROR(IF(OR(NOT(ISNUMBER('Price History'!J68)),NOT(ISNUMBER('Price History'!J67)),'Price History'!J67=0),"",'Price History'!J68/'Price History'!J67-1),"")</f>
        <v>0.0131147540983605</v>
      </c>
      <c r="K67" s="143" t="n">
        <f aca="false">IFERROR(IF(OR(NOT(ISNUMBER('Price History'!K68)),NOT(ISNUMBER('Price History'!K67)),'Price History'!K67=0),"",'Price History'!K68/'Price History'!K67-1),"")</f>
        <v>-0.0575068628141057</v>
      </c>
      <c r="L67" s="143" t="n">
        <f aca="false">IFERROR(IF(OR(NOT(ISNUMBER('Price History'!L68)),NOT(ISNUMBER('Price History'!L67)),'Price History'!L67=0),"",'Price History'!L68/'Price History'!L67-1),"")</f>
        <v>-0.00773195876288657</v>
      </c>
      <c r="M67" s="143" t="n">
        <f aca="false">IFERROR(IF(OR(NOT(ISNUMBER('Price History'!M68)),NOT(ISNUMBER('Price History'!M67)),'Price History'!M67=0),"",'Price History'!M68/'Price History'!M67-1),"")</f>
        <v>-0.00353680901231346</v>
      </c>
      <c r="N67" s="143" t="n">
        <f aca="false">IFERROR(IF(OR(NOT(ISNUMBER('Price History'!N68)),NOT(ISNUMBER('Price History'!N67)),'Price History'!N67=0),"",'Price History'!N68/'Price History'!N67-1),"")</f>
        <v>-0.0149142431021625</v>
      </c>
      <c r="O67" s="143" t="n">
        <f aca="false">IFERROR(IF(OR(NOT(ISNUMBER('Price History'!O68)),NOT(ISNUMBER('Price History'!O67)),'Price History'!O67=0),"",'Price History'!O68/'Price History'!O67-1),"")</f>
        <v>-0.00936792258595842</v>
      </c>
      <c r="P67" s="143" t="n">
        <f aca="false">IFERROR(IF(OR(NOT(ISNUMBER('Price History'!P68)),NOT(ISNUMBER('Price History'!P67)),'Price History'!P67=0),"",'Price History'!P68/'Price History'!P67-1),"")</f>
        <v>-0.00686418008378331</v>
      </c>
      <c r="Q67" s="143" t="n">
        <f aca="false">IFERROR(IF(OR(NOT(ISNUMBER('Price History'!Q68)),NOT(ISNUMBER('Price History'!Q67)),'Price History'!Q67=0),"",'Price History'!Q68/'Price History'!Q67-1),"")</f>
        <v>0.0119881421637291</v>
      </c>
      <c r="R67" s="143" t="n">
        <f aca="false">IFERROR(IF(OR(NOT(ISNUMBER('Price History'!R68)),NOT(ISNUMBER('Price History'!R67)),'Price History'!R67=0),"",'Price History'!R68/'Price History'!R67-1),"")</f>
        <v>0.038574577516532</v>
      </c>
      <c r="S67" s="143" t="n">
        <f aca="false">IFERROR(IF(OR(NOT(ISNUMBER('Price History'!S68)),NOT(ISNUMBER('Price History'!S67)),'Price History'!S67=0),"",'Price History'!S68/'Price History'!S67-1),"")</f>
        <v>0.0598337344126012</v>
      </c>
      <c r="T67" s="143" t="n">
        <f aca="false">IFERROR(IF(OR(NOT(ISNUMBER('Price History'!T68)),NOT(ISNUMBER('Price History'!T67)),'Price History'!T67=0),"",'Price History'!T68/'Price History'!T67-1),"")</f>
        <v>0.0775030156815439</v>
      </c>
      <c r="U67" s="143" t="str">
        <f aca="false">IFERROR(IF(OR(NOT(ISNUMBER('Price History'!U68)),NOT(ISNUMBER('Price History'!U67)),'Price History'!U67=0),"",'Price History'!U68/'Price History'!U67-1),"")</f>
        <v/>
      </c>
      <c r="V67" s="144" t="n">
        <f aca="false">IFERROR(IF(OR(NOT(ISNUMBER('Price History'!V68)),NOT(ISNUMBER('Price History'!V67)),'Price History'!V67=0),"",'Price History'!V68/'Price History'!V67-1),"")</f>
        <v>0.0589344319530758</v>
      </c>
      <c r="W67" s="145" t="str">
        <f aca="false">IFERROR('Price History'!B3+(INDEX('Price History'!B:B,MATCH(9.99E+307,'Price History'!$A:$A))-'Price History'!B3)*(ROW()-3)/(MATCH(9.99E+307,'Returns (Calc)'!$A:$A)-3),"")</f>
        <v/>
      </c>
      <c r="X67" s="145" t="n">
        <f aca="false">IFERROR('Price History'!C3+(INDEX('Price History'!C:C,MATCH(9.99E+307,'Price History'!$A:$A))-'Price History'!C3)*(ROW()-3)/(MATCH(9.99E+307,'Returns (Calc)'!$A:$A)-3),"")</f>
        <v>27.5918238993711</v>
      </c>
      <c r="Y67" s="145" t="n">
        <f aca="false">IFERROR('Price History'!D3+(INDEX('Price History'!D:D,MATCH(9.99E+307,'Price History'!$A:$A))-'Price History'!D3)*(ROW()-3)/(MATCH(9.99E+307,'Returns (Calc)'!$A:$A)-3),"")</f>
        <v>347.741823899371</v>
      </c>
      <c r="Z67" s="145" t="n">
        <f aca="false">IFERROR('Price History'!E3+(INDEX('Price History'!E:E,MATCH(9.99E+307,'Price History'!$A:$A))-'Price History'!E3)*(ROW()-3)/(MATCH(9.99E+307,'Returns (Calc)'!$A:$A)-3),"")</f>
        <v>48.9937106918239</v>
      </c>
      <c r="AA67" s="145" t="n">
        <f aca="false">IFERROR('Price History'!F3+(INDEX('Price History'!F:F,MATCH(9.99E+307,'Price History'!$A:$A))-'Price History'!F3)*(ROW()-3)/(MATCH(9.99E+307,'Returns (Calc)'!$A:$A)-3),"")</f>
        <v>44.9965408805032</v>
      </c>
      <c r="AB67" s="145" t="n">
        <f aca="false">IFERROR('Price History'!G3+(INDEX('Price History'!G:G,MATCH(9.99E+307,'Price History'!$A:$A))-'Price History'!G3)*(ROW()-3)/(MATCH(9.99E+307,'Returns (Calc)'!$A:$A)-3),"")</f>
        <v>24.7119496855346</v>
      </c>
      <c r="AC67" s="145" t="n">
        <f aca="false">IFERROR('Price History'!H3+(INDEX('Price History'!H:H,MATCH(9.99E+307,'Price History'!$A:$A))-'Price History'!H3)*(ROW()-3)/(MATCH(9.99E+307,'Returns (Calc)'!$A:$A)-3),"")</f>
        <v>60.1009433962264</v>
      </c>
      <c r="AD67" s="145" t="n">
        <f aca="false">IFERROR('Price History'!I3+(INDEX('Price History'!I:I,MATCH(9.99E+307,'Price History'!$A:$A))-'Price History'!I3)*(ROW()-3)/(MATCH(9.99E+307,'Returns (Calc)'!$A:$A)-3),"")</f>
        <v>26.498427672956</v>
      </c>
      <c r="AE67" s="145" t="n">
        <f aca="false">IFERROR('Price History'!J3+(INDEX('Price History'!J:J,MATCH(9.99E+307,'Price History'!$A:$A))-'Price History'!J3)*(ROW()-3)/(MATCH(9.99E+307,'Returns (Calc)'!$A:$A)-3),"")</f>
        <v>41.2921383647799</v>
      </c>
      <c r="AF67" s="145" t="n">
        <f aca="false">IFERROR('Price History'!K3+(INDEX('Price History'!K:K,MATCH(9.99E+307,'Price History'!$A:$A))-'Price History'!K3)*(ROW()-3)/(MATCH(9.99E+307,'Returns (Calc)'!$A:$A)-3),"")</f>
        <v>26.1518867924528</v>
      </c>
      <c r="AG67" s="145" t="n">
        <f aca="false">IFERROR('Price History'!L3+(INDEX('Price History'!L:L,MATCH(9.99E+307,'Price History'!$A:$A))-'Price History'!L3)*(ROW()-3)/(MATCH(9.99E+307,'Returns (Calc)'!$A:$A)-3),"")</f>
        <v>66.822641509434</v>
      </c>
      <c r="AH67" s="145" t="n">
        <f aca="false">IFERROR('Price History'!M3+(INDEX('Price History'!M:M,MATCH(9.99E+307,'Price History'!$A:$A))-'Price History'!M3)*(ROW()-3)/(MATCH(9.99E+307,'Returns (Calc)'!$A:$A)-3),"")</f>
        <v>9.15943396226415</v>
      </c>
      <c r="AI67" s="145" t="n">
        <f aca="false">IFERROR('Price History'!N3+(INDEX('Price History'!N:N,MATCH(9.99E+307,'Price History'!$A:$A))-'Price History'!N3)*(ROW()-3)/(MATCH(9.99E+307,'Returns (Calc)'!$A:$A)-3),"")</f>
        <v>13.0251572327044</v>
      </c>
      <c r="AJ67" s="145" t="n">
        <f aca="false">IFERROR('Price History'!O3+(INDEX('Price History'!O:O,MATCH(9.99E+307,'Price History'!$A:$A))-'Price History'!O3)*(ROW()-3)/(MATCH(9.99E+307,'Returns (Calc)'!$A:$A)-3),"")</f>
        <v>34.4330188679245</v>
      </c>
      <c r="AK67" s="145" t="n">
        <f aca="false">IFERROR('Price History'!Q3+(INDEX('Price History'!Q:Q,MATCH(9.99E+307,'Price History'!$A:$A))-'Price History'!Q3)*(ROW()-3)/(MATCH(9.99E+307,'Returns (Calc)'!$A:$A)-3),"")</f>
        <v>140.785220125786</v>
      </c>
      <c r="AL67" s="145" t="n">
        <f aca="false">IFERROR('Price History'!R3+(INDEX('Price History'!R:R,MATCH(9.99E+307,'Price History'!$A:$A))-'Price History'!R3)*(ROW()-3)/(MATCH(9.99E+307,'Returns (Calc)'!$A:$A)-3),"")</f>
        <v>28.5716981132075</v>
      </c>
      <c r="AM67" s="145" t="n">
        <f aca="false">IFERROR('Price History'!S3+(INDEX('Price History'!S:S,MATCH(9.99E+307,'Price History'!$A:$A))-'Price History'!S3)*(ROW()-3)/(MATCH(9.99E+307,'Returns (Calc)'!$A:$A)-3),"")</f>
        <v>34.9767295597484</v>
      </c>
      <c r="AN67" s="145" t="n">
        <f aca="false">IFERROR('Price History'!T3+(INDEX('Price History'!T:T,MATCH(9.99E+307,'Price History'!$A:$A))-'Price History'!T3)*(ROW()-3)/(MATCH(9.99E+307,'Returns (Calc)'!$A:$A)-3),"")</f>
        <v>16.0783018867925</v>
      </c>
      <c r="AO67" s="146" t="n">
        <f aca="false">IFERROR('Price History'!V3+(INDEX('Price History'!V:V,MATCH(9.99E+307,'Price History'!$A:$A))-'Price History'!V3)*(ROW()-3)/(MATCH(9.99E+307,'Returns (Calc)'!$A:$A)-3),"")</f>
        <v>0</v>
      </c>
    </row>
    <row r="68" customFormat="false" ht="15" hidden="false" customHeight="true" outlineLevel="0" collapsed="false">
      <c r="A68" s="142" t="n">
        <f aca="false">IF('Price History'!A69="","",'Price History'!A69)</f>
        <v>45646</v>
      </c>
      <c r="B68" s="143" t="n">
        <f aca="false">IFERROR(IF(OR(NOT(ISNUMBER('Price History'!B69)),NOT(ISNUMBER('Price History'!B68)),'Price History'!B68=0),"",'Price History'!B69/'Price History'!B68-1),"")</f>
        <v>-0.0397689450063347</v>
      </c>
      <c r="C68" s="143" t="n">
        <f aca="false">IFERROR(IF(OR(NOT(ISNUMBER('Price History'!C69)),NOT(ISNUMBER('Price History'!C68)),'Price History'!C68=0),"",'Price History'!C69/'Price History'!C68-1),"")</f>
        <v>0.00391563584586629</v>
      </c>
      <c r="D68" s="143" t="n">
        <f aca="false">IFERROR(IF(OR(NOT(ISNUMBER('Price History'!D69)),NOT(ISNUMBER('Price History'!D68)),'Price History'!D68=0),"",'Price History'!D69/'Price History'!D68-1),"")</f>
        <v>-0.0179564640447218</v>
      </c>
      <c r="E68" s="143" t="n">
        <f aca="false">IFERROR(IF(OR(NOT(ISNUMBER('Price History'!E69)),NOT(ISNUMBER('Price History'!E68)),'Price History'!E68=0),"",'Price History'!E69/'Price History'!E68-1),"")</f>
        <v>-0.0178304747250758</v>
      </c>
      <c r="F68" s="143" t="n">
        <f aca="false">IFERROR(IF(OR(NOT(ISNUMBER('Price History'!F69)),NOT(ISNUMBER('Price History'!F68)),'Price History'!F68=0),"",'Price History'!F69/'Price History'!F68-1),"")</f>
        <v>-0.0538710329492622</v>
      </c>
      <c r="G68" s="143" t="n">
        <f aca="false">IFERROR(IF(OR(NOT(ISNUMBER('Price History'!G69)),NOT(ISNUMBER('Price History'!G68)),'Price History'!G68=0),"",'Price History'!G69/'Price History'!G68-1),"")</f>
        <v>-0.0155434782608697</v>
      </c>
      <c r="H68" s="143" t="n">
        <f aca="false">IFERROR(IF(OR(NOT(ISNUMBER('Price History'!H69)),NOT(ISNUMBER('Price History'!H68)),'Price History'!H68=0),"",'Price History'!H69/'Price History'!H68-1),"")</f>
        <v>-0.0315830721003135</v>
      </c>
      <c r="I68" s="143" t="n">
        <f aca="false">IFERROR(IF(OR(NOT(ISNUMBER('Price History'!I69)),NOT(ISNUMBER('Price History'!I68)),'Price History'!I68=0),"",'Price History'!I69/'Price History'!I68-1),"")</f>
        <v>-0.0373180551254257</v>
      </c>
      <c r="J68" s="143" t="n">
        <f aca="false">IFERROR(IF(OR(NOT(ISNUMBER('Price History'!J69)),NOT(ISNUMBER('Price History'!J68)),'Price History'!J68=0),"",'Price History'!J69/'Price History'!J68-1),"")</f>
        <v>-0.120721780915956</v>
      </c>
      <c r="K68" s="143" t="n">
        <f aca="false">IFERROR(IF(OR(NOT(ISNUMBER('Price History'!K69)),NOT(ISNUMBER('Price History'!K68)),'Price History'!K68=0),"",'Price History'!K69/'Price History'!K68-1),"")</f>
        <v>0.00336071695294993</v>
      </c>
      <c r="L68" s="143" t="n">
        <f aca="false">IFERROR(IF(OR(NOT(ISNUMBER('Price History'!L69)),NOT(ISNUMBER('Price History'!L68)),'Price History'!L68=0),"",'Price History'!L69/'Price History'!L68-1),"")</f>
        <v>-0.0622414622414622</v>
      </c>
      <c r="M68" s="143" t="n">
        <f aca="false">IFERROR(IF(OR(NOT(ISNUMBER('Price History'!M69)),NOT(ISNUMBER('Price History'!M68)),'Price History'!M68=0),"",'Price History'!M69/'Price History'!M68-1),"")</f>
        <v>0.0588931247535165</v>
      </c>
      <c r="N68" s="143" t="n">
        <f aca="false">IFERROR(IF(OR(NOT(ISNUMBER('Price History'!N69)),NOT(ISNUMBER('Price History'!N68)),'Price History'!N68=0),"",'Price History'!N69/'Price History'!N68-1),"")</f>
        <v>-0.0299015897047692</v>
      </c>
      <c r="O68" s="143" t="n">
        <f aca="false">IFERROR(IF(OR(NOT(ISNUMBER('Price History'!O69)),NOT(ISNUMBER('Price History'!O68)),'Price History'!O68=0),"",'Price History'!O69/'Price History'!O68-1),"")</f>
        <v>-0.0224462225917075</v>
      </c>
      <c r="P68" s="143" t="n">
        <f aca="false">IFERROR(IF(OR(NOT(ISNUMBER('Price History'!P69)),NOT(ISNUMBER('Price History'!P68)),'Price History'!P68=0),"",'Price History'!P69/'Price History'!P68-1),"")</f>
        <v>-0.0188036794226764</v>
      </c>
      <c r="Q68" s="143" t="n">
        <f aca="false">IFERROR(IF(OR(NOT(ISNUMBER('Price History'!Q69)),NOT(ISNUMBER('Price History'!Q68)),'Price History'!Q68=0),"",'Price History'!Q69/'Price History'!Q68-1),"")</f>
        <v>0.00946402704007721</v>
      </c>
      <c r="R68" s="143" t="n">
        <f aca="false">IFERROR(IF(OR(NOT(ISNUMBER('Price History'!R69)),NOT(ISNUMBER('Price History'!R68)),'Price History'!R68=0),"",'Price History'!R69/'Price History'!R68-1),"")</f>
        <v>-0.0164485320127343</v>
      </c>
      <c r="S68" s="143" t="n">
        <f aca="false">IFERROR(IF(OR(NOT(ISNUMBER('Price History'!S69)),NOT(ISNUMBER('Price History'!S68)),'Price History'!S68=0),"",'Price History'!S69/'Price History'!S68-1),"")</f>
        <v>-0.030859737847043</v>
      </c>
      <c r="T68" s="143" t="n">
        <f aca="false">IFERROR(IF(OR(NOT(ISNUMBER('Price History'!T69)),NOT(ISNUMBER('Price History'!T68)),'Price History'!T68=0),"",'Price History'!T69/'Price History'!T68-1),"")</f>
        <v>-0.0153932269801287</v>
      </c>
      <c r="U68" s="143" t="str">
        <f aca="false">IFERROR(IF(OR(NOT(ISNUMBER('Price History'!U69)),NOT(ISNUMBER('Price History'!U68)),'Price History'!U68=0),"",'Price History'!U69/'Price History'!U68-1),"")</f>
        <v/>
      </c>
      <c r="V68" s="144" t="n">
        <f aca="false">IFERROR(IF(OR(NOT(ISNUMBER('Price History'!V69)),NOT(ISNUMBER('Price History'!V68)),'Price History'!V68=0),"",'Price History'!V69/'Price History'!V68-1),"")</f>
        <v>0.00764919221892524</v>
      </c>
      <c r="W68" s="145" t="str">
        <f aca="false">IFERROR('Price History'!B3+(INDEX('Price History'!B:B,MATCH(9.99E+307,'Price History'!$A:$A))-'Price History'!B3)*(ROW()-3)/(MATCH(9.99E+307,'Returns (Calc)'!$A:$A)-3),"")</f>
        <v/>
      </c>
      <c r="X68" s="145" t="n">
        <f aca="false">IFERROR('Price History'!C3+(INDEX('Price History'!C:C,MATCH(9.99E+307,'Price History'!$A:$A))-'Price History'!C3)*(ROW()-3)/(MATCH(9.99E+307,'Returns (Calc)'!$A:$A)-3),"")</f>
        <v>27.3013836477987</v>
      </c>
      <c r="Y68" s="145" t="n">
        <f aca="false">IFERROR('Price History'!D3+(INDEX('Price History'!D:D,MATCH(9.99E+307,'Price History'!$A:$A))-'Price History'!D3)*(ROW()-3)/(MATCH(9.99E+307,'Returns (Calc)'!$A:$A)-3),"")</f>
        <v>344.081383647799</v>
      </c>
      <c r="Z68" s="145" t="n">
        <f aca="false">IFERROR('Price History'!E3+(INDEX('Price History'!E:E,MATCH(9.99E+307,'Price History'!$A:$A))-'Price History'!E3)*(ROW()-3)/(MATCH(9.99E+307,'Returns (Calc)'!$A:$A)-3),"")</f>
        <v>48.4779874213836</v>
      </c>
      <c r="AA68" s="145" t="n">
        <f aca="false">IFERROR('Price History'!F3+(INDEX('Price History'!F:F,MATCH(9.99E+307,'Price History'!$A:$A))-'Price History'!F3)*(ROW()-3)/(MATCH(9.99E+307,'Returns (Calc)'!$A:$A)-3),"")</f>
        <v>44.522893081761</v>
      </c>
      <c r="AB68" s="145" t="n">
        <f aca="false">IFERROR('Price History'!G3+(INDEX('Price History'!G:G,MATCH(9.99E+307,'Price History'!$A:$A))-'Price History'!G3)*(ROW()-3)/(MATCH(9.99E+307,'Returns (Calc)'!$A:$A)-3),"")</f>
        <v>24.4518238993711</v>
      </c>
      <c r="AC68" s="145" t="n">
        <f aca="false">IFERROR('Price History'!H3+(INDEX('Price History'!H:H,MATCH(9.99E+307,'Price History'!$A:$A))-'Price History'!H3)*(ROW()-3)/(MATCH(9.99E+307,'Returns (Calc)'!$A:$A)-3),"")</f>
        <v>59.4683018867925</v>
      </c>
      <c r="AD68" s="145" t="n">
        <f aca="false">IFERROR('Price History'!I3+(INDEX('Price History'!I:I,MATCH(9.99E+307,'Price History'!$A:$A))-'Price History'!I3)*(ROW()-3)/(MATCH(9.99E+307,'Returns (Calc)'!$A:$A)-3),"")</f>
        <v>26.2194968553459</v>
      </c>
      <c r="AE68" s="145" t="n">
        <f aca="false">IFERROR('Price History'!J3+(INDEX('Price History'!J:J,MATCH(9.99E+307,'Price History'!$A:$A))-'Price History'!J3)*(ROW()-3)/(MATCH(9.99E+307,'Returns (Calc)'!$A:$A)-3),"")</f>
        <v>40.8574842767296</v>
      </c>
      <c r="AF68" s="145" t="n">
        <f aca="false">IFERROR('Price History'!K3+(INDEX('Price History'!K:K,MATCH(9.99E+307,'Price History'!$A:$A))-'Price History'!K3)*(ROW()-3)/(MATCH(9.99E+307,'Returns (Calc)'!$A:$A)-3),"")</f>
        <v>25.8766037735849</v>
      </c>
      <c r="AG68" s="145" t="n">
        <f aca="false">IFERROR('Price History'!L3+(INDEX('Price History'!L:L,MATCH(9.99E+307,'Price History'!$A:$A))-'Price History'!L3)*(ROW()-3)/(MATCH(9.99E+307,'Returns (Calc)'!$A:$A)-3),"")</f>
        <v>66.1192452830189</v>
      </c>
      <c r="AH68" s="145" t="n">
        <f aca="false">IFERROR('Price History'!M3+(INDEX('Price History'!M:M,MATCH(9.99E+307,'Price History'!$A:$A))-'Price History'!M3)*(ROW()-3)/(MATCH(9.99E+307,'Returns (Calc)'!$A:$A)-3),"")</f>
        <v>9.06301886792453</v>
      </c>
      <c r="AI68" s="145" t="n">
        <f aca="false">IFERROR('Price History'!N3+(INDEX('Price History'!N:N,MATCH(9.99E+307,'Price History'!$A:$A))-'Price History'!N3)*(ROW()-3)/(MATCH(9.99E+307,'Returns (Calc)'!$A:$A)-3),"")</f>
        <v>12.8880503144654</v>
      </c>
      <c r="AJ68" s="145" t="n">
        <f aca="false">IFERROR('Price History'!O3+(INDEX('Price History'!O:O,MATCH(9.99E+307,'Price History'!$A:$A))-'Price History'!O3)*(ROW()-3)/(MATCH(9.99E+307,'Returns (Calc)'!$A:$A)-3),"")</f>
        <v>34.0705660377359</v>
      </c>
      <c r="AK68" s="145" t="n">
        <f aca="false">IFERROR('Price History'!Q3+(INDEX('Price History'!Q:Q,MATCH(9.99E+307,'Price History'!$A:$A))-'Price History'!Q3)*(ROW()-3)/(MATCH(9.99E+307,'Returns (Calc)'!$A:$A)-3),"")</f>
        <v>139.303270440252</v>
      </c>
      <c r="AL68" s="145" t="n">
        <f aca="false">IFERROR('Price History'!R3+(INDEX('Price History'!R:R,MATCH(9.99E+307,'Price History'!$A:$A))-'Price History'!R3)*(ROW()-3)/(MATCH(9.99E+307,'Returns (Calc)'!$A:$A)-3),"")</f>
        <v>28.2709433962264</v>
      </c>
      <c r="AM68" s="145" t="n">
        <f aca="false">IFERROR('Price History'!S3+(INDEX('Price History'!S:S,MATCH(9.99E+307,'Price History'!$A:$A))-'Price History'!S3)*(ROW()-3)/(MATCH(9.99E+307,'Returns (Calc)'!$A:$A)-3),"")</f>
        <v>34.6085534591195</v>
      </c>
      <c r="AN68" s="145" t="n">
        <f aca="false">IFERROR('Price History'!T3+(INDEX('Price History'!T:T,MATCH(9.99E+307,'Price History'!$A:$A))-'Price History'!T3)*(ROW()-3)/(MATCH(9.99E+307,'Returns (Calc)'!$A:$A)-3),"")</f>
        <v>15.9090566037736</v>
      </c>
      <c r="AO68" s="146" t="n">
        <f aca="false">IFERROR('Price History'!V3+(INDEX('Price History'!V:V,MATCH(9.99E+307,'Price History'!$A:$A))-'Price History'!V3)*(ROW()-3)/(MATCH(9.99E+307,'Returns (Calc)'!$A:$A)-3),"")</f>
        <v>0</v>
      </c>
    </row>
    <row r="69" customFormat="false" ht="15" hidden="false" customHeight="true" outlineLevel="0" collapsed="false">
      <c r="A69" s="142" t="n">
        <f aca="false">IF('Price History'!A70="","",'Price History'!A70)</f>
        <v>45653</v>
      </c>
      <c r="B69" s="143" t="n">
        <f aca="false">IFERROR(IF(OR(NOT(ISNUMBER('Price History'!B70)),NOT(ISNUMBER('Price History'!B69)),'Price History'!B69=0),"",'Price History'!B70/'Price History'!B69-1),"")</f>
        <v>-0.00154303732361294</v>
      </c>
      <c r="C69" s="143" t="n">
        <f aca="false">IFERROR(IF(OR(NOT(ISNUMBER('Price History'!C70)),NOT(ISNUMBER('Price History'!C69)),'Price History'!C69=0),"",'Price History'!C70/'Price History'!C69-1),"")</f>
        <v>0.00195018172147865</v>
      </c>
      <c r="D69" s="143" t="n">
        <f aca="false">IFERROR(IF(OR(NOT(ISNUMBER('Price History'!D70)),NOT(ISNUMBER('Price History'!D69)),'Price History'!D69=0),"",'Price History'!D70/'Price History'!D69-1),"")</f>
        <v>0.0112123738607941</v>
      </c>
      <c r="E69" s="143" t="n">
        <f aca="false">IFERROR(IF(OR(NOT(ISNUMBER('Price History'!E70)),NOT(ISNUMBER('Price History'!E69)),'Price History'!E69=0),"",'Price History'!E70/'Price History'!E69-1),"")</f>
        <v>0.097866654379579</v>
      </c>
      <c r="F69" s="143" t="n">
        <f aca="false">IFERROR(IF(OR(NOT(ISNUMBER('Price History'!F70)),NOT(ISNUMBER('Price History'!F69)),'Price History'!F69=0),"",'Price History'!F70/'Price History'!F69-1),"")</f>
        <v>0.00395256916996045</v>
      </c>
      <c r="G69" s="143" t="n">
        <f aca="false">IFERROR(IF(OR(NOT(ISNUMBER('Price History'!G70)),NOT(ISNUMBER('Price History'!G69)),'Price History'!G69=0),"",'Price History'!G70/'Price History'!G69-1),"")</f>
        <v>-0.0200949541790879</v>
      </c>
      <c r="H69" s="143" t="n">
        <f aca="false">IFERROR(IF(OR(NOT(ISNUMBER('Price History'!H70)),NOT(ISNUMBER('Price History'!H69)),'Price History'!H69=0),"",'Price History'!H70/'Price History'!H69-1),"")</f>
        <v>0.00453184429877807</v>
      </c>
      <c r="I69" s="143" t="n">
        <f aca="false">IFERROR(IF(OR(NOT(ISNUMBER('Price History'!I70)),NOT(ISNUMBER('Price History'!I69)),'Price History'!I69=0),"",'Price History'!I70/'Price History'!I69-1),"")</f>
        <v>0.0246099404857649</v>
      </c>
      <c r="J69" s="143" t="n">
        <f aca="false">IFERROR(IF(OR(NOT(ISNUMBER('Price History'!J70)),NOT(ISNUMBER('Price History'!J69)),'Price History'!J69=0),"",'Price History'!J70/'Price History'!J69-1),"")</f>
        <v>-0.0165068034798125</v>
      </c>
      <c r="K69" s="143" t="n">
        <f aca="false">IFERROR(IF(OR(NOT(ISNUMBER('Price History'!K70)),NOT(ISNUMBER('Price History'!K69)),'Price History'!K69=0),"",'Price History'!K70/'Price History'!K69-1),"")</f>
        <v>0.0171194640863417</v>
      </c>
      <c r="L69" s="143" t="n">
        <f aca="false">IFERROR(IF(OR(NOT(ISNUMBER('Price History'!L70)),NOT(ISNUMBER('Price History'!L69)),'Price History'!L69=0),"",'Price History'!L70/'Price History'!L69-1),"")</f>
        <v>0.0185679113664341</v>
      </c>
      <c r="M69" s="143" t="n">
        <f aca="false">IFERROR(IF(OR(NOT(ISNUMBER('Price History'!M70)),NOT(ISNUMBER('Price History'!M69)),'Price History'!M69=0),"",'Price History'!M70/'Price History'!M69-1),"")</f>
        <v>-0.0182495344506518</v>
      </c>
      <c r="N69" s="143" t="n">
        <f aca="false">IFERROR(IF(OR(NOT(ISNUMBER('Price History'!N70)),NOT(ISNUMBER('Price History'!N69)),'Price History'!N69=0),"",'Price History'!N70/'Price History'!N69-1),"")</f>
        <v>0.00663285212641451</v>
      </c>
      <c r="O69" s="143" t="n">
        <f aca="false">IFERROR(IF(OR(NOT(ISNUMBER('Price History'!O70)),NOT(ISNUMBER('Price History'!O69)),'Price History'!O69=0),"",'Price History'!O70/'Price History'!O69-1),"")</f>
        <v>0.0126501541405337</v>
      </c>
      <c r="P69" s="143" t="n">
        <f aca="false">IFERROR(IF(OR(NOT(ISNUMBER('Price History'!P70)),NOT(ISNUMBER('Price History'!P69)),'Price History'!P69=0),"",'Price History'!P70/'Price History'!P69-1),"")</f>
        <v>0.0224270989796447</v>
      </c>
      <c r="Q69" s="143" t="n">
        <f aca="false">IFERROR(IF(OR(NOT(ISNUMBER('Price History'!Q70)),NOT(ISNUMBER('Price History'!Q69)),'Price History'!Q69=0),"",'Price History'!Q70/'Price History'!Q69-1),"")</f>
        <v>0.00296565579259545</v>
      </c>
      <c r="R69" s="143" t="n">
        <f aca="false">IFERROR(IF(OR(NOT(ISNUMBER('Price History'!R70)),NOT(ISNUMBER('Price History'!R69)),'Price History'!R69=0),"",'Price History'!R70/'Price History'!R69-1),"")</f>
        <v>0.0172630821794642</v>
      </c>
      <c r="S69" s="143" t="n">
        <f aca="false">IFERROR(IF(OR(NOT(ISNUMBER('Price History'!S70)),NOT(ISNUMBER('Price History'!S69)),'Price History'!S69=0),"",'Price History'!S70/'Price History'!S69-1),"")</f>
        <v>0.0178913738019169</v>
      </c>
      <c r="T69" s="143" t="n">
        <f aca="false">IFERROR(IF(OR(NOT(ISNUMBER('Price History'!T70)),NOT(ISNUMBER('Price History'!T69)),'Price History'!T69=0),"",'Price History'!T70/'Price History'!T69-1),"")</f>
        <v>0.0386583285957931</v>
      </c>
      <c r="U69" s="143" t="str">
        <f aca="false">IFERROR(IF(OR(NOT(ISNUMBER('Price History'!U70)),NOT(ISNUMBER('Price History'!U69)),'Price History'!U69=0),"",'Price History'!U70/'Price History'!U69-1),"")</f>
        <v/>
      </c>
      <c r="V69" s="144" t="n">
        <f aca="false">IFERROR(IF(OR(NOT(ISNUMBER('Price History'!V70)),NOT(ISNUMBER('Price History'!V69)),'Price History'!V69=0),"",'Price History'!V70/'Price History'!V69-1),"")</f>
        <v>0.000916170407695649</v>
      </c>
      <c r="W69" s="145" t="str">
        <f aca="false">IFERROR('Price History'!B3+(INDEX('Price History'!B:B,MATCH(9.99E+307,'Price History'!$A:$A))-'Price History'!B3)*(ROW()-3)/(MATCH(9.99E+307,'Returns (Calc)'!$A:$A)-3),"")</f>
        <v/>
      </c>
      <c r="X69" s="145" t="n">
        <f aca="false">IFERROR('Price History'!C3+(INDEX('Price History'!C:C,MATCH(9.99E+307,'Price History'!$A:$A))-'Price History'!C3)*(ROW()-3)/(MATCH(9.99E+307,'Returns (Calc)'!$A:$A)-3),"")</f>
        <v>27.0109433962264</v>
      </c>
      <c r="Y69" s="145" t="n">
        <f aca="false">IFERROR('Price History'!D3+(INDEX('Price History'!D:D,MATCH(9.99E+307,'Price History'!$A:$A))-'Price History'!D3)*(ROW()-3)/(MATCH(9.99E+307,'Returns (Calc)'!$A:$A)-3),"")</f>
        <v>340.420943396226</v>
      </c>
      <c r="Z69" s="145" t="n">
        <f aca="false">IFERROR('Price History'!E3+(INDEX('Price History'!E:E,MATCH(9.99E+307,'Price History'!$A:$A))-'Price History'!E3)*(ROW()-3)/(MATCH(9.99E+307,'Returns (Calc)'!$A:$A)-3),"")</f>
        <v>47.9622641509434</v>
      </c>
      <c r="AA69" s="145" t="n">
        <f aca="false">IFERROR('Price History'!F3+(INDEX('Price History'!F:F,MATCH(9.99E+307,'Price History'!$A:$A))-'Price History'!F3)*(ROW()-3)/(MATCH(9.99E+307,'Returns (Calc)'!$A:$A)-3),"")</f>
        <v>44.0492452830189</v>
      </c>
      <c r="AB69" s="145" t="n">
        <f aca="false">IFERROR('Price History'!G3+(INDEX('Price History'!G:G,MATCH(9.99E+307,'Price History'!$A:$A))-'Price History'!G3)*(ROW()-3)/(MATCH(9.99E+307,'Returns (Calc)'!$A:$A)-3),"")</f>
        <v>24.1916981132075</v>
      </c>
      <c r="AC69" s="145" t="n">
        <f aca="false">IFERROR('Price History'!H3+(INDEX('Price History'!H:H,MATCH(9.99E+307,'Price History'!$A:$A))-'Price History'!H3)*(ROW()-3)/(MATCH(9.99E+307,'Returns (Calc)'!$A:$A)-3),"")</f>
        <v>58.8356603773585</v>
      </c>
      <c r="AD69" s="145" t="n">
        <f aca="false">IFERROR('Price History'!I3+(INDEX('Price History'!I:I,MATCH(9.99E+307,'Price History'!$A:$A))-'Price History'!I3)*(ROW()-3)/(MATCH(9.99E+307,'Returns (Calc)'!$A:$A)-3),"")</f>
        <v>25.9405660377359</v>
      </c>
      <c r="AE69" s="145" t="n">
        <f aca="false">IFERROR('Price History'!J3+(INDEX('Price History'!J:J,MATCH(9.99E+307,'Price History'!$A:$A))-'Price History'!J3)*(ROW()-3)/(MATCH(9.99E+307,'Returns (Calc)'!$A:$A)-3),"")</f>
        <v>40.4228301886792</v>
      </c>
      <c r="AF69" s="145" t="n">
        <f aca="false">IFERROR('Price History'!K3+(INDEX('Price History'!K:K,MATCH(9.99E+307,'Price History'!$A:$A))-'Price History'!K3)*(ROW()-3)/(MATCH(9.99E+307,'Returns (Calc)'!$A:$A)-3),"")</f>
        <v>25.601320754717</v>
      </c>
      <c r="AG69" s="145" t="n">
        <f aca="false">IFERROR('Price History'!L3+(INDEX('Price History'!L:L,MATCH(9.99E+307,'Price History'!$A:$A))-'Price History'!L3)*(ROW()-3)/(MATCH(9.99E+307,'Returns (Calc)'!$A:$A)-3),"")</f>
        <v>65.4158490566038</v>
      </c>
      <c r="AH69" s="145" t="n">
        <f aca="false">IFERROR('Price History'!M3+(INDEX('Price History'!M:M,MATCH(9.99E+307,'Price History'!$A:$A))-'Price History'!M3)*(ROW()-3)/(MATCH(9.99E+307,'Returns (Calc)'!$A:$A)-3),"")</f>
        <v>8.96660377358491</v>
      </c>
      <c r="AI69" s="145" t="n">
        <f aca="false">IFERROR('Price History'!N3+(INDEX('Price History'!N:N,MATCH(9.99E+307,'Price History'!$A:$A))-'Price History'!N3)*(ROW()-3)/(MATCH(9.99E+307,'Returns (Calc)'!$A:$A)-3),"")</f>
        <v>12.7509433962264</v>
      </c>
      <c r="AJ69" s="145" t="n">
        <f aca="false">IFERROR('Price History'!O3+(INDEX('Price History'!O:O,MATCH(9.99E+307,'Price History'!$A:$A))-'Price History'!O3)*(ROW()-3)/(MATCH(9.99E+307,'Returns (Calc)'!$A:$A)-3),"")</f>
        <v>33.7081132075472</v>
      </c>
      <c r="AK69" s="145" t="n">
        <f aca="false">IFERROR('Price History'!Q3+(INDEX('Price History'!Q:Q,MATCH(9.99E+307,'Price History'!$A:$A))-'Price History'!Q3)*(ROW()-3)/(MATCH(9.99E+307,'Returns (Calc)'!$A:$A)-3),"")</f>
        <v>137.821320754717</v>
      </c>
      <c r="AL69" s="145" t="n">
        <f aca="false">IFERROR('Price History'!R3+(INDEX('Price History'!R:R,MATCH(9.99E+307,'Price History'!$A:$A))-'Price History'!R3)*(ROW()-3)/(MATCH(9.99E+307,'Returns (Calc)'!$A:$A)-3),"")</f>
        <v>27.9701886792453</v>
      </c>
      <c r="AM69" s="145" t="n">
        <f aca="false">IFERROR('Price History'!S3+(INDEX('Price History'!S:S,MATCH(9.99E+307,'Price History'!$A:$A))-'Price History'!S3)*(ROW()-3)/(MATCH(9.99E+307,'Returns (Calc)'!$A:$A)-3),"")</f>
        <v>34.2403773584906</v>
      </c>
      <c r="AN69" s="145" t="n">
        <f aca="false">IFERROR('Price History'!T3+(INDEX('Price History'!T:T,MATCH(9.99E+307,'Price History'!$A:$A))-'Price History'!T3)*(ROW()-3)/(MATCH(9.99E+307,'Returns (Calc)'!$A:$A)-3),"")</f>
        <v>15.7398113207547</v>
      </c>
      <c r="AO69" s="146" t="n">
        <f aca="false">IFERROR('Price History'!V3+(INDEX('Price History'!V:V,MATCH(9.99E+307,'Price History'!$A:$A))-'Price History'!V3)*(ROW()-3)/(MATCH(9.99E+307,'Returns (Calc)'!$A:$A)-3),"")</f>
        <v>0</v>
      </c>
    </row>
    <row r="70" customFormat="false" ht="15" hidden="false" customHeight="true" outlineLevel="0" collapsed="false">
      <c r="A70" s="142" t="n">
        <f aca="false">IF('Price History'!A71="","",'Price History'!A71)</f>
        <v>45660</v>
      </c>
      <c r="B70" s="143" t="n">
        <f aca="false">IFERROR(IF(OR(NOT(ISNUMBER('Price History'!B71)),NOT(ISNUMBER('Price History'!B70)),'Price History'!B70=0),"",'Price History'!B71/'Price History'!B70-1),"")</f>
        <v>-0.0356342949292242</v>
      </c>
      <c r="C70" s="143" t="n">
        <f aca="false">IFERROR(IF(OR(NOT(ISNUMBER('Price History'!C71)),NOT(ISNUMBER('Price History'!C70)),'Price History'!C70=0),"",'Price History'!C71/'Price History'!C70-1),"")</f>
        <v>0.0191984428912679</v>
      </c>
      <c r="D70" s="143" t="n">
        <f aca="false">IFERROR(IF(OR(NOT(ISNUMBER('Price History'!D71)),NOT(ISNUMBER('Price History'!D70)),'Price History'!D70=0),"",'Price History'!D71/'Price History'!D70-1),"")</f>
        <v>0.0010803741506269</v>
      </c>
      <c r="E70" s="143" t="n">
        <f aca="false">IFERROR(IF(OR(NOT(ISNUMBER('Price History'!E71)),NOT(ISNUMBER('Price History'!E70)),'Price History'!E70=0),"",'Price History'!E71/'Price History'!E70-1),"")</f>
        <v>-0.038066059512318</v>
      </c>
      <c r="F70" s="143" t="n">
        <f aca="false">IFERROR(IF(OR(NOT(ISNUMBER('Price History'!F71)),NOT(ISNUMBER('Price History'!F70)),'Price History'!F70=0),"",'Price History'!F71/'Price History'!F70-1),"")</f>
        <v>0.00787401574803148</v>
      </c>
      <c r="G70" s="143" t="n">
        <f aca="false">IFERROR(IF(OR(NOT(ISNUMBER('Price History'!G71)),NOT(ISNUMBER('Price History'!G70)),'Price History'!G70=0),"",'Price History'!G71/'Price History'!G70-1),"")</f>
        <v>0.0112676056338028</v>
      </c>
      <c r="H70" s="143" t="n">
        <f aca="false">IFERROR(IF(OR(NOT(ISNUMBER('Price History'!H71)),NOT(ISNUMBER('Price History'!H70)),'Price History'!H70=0),"",'Price History'!H71/'Price History'!H70-1),"")</f>
        <v>-0.000563924917425185</v>
      </c>
      <c r="I70" s="143" t="n">
        <f aca="false">IFERROR(IF(OR(NOT(ISNUMBER('Price History'!I71)),NOT(ISNUMBER('Price History'!I70)),'Price History'!I70=0),"",'Price History'!I71/'Price History'!I70-1),"")</f>
        <v>0.0188383045525904</v>
      </c>
      <c r="J70" s="143" t="n">
        <f aca="false">IFERROR(IF(OR(NOT(ISNUMBER('Price History'!J71)),NOT(ISNUMBER('Price History'!J70)),'Price History'!J70=0),"",'Price History'!J71/'Price History'!J70-1),"")</f>
        <v>0.0153095940122476</v>
      </c>
      <c r="K70" s="143" t="n">
        <f aca="false">IFERROR(IF(OR(NOT(ISNUMBER('Price History'!K71)),NOT(ISNUMBER('Price History'!K70)),'Price History'!K70=0),"",'Price History'!K71/'Price History'!K70-1),"")</f>
        <v>0.0544456641053788</v>
      </c>
      <c r="L70" s="143" t="n">
        <f aca="false">IFERROR(IF(OR(NOT(ISNUMBER('Price History'!L71)),NOT(ISNUMBER('Price History'!L70)),'Price History'!L70=0),"",'Price History'!L71/'Price History'!L70-1),"")</f>
        <v>0.00372645785074011</v>
      </c>
      <c r="M70" s="143" t="n">
        <f aca="false">IFERROR(IF(OR(NOT(ISNUMBER('Price History'!M71)),NOT(ISNUMBER('Price History'!M70)),'Price History'!M70=0),"",'Price History'!M71/'Price History'!M70-1),"")</f>
        <v>0.0102427921092565</v>
      </c>
      <c r="N70" s="143" t="n">
        <f aca="false">IFERROR(IF(OR(NOT(ISNUMBER('Price History'!N71)),NOT(ISNUMBER('Price History'!N70)),'Price History'!N70=0),"",'Price History'!N71/'Price History'!N70-1),"")</f>
        <v>-0.00116279069767444</v>
      </c>
      <c r="O70" s="143" t="n">
        <f aca="false">IFERROR(IF(OR(NOT(ISNUMBER('Price History'!O71)),NOT(ISNUMBER('Price History'!O70)),'Price History'!O70=0),"",'Price History'!O71/'Price History'!O70-1),"")</f>
        <v>0.00304429981104337</v>
      </c>
      <c r="P70" s="143" t="n">
        <f aca="false">IFERROR(IF(OR(NOT(ISNUMBER('Price History'!P71)),NOT(ISNUMBER('Price History'!P70)),'Price History'!P70=0),"",'Price History'!P71/'Price History'!P70-1),"")</f>
        <v>0.0345997973657548</v>
      </c>
      <c r="Q70" s="143" t="n">
        <f aca="false">IFERROR(IF(OR(NOT(ISNUMBER('Price History'!Q71)),NOT(ISNUMBER('Price History'!Q70)),'Price History'!Q70=0),"",'Price History'!Q71/'Price History'!Q70-1),"")</f>
        <v>-0.0117639577769298</v>
      </c>
      <c r="R70" s="143" t="n">
        <f aca="false">IFERROR(IF(OR(NOT(ISNUMBER('Price History'!R71)),NOT(ISNUMBER('Price History'!R70)),'Price History'!R70=0),"",'Price History'!R71/'Price History'!R70-1),"")</f>
        <v>0.00919215131695261</v>
      </c>
      <c r="S70" s="143" t="n">
        <f aca="false">IFERROR(IF(OR(NOT(ISNUMBER('Price History'!S71)),NOT(ISNUMBER('Price History'!S70)),'Price History'!S70=0),"",'Price History'!S71/'Price History'!S70-1),"")</f>
        <v>0.0130780498012137</v>
      </c>
      <c r="T70" s="143" t="n">
        <f aca="false">IFERROR(IF(OR(NOT(ISNUMBER('Price History'!T71)),NOT(ISNUMBER('Price History'!T70)),'Price History'!T70=0),"",'Price History'!T71/'Price History'!T70-1),"")</f>
        <v>0.00191570881226055</v>
      </c>
      <c r="U70" s="143" t="str">
        <f aca="false">IFERROR(IF(OR(NOT(ISNUMBER('Price History'!U71)),NOT(ISNUMBER('Price History'!U70)),'Price History'!U70=0),"",'Price History'!U71/'Price History'!U70-1),"")</f>
        <v/>
      </c>
      <c r="V70" s="144" t="n">
        <f aca="false">IFERROR(IF(OR(NOT(ISNUMBER('Price History'!V71)),NOT(ISNUMBER('Price History'!V70)),'Price History'!V70=0),"",'Price History'!V71/'Price History'!V70-1),"")</f>
        <v>0.0166394246485782</v>
      </c>
      <c r="W70" s="145" t="str">
        <f aca="false">IFERROR('Price History'!B3+(INDEX('Price History'!B:B,MATCH(9.99E+307,'Price History'!$A:$A))-'Price History'!B3)*(ROW()-3)/(MATCH(9.99E+307,'Returns (Calc)'!$A:$A)-3),"")</f>
        <v/>
      </c>
      <c r="X70" s="145" t="n">
        <f aca="false">IFERROR('Price History'!C3+(INDEX('Price History'!C:C,MATCH(9.99E+307,'Price History'!$A:$A))-'Price History'!C3)*(ROW()-3)/(MATCH(9.99E+307,'Returns (Calc)'!$A:$A)-3),"")</f>
        <v>26.7205031446541</v>
      </c>
      <c r="Y70" s="145" t="n">
        <f aca="false">IFERROR('Price History'!D3+(INDEX('Price History'!D:D,MATCH(9.99E+307,'Price History'!$A:$A))-'Price History'!D3)*(ROW()-3)/(MATCH(9.99E+307,'Returns (Calc)'!$A:$A)-3),"")</f>
        <v>336.760503144654</v>
      </c>
      <c r="Z70" s="145" t="n">
        <f aca="false">IFERROR('Price History'!E3+(INDEX('Price History'!E:E,MATCH(9.99E+307,'Price History'!$A:$A))-'Price History'!E3)*(ROW()-3)/(MATCH(9.99E+307,'Returns (Calc)'!$A:$A)-3),"")</f>
        <v>47.4465408805031</v>
      </c>
      <c r="AA70" s="145" t="n">
        <f aca="false">IFERROR('Price History'!F3+(INDEX('Price History'!F:F,MATCH(9.99E+307,'Price History'!$A:$A))-'Price History'!F3)*(ROW()-3)/(MATCH(9.99E+307,'Returns (Calc)'!$A:$A)-3),"")</f>
        <v>43.5755974842767</v>
      </c>
      <c r="AB70" s="145" t="n">
        <f aca="false">IFERROR('Price History'!G3+(INDEX('Price History'!G:G,MATCH(9.99E+307,'Price History'!$A:$A))-'Price History'!G3)*(ROW()-3)/(MATCH(9.99E+307,'Returns (Calc)'!$A:$A)-3),"")</f>
        <v>23.931572327044</v>
      </c>
      <c r="AC70" s="145" t="n">
        <f aca="false">IFERROR('Price History'!H3+(INDEX('Price History'!H:H,MATCH(9.99E+307,'Price History'!$A:$A))-'Price History'!H3)*(ROW()-3)/(MATCH(9.99E+307,'Returns (Calc)'!$A:$A)-3),"")</f>
        <v>58.2030188679245</v>
      </c>
      <c r="AD70" s="145" t="n">
        <f aca="false">IFERROR('Price History'!I3+(INDEX('Price History'!I:I,MATCH(9.99E+307,'Price History'!$A:$A))-'Price History'!I3)*(ROW()-3)/(MATCH(9.99E+307,'Returns (Calc)'!$A:$A)-3),"")</f>
        <v>25.6616352201258</v>
      </c>
      <c r="AE70" s="145" t="n">
        <f aca="false">IFERROR('Price History'!J3+(INDEX('Price History'!J:J,MATCH(9.99E+307,'Price History'!$A:$A))-'Price History'!J3)*(ROW()-3)/(MATCH(9.99E+307,'Returns (Calc)'!$A:$A)-3),"")</f>
        <v>39.9881761006289</v>
      </c>
      <c r="AF70" s="145" t="n">
        <f aca="false">IFERROR('Price History'!K3+(INDEX('Price History'!K:K,MATCH(9.99E+307,'Price History'!$A:$A))-'Price History'!K3)*(ROW()-3)/(MATCH(9.99E+307,'Returns (Calc)'!$A:$A)-3),"")</f>
        <v>25.3260377358491</v>
      </c>
      <c r="AG70" s="145" t="n">
        <f aca="false">IFERROR('Price History'!L3+(INDEX('Price History'!L:L,MATCH(9.99E+307,'Price History'!$A:$A))-'Price History'!L3)*(ROW()-3)/(MATCH(9.99E+307,'Returns (Calc)'!$A:$A)-3),"")</f>
        <v>64.7124528301887</v>
      </c>
      <c r="AH70" s="145" t="n">
        <f aca="false">IFERROR('Price History'!M3+(INDEX('Price History'!M:M,MATCH(9.99E+307,'Price History'!$A:$A))-'Price History'!M3)*(ROW()-3)/(MATCH(9.99E+307,'Returns (Calc)'!$A:$A)-3),"")</f>
        <v>8.87018867924529</v>
      </c>
      <c r="AI70" s="145" t="n">
        <f aca="false">IFERROR('Price History'!N3+(INDEX('Price History'!N:N,MATCH(9.99E+307,'Price History'!$A:$A))-'Price History'!N3)*(ROW()-3)/(MATCH(9.99E+307,'Returns (Calc)'!$A:$A)-3),"")</f>
        <v>12.6138364779874</v>
      </c>
      <c r="AJ70" s="145" t="n">
        <f aca="false">IFERROR('Price History'!O3+(INDEX('Price History'!O:O,MATCH(9.99E+307,'Price History'!$A:$A))-'Price History'!O3)*(ROW()-3)/(MATCH(9.99E+307,'Returns (Calc)'!$A:$A)-3),"")</f>
        <v>33.3456603773585</v>
      </c>
      <c r="AK70" s="145" t="n">
        <f aca="false">IFERROR('Price History'!Q3+(INDEX('Price History'!Q:Q,MATCH(9.99E+307,'Price History'!$A:$A))-'Price History'!Q3)*(ROW()-3)/(MATCH(9.99E+307,'Returns (Calc)'!$A:$A)-3),"")</f>
        <v>136.339371069182</v>
      </c>
      <c r="AL70" s="145" t="n">
        <f aca="false">IFERROR('Price History'!R3+(INDEX('Price History'!R:R,MATCH(9.99E+307,'Price History'!$A:$A))-'Price History'!R3)*(ROW()-3)/(MATCH(9.99E+307,'Returns (Calc)'!$A:$A)-3),"")</f>
        <v>27.6694339622642</v>
      </c>
      <c r="AM70" s="145" t="n">
        <f aca="false">IFERROR('Price History'!S3+(INDEX('Price History'!S:S,MATCH(9.99E+307,'Price History'!$A:$A))-'Price History'!S3)*(ROW()-3)/(MATCH(9.99E+307,'Returns (Calc)'!$A:$A)-3),"")</f>
        <v>33.8722012578616</v>
      </c>
      <c r="AN70" s="145" t="n">
        <f aca="false">IFERROR('Price History'!T3+(INDEX('Price History'!T:T,MATCH(9.99E+307,'Price History'!$A:$A))-'Price History'!T3)*(ROW()-3)/(MATCH(9.99E+307,'Returns (Calc)'!$A:$A)-3),"")</f>
        <v>15.5705660377359</v>
      </c>
      <c r="AO70" s="146" t="n">
        <f aca="false">IFERROR('Price History'!V3+(INDEX('Price History'!V:V,MATCH(9.99E+307,'Price History'!$A:$A))-'Price History'!V3)*(ROW()-3)/(MATCH(9.99E+307,'Returns (Calc)'!$A:$A)-3),"")</f>
        <v>0</v>
      </c>
    </row>
    <row r="71" customFormat="false" ht="15" hidden="false" customHeight="true" outlineLevel="0" collapsed="false">
      <c r="A71" s="142" t="n">
        <f aca="false">IF('Price History'!A72="","",'Price History'!A72)</f>
        <v>45667</v>
      </c>
      <c r="B71" s="143" t="n">
        <f aca="false">IFERROR(IF(OR(NOT(ISNUMBER('Price History'!B72)),NOT(ISNUMBER('Price History'!B71)),'Price History'!B71=0),"",'Price History'!B72/'Price History'!B71-1),"")</f>
        <v>-0.0572496922683884</v>
      </c>
      <c r="C71" s="143" t="n">
        <f aca="false">IFERROR(IF(OR(NOT(ISNUMBER('Price History'!C72)),NOT(ISNUMBER('Price History'!C71)),'Price History'!C71=0),"",'Price History'!C72/'Price History'!C71-1),"")</f>
        <v>-0.00746527777777772</v>
      </c>
      <c r="D71" s="143" t="n">
        <f aca="false">IFERROR(IF(OR(NOT(ISNUMBER('Price History'!D72)),NOT(ISNUMBER('Price History'!D71)),'Price History'!D71=0),"",'Price History'!D72/'Price History'!D71-1),"")</f>
        <v>0.0345062622475931</v>
      </c>
      <c r="E71" s="143" t="n">
        <f aca="false">IFERROR(IF(OR(NOT(ISNUMBER('Price History'!E72)),NOT(ISNUMBER('Price History'!E71)),'Price History'!E71=0),"",'Price History'!E72/'Price History'!E71-1),"")</f>
        <v>-0.0354275741710296</v>
      </c>
      <c r="F71" s="143" t="n">
        <f aca="false">IFERROR(IF(OR(NOT(ISNUMBER('Price History'!F72)),NOT(ISNUMBER('Price History'!F71)),'Price History'!F71=0),"",'Price History'!F72/'Price History'!F71-1),"")</f>
        <v>-0.0262880067567567</v>
      </c>
      <c r="G71" s="143" t="n">
        <f aca="false">IFERROR(IF(OR(NOT(ISNUMBER('Price History'!G72)),NOT(ISNUMBER('Price History'!G71)),'Price History'!G71=0),"",'Price History'!G72/'Price History'!G71-1),"")</f>
        <v>-0.0283008356545962</v>
      </c>
      <c r="H71" s="143" t="n">
        <f aca="false">IFERROR(IF(OR(NOT(ISNUMBER('Price History'!H72)),NOT(ISNUMBER('Price History'!H71)),'Price History'!H71=0),"",'Price History'!H72/'Price History'!H71-1),"")</f>
        <v>-0.0249879090762535</v>
      </c>
      <c r="I71" s="143" t="n">
        <f aca="false">IFERROR(IF(OR(NOT(ISNUMBER('Price History'!I72)),NOT(ISNUMBER('Price History'!I71)),'Price History'!I71=0),"",'Price History'!I72/'Price History'!I71-1),"")</f>
        <v>0.0397534668721109</v>
      </c>
      <c r="J71" s="143" t="n">
        <f aca="false">IFERROR(IF(OR(NOT(ISNUMBER('Price History'!J72)),NOT(ISNUMBER('Price History'!J71)),'Price History'!J71=0),"",'Price History'!J72/'Price History'!J71-1),"")</f>
        <v>0.105327823076064</v>
      </c>
      <c r="K71" s="143" t="n">
        <f aca="false">IFERROR(IF(OR(NOT(ISNUMBER('Price History'!K72)),NOT(ISNUMBER('Price History'!K71)),'Price History'!K71=0),"",'Price History'!K72/'Price History'!K71-1),"")</f>
        <v>-0.0591991116663196</v>
      </c>
      <c r="L71" s="143" t="n">
        <f aca="false">IFERROR(IF(OR(NOT(ISNUMBER('Price History'!L72)),NOT(ISNUMBER('Price History'!L71)),'Price History'!L71=0),"",'Price History'!L72/'Price History'!L71-1),"")</f>
        <v>-0.0192655027092113</v>
      </c>
      <c r="M71" s="143" t="n">
        <f aca="false">IFERROR(IF(OR(NOT(ISNUMBER('Price History'!M72)),NOT(ISNUMBER('Price History'!M71)),'Price History'!M71=0),"",'Price History'!M72/'Price History'!M71-1),"")</f>
        <v>-0.1580923770184</v>
      </c>
      <c r="N71" s="143" t="n">
        <f aca="false">IFERROR(IF(OR(NOT(ISNUMBER('Price History'!N72)),NOT(ISNUMBER('Price History'!N71)),'Price History'!N71=0),"",'Price History'!N72/'Price History'!N71-1),"")</f>
        <v>-0.0155219247186651</v>
      </c>
      <c r="O71" s="143" t="n">
        <f aca="false">IFERROR(IF(OR(NOT(ISNUMBER('Price History'!O72)),NOT(ISNUMBER('Price History'!O71)),'Price History'!O71=0),"",'Price History'!O72/'Price History'!O71-1),"")</f>
        <v>-0.0135007849293562</v>
      </c>
      <c r="P71" s="143" t="n">
        <f aca="false">IFERROR(IF(OR(NOT(ISNUMBER('Price History'!P72)),NOT(ISNUMBER('Price History'!P71)),'Price History'!P71=0),"",'Price History'!P72/'Price History'!P71-1),"")</f>
        <v>-0.00112618126621944</v>
      </c>
      <c r="Q71" s="143" t="n">
        <f aca="false">IFERROR(IF(OR(NOT(ISNUMBER('Price History'!Q72)),NOT(ISNUMBER('Price History'!Q71)),'Price History'!Q71=0),"",'Price History'!Q72/'Price History'!Q71-1),"")</f>
        <v>-0.0228428029084357</v>
      </c>
      <c r="R71" s="143" t="n">
        <f aca="false">IFERROR(IF(OR(NOT(ISNUMBER('Price History'!R72)),NOT(ISNUMBER('Price History'!R71)),'Price History'!R71=0),"",'Price History'!R72/'Price History'!R71-1),"")</f>
        <v>0.00928358731826928</v>
      </c>
      <c r="S71" s="143" t="n">
        <f aca="false">IFERROR(IF(OR(NOT(ISNUMBER('Price History'!S72)),NOT(ISNUMBER('Price History'!S71)),'Price History'!S71=0),"",'Price History'!S72/'Price History'!S71-1),"")</f>
        <v>0.0193121966332748</v>
      </c>
      <c r="T71" s="143" t="n">
        <f aca="false">IFERROR(IF(OR(NOT(ISNUMBER('Price History'!T72)),NOT(ISNUMBER('Price History'!T71)),'Price History'!T71=0),"",'Price History'!T72/'Price History'!T71-1),"")</f>
        <v>-0.00081944823818636</v>
      </c>
      <c r="U71" s="143" t="str">
        <f aca="false">IFERROR(IF(OR(NOT(ISNUMBER('Price History'!U72)),NOT(ISNUMBER('Price History'!U71)),'Price History'!U71=0),"",'Price History'!U72/'Price History'!U71-1),"")</f>
        <v/>
      </c>
      <c r="V71" s="144" t="n">
        <f aca="false">IFERROR(IF(OR(NOT(ISNUMBER('Price History'!V72)),NOT(ISNUMBER('Price History'!V71)),'Price History'!V71=0),"",'Price History'!V72/'Price History'!V71-1),"")</f>
        <v>-0.0129264606578989</v>
      </c>
      <c r="W71" s="145" t="str">
        <f aca="false">IFERROR('Price History'!B3+(INDEX('Price History'!B:B,MATCH(9.99E+307,'Price History'!$A:$A))-'Price History'!B3)*(ROW()-3)/(MATCH(9.99E+307,'Returns (Calc)'!$A:$A)-3),"")</f>
        <v/>
      </c>
      <c r="X71" s="145" t="n">
        <f aca="false">IFERROR('Price History'!C3+(INDEX('Price History'!C:C,MATCH(9.99E+307,'Price History'!$A:$A))-'Price History'!C3)*(ROW()-3)/(MATCH(9.99E+307,'Returns (Calc)'!$A:$A)-3),"")</f>
        <v>26.4300628930818</v>
      </c>
      <c r="Y71" s="145" t="n">
        <f aca="false">IFERROR('Price History'!D3+(INDEX('Price History'!D:D,MATCH(9.99E+307,'Price History'!$A:$A))-'Price History'!D3)*(ROW()-3)/(MATCH(9.99E+307,'Returns (Calc)'!$A:$A)-3),"")</f>
        <v>333.100062893082</v>
      </c>
      <c r="Z71" s="145" t="n">
        <f aca="false">IFERROR('Price History'!E3+(INDEX('Price History'!E:E,MATCH(9.99E+307,'Price History'!$A:$A))-'Price History'!E3)*(ROW()-3)/(MATCH(9.99E+307,'Returns (Calc)'!$A:$A)-3),"")</f>
        <v>46.9308176100629</v>
      </c>
      <c r="AA71" s="145" t="n">
        <f aca="false">IFERROR('Price History'!F3+(INDEX('Price History'!F:F,MATCH(9.99E+307,'Price History'!$A:$A))-'Price History'!F3)*(ROW()-3)/(MATCH(9.99E+307,'Returns (Calc)'!$A:$A)-3),"")</f>
        <v>43.1019496855346</v>
      </c>
      <c r="AB71" s="145" t="n">
        <f aca="false">IFERROR('Price History'!G3+(INDEX('Price History'!G:G,MATCH(9.99E+307,'Price History'!$A:$A))-'Price History'!G3)*(ROW()-3)/(MATCH(9.99E+307,'Returns (Calc)'!$A:$A)-3),"")</f>
        <v>23.6714465408805</v>
      </c>
      <c r="AC71" s="145" t="n">
        <f aca="false">IFERROR('Price History'!H3+(INDEX('Price History'!H:H,MATCH(9.99E+307,'Price History'!$A:$A))-'Price History'!H3)*(ROW()-3)/(MATCH(9.99E+307,'Returns (Calc)'!$A:$A)-3),"")</f>
        <v>57.5703773584906</v>
      </c>
      <c r="AD71" s="145" t="n">
        <f aca="false">IFERROR('Price History'!I3+(INDEX('Price History'!I:I,MATCH(9.99E+307,'Price History'!$A:$A))-'Price History'!I3)*(ROW()-3)/(MATCH(9.99E+307,'Returns (Calc)'!$A:$A)-3),"")</f>
        <v>25.3827044025157</v>
      </c>
      <c r="AE71" s="145" t="n">
        <f aca="false">IFERROR('Price History'!J3+(INDEX('Price History'!J:J,MATCH(9.99E+307,'Price History'!$A:$A))-'Price History'!J3)*(ROW()-3)/(MATCH(9.99E+307,'Returns (Calc)'!$A:$A)-3),"")</f>
        <v>39.5535220125786</v>
      </c>
      <c r="AF71" s="145" t="n">
        <f aca="false">IFERROR('Price History'!K3+(INDEX('Price History'!K:K,MATCH(9.99E+307,'Price History'!$A:$A))-'Price History'!K3)*(ROW()-3)/(MATCH(9.99E+307,'Returns (Calc)'!$A:$A)-3),"")</f>
        <v>25.0507547169811</v>
      </c>
      <c r="AG71" s="145" t="n">
        <f aca="false">IFERROR('Price History'!L3+(INDEX('Price History'!L:L,MATCH(9.99E+307,'Price History'!$A:$A))-'Price History'!L3)*(ROW()-3)/(MATCH(9.99E+307,'Returns (Calc)'!$A:$A)-3),"")</f>
        <v>64.0090566037736</v>
      </c>
      <c r="AH71" s="145" t="n">
        <f aca="false">IFERROR('Price History'!M3+(INDEX('Price History'!M:M,MATCH(9.99E+307,'Price History'!$A:$A))-'Price History'!M3)*(ROW()-3)/(MATCH(9.99E+307,'Returns (Calc)'!$A:$A)-3),"")</f>
        <v>8.77377358490566</v>
      </c>
      <c r="AI71" s="145" t="n">
        <f aca="false">IFERROR('Price History'!N3+(INDEX('Price History'!N:N,MATCH(9.99E+307,'Price History'!$A:$A))-'Price History'!N3)*(ROW()-3)/(MATCH(9.99E+307,'Returns (Calc)'!$A:$A)-3),"")</f>
        <v>12.4767295597484</v>
      </c>
      <c r="AJ71" s="145" t="n">
        <f aca="false">IFERROR('Price History'!O3+(INDEX('Price History'!O:O,MATCH(9.99E+307,'Price History'!$A:$A))-'Price History'!O3)*(ROW()-3)/(MATCH(9.99E+307,'Returns (Calc)'!$A:$A)-3),"")</f>
        <v>32.9832075471698</v>
      </c>
      <c r="AK71" s="145" t="n">
        <f aca="false">IFERROR('Price History'!Q3+(INDEX('Price History'!Q:Q,MATCH(9.99E+307,'Price History'!$A:$A))-'Price History'!Q3)*(ROW()-3)/(MATCH(9.99E+307,'Returns (Calc)'!$A:$A)-3),"")</f>
        <v>134.857421383648</v>
      </c>
      <c r="AL71" s="145" t="n">
        <f aca="false">IFERROR('Price History'!R3+(INDEX('Price History'!R:R,MATCH(9.99E+307,'Price History'!$A:$A))-'Price History'!R3)*(ROW()-3)/(MATCH(9.99E+307,'Returns (Calc)'!$A:$A)-3),"")</f>
        <v>27.368679245283</v>
      </c>
      <c r="AM71" s="145" t="n">
        <f aca="false">IFERROR('Price History'!S3+(INDEX('Price History'!S:S,MATCH(9.99E+307,'Price History'!$A:$A))-'Price History'!S3)*(ROW()-3)/(MATCH(9.99E+307,'Returns (Calc)'!$A:$A)-3),"")</f>
        <v>33.5040251572327</v>
      </c>
      <c r="AN71" s="145" t="n">
        <f aca="false">IFERROR('Price History'!T3+(INDEX('Price History'!T:T,MATCH(9.99E+307,'Price History'!$A:$A))-'Price History'!T3)*(ROW()-3)/(MATCH(9.99E+307,'Returns (Calc)'!$A:$A)-3),"")</f>
        <v>15.401320754717</v>
      </c>
      <c r="AO71" s="146" t="n">
        <f aca="false">IFERROR('Price History'!V3+(INDEX('Price History'!V:V,MATCH(9.99E+307,'Price History'!$A:$A))-'Price History'!V3)*(ROW()-3)/(MATCH(9.99E+307,'Returns (Calc)'!$A:$A)-3),"")</f>
        <v>0</v>
      </c>
    </row>
    <row r="72" customFormat="false" ht="15" hidden="false" customHeight="true" outlineLevel="0" collapsed="false">
      <c r="A72" s="142" t="n">
        <f aca="false">IF('Price History'!A73="","",'Price History'!A73)</f>
        <v>45674</v>
      </c>
      <c r="B72" s="143" t="n">
        <f aca="false">IFERROR(IF(OR(NOT(ISNUMBER('Price History'!B73)),NOT(ISNUMBER('Price History'!B72)),'Price History'!B72=0),"",'Price History'!B73/'Price History'!B72-1),"")</f>
        <v>0.0592973985021679</v>
      </c>
      <c r="C72" s="143" t="n">
        <f aca="false">IFERROR(IF(OR(NOT(ISNUMBER('Price History'!C73)),NOT(ISNUMBER('Price History'!C72)),'Price History'!C72=0),"",'Price History'!C73/'Price History'!C72-1),"")</f>
        <v>0.0490641945076089</v>
      </c>
      <c r="D72" s="143" t="n">
        <f aca="false">IFERROR(IF(OR(NOT(ISNUMBER('Price History'!D73)),NOT(ISNUMBER('Price History'!D72)),'Price History'!D72=0),"",'Price History'!D73/'Price History'!D72-1),"")</f>
        <v>0.0234310657222863</v>
      </c>
      <c r="E72" s="143" t="n">
        <f aca="false">IFERROR(IF(OR(NOT(ISNUMBER('Price History'!E73)),NOT(ISNUMBER('Price History'!E72)),'Price History'!E72=0),"",'Price History'!E73/'Price History'!E72-1),"")</f>
        <v>0.0585308485616067</v>
      </c>
      <c r="F72" s="143" t="n">
        <f aca="false">IFERROR(IF(OR(NOT(ISNUMBER('Price History'!F73)),NOT(ISNUMBER('Price History'!F72)),'Price History'!F72=0),"",'Price History'!F73/'Price History'!F72-1),"")</f>
        <v>0.0488994904044235</v>
      </c>
      <c r="G72" s="143" t="n">
        <f aca="false">IFERROR(IF(OR(NOT(ISNUMBER('Price History'!G73)),NOT(ISNUMBER('Price History'!G72)),'Price History'!G72=0),"",'Price History'!G73/'Price History'!G72-1),"")</f>
        <v>0.0233918128654971</v>
      </c>
      <c r="H72" s="143" t="n">
        <f aca="false">IFERROR(IF(OR(NOT(ISNUMBER('Price History'!H73)),NOT(ISNUMBER('Price History'!H72)),'Price History'!H72=0),"",'Price History'!H73/'Price History'!H72-1),"")</f>
        <v>0.0483630952380953</v>
      </c>
      <c r="I72" s="143" t="n">
        <f aca="false">IFERROR(IF(OR(NOT(ISNUMBER('Price History'!I73)),NOT(ISNUMBER('Price History'!I72)),'Price History'!I72=0),"",'Price History'!I73/'Price History'!I72-1),"")</f>
        <v>0.108921161825726</v>
      </c>
      <c r="J72" s="143" t="n">
        <f aca="false">IFERROR(IF(OR(NOT(ISNUMBER('Price History'!J73)),NOT(ISNUMBER('Price History'!J72)),'Price History'!J72=0),"",'Price History'!J73/'Price History'!J72-1),"")</f>
        <v>0.0644704931285369</v>
      </c>
      <c r="K72" s="143" t="n">
        <f aca="false">IFERROR(IF(OR(NOT(ISNUMBER('Price History'!K73)),NOT(ISNUMBER('Price History'!K72)),'Price History'!K72=0),"",'Price History'!K73/'Price History'!K72-1),"")</f>
        <v>0.0132044850988491</v>
      </c>
      <c r="L72" s="143" t="n">
        <f aca="false">IFERROR(IF(OR(NOT(ISNUMBER('Price History'!L73)),NOT(ISNUMBER('Price History'!L72)),'Price History'!L72=0),"",'Price History'!L73/'Price History'!L72-1),"")</f>
        <v>0.0567833026396563</v>
      </c>
      <c r="M72" s="143" t="n">
        <f aca="false">IFERROR(IF(OR(NOT(ISNUMBER('Price History'!M73)),NOT(ISNUMBER('Price History'!M72)),'Price History'!M72=0),"",'Price History'!M73/'Price History'!M72-1),"")</f>
        <v>0.0670532262860539</v>
      </c>
      <c r="N72" s="143" t="n">
        <f aca="false">IFERROR(IF(OR(NOT(ISNUMBER('Price History'!N73)),NOT(ISNUMBER('Price History'!N72)),'Price History'!N72=0),"",'Price History'!N73/'Price History'!N72-1),"")</f>
        <v>0.0362633031139139</v>
      </c>
      <c r="O72" s="143" t="n">
        <f aca="false">IFERROR(IF(OR(NOT(ISNUMBER('Price History'!O73)),NOT(ISNUMBER('Price History'!O72)),'Price History'!O72=0),"",'Price History'!O73/'Price History'!O72-1),"")</f>
        <v>0.0321451304901337</v>
      </c>
      <c r="P72" s="143" t="n">
        <f aca="false">IFERROR(IF(OR(NOT(ISNUMBER('Price History'!P73)),NOT(ISNUMBER('Price History'!P72)),'Price History'!P72=0),"",'Price History'!P73/'Price History'!P72-1),"")</f>
        <v>0.0149999999999999</v>
      </c>
      <c r="Q72" s="143" t="n">
        <f aca="false">IFERROR(IF(OR(NOT(ISNUMBER('Price History'!Q73)),NOT(ISNUMBER('Price History'!Q72)),'Price History'!Q72=0),"",'Price History'!Q73/'Price History'!Q72-1),"")</f>
        <v>0.0386869485052022</v>
      </c>
      <c r="R72" s="143" t="n">
        <f aca="false">IFERROR(IF(OR(NOT(ISNUMBER('Price History'!R73)),NOT(ISNUMBER('Price History'!R72)),'Price History'!R72=0),"",'Price History'!R73/'Price History'!R72-1),"")</f>
        <v>0.00399166955918084</v>
      </c>
      <c r="S72" s="143" t="n">
        <f aca="false">IFERROR(IF(OR(NOT(ISNUMBER('Price History'!S73)),NOT(ISNUMBER('Price History'!S72)),'Price History'!S72=0),"",'Price History'!S73/'Price History'!S72-1),"")</f>
        <v>-0.00942249240121584</v>
      </c>
      <c r="T72" s="143" t="n">
        <f aca="false">IFERROR(IF(OR(NOT(ISNUMBER('Price History'!T73)),NOT(ISNUMBER('Price History'!T72)),'Price History'!T72=0),"",'Price History'!T73/'Price History'!T72-1),"")</f>
        <v>-0.0440131219245489</v>
      </c>
      <c r="U72" s="143" t="str">
        <f aca="false">IFERROR(IF(OR(NOT(ISNUMBER('Price History'!U73)),NOT(ISNUMBER('Price History'!U72)),'Price History'!U72=0),"",'Price History'!U73/'Price History'!U72-1),"")</f>
        <v/>
      </c>
      <c r="V72" s="144" t="n">
        <f aca="false">IFERROR(IF(OR(NOT(ISNUMBER('Price History'!V73)),NOT(ISNUMBER('Price History'!V72)),'Price History'!V72=0),"",'Price History'!V73/'Price History'!V72-1),"")</f>
        <v>0.0119881421637291</v>
      </c>
      <c r="W72" s="145" t="str">
        <f aca="false">IFERROR('Price History'!B3+(INDEX('Price History'!B:B,MATCH(9.99E+307,'Price History'!$A:$A))-'Price History'!B3)*(ROW()-3)/(MATCH(9.99E+307,'Returns (Calc)'!$A:$A)-3),"")</f>
        <v/>
      </c>
      <c r="X72" s="145" t="n">
        <f aca="false">IFERROR('Price History'!C3+(INDEX('Price History'!C:C,MATCH(9.99E+307,'Price History'!$A:$A))-'Price History'!C3)*(ROW()-3)/(MATCH(9.99E+307,'Returns (Calc)'!$A:$A)-3),"")</f>
        <v>26.1396226415094</v>
      </c>
      <c r="Y72" s="145" t="n">
        <f aca="false">IFERROR('Price History'!D3+(INDEX('Price History'!D:D,MATCH(9.99E+307,'Price History'!$A:$A))-'Price History'!D3)*(ROW()-3)/(MATCH(9.99E+307,'Returns (Calc)'!$A:$A)-3),"")</f>
        <v>329.439622641509</v>
      </c>
      <c r="Z72" s="145" t="n">
        <f aca="false">IFERROR('Price History'!E3+(INDEX('Price History'!E:E,MATCH(9.99E+307,'Price History'!$A:$A))-'Price History'!E3)*(ROW()-3)/(MATCH(9.99E+307,'Returns (Calc)'!$A:$A)-3),"")</f>
        <v>46.4150943396226</v>
      </c>
      <c r="AA72" s="145" t="n">
        <f aca="false">IFERROR('Price History'!F3+(INDEX('Price History'!F:F,MATCH(9.99E+307,'Price History'!$A:$A))-'Price History'!F3)*(ROW()-3)/(MATCH(9.99E+307,'Returns (Calc)'!$A:$A)-3),"")</f>
        <v>42.6283018867925</v>
      </c>
      <c r="AB72" s="145" t="n">
        <f aca="false">IFERROR('Price History'!G3+(INDEX('Price History'!G:G,MATCH(9.99E+307,'Price History'!$A:$A))-'Price History'!G3)*(ROW()-3)/(MATCH(9.99E+307,'Returns (Calc)'!$A:$A)-3),"")</f>
        <v>23.411320754717</v>
      </c>
      <c r="AC72" s="145" t="n">
        <f aca="false">IFERROR('Price History'!H3+(INDEX('Price History'!H:H,MATCH(9.99E+307,'Price History'!$A:$A))-'Price History'!H3)*(ROW()-3)/(MATCH(9.99E+307,'Returns (Calc)'!$A:$A)-3),"")</f>
        <v>56.9377358490566</v>
      </c>
      <c r="AD72" s="145" t="n">
        <f aca="false">IFERROR('Price History'!I3+(INDEX('Price History'!I:I,MATCH(9.99E+307,'Price History'!$A:$A))-'Price History'!I3)*(ROW()-3)/(MATCH(9.99E+307,'Returns (Calc)'!$A:$A)-3),"")</f>
        <v>25.1037735849057</v>
      </c>
      <c r="AE72" s="145" t="n">
        <f aca="false">IFERROR('Price History'!J3+(INDEX('Price History'!J:J,MATCH(9.99E+307,'Price History'!$A:$A))-'Price History'!J3)*(ROW()-3)/(MATCH(9.99E+307,'Returns (Calc)'!$A:$A)-3),"")</f>
        <v>39.1188679245283</v>
      </c>
      <c r="AF72" s="145" t="n">
        <f aca="false">IFERROR('Price History'!K3+(INDEX('Price History'!K:K,MATCH(9.99E+307,'Price History'!$A:$A))-'Price History'!K3)*(ROW()-3)/(MATCH(9.99E+307,'Returns (Calc)'!$A:$A)-3),"")</f>
        <v>24.7754716981132</v>
      </c>
      <c r="AG72" s="145" t="n">
        <f aca="false">IFERROR('Price History'!L3+(INDEX('Price History'!L:L,MATCH(9.99E+307,'Price History'!$A:$A))-'Price History'!L3)*(ROW()-3)/(MATCH(9.99E+307,'Returns (Calc)'!$A:$A)-3),"")</f>
        <v>63.3056603773585</v>
      </c>
      <c r="AH72" s="145" t="n">
        <f aca="false">IFERROR('Price History'!M3+(INDEX('Price History'!M:M,MATCH(9.99E+307,'Price History'!$A:$A))-'Price History'!M3)*(ROW()-3)/(MATCH(9.99E+307,'Returns (Calc)'!$A:$A)-3),"")</f>
        <v>8.67735849056604</v>
      </c>
      <c r="AI72" s="145" t="n">
        <f aca="false">IFERROR('Price History'!N3+(INDEX('Price History'!N:N,MATCH(9.99E+307,'Price History'!$A:$A))-'Price History'!N3)*(ROW()-3)/(MATCH(9.99E+307,'Returns (Calc)'!$A:$A)-3),"")</f>
        <v>12.3396226415094</v>
      </c>
      <c r="AJ72" s="145" t="n">
        <f aca="false">IFERROR('Price History'!O3+(INDEX('Price History'!O:O,MATCH(9.99E+307,'Price History'!$A:$A))-'Price History'!O3)*(ROW()-3)/(MATCH(9.99E+307,'Returns (Calc)'!$A:$A)-3),"")</f>
        <v>32.6207547169811</v>
      </c>
      <c r="AK72" s="145" t="n">
        <f aca="false">IFERROR('Price History'!Q3+(INDEX('Price History'!Q:Q,MATCH(9.99E+307,'Price History'!$A:$A))-'Price History'!Q3)*(ROW()-3)/(MATCH(9.99E+307,'Returns (Calc)'!$A:$A)-3),"")</f>
        <v>133.375471698113</v>
      </c>
      <c r="AL72" s="145" t="n">
        <f aca="false">IFERROR('Price History'!R3+(INDEX('Price History'!R:R,MATCH(9.99E+307,'Price History'!$A:$A))-'Price History'!R3)*(ROW()-3)/(MATCH(9.99E+307,'Returns (Calc)'!$A:$A)-3),"")</f>
        <v>27.0679245283019</v>
      </c>
      <c r="AM72" s="145" t="n">
        <f aca="false">IFERROR('Price History'!S3+(INDEX('Price History'!S:S,MATCH(9.99E+307,'Price History'!$A:$A))-'Price History'!S3)*(ROW()-3)/(MATCH(9.99E+307,'Returns (Calc)'!$A:$A)-3),"")</f>
        <v>33.1358490566038</v>
      </c>
      <c r="AN72" s="145" t="n">
        <f aca="false">IFERROR('Price History'!T3+(INDEX('Price History'!T:T,MATCH(9.99E+307,'Price History'!$A:$A))-'Price History'!T3)*(ROW()-3)/(MATCH(9.99E+307,'Returns (Calc)'!$A:$A)-3),"")</f>
        <v>15.2320754716981</v>
      </c>
      <c r="AO72" s="146" t="n">
        <f aca="false">IFERROR('Price History'!V3+(INDEX('Price History'!V:V,MATCH(9.99E+307,'Price History'!$A:$A))-'Price History'!V3)*(ROW()-3)/(MATCH(9.99E+307,'Returns (Calc)'!$A:$A)-3),"")</f>
        <v>0</v>
      </c>
    </row>
    <row r="73" customFormat="false" ht="15" hidden="false" customHeight="true" outlineLevel="0" collapsed="false">
      <c r="A73" s="142" t="n">
        <f aca="false">IF('Price History'!A74="","",'Price History'!A74)</f>
        <v>45681</v>
      </c>
      <c r="B73" s="143" t="n">
        <f aca="false">IFERROR(IF(OR(NOT(ISNUMBER('Price History'!B74)),NOT(ISNUMBER('Price History'!B73)),'Price History'!B73=0),"",'Price History'!B74/'Price History'!B73-1),"")</f>
        <v>0.0125351752366334</v>
      </c>
      <c r="C73" s="143" t="n">
        <f aca="false">IFERROR(IF(OR(NOT(ISNUMBER('Price History'!C74)),NOT(ISNUMBER('Price History'!C73)),'Price History'!C73=0),"",'Price History'!C74/'Price History'!C73-1),"")</f>
        <v>0.0768653605669027</v>
      </c>
      <c r="D73" s="143" t="n">
        <f aca="false">IFERROR(IF(OR(NOT(ISNUMBER('Price History'!D74)),NOT(ISNUMBER('Price History'!D73)),'Price History'!D73=0),"",'Price History'!D74/'Price History'!D73-1),"")</f>
        <v>-0.0318405558014459</v>
      </c>
      <c r="E73" s="143" t="n">
        <f aca="false">IFERROR(IF(OR(NOT(ISNUMBER('Price History'!E74)),NOT(ISNUMBER('Price History'!E73)),'Price History'!E73=0),"",'Price History'!E74/'Price History'!E73-1),"")</f>
        <v>0.0305956755832835</v>
      </c>
      <c r="F73" s="143" t="n">
        <f aca="false">IFERROR(IF(OR(NOT(ISNUMBER('Price History'!F74)),NOT(ISNUMBER('Price History'!F73)),'Price History'!F73=0),"",'Price History'!F74/'Price History'!F73-1),"")</f>
        <v>0.0050651230101304</v>
      </c>
      <c r="G73" s="143" t="n">
        <f aca="false">IFERROR(IF(OR(NOT(ISNUMBER('Price History'!G74)),NOT(ISNUMBER('Price History'!G73)),'Price History'!G73=0),"",'Price History'!G74/'Price History'!G73-1),"")</f>
        <v>0.0501960784313726</v>
      </c>
      <c r="H73" s="143" t="n">
        <f aca="false">IFERROR(IF(OR(NOT(ISNUMBER('Price History'!H74)),NOT(ISNUMBER('Price History'!H73)),'Price History'!H73=0),"",'Price History'!H74/'Price History'!H73-1),"")</f>
        <v>0.00220802775806317</v>
      </c>
      <c r="I73" s="143" t="n">
        <f aca="false">IFERROR(IF(OR(NOT(ISNUMBER('Price History'!I74)),NOT(ISNUMBER('Price History'!I73)),'Price History'!I73=0),"",'Price History'!I74/'Price History'!I73-1),"")</f>
        <v>-0.0101563544033142</v>
      </c>
      <c r="J73" s="143" t="n">
        <f aca="false">IFERROR(IF(OR(NOT(ISNUMBER('Price History'!J74)),NOT(ISNUMBER('Price History'!J73)),'Price History'!J73=0),"",'Price History'!J74/'Price History'!J73-1),"")</f>
        <v>-0.0242073286500855</v>
      </c>
      <c r="K73" s="143" t="n">
        <f aca="false">IFERROR(IF(OR(NOT(ISNUMBER('Price History'!K74)),NOT(ISNUMBER('Price History'!K73)),'Price History'!K73=0),"",'Price History'!K74/'Price History'!K73-1),"")</f>
        <v>0.0356752821259556</v>
      </c>
      <c r="L73" s="143" t="n">
        <f aca="false">IFERROR(IF(OR(NOT(ISNUMBER('Price History'!L74)),NOT(ISNUMBER('Price History'!L73)),'Price History'!L73=0),"",'Price History'!L74/'Price History'!L73-1),"")</f>
        <v>0.0863587956239713</v>
      </c>
      <c r="M73" s="143" t="n">
        <f aca="false">IFERROR(IF(OR(NOT(ISNUMBER('Price History'!M74)),NOT(ISNUMBER('Price History'!M73)),'Price History'!M73=0),"",'Price History'!M74/'Price History'!M73-1),"")</f>
        <v>0.100459802145743</v>
      </c>
      <c r="N73" s="143" t="n">
        <f aca="false">IFERROR(IF(OR(NOT(ISNUMBER('Price History'!N74)),NOT(ISNUMBER('Price History'!N73)),'Price History'!N73=0),"",'Price History'!N74/'Price History'!N73-1),"")</f>
        <v>0.00266260935717</v>
      </c>
      <c r="O73" s="143" t="n">
        <f aca="false">IFERROR(IF(OR(NOT(ISNUMBER('Price History'!O74)),NOT(ISNUMBER('Price History'!O73)),'Price History'!O73=0),"",'Price History'!O74/'Price History'!O73-1),"")</f>
        <v>0.0271353684859699</v>
      </c>
      <c r="P73" s="143" t="n">
        <f aca="false">IFERROR(IF(OR(NOT(ISNUMBER('Price History'!P74)),NOT(ISNUMBER('Price History'!P73)),'Price History'!P73=0),"",'Price History'!P74/'Price History'!P73-1),"")</f>
        <v>0.0490679030232784</v>
      </c>
      <c r="Q73" s="143" t="n">
        <f aca="false">IFERROR(IF(OR(NOT(ISNUMBER('Price History'!Q74)),NOT(ISNUMBER('Price History'!Q73)),'Price History'!Q73=0),"",'Price History'!Q74/'Price History'!Q73-1),"")</f>
        <v>0.0330934795701652</v>
      </c>
      <c r="R73" s="143" t="n">
        <f aca="false">IFERROR(IF(OR(NOT(ISNUMBER('Price History'!R74)),NOT(ISNUMBER('Price History'!R73)),'Price History'!R73=0),"",'Price History'!R74/'Price History'!R73-1),"")</f>
        <v>-0.0112359550561798</v>
      </c>
      <c r="S73" s="143" t="n">
        <f aca="false">IFERROR(IF(OR(NOT(ISNUMBER('Price History'!S74)),NOT(ISNUMBER('Price History'!S73)),'Price History'!S73=0),"",'Price History'!S74/'Price History'!S73-1),"")</f>
        <v>-0.0223995090518564</v>
      </c>
      <c r="T73" s="143" t="n">
        <f aca="false">IFERROR(IF(OR(NOT(ISNUMBER('Price History'!T74)),NOT(ISNUMBER('Price History'!T73)),'Price History'!T73=0),"",'Price History'!T74/'Price History'!T73-1),"")</f>
        <v>-0.0305976551329711</v>
      </c>
      <c r="U73" s="143" t="str">
        <f aca="false">IFERROR(IF(OR(NOT(ISNUMBER('Price History'!U74)),NOT(ISNUMBER('Price History'!U73)),'Price History'!U73=0),"",'Price History'!U74/'Price History'!U73-1),"")</f>
        <v/>
      </c>
      <c r="V73" s="144" t="n">
        <f aca="false">IFERROR(IF(OR(NOT(ISNUMBER('Price History'!V74)),NOT(ISNUMBER('Price History'!V73)),'Price History'!V73=0),"",'Price History'!V74/'Price History'!V73-1),"")</f>
        <v>0.00946402704007721</v>
      </c>
      <c r="W73" s="145" t="str">
        <f aca="false">IFERROR('Price History'!B3+(INDEX('Price History'!B:B,MATCH(9.99E+307,'Price History'!$A:$A))-'Price History'!B3)*(ROW()-3)/(MATCH(9.99E+307,'Returns (Calc)'!$A:$A)-3),"")</f>
        <v/>
      </c>
      <c r="X73" s="145" t="n">
        <f aca="false">IFERROR('Price History'!C3+(INDEX('Price History'!C:C,MATCH(9.99E+307,'Price History'!$A:$A))-'Price History'!C3)*(ROW()-3)/(MATCH(9.99E+307,'Returns (Calc)'!$A:$A)-3),"")</f>
        <v>25.8491823899371</v>
      </c>
      <c r="Y73" s="145" t="n">
        <f aca="false">IFERROR('Price History'!D3+(INDEX('Price History'!D:D,MATCH(9.99E+307,'Price History'!$A:$A))-'Price History'!D3)*(ROW()-3)/(MATCH(9.99E+307,'Returns (Calc)'!$A:$A)-3),"")</f>
        <v>325.779182389937</v>
      </c>
      <c r="Z73" s="145" t="n">
        <f aca="false">IFERROR('Price History'!E3+(INDEX('Price History'!E:E,MATCH(9.99E+307,'Price History'!$A:$A))-'Price History'!E3)*(ROW()-3)/(MATCH(9.99E+307,'Returns (Calc)'!$A:$A)-3),"")</f>
        <v>45.8993710691824</v>
      </c>
      <c r="AA73" s="145" t="n">
        <f aca="false">IFERROR('Price History'!F3+(INDEX('Price History'!F:F,MATCH(9.99E+307,'Price History'!$A:$A))-'Price History'!F3)*(ROW()-3)/(MATCH(9.99E+307,'Returns (Calc)'!$A:$A)-3),"")</f>
        <v>42.1546540880503</v>
      </c>
      <c r="AB73" s="145" t="n">
        <f aca="false">IFERROR('Price History'!G3+(INDEX('Price History'!G:G,MATCH(9.99E+307,'Price History'!$A:$A))-'Price History'!G3)*(ROW()-3)/(MATCH(9.99E+307,'Returns (Calc)'!$A:$A)-3),"")</f>
        <v>23.1511949685535</v>
      </c>
      <c r="AC73" s="145" t="n">
        <f aca="false">IFERROR('Price History'!H3+(INDEX('Price History'!H:H,MATCH(9.99E+307,'Price History'!$A:$A))-'Price History'!H3)*(ROW()-3)/(MATCH(9.99E+307,'Returns (Calc)'!$A:$A)-3),"")</f>
        <v>56.3050943396226</v>
      </c>
      <c r="AD73" s="145" t="n">
        <f aca="false">IFERROR('Price History'!I3+(INDEX('Price History'!I:I,MATCH(9.99E+307,'Price History'!$A:$A))-'Price History'!I3)*(ROW()-3)/(MATCH(9.99E+307,'Returns (Calc)'!$A:$A)-3),"")</f>
        <v>24.8248427672956</v>
      </c>
      <c r="AE73" s="145" t="n">
        <f aca="false">IFERROR('Price History'!J3+(INDEX('Price History'!J:J,MATCH(9.99E+307,'Price History'!$A:$A))-'Price History'!J3)*(ROW()-3)/(MATCH(9.99E+307,'Returns (Calc)'!$A:$A)-3),"")</f>
        <v>38.684213836478</v>
      </c>
      <c r="AF73" s="145" t="n">
        <f aca="false">IFERROR('Price History'!K3+(INDEX('Price History'!K:K,MATCH(9.99E+307,'Price History'!$A:$A))-'Price History'!K3)*(ROW()-3)/(MATCH(9.99E+307,'Returns (Calc)'!$A:$A)-3),"")</f>
        <v>24.5001886792453</v>
      </c>
      <c r="AG73" s="145" t="n">
        <f aca="false">IFERROR('Price History'!L3+(INDEX('Price History'!L:L,MATCH(9.99E+307,'Price History'!$A:$A))-'Price History'!L3)*(ROW()-3)/(MATCH(9.99E+307,'Returns (Calc)'!$A:$A)-3),"")</f>
        <v>62.6022641509434</v>
      </c>
      <c r="AH73" s="145" t="n">
        <f aca="false">IFERROR('Price History'!M3+(INDEX('Price History'!M:M,MATCH(9.99E+307,'Price History'!$A:$A))-'Price History'!M3)*(ROW()-3)/(MATCH(9.99E+307,'Returns (Calc)'!$A:$A)-3),"")</f>
        <v>8.58094339622642</v>
      </c>
      <c r="AI73" s="145" t="n">
        <f aca="false">IFERROR('Price History'!N3+(INDEX('Price History'!N:N,MATCH(9.99E+307,'Price History'!$A:$A))-'Price History'!N3)*(ROW()-3)/(MATCH(9.99E+307,'Returns (Calc)'!$A:$A)-3),"")</f>
        <v>12.2025157232704</v>
      </c>
      <c r="AJ73" s="145" t="n">
        <f aca="false">IFERROR('Price History'!O3+(INDEX('Price History'!O:O,MATCH(9.99E+307,'Price History'!$A:$A))-'Price History'!O3)*(ROW()-3)/(MATCH(9.99E+307,'Returns (Calc)'!$A:$A)-3),"")</f>
        <v>32.2583018867925</v>
      </c>
      <c r="AK73" s="145" t="n">
        <f aca="false">IFERROR('Price History'!Q3+(INDEX('Price History'!Q:Q,MATCH(9.99E+307,'Price History'!$A:$A))-'Price History'!Q3)*(ROW()-3)/(MATCH(9.99E+307,'Returns (Calc)'!$A:$A)-3),"")</f>
        <v>131.893522012579</v>
      </c>
      <c r="AL73" s="145" t="n">
        <f aca="false">IFERROR('Price History'!R3+(INDEX('Price History'!R:R,MATCH(9.99E+307,'Price History'!$A:$A))-'Price History'!R3)*(ROW()-3)/(MATCH(9.99E+307,'Returns (Calc)'!$A:$A)-3),"")</f>
        <v>26.7671698113208</v>
      </c>
      <c r="AM73" s="145" t="n">
        <f aca="false">IFERROR('Price History'!S3+(INDEX('Price History'!S:S,MATCH(9.99E+307,'Price History'!$A:$A))-'Price History'!S3)*(ROW()-3)/(MATCH(9.99E+307,'Returns (Calc)'!$A:$A)-3),"")</f>
        <v>32.7676729559748</v>
      </c>
      <c r="AN73" s="145" t="n">
        <f aca="false">IFERROR('Price History'!T3+(INDEX('Price History'!T:T,MATCH(9.99E+307,'Price History'!$A:$A))-'Price History'!T3)*(ROW()-3)/(MATCH(9.99E+307,'Returns (Calc)'!$A:$A)-3),"")</f>
        <v>15.0628301886792</v>
      </c>
      <c r="AO73" s="146" t="n">
        <f aca="false">IFERROR('Price History'!V3+(INDEX('Price History'!V:V,MATCH(9.99E+307,'Price History'!$A:$A))-'Price History'!V3)*(ROW()-3)/(MATCH(9.99E+307,'Returns (Calc)'!$A:$A)-3),"")</f>
        <v>0</v>
      </c>
    </row>
    <row r="74" customFormat="false" ht="15" hidden="false" customHeight="true" outlineLevel="0" collapsed="false">
      <c r="A74" s="142" t="n">
        <f aca="false">IF('Price History'!A75="","",'Price History'!A75)</f>
        <v>45688</v>
      </c>
      <c r="B74" s="143" t="n">
        <f aca="false">IFERROR(IF(OR(NOT(ISNUMBER('Price History'!B75)),NOT(ISNUMBER('Price History'!B74)),'Price History'!B74=0),"",'Price History'!B75/'Price History'!B74-1),"")</f>
        <v>0.00475446736184471</v>
      </c>
      <c r="C74" s="143" t="n">
        <f aca="false">IFERROR(IF(OR(NOT(ISNUMBER('Price History'!C75)),NOT(ISNUMBER('Price History'!C74)),'Price History'!C74=0),"",'Price History'!C75/'Price History'!C74-1),"")</f>
        <v>-0.107919795618177</v>
      </c>
      <c r="D74" s="143" t="n">
        <f aca="false">IFERROR(IF(OR(NOT(ISNUMBER('Price History'!D75)),NOT(ISNUMBER('Price History'!D74)),'Price History'!D74=0),"",'Price History'!D75/'Price History'!D74-1),"")</f>
        <v>0.00964189235990842</v>
      </c>
      <c r="E74" s="143" t="n">
        <f aca="false">IFERROR(IF(OR(NOT(ISNUMBER('Price History'!E75)),NOT(ISNUMBER('Price History'!E74)),'Price History'!E74=0),"",'Price History'!E75/'Price History'!E74-1),"")</f>
        <v>-0.0957376233518534</v>
      </c>
      <c r="F74" s="143" t="n">
        <f aca="false">IFERROR(IF(OR(NOT(ISNUMBER('Price History'!F75)),NOT(ISNUMBER('Price History'!F74)),'Price History'!F74=0),"",'Price History'!F75/'Price History'!F74-1),"")</f>
        <v>-0.0151187904967602</v>
      </c>
      <c r="G74" s="143" t="n">
        <f aca="false">IFERROR(IF(OR(NOT(ISNUMBER('Price History'!G75)),NOT(ISNUMBER('Price History'!G74)),'Price History'!G74=0),"",'Price History'!G75/'Price History'!G74-1),"")</f>
        <v>0.0617731782780326</v>
      </c>
      <c r="H74" s="143" t="n">
        <f aca="false">IFERROR(IF(OR(NOT(ISNUMBER('Price History'!H75)),NOT(ISNUMBER('Price History'!H74)),'Price History'!H74=0),"",'Price History'!H75/'Price History'!H74-1),"")</f>
        <v>-0.0025965850971752</v>
      </c>
      <c r="I74" s="143" t="n">
        <f aca="false">IFERROR(IF(OR(NOT(ISNUMBER('Price History'!I75)),NOT(ISNUMBER('Price History'!I74)),'Price History'!I74=0),"",'Price History'!I75/'Price History'!I74-1),"")</f>
        <v>-0.0153908464965571</v>
      </c>
      <c r="J74" s="143" t="n">
        <f aca="false">IFERROR(IF(OR(NOT(ISNUMBER('Price History'!J75)),NOT(ISNUMBER('Price History'!J74)),'Price History'!J74=0),"",'Price History'!J75/'Price History'!J74-1),"")</f>
        <v>-0.115770016538574</v>
      </c>
      <c r="K74" s="143" t="n">
        <f aca="false">IFERROR(IF(OR(NOT(ISNUMBER('Price History'!K75)),NOT(ISNUMBER('Price History'!K74)),'Price History'!K74=0),"",'Price History'!K75/'Price History'!K74-1),"")</f>
        <v>-0.158101933216169</v>
      </c>
      <c r="L74" s="143" t="n">
        <f aca="false">IFERROR(IF(OR(NOT(ISNUMBER('Price History'!L75)),NOT(ISNUMBER('Price History'!L74)),'Price History'!L74=0),"",'Price History'!L75/'Price History'!L74-1),"")</f>
        <v>0.00267355850637219</v>
      </c>
      <c r="M74" s="143" t="n">
        <f aca="false">IFERROR(IF(OR(NOT(ISNUMBER('Price History'!M75)),NOT(ISNUMBER('Price History'!M74)),'Price History'!M74=0),"",'Price History'!M75/'Price History'!M74-1),"")</f>
        <v>0.0444416307926057</v>
      </c>
      <c r="N74" s="143" t="n">
        <f aca="false">IFERROR(IF(OR(NOT(ISNUMBER('Price History'!N75)),NOT(ISNUMBER('Price History'!N74)),'Price History'!N74=0),"",'Price History'!N75/'Price History'!N74-1),"")</f>
        <v>-0.00834597875569043</v>
      </c>
      <c r="O74" s="143" t="n">
        <f aca="false">IFERROR(IF(OR(NOT(ISNUMBER('Price History'!O75)),NOT(ISNUMBER('Price History'!O74)),'Price History'!O74=0),"",'Price History'!O75/'Price History'!O74-1),"")</f>
        <v>-0.0127088962273593</v>
      </c>
      <c r="P74" s="143" t="n">
        <f aca="false">IFERROR(IF(OR(NOT(ISNUMBER('Price History'!P75)),NOT(ISNUMBER('Price History'!P74)),'Price History'!P74=0),"",'Price History'!P75/'Price History'!P74-1),"")</f>
        <v>-0.0565785839241322</v>
      </c>
      <c r="Q74" s="143" t="n">
        <f aca="false">IFERROR(IF(OR(NOT(ISNUMBER('Price History'!Q75)),NOT(ISNUMBER('Price History'!Q74)),'Price History'!Q74=0),"",'Price History'!Q75/'Price History'!Q74-1),"")</f>
        <v>0.0351323985149274</v>
      </c>
      <c r="R74" s="143" t="n">
        <f aca="false">IFERROR(IF(OR(NOT(ISNUMBER('Price History'!R75)),NOT(ISNUMBER('Price History'!R74)),'Price History'!R74=0),"",'Price History'!R75/'Price History'!R74-1),"")</f>
        <v>0.00944055944055933</v>
      </c>
      <c r="S74" s="143" t="n">
        <f aca="false">IFERROR(IF(OR(NOT(ISNUMBER('Price History'!S75)),NOT(ISNUMBER('Price History'!S74)),'Price History'!S74=0),"",'Price History'!S75/'Price History'!S74-1),"")</f>
        <v>0.0105670642393807</v>
      </c>
      <c r="T74" s="143" t="n">
        <f aca="false">IFERROR(IF(OR(NOT(ISNUMBER('Price History'!T75)),NOT(ISNUMBER('Price History'!T74)),'Price History'!T74=0),"",'Price History'!T75/'Price History'!T74-1),"")</f>
        <v>0.00914454277286136</v>
      </c>
      <c r="U74" s="143" t="str">
        <f aca="false">IFERROR(IF(OR(NOT(ISNUMBER('Price History'!U75)),NOT(ISNUMBER('Price History'!U74)),'Price History'!U74=0),"",'Price History'!U75/'Price History'!U74-1),"")</f>
        <v/>
      </c>
      <c r="V74" s="144" t="n">
        <f aca="false">IFERROR(IF(OR(NOT(ISNUMBER('Price History'!V75)),NOT(ISNUMBER('Price History'!V74)),'Price History'!V74=0),"",'Price History'!V75/'Price History'!V74-1),"")</f>
        <v>0.00296565579259545</v>
      </c>
      <c r="W74" s="145" t="str">
        <f aca="false">IFERROR('Price History'!B3+(INDEX('Price History'!B:B,MATCH(9.99E+307,'Price History'!$A:$A))-'Price History'!B3)*(ROW()-3)/(MATCH(9.99E+307,'Returns (Calc)'!$A:$A)-3),"")</f>
        <v/>
      </c>
      <c r="X74" s="145" t="n">
        <f aca="false">IFERROR('Price History'!C3+(INDEX('Price History'!C:C,MATCH(9.99E+307,'Price History'!$A:$A))-'Price History'!C3)*(ROW()-3)/(MATCH(9.99E+307,'Returns (Calc)'!$A:$A)-3),"")</f>
        <v>25.5587421383648</v>
      </c>
      <c r="Y74" s="145" t="n">
        <f aca="false">IFERROR('Price History'!D3+(INDEX('Price History'!D:D,MATCH(9.99E+307,'Price History'!$A:$A))-'Price History'!D3)*(ROW()-3)/(MATCH(9.99E+307,'Returns (Calc)'!$A:$A)-3),"")</f>
        <v>322.118742138365</v>
      </c>
      <c r="Z74" s="145" t="n">
        <f aca="false">IFERROR('Price History'!E3+(INDEX('Price History'!E:E,MATCH(9.99E+307,'Price History'!$A:$A))-'Price History'!E3)*(ROW()-3)/(MATCH(9.99E+307,'Returns (Calc)'!$A:$A)-3),"")</f>
        <v>45.3836477987421</v>
      </c>
      <c r="AA74" s="145" t="n">
        <f aca="false">IFERROR('Price History'!F3+(INDEX('Price History'!F:F,MATCH(9.99E+307,'Price History'!$A:$A))-'Price History'!F3)*(ROW()-3)/(MATCH(9.99E+307,'Returns (Calc)'!$A:$A)-3),"")</f>
        <v>41.6810062893082</v>
      </c>
      <c r="AB74" s="145" t="n">
        <f aca="false">IFERROR('Price History'!G3+(INDEX('Price History'!G:G,MATCH(9.99E+307,'Price History'!$A:$A))-'Price History'!G3)*(ROW()-3)/(MATCH(9.99E+307,'Returns (Calc)'!$A:$A)-3),"")</f>
        <v>22.8910691823899</v>
      </c>
      <c r="AC74" s="145" t="n">
        <f aca="false">IFERROR('Price History'!H3+(INDEX('Price History'!H:H,MATCH(9.99E+307,'Price History'!$A:$A))-'Price History'!H3)*(ROW()-3)/(MATCH(9.99E+307,'Returns (Calc)'!$A:$A)-3),"")</f>
        <v>55.6724528301887</v>
      </c>
      <c r="AD74" s="145" t="n">
        <f aca="false">IFERROR('Price History'!I3+(INDEX('Price History'!I:I,MATCH(9.99E+307,'Price History'!$A:$A))-'Price History'!I3)*(ROW()-3)/(MATCH(9.99E+307,'Returns (Calc)'!$A:$A)-3),"")</f>
        <v>24.5459119496855</v>
      </c>
      <c r="AE74" s="145" t="n">
        <f aca="false">IFERROR('Price History'!J3+(INDEX('Price History'!J:J,MATCH(9.99E+307,'Price History'!$A:$A))-'Price History'!J3)*(ROW()-3)/(MATCH(9.99E+307,'Returns (Calc)'!$A:$A)-3),"")</f>
        <v>38.2495597484277</v>
      </c>
      <c r="AF74" s="145" t="n">
        <f aca="false">IFERROR('Price History'!K3+(INDEX('Price History'!K:K,MATCH(9.99E+307,'Price History'!$A:$A))-'Price History'!K3)*(ROW()-3)/(MATCH(9.99E+307,'Returns (Calc)'!$A:$A)-3),"")</f>
        <v>24.2249056603774</v>
      </c>
      <c r="AG74" s="145" t="n">
        <f aca="false">IFERROR('Price History'!L3+(INDEX('Price History'!L:L,MATCH(9.99E+307,'Price History'!$A:$A))-'Price History'!L3)*(ROW()-3)/(MATCH(9.99E+307,'Returns (Calc)'!$A:$A)-3),"")</f>
        <v>61.8988679245283</v>
      </c>
      <c r="AH74" s="145" t="n">
        <f aca="false">IFERROR('Price History'!M3+(INDEX('Price History'!M:M,MATCH(9.99E+307,'Price History'!$A:$A))-'Price History'!M3)*(ROW()-3)/(MATCH(9.99E+307,'Returns (Calc)'!$A:$A)-3),"")</f>
        <v>8.48452830188679</v>
      </c>
      <c r="AI74" s="145" t="n">
        <f aca="false">IFERROR('Price History'!N3+(INDEX('Price History'!N:N,MATCH(9.99E+307,'Price History'!$A:$A))-'Price History'!N3)*(ROW()-3)/(MATCH(9.99E+307,'Returns (Calc)'!$A:$A)-3),"")</f>
        <v>12.0654088050314</v>
      </c>
      <c r="AJ74" s="145" t="n">
        <f aca="false">IFERROR('Price History'!O3+(INDEX('Price History'!O:O,MATCH(9.99E+307,'Price History'!$A:$A))-'Price History'!O3)*(ROW()-3)/(MATCH(9.99E+307,'Returns (Calc)'!$A:$A)-3),"")</f>
        <v>31.8958490566038</v>
      </c>
      <c r="AK74" s="145" t="n">
        <f aca="false">IFERROR('Price History'!Q3+(INDEX('Price History'!Q:Q,MATCH(9.99E+307,'Price History'!$A:$A))-'Price History'!Q3)*(ROW()-3)/(MATCH(9.99E+307,'Returns (Calc)'!$A:$A)-3),"")</f>
        <v>130.411572327044</v>
      </c>
      <c r="AL74" s="145" t="n">
        <f aca="false">IFERROR('Price History'!R3+(INDEX('Price History'!R:R,MATCH(9.99E+307,'Price History'!$A:$A))-'Price History'!R3)*(ROW()-3)/(MATCH(9.99E+307,'Returns (Calc)'!$A:$A)-3),"")</f>
        <v>26.4664150943396</v>
      </c>
      <c r="AM74" s="145" t="n">
        <f aca="false">IFERROR('Price History'!S3+(INDEX('Price History'!S:S,MATCH(9.99E+307,'Price History'!$A:$A))-'Price History'!S3)*(ROW()-3)/(MATCH(9.99E+307,'Returns (Calc)'!$A:$A)-3),"")</f>
        <v>32.3994968553459</v>
      </c>
      <c r="AN74" s="145" t="n">
        <f aca="false">IFERROR('Price History'!T3+(INDEX('Price History'!T:T,MATCH(9.99E+307,'Price History'!$A:$A))-'Price History'!T3)*(ROW()-3)/(MATCH(9.99E+307,'Returns (Calc)'!$A:$A)-3),"")</f>
        <v>14.8935849056604</v>
      </c>
      <c r="AO74" s="146" t="n">
        <f aca="false">IFERROR('Price History'!V3+(INDEX('Price History'!V:V,MATCH(9.99E+307,'Price History'!$A:$A))-'Price History'!V3)*(ROW()-3)/(MATCH(9.99E+307,'Returns (Calc)'!$A:$A)-3),"")</f>
        <v>0</v>
      </c>
    </row>
    <row r="75" customFormat="false" ht="15" hidden="false" customHeight="true" outlineLevel="0" collapsed="false">
      <c r="A75" s="142" t="n">
        <f aca="false">IF('Price History'!A76="","",'Price History'!A76)</f>
        <v>45695</v>
      </c>
      <c r="B75" s="143" t="n">
        <f aca="false">IFERROR(IF(OR(NOT(ISNUMBER('Price History'!B76)),NOT(ISNUMBER('Price History'!B75)),'Price History'!B75=0),"",'Price History'!B76/'Price History'!B75-1),"")</f>
        <v>-0.0100125728654703</v>
      </c>
      <c r="C75" s="143" t="n">
        <f aca="false">IFERROR(IF(OR(NOT(ISNUMBER('Price History'!C76)),NOT(ISNUMBER('Price History'!C75)),'Price History'!C75=0),"",'Price History'!C76/'Price History'!C75-1),"")</f>
        <v>0.028117677688102</v>
      </c>
      <c r="D75" s="143" t="n">
        <f aca="false">IFERROR(IF(OR(NOT(ISNUMBER('Price History'!D76)),NOT(ISNUMBER('Price History'!D75)),'Price History'!D75=0),"",'Price History'!D76/'Price History'!D75-1),"")</f>
        <v>-0.015696820844939</v>
      </c>
      <c r="E75" s="143" t="n">
        <f aca="false">IFERROR(IF(OR(NOT(ISNUMBER('Price History'!E76)),NOT(ISNUMBER('Price History'!E75)),'Price History'!E75=0),"",'Price History'!E76/'Price History'!E75-1),"")</f>
        <v>0.0162318308955018</v>
      </c>
      <c r="F75" s="143" t="n">
        <f aca="false">IFERROR(IF(OR(NOT(ISNUMBER('Price History'!F76)),NOT(ISNUMBER('Price History'!F75)),'Price History'!F75=0),"",'Price History'!F76/'Price History'!F75-1),"")</f>
        <v>-0.0115914786967418</v>
      </c>
      <c r="G75" s="143" t="n">
        <f aca="false">IFERROR(IF(OR(NOT(ISNUMBER('Price History'!G76)),NOT(ISNUMBER('Price History'!G75)),'Price History'!G75=0),"",'Price History'!G76/'Price History'!G75-1),"")</f>
        <v>0.0590836012861737</v>
      </c>
      <c r="H75" s="143" t="n">
        <f aca="false">IFERROR(IF(OR(NOT(ISNUMBER('Price History'!H76)),NOT(ISNUMBER('Price History'!H75)),'Price History'!H75=0),"",'Price History'!H76/'Price History'!H75-1),"")</f>
        <v>-0.00481224360997157</v>
      </c>
      <c r="I75" s="143" t="n">
        <f aca="false">IFERROR(IF(OR(NOT(ISNUMBER('Price History'!I76)),NOT(ISNUMBER('Price History'!I75)),'Price History'!I75=0),"",'Price History'!I76/'Price History'!I75-1),"")</f>
        <v>0.0127519539284244</v>
      </c>
      <c r="J75" s="143" t="n">
        <f aca="false">IFERROR(IF(OR(NOT(ISNUMBER('Price History'!J76)),NOT(ISNUMBER('Price History'!J75)),'Price History'!J75=0),"",'Price History'!J76/'Price History'!J75-1),"")</f>
        <v>0.011662449114314</v>
      </c>
      <c r="K75" s="143" t="n">
        <f aca="false">IFERROR(IF(OR(NOT(ISNUMBER('Price History'!K76)),NOT(ISNUMBER('Price History'!K75)),'Price History'!K75=0),"",'Price History'!K76/'Price History'!K75-1),"")</f>
        <v>0.0813293253173013</v>
      </c>
      <c r="L75" s="143" t="n">
        <f aca="false">IFERROR(IF(OR(NOT(ISNUMBER('Price History'!L76)),NOT(ISNUMBER('Price History'!L75)),'Price History'!L75=0),"",'Price History'!L76/'Price History'!L75-1),"")</f>
        <v>-0.0159096969158298</v>
      </c>
      <c r="M75" s="143" t="n">
        <f aca="false">IFERROR(IF(OR(NOT(ISNUMBER('Price History'!M76)),NOT(ISNUMBER('Price History'!M75)),'Price History'!M75=0),"",'Price History'!M76/'Price History'!M75-1),"")</f>
        <v>0.343799248393745</v>
      </c>
      <c r="N75" s="143" t="n">
        <f aca="false">IFERROR(IF(OR(NOT(ISNUMBER('Price History'!N76)),NOT(ISNUMBER('Price History'!N75)),'Price History'!N75=0),"",'Price History'!N76/'Price History'!N75-1),"")</f>
        <v>-0.009946442234124</v>
      </c>
      <c r="O75" s="143" t="n">
        <f aca="false">IFERROR(IF(OR(NOT(ISNUMBER('Price History'!O76)),NOT(ISNUMBER('Price History'!O75)),'Price History'!O75=0),"",'Price History'!O76/'Price History'!O75-1),"")</f>
        <v>0.0198662071761606</v>
      </c>
      <c r="P75" s="143" t="n">
        <f aca="false">IFERROR(IF(OR(NOT(ISNUMBER('Price History'!P76)),NOT(ISNUMBER('Price History'!P75)),'Price History'!P75=0),"",'Price History'!P76/'Price History'!P75-1),"")</f>
        <v>-0.0153223051773778</v>
      </c>
      <c r="Q75" s="143" t="n">
        <f aca="false">IFERROR(IF(OR(NOT(ISNUMBER('Price History'!Q76)),NOT(ISNUMBER('Price History'!Q75)),'Price History'!Q75=0),"",'Price History'!Q76/'Price History'!Q75-1),"")</f>
        <v>0.0182001422812426</v>
      </c>
      <c r="R75" s="143" t="n">
        <f aca="false">IFERROR(IF(OR(NOT(ISNUMBER('Price History'!R76)),NOT(ISNUMBER('Price History'!R75)),'Price History'!R75=0),"",'Price History'!R76/'Price History'!R75-1),"")</f>
        <v>-0.0114305507447178</v>
      </c>
      <c r="S75" s="143" t="n">
        <f aca="false">IFERROR(IF(OR(NOT(ISNUMBER('Price History'!S76)),NOT(ISNUMBER('Price History'!S75)),'Price History'!S75=0),"",'Price History'!S76/'Price History'!S75-1),"")</f>
        <v>0.00310591158505025</v>
      </c>
      <c r="T75" s="143" t="n">
        <f aca="false">IFERROR(IF(OR(NOT(ISNUMBER('Price History'!T76)),NOT(ISNUMBER('Price History'!T75)),'Price History'!T75=0),"",'Price History'!T76/'Price History'!T75-1),"")</f>
        <v>0.00760011692487561</v>
      </c>
      <c r="U75" s="143" t="str">
        <f aca="false">IFERROR(IF(OR(NOT(ISNUMBER('Price History'!U76)),NOT(ISNUMBER('Price History'!U75)),'Price History'!U75=0),"",'Price History'!U76/'Price History'!U75-1),"")</f>
        <v/>
      </c>
      <c r="V75" s="144" t="n">
        <f aca="false">IFERROR(IF(OR(NOT(ISNUMBER('Price History'!V76)),NOT(ISNUMBER('Price History'!V75)),'Price History'!V75=0),"",'Price History'!V76/'Price History'!V75-1),"")</f>
        <v>-0.0117639577769298</v>
      </c>
      <c r="W75" s="145" t="str">
        <f aca="false">IFERROR('Price History'!B3+(INDEX('Price History'!B:B,MATCH(9.99E+307,'Price History'!$A:$A))-'Price History'!B3)*(ROW()-3)/(MATCH(9.99E+307,'Returns (Calc)'!$A:$A)-3),"")</f>
        <v/>
      </c>
      <c r="X75" s="145" t="n">
        <f aca="false">IFERROR('Price History'!C3+(INDEX('Price History'!C:C,MATCH(9.99E+307,'Price History'!$A:$A))-'Price History'!C3)*(ROW()-3)/(MATCH(9.99E+307,'Returns (Calc)'!$A:$A)-3),"")</f>
        <v>25.2683018867925</v>
      </c>
      <c r="Y75" s="145" t="n">
        <f aca="false">IFERROR('Price History'!D3+(INDEX('Price History'!D:D,MATCH(9.99E+307,'Price History'!$A:$A))-'Price History'!D3)*(ROW()-3)/(MATCH(9.99E+307,'Returns (Calc)'!$A:$A)-3),"")</f>
        <v>318.458301886792</v>
      </c>
      <c r="Z75" s="145" t="n">
        <f aca="false">IFERROR('Price History'!E3+(INDEX('Price History'!E:E,MATCH(9.99E+307,'Price History'!$A:$A))-'Price History'!E3)*(ROW()-3)/(MATCH(9.99E+307,'Returns (Calc)'!$A:$A)-3),"")</f>
        <v>44.8679245283019</v>
      </c>
      <c r="AA75" s="145" t="n">
        <f aca="false">IFERROR('Price History'!F3+(INDEX('Price History'!F:F,MATCH(9.99E+307,'Price History'!$A:$A))-'Price History'!F3)*(ROW()-3)/(MATCH(9.99E+307,'Returns (Calc)'!$A:$A)-3),"")</f>
        <v>41.207358490566</v>
      </c>
      <c r="AB75" s="145" t="n">
        <f aca="false">IFERROR('Price History'!G3+(INDEX('Price History'!G:G,MATCH(9.99E+307,'Price History'!$A:$A))-'Price History'!G3)*(ROW()-3)/(MATCH(9.99E+307,'Returns (Calc)'!$A:$A)-3),"")</f>
        <v>22.6309433962264</v>
      </c>
      <c r="AC75" s="145" t="n">
        <f aca="false">IFERROR('Price History'!H3+(INDEX('Price History'!H:H,MATCH(9.99E+307,'Price History'!$A:$A))-'Price History'!H3)*(ROW()-3)/(MATCH(9.99E+307,'Returns (Calc)'!$A:$A)-3),"")</f>
        <v>55.0398113207547</v>
      </c>
      <c r="AD75" s="145" t="n">
        <f aca="false">IFERROR('Price History'!I3+(INDEX('Price History'!I:I,MATCH(9.99E+307,'Price History'!$A:$A))-'Price History'!I3)*(ROW()-3)/(MATCH(9.99E+307,'Returns (Calc)'!$A:$A)-3),"")</f>
        <v>24.2669811320755</v>
      </c>
      <c r="AE75" s="145" t="n">
        <f aca="false">IFERROR('Price History'!J3+(INDEX('Price History'!J:J,MATCH(9.99E+307,'Price History'!$A:$A))-'Price History'!J3)*(ROW()-3)/(MATCH(9.99E+307,'Returns (Calc)'!$A:$A)-3),"")</f>
        <v>37.8149056603774</v>
      </c>
      <c r="AF75" s="145" t="n">
        <f aca="false">IFERROR('Price History'!K3+(INDEX('Price History'!K:K,MATCH(9.99E+307,'Price History'!$A:$A))-'Price History'!K3)*(ROW()-3)/(MATCH(9.99E+307,'Returns (Calc)'!$A:$A)-3),"")</f>
        <v>23.9496226415094</v>
      </c>
      <c r="AG75" s="145" t="n">
        <f aca="false">IFERROR('Price History'!L3+(INDEX('Price History'!L:L,MATCH(9.99E+307,'Price History'!$A:$A))-'Price History'!L3)*(ROW()-3)/(MATCH(9.99E+307,'Returns (Calc)'!$A:$A)-3),"")</f>
        <v>61.1954716981132</v>
      </c>
      <c r="AH75" s="145" t="n">
        <f aca="false">IFERROR('Price History'!M3+(INDEX('Price History'!M:M,MATCH(9.99E+307,'Price History'!$A:$A))-'Price History'!M3)*(ROW()-3)/(MATCH(9.99E+307,'Returns (Calc)'!$A:$A)-3),"")</f>
        <v>8.38811320754717</v>
      </c>
      <c r="AI75" s="145" t="n">
        <f aca="false">IFERROR('Price History'!N3+(INDEX('Price History'!N:N,MATCH(9.99E+307,'Price History'!$A:$A))-'Price History'!N3)*(ROW()-3)/(MATCH(9.99E+307,'Returns (Calc)'!$A:$A)-3),"")</f>
        <v>11.9283018867925</v>
      </c>
      <c r="AJ75" s="145" t="n">
        <f aca="false">IFERROR('Price History'!O3+(INDEX('Price History'!O:O,MATCH(9.99E+307,'Price History'!$A:$A))-'Price History'!O3)*(ROW()-3)/(MATCH(9.99E+307,'Returns (Calc)'!$A:$A)-3),"")</f>
        <v>31.5333962264151</v>
      </c>
      <c r="AK75" s="145" t="n">
        <f aca="false">IFERROR('Price History'!Q3+(INDEX('Price History'!Q:Q,MATCH(9.99E+307,'Price History'!$A:$A))-'Price History'!Q3)*(ROW()-3)/(MATCH(9.99E+307,'Returns (Calc)'!$A:$A)-3),"")</f>
        <v>128.929622641509</v>
      </c>
      <c r="AL75" s="145" t="n">
        <f aca="false">IFERROR('Price History'!R3+(INDEX('Price History'!R:R,MATCH(9.99E+307,'Price History'!$A:$A))-'Price History'!R3)*(ROW()-3)/(MATCH(9.99E+307,'Returns (Calc)'!$A:$A)-3),"")</f>
        <v>26.1656603773585</v>
      </c>
      <c r="AM75" s="145" t="n">
        <f aca="false">IFERROR('Price History'!S3+(INDEX('Price History'!S:S,MATCH(9.99E+307,'Price History'!$A:$A))-'Price History'!S3)*(ROW()-3)/(MATCH(9.99E+307,'Returns (Calc)'!$A:$A)-3),"")</f>
        <v>32.031320754717</v>
      </c>
      <c r="AN75" s="145" t="n">
        <f aca="false">IFERROR('Price History'!T3+(INDEX('Price History'!T:T,MATCH(9.99E+307,'Price History'!$A:$A))-'Price History'!T3)*(ROW()-3)/(MATCH(9.99E+307,'Returns (Calc)'!$A:$A)-3),"")</f>
        <v>14.7243396226415</v>
      </c>
      <c r="AO75" s="146" t="n">
        <f aca="false">IFERROR('Price History'!V3+(INDEX('Price History'!V:V,MATCH(9.99E+307,'Price History'!$A:$A))-'Price History'!V3)*(ROW()-3)/(MATCH(9.99E+307,'Returns (Calc)'!$A:$A)-3),"")</f>
        <v>0</v>
      </c>
    </row>
    <row r="76" customFormat="false" ht="15" hidden="false" customHeight="true" outlineLevel="0" collapsed="false">
      <c r="A76" s="142" t="n">
        <f aca="false">IF('Price History'!A77="","",'Price History'!A77)</f>
        <v>45702</v>
      </c>
      <c r="B76" s="143" t="n">
        <f aca="false">IFERROR(IF(OR(NOT(ISNUMBER('Price History'!B77)),NOT(ISNUMBER('Price History'!B76)),'Price History'!B76=0),"",'Price History'!B77/'Price History'!B76-1),"")</f>
        <v>0.0625533978340684</v>
      </c>
      <c r="C76" s="143" t="n">
        <f aca="false">IFERROR(IF(OR(NOT(ISNUMBER('Price History'!C77)),NOT(ISNUMBER('Price History'!C76)),'Price History'!C76=0),"",'Price History'!C77/'Price History'!C76-1),"")</f>
        <v>-0.0979150839875074</v>
      </c>
      <c r="D76" s="143" t="n">
        <f aca="false">IFERROR(IF(OR(NOT(ISNUMBER('Price History'!D77)),NOT(ISNUMBER('Price History'!D76)),'Price History'!D76=0),"",'Price History'!D77/'Price History'!D76-1),"")</f>
        <v>0.0349470984289837</v>
      </c>
      <c r="E76" s="143" t="n">
        <f aca="false">IFERROR(IF(OR(NOT(ISNUMBER('Price History'!E77)),NOT(ISNUMBER('Price History'!E76)),'Price History'!E76=0),"",'Price History'!E77/'Price History'!E76-1),"")</f>
        <v>0.0363669178360331</v>
      </c>
      <c r="F76" s="143" t="n">
        <f aca="false">IFERROR(IF(OR(NOT(ISNUMBER('Price History'!F77)),NOT(ISNUMBER('Price History'!F76)),'Price History'!F76=0),"",'Price History'!F77/'Price History'!F76-1),"")</f>
        <v>0.00306391970417308</v>
      </c>
      <c r="G76" s="143" t="n">
        <f aca="false">IFERROR(IF(OR(NOT(ISNUMBER('Price History'!G77)),NOT(ISNUMBER('Price History'!G76)),'Price History'!G76=0),"",'Price History'!G77/'Price History'!G76-1),"")</f>
        <v>0.0714421252371917</v>
      </c>
      <c r="H76" s="143" t="n">
        <f aca="false">IFERROR(IF(OR(NOT(ISNUMBER('Price History'!H77)),NOT(ISNUMBER('Price History'!H76)),'Price History'!H76=0),"",'Price History'!H77/'Price History'!H76-1),"")</f>
        <v>0.0119698771304002</v>
      </c>
      <c r="I76" s="143" t="n">
        <f aca="false">IFERROR(IF(OR(NOT(ISNUMBER('Price History'!I77)),NOT(ISNUMBER('Price History'!I76)),'Price History'!I76=0),"",'Price History'!I77/'Price History'!I76-1),"")</f>
        <v>0.00406173842404556</v>
      </c>
      <c r="J76" s="143" t="n">
        <f aca="false">IFERROR(IF(OR(NOT(ISNUMBER('Price History'!J77)),NOT(ISNUMBER('Price History'!J76)),'Price History'!J76=0),"",'Price History'!J77/'Price History'!J76-1),"")</f>
        <v>0.0781946710168571</v>
      </c>
      <c r="K76" s="143" t="n">
        <f aca="false">IFERROR(IF(OR(NOT(ISNUMBER('Price History'!K77)),NOT(ISNUMBER('Price History'!K76)),'Price History'!K76=0),"",'Price History'!K77/'Price History'!K76-1),"")</f>
        <v>0.0694208494208495</v>
      </c>
      <c r="L76" s="143" t="n">
        <f aca="false">IFERROR(IF(OR(NOT(ISNUMBER('Price History'!L77)),NOT(ISNUMBER('Price History'!L76)),'Price History'!L76=0),"",'Price History'!L77/'Price History'!L76-1),"")</f>
        <v>0.0298049132947977</v>
      </c>
      <c r="M76" s="143" t="n">
        <f aca="false">IFERROR(IF(OR(NOT(ISNUMBER('Price History'!M77)),NOT(ISNUMBER('Price History'!M76)),'Price History'!M76=0),"",'Price History'!M77/'Price History'!M76-1),"")</f>
        <v>0.0749661705006766</v>
      </c>
      <c r="N76" s="143" t="n">
        <f aca="false">IFERROR(IF(OR(NOT(ISNUMBER('Price History'!N77)),NOT(ISNUMBER('Price History'!N76)),'Price History'!N76=0),"",'Price History'!N77/'Price History'!N76-1),"")</f>
        <v>0.00850077279752703</v>
      </c>
      <c r="O76" s="143" t="n">
        <f aca="false">IFERROR(IF(OR(NOT(ISNUMBER('Price History'!O77)),NOT(ISNUMBER('Price History'!O76)),'Price History'!O76=0),"",'Price History'!O77/'Price History'!O76-1),"")</f>
        <v>0.0101371496720333</v>
      </c>
      <c r="P76" s="143" t="n">
        <f aca="false">IFERROR(IF(OR(NOT(ISNUMBER('Price History'!P77)),NOT(ISNUMBER('Price History'!P76)),'Price History'!P76=0),"",'Price History'!P77/'Price History'!P76-1),"")</f>
        <v>-0.0107537539025719</v>
      </c>
      <c r="Q76" s="143" t="n">
        <f aca="false">IFERROR(IF(OR(NOT(ISNUMBER('Price History'!Q77)),NOT(ISNUMBER('Price History'!Q76)),'Price History'!Q76=0),"",'Price History'!Q77/'Price History'!Q76-1),"")</f>
        <v>0.0183697234352256</v>
      </c>
      <c r="R76" s="143" t="n">
        <f aca="false">IFERROR(IF(OR(NOT(ISNUMBER('Price History'!R77)),NOT(ISNUMBER('Price History'!R76)),'Price History'!R76=0),"",'Price History'!R77/'Price History'!R76-1),"")</f>
        <v>-0.0192711983181499</v>
      </c>
      <c r="S76" s="143" t="n">
        <f aca="false">IFERROR(IF(OR(NOT(ISNUMBER('Price History'!S77)),NOT(ISNUMBER('Price History'!S76)),'Price History'!S76=0),"",'Price History'!S77/'Price History'!S76-1),"")</f>
        <v>-0.0135204871503768</v>
      </c>
      <c r="T76" s="143" t="n">
        <f aca="false">IFERROR(IF(OR(NOT(ISNUMBER('Price History'!T77)),NOT(ISNUMBER('Price History'!T76)),'Price History'!T76=0),"",'Price History'!T77/'Price History'!T76-1),"")</f>
        <v>-0.000290107339715684</v>
      </c>
      <c r="U76" s="143" t="str">
        <f aca="false">IFERROR(IF(OR(NOT(ISNUMBER('Price History'!U77)),NOT(ISNUMBER('Price History'!U76)),'Price History'!U76=0),"",'Price History'!U77/'Price History'!U76-1),"")</f>
        <v/>
      </c>
      <c r="V76" s="144" t="n">
        <f aca="false">IFERROR(IF(OR(NOT(ISNUMBER('Price History'!V77)),NOT(ISNUMBER('Price History'!V76)),'Price History'!V76=0),"",'Price History'!V77/'Price History'!V76-1),"")</f>
        <v>-0.0228428029084357</v>
      </c>
      <c r="W76" s="145" t="str">
        <f aca="false">IFERROR('Price History'!B3+(INDEX('Price History'!B:B,MATCH(9.99E+307,'Price History'!$A:$A))-'Price History'!B3)*(ROW()-3)/(MATCH(9.99E+307,'Returns (Calc)'!$A:$A)-3),"")</f>
        <v/>
      </c>
      <c r="X76" s="145" t="n">
        <f aca="false">IFERROR('Price History'!C3+(INDEX('Price History'!C:C,MATCH(9.99E+307,'Price History'!$A:$A))-'Price History'!C3)*(ROW()-3)/(MATCH(9.99E+307,'Returns (Calc)'!$A:$A)-3),"")</f>
        <v>24.9778616352201</v>
      </c>
      <c r="Y76" s="145" t="n">
        <f aca="false">IFERROR('Price History'!D3+(INDEX('Price History'!D:D,MATCH(9.99E+307,'Price History'!$A:$A))-'Price History'!D3)*(ROW()-3)/(MATCH(9.99E+307,'Returns (Calc)'!$A:$A)-3),"")</f>
        <v>314.79786163522</v>
      </c>
      <c r="Z76" s="145" t="n">
        <f aca="false">IFERROR('Price History'!E3+(INDEX('Price History'!E:E,MATCH(9.99E+307,'Price History'!$A:$A))-'Price History'!E3)*(ROW()-3)/(MATCH(9.99E+307,'Returns (Calc)'!$A:$A)-3),"")</f>
        <v>44.3522012578616</v>
      </c>
      <c r="AA76" s="145" t="n">
        <f aca="false">IFERROR('Price History'!F3+(INDEX('Price History'!F:F,MATCH(9.99E+307,'Price History'!$A:$A))-'Price History'!F3)*(ROW()-3)/(MATCH(9.99E+307,'Returns (Calc)'!$A:$A)-3),"")</f>
        <v>40.7337106918239</v>
      </c>
      <c r="AB76" s="145" t="n">
        <f aca="false">IFERROR('Price History'!G3+(INDEX('Price History'!G:G,MATCH(9.99E+307,'Price History'!$A:$A))-'Price History'!G3)*(ROW()-3)/(MATCH(9.99E+307,'Returns (Calc)'!$A:$A)-3),"")</f>
        <v>22.3708176100629</v>
      </c>
      <c r="AC76" s="145" t="n">
        <f aca="false">IFERROR('Price History'!H3+(INDEX('Price History'!H:H,MATCH(9.99E+307,'Price History'!$A:$A))-'Price History'!H3)*(ROW()-3)/(MATCH(9.99E+307,'Returns (Calc)'!$A:$A)-3),"")</f>
        <v>54.4071698113208</v>
      </c>
      <c r="AD76" s="145" t="n">
        <f aca="false">IFERROR('Price History'!I3+(INDEX('Price History'!I:I,MATCH(9.99E+307,'Price History'!$A:$A))-'Price History'!I3)*(ROW()-3)/(MATCH(9.99E+307,'Returns (Calc)'!$A:$A)-3),"")</f>
        <v>23.9880503144654</v>
      </c>
      <c r="AE76" s="145" t="n">
        <f aca="false">IFERROR('Price History'!J3+(INDEX('Price History'!J:J,MATCH(9.99E+307,'Price History'!$A:$A))-'Price History'!J3)*(ROW()-3)/(MATCH(9.99E+307,'Returns (Calc)'!$A:$A)-3),"")</f>
        <v>37.380251572327</v>
      </c>
      <c r="AF76" s="145" t="n">
        <f aca="false">IFERROR('Price History'!K3+(INDEX('Price History'!K:K,MATCH(9.99E+307,'Price History'!$A:$A))-'Price History'!K3)*(ROW()-3)/(MATCH(9.99E+307,'Returns (Calc)'!$A:$A)-3),"")</f>
        <v>23.6743396226415</v>
      </c>
      <c r="AG76" s="145" t="n">
        <f aca="false">IFERROR('Price History'!L3+(INDEX('Price History'!L:L,MATCH(9.99E+307,'Price History'!$A:$A))-'Price History'!L3)*(ROW()-3)/(MATCH(9.99E+307,'Returns (Calc)'!$A:$A)-3),"")</f>
        <v>60.4920754716981</v>
      </c>
      <c r="AH76" s="145" t="n">
        <f aca="false">IFERROR('Price History'!M3+(INDEX('Price History'!M:M,MATCH(9.99E+307,'Price History'!$A:$A))-'Price History'!M3)*(ROW()-3)/(MATCH(9.99E+307,'Returns (Calc)'!$A:$A)-3),"")</f>
        <v>8.29169811320755</v>
      </c>
      <c r="AI76" s="145" t="n">
        <f aca="false">IFERROR('Price History'!N3+(INDEX('Price History'!N:N,MATCH(9.99E+307,'Price History'!$A:$A))-'Price History'!N3)*(ROW()-3)/(MATCH(9.99E+307,'Returns (Calc)'!$A:$A)-3),"")</f>
        <v>11.7911949685535</v>
      </c>
      <c r="AJ76" s="145" t="n">
        <f aca="false">IFERROR('Price History'!O3+(INDEX('Price History'!O:O,MATCH(9.99E+307,'Price History'!$A:$A))-'Price History'!O3)*(ROW()-3)/(MATCH(9.99E+307,'Returns (Calc)'!$A:$A)-3),"")</f>
        <v>31.1709433962264</v>
      </c>
      <c r="AK76" s="145" t="n">
        <f aca="false">IFERROR('Price History'!Q3+(INDEX('Price History'!Q:Q,MATCH(9.99E+307,'Price History'!$A:$A))-'Price History'!Q3)*(ROW()-3)/(MATCH(9.99E+307,'Returns (Calc)'!$A:$A)-3),"")</f>
        <v>127.447672955975</v>
      </c>
      <c r="AL76" s="145" t="n">
        <f aca="false">IFERROR('Price History'!R3+(INDEX('Price History'!R:R,MATCH(9.99E+307,'Price History'!$A:$A))-'Price History'!R3)*(ROW()-3)/(MATCH(9.99E+307,'Returns (Calc)'!$A:$A)-3),"")</f>
        <v>25.8649056603774</v>
      </c>
      <c r="AM76" s="145" t="n">
        <f aca="false">IFERROR('Price History'!S3+(INDEX('Price History'!S:S,MATCH(9.99E+307,'Price History'!$A:$A))-'Price History'!S3)*(ROW()-3)/(MATCH(9.99E+307,'Returns (Calc)'!$A:$A)-3),"")</f>
        <v>31.6631446540881</v>
      </c>
      <c r="AN76" s="145" t="n">
        <f aca="false">IFERROR('Price History'!T3+(INDEX('Price History'!T:T,MATCH(9.99E+307,'Price History'!$A:$A))-'Price History'!T3)*(ROW()-3)/(MATCH(9.99E+307,'Returns (Calc)'!$A:$A)-3),"")</f>
        <v>14.5550943396226</v>
      </c>
      <c r="AO76" s="146" t="n">
        <f aca="false">IFERROR('Price History'!V3+(INDEX('Price History'!V:V,MATCH(9.99E+307,'Price History'!$A:$A))-'Price History'!V3)*(ROW()-3)/(MATCH(9.99E+307,'Returns (Calc)'!$A:$A)-3),"")</f>
        <v>0</v>
      </c>
    </row>
    <row r="77" customFormat="false" ht="15" hidden="false" customHeight="true" outlineLevel="0" collapsed="false">
      <c r="A77" s="142" t="n">
        <f aca="false">IF('Price History'!A78="","",'Price History'!A78)</f>
        <v>45709</v>
      </c>
      <c r="B77" s="143" t="n">
        <f aca="false">IFERROR(IF(OR(NOT(ISNUMBER('Price History'!B78)),NOT(ISNUMBER('Price History'!B77)),'Price History'!B77=0),"",'Price History'!B78/'Price History'!B77-1),"")</f>
        <v>-0.03442280945758</v>
      </c>
      <c r="C77" s="143" t="n">
        <f aca="false">IFERROR(IF(OR(NOT(ISNUMBER('Price History'!C78)),NOT(ISNUMBER('Price History'!C77)),'Price History'!C77=0),"",'Price History'!C78/'Price History'!C77-1),"")</f>
        <v>-0.0801908861233275</v>
      </c>
      <c r="D77" s="143" t="n">
        <f aca="false">IFERROR(IF(OR(NOT(ISNUMBER('Price History'!D78)),NOT(ISNUMBER('Price History'!D77)),'Price History'!D77=0),"",'Price History'!D78/'Price History'!D77-1),"")</f>
        <v>-0.019072248262486</v>
      </c>
      <c r="E77" s="143" t="n">
        <f aca="false">IFERROR(IF(OR(NOT(ISNUMBER('Price History'!E78)),NOT(ISNUMBER('Price History'!E77)),'Price History'!E77=0),"",'Price History'!E78/'Price History'!E77-1),"")</f>
        <v>-0.0617353824720276</v>
      </c>
      <c r="F77" s="143" t="n">
        <f aca="false">IFERROR(IF(OR(NOT(ISNUMBER('Price History'!F78)),NOT(ISNUMBER('Price History'!F77)),'Price History'!F77=0),"",'Price History'!F78/'Price History'!F77-1),"")</f>
        <v>-0.0365493996208132</v>
      </c>
      <c r="G77" s="143" t="n">
        <f aca="false">IFERROR(IF(OR(NOT(ISNUMBER('Price History'!G78)),NOT(ISNUMBER('Price History'!G77)),'Price History'!G77=0),"",'Price History'!G78/'Price History'!G77-1),"")</f>
        <v>-0.0997077835827505</v>
      </c>
      <c r="H77" s="143" t="n">
        <f aca="false">IFERROR(IF(OR(NOT(ISNUMBER('Price History'!H78)),NOT(ISNUMBER('Price History'!H77)),'Price History'!H77=0),"",'Price History'!H78/'Price History'!H77-1),"")</f>
        <v>0.00728497571674769</v>
      </c>
      <c r="I77" s="143" t="n">
        <f aca="false">IFERROR(IF(OR(NOT(ISNUMBER('Price History'!I78)),NOT(ISNUMBER('Price History'!I77)),'Price History'!I77=0),"",'Price History'!I78/'Price History'!I77-1),"")</f>
        <v>0.00471952535059339</v>
      </c>
      <c r="J77" s="143" t="n">
        <f aca="false">IFERROR(IF(OR(NOT(ISNUMBER('Price History'!J78)),NOT(ISNUMBER('Price History'!J77)),'Price History'!J77=0),"",'Price History'!J78/'Price History'!J77-1),"")</f>
        <v>-0.00685898729070011</v>
      </c>
      <c r="K77" s="143" t="n">
        <f aca="false">IFERROR(IF(OR(NOT(ISNUMBER('Price History'!K78)),NOT(ISNUMBER('Price History'!K77)),'Price History'!K77=0),"",'Price History'!K78/'Price History'!K77-1),"")</f>
        <v>-0.0318434544010398</v>
      </c>
      <c r="L77" s="143" t="n">
        <f aca="false">IFERROR(IF(OR(NOT(ISNUMBER('Price History'!L78)),NOT(ISNUMBER('Price History'!L77)),'Price History'!L77=0),"",'Price History'!L78/'Price History'!L77-1),"")</f>
        <v>0.00105244693913353</v>
      </c>
      <c r="M77" s="143" t="n">
        <f aca="false">IFERROR(IF(OR(NOT(ISNUMBER('Price History'!M78)),NOT(ISNUMBER('Price History'!M77)),'Price History'!M77=0),"",'Price History'!M78/'Price History'!M77-1),"")</f>
        <v>-0.149462907015777</v>
      </c>
      <c r="N77" s="143" t="n">
        <f aca="false">IFERROR(IF(OR(NOT(ISNUMBER('Price History'!N78)),NOT(ISNUMBER('Price History'!N77)),'Price History'!N77=0),"",'Price History'!N78/'Price History'!N77-1),"")</f>
        <v>0.0149425287356322</v>
      </c>
      <c r="O77" s="143" t="n">
        <f aca="false">IFERROR(IF(OR(NOT(ISNUMBER('Price History'!O78)),NOT(ISNUMBER('Price History'!O77)),'Price History'!O77=0),"",'Price History'!O78/'Price History'!O77-1),"")</f>
        <v>-0.0305981896890988</v>
      </c>
      <c r="P77" s="143" t="n">
        <f aca="false">IFERROR(IF(OR(NOT(ISNUMBER('Price History'!P78)),NOT(ISNUMBER('Price History'!P77)),'Price History'!P77=0),"",'Price History'!P78/'Price History'!P77-1),"")</f>
        <v>-0.0277527301873559</v>
      </c>
      <c r="Q77" s="143" t="n">
        <f aca="false">IFERROR(IF(OR(NOT(ISNUMBER('Price History'!Q78)),NOT(ISNUMBER('Price History'!Q77)),'Price History'!Q77=0),"",'Price History'!Q78/'Price History'!Q77-1),"")</f>
        <v>-0.0149223864383523</v>
      </c>
      <c r="R77" s="143" t="n">
        <f aca="false">IFERROR(IF(OR(NOT(ISNUMBER('Price History'!R78)),NOT(ISNUMBER('Price History'!R77)),'Price History'!R77=0),"",'Price History'!R78/'Price History'!R77-1),"")</f>
        <v>0.0230439442658092</v>
      </c>
      <c r="S77" s="143" t="n">
        <f aca="false">IFERROR(IF(OR(NOT(ISNUMBER('Price History'!S78)),NOT(ISNUMBER('Price History'!S77)),'Price History'!S77=0),"",'Price History'!S78/'Price History'!S77-1),"")</f>
        <v>0.0321196903117809</v>
      </c>
      <c r="T77" s="143" t="n">
        <f aca="false">IFERROR(IF(OR(NOT(ISNUMBER('Price History'!T78)),NOT(ISNUMBER('Price History'!T77)),'Price History'!T77=0),"",'Price History'!T78/'Price History'!T77-1),"")</f>
        <v>0.038595473012188</v>
      </c>
      <c r="U77" s="143" t="str">
        <f aca="false">IFERROR(IF(OR(NOT(ISNUMBER('Price History'!U78)),NOT(ISNUMBER('Price History'!U77)),'Price History'!U77=0),"",'Price History'!U78/'Price History'!U77-1),"")</f>
        <v/>
      </c>
      <c r="V77" s="144" t="n">
        <f aca="false">IFERROR(IF(OR(NOT(ISNUMBER('Price History'!V78)),NOT(ISNUMBER('Price History'!V77)),'Price History'!V77=0),"",'Price History'!V78/'Price History'!V77-1),"")</f>
        <v>0.0386869485052022</v>
      </c>
      <c r="W77" s="145" t="str">
        <f aca="false">IFERROR('Price History'!B3+(INDEX('Price History'!B:B,MATCH(9.99E+307,'Price History'!$A:$A))-'Price History'!B3)*(ROW()-3)/(MATCH(9.99E+307,'Returns (Calc)'!$A:$A)-3),"")</f>
        <v/>
      </c>
      <c r="X77" s="145" t="n">
        <f aca="false">IFERROR('Price History'!C3+(INDEX('Price History'!C:C,MATCH(9.99E+307,'Price History'!$A:$A))-'Price History'!C3)*(ROW()-3)/(MATCH(9.99E+307,'Returns (Calc)'!$A:$A)-3),"")</f>
        <v>24.6874213836478</v>
      </c>
      <c r="Y77" s="145" t="n">
        <f aca="false">IFERROR('Price History'!D3+(INDEX('Price History'!D:D,MATCH(9.99E+307,'Price History'!$A:$A))-'Price History'!D3)*(ROW()-3)/(MATCH(9.99E+307,'Returns (Calc)'!$A:$A)-3),"")</f>
        <v>311.137421383648</v>
      </c>
      <c r="Z77" s="145" t="n">
        <f aca="false">IFERROR('Price History'!E3+(INDEX('Price History'!E:E,MATCH(9.99E+307,'Price History'!$A:$A))-'Price History'!E3)*(ROW()-3)/(MATCH(9.99E+307,'Returns (Calc)'!$A:$A)-3),"")</f>
        <v>43.8364779874214</v>
      </c>
      <c r="AA77" s="145" t="n">
        <f aca="false">IFERROR('Price History'!F3+(INDEX('Price History'!F:F,MATCH(9.99E+307,'Price History'!$A:$A))-'Price History'!F3)*(ROW()-3)/(MATCH(9.99E+307,'Returns (Calc)'!$A:$A)-3),"")</f>
        <v>40.2600628930818</v>
      </c>
      <c r="AB77" s="145" t="n">
        <f aca="false">IFERROR('Price History'!G3+(INDEX('Price History'!G:G,MATCH(9.99E+307,'Price History'!$A:$A))-'Price History'!G3)*(ROW()-3)/(MATCH(9.99E+307,'Returns (Calc)'!$A:$A)-3),"")</f>
        <v>22.1106918238994</v>
      </c>
      <c r="AC77" s="145" t="n">
        <f aca="false">IFERROR('Price History'!H3+(INDEX('Price History'!H:H,MATCH(9.99E+307,'Price History'!$A:$A))-'Price History'!H3)*(ROW()-3)/(MATCH(9.99E+307,'Returns (Calc)'!$A:$A)-3),"")</f>
        <v>53.7745283018868</v>
      </c>
      <c r="AD77" s="145" t="n">
        <f aca="false">IFERROR('Price History'!I3+(INDEX('Price History'!I:I,MATCH(9.99E+307,'Price History'!$A:$A))-'Price History'!I3)*(ROW()-3)/(MATCH(9.99E+307,'Returns (Calc)'!$A:$A)-3),"")</f>
        <v>23.7091194968553</v>
      </c>
      <c r="AE77" s="145" t="n">
        <f aca="false">IFERROR('Price History'!J3+(INDEX('Price History'!J:J,MATCH(9.99E+307,'Price History'!$A:$A))-'Price History'!J3)*(ROW()-3)/(MATCH(9.99E+307,'Returns (Calc)'!$A:$A)-3),"")</f>
        <v>36.9455974842767</v>
      </c>
      <c r="AF77" s="145" t="n">
        <f aca="false">IFERROR('Price History'!K3+(INDEX('Price History'!K:K,MATCH(9.99E+307,'Price History'!$A:$A))-'Price History'!K3)*(ROW()-3)/(MATCH(9.99E+307,'Returns (Calc)'!$A:$A)-3),"")</f>
        <v>23.3990566037736</v>
      </c>
      <c r="AG77" s="145" t="n">
        <f aca="false">IFERROR('Price History'!L3+(INDEX('Price History'!L:L,MATCH(9.99E+307,'Price History'!$A:$A))-'Price History'!L3)*(ROW()-3)/(MATCH(9.99E+307,'Returns (Calc)'!$A:$A)-3),"")</f>
        <v>59.788679245283</v>
      </c>
      <c r="AH77" s="145" t="n">
        <f aca="false">IFERROR('Price History'!M3+(INDEX('Price History'!M:M,MATCH(9.99E+307,'Price History'!$A:$A))-'Price History'!M3)*(ROW()-3)/(MATCH(9.99E+307,'Returns (Calc)'!$A:$A)-3),"")</f>
        <v>8.19528301886792</v>
      </c>
      <c r="AI77" s="145" t="n">
        <f aca="false">IFERROR('Price History'!N3+(INDEX('Price History'!N:N,MATCH(9.99E+307,'Price History'!$A:$A))-'Price History'!N3)*(ROW()-3)/(MATCH(9.99E+307,'Returns (Calc)'!$A:$A)-3),"")</f>
        <v>11.6540880503145</v>
      </c>
      <c r="AJ77" s="145" t="n">
        <f aca="false">IFERROR('Price History'!O3+(INDEX('Price History'!O:O,MATCH(9.99E+307,'Price History'!$A:$A))-'Price History'!O3)*(ROW()-3)/(MATCH(9.99E+307,'Returns (Calc)'!$A:$A)-3),"")</f>
        <v>30.8084905660377</v>
      </c>
      <c r="AK77" s="145" t="n">
        <f aca="false">IFERROR('Price History'!Q3+(INDEX('Price History'!Q:Q,MATCH(9.99E+307,'Price History'!$A:$A))-'Price History'!Q3)*(ROW()-3)/(MATCH(9.99E+307,'Returns (Calc)'!$A:$A)-3),"")</f>
        <v>125.96572327044</v>
      </c>
      <c r="AL77" s="145" t="n">
        <f aca="false">IFERROR('Price History'!R3+(INDEX('Price History'!R:R,MATCH(9.99E+307,'Price History'!$A:$A))-'Price History'!R3)*(ROW()-3)/(MATCH(9.99E+307,'Returns (Calc)'!$A:$A)-3),"")</f>
        <v>25.5641509433962</v>
      </c>
      <c r="AM77" s="145" t="n">
        <f aca="false">IFERROR('Price History'!S3+(INDEX('Price History'!S:S,MATCH(9.99E+307,'Price History'!$A:$A))-'Price History'!S3)*(ROW()-3)/(MATCH(9.99E+307,'Returns (Calc)'!$A:$A)-3),"")</f>
        <v>31.2949685534591</v>
      </c>
      <c r="AN77" s="145" t="n">
        <f aca="false">IFERROR('Price History'!T3+(INDEX('Price History'!T:T,MATCH(9.99E+307,'Price History'!$A:$A))-'Price History'!T3)*(ROW()-3)/(MATCH(9.99E+307,'Returns (Calc)'!$A:$A)-3),"")</f>
        <v>14.3858490566038</v>
      </c>
      <c r="AO77" s="146" t="n">
        <f aca="false">IFERROR('Price History'!V3+(INDEX('Price History'!V:V,MATCH(9.99E+307,'Price History'!$A:$A))-'Price History'!V3)*(ROW()-3)/(MATCH(9.99E+307,'Returns (Calc)'!$A:$A)-3),"")</f>
        <v>0</v>
      </c>
    </row>
    <row r="78" customFormat="false" ht="15" hidden="false" customHeight="true" outlineLevel="0" collapsed="false">
      <c r="A78" s="142" t="n">
        <f aca="false">IF('Price History'!A79="","",'Price History'!A79)</f>
        <v>45716</v>
      </c>
      <c r="B78" s="143" t="n">
        <f aca="false">IFERROR(IF(OR(NOT(ISNUMBER('Price History'!B79)),NOT(ISNUMBER('Price History'!B78)),'Price History'!B78=0),"",'Price History'!B79/'Price History'!B78-1),"")</f>
        <v>-0.0129636298163486</v>
      </c>
      <c r="C78" s="143" t="n">
        <f aca="false">IFERROR(IF(OR(NOT(ISNUMBER('Price History'!C79)),NOT(ISNUMBER('Price History'!C78)),'Price History'!C78=0),"",'Price History'!C79/'Price History'!C78-1),"")</f>
        <v>-0.0534079348931842</v>
      </c>
      <c r="D78" s="143" t="n">
        <f aca="false">IFERROR(IF(OR(NOT(ISNUMBER('Price History'!D79)),NOT(ISNUMBER('Price History'!D78)),'Price History'!D78=0),"",'Price History'!D79/'Price History'!D78-1),"")</f>
        <v>-0.038158400615148</v>
      </c>
      <c r="E78" s="143" t="n">
        <f aca="false">IFERROR(IF(OR(NOT(ISNUMBER('Price History'!E79)),NOT(ISNUMBER('Price History'!E78)),'Price History'!E78=0),"",'Price History'!E79/'Price History'!E78-1),"")</f>
        <v>-0.0879309544800705</v>
      </c>
      <c r="F78" s="143" t="n">
        <f aca="false">IFERROR(IF(OR(NOT(ISNUMBER('Price History'!F79)),NOT(ISNUMBER('Price History'!F78)),'Price History'!F78=0),"",'Price History'!F79/'Price History'!F78-1),"")</f>
        <v>-0.0112605225757079</v>
      </c>
      <c r="G78" s="143" t="n">
        <f aca="false">IFERROR(IF(OR(NOT(ISNUMBER('Price History'!G79)),NOT(ISNUMBER('Price History'!G78)),'Price History'!G78=0),"",'Price History'!G79/'Price History'!G78-1),"")</f>
        <v>-0.0418019081341595</v>
      </c>
      <c r="H78" s="143" t="n">
        <f aca="false">IFERROR(IF(OR(NOT(ISNUMBER('Price History'!H79)),NOT(ISNUMBER('Price History'!H78)),'Price History'!H78=0),"",'Price History'!H79/'Price History'!H78-1),"")</f>
        <v>0.0102651839178785</v>
      </c>
      <c r="I78" s="143" t="n">
        <f aca="false">IFERROR(IF(OR(NOT(ISNUMBER('Price History'!I79)),NOT(ISNUMBER('Price History'!I78)),'Price History'!I78=0),"",'Price History'!I79/'Price History'!I78-1),"")</f>
        <v>-0.0581130049657764</v>
      </c>
      <c r="J78" s="143" t="n">
        <f aca="false">IFERROR(IF(OR(NOT(ISNUMBER('Price History'!J79)),NOT(ISNUMBER('Price History'!J78)),'Price History'!J78=0),"",'Price History'!J79/'Price History'!J78-1),"")</f>
        <v>-0.0527117611212675</v>
      </c>
      <c r="K78" s="143" t="n">
        <f aca="false">IFERROR(IF(OR(NOT(ISNUMBER('Price History'!K79)),NOT(ISNUMBER('Price History'!K78)),'Price History'!K78=0),"",'Price History'!K79/'Price History'!K78-1),"")</f>
        <v>-0.0707786396181385</v>
      </c>
      <c r="L78" s="143" t="n">
        <f aca="false">IFERROR(IF(OR(NOT(ISNUMBER('Price History'!L79)),NOT(ISNUMBER('Price History'!L78)),'Price History'!L78=0),"",'Price History'!L79/'Price History'!L78-1),"")</f>
        <v>0.0243560539688104</v>
      </c>
      <c r="M78" s="143" t="n">
        <f aca="false">IFERROR(IF(OR(NOT(ISNUMBER('Price History'!M79)),NOT(ISNUMBER('Price History'!M78)),'Price History'!M78=0),"",'Price History'!M79/'Price History'!M78-1),"")</f>
        <v>-0.162111494819931</v>
      </c>
      <c r="N78" s="143" t="n">
        <f aca="false">IFERROR(IF(OR(NOT(ISNUMBER('Price History'!N79)),NOT(ISNUMBER('Price History'!N78)),'Price History'!N78=0),"",'Price History'!N79/'Price History'!N78-1),"")</f>
        <v>0.0117025292563233</v>
      </c>
      <c r="O78" s="143" t="n">
        <f aca="false">IFERROR(IF(OR(NOT(ISNUMBER('Price History'!O79)),NOT(ISNUMBER('Price History'!O78)),'Price History'!O78=0),"",'Price History'!O79/'Price History'!O78-1),"")</f>
        <v>-0.00111641124530604</v>
      </c>
      <c r="P78" s="143" t="n">
        <f aca="false">IFERROR(IF(OR(NOT(ISNUMBER('Price History'!P79)),NOT(ISNUMBER('Price History'!P78)),'Price History'!P78=0),"",'Price History'!P79/'Price History'!P78-1),"")</f>
        <v>-0.0893446001648804</v>
      </c>
      <c r="Q78" s="143" t="n">
        <f aca="false">IFERROR(IF(OR(NOT(ISNUMBER('Price History'!Q79)),NOT(ISNUMBER('Price History'!Q78)),'Price History'!Q78=0),"",'Price History'!Q79/'Price History'!Q78-1),"")</f>
        <v>0.0406570126817378</v>
      </c>
      <c r="R78" s="143" t="n">
        <f aca="false">IFERROR(IF(OR(NOT(ISNUMBER('Price History'!R79)),NOT(ISNUMBER('Price History'!R78)),'Price History'!R78=0),"",'Price History'!R79/'Price History'!R78-1),"")</f>
        <v>0.0139689191548804</v>
      </c>
      <c r="S78" s="143" t="n">
        <f aca="false">IFERROR(IF(OR(NOT(ISNUMBER('Price History'!S79)),NOT(ISNUMBER('Price History'!S78)),'Price History'!S78=0),"",'Price History'!S79/'Price History'!S78-1),"")</f>
        <v>0.0271667511403952</v>
      </c>
      <c r="T78" s="143" t="n">
        <f aca="false">IFERROR(IF(OR(NOT(ISNUMBER('Price History'!T79)),NOT(ISNUMBER('Price History'!T78)),'Price History'!T78=0),"",'Price History'!T79/'Price History'!T78-1),"")</f>
        <v>0.00251466890192797</v>
      </c>
      <c r="U78" s="143" t="str">
        <f aca="false">IFERROR(IF(OR(NOT(ISNUMBER('Price History'!U79)),NOT(ISNUMBER('Price History'!U78)),'Price History'!U78=0),"",'Price History'!U79/'Price History'!U78-1),"")</f>
        <v/>
      </c>
      <c r="V78" s="144" t="n">
        <f aca="false">IFERROR(IF(OR(NOT(ISNUMBER('Price History'!V79)),NOT(ISNUMBER('Price History'!V78)),'Price History'!V78=0),"",'Price History'!V79/'Price History'!V78-1),"")</f>
        <v>0.0330934795701652</v>
      </c>
      <c r="W78" s="145" t="str">
        <f aca="false">IFERROR('Price History'!B3+(INDEX('Price History'!B:B,MATCH(9.99E+307,'Price History'!$A:$A))-'Price History'!B3)*(ROW()-3)/(MATCH(9.99E+307,'Returns (Calc)'!$A:$A)-3),"")</f>
        <v/>
      </c>
      <c r="X78" s="145" t="n">
        <f aca="false">IFERROR('Price History'!C3+(INDEX('Price History'!C:C,MATCH(9.99E+307,'Price History'!$A:$A))-'Price History'!C3)*(ROW()-3)/(MATCH(9.99E+307,'Returns (Calc)'!$A:$A)-3),"")</f>
        <v>24.3969811320755</v>
      </c>
      <c r="Y78" s="145" t="n">
        <f aca="false">IFERROR('Price History'!D3+(INDEX('Price History'!D:D,MATCH(9.99E+307,'Price History'!$A:$A))-'Price History'!D3)*(ROW()-3)/(MATCH(9.99E+307,'Returns (Calc)'!$A:$A)-3),"")</f>
        <v>307.476981132076</v>
      </c>
      <c r="Z78" s="145" t="n">
        <f aca="false">IFERROR('Price History'!E3+(INDEX('Price History'!E:E,MATCH(9.99E+307,'Price History'!$A:$A))-'Price History'!E3)*(ROW()-3)/(MATCH(9.99E+307,'Returns (Calc)'!$A:$A)-3),"")</f>
        <v>43.3207547169811</v>
      </c>
      <c r="AA78" s="145" t="n">
        <f aca="false">IFERROR('Price History'!F3+(INDEX('Price History'!F:F,MATCH(9.99E+307,'Price History'!$A:$A))-'Price History'!F3)*(ROW()-3)/(MATCH(9.99E+307,'Returns (Calc)'!$A:$A)-3),"")</f>
        <v>39.7864150943396</v>
      </c>
      <c r="AB78" s="145" t="n">
        <f aca="false">IFERROR('Price History'!G3+(INDEX('Price History'!G:G,MATCH(9.99E+307,'Price History'!$A:$A))-'Price History'!G3)*(ROW()-3)/(MATCH(9.99E+307,'Returns (Calc)'!$A:$A)-3),"")</f>
        <v>21.8505660377359</v>
      </c>
      <c r="AC78" s="145" t="n">
        <f aca="false">IFERROR('Price History'!H3+(INDEX('Price History'!H:H,MATCH(9.99E+307,'Price History'!$A:$A))-'Price History'!H3)*(ROW()-3)/(MATCH(9.99E+307,'Returns (Calc)'!$A:$A)-3),"")</f>
        <v>53.1418867924528</v>
      </c>
      <c r="AD78" s="145" t="n">
        <f aca="false">IFERROR('Price History'!I3+(INDEX('Price History'!I:I,MATCH(9.99E+307,'Price History'!$A:$A))-'Price History'!I3)*(ROW()-3)/(MATCH(9.99E+307,'Returns (Calc)'!$A:$A)-3),"")</f>
        <v>23.4301886792453</v>
      </c>
      <c r="AE78" s="145" t="n">
        <f aca="false">IFERROR('Price History'!J3+(INDEX('Price History'!J:J,MATCH(9.99E+307,'Price History'!$A:$A))-'Price History'!J3)*(ROW()-3)/(MATCH(9.99E+307,'Returns (Calc)'!$A:$A)-3),"")</f>
        <v>36.5109433962264</v>
      </c>
      <c r="AF78" s="145" t="n">
        <f aca="false">IFERROR('Price History'!K3+(INDEX('Price History'!K:K,MATCH(9.99E+307,'Price History'!$A:$A))-'Price History'!K3)*(ROW()-3)/(MATCH(9.99E+307,'Returns (Calc)'!$A:$A)-3),"")</f>
        <v>23.1237735849057</v>
      </c>
      <c r="AG78" s="145" t="n">
        <f aca="false">IFERROR('Price History'!L3+(INDEX('Price History'!L:L,MATCH(9.99E+307,'Price History'!$A:$A))-'Price History'!L3)*(ROW()-3)/(MATCH(9.99E+307,'Returns (Calc)'!$A:$A)-3),"")</f>
        <v>59.0852830188679</v>
      </c>
      <c r="AH78" s="145" t="n">
        <f aca="false">IFERROR('Price History'!M3+(INDEX('Price History'!M:M,MATCH(9.99E+307,'Price History'!$A:$A))-'Price History'!M3)*(ROW()-3)/(MATCH(9.99E+307,'Returns (Calc)'!$A:$A)-3),"")</f>
        <v>8.0988679245283</v>
      </c>
      <c r="AI78" s="145" t="n">
        <f aca="false">IFERROR('Price History'!N3+(INDEX('Price History'!N:N,MATCH(9.99E+307,'Price History'!$A:$A))-'Price History'!N3)*(ROW()-3)/(MATCH(9.99E+307,'Returns (Calc)'!$A:$A)-3),"")</f>
        <v>11.5169811320755</v>
      </c>
      <c r="AJ78" s="145" t="n">
        <f aca="false">IFERROR('Price History'!O3+(INDEX('Price History'!O:O,MATCH(9.99E+307,'Price History'!$A:$A))-'Price History'!O3)*(ROW()-3)/(MATCH(9.99E+307,'Returns (Calc)'!$A:$A)-3),"")</f>
        <v>30.4460377358491</v>
      </c>
      <c r="AK78" s="145" t="n">
        <f aca="false">IFERROR('Price History'!Q3+(INDEX('Price History'!Q:Q,MATCH(9.99E+307,'Price History'!$A:$A))-'Price History'!Q3)*(ROW()-3)/(MATCH(9.99E+307,'Returns (Calc)'!$A:$A)-3),"")</f>
        <v>124.483773584906</v>
      </c>
      <c r="AL78" s="145" t="n">
        <f aca="false">IFERROR('Price History'!R3+(INDEX('Price History'!R:R,MATCH(9.99E+307,'Price History'!$A:$A))-'Price History'!R3)*(ROW()-3)/(MATCH(9.99E+307,'Returns (Calc)'!$A:$A)-3),"")</f>
        <v>25.2633962264151</v>
      </c>
      <c r="AM78" s="145" t="n">
        <f aca="false">IFERROR('Price History'!S3+(INDEX('Price History'!S:S,MATCH(9.99E+307,'Price History'!$A:$A))-'Price History'!S3)*(ROW()-3)/(MATCH(9.99E+307,'Returns (Calc)'!$A:$A)-3),"")</f>
        <v>30.9267924528302</v>
      </c>
      <c r="AN78" s="145" t="n">
        <f aca="false">IFERROR('Price History'!T3+(INDEX('Price History'!T:T,MATCH(9.99E+307,'Price History'!$A:$A))-'Price History'!T3)*(ROW()-3)/(MATCH(9.99E+307,'Returns (Calc)'!$A:$A)-3),"")</f>
        <v>14.2166037735849</v>
      </c>
      <c r="AO78" s="146" t="n">
        <f aca="false">IFERROR('Price History'!V3+(INDEX('Price History'!V:V,MATCH(9.99E+307,'Price History'!$A:$A))-'Price History'!V3)*(ROW()-3)/(MATCH(9.99E+307,'Returns (Calc)'!$A:$A)-3),"")</f>
        <v>0</v>
      </c>
    </row>
    <row r="79" customFormat="false" ht="15" hidden="false" customHeight="true" outlineLevel="0" collapsed="false">
      <c r="A79" s="142" t="n">
        <f aca="false">IF('Price History'!A80="","",'Price History'!A80)</f>
        <v>45723</v>
      </c>
      <c r="B79" s="143" t="n">
        <f aca="false">IFERROR(IF(OR(NOT(ISNUMBER('Price History'!B80)),NOT(ISNUMBER('Price History'!B79)),'Price History'!B79=0),"",'Price History'!B80/'Price History'!B79-1),"")</f>
        <v>0.0247172564757387</v>
      </c>
      <c r="C79" s="143" t="n">
        <f aca="false">IFERROR(IF(OR(NOT(ISNUMBER('Price History'!C80)),NOT(ISNUMBER('Price History'!C79)),'Price History'!C79=0),"",'Price History'!C80/'Price History'!C79-1),"")</f>
        <v>-0.10413756045137</v>
      </c>
      <c r="D79" s="143" t="n">
        <f aca="false">IFERROR(IF(OR(NOT(ISNUMBER('Price History'!D80)),NOT(ISNUMBER('Price History'!D79)),'Price History'!D79=0),"",'Price History'!D80/'Price History'!D79-1),"")</f>
        <v>0.0326342988479493</v>
      </c>
      <c r="E79" s="143" t="n">
        <f aca="false">IFERROR(IF(OR(NOT(ISNUMBER('Price History'!E80)),NOT(ISNUMBER('Price History'!E79)),'Price History'!E79=0),"",'Price History'!E80/'Price History'!E79-1),"")</f>
        <v>-0.0223850223850224</v>
      </c>
      <c r="F79" s="143" t="n">
        <f aca="false">IFERROR(IF(OR(NOT(ISNUMBER('Price History'!F80)),NOT(ISNUMBER('Price History'!F79)),'Price History'!F79=0),"",'Price History'!F80/'Price History'!F79-1),"")</f>
        <v>-0.0448916408668731</v>
      </c>
      <c r="G79" s="143" t="n">
        <f aca="false">IFERROR(IF(OR(NOT(ISNUMBER('Price History'!G80)),NOT(ISNUMBER('Price History'!G79)),'Price History'!G79=0),"",'Price History'!G80/'Price History'!G79-1),"")</f>
        <v>-0.144118250872511</v>
      </c>
      <c r="H79" s="143" t="n">
        <f aca="false">IFERROR(IF(OR(NOT(ISNUMBER('Price History'!H80)),NOT(ISNUMBER('Price History'!H79)),'Price History'!H79=0),"",'Price History'!H80/'Price History'!H79-1),"")</f>
        <v>-0.0274805634670156</v>
      </c>
      <c r="I79" s="143" t="n">
        <f aca="false">IFERROR(IF(OR(NOT(ISNUMBER('Price History'!I80)),NOT(ISNUMBER('Price History'!I79)),'Price History'!I79=0),"",'Price History'!I80/'Price History'!I79-1),"")</f>
        <v>0.00341977771444846</v>
      </c>
      <c r="J79" s="143" t="n">
        <f aca="false">IFERROR(IF(OR(NOT(ISNUMBER('Price History'!J80)),NOT(ISNUMBER('Price History'!J79)),'Price History'!J79=0),"",'Price History'!J80/'Price History'!J79-1),"")</f>
        <v>-0.00718344590972453</v>
      </c>
      <c r="K79" s="143" t="n">
        <f aca="false">IFERROR(IF(OR(NOT(ISNUMBER('Price History'!K80)),NOT(ISNUMBER('Price History'!K79)),'Price History'!K79=0),"",'Price History'!K80/'Price History'!K79-1),"")</f>
        <v>-0.0978409182117345</v>
      </c>
      <c r="L79" s="143" t="n">
        <f aca="false">IFERROR(IF(OR(NOT(ISNUMBER('Price History'!L80)),NOT(ISNUMBER('Price History'!L79)),'Price History'!L79=0),"",'Price History'!L80/'Price History'!L79-1),"")</f>
        <v>-0.032329798152583</v>
      </c>
      <c r="M79" s="143" t="n">
        <f aca="false">IFERROR(IF(OR(NOT(ISNUMBER('Price History'!M80)),NOT(ISNUMBER('Price History'!M79)),'Price History'!M79=0),"",'Price History'!M80/'Price History'!M79-1),"")</f>
        <v>-0.000117757889778636</v>
      </c>
      <c r="N79" s="143" t="n">
        <f aca="false">IFERROR(IF(OR(NOT(ISNUMBER('Price History'!N80)),NOT(ISNUMBER('Price History'!N79)),'Price History'!N79=0),"",'Price History'!N80/'Price History'!N79-1),"")</f>
        <v>-0.00261194029850742</v>
      </c>
      <c r="O79" s="143" t="n">
        <f aca="false">IFERROR(IF(OR(NOT(ISNUMBER('Price History'!O80)),NOT(ISNUMBER('Price History'!O79)),'Price History'!O79=0),"",'Price History'!O80/'Price History'!O79-1),"")</f>
        <v>-0.0526315789473685</v>
      </c>
      <c r="P79" s="143" t="n">
        <f aca="false">IFERROR(IF(OR(NOT(ISNUMBER('Price History'!P80)),NOT(ISNUMBER('Price History'!P79)),'Price History'!P79=0),"",'Price History'!P80/'Price History'!P79-1),"")</f>
        <v>-0.0190109765757611</v>
      </c>
      <c r="Q79" s="143" t="n">
        <f aca="false">IFERROR(IF(OR(NOT(ISNUMBER('Price History'!Q80)),NOT(ISNUMBER('Price History'!Q79)),'Price History'!Q79=0),"",'Price History'!Q80/'Price History'!Q79-1),"")</f>
        <v>-0.047936419408812</v>
      </c>
      <c r="R79" s="143" t="n">
        <f aca="false">IFERROR(IF(OR(NOT(ISNUMBER('Price History'!R80)),NOT(ISNUMBER('Price History'!R79)),'Price History'!R79=0),"",'Price History'!R80/'Price History'!R79-1),"")</f>
        <v>-0.0103323574995695</v>
      </c>
      <c r="S79" s="143" t="n">
        <f aca="false">IFERROR(IF(OR(NOT(ISNUMBER('Price History'!S80)),NOT(ISNUMBER('Price History'!S79)),'Price History'!S79=0),"",'Price History'!S80/'Price History'!S79-1),"")</f>
        <v>-0.0127306819303266</v>
      </c>
      <c r="T79" s="143" t="n">
        <f aca="false">IFERROR(IF(OR(NOT(ISNUMBER('Price History'!T80)),NOT(ISNUMBER('Price History'!T79)),'Price History'!T79=0),"",'Price History'!T80/'Price History'!T79-1),"")</f>
        <v>-0.0103121516164996</v>
      </c>
      <c r="U79" s="143" t="str">
        <f aca="false">IFERROR(IF(OR(NOT(ISNUMBER('Price History'!U80)),NOT(ISNUMBER('Price History'!U79)),'Price History'!U79=0),"",'Price History'!U80/'Price History'!U79-1),"")</f>
        <v/>
      </c>
      <c r="V79" s="144" t="n">
        <f aca="false">IFERROR(IF(OR(NOT(ISNUMBER('Price History'!V80)),NOT(ISNUMBER('Price History'!V79)),'Price History'!V79=0),"",'Price History'!V80/'Price History'!V79-1),"")</f>
        <v>0.0351323985149274</v>
      </c>
      <c r="W79" s="145" t="str">
        <f aca="false">IFERROR('Price History'!B3+(INDEX('Price History'!B:B,MATCH(9.99E+307,'Price History'!$A:$A))-'Price History'!B3)*(ROW()-3)/(MATCH(9.99E+307,'Returns (Calc)'!$A:$A)-3),"")</f>
        <v/>
      </c>
      <c r="X79" s="145" t="n">
        <f aca="false">IFERROR('Price History'!C3+(INDEX('Price History'!C:C,MATCH(9.99E+307,'Price History'!$A:$A))-'Price History'!C3)*(ROW()-3)/(MATCH(9.99E+307,'Returns (Calc)'!$A:$A)-3),"")</f>
        <v>24.1065408805031</v>
      </c>
      <c r="Y79" s="145" t="n">
        <f aca="false">IFERROR('Price History'!D3+(INDEX('Price History'!D:D,MATCH(9.99E+307,'Price History'!$A:$A))-'Price History'!D3)*(ROW()-3)/(MATCH(9.99E+307,'Returns (Calc)'!$A:$A)-3),"")</f>
        <v>303.816540880503</v>
      </c>
      <c r="Z79" s="145" t="n">
        <f aca="false">IFERROR('Price History'!E3+(INDEX('Price History'!E:E,MATCH(9.99E+307,'Price History'!$A:$A))-'Price History'!E3)*(ROW()-3)/(MATCH(9.99E+307,'Returns (Calc)'!$A:$A)-3),"")</f>
        <v>42.8050314465409</v>
      </c>
      <c r="AA79" s="145" t="n">
        <f aca="false">IFERROR('Price History'!F3+(INDEX('Price History'!F:F,MATCH(9.99E+307,'Price History'!$A:$A))-'Price History'!F3)*(ROW()-3)/(MATCH(9.99E+307,'Returns (Calc)'!$A:$A)-3),"")</f>
        <v>39.3127672955975</v>
      </c>
      <c r="AB79" s="145" t="n">
        <f aca="false">IFERROR('Price History'!G3+(INDEX('Price History'!G:G,MATCH(9.99E+307,'Price History'!$A:$A))-'Price History'!G3)*(ROW()-3)/(MATCH(9.99E+307,'Returns (Calc)'!$A:$A)-3),"")</f>
        <v>21.5904402515723</v>
      </c>
      <c r="AC79" s="145" t="n">
        <f aca="false">IFERROR('Price History'!H3+(INDEX('Price History'!H:H,MATCH(9.99E+307,'Price History'!$A:$A))-'Price History'!H3)*(ROW()-3)/(MATCH(9.99E+307,'Returns (Calc)'!$A:$A)-3),"")</f>
        <v>52.5092452830189</v>
      </c>
      <c r="AD79" s="145" t="n">
        <f aca="false">IFERROR('Price History'!I3+(INDEX('Price History'!I:I,MATCH(9.99E+307,'Price History'!$A:$A))-'Price History'!I3)*(ROW()-3)/(MATCH(9.99E+307,'Returns (Calc)'!$A:$A)-3),"")</f>
        <v>23.1512578616352</v>
      </c>
      <c r="AE79" s="145" t="n">
        <f aca="false">IFERROR('Price History'!J3+(INDEX('Price History'!J:J,MATCH(9.99E+307,'Price History'!$A:$A))-'Price History'!J3)*(ROW()-3)/(MATCH(9.99E+307,'Returns (Calc)'!$A:$A)-3),"")</f>
        <v>36.0762893081761</v>
      </c>
      <c r="AF79" s="145" t="n">
        <f aca="false">IFERROR('Price History'!K3+(INDEX('Price History'!K:K,MATCH(9.99E+307,'Price History'!$A:$A))-'Price History'!K3)*(ROW()-3)/(MATCH(9.99E+307,'Returns (Calc)'!$A:$A)-3),"")</f>
        <v>22.8484905660377</v>
      </c>
      <c r="AG79" s="145" t="n">
        <f aca="false">IFERROR('Price History'!L3+(INDEX('Price History'!L:L,MATCH(9.99E+307,'Price History'!$A:$A))-'Price History'!L3)*(ROW()-3)/(MATCH(9.99E+307,'Returns (Calc)'!$A:$A)-3),"")</f>
        <v>58.3818867924528</v>
      </c>
      <c r="AH79" s="145" t="n">
        <f aca="false">IFERROR('Price History'!M3+(INDEX('Price History'!M:M,MATCH(9.99E+307,'Price History'!$A:$A))-'Price History'!M3)*(ROW()-3)/(MATCH(9.99E+307,'Returns (Calc)'!$A:$A)-3),"")</f>
        <v>8.00245283018868</v>
      </c>
      <c r="AI79" s="145" t="n">
        <f aca="false">IFERROR('Price History'!N3+(INDEX('Price History'!N:N,MATCH(9.99E+307,'Price History'!$A:$A))-'Price History'!N3)*(ROW()-3)/(MATCH(9.99E+307,'Returns (Calc)'!$A:$A)-3),"")</f>
        <v>11.3798742138365</v>
      </c>
      <c r="AJ79" s="145" t="n">
        <f aca="false">IFERROR('Price History'!O3+(INDEX('Price History'!O:O,MATCH(9.99E+307,'Price History'!$A:$A))-'Price History'!O3)*(ROW()-3)/(MATCH(9.99E+307,'Returns (Calc)'!$A:$A)-3),"")</f>
        <v>30.0835849056604</v>
      </c>
      <c r="AK79" s="145" t="n">
        <f aca="false">IFERROR('Price History'!Q3+(INDEX('Price History'!Q:Q,MATCH(9.99E+307,'Price History'!$A:$A))-'Price History'!Q3)*(ROW()-3)/(MATCH(9.99E+307,'Returns (Calc)'!$A:$A)-3),"")</f>
        <v>123.001823899371</v>
      </c>
      <c r="AL79" s="145" t="n">
        <f aca="false">IFERROR('Price History'!R3+(INDEX('Price History'!R:R,MATCH(9.99E+307,'Price History'!$A:$A))-'Price History'!R3)*(ROW()-3)/(MATCH(9.99E+307,'Returns (Calc)'!$A:$A)-3),"")</f>
        <v>24.962641509434</v>
      </c>
      <c r="AM79" s="145" t="n">
        <f aca="false">IFERROR('Price History'!S3+(INDEX('Price History'!S:S,MATCH(9.99E+307,'Price History'!$A:$A))-'Price History'!S3)*(ROW()-3)/(MATCH(9.99E+307,'Returns (Calc)'!$A:$A)-3),"")</f>
        <v>30.5586163522013</v>
      </c>
      <c r="AN79" s="145" t="n">
        <f aca="false">IFERROR('Price History'!T3+(INDEX('Price History'!T:T,MATCH(9.99E+307,'Price History'!$A:$A))-'Price History'!T3)*(ROW()-3)/(MATCH(9.99E+307,'Returns (Calc)'!$A:$A)-3),"")</f>
        <v>14.047358490566</v>
      </c>
      <c r="AO79" s="146" t="n">
        <f aca="false">IFERROR('Price History'!V3+(INDEX('Price History'!V:V,MATCH(9.99E+307,'Price History'!$A:$A))-'Price History'!V3)*(ROW()-3)/(MATCH(9.99E+307,'Returns (Calc)'!$A:$A)-3),"")</f>
        <v>0</v>
      </c>
    </row>
    <row r="80" customFormat="false" ht="15" hidden="false" customHeight="true" outlineLevel="0" collapsed="false">
      <c r="A80" s="142" t="n">
        <f aca="false">IF('Price History'!A81="","",'Price History'!A81)</f>
        <v>45730</v>
      </c>
      <c r="B80" s="143" t="n">
        <f aca="false">IFERROR(IF(OR(NOT(ISNUMBER('Price History'!B81)),NOT(ISNUMBER('Price History'!B80)),'Price History'!B80=0),"",'Price History'!B81/'Price History'!B80-1),"")</f>
        <v>-0.121628838451268</v>
      </c>
      <c r="C80" s="143" t="n">
        <f aca="false">IFERROR(IF(OR(NOT(ISNUMBER('Price History'!C81)),NOT(ISNUMBER('Price History'!C80)),'Price History'!C80=0),"",'Price History'!C81/'Price History'!C80-1),"")</f>
        <v>0.00179942418426116</v>
      </c>
      <c r="D80" s="143" t="n">
        <f aca="false">IFERROR(IF(OR(NOT(ISNUMBER('Price History'!D81)),NOT(ISNUMBER('Price History'!D80)),'Price History'!D80=0),"",'Price History'!D81/'Price History'!D80-1),"")</f>
        <v>-0.0248842192576207</v>
      </c>
      <c r="E80" s="143" t="n">
        <f aca="false">IFERROR(IF(OR(NOT(ISNUMBER('Price History'!E81)),NOT(ISNUMBER('Price History'!E80)),'Price History'!E80=0),"",'Price History'!E81/'Price History'!E80-1),"")</f>
        <v>0.00296627810158201</v>
      </c>
      <c r="F80" s="143" t="n">
        <f aca="false">IFERROR(IF(OR(NOT(ISNUMBER('Price History'!F81)),NOT(ISNUMBER('Price History'!F80)),'Price History'!F80=0),"",'Price History'!F81/'Price History'!F80-1),"")</f>
        <v>-0.0187543412827043</v>
      </c>
      <c r="G80" s="143" t="n">
        <f aca="false">IFERROR(IF(OR(NOT(ISNUMBER('Price History'!G81)),NOT(ISNUMBER('Price History'!G80)),'Price History'!G80=0),"",'Price History'!G81/'Price History'!G80-1),"")</f>
        <v>0.0605660829935237</v>
      </c>
      <c r="H80" s="143" t="n">
        <f aca="false">IFERROR(IF(OR(NOT(ISNUMBER('Price History'!H81)),NOT(ISNUMBER('Price History'!H80)),'Price History'!H80=0),"",'Price History'!H81/'Price History'!H80-1),"")</f>
        <v>-0.00839005857210706</v>
      </c>
      <c r="I80" s="143" t="n">
        <f aca="false">IFERROR(IF(OR(NOT(ISNUMBER('Price History'!I81)),NOT(ISNUMBER('Price History'!I80)),'Price History'!I80=0),"",'Price History'!I81/'Price History'!I80-1),"")</f>
        <v>0.00241408690712874</v>
      </c>
      <c r="J80" s="143" t="n">
        <f aca="false">IFERROR(IF(OR(NOT(ISNUMBER('Price History'!J81)),NOT(ISNUMBER('Price History'!J80)),'Price History'!J80=0),"",'Price History'!J81/'Price History'!J80-1),"")</f>
        <v>0.084233261339093</v>
      </c>
      <c r="K80" s="143" t="n">
        <f aca="false">IFERROR(IF(OR(NOT(ISNUMBER('Price History'!K81)),NOT(ISNUMBER('Price History'!K80)),'Price History'!K80=0),"",'Price History'!K81/'Price History'!K80-1),"")</f>
        <v>0.079715302491103</v>
      </c>
      <c r="L80" s="143" t="n">
        <f aca="false">IFERROR(IF(OR(NOT(ISNUMBER('Price History'!L81)),NOT(ISNUMBER('Price History'!L80)),'Price History'!L80=0),"",'Price History'!L81/'Price History'!L80-1),"")</f>
        <v>-0.0669082552589713</v>
      </c>
      <c r="M80" s="143" t="n">
        <f aca="false">IFERROR(IF(OR(NOT(ISNUMBER('Price History'!M81)),NOT(ISNUMBER('Price History'!M80)),'Price History'!M80=0),"",'Price History'!M81/'Price History'!M80-1),"")</f>
        <v>0.0156636438582027</v>
      </c>
      <c r="N80" s="143" t="n">
        <f aca="false">IFERROR(IF(OR(NOT(ISNUMBER('Price History'!N81)),NOT(ISNUMBER('Price History'!N80)),'Price History'!N80=0),"",'Price History'!N81/'Price History'!N80-1),"")</f>
        <v>-0.0288065843621399</v>
      </c>
      <c r="O80" s="143" t="n">
        <f aca="false">IFERROR(IF(OR(NOT(ISNUMBER('Price History'!O81)),NOT(ISNUMBER('Price History'!O80)),'Price History'!O80=0),"",'Price History'!O81/'Price History'!O80-1),"")</f>
        <v>-0.0071857571857572</v>
      </c>
      <c r="P80" s="143" t="n">
        <f aca="false">IFERROR(IF(OR(NOT(ISNUMBER('Price History'!P81)),NOT(ISNUMBER('Price History'!P80)),'Price History'!P80=0),"",'Price History'!P81/'Price History'!P80-1),"")</f>
        <v>-0.0169569731226208</v>
      </c>
      <c r="Q80" s="143" t="n">
        <f aca="false">IFERROR(IF(OR(NOT(ISNUMBER('Price History'!Q81)),NOT(ISNUMBER('Price History'!Q80)),'Price History'!Q80=0),"",'Price History'!Q81/'Price History'!Q80-1),"")</f>
        <v>-0.039161125918983</v>
      </c>
      <c r="R80" s="143" t="n">
        <f aca="false">IFERROR(IF(OR(NOT(ISNUMBER('Price History'!R81)),NOT(ISNUMBER('Price History'!R80)),'Price History'!R80=0),"",'Price History'!R81/'Price History'!R80-1),"")</f>
        <v>-0.00522011484252649</v>
      </c>
      <c r="S80" s="143" t="n">
        <f aca="false">IFERROR(IF(OR(NOT(ISNUMBER('Price History'!S81)),NOT(ISNUMBER('Price History'!S80)),'Price History'!S80=0),"",'Price History'!S81/'Price History'!S80-1),"")</f>
        <v>0.0198920431827268</v>
      </c>
      <c r="T80" s="143" t="n">
        <f aca="false">IFERROR(IF(OR(NOT(ISNUMBER('Price History'!T81)),NOT(ISNUMBER('Price History'!T80)),'Price History'!T80=0),"",'Price History'!T81/'Price History'!T80-1),"")</f>
        <v>-0.00872993522951271</v>
      </c>
      <c r="U80" s="143" t="str">
        <f aca="false">IFERROR(IF(OR(NOT(ISNUMBER('Price History'!U81)),NOT(ISNUMBER('Price History'!U80)),'Price History'!U80=0),"",'Price History'!U81/'Price History'!U80-1),"")</f>
        <v/>
      </c>
      <c r="V80" s="144" t="n">
        <f aca="false">IFERROR(IF(OR(NOT(ISNUMBER('Price History'!V81)),NOT(ISNUMBER('Price History'!V80)),'Price History'!V80=0),"",'Price History'!V81/'Price History'!V80-1),"")</f>
        <v>0.0182001422812426</v>
      </c>
      <c r="W80" s="145" t="str">
        <f aca="false">IFERROR('Price History'!B3+(INDEX('Price History'!B:B,MATCH(9.99E+307,'Price History'!$A:$A))-'Price History'!B3)*(ROW()-3)/(MATCH(9.99E+307,'Returns (Calc)'!$A:$A)-3),"")</f>
        <v/>
      </c>
      <c r="X80" s="145" t="n">
        <f aca="false">IFERROR('Price History'!C3+(INDEX('Price History'!C:C,MATCH(9.99E+307,'Price History'!$A:$A))-'Price History'!C3)*(ROW()-3)/(MATCH(9.99E+307,'Returns (Calc)'!$A:$A)-3),"")</f>
        <v>23.8161006289308</v>
      </c>
      <c r="Y80" s="145" t="n">
        <f aca="false">IFERROR('Price History'!D3+(INDEX('Price History'!D:D,MATCH(9.99E+307,'Price History'!$A:$A))-'Price History'!D3)*(ROW()-3)/(MATCH(9.99E+307,'Returns (Calc)'!$A:$A)-3),"")</f>
        <v>300.156100628931</v>
      </c>
      <c r="Z80" s="145" t="n">
        <f aca="false">IFERROR('Price History'!E3+(INDEX('Price History'!E:E,MATCH(9.99E+307,'Price History'!$A:$A))-'Price History'!E3)*(ROW()-3)/(MATCH(9.99E+307,'Returns (Calc)'!$A:$A)-3),"")</f>
        <v>42.2893081761006</v>
      </c>
      <c r="AA80" s="145" t="n">
        <f aca="false">IFERROR('Price History'!F3+(INDEX('Price History'!F:F,MATCH(9.99E+307,'Price History'!$A:$A))-'Price History'!F3)*(ROW()-3)/(MATCH(9.99E+307,'Returns (Calc)'!$A:$A)-3),"")</f>
        <v>38.8391194968553</v>
      </c>
      <c r="AB80" s="145" t="n">
        <f aca="false">IFERROR('Price History'!G3+(INDEX('Price History'!G:G,MATCH(9.99E+307,'Price History'!$A:$A))-'Price History'!G3)*(ROW()-3)/(MATCH(9.99E+307,'Returns (Calc)'!$A:$A)-3),"")</f>
        <v>21.3303144654088</v>
      </c>
      <c r="AC80" s="145" t="n">
        <f aca="false">IFERROR('Price History'!H3+(INDEX('Price History'!H:H,MATCH(9.99E+307,'Price History'!$A:$A))-'Price History'!H3)*(ROW()-3)/(MATCH(9.99E+307,'Returns (Calc)'!$A:$A)-3),"")</f>
        <v>51.8766037735849</v>
      </c>
      <c r="AD80" s="145" t="n">
        <f aca="false">IFERROR('Price History'!I3+(INDEX('Price History'!I:I,MATCH(9.99E+307,'Price History'!$A:$A))-'Price History'!I3)*(ROW()-3)/(MATCH(9.99E+307,'Returns (Calc)'!$A:$A)-3),"")</f>
        <v>22.8723270440252</v>
      </c>
      <c r="AE80" s="145" t="n">
        <f aca="false">IFERROR('Price History'!J3+(INDEX('Price History'!J:J,MATCH(9.99E+307,'Price History'!$A:$A))-'Price History'!J3)*(ROW()-3)/(MATCH(9.99E+307,'Returns (Calc)'!$A:$A)-3),"")</f>
        <v>35.6416352201258</v>
      </c>
      <c r="AF80" s="145" t="n">
        <f aca="false">IFERROR('Price History'!K3+(INDEX('Price History'!K:K,MATCH(9.99E+307,'Price History'!$A:$A))-'Price History'!K3)*(ROW()-3)/(MATCH(9.99E+307,'Returns (Calc)'!$A:$A)-3),"")</f>
        <v>22.5732075471698</v>
      </c>
      <c r="AG80" s="145" t="n">
        <f aca="false">IFERROR('Price History'!L3+(INDEX('Price History'!L:L,MATCH(9.99E+307,'Price History'!$A:$A))-'Price History'!L3)*(ROW()-3)/(MATCH(9.99E+307,'Returns (Calc)'!$A:$A)-3),"")</f>
        <v>57.6784905660377</v>
      </c>
      <c r="AH80" s="145" t="n">
        <f aca="false">IFERROR('Price History'!M3+(INDEX('Price History'!M:M,MATCH(9.99E+307,'Price History'!$A:$A))-'Price History'!M3)*(ROW()-3)/(MATCH(9.99E+307,'Returns (Calc)'!$A:$A)-3),"")</f>
        <v>7.90603773584906</v>
      </c>
      <c r="AI80" s="145" t="n">
        <f aca="false">IFERROR('Price History'!N3+(INDEX('Price History'!N:N,MATCH(9.99E+307,'Price History'!$A:$A))-'Price History'!N3)*(ROW()-3)/(MATCH(9.99E+307,'Returns (Calc)'!$A:$A)-3),"")</f>
        <v>11.2427672955975</v>
      </c>
      <c r="AJ80" s="145" t="n">
        <f aca="false">IFERROR('Price History'!O3+(INDEX('Price History'!O:O,MATCH(9.99E+307,'Price History'!$A:$A))-'Price History'!O3)*(ROW()-3)/(MATCH(9.99E+307,'Returns (Calc)'!$A:$A)-3),"")</f>
        <v>29.7211320754717</v>
      </c>
      <c r="AK80" s="145" t="n">
        <f aca="false">IFERROR('Price History'!Q3+(INDEX('Price History'!Q:Q,MATCH(9.99E+307,'Price History'!$A:$A))-'Price History'!Q3)*(ROW()-3)/(MATCH(9.99E+307,'Returns (Calc)'!$A:$A)-3),"")</f>
        <v>121.519874213836</v>
      </c>
      <c r="AL80" s="145" t="n">
        <f aca="false">IFERROR('Price History'!R3+(INDEX('Price History'!R:R,MATCH(9.99E+307,'Price History'!$A:$A))-'Price History'!R3)*(ROW()-3)/(MATCH(9.99E+307,'Returns (Calc)'!$A:$A)-3),"")</f>
        <v>24.6618867924528</v>
      </c>
      <c r="AM80" s="145" t="n">
        <f aca="false">IFERROR('Price History'!S3+(INDEX('Price History'!S:S,MATCH(9.99E+307,'Price History'!$A:$A))-'Price History'!S3)*(ROW()-3)/(MATCH(9.99E+307,'Returns (Calc)'!$A:$A)-3),"")</f>
        <v>30.1904402515723</v>
      </c>
      <c r="AN80" s="145" t="n">
        <f aca="false">IFERROR('Price History'!T3+(INDEX('Price History'!T:T,MATCH(9.99E+307,'Price History'!$A:$A))-'Price History'!T3)*(ROW()-3)/(MATCH(9.99E+307,'Returns (Calc)'!$A:$A)-3),"")</f>
        <v>13.8781132075472</v>
      </c>
      <c r="AO80" s="146" t="n">
        <f aca="false">IFERROR('Price History'!V3+(INDEX('Price History'!V:V,MATCH(9.99E+307,'Price History'!$A:$A))-'Price History'!V3)*(ROW()-3)/(MATCH(9.99E+307,'Returns (Calc)'!$A:$A)-3),"")</f>
        <v>0</v>
      </c>
    </row>
    <row r="81" customFormat="false" ht="15" hidden="false" customHeight="true" outlineLevel="0" collapsed="false">
      <c r="A81" s="142" t="n">
        <f aca="false">IF('Price History'!A82="","",'Price History'!A82)</f>
        <v>45737</v>
      </c>
      <c r="B81" s="143" t="n">
        <f aca="false">IFERROR(IF(OR(NOT(ISNUMBER('Price History'!B82)),NOT(ISNUMBER('Price History'!B81)),'Price History'!B81=0),"",'Price History'!B82/'Price History'!B81-1),"")</f>
        <v>-0.0189491817398795</v>
      </c>
      <c r="C81" s="143" t="n">
        <f aca="false">IFERROR(IF(OR(NOT(ISNUMBER('Price History'!C82)),NOT(ISNUMBER('Price History'!C81)),'Price History'!C81=0),"",'Price History'!C82/'Price History'!C81-1),"")</f>
        <v>-0.00455035325110775</v>
      </c>
      <c r="D81" s="143" t="n">
        <f aca="false">IFERROR(IF(OR(NOT(ISNUMBER('Price History'!D82)),NOT(ISNUMBER('Price History'!D81)),'Price History'!D81=0),"",'Price History'!D82/'Price History'!D81-1),"")</f>
        <v>0.00310484156801572</v>
      </c>
      <c r="E81" s="143" t="n">
        <f aca="false">IFERROR(IF(OR(NOT(ISNUMBER('Price History'!E82)),NOT(ISNUMBER('Price History'!E81)),'Price History'!E81=0),"",'Price History'!E82/'Price History'!E81-1),"")</f>
        <v>-0.0169148549784672</v>
      </c>
      <c r="F81" s="143" t="n">
        <f aca="false">IFERROR(IF(OR(NOT(ISNUMBER('Price History'!F82)),NOT(ISNUMBER('Price History'!F81)),'Price History'!F81=0),"",'Price History'!F82/'Price History'!F81-1),"")</f>
        <v>0.00967437470504939</v>
      </c>
      <c r="G81" s="143" t="n">
        <f aca="false">IFERROR(IF(OR(NOT(ISNUMBER('Price History'!G82)),NOT(ISNUMBER('Price History'!G81)),'Price History'!G81=0),"",'Price History'!G82/'Price History'!G81-1),"")</f>
        <v>0.0240868483546308</v>
      </c>
      <c r="H81" s="143" t="n">
        <f aca="false">IFERROR(IF(OR(NOT(ISNUMBER('Price History'!H82)),NOT(ISNUMBER('Price History'!H81)),'Price History'!H81=0),"",'Price History'!H82/'Price History'!H81-1),"")</f>
        <v>0.00478927203065127</v>
      </c>
      <c r="I81" s="143" t="n">
        <f aca="false">IFERROR(IF(OR(NOT(ISNUMBER('Price History'!I82)),NOT(ISNUMBER('Price History'!I81)),'Price History'!I81=0),"",'Price History'!I82/'Price History'!I81-1),"")</f>
        <v>-0.00906644000566659</v>
      </c>
      <c r="J81" s="143" t="n">
        <f aca="false">IFERROR(IF(OR(NOT(ISNUMBER('Price History'!J82)),NOT(ISNUMBER('Price History'!J81)),'Price History'!J81=0),"",'Price History'!J82/'Price History'!J81-1),"")</f>
        <v>-0.0601593625498008</v>
      </c>
      <c r="K81" s="143" t="n">
        <f aca="false">IFERROR(IF(OR(NOT(ISNUMBER('Price History'!K82)),NOT(ISNUMBER('Price History'!K81)),'Price History'!K81=0),"",'Price History'!K82/'Price History'!K81-1),"")</f>
        <v>-0.0326301911667765</v>
      </c>
      <c r="L81" s="143" t="n">
        <f aca="false">IFERROR(IF(OR(NOT(ISNUMBER('Price History'!L82)),NOT(ISNUMBER('Price History'!L81)),'Price History'!L81=0),"",'Price History'!L82/'Price History'!L81-1),"")</f>
        <v>-0.0223548356540684</v>
      </c>
      <c r="M81" s="143" t="n">
        <f aca="false">IFERROR(IF(OR(NOT(ISNUMBER('Price History'!M82)),NOT(ISNUMBER('Price History'!M81)),'Price History'!M81=0),"",'Price History'!M82/'Price History'!M81-1),"")</f>
        <v>0.0547309833024119</v>
      </c>
      <c r="N81" s="143" t="n">
        <f aca="false">IFERROR(IF(OR(NOT(ISNUMBER('Price History'!N82)),NOT(ISNUMBER('Price History'!N81)),'Price History'!N81=0),"",'Price History'!N82/'Price History'!N81-1),"")</f>
        <v>0.00423728813559321</v>
      </c>
      <c r="O81" s="143" t="n">
        <f aca="false">IFERROR(IF(OR(NOT(ISNUMBER('Price History'!O82)),NOT(ISNUMBER('Price History'!O81)),'Price History'!O81=0),"",'Price History'!O82/'Price History'!O81-1),"")</f>
        <v>0.0037809225451011</v>
      </c>
      <c r="P81" s="143" t="n">
        <f aca="false">IFERROR(IF(OR(NOT(ISNUMBER('Price History'!P82)),NOT(ISNUMBER('Price History'!P81)),'Price History'!P81=0),"",'Price History'!P82/'Price History'!P81-1),"")</f>
        <v>0.01906829382774</v>
      </c>
      <c r="Q81" s="143" t="n">
        <f aca="false">IFERROR(IF(OR(NOT(ISNUMBER('Price History'!Q82)),NOT(ISNUMBER('Price History'!Q81)),'Price History'!Q81=0),"",'Price History'!Q82/'Price History'!Q81-1),"")</f>
        <v>0.0116449213510548</v>
      </c>
      <c r="R81" s="143" t="n">
        <f aca="false">IFERROR(IF(OR(NOT(ISNUMBER('Price History'!R82)),NOT(ISNUMBER('Price History'!R81)),'Price History'!R81=0),"",'Price History'!R82/'Price History'!R81-1),"")</f>
        <v>0.0192408605912191</v>
      </c>
      <c r="S81" s="143" t="n">
        <f aca="false">IFERROR(IF(OR(NOT(ISNUMBER('Price History'!S82)),NOT(ISNUMBER('Price History'!S81)),'Price History'!S81=0),"",'Price History'!S82/'Price History'!S81-1),"")</f>
        <v>0.0100950700774283</v>
      </c>
      <c r="T81" s="143" t="n">
        <f aca="false">IFERROR(IF(OR(NOT(ISNUMBER('Price History'!T82)),NOT(ISNUMBER('Price History'!T81)),'Price History'!T81=0),"",'Price History'!T82/'Price History'!T81-1),"")</f>
        <v>0.0116477272727271</v>
      </c>
      <c r="U81" s="143" t="str">
        <f aca="false">IFERROR(IF(OR(NOT(ISNUMBER('Price History'!U82)),NOT(ISNUMBER('Price History'!U81)),'Price History'!U81=0),"",'Price History'!U82/'Price History'!U81-1),"")</f>
        <v/>
      </c>
      <c r="V81" s="144" t="n">
        <f aca="false">IFERROR(IF(OR(NOT(ISNUMBER('Price History'!V82)),NOT(ISNUMBER('Price History'!V81)),'Price History'!V81=0),"",'Price History'!V82/'Price History'!V81-1),"")</f>
        <v>0.0183697234352256</v>
      </c>
      <c r="W81" s="145" t="str">
        <f aca="false">IFERROR('Price History'!B3+(INDEX('Price History'!B:B,MATCH(9.99E+307,'Price History'!$A:$A))-'Price History'!B3)*(ROW()-3)/(MATCH(9.99E+307,'Returns (Calc)'!$A:$A)-3),"")</f>
        <v/>
      </c>
      <c r="X81" s="145" t="n">
        <f aca="false">IFERROR('Price History'!C3+(INDEX('Price History'!C:C,MATCH(9.99E+307,'Price History'!$A:$A))-'Price History'!C3)*(ROW()-3)/(MATCH(9.99E+307,'Returns (Calc)'!$A:$A)-3),"")</f>
        <v>23.5256603773585</v>
      </c>
      <c r="Y81" s="145" t="n">
        <f aca="false">IFERROR('Price History'!D3+(INDEX('Price History'!D:D,MATCH(9.99E+307,'Price History'!$A:$A))-'Price History'!D3)*(ROW()-3)/(MATCH(9.99E+307,'Returns (Calc)'!$A:$A)-3),"")</f>
        <v>296.495660377359</v>
      </c>
      <c r="Z81" s="145" t="n">
        <f aca="false">IFERROR('Price History'!E3+(INDEX('Price History'!E:E,MATCH(9.99E+307,'Price History'!$A:$A))-'Price History'!E3)*(ROW()-3)/(MATCH(9.99E+307,'Returns (Calc)'!$A:$A)-3),"")</f>
        <v>41.7735849056604</v>
      </c>
      <c r="AA81" s="145" t="n">
        <f aca="false">IFERROR('Price History'!F3+(INDEX('Price History'!F:F,MATCH(9.99E+307,'Price History'!$A:$A))-'Price History'!F3)*(ROW()-3)/(MATCH(9.99E+307,'Returns (Calc)'!$A:$A)-3),"")</f>
        <v>38.3654716981132</v>
      </c>
      <c r="AB81" s="145" t="n">
        <f aca="false">IFERROR('Price History'!G3+(INDEX('Price History'!G:G,MATCH(9.99E+307,'Price History'!$A:$A))-'Price History'!G3)*(ROW()-3)/(MATCH(9.99E+307,'Returns (Calc)'!$A:$A)-3),"")</f>
        <v>21.0701886792453</v>
      </c>
      <c r="AC81" s="145" t="n">
        <f aca="false">IFERROR('Price History'!H3+(INDEX('Price History'!H:H,MATCH(9.99E+307,'Price History'!$A:$A))-'Price History'!H3)*(ROW()-3)/(MATCH(9.99E+307,'Returns (Calc)'!$A:$A)-3),"")</f>
        <v>51.2439622641509</v>
      </c>
      <c r="AD81" s="145" t="n">
        <f aca="false">IFERROR('Price History'!I3+(INDEX('Price History'!I:I,MATCH(9.99E+307,'Price History'!$A:$A))-'Price History'!I3)*(ROW()-3)/(MATCH(9.99E+307,'Returns (Calc)'!$A:$A)-3),"")</f>
        <v>22.5933962264151</v>
      </c>
      <c r="AE81" s="145" t="n">
        <f aca="false">IFERROR('Price History'!J3+(INDEX('Price History'!J:J,MATCH(9.99E+307,'Price History'!$A:$A))-'Price History'!J3)*(ROW()-3)/(MATCH(9.99E+307,'Returns (Calc)'!$A:$A)-3),"")</f>
        <v>35.2069811320755</v>
      </c>
      <c r="AF81" s="145" t="n">
        <f aca="false">IFERROR('Price History'!K3+(INDEX('Price History'!K:K,MATCH(9.99E+307,'Price History'!$A:$A))-'Price History'!K3)*(ROW()-3)/(MATCH(9.99E+307,'Returns (Calc)'!$A:$A)-3),"")</f>
        <v>22.2979245283019</v>
      </c>
      <c r="AG81" s="145" t="n">
        <f aca="false">IFERROR('Price History'!L3+(INDEX('Price History'!L:L,MATCH(9.99E+307,'Price History'!$A:$A))-'Price History'!L3)*(ROW()-3)/(MATCH(9.99E+307,'Returns (Calc)'!$A:$A)-3),"")</f>
        <v>56.9750943396226</v>
      </c>
      <c r="AH81" s="145" t="n">
        <f aca="false">IFERROR('Price History'!M3+(INDEX('Price History'!M:M,MATCH(9.99E+307,'Price History'!$A:$A))-'Price History'!M3)*(ROW()-3)/(MATCH(9.99E+307,'Returns (Calc)'!$A:$A)-3),"")</f>
        <v>7.80962264150943</v>
      </c>
      <c r="AI81" s="145" t="n">
        <f aca="false">IFERROR('Price History'!N3+(INDEX('Price History'!N:N,MATCH(9.99E+307,'Price History'!$A:$A))-'Price History'!N3)*(ROW()-3)/(MATCH(9.99E+307,'Returns (Calc)'!$A:$A)-3),"")</f>
        <v>11.1056603773585</v>
      </c>
      <c r="AJ81" s="145" t="n">
        <f aca="false">IFERROR('Price History'!O3+(INDEX('Price History'!O:O,MATCH(9.99E+307,'Price History'!$A:$A))-'Price History'!O3)*(ROW()-3)/(MATCH(9.99E+307,'Returns (Calc)'!$A:$A)-3),"")</f>
        <v>29.358679245283</v>
      </c>
      <c r="AK81" s="145" t="n">
        <f aca="false">IFERROR('Price History'!Q3+(INDEX('Price History'!Q:Q,MATCH(9.99E+307,'Price History'!$A:$A))-'Price History'!Q3)*(ROW()-3)/(MATCH(9.99E+307,'Returns (Calc)'!$A:$A)-3),"")</f>
        <v>120.037924528302</v>
      </c>
      <c r="AL81" s="145" t="n">
        <f aca="false">IFERROR('Price History'!R3+(INDEX('Price History'!R:R,MATCH(9.99E+307,'Price History'!$A:$A))-'Price History'!R3)*(ROW()-3)/(MATCH(9.99E+307,'Returns (Calc)'!$A:$A)-3),"")</f>
        <v>24.3611320754717</v>
      </c>
      <c r="AM81" s="145" t="n">
        <f aca="false">IFERROR('Price History'!S3+(INDEX('Price History'!S:S,MATCH(9.99E+307,'Price History'!$A:$A))-'Price History'!S3)*(ROW()-3)/(MATCH(9.99E+307,'Returns (Calc)'!$A:$A)-3),"")</f>
        <v>29.8222641509434</v>
      </c>
      <c r="AN81" s="145" t="n">
        <f aca="false">IFERROR('Price History'!T3+(INDEX('Price History'!T:T,MATCH(9.99E+307,'Price History'!$A:$A))-'Price History'!T3)*(ROW()-3)/(MATCH(9.99E+307,'Returns (Calc)'!$A:$A)-3),"")</f>
        <v>13.7088679245283</v>
      </c>
      <c r="AO81" s="146" t="n">
        <f aca="false">IFERROR('Price History'!V3+(INDEX('Price History'!V:V,MATCH(9.99E+307,'Price History'!$A:$A))-'Price History'!V3)*(ROW()-3)/(MATCH(9.99E+307,'Returns (Calc)'!$A:$A)-3),"")</f>
        <v>0</v>
      </c>
    </row>
    <row r="82" customFormat="false" ht="15" hidden="false" customHeight="true" outlineLevel="0" collapsed="false">
      <c r="A82" s="142" t="n">
        <f aca="false">IF('Price History'!A83="","",'Price History'!A83)</f>
        <v>45744</v>
      </c>
      <c r="B82" s="143" t="n">
        <f aca="false">IFERROR(IF(OR(NOT(ISNUMBER('Price History'!B83)),NOT(ISNUMBER('Price History'!B82)),'Price History'!B82=0),"",'Price History'!B83/'Price History'!B82-1),"")</f>
        <v>-0.00400247895470751</v>
      </c>
      <c r="C82" s="143" t="n">
        <f aca="false">IFERROR(IF(OR(NOT(ISNUMBER('Price History'!C83)),NOT(ISNUMBER('Price History'!C82)),'Price History'!C82=0),"",'Price History'!C83/'Price History'!C82-1),"")</f>
        <v>-0.0624323348971491</v>
      </c>
      <c r="D82" s="143" t="n">
        <f aca="false">IFERROR(IF(OR(NOT(ISNUMBER('Price History'!D83)),NOT(ISNUMBER('Price History'!D82)),'Price History'!D82=0),"",'Price History'!D83/'Price History'!D82-1),"")</f>
        <v>-0.0581309890606891</v>
      </c>
      <c r="E82" s="143" t="n">
        <f aca="false">IFERROR(IF(OR(NOT(ISNUMBER('Price History'!E83)),NOT(ISNUMBER('Price History'!E82)),'Price History'!E82=0),"",'Price History'!E83/'Price History'!E82-1),"")</f>
        <v>-0.117591175383966</v>
      </c>
      <c r="F82" s="143" t="n">
        <f aca="false">IFERROR(IF(OR(NOT(ISNUMBER('Price History'!F83)),NOT(ISNUMBER('Price History'!F82)),'Price History'!F82=0),"",'Price History'!F83/'Price History'!F82-1),"")</f>
        <v>-0.00467398924982465</v>
      </c>
      <c r="G82" s="143" t="n">
        <f aca="false">IFERROR(IF(OR(NOT(ISNUMBER('Price History'!G83)),NOT(ISNUMBER('Price History'!G82)),'Price History'!G82=0),"",'Price History'!G83/'Price History'!G82-1),"")</f>
        <v>-0.0141342756183745</v>
      </c>
      <c r="H82" s="143" t="n">
        <f aca="false">IFERROR(IF(OR(NOT(ISNUMBER('Price History'!H83)),NOT(ISNUMBER('Price History'!H82)),'Price History'!H82=0),"",'Price History'!H83/'Price History'!H82-1),"")</f>
        <v>-0.000238322211630115</v>
      </c>
      <c r="I82" s="143" t="n">
        <f aca="false">IFERROR(IF(OR(NOT(ISNUMBER('Price History'!I83)),NOT(ISNUMBER('Price History'!I82)),'Price History'!I82=0),"",'Price History'!I83/'Price History'!I82-1),"")</f>
        <v>-0.0466047176554683</v>
      </c>
      <c r="J82" s="143" t="n">
        <f aca="false">IFERROR(IF(OR(NOT(ISNUMBER('Price History'!J83)),NOT(ISNUMBER('Price History'!J82)),'Price History'!J82=0),"",'Price History'!J83/'Price History'!J82-1),"")</f>
        <v>-0.066341670199237</v>
      </c>
      <c r="K82" s="143" t="n">
        <f aca="false">IFERROR(IF(OR(NOT(ISNUMBER('Price History'!K83)),NOT(ISNUMBER('Price History'!K82)),'Price History'!K82=0),"",'Price History'!K83/'Price History'!K82-1),"")</f>
        <v>-0.0682282793867122</v>
      </c>
      <c r="L82" s="143" t="n">
        <f aca="false">IFERROR(IF(OR(NOT(ISNUMBER('Price History'!L83)),NOT(ISNUMBER('Price History'!L82)),'Price History'!L82=0),"",'Price History'!L83/'Price History'!L82-1),"")</f>
        <v>0.0186997383974421</v>
      </c>
      <c r="M82" s="143" t="n">
        <f aca="false">IFERROR(IF(OR(NOT(ISNUMBER('Price History'!M83)),NOT(ISNUMBER('Price History'!M82)),'Price History'!M82=0),"",'Price History'!M83/'Price History'!M82-1),"")</f>
        <v>-0.0561785400175902</v>
      </c>
      <c r="N82" s="143" t="n">
        <f aca="false">IFERROR(IF(OR(NOT(ISNUMBER('Price History'!N83)),NOT(ISNUMBER('Price History'!N82)),'Price History'!N82=0),"",'Price History'!N83/'Price History'!N82-1),"")</f>
        <v>0.00268507863444567</v>
      </c>
      <c r="O82" s="143" t="n">
        <f aca="false">IFERROR(IF(OR(NOT(ISNUMBER('Price History'!O83)),NOT(ISNUMBER('Price History'!O82)),'Price History'!O82=0),"",'Price History'!O83/'Price History'!O82-1),"")</f>
        <v>-0.0196943607404219</v>
      </c>
      <c r="P82" s="143" t="n">
        <f aca="false">IFERROR(IF(OR(NOT(ISNUMBER('Price History'!P83)),NOT(ISNUMBER('Price History'!P82)),'Price History'!P82=0),"",'Price History'!P83/'Price History'!P82-1),"")</f>
        <v>-0.0649432897691289</v>
      </c>
      <c r="Q82" s="143" t="n">
        <f aca="false">IFERROR(IF(OR(NOT(ISNUMBER('Price History'!Q83)),NOT(ISNUMBER('Price History'!Q82)),'Price History'!Q82=0),"",'Price History'!Q83/'Price History'!Q82-1),"")</f>
        <v>0.0214246971614536</v>
      </c>
      <c r="R82" s="143" t="n">
        <f aca="false">IFERROR(IF(OR(NOT(ISNUMBER('Price History'!R83)),NOT(ISNUMBER('Price History'!R82)),'Price History'!R82=0),"",'Price History'!R83/'Price History'!R82-1),"")</f>
        <v>-0.0120130427321092</v>
      </c>
      <c r="S82" s="143" t="n">
        <f aca="false">IFERROR(IF(OR(NOT(ISNUMBER('Price History'!S83)),NOT(ISNUMBER('Price History'!S82)),'Price History'!S82=0),"",'Price History'!S83/'Price History'!S82-1),"")</f>
        <v>-0.0305647195808267</v>
      </c>
      <c r="T82" s="143" t="n">
        <f aca="false">IFERROR(IF(OR(NOT(ISNUMBER('Price History'!T83)),NOT(ISNUMBER('Price History'!T82)),'Price History'!T82=0),"",'Price History'!T83/'Price History'!T82-1),"")</f>
        <v>-0.00336983993260309</v>
      </c>
      <c r="U82" s="143" t="str">
        <f aca="false">IFERROR(IF(OR(NOT(ISNUMBER('Price History'!U83)),NOT(ISNUMBER('Price History'!U82)),'Price History'!U82=0),"",'Price History'!U83/'Price History'!U82-1),"")</f>
        <v/>
      </c>
      <c r="V82" s="144" t="n">
        <f aca="false">IFERROR(IF(OR(NOT(ISNUMBER('Price History'!V83)),NOT(ISNUMBER('Price History'!V82)),'Price History'!V82=0),"",'Price History'!V83/'Price History'!V82-1),"")</f>
        <v>-0.0149223864383523</v>
      </c>
      <c r="W82" s="145" t="str">
        <f aca="false">IFERROR('Price History'!B3+(INDEX('Price History'!B:B,MATCH(9.99E+307,'Price History'!$A:$A))-'Price History'!B3)*(ROW()-3)/(MATCH(9.99E+307,'Returns (Calc)'!$A:$A)-3),"")</f>
        <v/>
      </c>
      <c r="X82" s="145" t="n">
        <f aca="false">IFERROR('Price History'!C3+(INDEX('Price History'!C:C,MATCH(9.99E+307,'Price History'!$A:$A))-'Price History'!C3)*(ROW()-3)/(MATCH(9.99E+307,'Returns (Calc)'!$A:$A)-3),"")</f>
        <v>23.2352201257862</v>
      </c>
      <c r="Y82" s="145" t="n">
        <f aca="false">IFERROR('Price History'!D3+(INDEX('Price History'!D:D,MATCH(9.99E+307,'Price History'!$A:$A))-'Price History'!D3)*(ROW()-3)/(MATCH(9.99E+307,'Returns (Calc)'!$A:$A)-3),"")</f>
        <v>292.835220125786</v>
      </c>
      <c r="Z82" s="145" t="n">
        <f aca="false">IFERROR('Price History'!E3+(INDEX('Price History'!E:E,MATCH(9.99E+307,'Price History'!$A:$A))-'Price History'!E3)*(ROW()-3)/(MATCH(9.99E+307,'Returns (Calc)'!$A:$A)-3),"")</f>
        <v>41.2578616352201</v>
      </c>
      <c r="AA82" s="145" t="n">
        <f aca="false">IFERROR('Price History'!F3+(INDEX('Price History'!F:F,MATCH(9.99E+307,'Price History'!$A:$A))-'Price History'!F3)*(ROW()-3)/(MATCH(9.99E+307,'Returns (Calc)'!$A:$A)-3),"")</f>
        <v>37.8918238993711</v>
      </c>
      <c r="AB82" s="145" t="n">
        <f aca="false">IFERROR('Price History'!G3+(INDEX('Price History'!G:G,MATCH(9.99E+307,'Price History'!$A:$A))-'Price History'!G3)*(ROW()-3)/(MATCH(9.99E+307,'Returns (Calc)'!$A:$A)-3),"")</f>
        <v>20.8100628930818</v>
      </c>
      <c r="AC82" s="145" t="n">
        <f aca="false">IFERROR('Price History'!H3+(INDEX('Price History'!H:H,MATCH(9.99E+307,'Price History'!$A:$A))-'Price History'!H3)*(ROW()-3)/(MATCH(9.99E+307,'Returns (Calc)'!$A:$A)-3),"")</f>
        <v>50.611320754717</v>
      </c>
      <c r="AD82" s="145" t="n">
        <f aca="false">IFERROR('Price History'!I3+(INDEX('Price History'!I:I,MATCH(9.99E+307,'Price History'!$A:$A))-'Price History'!I3)*(ROW()-3)/(MATCH(9.99E+307,'Returns (Calc)'!$A:$A)-3),"")</f>
        <v>22.314465408805</v>
      </c>
      <c r="AE82" s="145" t="n">
        <f aca="false">IFERROR('Price History'!J3+(INDEX('Price History'!J:J,MATCH(9.99E+307,'Price History'!$A:$A))-'Price History'!J3)*(ROW()-3)/(MATCH(9.99E+307,'Returns (Calc)'!$A:$A)-3),"")</f>
        <v>34.7723270440252</v>
      </c>
      <c r="AF82" s="145" t="n">
        <f aca="false">IFERROR('Price History'!K3+(INDEX('Price History'!K:K,MATCH(9.99E+307,'Price History'!$A:$A))-'Price History'!K3)*(ROW()-3)/(MATCH(9.99E+307,'Returns (Calc)'!$A:$A)-3),"")</f>
        <v>22.022641509434</v>
      </c>
      <c r="AG82" s="145" t="n">
        <f aca="false">IFERROR('Price History'!L3+(INDEX('Price History'!L:L,MATCH(9.99E+307,'Price History'!$A:$A))-'Price History'!L3)*(ROW()-3)/(MATCH(9.99E+307,'Returns (Calc)'!$A:$A)-3),"")</f>
        <v>56.2716981132076</v>
      </c>
      <c r="AH82" s="145" t="n">
        <f aca="false">IFERROR('Price History'!M3+(INDEX('Price History'!M:M,MATCH(9.99E+307,'Price History'!$A:$A))-'Price History'!M3)*(ROW()-3)/(MATCH(9.99E+307,'Returns (Calc)'!$A:$A)-3),"")</f>
        <v>7.71320754716981</v>
      </c>
      <c r="AI82" s="145" t="n">
        <f aca="false">IFERROR('Price History'!N3+(INDEX('Price History'!N:N,MATCH(9.99E+307,'Price History'!$A:$A))-'Price History'!N3)*(ROW()-3)/(MATCH(9.99E+307,'Returns (Calc)'!$A:$A)-3),"")</f>
        <v>10.9685534591195</v>
      </c>
      <c r="AJ82" s="145" t="n">
        <f aca="false">IFERROR('Price History'!O3+(INDEX('Price History'!O:O,MATCH(9.99E+307,'Price History'!$A:$A))-'Price History'!O3)*(ROW()-3)/(MATCH(9.99E+307,'Returns (Calc)'!$A:$A)-3),"")</f>
        <v>28.9962264150943</v>
      </c>
      <c r="AK82" s="145" t="n">
        <f aca="false">IFERROR('Price History'!Q3+(INDEX('Price History'!Q:Q,MATCH(9.99E+307,'Price History'!$A:$A))-'Price History'!Q3)*(ROW()-3)/(MATCH(9.99E+307,'Returns (Calc)'!$A:$A)-3),"")</f>
        <v>118.555974842767</v>
      </c>
      <c r="AL82" s="145" t="n">
        <f aca="false">IFERROR('Price History'!R3+(INDEX('Price History'!R:R,MATCH(9.99E+307,'Price History'!$A:$A))-'Price History'!R3)*(ROW()-3)/(MATCH(9.99E+307,'Returns (Calc)'!$A:$A)-3),"")</f>
        <v>24.0603773584906</v>
      </c>
      <c r="AM82" s="145" t="n">
        <f aca="false">IFERROR('Price History'!S3+(INDEX('Price History'!S:S,MATCH(9.99E+307,'Price History'!$A:$A))-'Price History'!S3)*(ROW()-3)/(MATCH(9.99E+307,'Returns (Calc)'!$A:$A)-3),"")</f>
        <v>29.4540880503145</v>
      </c>
      <c r="AN82" s="145" t="n">
        <f aca="false">IFERROR('Price History'!T3+(INDEX('Price History'!T:T,MATCH(9.99E+307,'Price History'!$A:$A))-'Price History'!T3)*(ROW()-3)/(MATCH(9.99E+307,'Returns (Calc)'!$A:$A)-3),"")</f>
        <v>13.5396226415094</v>
      </c>
      <c r="AO82" s="146" t="n">
        <f aca="false">IFERROR('Price History'!V3+(INDEX('Price History'!V:V,MATCH(9.99E+307,'Price History'!$A:$A))-'Price History'!V3)*(ROW()-3)/(MATCH(9.99E+307,'Returns (Calc)'!$A:$A)-3),"")</f>
        <v>0</v>
      </c>
    </row>
    <row r="83" customFormat="false" ht="15" hidden="false" customHeight="true" outlineLevel="0" collapsed="false">
      <c r="A83" s="142" t="n">
        <f aca="false">IF('Price History'!A84="","",'Price History'!A84)</f>
        <v>45751</v>
      </c>
      <c r="B83" s="143" t="n">
        <f aca="false">IFERROR(IF(OR(NOT(ISNUMBER('Price History'!B84)),NOT(ISNUMBER('Price History'!B83)),'Price History'!B83=0),"",'Price History'!B84/'Price History'!B83-1),"")</f>
        <v>-0.0949936480775712</v>
      </c>
      <c r="C83" s="143" t="n">
        <f aca="false">IFERROR(IF(OR(NOT(ISNUMBER('Price History'!C84)),NOT(ISNUMBER('Price History'!C83)),'Price History'!C83=0),"",'Price History'!C84/'Price History'!C83-1),"")</f>
        <v>-0.174108288426995</v>
      </c>
      <c r="D83" s="143" t="n">
        <f aca="false">IFERROR(IF(OR(NOT(ISNUMBER('Price History'!D84)),NOT(ISNUMBER('Price History'!D83)),'Price History'!D83=0),"",'Price History'!D84/'Price History'!D83-1),"")</f>
        <v>-0.102339400669258</v>
      </c>
      <c r="E83" s="143" t="n">
        <f aca="false">IFERROR(IF(OR(NOT(ISNUMBER('Price History'!E84)),NOT(ISNUMBER('Price History'!E83)),'Price History'!E83=0),"",'Price History'!E84/'Price History'!E83-1),"")</f>
        <v>-0.134996112207668</v>
      </c>
      <c r="F83" s="143" t="n">
        <f aca="false">IFERROR(IF(OR(NOT(ISNUMBER('Price History'!F84)),NOT(ISNUMBER('Price History'!F83)),'Price History'!F83=0),"",'Price History'!F84/'Price History'!F83-1),"")</f>
        <v>-0.104719417703686</v>
      </c>
      <c r="G83" s="143" t="n">
        <f aca="false">IFERROR(IF(OR(NOT(ISNUMBER('Price History'!G84)),NOT(ISNUMBER('Price History'!G83)),'Price History'!G83=0),"",'Price History'!G84/'Price History'!G83-1),"")</f>
        <v>-0.0993503584229392</v>
      </c>
      <c r="H83" s="143" t="n">
        <f aca="false">IFERROR(IF(OR(NOT(ISNUMBER('Price History'!H84)),NOT(ISNUMBER('Price History'!H83)),'Price History'!H83=0),"",'Price History'!H84/'Price History'!H83-1),"")</f>
        <v>-0.0803337306317045</v>
      </c>
      <c r="I83" s="143" t="n">
        <f aca="false">IFERROR(IF(OR(NOT(ISNUMBER('Price History'!I84)),NOT(ISNUMBER('Price History'!I83)),'Price History'!I83=0),"",'Price History'!I84/'Price History'!I83-1),"")</f>
        <v>-0.144099565152197</v>
      </c>
      <c r="J83" s="143" t="n">
        <f aca="false">IFERROR(IF(OR(NOT(ISNUMBER('Price History'!J84)),NOT(ISNUMBER('Price History'!J83)),'Price History'!J83=0),"",'Price History'!J84/'Price History'!J83-1),"")</f>
        <v>-0.267196367763905</v>
      </c>
      <c r="K83" s="143" t="n">
        <f aca="false">IFERROR(IF(OR(NOT(ISNUMBER('Price History'!K84)),NOT(ISNUMBER('Price History'!K83)),'Price History'!K83=0),"",'Price History'!K84/'Price History'!K83-1),"")</f>
        <v>-0.140049364658561</v>
      </c>
      <c r="L83" s="143" t="n">
        <f aca="false">IFERROR(IF(OR(NOT(ISNUMBER('Price History'!L84)),NOT(ISNUMBER('Price History'!L83)),'Price History'!L83=0),"",'Price History'!L84/'Price History'!L83-1),"")</f>
        <v>-0.110614418870078</v>
      </c>
      <c r="M83" s="143" t="n">
        <f aca="false">IFERROR(IF(OR(NOT(ISNUMBER('Price History'!M84)),NOT(ISNUMBER('Price History'!M83)),'Price History'!M83=0),"",'Price History'!M84/'Price History'!M83-1),"")</f>
        <v>-0.137914967967385</v>
      </c>
      <c r="N83" s="143" t="n">
        <f aca="false">IFERROR(IF(OR(NOT(ISNUMBER('Price History'!N84)),NOT(ISNUMBER('Price History'!N83)),'Price History'!N83=0),"",'Price History'!N84/'Price History'!N83-1),"")</f>
        <v>-0.0833970925784239</v>
      </c>
      <c r="O83" s="143" t="n">
        <f aca="false">IFERROR(IF(OR(NOT(ISNUMBER('Price History'!O84)),NOT(ISNUMBER('Price History'!O83)),'Price History'!O83=0),"",'Price History'!O84/'Price History'!O83-1),"")</f>
        <v>-0.107036996377209</v>
      </c>
      <c r="P83" s="143" t="n">
        <f aca="false">IFERROR(IF(OR(NOT(ISNUMBER('Price History'!P84)),NOT(ISNUMBER('Price History'!P83)),'Price History'!P83=0),"",'Price History'!P84/'Price History'!P83-1),"")</f>
        <v>-0.111631057200911</v>
      </c>
      <c r="Q83" s="143" t="n">
        <f aca="false">IFERROR(IF(OR(NOT(ISNUMBER('Price History'!Q84)),NOT(ISNUMBER('Price History'!Q83)),'Price History'!Q83=0),"",'Price History'!Q84/'Price History'!Q83-1),"")</f>
        <v>-0.0866743369619731</v>
      </c>
      <c r="R83" s="143" t="n">
        <f aca="false">IFERROR(IF(OR(NOT(ISNUMBER('Price History'!R84)),NOT(ISNUMBER('Price History'!R83)),'Price History'!R83=0),"",'Price History'!R84/'Price History'!R83-1),"")</f>
        <v>-0.0276185513288172</v>
      </c>
      <c r="S83" s="143" t="n">
        <f aca="false">IFERROR(IF(OR(NOT(ISNUMBER('Price History'!S84)),NOT(ISNUMBER('Price History'!S83)),'Price History'!S83=0),"",'Price History'!S84/'Price History'!S83-1),"")</f>
        <v>-0.0011009908918026</v>
      </c>
      <c r="T83" s="143" t="n">
        <f aca="false">IFERROR(IF(OR(NOT(ISNUMBER('Price History'!T84)),NOT(ISNUMBER('Price History'!T83)),'Price History'!T83=0),"",'Price History'!T84/'Price History'!T83-1),"")</f>
        <v>-0.00479008171315865</v>
      </c>
      <c r="U83" s="143" t="str">
        <f aca="false">IFERROR(IF(OR(NOT(ISNUMBER('Price History'!U84)),NOT(ISNUMBER('Price History'!U83)),'Price History'!U83=0),"",'Price History'!U84/'Price History'!U83-1),"")</f>
        <v/>
      </c>
      <c r="V83" s="144" t="n">
        <f aca="false">IFERROR(IF(OR(NOT(ISNUMBER('Price History'!V84)),NOT(ISNUMBER('Price History'!V83)),'Price History'!V83=0),"",'Price History'!V84/'Price History'!V83-1),"")</f>
        <v>0.0406570126817378</v>
      </c>
      <c r="W83" s="145" t="str">
        <f aca="false">IFERROR('Price History'!B3+(INDEX('Price History'!B:B,MATCH(9.99E+307,'Price History'!$A:$A))-'Price History'!B3)*(ROW()-3)/(MATCH(9.99E+307,'Returns (Calc)'!$A:$A)-3),"")</f>
        <v/>
      </c>
      <c r="X83" s="145" t="n">
        <f aca="false">IFERROR('Price History'!C3+(INDEX('Price History'!C:C,MATCH(9.99E+307,'Price History'!$A:$A))-'Price History'!C3)*(ROW()-3)/(MATCH(9.99E+307,'Returns (Calc)'!$A:$A)-3),"")</f>
        <v>22.9447798742138</v>
      </c>
      <c r="Y83" s="145" t="n">
        <f aca="false">IFERROR('Price History'!D3+(INDEX('Price History'!D:D,MATCH(9.99E+307,'Price History'!$A:$A))-'Price History'!D3)*(ROW()-3)/(MATCH(9.99E+307,'Returns (Calc)'!$A:$A)-3),"")</f>
        <v>289.174779874214</v>
      </c>
      <c r="Z83" s="145" t="n">
        <f aca="false">IFERROR('Price History'!E3+(INDEX('Price History'!E:E,MATCH(9.99E+307,'Price History'!$A:$A))-'Price History'!E3)*(ROW()-3)/(MATCH(9.99E+307,'Returns (Calc)'!$A:$A)-3),"")</f>
        <v>40.7421383647799</v>
      </c>
      <c r="AA83" s="145" t="n">
        <f aca="false">IFERROR('Price History'!F3+(INDEX('Price History'!F:F,MATCH(9.99E+307,'Price History'!$A:$A))-'Price History'!F3)*(ROW()-3)/(MATCH(9.99E+307,'Returns (Calc)'!$A:$A)-3),"")</f>
        <v>37.4181761006289</v>
      </c>
      <c r="AB83" s="145" t="n">
        <f aca="false">IFERROR('Price History'!G3+(INDEX('Price History'!G:G,MATCH(9.99E+307,'Price History'!$A:$A))-'Price History'!G3)*(ROW()-3)/(MATCH(9.99E+307,'Returns (Calc)'!$A:$A)-3),"")</f>
        <v>20.5499371069182</v>
      </c>
      <c r="AC83" s="145" t="n">
        <f aca="false">IFERROR('Price History'!H3+(INDEX('Price History'!H:H,MATCH(9.99E+307,'Price History'!$A:$A))-'Price History'!H3)*(ROW()-3)/(MATCH(9.99E+307,'Returns (Calc)'!$A:$A)-3),"")</f>
        <v>49.978679245283</v>
      </c>
      <c r="AD83" s="145" t="n">
        <f aca="false">IFERROR('Price History'!I3+(INDEX('Price History'!I:I,MATCH(9.99E+307,'Price History'!$A:$A))-'Price History'!I3)*(ROW()-3)/(MATCH(9.99E+307,'Returns (Calc)'!$A:$A)-3),"")</f>
        <v>22.035534591195</v>
      </c>
      <c r="AE83" s="145" t="n">
        <f aca="false">IFERROR('Price History'!J3+(INDEX('Price History'!J:J,MATCH(9.99E+307,'Price History'!$A:$A))-'Price History'!J3)*(ROW()-3)/(MATCH(9.99E+307,'Returns (Calc)'!$A:$A)-3),"")</f>
        <v>34.3376729559748</v>
      </c>
      <c r="AF83" s="145" t="n">
        <f aca="false">IFERROR('Price History'!K3+(INDEX('Price History'!K:K,MATCH(9.99E+307,'Price History'!$A:$A))-'Price History'!K3)*(ROW()-3)/(MATCH(9.99E+307,'Returns (Calc)'!$A:$A)-3),"")</f>
        <v>21.747358490566</v>
      </c>
      <c r="AG83" s="145" t="n">
        <f aca="false">IFERROR('Price History'!L3+(INDEX('Price History'!L:L,MATCH(9.99E+307,'Price History'!$A:$A))-'Price History'!L3)*(ROW()-3)/(MATCH(9.99E+307,'Returns (Calc)'!$A:$A)-3),"")</f>
        <v>55.5683018867925</v>
      </c>
      <c r="AH83" s="145" t="n">
        <f aca="false">IFERROR('Price History'!M3+(INDEX('Price History'!M:M,MATCH(9.99E+307,'Price History'!$A:$A))-'Price History'!M3)*(ROW()-3)/(MATCH(9.99E+307,'Returns (Calc)'!$A:$A)-3),"")</f>
        <v>7.61679245283019</v>
      </c>
      <c r="AI83" s="145" t="n">
        <f aca="false">IFERROR('Price History'!N3+(INDEX('Price History'!N:N,MATCH(9.99E+307,'Price History'!$A:$A))-'Price History'!N3)*(ROW()-3)/(MATCH(9.99E+307,'Returns (Calc)'!$A:$A)-3),"")</f>
        <v>10.8314465408805</v>
      </c>
      <c r="AJ83" s="145" t="n">
        <f aca="false">IFERROR('Price History'!O3+(INDEX('Price History'!O:O,MATCH(9.99E+307,'Price History'!$A:$A))-'Price History'!O3)*(ROW()-3)/(MATCH(9.99E+307,'Returns (Calc)'!$A:$A)-3),"")</f>
        <v>28.6337735849057</v>
      </c>
      <c r="AK83" s="145" t="n">
        <f aca="false">IFERROR('Price History'!Q3+(INDEX('Price History'!Q:Q,MATCH(9.99E+307,'Price History'!$A:$A))-'Price History'!Q3)*(ROW()-3)/(MATCH(9.99E+307,'Returns (Calc)'!$A:$A)-3),"")</f>
        <v>117.074025157233</v>
      </c>
      <c r="AL83" s="145" t="n">
        <f aca="false">IFERROR('Price History'!R3+(INDEX('Price History'!R:R,MATCH(9.99E+307,'Price History'!$A:$A))-'Price History'!R3)*(ROW()-3)/(MATCH(9.99E+307,'Returns (Calc)'!$A:$A)-3),"")</f>
        <v>23.7596226415094</v>
      </c>
      <c r="AM83" s="145" t="n">
        <f aca="false">IFERROR('Price History'!S3+(INDEX('Price History'!S:S,MATCH(9.99E+307,'Price History'!$A:$A))-'Price History'!S3)*(ROW()-3)/(MATCH(9.99E+307,'Returns (Calc)'!$A:$A)-3),"")</f>
        <v>29.0859119496855</v>
      </c>
      <c r="AN83" s="145" t="n">
        <f aca="false">IFERROR('Price History'!T3+(INDEX('Price History'!T:T,MATCH(9.99E+307,'Price History'!$A:$A))-'Price History'!T3)*(ROW()-3)/(MATCH(9.99E+307,'Returns (Calc)'!$A:$A)-3),"")</f>
        <v>13.3703773584906</v>
      </c>
      <c r="AO83" s="146" t="n">
        <f aca="false">IFERROR('Price History'!V3+(INDEX('Price History'!V:V,MATCH(9.99E+307,'Price History'!$A:$A))-'Price History'!V3)*(ROW()-3)/(MATCH(9.99E+307,'Returns (Calc)'!$A:$A)-3),"")</f>
        <v>0</v>
      </c>
    </row>
    <row r="84" customFormat="false" ht="15" hidden="false" customHeight="true" outlineLevel="0" collapsed="false">
      <c r="A84" s="142" t="n">
        <f aca="false">IF('Price History'!A85="","",'Price History'!A85)</f>
        <v>45758</v>
      </c>
      <c r="B84" s="143" t="n">
        <f aca="false">IFERROR(IF(OR(NOT(ISNUMBER('Price History'!B85)),NOT(ISNUMBER('Price History'!B84)),'Price History'!B84=0),"",'Price History'!B85/'Price History'!B84-1),"")</f>
        <v>0.00974016672873646</v>
      </c>
      <c r="C84" s="143" t="n">
        <f aca="false">IFERROR(IF(OR(NOT(ISNUMBER('Price History'!C85)),NOT(ISNUMBER('Price History'!C84)),'Price History'!C84=0),"",'Price History'!C85/'Price History'!C84-1),"")</f>
        <v>0.128942053751748</v>
      </c>
      <c r="D84" s="143" t="n">
        <f aca="false">IFERROR(IF(OR(NOT(ISNUMBER('Price History'!D85)),NOT(ISNUMBER('Price History'!D84)),'Price History'!D84=0),"",'Price History'!D85/'Price History'!D84-1),"")</f>
        <v>0.104478360441985</v>
      </c>
      <c r="E84" s="143" t="n">
        <f aca="false">IFERROR(IF(OR(NOT(ISNUMBER('Price History'!E85)),NOT(ISNUMBER('Price History'!E84)),'Price History'!E84=0),"",'Price History'!E85/'Price History'!E84-1),"")</f>
        <v>0.243673074263587</v>
      </c>
      <c r="F84" s="143" t="n">
        <f aca="false">IFERROR(IF(OR(NOT(ISNUMBER('Price History'!F85)),NOT(ISNUMBER('Price History'!F84)),'Price History'!F84=0),"",'Price History'!F85/'Price History'!F84-1),"")</f>
        <v>0.0125885129819039</v>
      </c>
      <c r="G84" s="143" t="n">
        <f aca="false">IFERROR(IF(OR(NOT(ISNUMBER('Price History'!G85)),NOT(ISNUMBER('Price History'!G84)),'Price History'!G84=0),"",'Price History'!G85/'Price History'!G84-1),"")</f>
        <v>0.174853873896282</v>
      </c>
      <c r="H84" s="143" t="n">
        <f aca="false">IFERROR(IF(OR(NOT(ISNUMBER('Price History'!H85)),NOT(ISNUMBER('Price History'!H84)),'Price History'!H84=0),"",'Price History'!H85/'Price History'!H84-1),"")</f>
        <v>0.0160705028512183</v>
      </c>
      <c r="I84" s="143" t="n">
        <f aca="false">IFERROR(IF(OR(NOT(ISNUMBER('Price History'!I85)),NOT(ISNUMBER('Price History'!I84)),'Price History'!I84=0),"",'Price History'!I85/'Price History'!I84-1),"")</f>
        <v>0.162578836720392</v>
      </c>
      <c r="J84" s="143" t="n">
        <f aca="false">IFERROR(IF(OR(NOT(ISNUMBER('Price History'!J85)),NOT(ISNUMBER('Price History'!J84)),'Price History'!J84=0),"",'Price History'!J85/'Price History'!J84-1),"")</f>
        <v>0.0745043370508054</v>
      </c>
      <c r="K84" s="143" t="n">
        <f aca="false">IFERROR(IF(OR(NOT(ISNUMBER('Price History'!K85)),NOT(ISNUMBER('Price History'!K84)),'Price History'!K84=0),"",'Price History'!K85/'Price History'!K84-1),"")</f>
        <v>0.176251727437015</v>
      </c>
      <c r="L84" s="143" t="n">
        <f aca="false">IFERROR(IF(OR(NOT(ISNUMBER('Price History'!L85)),NOT(ISNUMBER('Price History'!L84)),'Price History'!L84=0),"",'Price History'!L85/'Price History'!L84-1),"")</f>
        <v>-0.0204256229280292</v>
      </c>
      <c r="M84" s="143" t="n">
        <f aca="false">IFERROR(IF(OR(NOT(ISNUMBER('Price History'!M85)),NOT(ISNUMBER('Price History'!M84)),'Price History'!M84=0),"",'Price History'!M85/'Price History'!M84-1),"")</f>
        <v>0.196459937846237</v>
      </c>
      <c r="N84" s="143" t="n">
        <f aca="false">IFERROR(IF(OR(NOT(ISNUMBER('Price History'!N85)),NOT(ISNUMBER('Price History'!N84)),'Price History'!N84=0),"",'Price History'!N85/'Price History'!N84-1),"")</f>
        <v>0.000834724540901499</v>
      </c>
      <c r="O84" s="143" t="n">
        <f aca="false">IFERROR(IF(OR(NOT(ISNUMBER('Price History'!O85)),NOT(ISNUMBER('Price History'!O84)),'Price History'!O84=0),"",'Price History'!O85/'Price History'!O84-1),"")</f>
        <v>0.0910990902385049</v>
      </c>
      <c r="P84" s="143" t="n">
        <f aca="false">IFERROR(IF(OR(NOT(ISNUMBER('Price History'!P85)),NOT(ISNUMBER('Price History'!P84)),'Price History'!P84=0),"",'Price History'!P85/'Price History'!P84-1),"")</f>
        <v>0.0700027723870251</v>
      </c>
      <c r="Q84" s="143" t="n">
        <f aca="false">IFERROR(IF(OR(NOT(ISNUMBER('Price History'!Q85)),NOT(ISNUMBER('Price History'!Q84)),'Price History'!Q84=0),"",'Price History'!Q85/'Price History'!Q84-1),"")</f>
        <v>0.0647307729577829</v>
      </c>
      <c r="R84" s="143" t="n">
        <f aca="false">IFERROR(IF(OR(NOT(ISNUMBER('Price History'!R85)),NOT(ISNUMBER('Price History'!R84)),'Price History'!R84=0),"",'Price History'!R85/'Price History'!R84-1),"")</f>
        <v>-0.0396570203644159</v>
      </c>
      <c r="S84" s="143" t="n">
        <f aca="false">IFERROR(IF(OR(NOT(ISNUMBER('Price History'!S85)),NOT(ISNUMBER('Price History'!S84)),'Price History'!S84=0),"",'Price History'!S85/'Price History'!S84-1),"")</f>
        <v>-0.0527054108216432</v>
      </c>
      <c r="T84" s="143" t="n">
        <f aca="false">IFERROR(IF(OR(NOT(ISNUMBER('Price History'!T85)),NOT(ISNUMBER('Price History'!T84)),'Price History'!T84=0),"",'Price History'!T85/'Price History'!T84-1),"")</f>
        <v>-0.0144394110985276</v>
      </c>
      <c r="U84" s="143" t="str">
        <f aca="false">IFERROR(IF(OR(NOT(ISNUMBER('Price History'!U85)),NOT(ISNUMBER('Price History'!U84)),'Price History'!U84=0),"",'Price History'!U85/'Price History'!U84-1),"")</f>
        <v/>
      </c>
      <c r="V84" s="144" t="n">
        <f aca="false">IFERROR(IF(OR(NOT(ISNUMBER('Price History'!V85)),NOT(ISNUMBER('Price History'!V84)),'Price History'!V84=0),"",'Price History'!V85/'Price History'!V84-1),"")</f>
        <v>-0.047936419408812</v>
      </c>
      <c r="W84" s="145" t="str">
        <f aca="false">IFERROR('Price History'!B3+(INDEX('Price History'!B:B,MATCH(9.99E+307,'Price History'!$A:$A))-'Price History'!B3)*(ROW()-3)/(MATCH(9.99E+307,'Returns (Calc)'!$A:$A)-3),"")</f>
        <v/>
      </c>
      <c r="X84" s="145" t="n">
        <f aca="false">IFERROR('Price History'!C3+(INDEX('Price History'!C:C,MATCH(9.99E+307,'Price History'!$A:$A))-'Price History'!C3)*(ROW()-3)/(MATCH(9.99E+307,'Returns (Calc)'!$A:$A)-3),"")</f>
        <v>22.6543396226415</v>
      </c>
      <c r="Y84" s="145" t="n">
        <f aca="false">IFERROR('Price History'!D3+(INDEX('Price History'!D:D,MATCH(9.99E+307,'Price History'!$A:$A))-'Price History'!D3)*(ROW()-3)/(MATCH(9.99E+307,'Returns (Calc)'!$A:$A)-3),"")</f>
        <v>285.514339622642</v>
      </c>
      <c r="Z84" s="145" t="n">
        <f aca="false">IFERROR('Price History'!E3+(INDEX('Price History'!E:E,MATCH(9.99E+307,'Price History'!$A:$A))-'Price History'!E3)*(ROW()-3)/(MATCH(9.99E+307,'Returns (Calc)'!$A:$A)-3),"")</f>
        <v>40.2264150943396</v>
      </c>
      <c r="AA84" s="145" t="n">
        <f aca="false">IFERROR('Price History'!F3+(INDEX('Price History'!F:F,MATCH(9.99E+307,'Price History'!$A:$A))-'Price History'!F3)*(ROW()-3)/(MATCH(9.99E+307,'Returns (Calc)'!$A:$A)-3),"")</f>
        <v>36.9445283018868</v>
      </c>
      <c r="AB84" s="145" t="n">
        <f aca="false">IFERROR('Price History'!G3+(INDEX('Price History'!G:G,MATCH(9.99E+307,'Price History'!$A:$A))-'Price History'!G3)*(ROW()-3)/(MATCH(9.99E+307,'Returns (Calc)'!$A:$A)-3),"")</f>
        <v>20.2898113207547</v>
      </c>
      <c r="AC84" s="145" t="n">
        <f aca="false">IFERROR('Price History'!H3+(INDEX('Price History'!H:H,MATCH(9.99E+307,'Price History'!$A:$A))-'Price History'!H3)*(ROW()-3)/(MATCH(9.99E+307,'Returns (Calc)'!$A:$A)-3),"")</f>
        <v>49.3460377358491</v>
      </c>
      <c r="AD84" s="145" t="n">
        <f aca="false">IFERROR('Price History'!I3+(INDEX('Price History'!I:I,MATCH(9.99E+307,'Price History'!$A:$A))-'Price History'!I3)*(ROW()-3)/(MATCH(9.99E+307,'Returns (Calc)'!$A:$A)-3),"")</f>
        <v>21.7566037735849</v>
      </c>
      <c r="AE84" s="145" t="n">
        <f aca="false">IFERROR('Price History'!J3+(INDEX('Price History'!J:J,MATCH(9.99E+307,'Price History'!$A:$A))-'Price History'!J3)*(ROW()-3)/(MATCH(9.99E+307,'Returns (Calc)'!$A:$A)-3),"")</f>
        <v>33.9030188679245</v>
      </c>
      <c r="AF84" s="145" t="n">
        <f aca="false">IFERROR('Price History'!K3+(INDEX('Price History'!K:K,MATCH(9.99E+307,'Price History'!$A:$A))-'Price History'!K3)*(ROW()-3)/(MATCH(9.99E+307,'Returns (Calc)'!$A:$A)-3),"")</f>
        <v>21.4720754716981</v>
      </c>
      <c r="AG84" s="145" t="n">
        <f aca="false">IFERROR('Price History'!L3+(INDEX('Price History'!L:L,MATCH(9.99E+307,'Price History'!$A:$A))-'Price History'!L3)*(ROW()-3)/(MATCH(9.99E+307,'Returns (Calc)'!$A:$A)-3),"")</f>
        <v>54.8649056603774</v>
      </c>
      <c r="AH84" s="145" t="n">
        <f aca="false">IFERROR('Price History'!M3+(INDEX('Price History'!M:M,MATCH(9.99E+307,'Price History'!$A:$A))-'Price History'!M3)*(ROW()-3)/(MATCH(9.99E+307,'Returns (Calc)'!$A:$A)-3),"")</f>
        <v>7.52037735849057</v>
      </c>
      <c r="AI84" s="145" t="n">
        <f aca="false">IFERROR('Price History'!N3+(INDEX('Price History'!N:N,MATCH(9.99E+307,'Price History'!$A:$A))-'Price History'!N3)*(ROW()-3)/(MATCH(9.99E+307,'Returns (Calc)'!$A:$A)-3),"")</f>
        <v>10.6943396226415</v>
      </c>
      <c r="AJ84" s="145" t="n">
        <f aca="false">IFERROR('Price History'!O3+(INDEX('Price History'!O:O,MATCH(9.99E+307,'Price History'!$A:$A))-'Price History'!O3)*(ROW()-3)/(MATCH(9.99E+307,'Returns (Calc)'!$A:$A)-3),"")</f>
        <v>28.271320754717</v>
      </c>
      <c r="AK84" s="145" t="n">
        <f aca="false">IFERROR('Price History'!Q3+(INDEX('Price History'!Q:Q,MATCH(9.99E+307,'Price History'!$A:$A))-'Price History'!Q3)*(ROW()-3)/(MATCH(9.99E+307,'Returns (Calc)'!$A:$A)-3),"")</f>
        <v>115.592075471698</v>
      </c>
      <c r="AL84" s="145" t="n">
        <f aca="false">IFERROR('Price History'!R3+(INDEX('Price History'!R:R,MATCH(9.99E+307,'Price History'!$A:$A))-'Price History'!R3)*(ROW()-3)/(MATCH(9.99E+307,'Returns (Calc)'!$A:$A)-3),"")</f>
        <v>23.4588679245283</v>
      </c>
      <c r="AM84" s="145" t="n">
        <f aca="false">IFERROR('Price History'!S3+(INDEX('Price History'!S:S,MATCH(9.99E+307,'Price History'!$A:$A))-'Price History'!S3)*(ROW()-3)/(MATCH(9.99E+307,'Returns (Calc)'!$A:$A)-3),"")</f>
        <v>28.7177358490566</v>
      </c>
      <c r="AN84" s="145" t="n">
        <f aca="false">IFERROR('Price History'!T3+(INDEX('Price History'!T:T,MATCH(9.99E+307,'Price History'!$A:$A))-'Price History'!T3)*(ROW()-3)/(MATCH(9.99E+307,'Returns (Calc)'!$A:$A)-3),"")</f>
        <v>13.2011320754717</v>
      </c>
      <c r="AO84" s="146" t="n">
        <f aca="false">IFERROR('Price History'!V3+(INDEX('Price History'!V:V,MATCH(9.99E+307,'Price History'!$A:$A))-'Price History'!V3)*(ROW()-3)/(MATCH(9.99E+307,'Returns (Calc)'!$A:$A)-3),"")</f>
        <v>0</v>
      </c>
    </row>
    <row r="85" customFormat="false" ht="15" hidden="false" customHeight="true" outlineLevel="0" collapsed="false">
      <c r="A85" s="142" t="n">
        <f aca="false">IF('Price History'!A86="","",'Price History'!A86)</f>
        <v>45765</v>
      </c>
      <c r="B85" s="143" t="n">
        <f aca="false">IFERROR(IF(OR(NOT(ISNUMBER('Price History'!B86)),NOT(ISNUMBER('Price History'!B85)),'Price History'!B85=0),"",'Price History'!B86/'Price History'!B85-1),"")</f>
        <v>-0.0104122336652765</v>
      </c>
      <c r="C85" s="143" t="n">
        <f aca="false">IFERROR(IF(OR(NOT(ISNUMBER('Price History'!C86)),NOT(ISNUMBER('Price History'!C85)),'Price History'!C85=0),"",'Price History'!C86/'Price History'!C85-1),"")</f>
        <v>-0.0202284298885372</v>
      </c>
      <c r="D85" s="143" t="n">
        <f aca="false">IFERROR(IF(OR(NOT(ISNUMBER('Price History'!D86)),NOT(ISNUMBER('Price History'!D85)),'Price History'!D85=0),"",'Price History'!D86/'Price History'!D85-1),"")</f>
        <v>-0.0428478454995385</v>
      </c>
      <c r="E85" s="143" t="n">
        <f aca="false">IFERROR(IF(OR(NOT(ISNUMBER('Price History'!E86)),NOT(ISNUMBER('Price History'!E85)),'Price History'!E85=0),"",'Price History'!E86/'Price History'!E85-1),"")</f>
        <v>-0.0601579005893473</v>
      </c>
      <c r="F85" s="143" t="n">
        <f aca="false">IFERROR(IF(OR(NOT(ISNUMBER('Price History'!F86)),NOT(ISNUMBER('Price History'!F85)),'Price History'!F85=0),"",'Price History'!F86/'Price History'!F85-1),"")</f>
        <v>0.0186480186480187</v>
      </c>
      <c r="G85" s="143" t="n">
        <f aca="false">IFERROR(IF(OR(NOT(ISNUMBER('Price History'!G86)),NOT(ISNUMBER('Price History'!G85)),'Price History'!G85=0),"",'Price History'!G86/'Price History'!G85-1),"")</f>
        <v>-0.00603366147983475</v>
      </c>
      <c r="H85" s="143" t="n">
        <f aca="false">IFERROR(IF(OR(NOT(ISNUMBER('Price History'!H86)),NOT(ISNUMBER('Price History'!H85)),'Price History'!H85=0),"",'Price History'!H86/'Price History'!H85-1),"")</f>
        <v>0.0147108843537416</v>
      </c>
      <c r="I85" s="143" t="n">
        <f aca="false">IFERROR(IF(OR(NOT(ISNUMBER('Price History'!I86)),NOT(ISNUMBER('Price History'!I85)),'Price History'!I85=0),"",'Price History'!I86/'Price History'!I85-1),"")</f>
        <v>-0.0534960819770945</v>
      </c>
      <c r="J85" s="143" t="n">
        <f aca="false">IFERROR(IF(OR(NOT(ISNUMBER('Price History'!J86)),NOT(ISNUMBER('Price History'!J85)),'Price History'!J85=0),"",'Price History'!J86/'Price History'!J85-1),"")</f>
        <v>-0.0106674354908464</v>
      </c>
      <c r="K85" s="143" t="n">
        <f aca="false">IFERROR(IF(OR(NOT(ISNUMBER('Price History'!K86)),NOT(ISNUMBER('Price History'!K85)),'Price History'!K85=0),"",'Price History'!K86/'Price History'!K85-1),"")</f>
        <v>-0.0851333032083145</v>
      </c>
      <c r="L85" s="143" t="n">
        <f aca="false">IFERROR(IF(OR(NOT(ISNUMBER('Price History'!L86)),NOT(ISNUMBER('Price History'!L85)),'Price History'!L85=0),"",'Price History'!L86/'Price History'!L85-1),"")</f>
        <v>0.0610262008733624</v>
      </c>
      <c r="M85" s="143" t="n">
        <f aca="false">IFERROR(IF(OR(NOT(ISNUMBER('Price History'!M86)),NOT(ISNUMBER('Price History'!M85)),'Price History'!M85=0),"",'Price History'!M86/'Price History'!M85-1),"")</f>
        <v>0.0590626764539808</v>
      </c>
      <c r="N85" s="143" t="n">
        <f aca="false">IFERROR(IF(OR(NOT(ISNUMBER('Price History'!N86)),NOT(ISNUMBER('Price History'!N85)),'Price History'!N85=0),"",'Price History'!N86/'Price History'!N85-1),"")</f>
        <v>0.00458715596330284</v>
      </c>
      <c r="O85" s="143" t="n">
        <f aca="false">IFERROR(IF(OR(NOT(ISNUMBER('Price History'!O86)),NOT(ISNUMBER('Price History'!O85)),'Price History'!O85=0),"",'Price History'!O86/'Price History'!O85-1),"")</f>
        <v>-0.0173521126760564</v>
      </c>
      <c r="P85" s="143" t="n">
        <f aca="false">IFERROR(IF(OR(NOT(ISNUMBER('Price History'!P86)),NOT(ISNUMBER('Price History'!P85)),'Price History'!P85=0),"",'Price History'!P86/'Price History'!P85-1),"")</f>
        <v>-0.0340069957248348</v>
      </c>
      <c r="Q85" s="143" t="n">
        <f aca="false">IFERROR(IF(OR(NOT(ISNUMBER('Price History'!Q86)),NOT(ISNUMBER('Price History'!Q85)),'Price History'!Q85=0),"",'Price History'!Q86/'Price History'!Q85-1),"")</f>
        <v>-0.0113763917119194</v>
      </c>
      <c r="R85" s="143" t="n">
        <f aca="false">IFERROR(IF(OR(NOT(ISNUMBER('Price History'!R86)),NOT(ISNUMBER('Price History'!R85)),'Price History'!R85=0),"",'Price History'!R86/'Price History'!R85-1),"")</f>
        <v>-0.0213913690476191</v>
      </c>
      <c r="S85" s="143" t="n">
        <f aca="false">IFERROR(IF(OR(NOT(ISNUMBER('Price History'!S86)),NOT(ISNUMBER('Price History'!S85)),'Price History'!S85=0),"",'Price History'!S86/'Price History'!S85-1),"")</f>
        <v>-0.00719272265707649</v>
      </c>
      <c r="T85" s="143" t="n">
        <f aca="false">IFERROR(IF(OR(NOT(ISNUMBER('Price History'!T86)),NOT(ISNUMBER('Price History'!T85)),'Price History'!T85=0),"",'Price History'!T86/'Price History'!T85-1),"")</f>
        <v>-0.020683711577133</v>
      </c>
      <c r="U85" s="143" t="str">
        <f aca="false">IFERROR(IF(OR(NOT(ISNUMBER('Price History'!U86)),NOT(ISNUMBER('Price History'!U85)),'Price History'!U85=0),"",'Price History'!U86/'Price History'!U85-1),"")</f>
        <v/>
      </c>
      <c r="V85" s="144" t="n">
        <f aca="false">IFERROR(IF(OR(NOT(ISNUMBER('Price History'!V86)),NOT(ISNUMBER('Price History'!V85)),'Price History'!V85=0),"",'Price History'!V86/'Price History'!V85-1),"")</f>
        <v>-0.039161125918983</v>
      </c>
      <c r="W85" s="145" t="str">
        <f aca="false">IFERROR('Price History'!B3+(INDEX('Price History'!B:B,MATCH(9.99E+307,'Price History'!$A:$A))-'Price History'!B3)*(ROW()-3)/(MATCH(9.99E+307,'Returns (Calc)'!$A:$A)-3),"")</f>
        <v/>
      </c>
      <c r="X85" s="145" t="n">
        <f aca="false">IFERROR('Price History'!C3+(INDEX('Price History'!C:C,MATCH(9.99E+307,'Price History'!$A:$A))-'Price History'!C3)*(ROW()-3)/(MATCH(9.99E+307,'Returns (Calc)'!$A:$A)-3),"")</f>
        <v>22.3638993710692</v>
      </c>
      <c r="Y85" s="145" t="n">
        <f aca="false">IFERROR('Price History'!D3+(INDEX('Price History'!D:D,MATCH(9.99E+307,'Price History'!$A:$A))-'Price History'!D3)*(ROW()-3)/(MATCH(9.99E+307,'Returns (Calc)'!$A:$A)-3),"")</f>
        <v>281.853899371069</v>
      </c>
      <c r="Z85" s="145" t="n">
        <f aca="false">IFERROR('Price History'!E3+(INDEX('Price History'!E:E,MATCH(9.99E+307,'Price History'!$A:$A))-'Price History'!E3)*(ROW()-3)/(MATCH(9.99E+307,'Returns (Calc)'!$A:$A)-3),"")</f>
        <v>39.7106918238994</v>
      </c>
      <c r="AA85" s="145" t="n">
        <f aca="false">IFERROR('Price History'!F3+(INDEX('Price History'!F:F,MATCH(9.99E+307,'Price History'!$A:$A))-'Price History'!F3)*(ROW()-3)/(MATCH(9.99E+307,'Returns (Calc)'!$A:$A)-3),"")</f>
        <v>36.4708805031447</v>
      </c>
      <c r="AB85" s="145" t="n">
        <f aca="false">IFERROR('Price History'!G3+(INDEX('Price History'!G:G,MATCH(9.99E+307,'Price History'!$A:$A))-'Price History'!G3)*(ROW()-3)/(MATCH(9.99E+307,'Returns (Calc)'!$A:$A)-3),"")</f>
        <v>20.0296855345912</v>
      </c>
      <c r="AC85" s="145" t="n">
        <f aca="false">IFERROR('Price History'!H3+(INDEX('Price History'!H:H,MATCH(9.99E+307,'Price History'!$A:$A))-'Price History'!H3)*(ROW()-3)/(MATCH(9.99E+307,'Returns (Calc)'!$A:$A)-3),"")</f>
        <v>48.7133962264151</v>
      </c>
      <c r="AD85" s="145" t="n">
        <f aca="false">IFERROR('Price History'!I3+(INDEX('Price History'!I:I,MATCH(9.99E+307,'Price History'!$A:$A))-'Price History'!I3)*(ROW()-3)/(MATCH(9.99E+307,'Returns (Calc)'!$A:$A)-3),"")</f>
        <v>21.4776729559748</v>
      </c>
      <c r="AE85" s="145" t="n">
        <f aca="false">IFERROR('Price History'!J3+(INDEX('Price History'!J:J,MATCH(9.99E+307,'Price History'!$A:$A))-'Price History'!J3)*(ROW()-3)/(MATCH(9.99E+307,'Returns (Calc)'!$A:$A)-3),"")</f>
        <v>33.4683647798742</v>
      </c>
      <c r="AF85" s="145" t="n">
        <f aca="false">IFERROR('Price History'!K3+(INDEX('Price History'!K:K,MATCH(9.99E+307,'Price History'!$A:$A))-'Price History'!K3)*(ROW()-3)/(MATCH(9.99E+307,'Returns (Calc)'!$A:$A)-3),"")</f>
        <v>21.1967924528302</v>
      </c>
      <c r="AG85" s="145" t="n">
        <f aca="false">IFERROR('Price History'!L3+(INDEX('Price History'!L:L,MATCH(9.99E+307,'Price History'!$A:$A))-'Price History'!L3)*(ROW()-3)/(MATCH(9.99E+307,'Returns (Calc)'!$A:$A)-3),"")</f>
        <v>54.1615094339623</v>
      </c>
      <c r="AH85" s="145" t="n">
        <f aca="false">IFERROR('Price History'!M3+(INDEX('Price History'!M:M,MATCH(9.99E+307,'Price History'!$A:$A))-'Price History'!M3)*(ROW()-3)/(MATCH(9.99E+307,'Returns (Calc)'!$A:$A)-3),"")</f>
        <v>7.42396226415094</v>
      </c>
      <c r="AI85" s="145" t="n">
        <f aca="false">IFERROR('Price History'!N3+(INDEX('Price History'!N:N,MATCH(9.99E+307,'Price History'!$A:$A))-'Price History'!N3)*(ROW()-3)/(MATCH(9.99E+307,'Returns (Calc)'!$A:$A)-3),"")</f>
        <v>10.5572327044025</v>
      </c>
      <c r="AJ85" s="145" t="n">
        <f aca="false">IFERROR('Price History'!O3+(INDEX('Price History'!O:O,MATCH(9.99E+307,'Price History'!$A:$A))-'Price History'!O3)*(ROW()-3)/(MATCH(9.99E+307,'Returns (Calc)'!$A:$A)-3),"")</f>
        <v>27.9088679245283</v>
      </c>
      <c r="AK85" s="145" t="n">
        <f aca="false">IFERROR('Price History'!Q3+(INDEX('Price History'!Q:Q,MATCH(9.99E+307,'Price History'!$A:$A))-'Price History'!Q3)*(ROW()-3)/(MATCH(9.99E+307,'Returns (Calc)'!$A:$A)-3),"")</f>
        <v>114.110125786164</v>
      </c>
      <c r="AL85" s="145" t="n">
        <f aca="false">IFERROR('Price History'!R3+(INDEX('Price History'!R:R,MATCH(9.99E+307,'Price History'!$A:$A))-'Price History'!R3)*(ROW()-3)/(MATCH(9.99E+307,'Returns (Calc)'!$A:$A)-3),"")</f>
        <v>23.1581132075472</v>
      </c>
      <c r="AM85" s="145" t="n">
        <f aca="false">IFERROR('Price History'!S3+(INDEX('Price History'!S:S,MATCH(9.99E+307,'Price History'!$A:$A))-'Price History'!S3)*(ROW()-3)/(MATCH(9.99E+307,'Returns (Calc)'!$A:$A)-3),"")</f>
        <v>28.3495597484277</v>
      </c>
      <c r="AN85" s="145" t="n">
        <f aca="false">IFERROR('Price History'!T3+(INDEX('Price History'!T:T,MATCH(9.99E+307,'Price History'!$A:$A))-'Price History'!T3)*(ROW()-3)/(MATCH(9.99E+307,'Returns (Calc)'!$A:$A)-3),"")</f>
        <v>13.0318867924528</v>
      </c>
      <c r="AO85" s="146" t="n">
        <f aca="false">IFERROR('Price History'!V3+(INDEX('Price History'!V:V,MATCH(9.99E+307,'Price History'!$A:$A))-'Price History'!V3)*(ROW()-3)/(MATCH(9.99E+307,'Returns (Calc)'!$A:$A)-3),"")</f>
        <v>0</v>
      </c>
    </row>
    <row r="86" customFormat="false" ht="15" hidden="false" customHeight="true" outlineLevel="0" collapsed="false">
      <c r="A86" s="142" t="n">
        <f aca="false">IF('Price History'!A87="","",'Price History'!A87)</f>
        <v>45772</v>
      </c>
      <c r="B86" s="143" t="n">
        <f aca="false">IFERROR(IF(OR(NOT(ISNUMBER('Price History'!B87)),NOT(ISNUMBER('Price History'!B86)),'Price History'!B86=0),"",'Price History'!B87/'Price History'!B86-1),"")</f>
        <v>0.0542431192660551</v>
      </c>
      <c r="C86" s="143" t="n">
        <f aca="false">IFERROR(IF(OR(NOT(ISNUMBER('Price History'!C87)),NOT(ISNUMBER('Price History'!C86)),'Price History'!C86=0),"",'Price History'!C87/'Price History'!C86-1),"")</f>
        <v>0.0942415730337078</v>
      </c>
      <c r="D86" s="143" t="n">
        <f aca="false">IFERROR(IF(OR(NOT(ISNUMBER('Price History'!D87)),NOT(ISNUMBER('Price History'!D86)),'Price History'!D86=0),"",'Price History'!D87/'Price History'!D86-1),"")</f>
        <v>0.0579696394686906</v>
      </c>
      <c r="E86" s="143" t="n">
        <f aca="false">IFERROR(IF(OR(NOT(ISNUMBER('Price History'!E87)),NOT(ISNUMBER('Price History'!E86)),'Price History'!E86=0),"",'Price History'!E87/'Price History'!E86-1),"")</f>
        <v>0.124704212020823</v>
      </c>
      <c r="F86" s="143" t="n">
        <f aca="false">IFERROR(IF(OR(NOT(ISNUMBER('Price History'!F87)),NOT(ISNUMBER('Price History'!F86)),'Price History'!F86=0),"",'Price History'!F87/'Price History'!F86-1),"")</f>
        <v>0.0280956013221461</v>
      </c>
      <c r="G86" s="143" t="n">
        <f aca="false">IFERROR(IF(OR(NOT(ISNUMBER('Price History'!G87)),NOT(ISNUMBER('Price History'!G86)),'Price History'!G86=0),"",'Price History'!G87/'Price History'!G86-1),"")</f>
        <v>0.131203407880724</v>
      </c>
      <c r="H86" s="143" t="n">
        <f aca="false">IFERROR(IF(OR(NOT(ISNUMBER('Price History'!H87)),NOT(ISNUMBER('Price History'!H86)),'Price History'!H86=0),"",'Price History'!H87/'Price History'!H86-1),"")</f>
        <v>0.0143300092181347</v>
      </c>
      <c r="I86" s="143" t="n">
        <f aca="false">IFERROR(IF(OR(NOT(ISNUMBER('Price History'!I87)),NOT(ISNUMBER('Price History'!I86)),'Price History'!I86=0),"",'Price History'!I87/'Price History'!I86-1),"")</f>
        <v>0.0948893488298042</v>
      </c>
      <c r="J86" s="143" t="n">
        <f aca="false">IFERROR(IF(OR(NOT(ISNUMBER('Price History'!J87)),NOT(ISNUMBER('Price History'!J86)),'Price History'!J86=0),"",'Price History'!J87/'Price History'!J86-1),"")</f>
        <v>0.159551216669095</v>
      </c>
      <c r="K86" s="143" t="n">
        <f aca="false">IFERROR(IF(OR(NOT(ISNUMBER('Price History'!K87)),NOT(ISNUMBER('Price History'!K86)),'Price History'!K86=0),"",'Price History'!K87/'Price History'!K86-1),"")</f>
        <v>0.0938456979156377</v>
      </c>
      <c r="L86" s="143" t="n">
        <f aca="false">IFERROR(IF(OR(NOT(ISNUMBER('Price History'!L87)),NOT(ISNUMBER('Price History'!L86)),'Price History'!L86=0),"",'Price History'!L87/'Price History'!L86-1),"")</f>
        <v>0.00133758617141666</v>
      </c>
      <c r="M86" s="143" t="n">
        <f aca="false">IFERROR(IF(OR(NOT(ISNUMBER('Price History'!M87)),NOT(ISNUMBER('Price History'!M86)),'Price History'!M86=0),"",'Price History'!M87/'Price History'!M86-1),"")</f>
        <v>0.202601834079761</v>
      </c>
      <c r="N86" s="143" t="n">
        <f aca="false">IFERROR(IF(OR(NOT(ISNUMBER('Price History'!N87)),NOT(ISNUMBER('Price History'!N86)),'Price History'!N86=0),"",'Price History'!N87/'Price History'!N86-1),"")</f>
        <v>0.00996264009962644</v>
      </c>
      <c r="O86" s="143" t="n">
        <f aca="false">IFERROR(IF(OR(NOT(ISNUMBER('Price History'!O87)),NOT(ISNUMBER('Price History'!O86)),'Price History'!O86=0),"",'Price History'!O87/'Price History'!O86-1),"")</f>
        <v>0.0652448113748425</v>
      </c>
      <c r="P86" s="143" t="n">
        <f aca="false">IFERROR(IF(OR(NOT(ISNUMBER('Price History'!P87)),NOT(ISNUMBER('Price History'!P86)),'Price History'!P86=0),"",'Price History'!P87/'Price History'!P86-1),"")</f>
        <v>0.0880439884664386</v>
      </c>
      <c r="Q86" s="143" t="n">
        <f aca="false">IFERROR(IF(OR(NOT(ISNUMBER('Price History'!Q87)),NOT(ISNUMBER('Price History'!Q86)),'Price History'!Q86=0),"",'Price History'!Q87/'Price History'!Q86-1),"")</f>
        <v>0.0168773781760156</v>
      </c>
      <c r="R86" s="143" t="n">
        <f aca="false">IFERROR(IF(OR(NOT(ISNUMBER('Price History'!R87)),NOT(ISNUMBER('Price History'!R86)),'Price History'!R86=0),"",'Price History'!R87/'Price History'!R86-1),"")</f>
        <v>0.00361148070708994</v>
      </c>
      <c r="S86" s="143" t="n">
        <f aca="false">IFERROR(IF(OR(NOT(ISNUMBER('Price History'!S87)),NOT(ISNUMBER('Price History'!S86)),'Price History'!S86=0),"",'Price History'!S87/'Price History'!S86-1),"")</f>
        <v>0.00383549968037511</v>
      </c>
      <c r="T86" s="143" t="n">
        <f aca="false">IFERROR(IF(OR(NOT(ISNUMBER('Price History'!T87)),NOT(ISNUMBER('Price History'!T86)),'Price History'!T86=0),"",'Price History'!T87/'Price History'!T86-1),"")</f>
        <v>0.0170137870343208</v>
      </c>
      <c r="U86" s="143" t="str">
        <f aca="false">IFERROR(IF(OR(NOT(ISNUMBER('Price History'!U87)),NOT(ISNUMBER('Price History'!U86)),'Price History'!U86=0),"",'Price History'!U87/'Price History'!U86-1),"")</f>
        <v/>
      </c>
      <c r="V86" s="144" t="n">
        <f aca="false">IFERROR(IF(OR(NOT(ISNUMBER('Price History'!V87)),NOT(ISNUMBER('Price History'!V86)),'Price History'!V86=0),"",'Price History'!V87/'Price History'!V86-1),"")</f>
        <v>0.0116449213510548</v>
      </c>
      <c r="W86" s="145" t="str">
        <f aca="false">IFERROR('Price History'!B3+(INDEX('Price History'!B:B,MATCH(9.99E+307,'Price History'!$A:$A))-'Price History'!B3)*(ROW()-3)/(MATCH(9.99E+307,'Returns (Calc)'!$A:$A)-3),"")</f>
        <v/>
      </c>
      <c r="X86" s="145" t="n">
        <f aca="false">IFERROR('Price History'!C3+(INDEX('Price History'!C:C,MATCH(9.99E+307,'Price History'!$A:$A))-'Price History'!C3)*(ROW()-3)/(MATCH(9.99E+307,'Returns (Calc)'!$A:$A)-3),"")</f>
        <v>22.0734591194969</v>
      </c>
      <c r="Y86" s="145" t="n">
        <f aca="false">IFERROR('Price History'!D3+(INDEX('Price History'!D:D,MATCH(9.99E+307,'Price History'!$A:$A))-'Price History'!D3)*(ROW()-3)/(MATCH(9.99E+307,'Returns (Calc)'!$A:$A)-3),"")</f>
        <v>278.193459119497</v>
      </c>
      <c r="Z86" s="145" t="n">
        <f aca="false">IFERROR('Price History'!E3+(INDEX('Price History'!E:E,MATCH(9.99E+307,'Price History'!$A:$A))-'Price History'!E3)*(ROW()-3)/(MATCH(9.99E+307,'Returns (Calc)'!$A:$A)-3),"")</f>
        <v>39.1949685534591</v>
      </c>
      <c r="AA86" s="145" t="n">
        <f aca="false">IFERROR('Price History'!F3+(INDEX('Price History'!F:F,MATCH(9.99E+307,'Price History'!$A:$A))-'Price History'!F3)*(ROW()-3)/(MATCH(9.99E+307,'Returns (Calc)'!$A:$A)-3),"")</f>
        <v>35.9972327044025</v>
      </c>
      <c r="AB86" s="145" t="n">
        <f aca="false">IFERROR('Price History'!G3+(INDEX('Price History'!G:G,MATCH(9.99E+307,'Price History'!$A:$A))-'Price History'!G3)*(ROW()-3)/(MATCH(9.99E+307,'Returns (Calc)'!$A:$A)-3),"")</f>
        <v>19.7695597484277</v>
      </c>
      <c r="AC86" s="145" t="n">
        <f aca="false">IFERROR('Price History'!H3+(INDEX('Price History'!H:H,MATCH(9.99E+307,'Price History'!$A:$A))-'Price History'!H3)*(ROW()-3)/(MATCH(9.99E+307,'Returns (Calc)'!$A:$A)-3),"")</f>
        <v>48.0807547169811</v>
      </c>
      <c r="AD86" s="145" t="n">
        <f aca="false">IFERROR('Price History'!I3+(INDEX('Price History'!I:I,MATCH(9.99E+307,'Price History'!$A:$A))-'Price History'!I3)*(ROW()-3)/(MATCH(9.99E+307,'Returns (Calc)'!$A:$A)-3),"")</f>
        <v>21.1987421383648</v>
      </c>
      <c r="AE86" s="145" t="n">
        <f aca="false">IFERROR('Price History'!J3+(INDEX('Price History'!J:J,MATCH(9.99E+307,'Price History'!$A:$A))-'Price History'!J3)*(ROW()-3)/(MATCH(9.99E+307,'Returns (Calc)'!$A:$A)-3),"")</f>
        <v>33.0337106918239</v>
      </c>
      <c r="AF86" s="145" t="n">
        <f aca="false">IFERROR('Price History'!K3+(INDEX('Price History'!K:K,MATCH(9.99E+307,'Price History'!$A:$A))-'Price History'!K3)*(ROW()-3)/(MATCH(9.99E+307,'Returns (Calc)'!$A:$A)-3),"")</f>
        <v>20.9215094339623</v>
      </c>
      <c r="AG86" s="145" t="n">
        <f aca="false">IFERROR('Price History'!L3+(INDEX('Price History'!L:L,MATCH(9.99E+307,'Price History'!$A:$A))-'Price History'!L3)*(ROW()-3)/(MATCH(9.99E+307,'Returns (Calc)'!$A:$A)-3),"")</f>
        <v>53.4581132075472</v>
      </c>
      <c r="AH86" s="145" t="n">
        <f aca="false">IFERROR('Price History'!M3+(INDEX('Price History'!M:M,MATCH(9.99E+307,'Price History'!$A:$A))-'Price History'!M3)*(ROW()-3)/(MATCH(9.99E+307,'Returns (Calc)'!$A:$A)-3),"")</f>
        <v>7.32754716981132</v>
      </c>
      <c r="AI86" s="145" t="n">
        <f aca="false">IFERROR('Price History'!N3+(INDEX('Price History'!N:N,MATCH(9.99E+307,'Price History'!$A:$A))-'Price History'!N3)*(ROW()-3)/(MATCH(9.99E+307,'Returns (Calc)'!$A:$A)-3),"")</f>
        <v>10.4201257861635</v>
      </c>
      <c r="AJ86" s="145" t="n">
        <f aca="false">IFERROR('Price History'!O3+(INDEX('Price History'!O:O,MATCH(9.99E+307,'Price History'!$A:$A))-'Price History'!O3)*(ROW()-3)/(MATCH(9.99E+307,'Returns (Calc)'!$A:$A)-3),"")</f>
        <v>27.5464150943396</v>
      </c>
      <c r="AK86" s="145" t="n">
        <f aca="false">IFERROR('Price History'!Q3+(INDEX('Price History'!Q:Q,MATCH(9.99E+307,'Price History'!$A:$A))-'Price History'!Q3)*(ROW()-3)/(MATCH(9.99E+307,'Returns (Calc)'!$A:$A)-3),"")</f>
        <v>112.628176100629</v>
      </c>
      <c r="AL86" s="145" t="n">
        <f aca="false">IFERROR('Price History'!R3+(INDEX('Price History'!R:R,MATCH(9.99E+307,'Price History'!$A:$A))-'Price History'!R3)*(ROW()-3)/(MATCH(9.99E+307,'Returns (Calc)'!$A:$A)-3),"")</f>
        <v>22.857358490566</v>
      </c>
      <c r="AM86" s="145" t="n">
        <f aca="false">IFERROR('Price History'!S3+(INDEX('Price History'!S:S,MATCH(9.99E+307,'Price History'!$A:$A))-'Price History'!S3)*(ROW()-3)/(MATCH(9.99E+307,'Returns (Calc)'!$A:$A)-3),"")</f>
        <v>27.9813836477987</v>
      </c>
      <c r="AN86" s="145" t="n">
        <f aca="false">IFERROR('Price History'!T3+(INDEX('Price History'!T:T,MATCH(9.99E+307,'Price History'!$A:$A))-'Price History'!T3)*(ROW()-3)/(MATCH(9.99E+307,'Returns (Calc)'!$A:$A)-3),"")</f>
        <v>12.862641509434</v>
      </c>
      <c r="AO86" s="146" t="n">
        <f aca="false">IFERROR('Price History'!V3+(INDEX('Price History'!V:V,MATCH(9.99E+307,'Price History'!$A:$A))-'Price History'!V3)*(ROW()-3)/(MATCH(9.99E+307,'Returns (Calc)'!$A:$A)-3),"")</f>
        <v>0</v>
      </c>
    </row>
    <row r="87" customFormat="false" ht="15" hidden="false" customHeight="true" outlineLevel="0" collapsed="false">
      <c r="A87" s="142" t="n">
        <f aca="false">IF('Price History'!A88="","",'Price History'!A88)</f>
        <v>45779</v>
      </c>
      <c r="B87" s="143" t="n">
        <f aca="false">IFERROR(IF(OR(NOT(ISNUMBER('Price History'!B88)),NOT(ISNUMBER('Price History'!B87)),'Price History'!B87=0),"",'Price History'!B88/'Price History'!B87-1),"")</f>
        <v>0.0357609050364407</v>
      </c>
      <c r="C87" s="143" t="n">
        <f aca="false">IFERROR(IF(OR(NOT(ISNUMBER('Price History'!C88)),NOT(ISNUMBER('Price History'!C87)),'Price History'!C87=0),"",'Price History'!C88/'Price History'!C87-1),"")</f>
        <v>0.168271082017713</v>
      </c>
      <c r="D87" s="143" t="n">
        <f aca="false">IFERROR(IF(OR(NOT(ISNUMBER('Price History'!D88)),NOT(ISNUMBER('Price History'!D87)),'Price History'!D87=0),"",'Price History'!D88/'Price History'!D87-1),"")</f>
        <v>0.0224494066301977</v>
      </c>
      <c r="E87" s="143" t="n">
        <f aca="false">IFERROR(IF(OR(NOT(ISNUMBER('Price History'!E88)),NOT(ISNUMBER('Price History'!E87)),'Price History'!E87=0),"",'Price History'!E88/'Price History'!E87-1),"")</f>
        <v>0.0589101620029455</v>
      </c>
      <c r="F87" s="143" t="n">
        <f aca="false">IFERROR(IF(OR(NOT(ISNUMBER('Price History'!F88)),NOT(ISNUMBER('Price History'!F87)),'Price History'!F87=0),"",'Price History'!F88/'Price History'!F87-1),"")</f>
        <v>0.0338815382712996</v>
      </c>
      <c r="G87" s="143" t="n">
        <f aca="false">IFERROR(IF(OR(NOT(ISNUMBER('Price History'!G88)),NOT(ISNUMBER('Price History'!G87)),'Price History'!G87=0),"",'Price History'!G88/'Price History'!G87-1),"")</f>
        <v>0.0369045377518358</v>
      </c>
      <c r="H87" s="143" t="n">
        <f aca="false">IFERROR(IF(OR(NOT(ISNUMBER('Price History'!H88)),NOT(ISNUMBER('Price History'!H87)),'Price History'!H87=0),"",'Price History'!H88/'Price History'!H87-1),"")</f>
        <v>0.016606080634501</v>
      </c>
      <c r="I87" s="143" t="n">
        <f aca="false">IFERROR(IF(OR(NOT(ISNUMBER('Price History'!I88)),NOT(ISNUMBER('Price History'!I87)),'Price History'!I87=0),"",'Price History'!I88/'Price History'!I87-1),"")</f>
        <v>0.00508942852988237</v>
      </c>
      <c r="J87" s="143" t="n">
        <f aca="false">IFERROR(IF(OR(NOT(ISNUMBER('Price History'!J88)),NOT(ISNUMBER('Price History'!J87)),'Price History'!J87=0),"",'Price History'!J88/'Price History'!J87-1),"")</f>
        <v>0.0116863533551144</v>
      </c>
      <c r="K87" s="143" t="n">
        <f aca="false">IFERROR(IF(OR(NOT(ISNUMBER('Price History'!K88)),NOT(ISNUMBER('Price History'!K87)),'Price History'!K87=0),"",'Price History'!K88/'Price History'!K87-1),"")</f>
        <v>0.0314277973448929</v>
      </c>
      <c r="L87" s="143" t="n">
        <f aca="false">IFERROR(IF(OR(NOT(ISNUMBER('Price History'!L88)),NOT(ISNUMBER('Price History'!L87)),'Price History'!L87=0),"",'Price History'!L88/'Price History'!L87-1),"")</f>
        <v>0.0310316481709825</v>
      </c>
      <c r="M87" s="143" t="n">
        <f aca="false">IFERROR(IF(OR(NOT(ISNUMBER('Price History'!M88)),NOT(ISNUMBER('Price History'!M87)),'Price History'!M87=0),"",'Price History'!M88/'Price History'!M87-1),"")</f>
        <v>0.101968434119525</v>
      </c>
      <c r="N87" s="143" t="n">
        <f aca="false">IFERROR(IF(OR(NOT(ISNUMBER('Price History'!N88)),NOT(ISNUMBER('Price History'!N87)),'Price History'!N87=0),"",'Price History'!N88/'Price History'!N87-1),"")</f>
        <v>0.0152075626798192</v>
      </c>
      <c r="O87" s="143" t="n">
        <f aca="false">IFERROR(IF(OR(NOT(ISNUMBER('Price History'!O88)),NOT(ISNUMBER('Price History'!O87)),'Price History'!O87=0),"",'Price History'!O88/'Price History'!O87-1),"")</f>
        <v>0.0402583423035521</v>
      </c>
      <c r="P87" s="143" t="n">
        <f aca="false">IFERROR(IF(OR(NOT(ISNUMBER('Price History'!P88)),NOT(ISNUMBER('Price History'!P87)),'Price History'!P87=0),"",'Price History'!P88/'Price History'!P87-1),"")</f>
        <v>0.0859115000616295</v>
      </c>
      <c r="Q87" s="143" t="n">
        <f aca="false">IFERROR(IF(OR(NOT(ISNUMBER('Price History'!Q88)),NOT(ISNUMBER('Price History'!Q87)),'Price History'!Q87=0),"",'Price History'!Q88/'Price History'!Q87-1),"")</f>
        <v>0.0370873317641378</v>
      </c>
      <c r="R87" s="143" t="n">
        <f aca="false">IFERROR(IF(OR(NOT(ISNUMBER('Price History'!R88)),NOT(ISNUMBER('Price History'!R87)),'Price History'!R87=0),"",'Price History'!R88/'Price History'!R87-1),"")</f>
        <v>-0.0187499999999999</v>
      </c>
      <c r="S87" s="143" t="n">
        <f aca="false">IFERROR(IF(OR(NOT(ISNUMBER('Price History'!S88)),NOT(ISNUMBER('Price History'!S87)),'Price History'!S87=0),"",'Price History'!S88/'Price History'!S87-1),"")</f>
        <v>-0.0215453194650818</v>
      </c>
      <c r="T87" s="143" t="n">
        <f aca="false">IFERROR(IF(OR(NOT(ISNUMBER('Price History'!T88)),NOT(ISNUMBER('Price History'!T87)),'Price History'!T87=0),"",'Price History'!T88/'Price History'!T87-1),"")</f>
        <v>-0.0164407268531872</v>
      </c>
      <c r="U87" s="143" t="str">
        <f aca="false">IFERROR(IF(OR(NOT(ISNUMBER('Price History'!U88)),NOT(ISNUMBER('Price History'!U87)),'Price History'!U87=0),"",'Price History'!U88/'Price History'!U87-1),"")</f>
        <v/>
      </c>
      <c r="V87" s="144" t="n">
        <f aca="false">IFERROR(IF(OR(NOT(ISNUMBER('Price History'!V88)),NOT(ISNUMBER('Price History'!V87)),'Price History'!V87=0),"",'Price History'!V88/'Price History'!V87-1),"")</f>
        <v>0.0214246971614536</v>
      </c>
      <c r="W87" s="145" t="str">
        <f aca="false">IFERROR('Price History'!B3+(INDEX('Price History'!B:B,MATCH(9.99E+307,'Price History'!$A:$A))-'Price History'!B3)*(ROW()-3)/(MATCH(9.99E+307,'Returns (Calc)'!$A:$A)-3),"")</f>
        <v/>
      </c>
      <c r="X87" s="145" t="n">
        <f aca="false">IFERROR('Price History'!C3+(INDEX('Price History'!C:C,MATCH(9.99E+307,'Price History'!$A:$A))-'Price History'!C3)*(ROW()-3)/(MATCH(9.99E+307,'Returns (Calc)'!$A:$A)-3),"")</f>
        <v>21.7830188679245</v>
      </c>
      <c r="Y87" s="145" t="n">
        <f aca="false">IFERROR('Price History'!D3+(INDEX('Price History'!D:D,MATCH(9.99E+307,'Price History'!$A:$A))-'Price History'!D3)*(ROW()-3)/(MATCH(9.99E+307,'Returns (Calc)'!$A:$A)-3),"")</f>
        <v>274.533018867925</v>
      </c>
      <c r="Z87" s="145" t="n">
        <f aca="false">IFERROR('Price History'!E3+(INDEX('Price History'!E:E,MATCH(9.99E+307,'Price History'!$A:$A))-'Price History'!E3)*(ROW()-3)/(MATCH(9.99E+307,'Returns (Calc)'!$A:$A)-3),"")</f>
        <v>38.6792452830189</v>
      </c>
      <c r="AA87" s="145" t="n">
        <f aca="false">IFERROR('Price History'!F3+(INDEX('Price History'!F:F,MATCH(9.99E+307,'Price History'!$A:$A))-'Price History'!F3)*(ROW()-3)/(MATCH(9.99E+307,'Returns (Calc)'!$A:$A)-3),"")</f>
        <v>35.5235849056604</v>
      </c>
      <c r="AB87" s="145" t="n">
        <f aca="false">IFERROR('Price History'!G3+(INDEX('Price History'!G:G,MATCH(9.99E+307,'Price History'!$A:$A))-'Price History'!G3)*(ROW()-3)/(MATCH(9.99E+307,'Returns (Calc)'!$A:$A)-3),"")</f>
        <v>19.5094339622642</v>
      </c>
      <c r="AC87" s="145" t="n">
        <f aca="false">IFERROR('Price History'!H3+(INDEX('Price History'!H:H,MATCH(9.99E+307,'Price History'!$A:$A))-'Price History'!H3)*(ROW()-3)/(MATCH(9.99E+307,'Returns (Calc)'!$A:$A)-3),"")</f>
        <v>47.4481132075472</v>
      </c>
      <c r="AD87" s="145" t="n">
        <f aca="false">IFERROR('Price History'!I3+(INDEX('Price History'!I:I,MATCH(9.99E+307,'Price History'!$A:$A))-'Price History'!I3)*(ROW()-3)/(MATCH(9.99E+307,'Returns (Calc)'!$A:$A)-3),"")</f>
        <v>20.9198113207547</v>
      </c>
      <c r="AE87" s="145" t="n">
        <f aca="false">IFERROR('Price History'!J3+(INDEX('Price History'!J:J,MATCH(9.99E+307,'Price History'!$A:$A))-'Price History'!J3)*(ROW()-3)/(MATCH(9.99E+307,'Returns (Calc)'!$A:$A)-3),"")</f>
        <v>32.5990566037736</v>
      </c>
      <c r="AF87" s="145" t="n">
        <f aca="false">IFERROR('Price History'!K3+(INDEX('Price History'!K:K,MATCH(9.99E+307,'Price History'!$A:$A))-'Price History'!K3)*(ROW()-3)/(MATCH(9.99E+307,'Returns (Calc)'!$A:$A)-3),"")</f>
        <v>20.6462264150943</v>
      </c>
      <c r="AG87" s="145" t="n">
        <f aca="false">IFERROR('Price History'!L3+(INDEX('Price History'!L:L,MATCH(9.99E+307,'Price History'!$A:$A))-'Price History'!L3)*(ROW()-3)/(MATCH(9.99E+307,'Returns (Calc)'!$A:$A)-3),"")</f>
        <v>52.7547169811321</v>
      </c>
      <c r="AH87" s="145" t="n">
        <f aca="false">IFERROR('Price History'!M3+(INDEX('Price History'!M:M,MATCH(9.99E+307,'Price History'!$A:$A))-'Price History'!M3)*(ROW()-3)/(MATCH(9.99E+307,'Returns (Calc)'!$A:$A)-3),"")</f>
        <v>7.2311320754717</v>
      </c>
      <c r="AI87" s="145" t="n">
        <f aca="false">IFERROR('Price History'!N3+(INDEX('Price History'!N:N,MATCH(9.99E+307,'Price History'!$A:$A))-'Price History'!N3)*(ROW()-3)/(MATCH(9.99E+307,'Returns (Calc)'!$A:$A)-3),"")</f>
        <v>10.2830188679245</v>
      </c>
      <c r="AJ87" s="145" t="n">
        <f aca="false">IFERROR('Price History'!O3+(INDEX('Price History'!O:O,MATCH(9.99E+307,'Price History'!$A:$A))-'Price History'!O3)*(ROW()-3)/(MATCH(9.99E+307,'Returns (Calc)'!$A:$A)-3),"")</f>
        <v>27.1839622641509</v>
      </c>
      <c r="AK87" s="145" t="n">
        <f aca="false">IFERROR('Price History'!Q3+(INDEX('Price History'!Q:Q,MATCH(9.99E+307,'Price History'!$A:$A))-'Price History'!Q3)*(ROW()-3)/(MATCH(9.99E+307,'Returns (Calc)'!$A:$A)-3),"")</f>
        <v>111.146226415094</v>
      </c>
      <c r="AL87" s="145" t="n">
        <f aca="false">IFERROR('Price History'!R3+(INDEX('Price History'!R:R,MATCH(9.99E+307,'Price History'!$A:$A))-'Price History'!R3)*(ROW()-3)/(MATCH(9.99E+307,'Returns (Calc)'!$A:$A)-3),"")</f>
        <v>22.5566037735849</v>
      </c>
      <c r="AM87" s="145" t="n">
        <f aca="false">IFERROR('Price History'!S3+(INDEX('Price History'!S:S,MATCH(9.99E+307,'Price History'!$A:$A))-'Price History'!S3)*(ROW()-3)/(MATCH(9.99E+307,'Returns (Calc)'!$A:$A)-3),"")</f>
        <v>27.6132075471698</v>
      </c>
      <c r="AN87" s="145" t="n">
        <f aca="false">IFERROR('Price History'!T3+(INDEX('Price History'!T:T,MATCH(9.99E+307,'Price History'!$A:$A))-'Price History'!T3)*(ROW()-3)/(MATCH(9.99E+307,'Returns (Calc)'!$A:$A)-3),"")</f>
        <v>12.6933962264151</v>
      </c>
      <c r="AO87" s="146" t="n">
        <f aca="false">IFERROR('Price History'!V3+(INDEX('Price History'!V:V,MATCH(9.99E+307,'Price History'!$A:$A))-'Price History'!V3)*(ROW()-3)/(MATCH(9.99E+307,'Returns (Calc)'!$A:$A)-3),"")</f>
        <v>0</v>
      </c>
    </row>
    <row r="88" customFormat="false" ht="15" hidden="false" customHeight="true" outlineLevel="0" collapsed="false">
      <c r="A88" s="142" t="n">
        <f aca="false">IF('Price History'!A89="","",'Price History'!A89)</f>
        <v>45786</v>
      </c>
      <c r="B88" s="143" t="n">
        <f aca="false">IFERROR(IF(OR(NOT(ISNUMBER('Price History'!B89)),NOT(ISNUMBER('Price History'!B88)),'Price History'!B88=0),"",'Price History'!B89/'Price History'!B88-1),"")</f>
        <v>0.00632761834746765</v>
      </c>
      <c r="C88" s="143" t="n">
        <f aca="false">IFERROR(IF(OR(NOT(ISNUMBER('Price History'!C89)),NOT(ISNUMBER('Price History'!C88)),'Price History'!C88=0),"",'Price History'!C89/'Price History'!C88-1),"")</f>
        <v>-0.049439683586025</v>
      </c>
      <c r="D88" s="143" t="n">
        <f aca="false">IFERROR(IF(OR(NOT(ISNUMBER('Price History'!D89)),NOT(ISNUMBER('Price History'!D88)),'Price History'!D88=0),"",'Price History'!D89/'Price History'!D88-1),"")</f>
        <v>0.0229943866214477</v>
      </c>
      <c r="E88" s="143" t="n">
        <f aca="false">IFERROR(IF(OR(NOT(ISNUMBER('Price History'!E89)),NOT(ISNUMBER('Price History'!E88)),'Price History'!E88=0),"",'Price History'!E89/'Price History'!E88-1),"")</f>
        <v>0.0224021458374728</v>
      </c>
      <c r="F88" s="143" t="n">
        <f aca="false">IFERROR(IF(OR(NOT(ISNUMBER('Price History'!F89)),NOT(ISNUMBER('Price History'!F88)),'Price History'!F88=0),"",'Price History'!F89/'Price History'!F88-1),"")</f>
        <v>0.011601483076187</v>
      </c>
      <c r="G88" s="143" t="n">
        <f aca="false">IFERROR(IF(OR(NOT(ISNUMBER('Price History'!G89)),NOT(ISNUMBER('Price History'!G88)),'Price History'!G88=0),"",'Price History'!G89/'Price History'!G88-1),"")</f>
        <v>-0.0680951516252043</v>
      </c>
      <c r="H88" s="143" t="n">
        <f aca="false">IFERROR(IF(OR(NOT(ISNUMBER('Price History'!H89)),NOT(ISNUMBER('Price History'!H88)),'Price History'!H88=0),"",'Price History'!H89/'Price History'!H88-1),"")</f>
        <v>-0.00121901665989432</v>
      </c>
      <c r="I88" s="143" t="n">
        <f aca="false">IFERROR(IF(OR(NOT(ISNUMBER('Price History'!I89)),NOT(ISNUMBER('Price History'!I88)),'Price History'!I88=0),"",'Price History'!I89/'Price History'!I88-1),"")</f>
        <v>0.00448495370370372</v>
      </c>
      <c r="J88" s="143" t="n">
        <f aca="false">IFERROR(IF(OR(NOT(ISNUMBER('Price History'!J89)),NOT(ISNUMBER('Price History'!J88)),'Price History'!J88=0),"",'Price History'!J89/'Price History'!J88-1),"")</f>
        <v>0.0637187926965595</v>
      </c>
      <c r="K88" s="143" t="n">
        <f aca="false">IFERROR(IF(OR(NOT(ISNUMBER('Price History'!K89)),NOT(ISNUMBER('Price History'!K88)),'Price History'!K88=0),"",'Price History'!K89/'Price History'!K88-1),"")</f>
        <v>0.0188249715436477</v>
      </c>
      <c r="L88" s="143" t="n">
        <f aca="false">IFERROR(IF(OR(NOT(ISNUMBER('Price History'!L89)),NOT(ISNUMBER('Price History'!L88)),'Price History'!L88=0),"",'Price History'!L89/'Price History'!L88-1),"")</f>
        <v>0.0142515447478573</v>
      </c>
      <c r="M88" s="143" t="n">
        <f aca="false">IFERROR(IF(OR(NOT(ISNUMBER('Price History'!M89)),NOT(ISNUMBER('Price History'!M88)),'Price History'!M88=0),"",'Price History'!M89/'Price History'!M88-1),"")</f>
        <v>-0.0561635017701964</v>
      </c>
      <c r="N88" s="143" t="n">
        <f aca="false">IFERROR(IF(OR(NOT(ISNUMBER('Price History'!N89)),NOT(ISNUMBER('Price History'!N88)),'Price History'!N88=0),"",'Price History'!N89/'Price History'!N88-1),"")</f>
        <v>-0.0129554655870445</v>
      </c>
      <c r="O88" s="143" t="n">
        <f aca="false">IFERROR(IF(OR(NOT(ISNUMBER('Price History'!O89)),NOT(ISNUMBER('Price History'!O88)),'Price History'!O88=0),"",'Price History'!O89/'Price History'!O88-1),"")</f>
        <v>0.00693294701986758</v>
      </c>
      <c r="P88" s="143" t="n">
        <f aca="false">IFERROR(IF(OR(NOT(ISNUMBER('Price History'!P89)),NOT(ISNUMBER('Price History'!P88)),'Price History'!P88=0),"",'Price History'!P89/'Price History'!P88-1),"")</f>
        <v>-0.0153802497162314</v>
      </c>
      <c r="Q88" s="143" t="n">
        <f aca="false">IFERROR(IF(OR(NOT(ISNUMBER('Price History'!Q89)),NOT(ISNUMBER('Price History'!Q88)),'Price History'!Q88=0),"",'Price History'!Q89/'Price History'!Q88-1),"")</f>
        <v>0.0141996682864376</v>
      </c>
      <c r="R88" s="143" t="n">
        <f aca="false">IFERROR(IF(OR(NOT(ISNUMBER('Price History'!R89)),NOT(ISNUMBER('Price History'!R88)),'Price History'!R88=0),"",'Price History'!R89/'Price History'!R88-1),"")</f>
        <v>-0.100559737502413</v>
      </c>
      <c r="S88" s="143" t="n">
        <f aca="false">IFERROR(IF(OR(NOT(ISNUMBER('Price History'!S89)),NOT(ISNUMBER('Price History'!S88)),'Price History'!S88=0),"",'Price History'!S89/'Price History'!S88-1),"")</f>
        <v>-0.107061503416857</v>
      </c>
      <c r="T88" s="143" t="n">
        <f aca="false">IFERROR(IF(OR(NOT(ISNUMBER('Price History'!T89)),NOT(ISNUMBER('Price History'!T88)),'Price History'!T88=0),"",'Price History'!T89/'Price History'!T88-1),"")</f>
        <v>-0.092375366568915</v>
      </c>
      <c r="U88" s="143" t="str">
        <f aca="false">IFERROR(IF(OR(NOT(ISNUMBER('Price History'!U89)),NOT(ISNUMBER('Price History'!U88)),'Price History'!U88=0),"",'Price History'!U89/'Price History'!U88-1),"")</f>
        <v/>
      </c>
      <c r="V88" s="144" t="n">
        <f aca="false">IFERROR(IF(OR(NOT(ISNUMBER('Price History'!V89)),NOT(ISNUMBER('Price History'!V88)),'Price History'!V88=0),"",'Price History'!V89/'Price History'!V88-1),"")</f>
        <v>-0.0866743369619731</v>
      </c>
      <c r="W88" s="145" t="str">
        <f aca="false">IFERROR('Price History'!B3+(INDEX('Price History'!B:B,MATCH(9.99E+307,'Price History'!$A:$A))-'Price History'!B3)*(ROW()-3)/(MATCH(9.99E+307,'Returns (Calc)'!$A:$A)-3),"")</f>
        <v/>
      </c>
      <c r="X88" s="145" t="n">
        <f aca="false">IFERROR('Price History'!C3+(INDEX('Price History'!C:C,MATCH(9.99E+307,'Price History'!$A:$A))-'Price History'!C3)*(ROW()-3)/(MATCH(9.99E+307,'Returns (Calc)'!$A:$A)-3),"")</f>
        <v>21.4925786163522</v>
      </c>
      <c r="Y88" s="145" t="n">
        <f aca="false">IFERROR('Price History'!D3+(INDEX('Price History'!D:D,MATCH(9.99E+307,'Price History'!$A:$A))-'Price History'!D3)*(ROW()-3)/(MATCH(9.99E+307,'Returns (Calc)'!$A:$A)-3),"")</f>
        <v>270.872578616352</v>
      </c>
      <c r="Z88" s="145" t="n">
        <f aca="false">IFERROR('Price History'!E3+(INDEX('Price History'!E:E,MATCH(9.99E+307,'Price History'!$A:$A))-'Price History'!E3)*(ROW()-3)/(MATCH(9.99E+307,'Returns (Calc)'!$A:$A)-3),"")</f>
        <v>38.1635220125786</v>
      </c>
      <c r="AA88" s="145" t="n">
        <f aca="false">IFERROR('Price History'!F3+(INDEX('Price History'!F:F,MATCH(9.99E+307,'Price History'!$A:$A))-'Price History'!F3)*(ROW()-3)/(MATCH(9.99E+307,'Returns (Calc)'!$A:$A)-3),"")</f>
        <v>35.0499371069182</v>
      </c>
      <c r="AB88" s="145" t="n">
        <f aca="false">IFERROR('Price History'!G3+(INDEX('Price History'!G:G,MATCH(9.99E+307,'Price History'!$A:$A))-'Price History'!G3)*(ROW()-3)/(MATCH(9.99E+307,'Returns (Calc)'!$A:$A)-3),"")</f>
        <v>19.2493081761006</v>
      </c>
      <c r="AC88" s="145" t="n">
        <f aca="false">IFERROR('Price History'!H3+(INDEX('Price History'!H:H,MATCH(9.99E+307,'Price History'!$A:$A))-'Price History'!H3)*(ROW()-3)/(MATCH(9.99E+307,'Returns (Calc)'!$A:$A)-3),"")</f>
        <v>46.8154716981132</v>
      </c>
      <c r="AD88" s="145" t="n">
        <f aca="false">IFERROR('Price History'!I3+(INDEX('Price History'!I:I,MATCH(9.99E+307,'Price History'!$A:$A))-'Price History'!I3)*(ROW()-3)/(MATCH(9.99E+307,'Returns (Calc)'!$A:$A)-3),"")</f>
        <v>20.6408805031447</v>
      </c>
      <c r="AE88" s="145" t="n">
        <f aca="false">IFERROR('Price History'!J3+(INDEX('Price History'!J:J,MATCH(9.99E+307,'Price History'!$A:$A))-'Price History'!J3)*(ROW()-3)/(MATCH(9.99E+307,'Returns (Calc)'!$A:$A)-3),"")</f>
        <v>32.1644025157233</v>
      </c>
      <c r="AF88" s="145" t="n">
        <f aca="false">IFERROR('Price History'!K3+(INDEX('Price History'!K:K,MATCH(9.99E+307,'Price History'!$A:$A))-'Price History'!K3)*(ROW()-3)/(MATCH(9.99E+307,'Returns (Calc)'!$A:$A)-3),"")</f>
        <v>20.3709433962264</v>
      </c>
      <c r="AG88" s="145" t="n">
        <f aca="false">IFERROR('Price History'!L3+(INDEX('Price History'!L:L,MATCH(9.99E+307,'Price History'!$A:$A))-'Price History'!L3)*(ROW()-3)/(MATCH(9.99E+307,'Returns (Calc)'!$A:$A)-3),"")</f>
        <v>52.051320754717</v>
      </c>
      <c r="AH88" s="145" t="n">
        <f aca="false">IFERROR('Price History'!M3+(INDEX('Price History'!M:M,MATCH(9.99E+307,'Price History'!$A:$A))-'Price History'!M3)*(ROW()-3)/(MATCH(9.99E+307,'Returns (Calc)'!$A:$A)-3),"")</f>
        <v>7.13471698113208</v>
      </c>
      <c r="AI88" s="145" t="n">
        <f aca="false">IFERROR('Price History'!N3+(INDEX('Price History'!N:N,MATCH(9.99E+307,'Price History'!$A:$A))-'Price History'!N3)*(ROW()-3)/(MATCH(9.99E+307,'Returns (Calc)'!$A:$A)-3),"")</f>
        <v>10.1459119496855</v>
      </c>
      <c r="AJ88" s="145" t="n">
        <f aca="false">IFERROR('Price History'!O3+(INDEX('Price History'!O:O,MATCH(9.99E+307,'Price History'!$A:$A))-'Price History'!O3)*(ROW()-3)/(MATCH(9.99E+307,'Returns (Calc)'!$A:$A)-3),"")</f>
        <v>26.8215094339623</v>
      </c>
      <c r="AK88" s="145" t="n">
        <f aca="false">IFERROR('Price History'!Q3+(INDEX('Price History'!Q:Q,MATCH(9.99E+307,'Price History'!$A:$A))-'Price History'!Q3)*(ROW()-3)/(MATCH(9.99E+307,'Returns (Calc)'!$A:$A)-3),"")</f>
        <v>109.66427672956</v>
      </c>
      <c r="AL88" s="145" t="n">
        <f aca="false">IFERROR('Price History'!R3+(INDEX('Price History'!R:R,MATCH(9.99E+307,'Price History'!$A:$A))-'Price History'!R3)*(ROW()-3)/(MATCH(9.99E+307,'Returns (Calc)'!$A:$A)-3),"")</f>
        <v>22.2558490566038</v>
      </c>
      <c r="AM88" s="145" t="n">
        <f aca="false">IFERROR('Price History'!S3+(INDEX('Price History'!S:S,MATCH(9.99E+307,'Price History'!$A:$A))-'Price History'!S3)*(ROW()-3)/(MATCH(9.99E+307,'Returns (Calc)'!$A:$A)-3),"")</f>
        <v>27.2450314465409</v>
      </c>
      <c r="AN88" s="145" t="n">
        <f aca="false">IFERROR('Price History'!T3+(INDEX('Price History'!T:T,MATCH(9.99E+307,'Price History'!$A:$A))-'Price History'!T3)*(ROW()-3)/(MATCH(9.99E+307,'Returns (Calc)'!$A:$A)-3),"")</f>
        <v>12.5241509433962</v>
      </c>
      <c r="AO88" s="146" t="n">
        <f aca="false">IFERROR('Price History'!V3+(INDEX('Price History'!V:V,MATCH(9.99E+307,'Price History'!$A:$A))-'Price History'!V3)*(ROW()-3)/(MATCH(9.99E+307,'Returns (Calc)'!$A:$A)-3),"")</f>
        <v>0</v>
      </c>
    </row>
    <row r="89" customFormat="false" ht="15" hidden="false" customHeight="true" outlineLevel="0" collapsed="false">
      <c r="A89" s="142" t="n">
        <f aca="false">IF('Price History'!A90="","",'Price History'!A90)</f>
        <v>45793</v>
      </c>
      <c r="B89" s="143" t="n">
        <f aca="false">IFERROR(IF(OR(NOT(ISNUMBER('Price History'!B90)),NOT(ISNUMBER('Price History'!B89)),'Price History'!B89=0),"",'Price History'!B90/'Price History'!B89-1),"")</f>
        <v>0.088316635357963</v>
      </c>
      <c r="C89" s="143" t="n">
        <f aca="false">IFERROR(IF(OR(NOT(ISNUMBER('Price History'!C90)),NOT(ISNUMBER('Price History'!C89)),'Price History'!C89=0),"",'Price History'!C90/'Price History'!C89-1),"")</f>
        <v>0.114424410540916</v>
      </c>
      <c r="D89" s="143" t="n">
        <f aca="false">IFERROR(IF(OR(NOT(ISNUMBER('Price History'!D90)),NOT(ISNUMBER('Price History'!D89)),'Price History'!D89=0),"",'Price History'!D90/'Price History'!D89-1),"")</f>
        <v>0.0593161000843088</v>
      </c>
      <c r="E89" s="143" t="n">
        <f aca="false">IFERROR(IF(OR(NOT(ISNUMBER('Price History'!E90)),NOT(ISNUMBER('Price History'!E89)),'Price History'!E89=0),"",'Price History'!E90/'Price History'!E89-1),"")</f>
        <v>0.0979934897731136</v>
      </c>
      <c r="F89" s="143" t="n">
        <f aca="false">IFERROR(IF(OR(NOT(ISNUMBER('Price History'!F90)),NOT(ISNUMBER('Price History'!F89)),'Price History'!F89=0),"",'Price History'!F90/'Price History'!F89-1),"")</f>
        <v>0.0489477417829274</v>
      </c>
      <c r="G89" s="143" t="n">
        <f aca="false">IFERROR(IF(OR(NOT(ISNUMBER('Price History'!G90)),NOT(ISNUMBER('Price History'!G89)),'Price History'!G89=0),"",'Price History'!G90/'Price History'!G89-1),"")</f>
        <v>0.0699532346063911</v>
      </c>
      <c r="H89" s="143" t="n">
        <f aca="false">IFERROR(IF(OR(NOT(ISNUMBER('Price History'!H90)),NOT(ISNUMBER('Price History'!H89)),'Price History'!H89=0),"",'Price History'!H90/'Price History'!H89-1),"")</f>
        <v>0.0320585842148087</v>
      </c>
      <c r="I89" s="143" t="n">
        <f aca="false">IFERROR(IF(OR(NOT(ISNUMBER('Price History'!I90)),NOT(ISNUMBER('Price History'!I89)),'Price History'!I89=0),"",'Price History'!I90/'Price History'!I89-1),"")</f>
        <v>0.128186662825868</v>
      </c>
      <c r="J89" s="143" t="n">
        <f aca="false">IFERROR(IF(OR(NOT(ISNUMBER('Price History'!J90)),NOT(ISNUMBER('Price History'!J89)),'Price History'!J89=0),"",'Price History'!J90/'Price History'!J89-1),"")</f>
        <v>0.14140588510042</v>
      </c>
      <c r="K89" s="143" t="n">
        <f aca="false">IFERROR(IF(OR(NOT(ISNUMBER('Price History'!K90)),NOT(ISNUMBER('Price History'!K89)),'Price History'!K89=0),"",'Price History'!K90/'Price History'!K89-1),"")</f>
        <v>0.160708147129598</v>
      </c>
      <c r="L89" s="143" t="n">
        <f aca="false">IFERROR(IF(OR(NOT(ISNUMBER('Price History'!L90)),NOT(ISNUMBER('Price History'!L89)),'Price History'!L89=0),"",'Price History'!L90/'Price History'!L89-1),"")</f>
        <v>0.033998231305886</v>
      </c>
      <c r="M89" s="143" t="n">
        <f aca="false">IFERROR(IF(OR(NOT(ISNUMBER('Price History'!M90)),NOT(ISNUMBER('Price History'!M89)),'Price History'!M89=0),"",'Price History'!M90/'Price History'!M89-1),"")</f>
        <v>0.104177323103154</v>
      </c>
      <c r="N89" s="143" t="n">
        <f aca="false">IFERROR(IF(OR(NOT(ISNUMBER('Price History'!N90)),NOT(ISNUMBER('Price History'!N89)),'Price History'!N89=0),"",'Price History'!N90/'Price History'!N89-1),"")</f>
        <v>0.0340442986054144</v>
      </c>
      <c r="O89" s="143" t="n">
        <f aca="false">IFERROR(IF(OR(NOT(ISNUMBER('Price History'!O90)),NOT(ISNUMBER('Price History'!O89)),'Price History'!O89=0),"",'Price History'!O90/'Price History'!O89-1),"")</f>
        <v>0.0682355359161444</v>
      </c>
      <c r="P89" s="143" t="n">
        <f aca="false">IFERROR(IF(OR(NOT(ISNUMBER('Price History'!P90)),NOT(ISNUMBER('Price History'!P89)),'Price History'!P89=0),"",'Price History'!P90/'Price History'!P89-1),"")</f>
        <v>0.100236324860222</v>
      </c>
      <c r="Q89" s="143" t="n">
        <f aca="false">IFERROR(IF(OR(NOT(ISNUMBER('Price History'!Q90)),NOT(ISNUMBER('Price History'!Q89)),'Price History'!Q89=0),"",'Price History'!Q90/'Price History'!Q89-1),"")</f>
        <v>0.0374121359919666</v>
      </c>
      <c r="R89" s="143" t="n">
        <f aca="false">IFERROR(IF(OR(NOT(ISNUMBER('Price History'!R90)),NOT(ISNUMBER('Price History'!R89)),'Price History'!R89=0),"",'Price History'!R90/'Price History'!R89-1),"")</f>
        <v>0.0630901287553647</v>
      </c>
      <c r="S89" s="143" t="n">
        <f aca="false">IFERROR(IF(OR(NOT(ISNUMBER('Price History'!S90)),NOT(ISNUMBER('Price History'!S89)),'Price History'!S89=0),"",'Price History'!S90/'Price History'!S89-1),"")</f>
        <v>0.0911078717201166</v>
      </c>
      <c r="T89" s="143" t="n">
        <f aca="false">IFERROR(IF(OR(NOT(ISNUMBER('Price History'!T90)),NOT(ISNUMBER('Price History'!T89)),'Price History'!T89=0),"",'Price History'!T90/'Price History'!T89-1),"")</f>
        <v>0.0197092084006463</v>
      </c>
      <c r="U89" s="143" t="str">
        <f aca="false">IFERROR(IF(OR(NOT(ISNUMBER('Price History'!U90)),NOT(ISNUMBER('Price History'!U89)),'Price History'!U89=0),"",'Price History'!U90/'Price History'!U89-1),"")</f>
        <v/>
      </c>
      <c r="V89" s="144" t="n">
        <f aca="false">IFERROR(IF(OR(NOT(ISNUMBER('Price History'!V90)),NOT(ISNUMBER('Price History'!V89)),'Price History'!V89=0),"",'Price History'!V90/'Price History'!V89-1),"")</f>
        <v>0.0647307729577829</v>
      </c>
      <c r="W89" s="145" t="str">
        <f aca="false">IFERROR('Price History'!B3+(INDEX('Price History'!B:B,MATCH(9.99E+307,'Price History'!$A:$A))-'Price History'!B3)*(ROW()-3)/(MATCH(9.99E+307,'Returns (Calc)'!$A:$A)-3),"")</f>
        <v/>
      </c>
      <c r="X89" s="145" t="n">
        <f aca="false">IFERROR('Price History'!C3+(INDEX('Price History'!C:C,MATCH(9.99E+307,'Price History'!$A:$A))-'Price History'!C3)*(ROW()-3)/(MATCH(9.99E+307,'Returns (Calc)'!$A:$A)-3),"")</f>
        <v>21.2021383647799</v>
      </c>
      <c r="Y89" s="145" t="n">
        <f aca="false">IFERROR('Price History'!D3+(INDEX('Price History'!D:D,MATCH(9.99E+307,'Price History'!$A:$A))-'Price History'!D3)*(ROW()-3)/(MATCH(9.99E+307,'Returns (Calc)'!$A:$A)-3),"")</f>
        <v>267.21213836478</v>
      </c>
      <c r="Z89" s="145" t="n">
        <f aca="false">IFERROR('Price History'!E3+(INDEX('Price History'!E:E,MATCH(9.99E+307,'Price History'!$A:$A))-'Price History'!E3)*(ROW()-3)/(MATCH(9.99E+307,'Returns (Calc)'!$A:$A)-3),"")</f>
        <v>37.6477987421384</v>
      </c>
      <c r="AA89" s="145" t="n">
        <f aca="false">IFERROR('Price History'!F3+(INDEX('Price History'!F:F,MATCH(9.99E+307,'Price History'!$A:$A))-'Price History'!F3)*(ROW()-3)/(MATCH(9.99E+307,'Returns (Calc)'!$A:$A)-3),"")</f>
        <v>34.5762893081761</v>
      </c>
      <c r="AB89" s="145" t="n">
        <f aca="false">IFERROR('Price History'!G3+(INDEX('Price History'!G:G,MATCH(9.99E+307,'Price History'!$A:$A))-'Price History'!G3)*(ROW()-3)/(MATCH(9.99E+307,'Returns (Calc)'!$A:$A)-3),"")</f>
        <v>18.9891823899371</v>
      </c>
      <c r="AC89" s="145" t="n">
        <f aca="false">IFERROR('Price History'!H3+(INDEX('Price History'!H:H,MATCH(9.99E+307,'Price History'!$A:$A))-'Price History'!H3)*(ROW()-3)/(MATCH(9.99E+307,'Returns (Calc)'!$A:$A)-3),"")</f>
        <v>46.1828301886793</v>
      </c>
      <c r="AD89" s="145" t="n">
        <f aca="false">IFERROR('Price History'!I3+(INDEX('Price History'!I:I,MATCH(9.99E+307,'Price History'!$A:$A))-'Price History'!I3)*(ROW()-3)/(MATCH(9.99E+307,'Returns (Calc)'!$A:$A)-3),"")</f>
        <v>20.3619496855346</v>
      </c>
      <c r="AE89" s="145" t="n">
        <f aca="false">IFERROR('Price History'!J3+(INDEX('Price History'!J:J,MATCH(9.99E+307,'Price History'!$A:$A))-'Price History'!J3)*(ROW()-3)/(MATCH(9.99E+307,'Returns (Calc)'!$A:$A)-3),"")</f>
        <v>31.729748427673</v>
      </c>
      <c r="AF89" s="145" t="n">
        <f aca="false">IFERROR('Price History'!K3+(INDEX('Price History'!K:K,MATCH(9.99E+307,'Price History'!$A:$A))-'Price History'!K3)*(ROW()-3)/(MATCH(9.99E+307,'Returns (Calc)'!$A:$A)-3),"")</f>
        <v>20.0956603773585</v>
      </c>
      <c r="AG89" s="145" t="n">
        <f aca="false">IFERROR('Price History'!L3+(INDEX('Price History'!L:L,MATCH(9.99E+307,'Price History'!$A:$A))-'Price History'!L3)*(ROW()-3)/(MATCH(9.99E+307,'Returns (Calc)'!$A:$A)-3),"")</f>
        <v>51.3479245283019</v>
      </c>
      <c r="AH89" s="145" t="n">
        <f aca="false">IFERROR('Price History'!M3+(INDEX('Price History'!M:M,MATCH(9.99E+307,'Price History'!$A:$A))-'Price History'!M3)*(ROW()-3)/(MATCH(9.99E+307,'Returns (Calc)'!$A:$A)-3),"")</f>
        <v>7.03830188679245</v>
      </c>
      <c r="AI89" s="145" t="n">
        <f aca="false">IFERROR('Price History'!N3+(INDEX('Price History'!N:N,MATCH(9.99E+307,'Price History'!$A:$A))-'Price History'!N3)*(ROW()-3)/(MATCH(9.99E+307,'Returns (Calc)'!$A:$A)-3),"")</f>
        <v>10.0088050314465</v>
      </c>
      <c r="AJ89" s="145" t="n">
        <f aca="false">IFERROR('Price History'!O3+(INDEX('Price History'!O:O,MATCH(9.99E+307,'Price History'!$A:$A))-'Price History'!O3)*(ROW()-3)/(MATCH(9.99E+307,'Returns (Calc)'!$A:$A)-3),"")</f>
        <v>26.4590566037736</v>
      </c>
      <c r="AK89" s="145" t="n">
        <f aca="false">IFERROR('Price History'!Q3+(INDEX('Price History'!Q:Q,MATCH(9.99E+307,'Price History'!$A:$A))-'Price History'!Q3)*(ROW()-3)/(MATCH(9.99E+307,'Returns (Calc)'!$A:$A)-3),"")</f>
        <v>108.182327044025</v>
      </c>
      <c r="AL89" s="145" t="n">
        <f aca="false">IFERROR('Price History'!R3+(INDEX('Price History'!R:R,MATCH(9.99E+307,'Price History'!$A:$A))-'Price History'!R3)*(ROW()-3)/(MATCH(9.99E+307,'Returns (Calc)'!$A:$A)-3),"")</f>
        <v>21.9550943396226</v>
      </c>
      <c r="AM89" s="145" t="n">
        <f aca="false">IFERROR('Price History'!S3+(INDEX('Price History'!S:S,MATCH(9.99E+307,'Price History'!$A:$A))-'Price History'!S3)*(ROW()-3)/(MATCH(9.99E+307,'Returns (Calc)'!$A:$A)-3),"")</f>
        <v>26.876855345912</v>
      </c>
      <c r="AN89" s="145" t="n">
        <f aca="false">IFERROR('Price History'!T3+(INDEX('Price History'!T:T,MATCH(9.99E+307,'Price History'!$A:$A))-'Price History'!T3)*(ROW()-3)/(MATCH(9.99E+307,'Returns (Calc)'!$A:$A)-3),"")</f>
        <v>12.3549056603774</v>
      </c>
      <c r="AO89" s="146" t="n">
        <f aca="false">IFERROR('Price History'!V3+(INDEX('Price History'!V:V,MATCH(9.99E+307,'Price History'!$A:$A))-'Price History'!V3)*(ROW()-3)/(MATCH(9.99E+307,'Returns (Calc)'!$A:$A)-3),"")</f>
        <v>0</v>
      </c>
    </row>
    <row r="90" customFormat="false" ht="15" hidden="false" customHeight="true" outlineLevel="0" collapsed="false">
      <c r="A90" s="142" t="n">
        <f aca="false">IF('Price History'!A91="","",'Price History'!A91)</f>
        <v>45800</v>
      </c>
      <c r="B90" s="143" t="n">
        <f aca="false">IFERROR(IF(OR(NOT(ISNUMBER('Price History'!B91)),NOT(ISNUMBER('Price History'!B90)),'Price History'!B90=0),"",'Price History'!B91/'Price History'!B90-1),"")</f>
        <v>-0.0226308345120226</v>
      </c>
      <c r="C90" s="143" t="n">
        <f aca="false">IFERROR(IF(OR(NOT(ISNUMBER('Price History'!C91)),NOT(ISNUMBER('Price History'!C90)),'Price History'!C90=0),"",'Price History'!C91/'Price History'!C90-1),"")</f>
        <v>-0.0541381456129434</v>
      </c>
      <c r="D90" s="143" t="n">
        <f aca="false">IFERROR(IF(OR(NOT(ISNUMBER('Price History'!D91)),NOT(ISNUMBER('Price History'!D90)),'Price History'!D90=0),"",'Price History'!D91/'Price History'!D90-1),"")</f>
        <v>-0.0208546916311445</v>
      </c>
      <c r="E90" s="143" t="n">
        <f aca="false">IFERROR(IF(OR(NOT(ISNUMBER('Price History'!E91)),NOT(ISNUMBER('Price History'!E90)),'Price History'!E90=0),"",'Price History'!E91/'Price History'!E90-1),"")</f>
        <v>0.00048672566371688</v>
      </c>
      <c r="F90" s="143" t="n">
        <f aca="false">IFERROR(IF(OR(NOT(ISNUMBER('Price History'!F91)),NOT(ISNUMBER('Price History'!F90)),'Price History'!F90=0),"",'Price History'!F91/'Price History'!F90-1),"")</f>
        <v>-0.0400135256988278</v>
      </c>
      <c r="G90" s="143" t="n">
        <f aca="false">IFERROR(IF(OR(NOT(ISNUMBER('Price History'!G91)),NOT(ISNUMBER('Price History'!G90)),'Price History'!G90=0),"",'Price History'!G91/'Price History'!G90-1),"")</f>
        <v>0.0371517027863779</v>
      </c>
      <c r="H90" s="143" t="n">
        <f aca="false">IFERROR(IF(OR(NOT(ISNUMBER('Price History'!H91)),NOT(ISNUMBER('Price History'!H90)),'Price History'!H90=0),"",'Price History'!H91/'Price History'!H90-1),"")</f>
        <v>-0.0258593503626616</v>
      </c>
      <c r="I90" s="143" t="n">
        <f aca="false">IFERROR(IF(OR(NOT(ISNUMBER('Price History'!I91)),NOT(ISNUMBER('Price History'!I90)),'Price History'!I90=0),"",'Price History'!I91/'Price History'!I90-1),"")</f>
        <v>-0.0405974722328609</v>
      </c>
      <c r="J90" s="143" t="n">
        <f aca="false">IFERROR(IF(OR(NOT(ISNUMBER('Price History'!J91)),NOT(ISNUMBER('Price History'!J90)),'Price History'!J90=0),"",'Price History'!J91/'Price History'!J90-1),"")</f>
        <v>-0.0472634271099744</v>
      </c>
      <c r="K90" s="143" t="n">
        <f aca="false">IFERROR(IF(OR(NOT(ISNUMBER('Price History'!K91)),NOT(ISNUMBER('Price History'!K90)),'Price History'!K90=0),"",'Price History'!K91/'Price History'!K90-1),"")</f>
        <v>-0.0303568784244039</v>
      </c>
      <c r="L90" s="143" t="n">
        <f aca="false">IFERROR(IF(OR(NOT(ISNUMBER('Price History'!L91)),NOT(ISNUMBER('Price History'!L90)),'Price History'!L90=0),"",'Price History'!L91/'Price History'!L90-1),"")</f>
        <v>-0.0588235294117647</v>
      </c>
      <c r="M90" s="143" t="n">
        <f aca="false">IFERROR(IF(OR(NOT(ISNUMBER('Price History'!M91)),NOT(ISNUMBER('Price History'!M90)),'Price History'!M90=0),"",'Price History'!M91/'Price History'!M90-1),"")</f>
        <v>-0.0479462631253861</v>
      </c>
      <c r="N90" s="143" t="n">
        <f aca="false">IFERROR(IF(OR(NOT(ISNUMBER('Price History'!N91)),NOT(ISNUMBER('Price History'!N90)),'Price History'!N90=0),"",'Price History'!N91/'Price History'!N90-1),"")</f>
        <v>-0.0269734232447442</v>
      </c>
      <c r="O90" s="143" t="n">
        <f aca="false">IFERROR(IF(OR(NOT(ISNUMBER('Price History'!O91)),NOT(ISNUMBER('Price History'!O90)),'Price History'!O90=0),"",'Price History'!O91/'Price History'!O90-1),"")</f>
        <v>-0.0223184223184224</v>
      </c>
      <c r="P90" s="143" t="n">
        <f aca="false">IFERROR(IF(OR(NOT(ISNUMBER('Price History'!P91)),NOT(ISNUMBER('Price History'!P90)),'Price History'!P90=0),"",'Price History'!P91/'Price History'!P90-1),"")</f>
        <v>-0.0115255658005029</v>
      </c>
      <c r="Q90" s="143" t="n">
        <f aca="false">IFERROR(IF(OR(NOT(ISNUMBER('Price History'!Q91)),NOT(ISNUMBER('Price History'!Q90)),'Price History'!Q90=0),"",'Price History'!Q91/'Price History'!Q90-1),"")</f>
        <v>-0.0317210099836831</v>
      </c>
      <c r="R90" s="143" t="n">
        <f aca="false">IFERROR(IF(OR(NOT(ISNUMBER('Price History'!R91)),NOT(ISNUMBER('Price History'!R90)),'Price History'!R90=0),"",'Price History'!R91/'Price History'!R90-1),"")</f>
        <v>-0.0161485668146951</v>
      </c>
      <c r="S90" s="143" t="n">
        <f aca="false">IFERROR(IF(OR(NOT(ISNUMBER('Price History'!S91)),NOT(ISNUMBER('Price History'!S90)),'Price History'!S90=0),"",'Price History'!S91/'Price History'!S90-1),"")</f>
        <v>-0.0173680694722778</v>
      </c>
      <c r="T90" s="143" t="n">
        <f aca="false">IFERROR(IF(OR(NOT(ISNUMBER('Price History'!T91)),NOT(ISNUMBER('Price History'!T90)),'Price History'!T90=0),"",'Price History'!T91/'Price History'!T90-1),"")</f>
        <v>0.00697084917617241</v>
      </c>
      <c r="U90" s="143" t="str">
        <f aca="false">IFERROR(IF(OR(NOT(ISNUMBER('Price History'!U91)),NOT(ISNUMBER('Price History'!U90)),'Price History'!U90=0),"",'Price History'!U91/'Price History'!U90-1),"")</f>
        <v/>
      </c>
      <c r="V90" s="144" t="str">
        <f aca="false">IFERROR(IF(OR(NOT(ISNUMBER('Price History'!V91)),NOT(ISNUMBER('Price History'!V90)),'Price History'!V90=0),"",'Price History'!V91/'Price History'!V90-1),"")</f>
        <v/>
      </c>
      <c r="W90" s="145" t="str">
        <f aca="false">IFERROR('Price History'!B3+(INDEX('Price History'!B:B,MATCH(9.99E+307,'Price History'!$A:$A))-'Price History'!B3)*(ROW()-3)/(MATCH(9.99E+307,'Returns (Calc)'!$A:$A)-3),"")</f>
        <v/>
      </c>
      <c r="X90" s="145" t="n">
        <f aca="false">IFERROR('Price History'!C3+(INDEX('Price History'!C:C,MATCH(9.99E+307,'Price History'!$A:$A))-'Price History'!C3)*(ROW()-3)/(MATCH(9.99E+307,'Returns (Calc)'!$A:$A)-3),"")</f>
        <v>20.9116981132076</v>
      </c>
      <c r="Y90" s="145" t="n">
        <f aca="false">IFERROR('Price History'!D3+(INDEX('Price History'!D:D,MATCH(9.99E+307,'Price History'!$A:$A))-'Price History'!D3)*(ROW()-3)/(MATCH(9.99E+307,'Returns (Calc)'!$A:$A)-3),"")</f>
        <v>263.551698113208</v>
      </c>
      <c r="Z90" s="145" t="n">
        <f aca="false">IFERROR('Price History'!E3+(INDEX('Price History'!E:E,MATCH(9.99E+307,'Price History'!$A:$A))-'Price History'!E3)*(ROW()-3)/(MATCH(9.99E+307,'Returns (Calc)'!$A:$A)-3),"")</f>
        <v>37.1320754716981</v>
      </c>
      <c r="AA90" s="145" t="n">
        <f aca="false">IFERROR('Price History'!F3+(INDEX('Price History'!F:F,MATCH(9.99E+307,'Price History'!$A:$A))-'Price History'!F3)*(ROW()-3)/(MATCH(9.99E+307,'Returns (Calc)'!$A:$A)-3),"")</f>
        <v>34.102641509434</v>
      </c>
      <c r="AB90" s="145" t="n">
        <f aca="false">IFERROR('Price History'!G3+(INDEX('Price History'!G:G,MATCH(9.99E+307,'Price History'!$A:$A))-'Price History'!G3)*(ROW()-3)/(MATCH(9.99E+307,'Returns (Calc)'!$A:$A)-3),"")</f>
        <v>18.7290566037736</v>
      </c>
      <c r="AC90" s="145" t="n">
        <f aca="false">IFERROR('Price History'!H3+(INDEX('Price History'!H:H,MATCH(9.99E+307,'Price History'!$A:$A))-'Price History'!H3)*(ROW()-3)/(MATCH(9.99E+307,'Returns (Calc)'!$A:$A)-3),"")</f>
        <v>45.5501886792453</v>
      </c>
      <c r="AD90" s="145" t="n">
        <f aca="false">IFERROR('Price History'!I3+(INDEX('Price History'!I:I,MATCH(9.99E+307,'Price History'!$A:$A))-'Price History'!I3)*(ROW()-3)/(MATCH(9.99E+307,'Returns (Calc)'!$A:$A)-3),"")</f>
        <v>20.0830188679245</v>
      </c>
      <c r="AE90" s="145" t="n">
        <f aca="false">IFERROR('Price History'!J3+(INDEX('Price History'!J:J,MATCH(9.99E+307,'Price History'!$A:$A))-'Price History'!J3)*(ROW()-3)/(MATCH(9.99E+307,'Returns (Calc)'!$A:$A)-3),"")</f>
        <v>31.2950943396226</v>
      </c>
      <c r="AF90" s="145" t="n">
        <f aca="false">IFERROR('Price History'!K3+(INDEX('Price History'!K:K,MATCH(9.99E+307,'Price History'!$A:$A))-'Price History'!K3)*(ROW()-3)/(MATCH(9.99E+307,'Returns (Calc)'!$A:$A)-3),"")</f>
        <v>19.8203773584906</v>
      </c>
      <c r="AG90" s="145" t="n">
        <f aca="false">IFERROR('Price History'!L3+(INDEX('Price History'!L:L,MATCH(9.99E+307,'Price History'!$A:$A))-'Price History'!L3)*(ROW()-3)/(MATCH(9.99E+307,'Returns (Calc)'!$A:$A)-3),"")</f>
        <v>50.6445283018868</v>
      </c>
      <c r="AH90" s="145" t="n">
        <f aca="false">IFERROR('Price History'!M3+(INDEX('Price History'!M:M,MATCH(9.99E+307,'Price History'!$A:$A))-'Price History'!M3)*(ROW()-3)/(MATCH(9.99E+307,'Returns (Calc)'!$A:$A)-3),"")</f>
        <v>6.94188679245283</v>
      </c>
      <c r="AI90" s="145" t="n">
        <f aca="false">IFERROR('Price History'!N3+(INDEX('Price History'!N:N,MATCH(9.99E+307,'Price History'!$A:$A))-'Price History'!N3)*(ROW()-3)/(MATCH(9.99E+307,'Returns (Calc)'!$A:$A)-3),"")</f>
        <v>9.87169811320755</v>
      </c>
      <c r="AJ90" s="145" t="n">
        <f aca="false">IFERROR('Price History'!O3+(INDEX('Price History'!O:O,MATCH(9.99E+307,'Price History'!$A:$A))-'Price History'!O3)*(ROW()-3)/(MATCH(9.99E+307,'Returns (Calc)'!$A:$A)-3),"")</f>
        <v>26.0966037735849</v>
      </c>
      <c r="AK90" s="145" t="n">
        <f aca="false">IFERROR('Price History'!Q3+(INDEX('Price History'!Q:Q,MATCH(9.99E+307,'Price History'!$A:$A))-'Price History'!Q3)*(ROW()-3)/(MATCH(9.99E+307,'Returns (Calc)'!$A:$A)-3),"")</f>
        <v>106.700377358491</v>
      </c>
      <c r="AL90" s="145" t="n">
        <f aca="false">IFERROR('Price History'!R3+(INDEX('Price History'!R:R,MATCH(9.99E+307,'Price History'!$A:$A))-'Price History'!R3)*(ROW()-3)/(MATCH(9.99E+307,'Returns (Calc)'!$A:$A)-3),"")</f>
        <v>21.6543396226415</v>
      </c>
      <c r="AM90" s="145" t="n">
        <f aca="false">IFERROR('Price History'!S3+(INDEX('Price History'!S:S,MATCH(9.99E+307,'Price History'!$A:$A))-'Price History'!S3)*(ROW()-3)/(MATCH(9.99E+307,'Returns (Calc)'!$A:$A)-3),"")</f>
        <v>26.508679245283</v>
      </c>
      <c r="AN90" s="145" t="n">
        <f aca="false">IFERROR('Price History'!T3+(INDEX('Price History'!T:T,MATCH(9.99E+307,'Price History'!$A:$A))-'Price History'!T3)*(ROW()-3)/(MATCH(9.99E+307,'Returns (Calc)'!$A:$A)-3),"")</f>
        <v>12.1856603773585</v>
      </c>
      <c r="AO90" s="146" t="n">
        <f aca="false">IFERROR('Price History'!V3+(INDEX('Price History'!V:V,MATCH(9.99E+307,'Price History'!$A:$A))-'Price History'!V3)*(ROW()-3)/(MATCH(9.99E+307,'Returns (Calc)'!$A:$A)-3),"")</f>
        <v>0</v>
      </c>
    </row>
    <row r="91" customFormat="false" ht="15" hidden="false" customHeight="true" outlineLevel="0" collapsed="false">
      <c r="A91" s="142" t="n">
        <f aca="false">IF('Price History'!A92="","",'Price History'!A92)</f>
        <v>45807</v>
      </c>
      <c r="B91" s="143" t="n">
        <f aca="false">IFERROR(IF(OR(NOT(ISNUMBER('Price History'!B92)),NOT(ISNUMBER('Price History'!B91)),'Price History'!B91=0),"",'Price History'!B92/'Price History'!B91-1),"")</f>
        <v>0.018151046137997</v>
      </c>
      <c r="C91" s="143" t="n">
        <f aca="false">IFERROR(IF(OR(NOT(ISNUMBER('Price History'!C92)),NOT(ISNUMBER('Price History'!C91)),'Price History'!C91=0),"",'Price History'!C92/'Price History'!C91-1),"")</f>
        <v>-0.05</v>
      </c>
      <c r="D91" s="143" t="n">
        <f aca="false">IFERROR(IF(OR(NOT(ISNUMBER('Price History'!D92)),NOT(ISNUMBER('Price History'!D91)),'Price History'!D91=0),"",'Price History'!D92/'Price History'!D91-1),"")</f>
        <v>0.00584134681619042</v>
      </c>
      <c r="E91" s="143" t="n">
        <f aca="false">IFERROR(IF(OR(NOT(ISNUMBER('Price History'!E92)),NOT(ISNUMBER('Price History'!E91)),'Price History'!E91=0),"",'Price History'!E92/'Price History'!E91-1),"")</f>
        <v>0.0583786652514262</v>
      </c>
      <c r="F91" s="143" t="n">
        <f aca="false">IFERROR(IF(OR(NOT(ISNUMBER('Price History'!F92)),NOT(ISNUMBER('Price History'!F91)),'Price History'!F91=0),"",'Price History'!F92/'Price History'!F91-1),"")</f>
        <v>0.0117412234354819</v>
      </c>
      <c r="G91" s="143" t="n">
        <f aca="false">IFERROR(IF(OR(NOT(ISNUMBER('Price History'!G92)),NOT(ISNUMBER('Price History'!G91)),'Price History'!G91=0),"",'Price History'!G92/'Price History'!G91-1),"")</f>
        <v>0.0345917471466197</v>
      </c>
      <c r="H91" s="143" t="n">
        <f aca="false">IFERROR(IF(OR(NOT(ISNUMBER('Price History'!H92)),NOT(ISNUMBER('Price History'!H91)),'Price History'!H91=0),"",'Price History'!H92/'Price History'!H91-1),"")</f>
        <v>0.00647458724506311</v>
      </c>
      <c r="I91" s="143" t="n">
        <f aca="false">IFERROR(IF(OR(NOT(ISNUMBER('Price History'!I92)),NOT(ISNUMBER('Price History'!I91)),'Price History'!I91=0),"",'Price History'!I92/'Price History'!I91-1),"")</f>
        <v>-0.000399201596806398</v>
      </c>
      <c r="J91" s="143" t="n">
        <f aca="false">IFERROR(IF(OR(NOT(ISNUMBER('Price History'!J92)),NOT(ISNUMBER('Price History'!J91)),'Price History'!J91=0),"",'Price History'!J92/'Price History'!J91-1),"")</f>
        <v>0.0117040695801569</v>
      </c>
      <c r="K91" s="143" t="n">
        <f aca="false">IFERROR(IF(OR(NOT(ISNUMBER('Price History'!K92)),NOT(ISNUMBER('Price History'!K91)),'Price History'!K91=0),"",'Price History'!K92/'Price History'!K91-1),"")</f>
        <v>0.0292455711667683</v>
      </c>
      <c r="L91" s="143" t="n">
        <f aca="false">IFERROR(IF(OR(NOT(ISNUMBER('Price History'!L92)),NOT(ISNUMBER('Price History'!L91)),'Price History'!L91=0),"",'Price History'!L92/'Price History'!L91-1),"")</f>
        <v>0.0438206785137316</v>
      </c>
      <c r="M91" s="143" t="n">
        <f aca="false">IFERROR(IF(OR(NOT(ISNUMBER('Price History'!M92)),NOT(ISNUMBER('Price History'!M91)),'Price History'!M91=0),"",'Price History'!M92/'Price History'!M91-1),"")</f>
        <v>0.0686886708296164</v>
      </c>
      <c r="N91" s="143" t="n">
        <f aca="false">IFERROR(IF(OR(NOT(ISNUMBER('Price History'!N92)),NOT(ISNUMBER('Price History'!N91)),'Price History'!N91=0),"",'Price History'!N92/'Price History'!N91-1),"")</f>
        <v>0.0110069302894416</v>
      </c>
      <c r="O91" s="143" t="n">
        <f aca="false">IFERROR(IF(OR(NOT(ISNUMBER('Price History'!O92)),NOT(ISNUMBER('Price History'!O91)),'Price History'!O91=0),"",'Price History'!O92/'Price History'!O91-1),"")</f>
        <v>0.0243038472891863</v>
      </c>
      <c r="P91" s="143" t="n">
        <f aca="false">IFERROR(IF(OR(NOT(ISNUMBER('Price History'!P92)),NOT(ISNUMBER('Price History'!P91)),'Price History'!P91=0),"",'Price History'!P92/'Price History'!P91-1),"")</f>
        <v>0.00699597201611191</v>
      </c>
      <c r="Q91" s="143" t="n">
        <f aca="false">IFERROR(IF(OR(NOT(ISNUMBER('Price History'!Q92)),NOT(ISNUMBER('Price History'!Q91)),'Price History'!Q91=0),"",'Price History'!Q92/'Price History'!Q91-1),"")</f>
        <v>0.0329601279561294</v>
      </c>
      <c r="R91" s="143" t="n">
        <f aca="false">IFERROR(IF(OR(NOT(ISNUMBER('Price History'!R92)),NOT(ISNUMBER('Price History'!R91)),'Price History'!R91=0),"",'Price History'!R92/'Price History'!R91-1),"")</f>
        <v>0.0482150184653263</v>
      </c>
      <c r="S91" s="143" t="n">
        <f aca="false">IFERROR(IF(OR(NOT(ISNUMBER('Price History'!S92)),NOT(ISNUMBER('Price History'!S91)),'Price History'!S91=0),"",'Price History'!S92/'Price History'!S91-1),"")</f>
        <v>0.0652617267165192</v>
      </c>
      <c r="T91" s="143" t="n">
        <f aca="false">IFERROR(IF(OR(NOT(ISNUMBER('Price History'!T92)),NOT(ISNUMBER('Price History'!T91)),'Price History'!T91=0),"",'Price History'!T92/'Price History'!T91-1),"")</f>
        <v>0.0330396475770924</v>
      </c>
      <c r="U91" s="143" t="str">
        <f aca="false">IFERROR(IF(OR(NOT(ISNUMBER('Price History'!U92)),NOT(ISNUMBER('Price History'!U91)),'Price History'!U91=0),"",'Price History'!U92/'Price History'!U91-1),"")</f>
        <v/>
      </c>
      <c r="V91" s="144" t="str">
        <f aca="false">IFERROR(IF(OR(NOT(ISNUMBER('Price History'!V92)),NOT(ISNUMBER('Price History'!V91)),'Price History'!V91=0),"",'Price History'!V92/'Price History'!V91-1),"")</f>
        <v/>
      </c>
      <c r="W91" s="145" t="str">
        <f aca="false">IFERROR('Price History'!B3+(INDEX('Price History'!B:B,MATCH(9.99E+307,'Price History'!$A:$A))-'Price History'!B3)*(ROW()-3)/(MATCH(9.99E+307,'Returns (Calc)'!$A:$A)-3),"")</f>
        <v/>
      </c>
      <c r="X91" s="145" t="n">
        <f aca="false">IFERROR('Price History'!C3+(INDEX('Price History'!C:C,MATCH(9.99E+307,'Price History'!$A:$A))-'Price History'!C3)*(ROW()-3)/(MATCH(9.99E+307,'Returns (Calc)'!$A:$A)-3),"")</f>
        <v>20.6212578616352</v>
      </c>
      <c r="Y91" s="145" t="n">
        <f aca="false">IFERROR('Price History'!D3+(INDEX('Price History'!D:D,MATCH(9.99E+307,'Price History'!$A:$A))-'Price History'!D3)*(ROW()-3)/(MATCH(9.99E+307,'Returns (Calc)'!$A:$A)-3),"")</f>
        <v>259.891257861635</v>
      </c>
      <c r="Z91" s="145" t="n">
        <f aca="false">IFERROR('Price History'!E3+(INDEX('Price History'!E:E,MATCH(9.99E+307,'Price History'!$A:$A))-'Price History'!E3)*(ROW()-3)/(MATCH(9.99E+307,'Returns (Calc)'!$A:$A)-3),"")</f>
        <v>36.6163522012579</v>
      </c>
      <c r="AA91" s="145" t="n">
        <f aca="false">IFERROR('Price History'!F3+(INDEX('Price History'!F:F,MATCH(9.99E+307,'Price History'!$A:$A))-'Price History'!F3)*(ROW()-3)/(MATCH(9.99E+307,'Returns (Calc)'!$A:$A)-3),"")</f>
        <v>33.6289937106918</v>
      </c>
      <c r="AB91" s="145" t="n">
        <f aca="false">IFERROR('Price History'!G3+(INDEX('Price History'!G:G,MATCH(9.99E+307,'Price History'!$A:$A))-'Price History'!G3)*(ROW()-3)/(MATCH(9.99E+307,'Returns (Calc)'!$A:$A)-3),"")</f>
        <v>18.4689308176101</v>
      </c>
      <c r="AC91" s="145" t="n">
        <f aca="false">IFERROR('Price History'!H3+(INDEX('Price History'!H:H,MATCH(9.99E+307,'Price History'!$A:$A))-'Price History'!H3)*(ROW()-3)/(MATCH(9.99E+307,'Returns (Calc)'!$A:$A)-3),"")</f>
        <v>44.9175471698113</v>
      </c>
      <c r="AD91" s="145" t="n">
        <f aca="false">IFERROR('Price History'!I3+(INDEX('Price History'!I:I,MATCH(9.99E+307,'Price History'!$A:$A))-'Price History'!I3)*(ROW()-3)/(MATCH(9.99E+307,'Returns (Calc)'!$A:$A)-3),"")</f>
        <v>19.8040880503145</v>
      </c>
      <c r="AE91" s="145" t="n">
        <f aca="false">IFERROR('Price History'!J3+(INDEX('Price History'!J:J,MATCH(9.99E+307,'Price History'!$A:$A))-'Price History'!J3)*(ROW()-3)/(MATCH(9.99E+307,'Returns (Calc)'!$A:$A)-3),"")</f>
        <v>30.8604402515723</v>
      </c>
      <c r="AF91" s="145" t="n">
        <f aca="false">IFERROR('Price History'!K3+(INDEX('Price History'!K:K,MATCH(9.99E+307,'Price History'!$A:$A))-'Price History'!K3)*(ROW()-3)/(MATCH(9.99E+307,'Returns (Calc)'!$A:$A)-3),"")</f>
        <v>19.5450943396226</v>
      </c>
      <c r="AG91" s="145" t="n">
        <f aca="false">IFERROR('Price History'!L3+(INDEX('Price History'!L:L,MATCH(9.99E+307,'Price History'!$A:$A))-'Price History'!L3)*(ROW()-3)/(MATCH(9.99E+307,'Returns (Calc)'!$A:$A)-3),"")</f>
        <v>49.9411320754717</v>
      </c>
      <c r="AH91" s="145" t="n">
        <f aca="false">IFERROR('Price History'!M3+(INDEX('Price History'!M:M,MATCH(9.99E+307,'Price History'!$A:$A))-'Price History'!M3)*(ROW()-3)/(MATCH(9.99E+307,'Returns (Calc)'!$A:$A)-3),"")</f>
        <v>6.84547169811321</v>
      </c>
      <c r="AI91" s="145" t="n">
        <f aca="false">IFERROR('Price History'!N3+(INDEX('Price History'!N:N,MATCH(9.99E+307,'Price History'!$A:$A))-'Price History'!N3)*(ROW()-3)/(MATCH(9.99E+307,'Returns (Calc)'!$A:$A)-3),"")</f>
        <v>9.73459119496855</v>
      </c>
      <c r="AJ91" s="145" t="n">
        <f aca="false">IFERROR('Price History'!O3+(INDEX('Price History'!O:O,MATCH(9.99E+307,'Price History'!$A:$A))-'Price History'!O3)*(ROW()-3)/(MATCH(9.99E+307,'Returns (Calc)'!$A:$A)-3),"")</f>
        <v>25.7341509433962</v>
      </c>
      <c r="AK91" s="145" t="n">
        <f aca="false">IFERROR('Price History'!Q3+(INDEX('Price History'!Q:Q,MATCH(9.99E+307,'Price History'!$A:$A))-'Price History'!Q3)*(ROW()-3)/(MATCH(9.99E+307,'Returns (Calc)'!$A:$A)-3),"")</f>
        <v>105.218427672956</v>
      </c>
      <c r="AL91" s="145" t="n">
        <f aca="false">IFERROR('Price History'!R3+(INDEX('Price History'!R:R,MATCH(9.99E+307,'Price History'!$A:$A))-'Price History'!R3)*(ROW()-3)/(MATCH(9.99E+307,'Returns (Calc)'!$A:$A)-3),"")</f>
        <v>21.3535849056604</v>
      </c>
      <c r="AM91" s="145" t="n">
        <f aca="false">IFERROR('Price History'!S3+(INDEX('Price History'!S:S,MATCH(9.99E+307,'Price History'!$A:$A))-'Price History'!S3)*(ROW()-3)/(MATCH(9.99E+307,'Returns (Calc)'!$A:$A)-3),"")</f>
        <v>26.1405031446541</v>
      </c>
      <c r="AN91" s="145" t="n">
        <f aca="false">IFERROR('Price History'!T3+(INDEX('Price History'!T:T,MATCH(9.99E+307,'Price History'!$A:$A))-'Price History'!T3)*(ROW()-3)/(MATCH(9.99E+307,'Returns (Calc)'!$A:$A)-3),"")</f>
        <v>12.0164150943396</v>
      </c>
      <c r="AO91" s="146" t="n">
        <f aca="false">IFERROR('Price History'!V3+(INDEX('Price History'!V:V,MATCH(9.99E+307,'Price History'!$A:$A))-'Price History'!V3)*(ROW()-3)/(MATCH(9.99E+307,'Returns (Calc)'!$A:$A)-3),"")</f>
        <v>0</v>
      </c>
    </row>
    <row r="92" customFormat="false" ht="15" hidden="false" customHeight="true" outlineLevel="0" collapsed="false">
      <c r="A92" s="142" t="n">
        <f aca="false">IF('Price History'!A93="","",'Price History'!A93)</f>
        <v>45814</v>
      </c>
      <c r="B92" s="143" t="n">
        <f aca="false">IFERROR(IF(OR(NOT(ISNUMBER('Price History'!B93)),NOT(ISNUMBER('Price History'!B92)),'Price History'!B92=0),"",'Price History'!B93/'Price History'!B92-1),"")</f>
        <v>0.00440868245440762</v>
      </c>
      <c r="C92" s="143" t="n">
        <f aca="false">IFERROR(IF(OR(NOT(ISNUMBER('Price History'!C93)),NOT(ISNUMBER('Price History'!C92)),'Price History'!C92=0),"",'Price History'!C93/'Price History'!C92-1),"")</f>
        <v>0.122460757156048</v>
      </c>
      <c r="D92" s="143" t="n">
        <f aca="false">IFERROR(IF(OR(NOT(ISNUMBER('Price History'!D93)),NOT(ISNUMBER('Price History'!D92)),'Price History'!D92=0),"",'Price History'!D93/'Price History'!D92-1),"")</f>
        <v>0.0220517737296262</v>
      </c>
      <c r="E92" s="143" t="n">
        <f aca="false">IFERROR(IF(OR(NOT(ISNUMBER('Price History'!E93)),NOT(ISNUMBER('Price History'!E92)),'Price History'!E92=0),"",'Price History'!E93/'Price History'!E92-1),"")</f>
        <v>0.0200576657891438</v>
      </c>
      <c r="F92" s="143" t="n">
        <f aca="false">IFERROR(IF(OR(NOT(ISNUMBER('Price History'!F93)),NOT(ISNUMBER('Price History'!F92)),'Price History'!F92=0),"",'Price History'!F93/'Price History'!F92-1),"")</f>
        <v>0.0184518974120924</v>
      </c>
      <c r="G92" s="143" t="n">
        <f aca="false">IFERROR(IF(OR(NOT(ISNUMBER('Price History'!G93)),NOT(ISNUMBER('Price History'!G92)),'Price History'!G92=0),"",'Price History'!G93/'Price History'!G92-1),"")</f>
        <v>-0.00627970128988464</v>
      </c>
      <c r="H92" s="143" t="n">
        <f aca="false">IFERROR(IF(OR(NOT(ISNUMBER('Price History'!H93)),NOT(ISNUMBER('Price History'!H92)),'Price History'!H92=0),"",'Price History'!H93/'Price History'!H92-1),"")</f>
        <v>0.00369893856545511</v>
      </c>
      <c r="I92" s="143" t="n">
        <f aca="false">IFERROR(IF(OR(NOT(ISNUMBER('Price History'!I93)),NOT(ISNUMBER('Price History'!I92)),'Price History'!I92=0),"",'Price History'!I93/'Price History'!I92-1),"")</f>
        <v>0.0674920127795526</v>
      </c>
      <c r="J92" s="143" t="n">
        <f aca="false">IFERROR(IF(OR(NOT(ISNUMBER('Price History'!J93)),NOT(ISNUMBER('Price History'!J92)),'Price History'!J92=0),"",'Price History'!J93/'Price History'!J92-1),"")</f>
        <v>0.149225217575886</v>
      </c>
      <c r="K92" s="143" t="n">
        <f aca="false">IFERROR(IF(OR(NOT(ISNUMBER('Price History'!K93)),NOT(ISNUMBER('Price History'!K92)),'Price History'!K92=0),"",'Price History'!K93/'Price History'!K92-1),"")</f>
        <v>0.048742488315157</v>
      </c>
      <c r="L92" s="143" t="n">
        <f aca="false">IFERROR(IF(OR(NOT(ISNUMBER('Price History'!L93)),NOT(ISNUMBER('Price History'!L92)),'Price History'!L92=0),"",'Price History'!L93/'Price History'!L92-1),"")</f>
        <v>0.0017411491584447</v>
      </c>
      <c r="M92" s="143" t="n">
        <f aca="false">IFERROR(IF(OR(NOT(ISNUMBER('Price History'!M93)),NOT(ISNUMBER('Price History'!M92)),'Price History'!M92=0),"",'Price History'!M93/'Price History'!M92-1),"")</f>
        <v>-0.0308089239641828</v>
      </c>
      <c r="N92" s="143" t="n">
        <f aca="false">IFERROR(IF(OR(NOT(ISNUMBER('Price History'!N93)),NOT(ISNUMBER('Price History'!N92)),'Price History'!N92=0),"",'Price History'!N93/'Price History'!N92-1),"")</f>
        <v>0.0141129032258063</v>
      </c>
      <c r="O92" s="143" t="n">
        <f aca="false">IFERROR(IF(OR(NOT(ISNUMBER('Price History'!O93)),NOT(ISNUMBER('Price History'!O92)),'Price History'!O92=0),"",'Price History'!O93/'Price History'!O92-1),"")</f>
        <v>0.0148895292987512</v>
      </c>
      <c r="P92" s="143" t="n">
        <f aca="false">IFERROR(IF(OR(NOT(ISNUMBER('Price History'!P93)),NOT(ISNUMBER('Price History'!P92)),'Price History'!P92=0),"",'Price History'!P93/'Price History'!P92-1),"")</f>
        <v>0.0613684210526315</v>
      </c>
      <c r="Q92" s="143" t="n">
        <f aca="false">IFERROR(IF(OR(NOT(ISNUMBER('Price History'!Q93)),NOT(ISNUMBER('Price History'!Q92)),'Price History'!Q92=0),"",'Price History'!Q93/'Price History'!Q92-1),"")</f>
        <v>0.0137698390753747</v>
      </c>
      <c r="R92" s="143" t="n">
        <f aca="false">IFERROR(IF(OR(NOT(ISNUMBER('Price History'!R93)),NOT(ISNUMBER('Price History'!R92)),'Price History'!R92=0),"",'Price History'!R93/'Price History'!R92-1),"")</f>
        <v>0.00782932080641996</v>
      </c>
      <c r="S92" s="143" t="n">
        <f aca="false">IFERROR(IF(OR(NOT(ISNUMBER('Price History'!S93)),NOT(ISNUMBER('Price History'!S92)),'Price History'!S92=0),"",'Price History'!S93/'Price History'!S92-1),"")</f>
        <v>0.0402042118698149</v>
      </c>
      <c r="T92" s="143" t="n">
        <f aca="false">IFERROR(IF(OR(NOT(ISNUMBER('Price History'!T93)),NOT(ISNUMBER('Price History'!T92)),'Price History'!T92=0),"",'Price History'!T93/'Price History'!T92-1),"")</f>
        <v>0.0191897654584223</v>
      </c>
      <c r="U92" s="143" t="str">
        <f aca="false">IFERROR(IF(OR(NOT(ISNUMBER('Price History'!U93)),NOT(ISNUMBER('Price History'!U92)),'Price History'!U92=0),"",'Price History'!U93/'Price History'!U92-1),"")</f>
        <v/>
      </c>
      <c r="V92" s="144" t="n">
        <f aca="false">IFERROR(IF(OR(NOT(ISNUMBER('Price History'!V93)),NOT(ISNUMBER('Price History'!V92)),'Price History'!V92=0),"",'Price History'!V93/'Price History'!V92-1),"")</f>
        <v>0.0370873317641378</v>
      </c>
      <c r="W92" s="145" t="str">
        <f aca="false">IFERROR('Price History'!B3+(INDEX('Price History'!B:B,MATCH(9.99E+307,'Price History'!$A:$A))-'Price History'!B3)*(ROW()-3)/(MATCH(9.99E+307,'Returns (Calc)'!$A:$A)-3),"")</f>
        <v/>
      </c>
      <c r="X92" s="145" t="n">
        <f aca="false">IFERROR('Price History'!C3+(INDEX('Price History'!C:C,MATCH(9.99E+307,'Price History'!$A:$A))-'Price History'!C3)*(ROW()-3)/(MATCH(9.99E+307,'Returns (Calc)'!$A:$A)-3),"")</f>
        <v>20.3308176100629</v>
      </c>
      <c r="Y92" s="145" t="n">
        <f aca="false">IFERROR('Price History'!D3+(INDEX('Price History'!D:D,MATCH(9.99E+307,'Price History'!$A:$A))-'Price History'!D3)*(ROW()-3)/(MATCH(9.99E+307,'Returns (Calc)'!$A:$A)-3),"")</f>
        <v>256.230817610063</v>
      </c>
      <c r="Z92" s="145" t="n">
        <f aca="false">IFERROR('Price History'!E3+(INDEX('Price History'!E:E,MATCH(9.99E+307,'Price History'!$A:$A))-'Price History'!E3)*(ROW()-3)/(MATCH(9.99E+307,'Returns (Calc)'!$A:$A)-3),"")</f>
        <v>36.1006289308176</v>
      </c>
      <c r="AA92" s="145" t="n">
        <f aca="false">IFERROR('Price History'!F3+(INDEX('Price History'!F:F,MATCH(9.99E+307,'Price History'!$A:$A))-'Price History'!F3)*(ROW()-3)/(MATCH(9.99E+307,'Returns (Calc)'!$A:$A)-3),"")</f>
        <v>33.1553459119497</v>
      </c>
      <c r="AB92" s="145" t="n">
        <f aca="false">IFERROR('Price History'!G3+(INDEX('Price History'!G:G,MATCH(9.99E+307,'Price History'!$A:$A))-'Price History'!G3)*(ROW()-3)/(MATCH(9.99E+307,'Returns (Calc)'!$A:$A)-3),"")</f>
        <v>18.2088050314465</v>
      </c>
      <c r="AC92" s="145" t="n">
        <f aca="false">IFERROR('Price History'!H3+(INDEX('Price History'!H:H,MATCH(9.99E+307,'Price History'!$A:$A))-'Price History'!H3)*(ROW()-3)/(MATCH(9.99E+307,'Returns (Calc)'!$A:$A)-3),"")</f>
        <v>44.2849056603774</v>
      </c>
      <c r="AD92" s="145" t="n">
        <f aca="false">IFERROR('Price History'!I3+(INDEX('Price History'!I:I,MATCH(9.99E+307,'Price History'!$A:$A))-'Price History'!I3)*(ROW()-3)/(MATCH(9.99E+307,'Returns (Calc)'!$A:$A)-3),"")</f>
        <v>19.5251572327044</v>
      </c>
      <c r="AE92" s="145" t="n">
        <f aca="false">IFERROR('Price History'!J3+(INDEX('Price History'!J:J,MATCH(9.99E+307,'Price History'!$A:$A))-'Price History'!J3)*(ROW()-3)/(MATCH(9.99E+307,'Returns (Calc)'!$A:$A)-3),"")</f>
        <v>30.425786163522</v>
      </c>
      <c r="AF92" s="145" t="n">
        <f aca="false">IFERROR('Price History'!K3+(INDEX('Price History'!K:K,MATCH(9.99E+307,'Price History'!$A:$A))-'Price History'!K3)*(ROW()-3)/(MATCH(9.99E+307,'Returns (Calc)'!$A:$A)-3),"")</f>
        <v>19.2698113207547</v>
      </c>
      <c r="AG92" s="145" t="n">
        <f aca="false">IFERROR('Price History'!L3+(INDEX('Price History'!L:L,MATCH(9.99E+307,'Price History'!$A:$A))-'Price History'!L3)*(ROW()-3)/(MATCH(9.99E+307,'Returns (Calc)'!$A:$A)-3),"")</f>
        <v>49.2377358490566</v>
      </c>
      <c r="AH92" s="145" t="n">
        <f aca="false">IFERROR('Price History'!M3+(INDEX('Price History'!M:M,MATCH(9.99E+307,'Price History'!$A:$A))-'Price History'!M3)*(ROW()-3)/(MATCH(9.99E+307,'Returns (Calc)'!$A:$A)-3),"")</f>
        <v>6.74905660377358</v>
      </c>
      <c r="AI92" s="145" t="n">
        <f aca="false">IFERROR('Price History'!N3+(INDEX('Price History'!N:N,MATCH(9.99E+307,'Price History'!$A:$A))-'Price History'!N3)*(ROW()-3)/(MATCH(9.99E+307,'Returns (Calc)'!$A:$A)-3),"")</f>
        <v>9.59748427672956</v>
      </c>
      <c r="AJ92" s="145" t="n">
        <f aca="false">IFERROR('Price History'!O3+(INDEX('Price History'!O:O,MATCH(9.99E+307,'Price History'!$A:$A))-'Price History'!O3)*(ROW()-3)/(MATCH(9.99E+307,'Returns (Calc)'!$A:$A)-3),"")</f>
        <v>25.3716981132075</v>
      </c>
      <c r="AK92" s="145" t="n">
        <f aca="false">IFERROR('Price History'!Q3+(INDEX('Price History'!Q:Q,MATCH(9.99E+307,'Price History'!$A:$A))-'Price History'!Q3)*(ROW()-3)/(MATCH(9.99E+307,'Returns (Calc)'!$A:$A)-3),"")</f>
        <v>103.736477987421</v>
      </c>
      <c r="AL92" s="145" t="n">
        <f aca="false">IFERROR('Price History'!R3+(INDEX('Price History'!R:R,MATCH(9.99E+307,'Price History'!$A:$A))-'Price History'!R3)*(ROW()-3)/(MATCH(9.99E+307,'Returns (Calc)'!$A:$A)-3),"")</f>
        <v>21.0528301886792</v>
      </c>
      <c r="AM92" s="145" t="n">
        <f aca="false">IFERROR('Price History'!S3+(INDEX('Price History'!S:S,MATCH(9.99E+307,'Price History'!$A:$A))-'Price History'!S3)*(ROW()-3)/(MATCH(9.99E+307,'Returns (Calc)'!$A:$A)-3),"")</f>
        <v>25.7723270440252</v>
      </c>
      <c r="AN92" s="145" t="n">
        <f aca="false">IFERROR('Price History'!T3+(INDEX('Price History'!T:T,MATCH(9.99E+307,'Price History'!$A:$A))-'Price History'!T3)*(ROW()-3)/(MATCH(9.99E+307,'Returns (Calc)'!$A:$A)-3),"")</f>
        <v>11.8471698113208</v>
      </c>
      <c r="AO92" s="146" t="n">
        <f aca="false">IFERROR('Price History'!V3+(INDEX('Price History'!V:V,MATCH(9.99E+307,'Price History'!$A:$A))-'Price History'!V3)*(ROW()-3)/(MATCH(9.99E+307,'Returns (Calc)'!$A:$A)-3),"")</f>
        <v>0</v>
      </c>
    </row>
    <row r="93" customFormat="false" ht="15" hidden="false" customHeight="true" outlineLevel="0" collapsed="false">
      <c r="A93" s="142" t="n">
        <f aca="false">IF('Price History'!A94="","",'Price History'!A94)</f>
        <v>45821</v>
      </c>
      <c r="B93" s="143" t="n">
        <f aca="false">IFERROR(IF(OR(NOT(ISNUMBER('Price History'!B94)),NOT(ISNUMBER('Price History'!B93)),'Price History'!B93=0),"",'Price History'!B94/'Price History'!B93-1),"")</f>
        <v>-0.06053919217116</v>
      </c>
      <c r="C93" s="143" t="n">
        <f aca="false">IFERROR(IF(OR(NOT(ISNUMBER('Price History'!C94)),NOT(ISNUMBER('Price History'!C93)),'Price History'!C93=0),"",'Price History'!C94/'Price History'!C93-1),"")</f>
        <v>-0.0503856041131106</v>
      </c>
      <c r="D93" s="143" t="n">
        <f aca="false">IFERROR(IF(OR(NOT(ISNUMBER('Price History'!D94)),NOT(ISNUMBER('Price History'!D93)),'Price History'!D93=0),"",'Price History'!D94/'Price History'!D93-1),"")</f>
        <v>0.0106003752345216</v>
      </c>
      <c r="E93" s="143" t="n">
        <f aca="false">IFERROR(IF(OR(NOT(ISNUMBER('Price History'!E94)),NOT(ISNUMBER('Price History'!E93)),'Price History'!E93=0),"",'Price History'!E94/'Price History'!E93-1),"")</f>
        <v>0.00716889926672404</v>
      </c>
      <c r="F93" s="143" t="n">
        <f aca="false">IFERROR(IF(OR(NOT(ISNUMBER('Price History'!F94)),NOT(ISNUMBER('Price History'!F93)),'Price History'!F93=0),"",'Price History'!F94/'Price History'!F93-1),"")</f>
        <v>-0.00603919781221518</v>
      </c>
      <c r="G93" s="143" t="n">
        <f aca="false">IFERROR(IF(OR(NOT(ISNUMBER('Price History'!G94)),NOT(ISNUMBER('Price History'!G93)),'Price History'!G93=0),"",'Price History'!G94/'Price History'!G93-1),"")</f>
        <v>0.0260461144321094</v>
      </c>
      <c r="H93" s="143" t="n">
        <f aca="false">IFERROR(IF(OR(NOT(ISNUMBER('Price History'!H94)),NOT(ISNUMBER('Price History'!H93)),'Price History'!H93=0),"",'Price History'!H94/'Price History'!H93-1),"")</f>
        <v>-0.00352507610959785</v>
      </c>
      <c r="I93" s="143" t="n">
        <f aca="false">IFERROR(IF(OR(NOT(ISNUMBER('Price History'!I94)),NOT(ISNUMBER('Price History'!I93)),'Price History'!I93=0),"",'Price History'!I94/'Price History'!I93-1),"")</f>
        <v>0.073824666417259</v>
      </c>
      <c r="J93" s="143" t="n">
        <f aca="false">IFERROR(IF(OR(NOT(ISNUMBER('Price History'!J94)),NOT(ISNUMBER('Price History'!J93)),'Price History'!J93=0),"",'Price History'!J94/'Price History'!J93-1),"")</f>
        <v>0.0649242704100481</v>
      </c>
      <c r="K93" s="143" t="n">
        <f aca="false">IFERROR(IF(OR(NOT(ISNUMBER('Price History'!K94)),NOT(ISNUMBER('Price History'!K93)),'Price History'!K93=0),"",'Price History'!K94/'Price History'!K93-1),"")</f>
        <v>0.00183927560837582</v>
      </c>
      <c r="L93" s="143" t="n">
        <f aca="false">IFERROR(IF(OR(NOT(ISNUMBER('Price History'!L94)),NOT(ISNUMBER('Price History'!L93)),'Price History'!L93=0),"",'Price History'!L94/'Price History'!L93-1),"")</f>
        <v>-0.0139049826187717</v>
      </c>
      <c r="M93" s="143" t="n">
        <f aca="false">IFERROR(IF(OR(NOT(ISNUMBER('Price History'!M94)),NOT(ISNUMBER('Price History'!M93)),'Price History'!M93=0),"",'Price History'!M94/'Price History'!M93-1),"")</f>
        <v>0.0757907923582839</v>
      </c>
      <c r="N93" s="143" t="n">
        <f aca="false">IFERROR(IF(OR(NOT(ISNUMBER('Price History'!N94)),NOT(ISNUMBER('Price History'!N93)),'Price History'!N93=0),"",'Price History'!N94/'Price History'!N93-1),"")</f>
        <v>0.0135188866799205</v>
      </c>
      <c r="O93" s="143" t="n">
        <f aca="false">IFERROR(IF(OR(NOT(ISNUMBER('Price History'!O94)),NOT(ISNUMBER('Price History'!O93)),'Price History'!O93=0),"",'Price History'!O94/'Price History'!O93-1),"")</f>
        <v>-0.00709891150023667</v>
      </c>
      <c r="P93" s="143" t="n">
        <f aca="false">IFERROR(IF(OR(NOT(ISNUMBER('Price History'!P94)),NOT(ISNUMBER('Price History'!P93)),'Price History'!P93=0),"",'Price History'!P94/'Price History'!P93-1),"")</f>
        <v>0.0325795894079144</v>
      </c>
      <c r="Q93" s="143" t="n">
        <f aca="false">IFERROR(IF(OR(NOT(ISNUMBER('Price History'!Q94)),NOT(ISNUMBER('Price History'!Q93)),'Price History'!Q93=0),"",'Price History'!Q94/'Price History'!Q93-1),"")</f>
        <v>-0.0469125027274711</v>
      </c>
      <c r="R93" s="143" t="n">
        <f aca="false">IFERROR(IF(OR(NOT(ISNUMBER('Price History'!R94)),NOT(ISNUMBER('Price History'!R93)),'Price History'!R93=0),"",'Price History'!R94/'Price History'!R93-1),"")</f>
        <v>0.00271897455816661</v>
      </c>
      <c r="S93" s="143" t="n">
        <f aca="false">IFERROR(IF(OR(NOT(ISNUMBER('Price History'!S94)),NOT(ISNUMBER('Price History'!S93)),'Price History'!S93=0),"",'Price History'!S94/'Price History'!S93-1),"")</f>
        <v>0.00695296523517386</v>
      </c>
      <c r="T93" s="143" t="n">
        <f aca="false">IFERROR(IF(OR(NOT(ISNUMBER('Price History'!T94)),NOT(ISNUMBER('Price History'!T93)),'Price History'!T93=0),"",'Price History'!T94/'Price History'!T93-1),"")</f>
        <v>-0.00179318589360433</v>
      </c>
      <c r="U93" s="143" t="str">
        <f aca="false">IFERROR(IF(OR(NOT(ISNUMBER('Price History'!U94)),NOT(ISNUMBER('Price History'!U93)),'Price History'!U93=0),"",'Price History'!U94/'Price History'!U93-1),"")</f>
        <v/>
      </c>
      <c r="V93" s="144" t="n">
        <f aca="false">IFERROR(IF(OR(NOT(ISNUMBER('Price History'!V94)),NOT(ISNUMBER('Price History'!V93)),'Price History'!V93=0),"",'Price History'!V94/'Price History'!V93-1),"")</f>
        <v>0.0141996682864376</v>
      </c>
      <c r="W93" s="145" t="str">
        <f aca="false">IFERROR('Price History'!B3+(INDEX('Price History'!B:B,MATCH(9.99E+307,'Price History'!$A:$A))-'Price History'!B3)*(ROW()-3)/(MATCH(9.99E+307,'Returns (Calc)'!$A:$A)-3),"")</f>
        <v/>
      </c>
      <c r="X93" s="145" t="n">
        <f aca="false">IFERROR('Price History'!C3+(INDEX('Price History'!C:C,MATCH(9.99E+307,'Price History'!$A:$A))-'Price History'!C3)*(ROW()-3)/(MATCH(9.99E+307,'Returns (Calc)'!$A:$A)-3),"")</f>
        <v>20.0403773584906</v>
      </c>
      <c r="Y93" s="145" t="n">
        <f aca="false">IFERROR('Price History'!D3+(INDEX('Price History'!D:D,MATCH(9.99E+307,'Price History'!$A:$A))-'Price History'!D3)*(ROW()-3)/(MATCH(9.99E+307,'Returns (Calc)'!$A:$A)-3),"")</f>
        <v>252.570377358491</v>
      </c>
      <c r="Z93" s="145" t="n">
        <f aca="false">IFERROR('Price History'!E3+(INDEX('Price History'!E:E,MATCH(9.99E+307,'Price History'!$A:$A))-'Price History'!E3)*(ROW()-3)/(MATCH(9.99E+307,'Returns (Calc)'!$A:$A)-3),"")</f>
        <v>35.5849056603774</v>
      </c>
      <c r="AA93" s="145" t="n">
        <f aca="false">IFERROR('Price History'!F3+(INDEX('Price History'!F:F,MATCH(9.99E+307,'Price History'!$A:$A))-'Price History'!F3)*(ROW()-3)/(MATCH(9.99E+307,'Returns (Calc)'!$A:$A)-3),"")</f>
        <v>32.6816981132075</v>
      </c>
      <c r="AB93" s="145" t="n">
        <f aca="false">IFERROR('Price History'!G3+(INDEX('Price History'!G:G,MATCH(9.99E+307,'Price History'!$A:$A))-'Price History'!G3)*(ROW()-3)/(MATCH(9.99E+307,'Returns (Calc)'!$A:$A)-3),"")</f>
        <v>17.948679245283</v>
      </c>
      <c r="AC93" s="145" t="n">
        <f aca="false">IFERROR('Price History'!H3+(INDEX('Price History'!H:H,MATCH(9.99E+307,'Price History'!$A:$A))-'Price History'!H3)*(ROW()-3)/(MATCH(9.99E+307,'Returns (Calc)'!$A:$A)-3),"")</f>
        <v>43.6522641509434</v>
      </c>
      <c r="AD93" s="145" t="n">
        <f aca="false">IFERROR('Price History'!I3+(INDEX('Price History'!I:I,MATCH(9.99E+307,'Price History'!$A:$A))-'Price History'!I3)*(ROW()-3)/(MATCH(9.99E+307,'Returns (Calc)'!$A:$A)-3),"")</f>
        <v>19.2462264150943</v>
      </c>
      <c r="AE93" s="145" t="n">
        <f aca="false">IFERROR('Price History'!J3+(INDEX('Price History'!J:J,MATCH(9.99E+307,'Price History'!$A:$A))-'Price History'!J3)*(ROW()-3)/(MATCH(9.99E+307,'Returns (Calc)'!$A:$A)-3),"")</f>
        <v>29.9911320754717</v>
      </c>
      <c r="AF93" s="145" t="n">
        <f aca="false">IFERROR('Price History'!K3+(INDEX('Price History'!K:K,MATCH(9.99E+307,'Price History'!$A:$A))-'Price History'!K3)*(ROW()-3)/(MATCH(9.99E+307,'Returns (Calc)'!$A:$A)-3),"")</f>
        <v>18.9945283018868</v>
      </c>
      <c r="AG93" s="145" t="n">
        <f aca="false">IFERROR('Price History'!L3+(INDEX('Price History'!L:L,MATCH(9.99E+307,'Price History'!$A:$A))-'Price History'!L3)*(ROW()-3)/(MATCH(9.99E+307,'Returns (Calc)'!$A:$A)-3),"")</f>
        <v>48.5343396226415</v>
      </c>
      <c r="AH93" s="145" t="n">
        <f aca="false">IFERROR('Price History'!M3+(INDEX('Price History'!M:M,MATCH(9.99E+307,'Price History'!$A:$A))-'Price History'!M3)*(ROW()-3)/(MATCH(9.99E+307,'Returns (Calc)'!$A:$A)-3),"")</f>
        <v>6.65264150943396</v>
      </c>
      <c r="AI93" s="145" t="n">
        <f aca="false">IFERROR('Price History'!N3+(INDEX('Price History'!N:N,MATCH(9.99E+307,'Price History'!$A:$A))-'Price History'!N3)*(ROW()-3)/(MATCH(9.99E+307,'Returns (Calc)'!$A:$A)-3),"")</f>
        <v>9.46037735849057</v>
      </c>
      <c r="AJ93" s="145" t="n">
        <f aca="false">IFERROR('Price History'!O3+(INDEX('Price History'!O:O,MATCH(9.99E+307,'Price History'!$A:$A))-'Price History'!O3)*(ROW()-3)/(MATCH(9.99E+307,'Returns (Calc)'!$A:$A)-3),"")</f>
        <v>25.0092452830189</v>
      </c>
      <c r="AK93" s="145" t="n">
        <f aca="false">IFERROR('Price History'!Q3+(INDEX('Price History'!Q:Q,MATCH(9.99E+307,'Price History'!$A:$A))-'Price History'!Q3)*(ROW()-3)/(MATCH(9.99E+307,'Returns (Calc)'!$A:$A)-3),"")</f>
        <v>102.254528301887</v>
      </c>
      <c r="AL93" s="145" t="n">
        <f aca="false">IFERROR('Price History'!R3+(INDEX('Price History'!R:R,MATCH(9.99E+307,'Price History'!$A:$A))-'Price History'!R3)*(ROW()-3)/(MATCH(9.99E+307,'Returns (Calc)'!$A:$A)-3),"")</f>
        <v>20.7520754716981</v>
      </c>
      <c r="AM93" s="145" t="n">
        <f aca="false">IFERROR('Price History'!S3+(INDEX('Price History'!S:S,MATCH(9.99E+307,'Price History'!$A:$A))-'Price History'!S3)*(ROW()-3)/(MATCH(9.99E+307,'Returns (Calc)'!$A:$A)-3),"")</f>
        <v>25.4041509433962</v>
      </c>
      <c r="AN93" s="145" t="n">
        <f aca="false">IFERROR('Price History'!T3+(INDEX('Price History'!T:T,MATCH(9.99E+307,'Price History'!$A:$A))-'Price History'!T3)*(ROW()-3)/(MATCH(9.99E+307,'Returns (Calc)'!$A:$A)-3),"")</f>
        <v>11.6779245283019</v>
      </c>
      <c r="AO93" s="146" t="n">
        <f aca="false">IFERROR('Price History'!V3+(INDEX('Price History'!V:V,MATCH(9.99E+307,'Price History'!$A:$A))-'Price History'!V3)*(ROW()-3)/(MATCH(9.99E+307,'Returns (Calc)'!$A:$A)-3),"")</f>
        <v>0</v>
      </c>
    </row>
    <row r="94" customFormat="false" ht="15" hidden="false" customHeight="true" outlineLevel="0" collapsed="false">
      <c r="A94" s="142" t="n">
        <f aca="false">IF('Price History'!A95="","",'Price History'!A95)</f>
        <v>45828</v>
      </c>
      <c r="B94" s="143" t="n">
        <f aca="false">IFERROR(IF(OR(NOT(ISNUMBER('Price History'!B95)),NOT(ISNUMBER('Price History'!B94)),'Price History'!B94=0),"",'Price History'!B95/'Price History'!B94-1),"")</f>
        <v>-0.0376838235294117</v>
      </c>
      <c r="C94" s="143" t="n">
        <f aca="false">IFERROR(IF(OR(NOT(ISNUMBER('Price History'!C95)),NOT(ISNUMBER('Price History'!C94)),'Price History'!C94=0),"",'Price History'!C95/'Price History'!C94-1),"")</f>
        <v>-0.0660530590146182</v>
      </c>
      <c r="D94" s="143" t="n">
        <f aca="false">IFERROR(IF(OR(NOT(ISNUMBER('Price History'!D95)),NOT(ISNUMBER('Price History'!D94)),'Price History'!D94=0),"",'Price History'!D95/'Price History'!D94-1),"")</f>
        <v>-0.00587447454615386</v>
      </c>
      <c r="E94" s="143" t="n">
        <f aca="false">IFERROR(IF(OR(NOT(ISNUMBER('Price History'!E95)),NOT(ISNUMBER('Price History'!E94)),'Price History'!E94=0),"",'Price History'!E95/'Price History'!E94-1),"")</f>
        <v>0.00756528105425836</v>
      </c>
      <c r="F94" s="143" t="n">
        <f aca="false">IFERROR(IF(OR(NOT(ISNUMBER('Price History'!F95)),NOT(ISNUMBER('Price History'!F94)),'Price History'!F94=0),"",'Price History'!F95/'Price History'!F94-1),"")</f>
        <v>0.00171959188352622</v>
      </c>
      <c r="G94" s="143" t="n">
        <f aca="false">IFERROR(IF(OR(NOT(ISNUMBER('Price History'!G95)),NOT(ISNUMBER('Price History'!G94)),'Price History'!G94=0),"",'Price History'!G95/'Price History'!G94-1),"")</f>
        <v>-0.00898876404494398</v>
      </c>
      <c r="H94" s="143" t="n">
        <f aca="false">IFERROR(IF(OR(NOT(ISNUMBER('Price History'!H95)),NOT(ISNUMBER('Price History'!H94)),'Price History'!H94=0),"",'Price History'!H95/'Price History'!H94-1),"")</f>
        <v>0.00297475478372733</v>
      </c>
      <c r="I94" s="143" t="n">
        <f aca="false">IFERROR(IF(OR(NOT(ISNUMBER('Price History'!I95)),NOT(ISNUMBER('Price History'!I94)),'Price History'!I94=0),"",'Price History'!I95/'Price History'!I94-1),"")</f>
        <v>-0.020322842875392</v>
      </c>
      <c r="J94" s="143" t="n">
        <f aca="false">IFERROR(IF(OR(NOT(ISNUMBER('Price History'!J95)),NOT(ISNUMBER('Price History'!J94)),'Price History'!J94=0),"",'Price History'!J95/'Price History'!J94-1),"")</f>
        <v>0.0692047524065562</v>
      </c>
      <c r="K94" s="143" t="n">
        <f aca="false">IFERROR(IF(OR(NOT(ISNUMBER('Price History'!K95)),NOT(ISNUMBER('Price History'!K94)),'Price History'!K94=0),"",'Price History'!K95/'Price History'!K94-1),"")</f>
        <v>0.0132749611636773</v>
      </c>
      <c r="L94" s="143" t="n">
        <f aca="false">IFERROR(IF(OR(NOT(ISNUMBER('Price History'!L95)),NOT(ISNUMBER('Price History'!L94)),'Price History'!L94=0),"",'Price History'!L95/'Price History'!L94-1),"")</f>
        <v>-0.00538582060321202</v>
      </c>
      <c r="M94" s="143" t="n">
        <f aca="false">IFERROR(IF(OR(NOT(ISNUMBER('Price History'!M95)),NOT(ISNUMBER('Price History'!M94)),'Price History'!M94=0),"",'Price History'!M95/'Price History'!M94-1),"")</f>
        <v>-0.000727802037845615</v>
      </c>
      <c r="N94" s="143" t="n">
        <f aca="false">IFERROR(IF(OR(NOT(ISNUMBER('Price History'!N95)),NOT(ISNUMBER('Price History'!N94)),'Price History'!N94=0),"",'Price History'!N95/'Price History'!N94-1),"")</f>
        <v>-0.00745390349156527</v>
      </c>
      <c r="O94" s="143" t="n">
        <f aca="false">IFERROR(IF(OR(NOT(ISNUMBER('Price History'!O95)),NOT(ISNUMBER('Price History'!O94)),'Price History'!O94=0),"",'Price History'!O95/'Price History'!O94-1),"")</f>
        <v>0.00705433746425155</v>
      </c>
      <c r="P94" s="143" t="n">
        <f aca="false">IFERROR(IF(OR(NOT(ISNUMBER('Price History'!P95)),NOT(ISNUMBER('Price History'!P94)),'Price History'!P94=0),"",'Price History'!P95/'Price History'!P94-1),"")</f>
        <v>-0.00753973971089661</v>
      </c>
      <c r="Q94" s="143" t="n">
        <f aca="false">IFERROR(IF(OR(NOT(ISNUMBER('Price History'!Q95)),NOT(ISNUMBER('Price History'!Q94)),'Price History'!Q94=0),"",'Price History'!Q95/'Price History'!Q94-1),"")</f>
        <v>-0.0404933608058607</v>
      </c>
      <c r="R94" s="143" t="n">
        <f aca="false">IFERROR(IF(OR(NOT(ISNUMBER('Price History'!R95)),NOT(ISNUMBER('Price History'!R94)),'Price History'!R94=0),"",'Price History'!R95/'Price History'!R94-1),"")</f>
        <v>0.0172380398992833</v>
      </c>
      <c r="S94" s="143" t="n">
        <f aca="false">IFERROR(IF(OR(NOT(ISNUMBER('Price History'!S95)),NOT(ISNUMBER('Price History'!S94)),'Price History'!S94=0),"",'Price History'!S95/'Price History'!S94-1),"")</f>
        <v>0.0682372055239642</v>
      </c>
      <c r="T94" s="143" t="n">
        <f aca="false">IFERROR(IF(OR(NOT(ISNUMBER('Price History'!T95)),NOT(ISNUMBER('Price History'!T94)),'Price History'!T94=0),"",'Price History'!T95/'Price History'!T94-1),"")</f>
        <v>0.0431137724550901</v>
      </c>
      <c r="U94" s="143" t="str">
        <f aca="false">IFERROR(IF(OR(NOT(ISNUMBER('Price History'!U95)),NOT(ISNUMBER('Price History'!U94)),'Price History'!U94=0),"",'Price History'!U95/'Price History'!U94-1),"")</f>
        <v/>
      </c>
      <c r="V94" s="144" t="n">
        <f aca="false">IFERROR(IF(OR(NOT(ISNUMBER('Price History'!V95)),NOT(ISNUMBER('Price History'!V94)),'Price History'!V94=0),"",'Price History'!V95/'Price History'!V94-1),"")</f>
        <v>0.0374121359919666</v>
      </c>
      <c r="W94" s="145" t="str">
        <f aca="false">IFERROR('Price History'!B3+(INDEX('Price History'!B:B,MATCH(9.99E+307,'Price History'!$A:$A))-'Price History'!B3)*(ROW()-3)/(MATCH(9.99E+307,'Returns (Calc)'!$A:$A)-3),"")</f>
        <v/>
      </c>
      <c r="X94" s="145" t="n">
        <f aca="false">IFERROR('Price History'!C3+(INDEX('Price History'!C:C,MATCH(9.99E+307,'Price History'!$A:$A))-'Price History'!C3)*(ROW()-3)/(MATCH(9.99E+307,'Returns (Calc)'!$A:$A)-3),"")</f>
        <v>19.7499371069182</v>
      </c>
      <c r="Y94" s="145" t="n">
        <f aca="false">IFERROR('Price History'!D3+(INDEX('Price History'!D:D,MATCH(9.99E+307,'Price History'!$A:$A))-'Price History'!D3)*(ROW()-3)/(MATCH(9.99E+307,'Returns (Calc)'!$A:$A)-3),"")</f>
        <v>248.909937106918</v>
      </c>
      <c r="Z94" s="145" t="n">
        <f aca="false">IFERROR('Price History'!E3+(INDEX('Price History'!E:E,MATCH(9.99E+307,'Price History'!$A:$A))-'Price History'!E3)*(ROW()-3)/(MATCH(9.99E+307,'Returns (Calc)'!$A:$A)-3),"")</f>
        <v>35.0691823899371</v>
      </c>
      <c r="AA94" s="145" t="n">
        <f aca="false">IFERROR('Price History'!F3+(INDEX('Price History'!F:F,MATCH(9.99E+307,'Price History'!$A:$A))-'Price History'!F3)*(ROW()-3)/(MATCH(9.99E+307,'Returns (Calc)'!$A:$A)-3),"")</f>
        <v>32.2080503144654</v>
      </c>
      <c r="AB94" s="145" t="n">
        <f aca="false">IFERROR('Price History'!G3+(INDEX('Price History'!G:G,MATCH(9.99E+307,'Price History'!$A:$A))-'Price History'!G3)*(ROW()-3)/(MATCH(9.99E+307,'Returns (Calc)'!$A:$A)-3),"")</f>
        <v>17.6885534591195</v>
      </c>
      <c r="AC94" s="145" t="n">
        <f aca="false">IFERROR('Price History'!H3+(INDEX('Price History'!H:H,MATCH(9.99E+307,'Price History'!$A:$A))-'Price History'!H3)*(ROW()-3)/(MATCH(9.99E+307,'Returns (Calc)'!$A:$A)-3),"")</f>
        <v>43.0196226415094</v>
      </c>
      <c r="AD94" s="145" t="n">
        <f aca="false">IFERROR('Price History'!I3+(INDEX('Price History'!I:I,MATCH(9.99E+307,'Price History'!$A:$A))-'Price History'!I3)*(ROW()-3)/(MATCH(9.99E+307,'Returns (Calc)'!$A:$A)-3),"")</f>
        <v>18.9672955974843</v>
      </c>
      <c r="AE94" s="145" t="n">
        <f aca="false">IFERROR('Price History'!J3+(INDEX('Price History'!J:J,MATCH(9.99E+307,'Price History'!$A:$A))-'Price History'!J3)*(ROW()-3)/(MATCH(9.99E+307,'Returns (Calc)'!$A:$A)-3),"")</f>
        <v>29.5564779874214</v>
      </c>
      <c r="AF94" s="145" t="n">
        <f aca="false">IFERROR('Price History'!K3+(INDEX('Price History'!K:K,MATCH(9.99E+307,'Price History'!$A:$A))-'Price History'!K3)*(ROW()-3)/(MATCH(9.99E+307,'Returns (Calc)'!$A:$A)-3),"")</f>
        <v>18.7192452830189</v>
      </c>
      <c r="AG94" s="145" t="n">
        <f aca="false">IFERROR('Price History'!L3+(INDEX('Price History'!L:L,MATCH(9.99E+307,'Price History'!$A:$A))-'Price History'!L3)*(ROW()-3)/(MATCH(9.99E+307,'Returns (Calc)'!$A:$A)-3),"")</f>
        <v>47.8309433962264</v>
      </c>
      <c r="AH94" s="145" t="n">
        <f aca="false">IFERROR('Price History'!M3+(INDEX('Price History'!M:M,MATCH(9.99E+307,'Price History'!$A:$A))-'Price History'!M3)*(ROW()-3)/(MATCH(9.99E+307,'Returns (Calc)'!$A:$A)-3),"")</f>
        <v>6.55622641509434</v>
      </c>
      <c r="AI94" s="145" t="n">
        <f aca="false">IFERROR('Price History'!N3+(INDEX('Price History'!N:N,MATCH(9.99E+307,'Price History'!$A:$A))-'Price History'!N3)*(ROW()-3)/(MATCH(9.99E+307,'Returns (Calc)'!$A:$A)-3),"")</f>
        <v>9.32327044025157</v>
      </c>
      <c r="AJ94" s="145" t="n">
        <f aca="false">IFERROR('Price History'!O3+(INDEX('Price History'!O:O,MATCH(9.99E+307,'Price History'!$A:$A))-'Price History'!O3)*(ROW()-3)/(MATCH(9.99E+307,'Returns (Calc)'!$A:$A)-3),"")</f>
        <v>24.6467924528302</v>
      </c>
      <c r="AK94" s="145" t="n">
        <f aca="false">IFERROR('Price History'!Q3+(INDEX('Price History'!Q:Q,MATCH(9.99E+307,'Price History'!$A:$A))-'Price History'!Q3)*(ROW()-3)/(MATCH(9.99E+307,'Returns (Calc)'!$A:$A)-3),"")</f>
        <v>100.772578616352</v>
      </c>
      <c r="AL94" s="145" t="n">
        <f aca="false">IFERROR('Price History'!R3+(INDEX('Price History'!R:R,MATCH(9.99E+307,'Price History'!$A:$A))-'Price History'!R3)*(ROW()-3)/(MATCH(9.99E+307,'Returns (Calc)'!$A:$A)-3),"")</f>
        <v>20.451320754717</v>
      </c>
      <c r="AM94" s="145" t="n">
        <f aca="false">IFERROR('Price History'!S3+(INDEX('Price History'!S:S,MATCH(9.99E+307,'Price History'!$A:$A))-'Price History'!S3)*(ROW()-3)/(MATCH(9.99E+307,'Returns (Calc)'!$A:$A)-3),"")</f>
        <v>25.0359748427673</v>
      </c>
      <c r="AN94" s="145" t="n">
        <f aca="false">IFERROR('Price History'!T3+(INDEX('Price History'!T:T,MATCH(9.99E+307,'Price History'!$A:$A))-'Price History'!T3)*(ROW()-3)/(MATCH(9.99E+307,'Returns (Calc)'!$A:$A)-3),"")</f>
        <v>11.508679245283</v>
      </c>
      <c r="AO94" s="146" t="n">
        <f aca="false">IFERROR('Price History'!V3+(INDEX('Price History'!V:V,MATCH(9.99E+307,'Price History'!$A:$A))-'Price History'!V3)*(ROW()-3)/(MATCH(9.99E+307,'Returns (Calc)'!$A:$A)-3),"")</f>
        <v>0</v>
      </c>
    </row>
    <row r="95" customFormat="false" ht="15" hidden="false" customHeight="true" outlineLevel="0" collapsed="false">
      <c r="A95" s="142" t="n">
        <f aca="false">IF('Price History'!A96="","",'Price History'!A96)</f>
        <v>45835</v>
      </c>
      <c r="B95" s="143" t="n">
        <f aca="false">IFERROR(IF(OR(NOT(ISNUMBER('Price History'!B96)),NOT(ISNUMBER('Price History'!B95)),'Price History'!B95=0),"",'Price History'!B96/'Price History'!B95-1),"")</f>
        <v>0.0236389684813754</v>
      </c>
      <c r="C95" s="143" t="n">
        <f aca="false">IFERROR(IF(OR(NOT(ISNUMBER('Price History'!C96)),NOT(ISNUMBER('Price History'!C95)),'Price History'!C95=0),"",'Price History'!C96/'Price History'!C95-1),"")</f>
        <v>0.152347826086957</v>
      </c>
      <c r="D95" s="143" t="n">
        <f aca="false">IFERROR(IF(OR(NOT(ISNUMBER('Price History'!D96)),NOT(ISNUMBER('Price History'!D95)),'Price History'!D95=0),"",'Price History'!D96/'Price History'!D95-1),"")</f>
        <v>0.0521022302849217</v>
      </c>
      <c r="E95" s="143" t="n">
        <f aca="false">IFERROR(IF(OR(NOT(ISNUMBER('Price History'!E96)),NOT(ISNUMBER('Price History'!E95)),'Price History'!E95=0),"",'Price History'!E96/'Price History'!E95-1),"")</f>
        <v>0.077426126271597</v>
      </c>
      <c r="F95" s="143" t="n">
        <f aca="false">IFERROR(IF(OR(NOT(ISNUMBER('Price History'!F96)),NOT(ISNUMBER('Price History'!F95)),'Price History'!F95=0),"",'Price History'!F96/'Price History'!F95-1),"")</f>
        <v>0.0255207141222249</v>
      </c>
      <c r="G95" s="143" t="n">
        <f aca="false">IFERROR(IF(OR(NOT(ISNUMBER('Price History'!G96)),NOT(ISNUMBER('Price History'!G95)),'Price History'!G95=0),"",'Price History'!G96/'Price History'!G95-1),"")</f>
        <v>0.0483749055177627</v>
      </c>
      <c r="H95" s="143" t="n">
        <f aca="false">IFERROR(IF(OR(NOT(ISNUMBER('Price History'!H96)),NOT(ISNUMBER('Price History'!H95)),'Price History'!H95=0),"",'Price History'!H96/'Price History'!H95-1),"")</f>
        <v>0.0137875751503005</v>
      </c>
      <c r="I95" s="143" t="n">
        <f aca="false">IFERROR(IF(OR(NOT(ISNUMBER('Price History'!I96)),NOT(ISNUMBER('Price History'!I95)),'Price History'!I95=0),"",'Price History'!I96/'Price History'!I95-1),"")</f>
        <v>0.0469416785206258</v>
      </c>
      <c r="J95" s="143" t="n">
        <f aca="false">IFERROR(IF(OR(NOT(ISNUMBER('Price History'!J96)),NOT(ISNUMBER('Price History'!J95)),'Price History'!J95=0),"",'Price History'!J96/'Price History'!J95-1),"")</f>
        <v>0.00932760158974766</v>
      </c>
      <c r="K95" s="143" t="n">
        <f aca="false">IFERROR(IF(OR(NOT(ISNUMBER('Price History'!K96)),NOT(ISNUMBER('Price History'!K95)),'Price History'!K95=0),"",'Price History'!K96/'Price History'!K95-1),"")</f>
        <v>0.0965853658536586</v>
      </c>
      <c r="L95" s="143" t="n">
        <f aca="false">IFERROR(IF(OR(NOT(ISNUMBER('Price History'!L96)),NOT(ISNUMBER('Price History'!L95)),'Price History'!L95=0),"",'Price History'!L96/'Price History'!L95-1),"")</f>
        <v>-0.000689179875947521</v>
      </c>
      <c r="M95" s="143" t="n">
        <f aca="false">IFERROR(IF(OR(NOT(ISNUMBER('Price History'!M96)),NOT(ISNUMBER('Price History'!M95)),'Price History'!M95=0),"",'Price History'!M96/'Price History'!M95-1),"")</f>
        <v>-0.0477785870356883</v>
      </c>
      <c r="N95" s="143" t="n">
        <f aca="false">IFERROR(IF(OR(NOT(ISNUMBER('Price History'!N96)),NOT(ISNUMBER('Price History'!N95)),'Price History'!N95=0),"",'Price History'!N96/'Price History'!N95-1),"")</f>
        <v>-0.00197628458498023</v>
      </c>
      <c r="O95" s="143" t="n">
        <f aca="false">IFERROR(IF(OR(NOT(ISNUMBER('Price History'!O96)),NOT(ISNUMBER('Price History'!O95)),'Price History'!O95=0),"",'Price History'!O96/'Price History'!O95-1),"")</f>
        <v>0.048182506626278</v>
      </c>
      <c r="P95" s="143" t="n">
        <f aca="false">IFERROR(IF(OR(NOT(ISNUMBER('Price History'!P96)),NOT(ISNUMBER('Price History'!P95)),'Price History'!P95=0),"",'Price History'!P96/'Price History'!P95-1),"")</f>
        <v>0.0909706764734346</v>
      </c>
      <c r="Q95" s="143" t="n">
        <f aca="false">IFERROR(IF(OR(NOT(ISNUMBER('Price History'!Q96)),NOT(ISNUMBER('Price History'!Q95)),'Price History'!Q95=0),"",'Price History'!Q96/'Price History'!Q95-1),"")</f>
        <v>0.0296758030361777</v>
      </c>
      <c r="R95" s="143" t="n">
        <f aca="false">IFERROR(IF(OR(NOT(ISNUMBER('Price History'!R96)),NOT(ISNUMBER('Price History'!R95)),'Price History'!R95=0),"",'Price History'!R96/'Price History'!R95-1),"")</f>
        <v>-0.00913937547600918</v>
      </c>
      <c r="S95" s="143" t="n">
        <f aca="false">IFERROR(IF(OR(NOT(ISNUMBER('Price History'!S96)),NOT(ISNUMBER('Price History'!S95)),'Price History'!S95=0),"",'Price History'!S96/'Price History'!S95-1),"")</f>
        <v>-0.0223384030418252</v>
      </c>
      <c r="T95" s="143" t="n">
        <f aca="false">IFERROR(IF(OR(NOT(ISNUMBER('Price History'!T96)),NOT(ISNUMBER('Price History'!T95)),'Price History'!T95=0),"",'Price History'!T96/'Price History'!T95-1),"")</f>
        <v>-0.0347301951779564</v>
      </c>
      <c r="U95" s="143" t="str">
        <f aca="false">IFERROR(IF(OR(NOT(ISNUMBER('Price History'!U96)),NOT(ISNUMBER('Price History'!U95)),'Price History'!U95=0),"",'Price History'!U96/'Price History'!U95-1),"")</f>
        <v/>
      </c>
      <c r="V95" s="144" t="n">
        <f aca="false">IFERROR(IF(OR(NOT(ISNUMBER('Price History'!V96)),NOT(ISNUMBER('Price History'!V95)),'Price History'!V95=0),"",'Price History'!V96/'Price History'!V95-1),"")</f>
        <v>-0.0317210099836831</v>
      </c>
      <c r="W95" s="145" t="str">
        <f aca="false">IFERROR('Price History'!B3+(INDEX('Price History'!B:B,MATCH(9.99E+307,'Price History'!$A:$A))-'Price History'!B3)*(ROW()-3)/(MATCH(9.99E+307,'Returns (Calc)'!$A:$A)-3),"")</f>
        <v/>
      </c>
      <c r="X95" s="145" t="n">
        <f aca="false">IFERROR('Price History'!C3+(INDEX('Price History'!C:C,MATCH(9.99E+307,'Price History'!$A:$A))-'Price History'!C3)*(ROW()-3)/(MATCH(9.99E+307,'Returns (Calc)'!$A:$A)-3),"")</f>
        <v>19.4594968553459</v>
      </c>
      <c r="Y95" s="145" t="n">
        <f aca="false">IFERROR('Price History'!D3+(INDEX('Price History'!D:D,MATCH(9.99E+307,'Price History'!$A:$A))-'Price History'!D3)*(ROW()-3)/(MATCH(9.99E+307,'Returns (Calc)'!$A:$A)-3),"")</f>
        <v>245.249496855346</v>
      </c>
      <c r="Z95" s="145" t="n">
        <f aca="false">IFERROR('Price History'!E3+(INDEX('Price History'!E:E,MATCH(9.99E+307,'Price History'!$A:$A))-'Price History'!E3)*(ROW()-3)/(MATCH(9.99E+307,'Returns (Calc)'!$A:$A)-3),"")</f>
        <v>34.5534591194969</v>
      </c>
      <c r="AA95" s="145" t="n">
        <f aca="false">IFERROR('Price History'!F3+(INDEX('Price History'!F:F,MATCH(9.99E+307,'Price History'!$A:$A))-'Price History'!F3)*(ROW()-3)/(MATCH(9.99E+307,'Returns (Calc)'!$A:$A)-3),"")</f>
        <v>31.7344025157233</v>
      </c>
      <c r="AB95" s="145" t="n">
        <f aca="false">IFERROR('Price History'!G3+(INDEX('Price History'!G:G,MATCH(9.99E+307,'Price History'!$A:$A))-'Price History'!G3)*(ROW()-3)/(MATCH(9.99E+307,'Returns (Calc)'!$A:$A)-3),"")</f>
        <v>17.428427672956</v>
      </c>
      <c r="AC95" s="145" t="n">
        <f aca="false">IFERROR('Price History'!H3+(INDEX('Price History'!H:H,MATCH(9.99E+307,'Price History'!$A:$A))-'Price History'!H3)*(ROW()-3)/(MATCH(9.99E+307,'Returns (Calc)'!$A:$A)-3),"")</f>
        <v>42.3869811320755</v>
      </c>
      <c r="AD95" s="145" t="n">
        <f aca="false">IFERROR('Price History'!I3+(INDEX('Price History'!I:I,MATCH(9.99E+307,'Price History'!$A:$A))-'Price History'!I3)*(ROW()-3)/(MATCH(9.99E+307,'Returns (Calc)'!$A:$A)-3),"")</f>
        <v>18.6883647798742</v>
      </c>
      <c r="AE95" s="145" t="n">
        <f aca="false">IFERROR('Price History'!J3+(INDEX('Price History'!J:J,MATCH(9.99E+307,'Price History'!$A:$A))-'Price History'!J3)*(ROW()-3)/(MATCH(9.99E+307,'Returns (Calc)'!$A:$A)-3),"")</f>
        <v>29.1218238993711</v>
      </c>
      <c r="AF95" s="145" t="n">
        <f aca="false">IFERROR('Price History'!K3+(INDEX('Price History'!K:K,MATCH(9.99E+307,'Price History'!$A:$A))-'Price History'!K3)*(ROW()-3)/(MATCH(9.99E+307,'Returns (Calc)'!$A:$A)-3),"")</f>
        <v>18.4439622641509</v>
      </c>
      <c r="AG95" s="145" t="n">
        <f aca="false">IFERROR('Price History'!L3+(INDEX('Price History'!L:L,MATCH(9.99E+307,'Price History'!$A:$A))-'Price History'!L3)*(ROW()-3)/(MATCH(9.99E+307,'Returns (Calc)'!$A:$A)-3),"")</f>
        <v>47.1275471698113</v>
      </c>
      <c r="AH95" s="145" t="n">
        <f aca="false">IFERROR('Price History'!M3+(INDEX('Price History'!M:M,MATCH(9.99E+307,'Price History'!$A:$A))-'Price History'!M3)*(ROW()-3)/(MATCH(9.99E+307,'Returns (Calc)'!$A:$A)-3),"")</f>
        <v>6.45981132075472</v>
      </c>
      <c r="AI95" s="145" t="n">
        <f aca="false">IFERROR('Price History'!N3+(INDEX('Price History'!N:N,MATCH(9.99E+307,'Price History'!$A:$A))-'Price History'!N3)*(ROW()-3)/(MATCH(9.99E+307,'Returns (Calc)'!$A:$A)-3),"")</f>
        <v>9.18616352201258</v>
      </c>
      <c r="AJ95" s="145" t="n">
        <f aca="false">IFERROR('Price History'!O3+(INDEX('Price History'!O:O,MATCH(9.99E+307,'Price History'!$A:$A))-'Price History'!O3)*(ROW()-3)/(MATCH(9.99E+307,'Returns (Calc)'!$A:$A)-3),"")</f>
        <v>24.2843396226415</v>
      </c>
      <c r="AK95" s="145" t="n">
        <f aca="false">IFERROR('Price History'!Q3+(INDEX('Price History'!Q:Q,MATCH(9.99E+307,'Price History'!$A:$A))-'Price History'!Q3)*(ROW()-3)/(MATCH(9.99E+307,'Returns (Calc)'!$A:$A)-3),"")</f>
        <v>99.2906289308176</v>
      </c>
      <c r="AL95" s="145" t="n">
        <f aca="false">IFERROR('Price History'!R3+(INDEX('Price History'!R:R,MATCH(9.99E+307,'Price History'!$A:$A))-'Price History'!R3)*(ROW()-3)/(MATCH(9.99E+307,'Returns (Calc)'!$A:$A)-3),"")</f>
        <v>20.1505660377359</v>
      </c>
      <c r="AM95" s="145" t="n">
        <f aca="false">IFERROR('Price History'!S3+(INDEX('Price History'!S:S,MATCH(9.99E+307,'Price History'!$A:$A))-'Price History'!S3)*(ROW()-3)/(MATCH(9.99E+307,'Returns (Calc)'!$A:$A)-3),"")</f>
        <v>24.6677987421384</v>
      </c>
      <c r="AN95" s="145" t="n">
        <f aca="false">IFERROR('Price History'!T3+(INDEX('Price History'!T:T,MATCH(9.99E+307,'Price History'!$A:$A))-'Price History'!T3)*(ROW()-3)/(MATCH(9.99E+307,'Returns (Calc)'!$A:$A)-3),"")</f>
        <v>11.3394339622642</v>
      </c>
      <c r="AO95" s="146" t="n">
        <f aca="false">IFERROR('Price History'!V3+(INDEX('Price History'!V:V,MATCH(9.99E+307,'Price History'!$A:$A))-'Price History'!V3)*(ROW()-3)/(MATCH(9.99E+307,'Returns (Calc)'!$A:$A)-3),"")</f>
        <v>0</v>
      </c>
    </row>
    <row r="96" customFormat="false" ht="15" hidden="false" customHeight="true" outlineLevel="0" collapsed="false">
      <c r="A96" s="142" t="n">
        <f aca="false">IF('Price History'!A97="","",'Price History'!A97)</f>
        <v>45842</v>
      </c>
      <c r="B96" s="143" t="n">
        <f aca="false">IFERROR(IF(OR(NOT(ISNUMBER('Price History'!B97)),NOT(ISNUMBER('Price History'!B96)),'Price History'!B96=0),"",'Price History'!B97/'Price History'!B96-1),"")</f>
        <v>-0.0168986341134696</v>
      </c>
      <c r="C96" s="143" t="n">
        <f aca="false">IFERROR(IF(OR(NOT(ISNUMBER('Price History'!C97)),NOT(ISNUMBER('Price History'!C96)),'Price History'!C96=0),"",'Price History'!C97/'Price History'!C96-1),"")</f>
        <v>0.0314921018211087</v>
      </c>
      <c r="D96" s="143" t="n">
        <f aca="false">IFERROR(IF(OR(NOT(ISNUMBER('Price History'!D97)),NOT(ISNUMBER('Price History'!D96)),'Price History'!D96=0),"",'Price History'!D97/'Price History'!D96-1),"")</f>
        <v>-0.00182569668078203</v>
      </c>
      <c r="E96" s="143" t="n">
        <f aca="false">IFERROR(IF(OR(NOT(ISNUMBER('Price History'!E97)),NOT(ISNUMBER('Price History'!E96)),'Price History'!E96=0),"",'Price History'!E97/'Price History'!E96-1),"")</f>
        <v>0.0216560509554142</v>
      </c>
      <c r="F96" s="143" t="n">
        <f aca="false">IFERROR(IF(OR(NOT(ISNUMBER('Price History'!F97)),NOT(ISNUMBER('Price History'!F96)),'Price History'!F96=0),"",'Price History'!F97/'Price History'!F96-1),"")</f>
        <v>0.0416248186586319</v>
      </c>
      <c r="G96" s="143" t="n">
        <f aca="false">IFERROR(IF(OR(NOT(ISNUMBER('Price History'!G97)),NOT(ISNUMBER('Price History'!G96)),'Price History'!G96=0),"",'Price History'!G97/'Price History'!G96-1),"")</f>
        <v>0.0295602018745496</v>
      </c>
      <c r="H96" s="143" t="n">
        <f aca="false">IFERROR(IF(OR(NOT(ISNUMBER('Price History'!H97)),NOT(ISNUMBER('Price History'!H96)),'Price History'!H96=0),"",'Price History'!H97/'Price History'!H96-1),"")</f>
        <v>0.0341582984106903</v>
      </c>
      <c r="I96" s="143" t="n">
        <f aca="false">IFERROR(IF(OR(NOT(ISNUMBER('Price History'!I97)),NOT(ISNUMBER('Price History'!I96)),'Price History'!I96=0),"",'Price History'!I97/'Price History'!I96-1),"")</f>
        <v>0.0389492753623191</v>
      </c>
      <c r="J96" s="143" t="n">
        <f aca="false">IFERROR(IF(OR(NOT(ISNUMBER('Price History'!J97)),NOT(ISNUMBER('Price History'!J96)),'Price History'!J96=0),"",'Price History'!J97/'Price History'!J96-1),"")</f>
        <v>-0.01976856316297</v>
      </c>
      <c r="K96" s="143" t="n">
        <f aca="false">IFERROR(IF(OR(NOT(ISNUMBER('Price History'!K97)),NOT(ISNUMBER('Price History'!K96)),'Price History'!K96=0),"",'Price History'!K97/'Price History'!K96-1),"")</f>
        <v>0.0101042196237924</v>
      </c>
      <c r="L96" s="143" t="n">
        <f aca="false">IFERROR(IF(OR(NOT(ISNUMBER('Price History'!L97)),NOT(ISNUMBER('Price History'!L96)),'Price History'!L96=0),"",'Price History'!L97/'Price History'!L96-1),"")</f>
        <v>0.0227586206896553</v>
      </c>
      <c r="M96" s="143" t="n">
        <f aca="false">IFERROR(IF(OR(NOT(ISNUMBER('Price History'!M97)),NOT(ISNUMBER('Price History'!M96)),'Price History'!M96=0),"",'Price History'!M97/'Price History'!M96-1),"")</f>
        <v>0.0276885421447148</v>
      </c>
      <c r="N96" s="143" t="n">
        <f aca="false">IFERROR(IF(OR(NOT(ISNUMBER('Price History'!N97)),NOT(ISNUMBER('Price History'!N96)),'Price History'!N96=0),"",'Price History'!N97/'Price History'!N96-1),"")</f>
        <v>0.0364356435643565</v>
      </c>
      <c r="O96" s="143" t="n">
        <f aca="false">IFERROR(IF(OR(NOT(ISNUMBER('Price History'!O97)),NOT(ISNUMBER('Price History'!O96)),'Price History'!O96=0),"",'Price History'!O97/'Price History'!O96-1),"")</f>
        <v>0.00596044432403131</v>
      </c>
      <c r="P96" s="143" t="n">
        <f aca="false">IFERROR(IF(OR(NOT(ISNUMBER('Price History'!P97)),NOT(ISNUMBER('Price History'!P96)),'Price History'!P96=0),"",'Price History'!P97/'Price History'!P96-1),"")</f>
        <v>0.0272775658653419</v>
      </c>
      <c r="Q96" s="143" t="n">
        <f aca="false">IFERROR(IF(OR(NOT(ISNUMBER('Price History'!Q97)),NOT(ISNUMBER('Price History'!Q96)),'Price History'!Q96=0),"",'Price History'!Q97/'Price History'!Q96-1),"")</f>
        <v>0.0293998377939984</v>
      </c>
      <c r="R96" s="143" t="n">
        <f aca="false">IFERROR(IF(OR(NOT(ISNUMBER('Price History'!R97)),NOT(ISNUMBER('Price History'!R96)),'Price History'!R96=0),"",'Price History'!R97/'Price History'!R96-1),"")</f>
        <v>0.0113374327440432</v>
      </c>
      <c r="S96" s="143" t="n">
        <f aca="false">IFERROR(IF(OR(NOT(ISNUMBER('Price History'!S97)),NOT(ISNUMBER('Price History'!S96)),'Price History'!S96=0),"",'Price History'!S97/'Price History'!S96-1),"")</f>
        <v>0.0243072435585805</v>
      </c>
      <c r="T96" s="143" t="n">
        <f aca="false">IFERROR(IF(OR(NOT(ISNUMBER('Price History'!T97)),NOT(ISNUMBER('Price History'!T96)),'Price History'!T96=0),"",'Price History'!T97/'Price History'!T96-1),"")</f>
        <v>0.007731192387749</v>
      </c>
      <c r="U96" s="143" t="str">
        <f aca="false">IFERROR(IF(OR(NOT(ISNUMBER('Price History'!U97)),NOT(ISNUMBER('Price History'!U96)),'Price History'!U96=0),"",'Price History'!U97/'Price History'!U96-1),"")</f>
        <v/>
      </c>
      <c r="V96" s="144" t="n">
        <f aca="false">IFERROR(IF(OR(NOT(ISNUMBER('Price History'!V97)),NOT(ISNUMBER('Price History'!V96)),'Price History'!V96=0),"",'Price History'!V97/'Price History'!V96-1),"")</f>
        <v>0.0329601279561294</v>
      </c>
      <c r="W96" s="145" t="str">
        <f aca="false">IFERROR('Price History'!B3+(INDEX('Price History'!B:B,MATCH(9.99E+307,'Price History'!$A:$A))-'Price History'!B3)*(ROW()-3)/(MATCH(9.99E+307,'Returns (Calc)'!$A:$A)-3),"")</f>
        <v/>
      </c>
      <c r="X96" s="145" t="n">
        <f aca="false">IFERROR('Price History'!C3+(INDEX('Price History'!C:C,MATCH(9.99E+307,'Price History'!$A:$A))-'Price History'!C3)*(ROW()-3)/(MATCH(9.99E+307,'Returns (Calc)'!$A:$A)-3),"")</f>
        <v>19.1690566037736</v>
      </c>
      <c r="Y96" s="145" t="n">
        <f aca="false">IFERROR('Price History'!D3+(INDEX('Price History'!D:D,MATCH(9.99E+307,'Price History'!$A:$A))-'Price History'!D3)*(ROW()-3)/(MATCH(9.99E+307,'Returns (Calc)'!$A:$A)-3),"")</f>
        <v>241.589056603774</v>
      </c>
      <c r="Z96" s="145" t="n">
        <f aca="false">IFERROR('Price History'!E3+(INDEX('Price History'!E:E,MATCH(9.99E+307,'Price History'!$A:$A))-'Price History'!E3)*(ROW()-3)/(MATCH(9.99E+307,'Returns (Calc)'!$A:$A)-3),"")</f>
        <v>34.0377358490566</v>
      </c>
      <c r="AA96" s="145" t="n">
        <f aca="false">IFERROR('Price History'!F3+(INDEX('Price History'!F:F,MATCH(9.99E+307,'Price History'!$A:$A))-'Price History'!F3)*(ROW()-3)/(MATCH(9.99E+307,'Returns (Calc)'!$A:$A)-3),"")</f>
        <v>31.2607547169811</v>
      </c>
      <c r="AB96" s="145" t="n">
        <f aca="false">IFERROR('Price History'!G3+(INDEX('Price History'!G:G,MATCH(9.99E+307,'Price History'!$A:$A))-'Price History'!G3)*(ROW()-3)/(MATCH(9.99E+307,'Returns (Calc)'!$A:$A)-3),"")</f>
        <v>17.1683018867925</v>
      </c>
      <c r="AC96" s="145" t="n">
        <f aca="false">IFERROR('Price History'!H3+(INDEX('Price History'!H:H,MATCH(9.99E+307,'Price History'!$A:$A))-'Price History'!H3)*(ROW()-3)/(MATCH(9.99E+307,'Returns (Calc)'!$A:$A)-3),"")</f>
        <v>41.7543396226415</v>
      </c>
      <c r="AD96" s="145" t="n">
        <f aca="false">IFERROR('Price History'!I3+(INDEX('Price History'!I:I,MATCH(9.99E+307,'Price History'!$A:$A))-'Price History'!I3)*(ROW()-3)/(MATCH(9.99E+307,'Returns (Calc)'!$A:$A)-3),"")</f>
        <v>18.4094339622642</v>
      </c>
      <c r="AE96" s="145" t="n">
        <f aca="false">IFERROR('Price History'!J3+(INDEX('Price History'!J:J,MATCH(9.99E+307,'Price History'!$A:$A))-'Price History'!J3)*(ROW()-3)/(MATCH(9.99E+307,'Returns (Calc)'!$A:$A)-3),"")</f>
        <v>28.6871698113208</v>
      </c>
      <c r="AF96" s="145" t="n">
        <f aca="false">IFERROR('Price History'!K3+(INDEX('Price History'!K:K,MATCH(9.99E+307,'Price History'!$A:$A))-'Price History'!K3)*(ROW()-3)/(MATCH(9.99E+307,'Returns (Calc)'!$A:$A)-3),"")</f>
        <v>18.168679245283</v>
      </c>
      <c r="AG96" s="145" t="n">
        <f aca="false">IFERROR('Price History'!L3+(INDEX('Price History'!L:L,MATCH(9.99E+307,'Price History'!$A:$A))-'Price History'!L3)*(ROW()-3)/(MATCH(9.99E+307,'Returns (Calc)'!$A:$A)-3),"")</f>
        <v>46.4241509433962</v>
      </c>
      <c r="AH96" s="145" t="n">
        <f aca="false">IFERROR('Price History'!M3+(INDEX('Price History'!M:M,MATCH(9.99E+307,'Price History'!$A:$A))-'Price History'!M3)*(ROW()-3)/(MATCH(9.99E+307,'Returns (Calc)'!$A:$A)-3),"")</f>
        <v>6.36339622641509</v>
      </c>
      <c r="AI96" s="145" t="n">
        <f aca="false">IFERROR('Price History'!N3+(INDEX('Price History'!N:N,MATCH(9.99E+307,'Price History'!$A:$A))-'Price History'!N3)*(ROW()-3)/(MATCH(9.99E+307,'Returns (Calc)'!$A:$A)-3),"")</f>
        <v>9.04905660377358</v>
      </c>
      <c r="AJ96" s="145" t="n">
        <f aca="false">IFERROR('Price History'!O3+(INDEX('Price History'!O:O,MATCH(9.99E+307,'Price History'!$A:$A))-'Price History'!O3)*(ROW()-3)/(MATCH(9.99E+307,'Returns (Calc)'!$A:$A)-3),"")</f>
        <v>23.9218867924528</v>
      </c>
      <c r="AK96" s="145" t="n">
        <f aca="false">IFERROR('Price History'!Q3+(INDEX('Price History'!Q:Q,MATCH(9.99E+307,'Price History'!$A:$A))-'Price History'!Q3)*(ROW()-3)/(MATCH(9.99E+307,'Returns (Calc)'!$A:$A)-3),"")</f>
        <v>97.808679245283</v>
      </c>
      <c r="AL96" s="145" t="n">
        <f aca="false">IFERROR('Price History'!R3+(INDEX('Price History'!R:R,MATCH(9.99E+307,'Price History'!$A:$A))-'Price History'!R3)*(ROW()-3)/(MATCH(9.99E+307,'Returns (Calc)'!$A:$A)-3),"")</f>
        <v>19.8498113207547</v>
      </c>
      <c r="AM96" s="145" t="n">
        <f aca="false">IFERROR('Price History'!S3+(INDEX('Price History'!S:S,MATCH(9.99E+307,'Price History'!$A:$A))-'Price History'!S3)*(ROW()-3)/(MATCH(9.99E+307,'Returns (Calc)'!$A:$A)-3),"")</f>
        <v>24.2996226415094</v>
      </c>
      <c r="AN96" s="145" t="n">
        <f aca="false">IFERROR('Price History'!T3+(INDEX('Price History'!T:T,MATCH(9.99E+307,'Price History'!$A:$A))-'Price History'!T3)*(ROW()-3)/(MATCH(9.99E+307,'Returns (Calc)'!$A:$A)-3),"")</f>
        <v>11.1701886792453</v>
      </c>
      <c r="AO96" s="146" t="n">
        <f aca="false">IFERROR('Price History'!V3+(INDEX('Price History'!V:V,MATCH(9.99E+307,'Price History'!$A:$A))-'Price History'!V3)*(ROW()-3)/(MATCH(9.99E+307,'Returns (Calc)'!$A:$A)-3),"")</f>
        <v>0</v>
      </c>
    </row>
    <row r="97" customFormat="false" ht="15" hidden="false" customHeight="true" outlineLevel="0" collapsed="false">
      <c r="A97" s="142" t="n">
        <f aca="false">IF('Price History'!A98="","",'Price History'!A98)</f>
        <v>45849</v>
      </c>
      <c r="B97" s="143" t="n">
        <f aca="false">IFERROR(IF(OR(NOT(ISNUMBER('Price History'!B98)),NOT(ISNUMBER('Price History'!B97)),'Price History'!B97=0),"",'Price History'!B98/'Price History'!B97-1),"")</f>
        <v>-0.0420764018876381</v>
      </c>
      <c r="C97" s="143" t="n">
        <f aca="false">IFERROR(IF(OR(NOT(ISNUMBER('Price History'!C98)),NOT(ISNUMBER('Price History'!C97)),'Price History'!C97=0),"",'Price History'!C98/'Price History'!C97-1),"")</f>
        <v>0.0590128755364807</v>
      </c>
      <c r="D97" s="143" t="n">
        <f aca="false">IFERROR(IF(OR(NOT(ISNUMBER('Price History'!D98)),NOT(ISNUMBER('Price History'!D97)),'Price History'!D97=0),"",'Price History'!D98/'Price History'!D97-1),"")</f>
        <v>0.00936110758287811</v>
      </c>
      <c r="E97" s="143" t="n">
        <f aca="false">IFERROR(IF(OR(NOT(ISNUMBER('Price History'!E98)),NOT(ISNUMBER('Price History'!E97)),'Price History'!E97=0),"",'Price History'!E98/'Price History'!E97-1),"")</f>
        <v>-0.0028971688425995</v>
      </c>
      <c r="F97" s="143" t="n">
        <f aca="false">IFERROR(IF(OR(NOT(ISNUMBER('Price History'!F98)),NOT(ISNUMBER('Price History'!F97)),'Price History'!F97=0),"",'Price History'!F98/'Price History'!F97-1),"")</f>
        <v>-0.00128562245553898</v>
      </c>
      <c r="G97" s="143" t="n">
        <f aca="false">IFERROR(IF(OR(NOT(ISNUMBER('Price History'!G98)),NOT(ISNUMBER('Price History'!G97)),'Price History'!G97=0),"",'Price History'!G98/'Price History'!G97-1),"")</f>
        <v>-0.0693277310924371</v>
      </c>
      <c r="H97" s="143" t="n">
        <f aca="false">IFERROR(IF(OR(NOT(ISNUMBER('Price History'!H98)),NOT(ISNUMBER('Price History'!H97)),'Price History'!H97=0),"",'Price History'!H98/'Price History'!H97-1),"")</f>
        <v>-0.00336417157275015</v>
      </c>
      <c r="I97" s="143" t="n">
        <f aca="false">IFERROR(IF(OR(NOT(ISNUMBER('Price History'!I98)),NOT(ISNUMBER('Price History'!I97)),'Price History'!I97=0),"",'Price History'!I98/'Price History'!I97-1),"")</f>
        <v>0</v>
      </c>
      <c r="J97" s="143" t="n">
        <f aca="false">IFERROR(IF(OR(NOT(ISNUMBER('Price History'!J98)),NOT(ISNUMBER('Price History'!J97)),'Price History'!J97=0),"",'Price History'!J98/'Price History'!J97-1),"")</f>
        <v>0.0192654533530086</v>
      </c>
      <c r="K97" s="143" t="n">
        <f aca="false">IFERROR(IF(OR(NOT(ISNUMBER('Price History'!K98)),NOT(ISNUMBER('Price History'!K97)),'Price History'!K97=0),"",'Price History'!K98/'Price History'!K97-1),"")</f>
        <v>0.0350424661843349</v>
      </c>
      <c r="L97" s="143" t="n">
        <f aca="false">IFERROR(IF(OR(NOT(ISNUMBER('Price History'!L98)),NOT(ISNUMBER('Price History'!L97)),'Price History'!L97=0),"",'Price History'!L98/'Price History'!L97-1),"")</f>
        <v>0.0105962816684326</v>
      </c>
      <c r="M97" s="143" t="n">
        <f aca="false">IFERROR(IF(OR(NOT(ISNUMBER('Price History'!M98)),NOT(ISNUMBER('Price History'!M97)),'Price History'!M97=0),"",'Price History'!M98/'Price History'!M97-1),"")</f>
        <v>0.0576064304852633</v>
      </c>
      <c r="N97" s="143" t="n">
        <f aca="false">IFERROR(IF(OR(NOT(ISNUMBER('Price History'!N98)),NOT(ISNUMBER('Price History'!N97)),'Price History'!N97=0),"",'Price History'!N98/'Price History'!N97-1),"")</f>
        <v>-0.000764233855559904</v>
      </c>
      <c r="O97" s="143" t="n">
        <f aca="false">IFERROR(IF(OR(NOT(ISNUMBER('Price History'!O98)),NOT(ISNUMBER('Price History'!O97)),'Price History'!O97=0),"",'Price History'!O98/'Price History'!O97-1),"")</f>
        <v>-0.00305233863003862</v>
      </c>
      <c r="P97" s="143" t="n">
        <f aca="false">IFERROR(IF(OR(NOT(ISNUMBER('Price History'!P98)),NOT(ISNUMBER('Price History'!P97)),'Price History'!P97=0),"",'Price History'!P98/'Price History'!P97-1),"")</f>
        <v>-0.0187383964422952</v>
      </c>
      <c r="Q97" s="143" t="n">
        <f aca="false">IFERROR(IF(OR(NOT(ISNUMBER('Price History'!Q98)),NOT(ISNUMBER('Price History'!Q97)),'Price History'!Q97=0),"",'Price History'!Q98/'Price History'!Q97-1),"")</f>
        <v>-0.0304735642533555</v>
      </c>
      <c r="R97" s="143" t="n">
        <f aca="false">IFERROR(IF(OR(NOT(ISNUMBER('Price History'!R98)),NOT(ISNUMBER('Price History'!R97)),'Price History'!R97=0),"",'Price History'!R98/'Price History'!R97-1),"")</f>
        <v>0.00133003990119707</v>
      </c>
      <c r="S97" s="143" t="n">
        <f aca="false">IFERROR(IF(OR(NOT(ISNUMBER('Price History'!S98)),NOT(ISNUMBER('Price History'!S97)),'Price History'!S97=0),"",'Price History'!S98/'Price History'!S97-1),"")</f>
        <v>0.0149027052681538</v>
      </c>
      <c r="T97" s="143" t="n">
        <f aca="false">IFERROR(IF(OR(NOT(ISNUMBER('Price History'!T98)),NOT(ISNUMBER('Price History'!T97)),'Price History'!T97=0),"",'Price History'!T98/'Price History'!T97-1),"")</f>
        <v>0.023605783416937</v>
      </c>
      <c r="U97" s="143" t="str">
        <f aca="false">IFERROR(IF(OR(NOT(ISNUMBER('Price History'!U98)),NOT(ISNUMBER('Price History'!U97)),'Price History'!U97=0),"",'Price History'!U98/'Price History'!U97-1),"")</f>
        <v/>
      </c>
      <c r="V97" s="144" t="n">
        <f aca="false">IFERROR(IF(OR(NOT(ISNUMBER('Price History'!V98)),NOT(ISNUMBER('Price History'!V97)),'Price History'!V97=0),"",'Price History'!V98/'Price History'!V97-1),"")</f>
        <v>0.0137698390753747</v>
      </c>
      <c r="W97" s="145" t="str">
        <f aca="false">IFERROR('Price History'!B3+(INDEX('Price History'!B:B,MATCH(9.99E+307,'Price History'!$A:$A))-'Price History'!B3)*(ROW()-3)/(MATCH(9.99E+307,'Returns (Calc)'!$A:$A)-3),"")</f>
        <v/>
      </c>
      <c r="X97" s="145" t="n">
        <f aca="false">IFERROR('Price History'!C3+(INDEX('Price History'!C:C,MATCH(9.99E+307,'Price History'!$A:$A))-'Price History'!C3)*(ROW()-3)/(MATCH(9.99E+307,'Returns (Calc)'!$A:$A)-3),"")</f>
        <v>18.8786163522013</v>
      </c>
      <c r="Y97" s="145" t="n">
        <f aca="false">IFERROR('Price History'!D3+(INDEX('Price History'!D:D,MATCH(9.99E+307,'Price History'!$A:$A))-'Price History'!D3)*(ROW()-3)/(MATCH(9.99E+307,'Returns (Calc)'!$A:$A)-3),"")</f>
        <v>237.928616352201</v>
      </c>
      <c r="Z97" s="145" t="n">
        <f aca="false">IFERROR('Price History'!E3+(INDEX('Price History'!E:E,MATCH(9.99E+307,'Price History'!$A:$A))-'Price History'!E3)*(ROW()-3)/(MATCH(9.99E+307,'Returns (Calc)'!$A:$A)-3),"")</f>
        <v>33.5220125786164</v>
      </c>
      <c r="AA97" s="145" t="n">
        <f aca="false">IFERROR('Price History'!F3+(INDEX('Price History'!F:F,MATCH(9.99E+307,'Price History'!$A:$A))-'Price History'!F3)*(ROW()-3)/(MATCH(9.99E+307,'Returns (Calc)'!$A:$A)-3),"")</f>
        <v>30.787106918239</v>
      </c>
      <c r="AB97" s="145" t="n">
        <f aca="false">IFERROR('Price History'!G3+(INDEX('Price History'!G:G,MATCH(9.99E+307,'Price History'!$A:$A))-'Price History'!G3)*(ROW()-3)/(MATCH(9.99E+307,'Returns (Calc)'!$A:$A)-3),"")</f>
        <v>16.9081761006289</v>
      </c>
      <c r="AC97" s="145" t="n">
        <f aca="false">IFERROR('Price History'!H3+(INDEX('Price History'!H:H,MATCH(9.99E+307,'Price History'!$A:$A))-'Price History'!H3)*(ROW()-3)/(MATCH(9.99E+307,'Returns (Calc)'!$A:$A)-3),"")</f>
        <v>41.1216981132075</v>
      </c>
      <c r="AD97" s="145" t="n">
        <f aca="false">IFERROR('Price History'!I3+(INDEX('Price History'!I:I,MATCH(9.99E+307,'Price History'!$A:$A))-'Price History'!I3)*(ROW()-3)/(MATCH(9.99E+307,'Returns (Calc)'!$A:$A)-3),"")</f>
        <v>18.1305031446541</v>
      </c>
      <c r="AE97" s="145" t="n">
        <f aca="false">IFERROR('Price History'!J3+(INDEX('Price History'!J:J,MATCH(9.99E+307,'Price History'!$A:$A))-'Price History'!J3)*(ROW()-3)/(MATCH(9.99E+307,'Returns (Calc)'!$A:$A)-3),"")</f>
        <v>28.2525157232704</v>
      </c>
      <c r="AF97" s="145" t="n">
        <f aca="false">IFERROR('Price History'!K3+(INDEX('Price History'!K:K,MATCH(9.99E+307,'Price History'!$A:$A))-'Price History'!K3)*(ROW()-3)/(MATCH(9.99E+307,'Returns (Calc)'!$A:$A)-3),"")</f>
        <v>17.8933962264151</v>
      </c>
      <c r="AG97" s="145" t="n">
        <f aca="false">IFERROR('Price History'!L3+(INDEX('Price History'!L:L,MATCH(9.99E+307,'Price History'!$A:$A))-'Price History'!L3)*(ROW()-3)/(MATCH(9.99E+307,'Returns (Calc)'!$A:$A)-3),"")</f>
        <v>45.7207547169811</v>
      </c>
      <c r="AH97" s="145" t="n">
        <f aca="false">IFERROR('Price History'!M3+(INDEX('Price History'!M:M,MATCH(9.99E+307,'Price History'!$A:$A))-'Price History'!M3)*(ROW()-3)/(MATCH(9.99E+307,'Returns (Calc)'!$A:$A)-3),"")</f>
        <v>6.26698113207547</v>
      </c>
      <c r="AI97" s="145" t="n">
        <f aca="false">IFERROR('Price History'!N3+(INDEX('Price History'!N:N,MATCH(9.99E+307,'Price History'!$A:$A))-'Price History'!N3)*(ROW()-3)/(MATCH(9.99E+307,'Returns (Calc)'!$A:$A)-3),"")</f>
        <v>8.91194968553459</v>
      </c>
      <c r="AJ97" s="145" t="n">
        <f aca="false">IFERROR('Price History'!O3+(INDEX('Price History'!O:O,MATCH(9.99E+307,'Price History'!$A:$A))-'Price History'!O3)*(ROW()-3)/(MATCH(9.99E+307,'Returns (Calc)'!$A:$A)-3),"")</f>
        <v>23.5594339622642</v>
      </c>
      <c r="AK97" s="145" t="n">
        <f aca="false">IFERROR('Price History'!Q3+(INDEX('Price History'!Q:Q,MATCH(9.99E+307,'Price History'!$A:$A))-'Price History'!Q3)*(ROW()-3)/(MATCH(9.99E+307,'Returns (Calc)'!$A:$A)-3),"")</f>
        <v>96.3267295597484</v>
      </c>
      <c r="AL97" s="145" t="n">
        <f aca="false">IFERROR('Price History'!R3+(INDEX('Price History'!R:R,MATCH(9.99E+307,'Price History'!$A:$A))-'Price History'!R3)*(ROW()-3)/(MATCH(9.99E+307,'Returns (Calc)'!$A:$A)-3),"")</f>
        <v>19.5490566037736</v>
      </c>
      <c r="AM97" s="145" t="n">
        <f aca="false">IFERROR('Price History'!S3+(INDEX('Price History'!S:S,MATCH(9.99E+307,'Price History'!$A:$A))-'Price History'!S3)*(ROW()-3)/(MATCH(9.99E+307,'Returns (Calc)'!$A:$A)-3),"")</f>
        <v>23.9314465408805</v>
      </c>
      <c r="AN97" s="145" t="n">
        <f aca="false">IFERROR('Price History'!T3+(INDEX('Price History'!T:T,MATCH(9.99E+307,'Price History'!$A:$A))-'Price History'!T3)*(ROW()-3)/(MATCH(9.99E+307,'Returns (Calc)'!$A:$A)-3),"")</f>
        <v>11.0009433962264</v>
      </c>
      <c r="AO97" s="146" t="n">
        <f aca="false">IFERROR('Price History'!V3+(INDEX('Price History'!V:V,MATCH(9.99E+307,'Price History'!$A:$A))-'Price History'!V3)*(ROW()-3)/(MATCH(9.99E+307,'Returns (Calc)'!$A:$A)-3),"")</f>
        <v>0</v>
      </c>
    </row>
    <row r="98" customFormat="false" ht="15" hidden="false" customHeight="true" outlineLevel="0" collapsed="false">
      <c r="A98" s="142" t="n">
        <f aca="false">IF('Price History'!A99="","",'Price History'!A99)</f>
        <v>45856</v>
      </c>
      <c r="B98" s="143" t="n">
        <f aca="false">IFERROR(IF(OR(NOT(ISNUMBER('Price History'!B99)),NOT(ISNUMBER('Price History'!B98)),'Price History'!B98=0),"",'Price History'!B99/'Price History'!B98-1),"")</f>
        <v>0.00671528828952805</v>
      </c>
      <c r="C98" s="143" t="n">
        <f aca="false">IFERROR(IF(OR(NOT(ISNUMBER('Price History'!C99)),NOT(ISNUMBER('Price History'!C98)),'Price History'!C98=0),"",'Price History'!C99/'Price History'!C98-1),"")</f>
        <v>0.0295661785023489</v>
      </c>
      <c r="D98" s="143" t="n">
        <f aca="false">IFERROR(IF(OR(NOT(ISNUMBER('Price History'!D99)),NOT(ISNUMBER('Price History'!D98)),'Price History'!D98=0),"",'Price History'!D99/'Price History'!D98-1),"")</f>
        <v>-0.0839845470446853</v>
      </c>
      <c r="E98" s="143" t="n">
        <f aca="false">IFERROR(IF(OR(NOT(ISNUMBER('Price History'!E99)),NOT(ISNUMBER('Price History'!E98)),'Price History'!E98=0),"",'Price History'!E99/'Price History'!E98-1),"")</f>
        <v>0.0326602670197507</v>
      </c>
      <c r="F98" s="143" t="n">
        <f aca="false">IFERROR(IF(OR(NOT(ISNUMBER('Price History'!F99)),NOT(ISNUMBER('Price History'!F98)),'Price History'!F98=0),"",'Price History'!F99/'Price History'!F98-1),"")</f>
        <v>-0.0118000429092469</v>
      </c>
      <c r="G98" s="143" t="n">
        <f aca="false">IFERROR(IF(OR(NOT(ISNUMBER('Price History'!G99)),NOT(ISNUMBER('Price History'!G98)),'Price History'!G98=0),"",'Price History'!G99/'Price History'!G98-1),"")</f>
        <v>-0.00518351308419029</v>
      </c>
      <c r="H98" s="143" t="n">
        <f aca="false">IFERROR(IF(OR(NOT(ISNUMBER('Price History'!H99)),NOT(ISNUMBER('Price History'!H98)),'Price History'!H98=0),"",'Price History'!H99/'Price History'!H98-1),"")</f>
        <v>-0.00421940928270026</v>
      </c>
      <c r="I98" s="143" t="n">
        <f aca="false">IFERROR(IF(OR(NOT(ISNUMBER('Price History'!I99)),NOT(ISNUMBER('Price History'!I98)),'Price History'!I98=0),"",'Price History'!I99/'Price History'!I98-1),"")</f>
        <v>0.00708369659982555</v>
      </c>
      <c r="J98" s="143" t="n">
        <f aca="false">IFERROR(IF(OR(NOT(ISNUMBER('Price History'!J99)),NOT(ISNUMBER('Price History'!J98)),'Price History'!J98=0),"",'Price History'!J99/'Price History'!J98-1),"")</f>
        <v>-0.0813962840826832</v>
      </c>
      <c r="K98" s="143" t="n">
        <f aca="false">IFERROR(IF(OR(NOT(ISNUMBER('Price History'!K99)),NOT(ISNUMBER('Price History'!K98)),'Price History'!K98=0),"",'Price History'!K99/'Price History'!K98-1),"")</f>
        <v>0.0454048140043764</v>
      </c>
      <c r="L98" s="143" t="n">
        <f aca="false">IFERROR(IF(OR(NOT(ISNUMBER('Price History'!L99)),NOT(ISNUMBER('Price History'!L98)),'Price History'!L98=0),"",'Price History'!L99/'Price History'!L98-1),"")</f>
        <v>-0.0219235535220665</v>
      </c>
      <c r="M98" s="143" t="n">
        <f aca="false">IFERROR(IF(OR(NOT(ISNUMBER('Price History'!M99)),NOT(ISNUMBER('Price History'!M98)),'Price History'!M98=0),"",'Price History'!M99/'Price History'!M98-1),"")</f>
        <v>0.08036593947924</v>
      </c>
      <c r="N98" s="143" t="n">
        <f aca="false">IFERROR(IF(OR(NOT(ISNUMBER('Price History'!N99)),NOT(ISNUMBER('Price History'!N98)),'Price History'!N98=0),"",'Price History'!N99/'Price History'!N98-1),"")</f>
        <v>-0.0110898661567878</v>
      </c>
      <c r="O98" s="143" t="n">
        <f aca="false">IFERROR(IF(OR(NOT(ISNUMBER('Price History'!O99)),NOT(ISNUMBER('Price History'!O98)),'Price History'!O98=0),"",'Price History'!O99/'Price History'!O98-1),"")</f>
        <v>0.014858171994597</v>
      </c>
      <c r="P98" s="143" t="n">
        <f aca="false">IFERROR(IF(OR(NOT(ISNUMBER('Price History'!P99)),NOT(ISNUMBER('Price History'!P98)),'Price History'!P98=0),"",'Price History'!P99/'Price History'!P98-1),"")</f>
        <v>0.0433845206142474</v>
      </c>
      <c r="Q98" s="143" t="n">
        <f aca="false">IFERROR(IF(OR(NOT(ISNUMBER('Price History'!Q99)),NOT(ISNUMBER('Price History'!Q98)),'Price History'!Q98=0),"",'Price History'!Q99/'Price History'!Q98-1),"")</f>
        <v>0.00322149988390996</v>
      </c>
      <c r="R98" s="143" t="n">
        <f aca="false">IFERROR(IF(OR(NOT(ISNUMBER('Price History'!R99)),NOT(ISNUMBER('Price History'!R98)),'Price History'!R98=0),"",'Price History'!R99/'Price History'!R98-1),"")</f>
        <v>-0.00208728652751422</v>
      </c>
      <c r="S98" s="143" t="n">
        <f aca="false">IFERROR(IF(OR(NOT(ISNUMBER('Price History'!S99)),NOT(ISNUMBER('Price History'!S98)),'Price History'!S98=0),"",'Price History'!S99/'Price History'!S98-1),"")</f>
        <v>-0.00710811821922941</v>
      </c>
      <c r="T98" s="143" t="n">
        <f aca="false">IFERROR(IF(OR(NOT(ISNUMBER('Price History'!T99)),NOT(ISNUMBER('Price History'!T98)),'Price History'!T98=0),"",'Price History'!T99/'Price History'!T98-1),"")</f>
        <v>0.0109541654655521</v>
      </c>
      <c r="U98" s="143" t="str">
        <f aca="false">IFERROR(IF(OR(NOT(ISNUMBER('Price History'!U99)),NOT(ISNUMBER('Price History'!U98)),'Price History'!U98=0),"",'Price History'!U99/'Price History'!U98-1),"")</f>
        <v/>
      </c>
      <c r="V98" s="144" t="n">
        <f aca="false">IFERROR(IF(OR(NOT(ISNUMBER('Price History'!V99)),NOT(ISNUMBER('Price History'!V98)),'Price History'!V98=0),"",'Price History'!V99/'Price History'!V98-1),"")</f>
        <v>-0.0469125027274711</v>
      </c>
      <c r="W98" s="145" t="str">
        <f aca="false">IFERROR('Price History'!B3+(INDEX('Price History'!B:B,MATCH(9.99E+307,'Price History'!$A:$A))-'Price History'!B3)*(ROW()-3)/(MATCH(9.99E+307,'Returns (Calc)'!$A:$A)-3),"")</f>
        <v/>
      </c>
      <c r="X98" s="145" t="n">
        <f aca="false">IFERROR('Price History'!C3+(INDEX('Price History'!C:C,MATCH(9.99E+307,'Price History'!$A:$A))-'Price History'!C3)*(ROW()-3)/(MATCH(9.99E+307,'Returns (Calc)'!$A:$A)-3),"")</f>
        <v>18.5881761006289</v>
      </c>
      <c r="Y98" s="145" t="n">
        <f aca="false">IFERROR('Price History'!D3+(INDEX('Price History'!D:D,MATCH(9.99E+307,'Price History'!$A:$A))-'Price History'!D3)*(ROW()-3)/(MATCH(9.99E+307,'Returns (Calc)'!$A:$A)-3),"")</f>
        <v>234.268176100629</v>
      </c>
      <c r="Z98" s="145" t="n">
        <f aca="false">IFERROR('Price History'!E3+(INDEX('Price History'!E:E,MATCH(9.99E+307,'Price History'!$A:$A))-'Price History'!E3)*(ROW()-3)/(MATCH(9.99E+307,'Returns (Calc)'!$A:$A)-3),"")</f>
        <v>33.0062893081761</v>
      </c>
      <c r="AA98" s="145" t="n">
        <f aca="false">IFERROR('Price History'!F3+(INDEX('Price History'!F:F,MATCH(9.99E+307,'Price History'!$A:$A))-'Price History'!F3)*(ROW()-3)/(MATCH(9.99E+307,'Returns (Calc)'!$A:$A)-3),"")</f>
        <v>30.3134591194969</v>
      </c>
      <c r="AB98" s="145" t="n">
        <f aca="false">IFERROR('Price History'!G3+(INDEX('Price History'!G:G,MATCH(9.99E+307,'Price History'!$A:$A))-'Price History'!G3)*(ROW()-3)/(MATCH(9.99E+307,'Returns (Calc)'!$A:$A)-3),"")</f>
        <v>16.6480503144654</v>
      </c>
      <c r="AC98" s="145" t="n">
        <f aca="false">IFERROR('Price History'!H3+(INDEX('Price History'!H:H,MATCH(9.99E+307,'Price History'!$A:$A))-'Price History'!H3)*(ROW()-3)/(MATCH(9.99E+307,'Returns (Calc)'!$A:$A)-3),"")</f>
        <v>40.4890566037736</v>
      </c>
      <c r="AD98" s="145" t="n">
        <f aca="false">IFERROR('Price History'!I3+(INDEX('Price History'!I:I,MATCH(9.99E+307,'Price History'!$A:$A))-'Price History'!I3)*(ROW()-3)/(MATCH(9.99E+307,'Returns (Calc)'!$A:$A)-3),"")</f>
        <v>17.851572327044</v>
      </c>
      <c r="AE98" s="145" t="n">
        <f aca="false">IFERROR('Price History'!J3+(INDEX('Price History'!J:J,MATCH(9.99E+307,'Price History'!$A:$A))-'Price History'!J3)*(ROW()-3)/(MATCH(9.99E+307,'Returns (Calc)'!$A:$A)-3),"")</f>
        <v>27.8178616352201</v>
      </c>
      <c r="AF98" s="145" t="n">
        <f aca="false">IFERROR('Price History'!K3+(INDEX('Price History'!K:K,MATCH(9.99E+307,'Price History'!$A:$A))-'Price History'!K3)*(ROW()-3)/(MATCH(9.99E+307,'Returns (Calc)'!$A:$A)-3),"")</f>
        <v>17.6181132075472</v>
      </c>
      <c r="AG98" s="145" t="n">
        <f aca="false">IFERROR('Price History'!L3+(INDEX('Price History'!L:L,MATCH(9.99E+307,'Price History'!$A:$A))-'Price History'!L3)*(ROW()-3)/(MATCH(9.99E+307,'Returns (Calc)'!$A:$A)-3),"")</f>
        <v>45.017358490566</v>
      </c>
      <c r="AH98" s="145" t="n">
        <f aca="false">IFERROR('Price History'!M3+(INDEX('Price History'!M:M,MATCH(9.99E+307,'Price History'!$A:$A))-'Price History'!M3)*(ROW()-3)/(MATCH(9.99E+307,'Returns (Calc)'!$A:$A)-3),"")</f>
        <v>6.17056603773585</v>
      </c>
      <c r="AI98" s="145" t="n">
        <f aca="false">IFERROR('Price History'!N3+(INDEX('Price History'!N:N,MATCH(9.99E+307,'Price History'!$A:$A))-'Price History'!N3)*(ROW()-3)/(MATCH(9.99E+307,'Returns (Calc)'!$A:$A)-3),"")</f>
        <v>8.7748427672956</v>
      </c>
      <c r="AJ98" s="145" t="n">
        <f aca="false">IFERROR('Price History'!O3+(INDEX('Price History'!O:O,MATCH(9.99E+307,'Price History'!$A:$A))-'Price History'!O3)*(ROW()-3)/(MATCH(9.99E+307,'Returns (Calc)'!$A:$A)-3),"")</f>
        <v>23.1969811320755</v>
      </c>
      <c r="AK98" s="145" t="n">
        <f aca="false">IFERROR('Price History'!Q3+(INDEX('Price History'!Q:Q,MATCH(9.99E+307,'Price History'!$A:$A))-'Price History'!Q3)*(ROW()-3)/(MATCH(9.99E+307,'Returns (Calc)'!$A:$A)-3),"")</f>
        <v>94.8447798742138</v>
      </c>
      <c r="AL98" s="145" t="n">
        <f aca="false">IFERROR('Price History'!R3+(INDEX('Price History'!R:R,MATCH(9.99E+307,'Price History'!$A:$A))-'Price History'!R3)*(ROW()-3)/(MATCH(9.99E+307,'Returns (Calc)'!$A:$A)-3),"")</f>
        <v>19.2483018867925</v>
      </c>
      <c r="AM98" s="145" t="n">
        <f aca="false">IFERROR('Price History'!S3+(INDEX('Price History'!S:S,MATCH(9.99E+307,'Price History'!$A:$A))-'Price History'!S3)*(ROW()-3)/(MATCH(9.99E+307,'Returns (Calc)'!$A:$A)-3),"")</f>
        <v>23.5632704402516</v>
      </c>
      <c r="AN98" s="145" t="n">
        <f aca="false">IFERROR('Price History'!T3+(INDEX('Price History'!T:T,MATCH(9.99E+307,'Price History'!$A:$A))-'Price History'!T3)*(ROW()-3)/(MATCH(9.99E+307,'Returns (Calc)'!$A:$A)-3),"")</f>
        <v>10.8316981132075</v>
      </c>
      <c r="AO98" s="146" t="n">
        <f aca="false">IFERROR('Price History'!V3+(INDEX('Price History'!V:V,MATCH(9.99E+307,'Price History'!$A:$A))-'Price History'!V3)*(ROW()-3)/(MATCH(9.99E+307,'Returns (Calc)'!$A:$A)-3),"")</f>
        <v>0</v>
      </c>
    </row>
    <row r="99" customFormat="false" ht="15" hidden="false" customHeight="true" outlineLevel="0" collapsed="false">
      <c r="A99" s="142" t="n">
        <f aca="false">IF('Price History'!A100="","",'Price History'!A100)</f>
        <v>45863</v>
      </c>
      <c r="B99" s="143" t="n">
        <f aca="false">IFERROR(IF(OR(NOT(ISNUMBER('Price History'!B100)),NOT(ISNUMBER('Price History'!B99)),'Price History'!B99=0),"",'Price History'!B100/'Price History'!B99-1),"")</f>
        <v>0.0135323546297055</v>
      </c>
      <c r="C99" s="143" t="n">
        <f aca="false">IFERROR(IF(OR(NOT(ISNUMBER('Price History'!C100)),NOT(ISNUMBER('Price History'!C99)),'Price History'!C99=0),"",'Price History'!C100/'Price History'!C99-1),"")</f>
        <v>0.0223653605296117</v>
      </c>
      <c r="D99" s="143" t="n">
        <f aca="false">IFERROR(IF(OR(NOT(ISNUMBER('Price History'!D100)),NOT(ISNUMBER('Price History'!D99)),'Price History'!D99=0),"",'Price History'!D100/'Price History'!D99-1),"")</f>
        <v>-0.0317612957289849</v>
      </c>
      <c r="E99" s="143" t="n">
        <f aca="false">IFERROR(IF(OR(NOT(ISNUMBER('Price History'!E100)),NOT(ISNUMBER('Price History'!E99)),'Price History'!E99=0),"",'Price History'!E100/'Price History'!E99-1),"")</f>
        <v>0.0241478790469067</v>
      </c>
      <c r="F99" s="143" t="n">
        <f aca="false">IFERROR(IF(OR(NOT(ISNUMBER('Price History'!F100)),NOT(ISNUMBER('Price History'!F99)),'Price History'!F99=0),"",'Price History'!F100/'Price History'!F99-1),"")</f>
        <v>0.0147633521493704</v>
      </c>
      <c r="G99" s="143" t="n">
        <f aca="false">IFERROR(IF(OR(NOT(ISNUMBER('Price History'!G100)),NOT(ISNUMBER('Price History'!G99)),'Price History'!G99=0),"",'Price History'!G100/'Price History'!G99-1),"")</f>
        <v>-0.0168921758130934</v>
      </c>
      <c r="H99" s="143" t="n">
        <f aca="false">IFERROR(IF(OR(NOT(ISNUMBER('Price History'!H100)),NOT(ISNUMBER('Price History'!H99)),'Price History'!H99=0),"",'Price History'!H100/'Price History'!H99-1),"")</f>
        <v>0.0181818181818181</v>
      </c>
      <c r="I99" s="143" t="n">
        <f aca="false">IFERROR(IF(OR(NOT(ISNUMBER('Price History'!I100)),NOT(ISNUMBER('Price History'!I99)),'Price History'!I99=0),"",'Price History'!I100/'Price History'!I99-1),"")</f>
        <v>-0.0311654582837355</v>
      </c>
      <c r="J99" s="143" t="n">
        <f aca="false">IFERROR(IF(OR(NOT(ISNUMBER('Price History'!J100)),NOT(ISNUMBER('Price History'!J99)),'Price History'!J99=0),"",'Price History'!J100/'Price History'!J99-1),"")</f>
        <v>-0.0274056562472638</v>
      </c>
      <c r="K99" s="143" t="n">
        <f aca="false">IFERROR(IF(OR(NOT(ISNUMBER('Price History'!K100)),NOT(ISNUMBER('Price History'!K99)),'Price History'!K99=0),"",'Price History'!K100/'Price History'!K99-1),"")</f>
        <v>0.00633757776614918</v>
      </c>
      <c r="L99" s="143" t="n">
        <f aca="false">IFERROR(IF(OR(NOT(ISNUMBER('Price History'!L100)),NOT(ISNUMBER('Price History'!L99)),'Price History'!L99=0),"",'Price History'!L100/'Price History'!L99-1),"")</f>
        <v>0.0329402592339927</v>
      </c>
      <c r="M99" s="143" t="n">
        <f aca="false">IFERROR(IF(OR(NOT(ISNUMBER('Price History'!M100)),NOT(ISNUMBER('Price History'!M99)),'Price History'!M99=0),"",'Price History'!M100/'Price History'!M99-1),"")</f>
        <v>0.0343929129755081</v>
      </c>
      <c r="N99" s="143" t="n">
        <f aca="false">IFERROR(IF(OR(NOT(ISNUMBER('Price History'!N100)),NOT(ISNUMBER('Price History'!N99)),'Price History'!N99=0),"",'Price History'!N100/'Price History'!N99-1),"")</f>
        <v>0.0108275328692962</v>
      </c>
      <c r="O99" s="143" t="n">
        <f aca="false">IFERROR(IF(OR(NOT(ISNUMBER('Price History'!O100)),NOT(ISNUMBER('Price History'!O99)),'Price History'!O99=0),"",'Price History'!O100/'Price History'!O99-1),"")</f>
        <v>0.01055900621118</v>
      </c>
      <c r="P99" s="143" t="n">
        <f aca="false">IFERROR(IF(OR(NOT(ISNUMBER('Price History'!P100)),NOT(ISNUMBER('Price History'!P99)),'Price History'!P99=0),"",'Price History'!P100/'Price History'!P99-1),"")</f>
        <v>0.0216337030320921</v>
      </c>
      <c r="Q99" s="143" t="n">
        <f aca="false">IFERROR(IF(OR(NOT(ISNUMBER('Price History'!Q100)),NOT(ISNUMBER('Price History'!Q99)),'Price History'!Q99=0),"",'Price History'!Q100/'Price History'!Q99-1),"")</f>
        <v>0.0229120259206757</v>
      </c>
      <c r="R99" s="143" t="n">
        <f aca="false">IFERROR(IF(OR(NOT(ISNUMBER('Price History'!R100)),NOT(ISNUMBER('Price History'!R99)),'Price History'!R99=0),"",'Price History'!R100/'Price History'!R99-1),"")</f>
        <v>0.00304240349876395</v>
      </c>
      <c r="S99" s="143" t="n">
        <f aca="false">IFERROR(IF(OR(NOT(ISNUMBER('Price History'!S100)),NOT(ISNUMBER('Price History'!S99)),'Price History'!S99=0),"",'Price History'!S100/'Price History'!S99-1),"")</f>
        <v>0.00706480783722685</v>
      </c>
      <c r="T99" s="143" t="n">
        <f aca="false">IFERROR(IF(OR(NOT(ISNUMBER('Price History'!T100)),NOT(ISNUMBER('Price History'!T99)),'Price History'!T99=0),"",'Price History'!T100/'Price History'!T99-1),"")</f>
        <v>-0.00114057599087536</v>
      </c>
      <c r="U99" s="143" t="str">
        <f aca="false">IFERROR(IF(OR(NOT(ISNUMBER('Price History'!U100)),NOT(ISNUMBER('Price History'!U99)),'Price History'!U99=0),"",'Price History'!U100/'Price History'!U99-1),"")</f>
        <v/>
      </c>
      <c r="V99" s="144" t="n">
        <f aca="false">IFERROR(IF(OR(NOT(ISNUMBER('Price History'!V100)),NOT(ISNUMBER('Price History'!V99)),'Price History'!V99=0),"",'Price History'!V100/'Price History'!V99-1),"")</f>
        <v>-0.0404933608058607</v>
      </c>
      <c r="W99" s="145" t="str">
        <f aca="false">IFERROR('Price History'!B3+(INDEX('Price History'!B:B,MATCH(9.99E+307,'Price History'!$A:$A))-'Price History'!B3)*(ROW()-3)/(MATCH(9.99E+307,'Returns (Calc)'!$A:$A)-3),"")</f>
        <v/>
      </c>
      <c r="X99" s="145" t="n">
        <f aca="false">IFERROR('Price History'!C3+(INDEX('Price History'!C:C,MATCH(9.99E+307,'Price History'!$A:$A))-'Price History'!C3)*(ROW()-3)/(MATCH(9.99E+307,'Returns (Calc)'!$A:$A)-3),"")</f>
        <v>18.2977358490566</v>
      </c>
      <c r="Y99" s="145" t="n">
        <f aca="false">IFERROR('Price History'!D3+(INDEX('Price History'!D:D,MATCH(9.99E+307,'Price History'!$A:$A))-'Price History'!D3)*(ROW()-3)/(MATCH(9.99E+307,'Returns (Calc)'!$A:$A)-3),"")</f>
        <v>230.607735849057</v>
      </c>
      <c r="Z99" s="145" t="n">
        <f aca="false">IFERROR('Price History'!E3+(INDEX('Price History'!E:E,MATCH(9.99E+307,'Price History'!$A:$A))-'Price History'!E3)*(ROW()-3)/(MATCH(9.99E+307,'Returns (Calc)'!$A:$A)-3),"")</f>
        <v>32.4905660377358</v>
      </c>
      <c r="AA99" s="145" t="n">
        <f aca="false">IFERROR('Price History'!F3+(INDEX('Price History'!F:F,MATCH(9.99E+307,'Price History'!$A:$A))-'Price History'!F3)*(ROW()-3)/(MATCH(9.99E+307,'Returns (Calc)'!$A:$A)-3),"")</f>
        <v>29.8398113207547</v>
      </c>
      <c r="AB99" s="145" t="n">
        <f aca="false">IFERROR('Price History'!G3+(INDEX('Price History'!G:G,MATCH(9.99E+307,'Price History'!$A:$A))-'Price History'!G3)*(ROW()-3)/(MATCH(9.99E+307,'Returns (Calc)'!$A:$A)-3),"")</f>
        <v>16.3879245283019</v>
      </c>
      <c r="AC99" s="145" t="n">
        <f aca="false">IFERROR('Price History'!H3+(INDEX('Price History'!H:H,MATCH(9.99E+307,'Price History'!$A:$A))-'Price History'!H3)*(ROW()-3)/(MATCH(9.99E+307,'Returns (Calc)'!$A:$A)-3),"")</f>
        <v>39.8564150943396</v>
      </c>
      <c r="AD99" s="145" t="n">
        <f aca="false">IFERROR('Price History'!I3+(INDEX('Price History'!I:I,MATCH(9.99E+307,'Price History'!$A:$A))-'Price History'!I3)*(ROW()-3)/(MATCH(9.99E+307,'Returns (Calc)'!$A:$A)-3),"")</f>
        <v>17.572641509434</v>
      </c>
      <c r="AE99" s="145" t="n">
        <f aca="false">IFERROR('Price History'!J3+(INDEX('Price History'!J:J,MATCH(9.99E+307,'Price History'!$A:$A))-'Price History'!J3)*(ROW()-3)/(MATCH(9.99E+307,'Returns (Calc)'!$A:$A)-3),"")</f>
        <v>27.3832075471698</v>
      </c>
      <c r="AF99" s="145" t="n">
        <f aca="false">IFERROR('Price History'!K3+(INDEX('Price History'!K:K,MATCH(9.99E+307,'Price History'!$A:$A))-'Price History'!K3)*(ROW()-3)/(MATCH(9.99E+307,'Returns (Calc)'!$A:$A)-3),"")</f>
        <v>17.3428301886792</v>
      </c>
      <c r="AG99" s="145" t="n">
        <f aca="false">IFERROR('Price History'!L3+(INDEX('Price History'!L:L,MATCH(9.99E+307,'Price History'!$A:$A))-'Price History'!L3)*(ROW()-3)/(MATCH(9.99E+307,'Returns (Calc)'!$A:$A)-3),"")</f>
        <v>44.3139622641509</v>
      </c>
      <c r="AH99" s="145" t="n">
        <f aca="false">IFERROR('Price History'!M3+(INDEX('Price History'!M:M,MATCH(9.99E+307,'Price History'!$A:$A))-'Price History'!M3)*(ROW()-3)/(MATCH(9.99E+307,'Returns (Calc)'!$A:$A)-3),"")</f>
        <v>6.07415094339623</v>
      </c>
      <c r="AI99" s="145" t="n">
        <f aca="false">IFERROR('Price History'!N3+(INDEX('Price History'!N:N,MATCH(9.99E+307,'Price History'!$A:$A))-'Price History'!N3)*(ROW()-3)/(MATCH(9.99E+307,'Returns (Calc)'!$A:$A)-3),"")</f>
        <v>8.6377358490566</v>
      </c>
      <c r="AJ99" s="145" t="n">
        <f aca="false">IFERROR('Price History'!O3+(INDEX('Price History'!O:O,MATCH(9.99E+307,'Price History'!$A:$A))-'Price History'!O3)*(ROW()-3)/(MATCH(9.99E+307,'Returns (Calc)'!$A:$A)-3),"")</f>
        <v>22.8345283018868</v>
      </c>
      <c r="AK99" s="145" t="n">
        <f aca="false">IFERROR('Price History'!Q3+(INDEX('Price History'!Q:Q,MATCH(9.99E+307,'Price History'!$A:$A))-'Price History'!Q3)*(ROW()-3)/(MATCH(9.99E+307,'Returns (Calc)'!$A:$A)-3),"")</f>
        <v>93.3628301886793</v>
      </c>
      <c r="AL99" s="145" t="n">
        <f aca="false">IFERROR('Price History'!R3+(INDEX('Price History'!R:R,MATCH(9.99E+307,'Price History'!$A:$A))-'Price History'!R3)*(ROW()-3)/(MATCH(9.99E+307,'Returns (Calc)'!$A:$A)-3),"")</f>
        <v>18.9475471698113</v>
      </c>
      <c r="AM99" s="145" t="n">
        <f aca="false">IFERROR('Price History'!S3+(INDEX('Price History'!S:S,MATCH(9.99E+307,'Price History'!$A:$A))-'Price History'!S3)*(ROW()-3)/(MATCH(9.99E+307,'Returns (Calc)'!$A:$A)-3),"")</f>
        <v>23.1950943396226</v>
      </c>
      <c r="AN99" s="145" t="n">
        <f aca="false">IFERROR('Price History'!T3+(INDEX('Price History'!T:T,MATCH(9.99E+307,'Price History'!$A:$A))-'Price History'!T3)*(ROW()-3)/(MATCH(9.99E+307,'Returns (Calc)'!$A:$A)-3),"")</f>
        <v>10.6624528301887</v>
      </c>
      <c r="AO99" s="146" t="n">
        <f aca="false">IFERROR('Price History'!V3+(INDEX('Price History'!V:V,MATCH(9.99E+307,'Price History'!$A:$A))-'Price History'!V3)*(ROW()-3)/(MATCH(9.99E+307,'Returns (Calc)'!$A:$A)-3),"")</f>
        <v>0</v>
      </c>
    </row>
    <row r="100" customFormat="false" ht="15" hidden="false" customHeight="true" outlineLevel="0" collapsed="false">
      <c r="A100" s="142" t="n">
        <f aca="false">IF('Price History'!A101="","",'Price History'!A101)</f>
        <v>45870</v>
      </c>
      <c r="B100" s="143" t="n">
        <f aca="false">IFERROR(IF(OR(NOT(ISNUMBER('Price History'!B101)),NOT(ISNUMBER('Price History'!B100)),'Price History'!B100=0),"",'Price History'!B101/'Price History'!B100-1),"")</f>
        <v>-0.06187624750499</v>
      </c>
      <c r="C100" s="143" t="n">
        <f aca="false">IFERROR(IF(OR(NOT(ISNUMBER('Price History'!C101)),NOT(ISNUMBER('Price History'!C100)),'Price History'!C100=0),"",'Price History'!C101/'Price History'!C100-1),"")</f>
        <v>0.0287889394469723</v>
      </c>
      <c r="D100" s="143" t="n">
        <f aca="false">IFERROR(IF(OR(NOT(ISNUMBER('Price History'!D101)),NOT(ISNUMBER('Price History'!D100)),'Price History'!D100=0),"",'Price History'!D101/'Price History'!D100-1),"")</f>
        <v>-0.0276670308310041</v>
      </c>
      <c r="E100" s="143" t="n">
        <f aca="false">IFERROR(IF(OR(NOT(ISNUMBER('Price History'!E101)),NOT(ISNUMBER('Price History'!E100)),'Price History'!E100=0),"",'Price History'!E101/'Price History'!E100-1),"")</f>
        <v>-0.00532081377151805</v>
      </c>
      <c r="F100" s="143" t="n">
        <f aca="false">IFERROR(IF(OR(NOT(ISNUMBER('Price History'!F101)),NOT(ISNUMBER('Price History'!F100)),'Price History'!F100=0),"",'Price History'!F101/'Price History'!F100-1),"")</f>
        <v>-0.0502781343602911</v>
      </c>
      <c r="G100" s="143" t="n">
        <f aca="false">IFERROR(IF(OR(NOT(ISNUMBER('Price History'!G101)),NOT(ISNUMBER('Price History'!G100)),'Price History'!G100=0),"",'Price History'!G101/'Price History'!G100-1),"")</f>
        <v>-0.0453923747649171</v>
      </c>
      <c r="H100" s="143" t="n">
        <f aca="false">IFERROR(IF(OR(NOT(ISNUMBER('Price History'!H101)),NOT(ISNUMBER('Price History'!H100)),'Price History'!H100=0),"",'Price History'!H101/'Price History'!H100-1),"")</f>
        <v>-0.0300393462469734</v>
      </c>
      <c r="I100" s="143" t="n">
        <f aca="false">IFERROR(IF(OR(NOT(ISNUMBER('Price History'!I101)),NOT(ISNUMBER('Price History'!I100)),'Price History'!I100=0),"",'Price History'!I101/'Price History'!I100-1),"")</f>
        <v>-0.0170892438288842</v>
      </c>
      <c r="J100" s="143" t="n">
        <f aca="false">IFERROR(IF(OR(NOT(ISNUMBER('Price History'!J101)),NOT(ISNUMBER('Price History'!J100)),'Price History'!J100=0),"",'Price History'!J101/'Price History'!J100-1),"")</f>
        <v>-0.0573460568959309</v>
      </c>
      <c r="K100" s="143" t="n">
        <f aca="false">IFERROR(IF(OR(NOT(ISNUMBER('Price History'!K101)),NOT(ISNUMBER('Price History'!K100)),'Price History'!K100=0),"",'Price History'!K101/'Price History'!K100-1),"")</f>
        <v>0.00127108851398194</v>
      </c>
      <c r="L100" s="143" t="n">
        <f aca="false">IFERROR(IF(OR(NOT(ISNUMBER('Price History'!L101)),NOT(ISNUMBER('Price History'!L100)),'Price History'!L100=0),"",'Price History'!L101/'Price History'!L100-1),"")</f>
        <v>-0.0487781866213795</v>
      </c>
      <c r="M100" s="143" t="n">
        <f aca="false">IFERROR(IF(OR(NOT(ISNUMBER('Price History'!M101)),NOT(ISNUMBER('Price History'!M100)),'Price History'!M100=0),"",'Price History'!M101/'Price History'!M100-1),"")</f>
        <v>-0.0285264483627204</v>
      </c>
      <c r="N100" s="143" t="n">
        <f aca="false">IFERROR(IF(OR(NOT(ISNUMBER('Price History'!N101)),NOT(ISNUMBER('Price History'!N100)),'Price History'!N100=0),"",'Price History'!N101/'Price History'!N100-1),"")</f>
        <v>-0.0344299923488907</v>
      </c>
      <c r="O100" s="143" t="n">
        <f aca="false">IFERROR(IF(OR(NOT(ISNUMBER('Price History'!O101)),NOT(ISNUMBER('Price History'!O100)),'Price History'!O100=0),"",'Price History'!O101/'Price History'!O100-1),"")</f>
        <v>-0.0157169198349285</v>
      </c>
      <c r="P100" s="143" t="n">
        <f aca="false">IFERROR(IF(OR(NOT(ISNUMBER('Price History'!P101)),NOT(ISNUMBER('Price History'!P100)),'Price History'!P100=0),"",'Price History'!P101/'Price History'!P100-1),"")</f>
        <v>-0.0423099149673905</v>
      </c>
      <c r="Q100" s="143" t="n">
        <f aca="false">IFERROR(IF(OR(NOT(ISNUMBER('Price History'!Q101)),NOT(ISNUMBER('Price History'!Q100)),'Price History'!Q100=0),"",'Price History'!Q101/'Price History'!Q100-1),"")</f>
        <v>-0.0495489125823694</v>
      </c>
      <c r="R100" s="143" t="n">
        <f aca="false">IFERROR(IF(OR(NOT(ISNUMBER('Price History'!R101)),NOT(ISNUMBER('Price History'!R100)),'Price History'!R100=0),"",'Price History'!R101/'Price History'!R100-1),"")</f>
        <v>0.0288151658767772</v>
      </c>
      <c r="S100" s="143" t="n">
        <f aca="false">IFERROR(IF(OR(NOT(ISNUMBER('Price History'!S101)),NOT(ISNUMBER('Price History'!S100)),'Price History'!S100=0),"",'Price History'!S101/'Price History'!S100-1),"")</f>
        <v>0.0461135534561781</v>
      </c>
      <c r="T100" s="143" t="n">
        <f aca="false">IFERROR(IF(OR(NOT(ISNUMBER('Price History'!T101)),NOT(ISNUMBER('Price History'!T100)),'Price History'!T100=0),"",'Price History'!T101/'Price History'!T100-1),"")</f>
        <v>0.00856408792463603</v>
      </c>
      <c r="U100" s="143" t="str">
        <f aca="false">IFERROR(IF(OR(NOT(ISNUMBER('Price History'!U101)),NOT(ISNUMBER('Price History'!U100)),'Price History'!U100=0),"",'Price History'!U101/'Price History'!U100-1),"")</f>
        <v/>
      </c>
      <c r="V100" s="144" t="n">
        <f aca="false">IFERROR(IF(OR(NOT(ISNUMBER('Price History'!V101)),NOT(ISNUMBER('Price History'!V100)),'Price History'!V100=0),"",'Price History'!V101/'Price History'!V100-1),"")</f>
        <v>0.0296758030361777</v>
      </c>
      <c r="W100" s="145" t="str">
        <f aca="false">IFERROR('Price History'!B3+(INDEX('Price History'!B:B,MATCH(9.99E+307,'Price History'!$A:$A))-'Price History'!B3)*(ROW()-3)/(MATCH(9.99E+307,'Returns (Calc)'!$A:$A)-3),"")</f>
        <v/>
      </c>
      <c r="X100" s="145" t="n">
        <f aca="false">IFERROR('Price History'!C3+(INDEX('Price History'!C:C,MATCH(9.99E+307,'Price History'!$A:$A))-'Price History'!C3)*(ROW()-3)/(MATCH(9.99E+307,'Returns (Calc)'!$A:$A)-3),"")</f>
        <v>18.0072955974843</v>
      </c>
      <c r="Y100" s="145" t="n">
        <f aca="false">IFERROR('Price History'!D3+(INDEX('Price History'!D:D,MATCH(9.99E+307,'Price History'!$A:$A))-'Price History'!D3)*(ROW()-3)/(MATCH(9.99E+307,'Returns (Calc)'!$A:$A)-3),"")</f>
        <v>226.947295597484</v>
      </c>
      <c r="Z100" s="145" t="n">
        <f aca="false">IFERROR('Price History'!E3+(INDEX('Price History'!E:E,MATCH(9.99E+307,'Price History'!$A:$A))-'Price History'!E3)*(ROW()-3)/(MATCH(9.99E+307,'Returns (Calc)'!$A:$A)-3),"")</f>
        <v>31.9748427672956</v>
      </c>
      <c r="AA100" s="145" t="n">
        <f aca="false">IFERROR('Price History'!F3+(INDEX('Price History'!F:F,MATCH(9.99E+307,'Price History'!$A:$A))-'Price History'!F3)*(ROW()-3)/(MATCH(9.99E+307,'Returns (Calc)'!$A:$A)-3),"")</f>
        <v>29.3661635220126</v>
      </c>
      <c r="AB100" s="145" t="n">
        <f aca="false">IFERROR('Price History'!G3+(INDEX('Price History'!G:G,MATCH(9.99E+307,'Price History'!$A:$A))-'Price History'!G3)*(ROW()-3)/(MATCH(9.99E+307,'Returns (Calc)'!$A:$A)-3),"")</f>
        <v>16.1277987421384</v>
      </c>
      <c r="AC100" s="145" t="n">
        <f aca="false">IFERROR('Price History'!H3+(INDEX('Price History'!H:H,MATCH(9.99E+307,'Price History'!$A:$A))-'Price History'!H3)*(ROW()-3)/(MATCH(9.99E+307,'Returns (Calc)'!$A:$A)-3),"")</f>
        <v>39.2237735849057</v>
      </c>
      <c r="AD100" s="145" t="n">
        <f aca="false">IFERROR('Price History'!I3+(INDEX('Price History'!I:I,MATCH(9.99E+307,'Price History'!$A:$A))-'Price History'!I3)*(ROW()-3)/(MATCH(9.99E+307,'Returns (Calc)'!$A:$A)-3),"")</f>
        <v>17.2937106918239</v>
      </c>
      <c r="AE100" s="145" t="n">
        <f aca="false">IFERROR('Price History'!J3+(INDEX('Price History'!J:J,MATCH(9.99E+307,'Price History'!$A:$A))-'Price History'!J3)*(ROW()-3)/(MATCH(9.99E+307,'Returns (Calc)'!$A:$A)-3),"")</f>
        <v>26.9485534591195</v>
      </c>
      <c r="AF100" s="145" t="n">
        <f aca="false">IFERROR('Price History'!K3+(INDEX('Price History'!K:K,MATCH(9.99E+307,'Price History'!$A:$A))-'Price History'!K3)*(ROW()-3)/(MATCH(9.99E+307,'Returns (Calc)'!$A:$A)-3),"")</f>
        <v>17.0675471698113</v>
      </c>
      <c r="AG100" s="145" t="n">
        <f aca="false">IFERROR('Price History'!L3+(INDEX('Price History'!L:L,MATCH(9.99E+307,'Price History'!$A:$A))-'Price History'!L3)*(ROW()-3)/(MATCH(9.99E+307,'Returns (Calc)'!$A:$A)-3),"")</f>
        <v>43.6105660377359</v>
      </c>
      <c r="AH100" s="145" t="n">
        <f aca="false">IFERROR('Price History'!M3+(INDEX('Price History'!M:M,MATCH(9.99E+307,'Price History'!$A:$A))-'Price History'!M3)*(ROW()-3)/(MATCH(9.99E+307,'Returns (Calc)'!$A:$A)-3),"")</f>
        <v>5.9777358490566</v>
      </c>
      <c r="AI100" s="145" t="n">
        <f aca="false">IFERROR('Price History'!N3+(INDEX('Price History'!N:N,MATCH(9.99E+307,'Price History'!$A:$A))-'Price History'!N3)*(ROW()-3)/(MATCH(9.99E+307,'Returns (Calc)'!$A:$A)-3),"")</f>
        <v>8.50062893081761</v>
      </c>
      <c r="AJ100" s="145" t="n">
        <f aca="false">IFERROR('Price History'!O3+(INDEX('Price History'!O:O,MATCH(9.99E+307,'Price History'!$A:$A))-'Price History'!O3)*(ROW()-3)/(MATCH(9.99E+307,'Returns (Calc)'!$A:$A)-3),"")</f>
        <v>22.4720754716981</v>
      </c>
      <c r="AK100" s="145" t="n">
        <f aca="false">IFERROR('Price History'!Q3+(INDEX('Price History'!Q:Q,MATCH(9.99E+307,'Price History'!$A:$A))-'Price History'!Q3)*(ROW()-3)/(MATCH(9.99E+307,'Returns (Calc)'!$A:$A)-3),"")</f>
        <v>91.8808805031447</v>
      </c>
      <c r="AL100" s="145" t="n">
        <f aca="false">IFERROR('Price History'!R3+(INDEX('Price History'!R:R,MATCH(9.99E+307,'Price History'!$A:$A))-'Price History'!R3)*(ROW()-3)/(MATCH(9.99E+307,'Returns (Calc)'!$A:$A)-3),"")</f>
        <v>18.6467924528302</v>
      </c>
      <c r="AM100" s="145" t="n">
        <f aca="false">IFERROR('Price History'!S3+(INDEX('Price History'!S:S,MATCH(9.99E+307,'Price History'!$A:$A))-'Price History'!S3)*(ROW()-3)/(MATCH(9.99E+307,'Returns (Calc)'!$A:$A)-3),"")</f>
        <v>22.8269182389937</v>
      </c>
      <c r="AN100" s="145" t="n">
        <f aca="false">IFERROR('Price History'!T3+(INDEX('Price History'!T:T,MATCH(9.99E+307,'Price History'!$A:$A))-'Price History'!T3)*(ROW()-3)/(MATCH(9.99E+307,'Returns (Calc)'!$A:$A)-3),"")</f>
        <v>10.4932075471698</v>
      </c>
      <c r="AO100" s="146" t="n">
        <f aca="false">IFERROR('Price History'!V3+(INDEX('Price History'!V:V,MATCH(9.99E+307,'Price History'!$A:$A))-'Price History'!V3)*(ROW()-3)/(MATCH(9.99E+307,'Returns (Calc)'!$A:$A)-3),"")</f>
        <v>0</v>
      </c>
    </row>
    <row r="101" customFormat="false" ht="15" hidden="false" customHeight="true" outlineLevel="0" collapsed="false">
      <c r="A101" s="142" t="n">
        <f aca="false">IF('Price History'!A102="","",'Price History'!A102)</f>
        <v>45877</v>
      </c>
      <c r="B101" s="143" t="n">
        <f aca="false">IFERROR(IF(OR(NOT(ISNUMBER('Price History'!B102)),NOT(ISNUMBER('Price History'!B101)),'Price History'!B101=0),"",'Price History'!B102/'Price History'!B101-1),"")</f>
        <v>-0.0194077055779184</v>
      </c>
      <c r="C101" s="143" t="n">
        <f aca="false">IFERROR(IF(OR(NOT(ISNUMBER('Price History'!C102)),NOT(ISNUMBER('Price History'!C101)),'Price History'!C101=0),"",'Price History'!C102/'Price History'!C101-1),"")</f>
        <v>0.183805392532109</v>
      </c>
      <c r="D101" s="143" t="n">
        <f aca="false">IFERROR(IF(OR(NOT(ISNUMBER('Price History'!D102)),NOT(ISNUMBER('Price History'!D101)),'Price History'!D101=0),"",'Price History'!D102/'Price History'!D101-1),"")</f>
        <v>0.0471027710087406</v>
      </c>
      <c r="E101" s="143" t="n">
        <f aca="false">IFERROR(IF(OR(NOT(ISNUMBER('Price History'!E102)),NOT(ISNUMBER('Price History'!E101)),'Price History'!E101=0),"",'Price History'!E102/'Price History'!E101-1),"")</f>
        <v>0.0565694706663871</v>
      </c>
      <c r="F101" s="143" t="n">
        <f aca="false">IFERROR(IF(OR(NOT(ISNUMBER('Price History'!F102)),NOT(ISNUMBER('Price History'!F101)),'Price History'!F101=0),"",'Price History'!F102/'Price History'!F101-1),"")</f>
        <v>0.0233160621761657</v>
      </c>
      <c r="G101" s="143" t="n">
        <f aca="false">IFERROR(IF(OR(NOT(ISNUMBER('Price History'!G102)),NOT(ISNUMBER('Price History'!G101)),'Price History'!G101=0),"",'Price History'!G102/'Price History'!G101-1),"")</f>
        <v>-0.0497000089549565</v>
      </c>
      <c r="H101" s="143" t="n">
        <f aca="false">IFERROR(IF(OR(NOT(ISNUMBER('Price History'!H102)),NOT(ISNUMBER('Price History'!H101)),'Price History'!H101=0),"",'Price History'!H102/'Price History'!H101-1),"")</f>
        <v>0.0161479054528433</v>
      </c>
      <c r="I101" s="143" t="n">
        <f aca="false">IFERROR(IF(OR(NOT(ISNUMBER('Price History'!I102)),NOT(ISNUMBER('Price History'!I101)),'Price History'!I101=0),"",'Price History'!I102/'Price History'!I101-1),"")</f>
        <v>0.0317045454545455</v>
      </c>
      <c r="J101" s="143" t="n">
        <f aca="false">IFERROR(IF(OR(NOT(ISNUMBER('Price History'!J102)),NOT(ISNUMBER('Price History'!J101)),'Price History'!J101=0),"",'Price History'!J102/'Price History'!J101-1),"")</f>
        <v>0.133607105338554</v>
      </c>
      <c r="K101" s="143" t="n">
        <f aca="false">IFERROR(IF(OR(NOT(ISNUMBER('Price History'!K102)),NOT(ISNUMBER('Price History'!K101)),'Price History'!K101=0),"",'Price History'!K102/'Price History'!K101-1),"")</f>
        <v>0.0516445470282747</v>
      </c>
      <c r="L101" s="143" t="n">
        <f aca="false">IFERROR(IF(OR(NOT(ISNUMBER('Price History'!L102)),NOT(ISNUMBER('Price History'!L101)),'Price History'!L101=0),"",'Price History'!L102/'Price History'!L101-1),"")</f>
        <v>0.00733981352906188</v>
      </c>
      <c r="M101" s="143" t="n">
        <f aca="false">IFERROR(IF(OR(NOT(ISNUMBER('Price History'!M102)),NOT(ISNUMBER('Price History'!M101)),'Price History'!M101=0),"",'Price History'!M102/'Price History'!M101-1),"")</f>
        <v>0.211901212160498</v>
      </c>
      <c r="N101" s="143" t="n">
        <f aca="false">IFERROR(IF(OR(NOT(ISNUMBER('Price History'!N102)),NOT(ISNUMBER('Price History'!N101)),'Price History'!N101=0),"",'Price History'!N102/'Price History'!N101-1),"")</f>
        <v>0.0190174326465928</v>
      </c>
      <c r="O101" s="143" t="n">
        <f aca="false">IFERROR(IF(OR(NOT(ISNUMBER('Price History'!O102)),NOT(ISNUMBER('Price History'!O101)),'Price History'!O101=0),"",'Price History'!O102/'Price History'!O101-1),"")</f>
        <v>0.0349687778768957</v>
      </c>
      <c r="P101" s="143" t="n">
        <f aca="false">IFERROR(IF(OR(NOT(ISNUMBER('Price History'!P102)),NOT(ISNUMBER('Price History'!P101)),'Price History'!P101=0),"",'Price History'!P102/'Price History'!P101-1),"")</f>
        <v>0.0281453385629931</v>
      </c>
      <c r="Q101" s="143" t="n">
        <f aca="false">IFERROR(IF(OR(NOT(ISNUMBER('Price History'!Q102)),NOT(ISNUMBER('Price History'!Q101)),'Price History'!Q101=0),"",'Price History'!Q102/'Price History'!Q101-1),"")</f>
        <v>-0.00758770494242278</v>
      </c>
      <c r="R101" s="143" t="n">
        <f aca="false">IFERROR(IF(OR(NOT(ISNUMBER('Price History'!R102)),NOT(ISNUMBER('Price History'!R101)),'Price History'!R101=0),"",'Price History'!R102/'Price History'!R101-1),"")</f>
        <v>-0.00202690252441506</v>
      </c>
      <c r="S101" s="143" t="n">
        <f aca="false">IFERROR(IF(OR(NOT(ISNUMBER('Price History'!S102)),NOT(ISNUMBER('Price History'!S101)),'Price History'!S101=0),"",'Price History'!S102/'Price History'!S101-1),"")</f>
        <v>0.00599070100143062</v>
      </c>
      <c r="T101" s="143" t="n">
        <f aca="false">IFERROR(IF(OR(NOT(ISNUMBER('Price History'!T102)),NOT(ISNUMBER('Price History'!T101)),'Price History'!T101=0),"",'Price History'!T102/'Price History'!T101-1),"")</f>
        <v>0.0124540050948203</v>
      </c>
      <c r="U101" s="143" t="str">
        <f aca="false">IFERROR(IF(OR(NOT(ISNUMBER('Price History'!U102)),NOT(ISNUMBER('Price History'!U101)),'Price History'!U101=0),"",'Price History'!U102/'Price History'!U101-1),"")</f>
        <v/>
      </c>
      <c r="V101" s="144" t="str">
        <f aca="false">IFERROR(IF(OR(NOT(ISNUMBER('Price History'!V102)),NOT(ISNUMBER('Price History'!V101)),'Price History'!V101=0),"",'Price History'!V102/'Price History'!V101-1),"")</f>
        <v/>
      </c>
      <c r="W101" s="145" t="str">
        <f aca="false">IFERROR('Price History'!B3+(INDEX('Price History'!B:B,MATCH(9.99E+307,'Price History'!$A:$A))-'Price History'!B3)*(ROW()-3)/(MATCH(9.99E+307,'Returns (Calc)'!$A:$A)-3),"")</f>
        <v/>
      </c>
      <c r="X101" s="145" t="n">
        <f aca="false">IFERROR('Price History'!C3+(INDEX('Price History'!C:C,MATCH(9.99E+307,'Price History'!$A:$A))-'Price History'!C3)*(ROW()-3)/(MATCH(9.99E+307,'Returns (Calc)'!$A:$A)-3),"")</f>
        <v>17.716855345912</v>
      </c>
      <c r="Y101" s="145" t="n">
        <f aca="false">IFERROR('Price History'!D3+(INDEX('Price History'!D:D,MATCH(9.99E+307,'Price History'!$A:$A))-'Price History'!D3)*(ROW()-3)/(MATCH(9.99E+307,'Returns (Calc)'!$A:$A)-3),"")</f>
        <v>223.286855345912</v>
      </c>
      <c r="Z101" s="145" t="n">
        <f aca="false">IFERROR('Price History'!E3+(INDEX('Price History'!E:E,MATCH(9.99E+307,'Price History'!$A:$A))-'Price History'!E3)*(ROW()-3)/(MATCH(9.99E+307,'Returns (Calc)'!$A:$A)-3),"")</f>
        <v>31.4591194968553</v>
      </c>
      <c r="AA101" s="145" t="n">
        <f aca="false">IFERROR('Price History'!F3+(INDEX('Price History'!F:F,MATCH(9.99E+307,'Price History'!$A:$A))-'Price History'!F3)*(ROW()-3)/(MATCH(9.99E+307,'Returns (Calc)'!$A:$A)-3),"")</f>
        <v>28.8925157232704</v>
      </c>
      <c r="AB101" s="145" t="n">
        <f aca="false">IFERROR('Price History'!G3+(INDEX('Price History'!G:G,MATCH(9.99E+307,'Price History'!$A:$A))-'Price History'!G3)*(ROW()-3)/(MATCH(9.99E+307,'Returns (Calc)'!$A:$A)-3),"")</f>
        <v>15.8676729559748</v>
      </c>
      <c r="AC101" s="145" t="n">
        <f aca="false">IFERROR('Price History'!H3+(INDEX('Price History'!H:H,MATCH(9.99E+307,'Price History'!$A:$A))-'Price History'!H3)*(ROW()-3)/(MATCH(9.99E+307,'Returns (Calc)'!$A:$A)-3),"")</f>
        <v>38.5911320754717</v>
      </c>
      <c r="AD101" s="145" t="n">
        <f aca="false">IFERROR('Price History'!I3+(INDEX('Price History'!I:I,MATCH(9.99E+307,'Price History'!$A:$A))-'Price History'!I3)*(ROW()-3)/(MATCH(9.99E+307,'Returns (Calc)'!$A:$A)-3),"")</f>
        <v>17.0147798742138</v>
      </c>
      <c r="AE101" s="145" t="n">
        <f aca="false">IFERROR('Price History'!J3+(INDEX('Price History'!J:J,MATCH(9.99E+307,'Price History'!$A:$A))-'Price History'!J3)*(ROW()-3)/(MATCH(9.99E+307,'Returns (Calc)'!$A:$A)-3),"")</f>
        <v>26.5138993710692</v>
      </c>
      <c r="AF101" s="145" t="n">
        <f aca="false">IFERROR('Price History'!K3+(INDEX('Price History'!K:K,MATCH(9.99E+307,'Price History'!$A:$A))-'Price History'!K3)*(ROW()-3)/(MATCH(9.99E+307,'Returns (Calc)'!$A:$A)-3),"")</f>
        <v>16.7922641509434</v>
      </c>
      <c r="AG101" s="145" t="n">
        <f aca="false">IFERROR('Price History'!L3+(INDEX('Price History'!L:L,MATCH(9.99E+307,'Price History'!$A:$A))-'Price History'!L3)*(ROW()-3)/(MATCH(9.99E+307,'Returns (Calc)'!$A:$A)-3),"")</f>
        <v>42.9071698113208</v>
      </c>
      <c r="AH101" s="145" t="n">
        <f aca="false">IFERROR('Price History'!M3+(INDEX('Price History'!M:M,MATCH(9.99E+307,'Price History'!$A:$A))-'Price History'!M3)*(ROW()-3)/(MATCH(9.99E+307,'Returns (Calc)'!$A:$A)-3),"")</f>
        <v>5.88132075471698</v>
      </c>
      <c r="AI101" s="145" t="n">
        <f aca="false">IFERROR('Price History'!N3+(INDEX('Price History'!N:N,MATCH(9.99E+307,'Price History'!$A:$A))-'Price History'!N3)*(ROW()-3)/(MATCH(9.99E+307,'Returns (Calc)'!$A:$A)-3),"")</f>
        <v>8.36352201257862</v>
      </c>
      <c r="AJ101" s="145" t="n">
        <f aca="false">IFERROR('Price History'!O3+(INDEX('Price History'!O:O,MATCH(9.99E+307,'Price History'!$A:$A))-'Price History'!O3)*(ROW()-3)/(MATCH(9.99E+307,'Returns (Calc)'!$A:$A)-3),"")</f>
        <v>22.1096226415094</v>
      </c>
      <c r="AK101" s="145" t="n">
        <f aca="false">IFERROR('Price History'!Q3+(INDEX('Price History'!Q:Q,MATCH(9.99E+307,'Price History'!$A:$A))-'Price History'!Q3)*(ROW()-3)/(MATCH(9.99E+307,'Returns (Calc)'!$A:$A)-3),"")</f>
        <v>90.3989308176101</v>
      </c>
      <c r="AL101" s="145" t="n">
        <f aca="false">IFERROR('Price History'!R3+(INDEX('Price History'!R:R,MATCH(9.99E+307,'Price History'!$A:$A))-'Price History'!R3)*(ROW()-3)/(MATCH(9.99E+307,'Returns (Calc)'!$A:$A)-3),"")</f>
        <v>18.3460377358491</v>
      </c>
      <c r="AM101" s="145" t="n">
        <f aca="false">IFERROR('Price History'!S3+(INDEX('Price History'!S:S,MATCH(9.99E+307,'Price History'!$A:$A))-'Price History'!S3)*(ROW()-3)/(MATCH(9.99E+307,'Returns (Calc)'!$A:$A)-3),"")</f>
        <v>22.4587421383648</v>
      </c>
      <c r="AN101" s="145" t="n">
        <f aca="false">IFERROR('Price History'!T3+(INDEX('Price History'!T:T,MATCH(9.99E+307,'Price History'!$A:$A))-'Price History'!T3)*(ROW()-3)/(MATCH(9.99E+307,'Returns (Calc)'!$A:$A)-3),"")</f>
        <v>10.3239622641509</v>
      </c>
      <c r="AO101" s="146" t="n">
        <f aca="false">IFERROR('Price History'!V3+(INDEX('Price History'!V:V,MATCH(9.99E+307,'Price History'!$A:$A))-'Price History'!V3)*(ROW()-3)/(MATCH(9.99E+307,'Returns (Calc)'!$A:$A)-3),"")</f>
        <v>0</v>
      </c>
    </row>
    <row r="102" customFormat="false" ht="15" hidden="false" customHeight="true" outlineLevel="0" collapsed="false">
      <c r="A102" s="142" t="n">
        <f aca="false">IF('Price History'!A103="","",'Price History'!A103)</f>
        <v>45884</v>
      </c>
      <c r="B102" s="143" t="n">
        <f aca="false">IFERROR(IF(OR(NOT(ISNUMBER('Price History'!B103)),NOT(ISNUMBER('Price History'!B102)),'Price History'!B102=0),"",'Price History'!B103/'Price History'!B102-1),"")</f>
        <v>0.0404632751795924</v>
      </c>
      <c r="C102" s="143" t="n">
        <f aca="false">IFERROR(IF(OR(NOT(ISNUMBER('Price History'!C103)),NOT(ISNUMBER('Price History'!C102)),'Price History'!C102=0),"",'Price History'!C103/'Price History'!C102-1),"")</f>
        <v>-0.0135076878861905</v>
      </c>
      <c r="D102" s="143" t="n">
        <f aca="false">IFERROR(IF(OR(NOT(ISNUMBER('Price History'!D103)),NOT(ISNUMBER('Price History'!D102)),'Price History'!D102=0),"",'Price History'!D103/'Price History'!D102-1),"")</f>
        <v>0.0274669379450661</v>
      </c>
      <c r="E102" s="143" t="n">
        <f aca="false">IFERROR(IF(OR(NOT(ISNUMBER('Price History'!E103)),NOT(ISNUMBER('Price History'!E102)),'Price History'!E102=0),"",'Price History'!E103/'Price History'!E102-1),"")</f>
        <v>0.00450033090668445</v>
      </c>
      <c r="F102" s="143" t="n">
        <f aca="false">IFERROR(IF(OR(NOT(ISNUMBER('Price History'!F103)),NOT(ISNUMBER('Price History'!F102)),'Price History'!F102=0),"",'Price History'!F103/'Price History'!F102-1),"")</f>
        <v>0.0298293891029169</v>
      </c>
      <c r="G102" s="143" t="n">
        <f aca="false">IFERROR(IF(OR(NOT(ISNUMBER('Price History'!G103)),NOT(ISNUMBER('Price History'!G102)),'Price History'!G102=0),"",'Price History'!G103/'Price History'!G102-1),"")</f>
        <v>0.00800980022615905</v>
      </c>
      <c r="H102" s="143" t="n">
        <f aca="false">IFERROR(IF(OR(NOT(ISNUMBER('Price History'!H103)),NOT(ISNUMBER('Price History'!H102)),'Price History'!H102=0),"",'Price History'!H103/'Price History'!H102-1),"")</f>
        <v>0.0153539075694764</v>
      </c>
      <c r="I102" s="143" t="n">
        <f aca="false">IFERROR(IF(OR(NOT(ISNUMBER('Price History'!I103)),NOT(ISNUMBER('Price History'!I102)),'Price History'!I102=0),"",'Price History'!I103/'Price History'!I102-1),"")</f>
        <v>-0.0435069941623527</v>
      </c>
      <c r="J102" s="143" t="n">
        <f aca="false">IFERROR(IF(OR(NOT(ISNUMBER('Price History'!J103)),NOT(ISNUMBER('Price History'!J102)),'Price History'!J102=0),"",'Price History'!J103/'Price History'!J102-1),"")</f>
        <v>0.016680707666386</v>
      </c>
      <c r="K102" s="143" t="n">
        <f aca="false">IFERROR(IF(OR(NOT(ISNUMBER('Price History'!K103)),NOT(ISNUMBER('Price History'!K102)),'Price History'!K102=0),"",'Price History'!K103/'Price History'!K102-1),"")</f>
        <v>-0.0122908093278464</v>
      </c>
      <c r="L102" s="143" t="n">
        <f aca="false">IFERROR(IF(OR(NOT(ISNUMBER('Price History'!L103)),NOT(ISNUMBER('Price History'!L102)),'Price History'!L102=0),"",'Price History'!L103/'Price History'!L102-1),"")</f>
        <v>0.00856636471051608</v>
      </c>
      <c r="M102" s="143" t="n">
        <f aca="false">IFERROR(IF(OR(NOT(ISNUMBER('Price History'!M103)),NOT(ISNUMBER('Price History'!M102)),'Price History'!M102=0),"",'Price History'!M103/'Price History'!M102-1),"")</f>
        <v>-0.0523641420624734</v>
      </c>
      <c r="N102" s="143" t="n">
        <f aca="false">IFERROR(IF(OR(NOT(ISNUMBER('Price History'!N103)),NOT(ISNUMBER('Price History'!N102)),'Price History'!N102=0),"",'Price History'!N103/'Price History'!N102-1),"")</f>
        <v>0.0167185069984448</v>
      </c>
      <c r="O102" s="143" t="n">
        <f aca="false">IFERROR(IF(OR(NOT(ISNUMBER('Price History'!O103)),NOT(ISNUMBER('Price History'!O102)),'Price History'!O102=0),"",'Price History'!O103/'Price History'!O102-1),"")</f>
        <v>0.00103430443027075</v>
      </c>
      <c r="P102" s="143" t="n">
        <f aca="false">IFERROR(IF(OR(NOT(ISNUMBER('Price History'!P103)),NOT(ISNUMBER('Price History'!P102)),'Price History'!P102=0),"",'Price History'!P103/'Price History'!P102-1),"")</f>
        <v>-0.0121992118722227</v>
      </c>
      <c r="Q102" s="143" t="n">
        <f aca="false">IFERROR(IF(OR(NOT(ISNUMBER('Price History'!Q103)),NOT(ISNUMBER('Price History'!Q102)),'Price History'!Q102=0),"",'Price History'!Q103/'Price History'!Q102-1),"")</f>
        <v>0.0246461981290478</v>
      </c>
      <c r="R102" s="143" t="n">
        <f aca="false">IFERROR(IF(OR(NOT(ISNUMBER('Price History'!R103)),NOT(ISNUMBER('Price History'!R102)),'Price History'!R102=0),"",'Price History'!R103/'Price History'!R102-1),"")</f>
        <v>0.00369276218611536</v>
      </c>
      <c r="S102" s="143" t="n">
        <f aca="false">IFERROR(IF(OR(NOT(ISNUMBER('Price History'!S103)),NOT(ISNUMBER('Price History'!S102)),'Price History'!S102=0),"",'Price History'!S103/'Price History'!S102-1),"")</f>
        <v>-0.00302195360412416</v>
      </c>
      <c r="T102" s="143" t="n">
        <f aca="false">IFERROR(IF(OR(NOT(ISNUMBER('Price History'!T103)),NOT(ISNUMBER('Price History'!T102)),'Price History'!T102=0),"",'Price History'!T103/'Price History'!T102-1),"")</f>
        <v>0.00195694716242656</v>
      </c>
      <c r="U102" s="143" t="str">
        <f aca="false">IFERROR(IF(OR(NOT(ISNUMBER('Price History'!U103)),NOT(ISNUMBER('Price History'!U102)),'Price History'!U102=0),"",'Price History'!U103/'Price History'!U102-1),"")</f>
        <v/>
      </c>
      <c r="V102" s="144" t="str">
        <f aca="false">IFERROR(IF(OR(NOT(ISNUMBER('Price History'!V103)),NOT(ISNUMBER('Price History'!V102)),'Price History'!V102=0),"",'Price History'!V103/'Price History'!V102-1),"")</f>
        <v/>
      </c>
      <c r="W102" s="145" t="str">
        <f aca="false">IFERROR('Price History'!B3+(INDEX('Price History'!B:B,MATCH(9.99E+307,'Price History'!$A:$A))-'Price History'!B3)*(ROW()-3)/(MATCH(9.99E+307,'Returns (Calc)'!$A:$A)-3),"")</f>
        <v/>
      </c>
      <c r="X102" s="145" t="n">
        <f aca="false">IFERROR('Price History'!C3+(INDEX('Price History'!C:C,MATCH(9.99E+307,'Price History'!$A:$A))-'Price History'!C3)*(ROW()-3)/(MATCH(9.99E+307,'Returns (Calc)'!$A:$A)-3),"")</f>
        <v>17.4264150943396</v>
      </c>
      <c r="Y102" s="145" t="n">
        <f aca="false">IFERROR('Price History'!D3+(INDEX('Price History'!D:D,MATCH(9.99E+307,'Price History'!$A:$A))-'Price History'!D3)*(ROW()-3)/(MATCH(9.99E+307,'Returns (Calc)'!$A:$A)-3),"")</f>
        <v>219.62641509434</v>
      </c>
      <c r="Z102" s="145" t="n">
        <f aca="false">IFERROR('Price History'!E3+(INDEX('Price History'!E:E,MATCH(9.99E+307,'Price History'!$A:$A))-'Price History'!E3)*(ROW()-3)/(MATCH(9.99E+307,'Returns (Calc)'!$A:$A)-3),"")</f>
        <v>30.9433962264151</v>
      </c>
      <c r="AA102" s="145" t="n">
        <f aca="false">IFERROR('Price History'!F3+(INDEX('Price History'!F:F,MATCH(9.99E+307,'Price History'!$A:$A))-'Price History'!F3)*(ROW()-3)/(MATCH(9.99E+307,'Returns (Calc)'!$A:$A)-3),"")</f>
        <v>28.4188679245283</v>
      </c>
      <c r="AB102" s="145" t="n">
        <f aca="false">IFERROR('Price History'!G3+(INDEX('Price History'!G:G,MATCH(9.99E+307,'Price History'!$A:$A))-'Price History'!G3)*(ROW()-3)/(MATCH(9.99E+307,'Returns (Calc)'!$A:$A)-3),"")</f>
        <v>15.6075471698113</v>
      </c>
      <c r="AC102" s="145" t="n">
        <f aca="false">IFERROR('Price History'!H3+(INDEX('Price History'!H:H,MATCH(9.99E+307,'Price History'!$A:$A))-'Price History'!H3)*(ROW()-3)/(MATCH(9.99E+307,'Returns (Calc)'!$A:$A)-3),"")</f>
        <v>37.9584905660377</v>
      </c>
      <c r="AD102" s="145" t="n">
        <f aca="false">IFERROR('Price History'!I3+(INDEX('Price History'!I:I,MATCH(9.99E+307,'Price History'!$A:$A))-'Price History'!I3)*(ROW()-3)/(MATCH(9.99E+307,'Returns (Calc)'!$A:$A)-3),"")</f>
        <v>16.7358490566038</v>
      </c>
      <c r="AE102" s="145" t="n">
        <f aca="false">IFERROR('Price History'!J3+(INDEX('Price History'!J:J,MATCH(9.99E+307,'Price History'!$A:$A))-'Price History'!J3)*(ROW()-3)/(MATCH(9.99E+307,'Returns (Calc)'!$A:$A)-3),"")</f>
        <v>26.0792452830189</v>
      </c>
      <c r="AF102" s="145" t="n">
        <f aca="false">IFERROR('Price History'!K3+(INDEX('Price History'!K:K,MATCH(9.99E+307,'Price History'!$A:$A))-'Price History'!K3)*(ROW()-3)/(MATCH(9.99E+307,'Returns (Calc)'!$A:$A)-3),"")</f>
        <v>16.5169811320755</v>
      </c>
      <c r="AG102" s="145" t="n">
        <f aca="false">IFERROR('Price History'!L3+(INDEX('Price History'!L:L,MATCH(9.99E+307,'Price History'!$A:$A))-'Price History'!L3)*(ROW()-3)/(MATCH(9.99E+307,'Returns (Calc)'!$A:$A)-3),"")</f>
        <v>42.2037735849057</v>
      </c>
      <c r="AH102" s="145" t="n">
        <f aca="false">IFERROR('Price History'!M3+(INDEX('Price History'!M:M,MATCH(9.99E+307,'Price History'!$A:$A))-'Price History'!M3)*(ROW()-3)/(MATCH(9.99E+307,'Returns (Calc)'!$A:$A)-3),"")</f>
        <v>5.78490566037736</v>
      </c>
      <c r="AI102" s="145" t="n">
        <f aca="false">IFERROR('Price History'!N3+(INDEX('Price History'!N:N,MATCH(9.99E+307,'Price History'!$A:$A))-'Price History'!N3)*(ROW()-3)/(MATCH(9.99E+307,'Returns (Calc)'!$A:$A)-3),"")</f>
        <v>8.22641509433962</v>
      </c>
      <c r="AJ102" s="145" t="n">
        <f aca="false">IFERROR('Price History'!O3+(INDEX('Price History'!O:O,MATCH(9.99E+307,'Price History'!$A:$A))-'Price History'!O3)*(ROW()-3)/(MATCH(9.99E+307,'Returns (Calc)'!$A:$A)-3),"")</f>
        <v>21.7471698113208</v>
      </c>
      <c r="AK102" s="145" t="n">
        <f aca="false">IFERROR('Price History'!Q3+(INDEX('Price History'!Q:Q,MATCH(9.99E+307,'Price History'!$A:$A))-'Price History'!Q3)*(ROW()-3)/(MATCH(9.99E+307,'Returns (Calc)'!$A:$A)-3),"")</f>
        <v>88.9169811320755</v>
      </c>
      <c r="AL102" s="145" t="n">
        <f aca="false">IFERROR('Price History'!R3+(INDEX('Price History'!R:R,MATCH(9.99E+307,'Price History'!$A:$A))-'Price History'!R3)*(ROW()-3)/(MATCH(9.99E+307,'Returns (Calc)'!$A:$A)-3),"")</f>
        <v>18.0452830188679</v>
      </c>
      <c r="AM102" s="145" t="n">
        <f aca="false">IFERROR('Price History'!S3+(INDEX('Price History'!S:S,MATCH(9.99E+307,'Price History'!$A:$A))-'Price History'!S3)*(ROW()-3)/(MATCH(9.99E+307,'Returns (Calc)'!$A:$A)-3),"")</f>
        <v>22.0905660377358</v>
      </c>
      <c r="AN102" s="145" t="n">
        <f aca="false">IFERROR('Price History'!T3+(INDEX('Price History'!T:T,MATCH(9.99E+307,'Price History'!$A:$A))-'Price History'!T3)*(ROW()-3)/(MATCH(9.99E+307,'Returns (Calc)'!$A:$A)-3),"")</f>
        <v>10.1547169811321</v>
      </c>
      <c r="AO102" s="146" t="n">
        <f aca="false">IFERROR('Price History'!V3+(INDEX('Price History'!V:V,MATCH(9.99E+307,'Price History'!$A:$A))-'Price History'!V3)*(ROW()-3)/(MATCH(9.99E+307,'Returns (Calc)'!$A:$A)-3),"")</f>
        <v>0</v>
      </c>
    </row>
    <row r="103" customFormat="false" ht="15" hidden="false" customHeight="true" outlineLevel="0" collapsed="false">
      <c r="A103" s="142" t="n">
        <f aca="false">IF('Price History'!A104="","",'Price History'!A104)</f>
        <v>45891</v>
      </c>
      <c r="B103" s="143" t="n">
        <f aca="false">IFERROR(IF(OR(NOT(ISNUMBER('Price History'!B104)),NOT(ISNUMBER('Price History'!B103)),'Price History'!B103=0),"",'Price History'!B104/'Price History'!B103-1),"")</f>
        <v>0.0204029871776805</v>
      </c>
      <c r="C103" s="143" t="n">
        <f aca="false">IFERROR(IF(OR(NOT(ISNUMBER('Price History'!C104)),NOT(ISNUMBER('Price History'!C103)),'Price History'!C103=0),"",'Price History'!C104/'Price History'!C103-1),"")</f>
        <v>-0.029497450837582</v>
      </c>
      <c r="D103" s="143" t="n">
        <f aca="false">IFERROR(IF(OR(NOT(ISNUMBER('Price History'!D104)),NOT(ISNUMBER('Price History'!D103)),'Price History'!D103=0),"",'Price History'!D104/'Price History'!D103-1),"")</f>
        <v>0.0171571951715721</v>
      </c>
      <c r="E103" s="143" t="n">
        <f aca="false">IFERROR(IF(OR(NOT(ISNUMBER('Price History'!E104)),NOT(ISNUMBER('Price History'!E103)),'Price History'!E103=0),"",'Price History'!E104/'Price History'!E103-1),"")</f>
        <v>-0.0402885755699038</v>
      </c>
      <c r="F103" s="143" t="n">
        <f aca="false">IFERROR(IF(OR(NOT(ISNUMBER('Price History'!F104)),NOT(ISNUMBER('Price History'!F103)),'Price History'!F103=0),"",'Price History'!F104/'Price History'!F103-1),"")</f>
        <v>0.0397605814450619</v>
      </c>
      <c r="G103" s="143" t="n">
        <f aca="false">IFERROR(IF(OR(NOT(ISNUMBER('Price History'!G104)),NOT(ISNUMBER('Price History'!G103)),'Price History'!G103=0),"",'Price History'!G104/'Price History'!G103-1),"")</f>
        <v>-0.0171076002617556</v>
      </c>
      <c r="H103" s="143" t="n">
        <f aca="false">IFERROR(IF(OR(NOT(ISNUMBER('Price History'!H104)),NOT(ISNUMBER('Price History'!H103)),'Price History'!H103=0),"",'Price History'!H104/'Price History'!H103-1),"")</f>
        <v>0.0288825041584759</v>
      </c>
      <c r="I103" s="143" t="n">
        <f aca="false">IFERROR(IF(OR(NOT(ISNUMBER('Price History'!I104)),NOT(ISNUMBER('Price History'!I103)),'Price History'!I103=0),"",'Price History'!I104/'Price History'!I103-1),"")</f>
        <v>-0.0032243205895901</v>
      </c>
      <c r="J103" s="143" t="n">
        <f aca="false">IFERROR(IF(OR(NOT(ISNUMBER('Price History'!J104)),NOT(ISNUMBER('Price History'!J103)),'Price History'!J103=0),"",'Price History'!J104/'Price History'!J103-1),"")</f>
        <v>-0.0264335432548891</v>
      </c>
      <c r="K103" s="143" t="n">
        <f aca="false">IFERROR(IF(OR(NOT(ISNUMBER('Price History'!K104)),NOT(ISNUMBER('Price History'!K103)),'Price History'!K103=0),"",'Price History'!K104/'Price History'!K103-1),"")</f>
        <v>-0.0136659074495861</v>
      </c>
      <c r="L103" s="143" t="n">
        <f aca="false">IFERROR(IF(OR(NOT(ISNUMBER('Price History'!L104)),NOT(ISNUMBER('Price History'!L103)),'Price History'!L103=0),"",'Price History'!L104/'Price History'!L103-1),"")</f>
        <v>0.0534023235380259</v>
      </c>
      <c r="M103" s="143" t="n">
        <f aca="false">IFERROR(IF(OR(NOT(ISNUMBER('Price History'!M104)),NOT(ISNUMBER('Price History'!M103)),'Price History'!M103=0),"",'Price History'!M104/'Price History'!M103-1),"")</f>
        <v>-0.104024383360614</v>
      </c>
      <c r="N103" s="143" t="n">
        <f aca="false">IFERROR(IF(OR(NOT(ISNUMBER('Price History'!N104)),NOT(ISNUMBER('Price History'!N103)),'Price History'!N103=0),"",'Price History'!N104/'Price History'!N103-1),"")</f>
        <v>0.0229445506692161</v>
      </c>
      <c r="O103" s="143" t="n">
        <f aca="false">IFERROR(IF(OR(NOT(ISNUMBER('Price History'!O104)),NOT(ISNUMBER('Price History'!O103)),'Price History'!O103=0),"",'Price History'!O104/'Price History'!O103-1),"")</f>
        <v>-0.0068021353538833</v>
      </c>
      <c r="P103" s="143" t="n">
        <f aca="false">IFERROR(IF(OR(NOT(ISNUMBER('Price History'!P104)),NOT(ISNUMBER('Price History'!P103)),'Price History'!P103=0),"",'Price History'!P104/'Price History'!P103-1),"")</f>
        <v>-0.0246573017018207</v>
      </c>
      <c r="Q103" s="143" t="n">
        <f aca="false">IFERROR(IF(OR(NOT(ISNUMBER('Price History'!Q104)),NOT(ISNUMBER('Price History'!Q103)),'Price History'!Q103=0),"",'Price History'!Q104/'Price History'!Q103-1),"")</f>
        <v>0.0161526306548838</v>
      </c>
      <c r="R103" s="143" t="n">
        <f aca="false">IFERROR(IF(OR(NOT(ISNUMBER('Price History'!R104)),NOT(ISNUMBER('Price History'!R103)),'Price History'!R103=0),"",'Price History'!R104/'Price History'!R103-1),"")</f>
        <v>0.00607064017660042</v>
      </c>
      <c r="S103" s="143" t="n">
        <f aca="false">IFERROR(IF(OR(NOT(ISNUMBER('Price History'!S104)),NOT(ISNUMBER('Price History'!S103)),'Price History'!S103=0),"",'Price History'!S104/'Price History'!S103-1),"")</f>
        <v>0.014798965855398</v>
      </c>
      <c r="T103" s="143" t="n">
        <f aca="false">IFERROR(IF(OR(NOT(ISNUMBER('Price History'!T104)),NOT(ISNUMBER('Price History'!T103)),'Price History'!T103=0),"",'Price History'!T104/'Price History'!T103-1),"")</f>
        <v>-0.0212053571428573</v>
      </c>
      <c r="U103" s="143" t="str">
        <f aca="false">IFERROR(IF(OR(NOT(ISNUMBER('Price History'!U104)),NOT(ISNUMBER('Price History'!U103)),'Price History'!U103=0),"",'Price History'!U104/'Price History'!U103-1),"")</f>
        <v/>
      </c>
      <c r="V103" s="144" t="n">
        <f aca="false">IFERROR(IF(OR(NOT(ISNUMBER('Price History'!V104)),NOT(ISNUMBER('Price History'!V103)),'Price History'!V103=0),"",'Price History'!V104/'Price History'!V103-1),"")</f>
        <v>0.00322149988390996</v>
      </c>
      <c r="W103" s="145" t="str">
        <f aca="false">IFERROR('Price History'!B3+(INDEX('Price History'!B:B,MATCH(9.99E+307,'Price History'!$A:$A))-'Price History'!B3)*(ROW()-3)/(MATCH(9.99E+307,'Returns (Calc)'!$A:$A)-3),"")</f>
        <v/>
      </c>
      <c r="X103" s="145" t="n">
        <f aca="false">IFERROR('Price History'!C3+(INDEX('Price History'!C:C,MATCH(9.99E+307,'Price History'!$A:$A))-'Price History'!C3)*(ROW()-3)/(MATCH(9.99E+307,'Returns (Calc)'!$A:$A)-3),"")</f>
        <v>17.1359748427673</v>
      </c>
      <c r="Y103" s="145" t="n">
        <f aca="false">IFERROR('Price History'!D3+(INDEX('Price History'!D:D,MATCH(9.99E+307,'Price History'!$A:$A))-'Price History'!D3)*(ROW()-3)/(MATCH(9.99E+307,'Returns (Calc)'!$A:$A)-3),"")</f>
        <v>215.965974842767</v>
      </c>
      <c r="Z103" s="145" t="n">
        <f aca="false">IFERROR('Price History'!E3+(INDEX('Price History'!E:E,MATCH(9.99E+307,'Price History'!$A:$A))-'Price History'!E3)*(ROW()-3)/(MATCH(9.99E+307,'Returns (Calc)'!$A:$A)-3),"")</f>
        <v>30.4276729559748</v>
      </c>
      <c r="AA103" s="145" t="n">
        <f aca="false">IFERROR('Price History'!F3+(INDEX('Price History'!F:F,MATCH(9.99E+307,'Price History'!$A:$A))-'Price History'!F3)*(ROW()-3)/(MATCH(9.99E+307,'Returns (Calc)'!$A:$A)-3),"")</f>
        <v>27.9452201257862</v>
      </c>
      <c r="AB103" s="145" t="n">
        <f aca="false">IFERROR('Price History'!G3+(INDEX('Price History'!G:G,MATCH(9.99E+307,'Price History'!$A:$A))-'Price History'!G3)*(ROW()-3)/(MATCH(9.99E+307,'Returns (Calc)'!$A:$A)-3),"")</f>
        <v>15.3474213836478</v>
      </c>
      <c r="AC103" s="145" t="n">
        <f aca="false">IFERROR('Price History'!H3+(INDEX('Price History'!H:H,MATCH(9.99E+307,'Price History'!$A:$A))-'Price History'!H3)*(ROW()-3)/(MATCH(9.99E+307,'Returns (Calc)'!$A:$A)-3),"")</f>
        <v>37.3258490566038</v>
      </c>
      <c r="AD103" s="145" t="n">
        <f aca="false">IFERROR('Price History'!I3+(INDEX('Price History'!I:I,MATCH(9.99E+307,'Price History'!$A:$A))-'Price History'!I3)*(ROW()-3)/(MATCH(9.99E+307,'Returns (Calc)'!$A:$A)-3),"")</f>
        <v>16.4569182389937</v>
      </c>
      <c r="AE103" s="145" t="n">
        <f aca="false">IFERROR('Price History'!J3+(INDEX('Price History'!J:J,MATCH(9.99E+307,'Price History'!$A:$A))-'Price History'!J3)*(ROW()-3)/(MATCH(9.99E+307,'Returns (Calc)'!$A:$A)-3),"")</f>
        <v>25.6445911949686</v>
      </c>
      <c r="AF103" s="145" t="n">
        <f aca="false">IFERROR('Price History'!K3+(INDEX('Price History'!K:K,MATCH(9.99E+307,'Price History'!$A:$A))-'Price History'!K3)*(ROW()-3)/(MATCH(9.99E+307,'Returns (Calc)'!$A:$A)-3),"")</f>
        <v>16.2416981132076</v>
      </c>
      <c r="AG103" s="145" t="n">
        <f aca="false">IFERROR('Price History'!L3+(INDEX('Price History'!L:L,MATCH(9.99E+307,'Price History'!$A:$A))-'Price History'!L3)*(ROW()-3)/(MATCH(9.99E+307,'Returns (Calc)'!$A:$A)-3),"")</f>
        <v>41.5003773584906</v>
      </c>
      <c r="AH103" s="145" t="n">
        <f aca="false">IFERROR('Price History'!M3+(INDEX('Price History'!M:M,MATCH(9.99E+307,'Price History'!$A:$A))-'Price History'!M3)*(ROW()-3)/(MATCH(9.99E+307,'Returns (Calc)'!$A:$A)-3),"")</f>
        <v>5.68849056603774</v>
      </c>
      <c r="AI103" s="145" t="n">
        <f aca="false">IFERROR('Price History'!N3+(INDEX('Price History'!N:N,MATCH(9.99E+307,'Price History'!$A:$A))-'Price History'!N3)*(ROW()-3)/(MATCH(9.99E+307,'Returns (Calc)'!$A:$A)-3),"")</f>
        <v>8.08930817610063</v>
      </c>
      <c r="AJ103" s="145" t="n">
        <f aca="false">IFERROR('Price History'!O3+(INDEX('Price History'!O:O,MATCH(9.99E+307,'Price History'!$A:$A))-'Price History'!O3)*(ROW()-3)/(MATCH(9.99E+307,'Returns (Calc)'!$A:$A)-3),"")</f>
        <v>21.3847169811321</v>
      </c>
      <c r="AK103" s="145" t="n">
        <f aca="false">IFERROR('Price History'!Q3+(INDEX('Price History'!Q:Q,MATCH(9.99E+307,'Price History'!$A:$A))-'Price History'!Q3)*(ROW()-3)/(MATCH(9.99E+307,'Returns (Calc)'!$A:$A)-3),"")</f>
        <v>87.4350314465409</v>
      </c>
      <c r="AL103" s="145" t="n">
        <f aca="false">IFERROR('Price History'!R3+(INDEX('Price History'!R:R,MATCH(9.99E+307,'Price History'!$A:$A))-'Price History'!R3)*(ROW()-3)/(MATCH(9.99E+307,'Returns (Calc)'!$A:$A)-3),"")</f>
        <v>17.7445283018868</v>
      </c>
      <c r="AM103" s="145" t="n">
        <f aca="false">IFERROR('Price History'!S3+(INDEX('Price History'!S:S,MATCH(9.99E+307,'Price History'!$A:$A))-'Price History'!S3)*(ROW()-3)/(MATCH(9.99E+307,'Returns (Calc)'!$A:$A)-3),"")</f>
        <v>21.7223899371069</v>
      </c>
      <c r="AN103" s="145" t="n">
        <f aca="false">IFERROR('Price History'!T3+(INDEX('Price History'!T:T,MATCH(9.99E+307,'Price History'!$A:$A))-'Price History'!T3)*(ROW()-3)/(MATCH(9.99E+307,'Returns (Calc)'!$A:$A)-3),"")</f>
        <v>9.98547169811321</v>
      </c>
      <c r="AO103" s="146" t="n">
        <f aca="false">IFERROR('Price History'!V3+(INDEX('Price History'!V:V,MATCH(9.99E+307,'Price History'!$A:$A))-'Price History'!V3)*(ROW()-3)/(MATCH(9.99E+307,'Returns (Calc)'!$A:$A)-3),"")</f>
        <v>0</v>
      </c>
    </row>
    <row r="104" customFormat="false" ht="15" hidden="false" customHeight="true" outlineLevel="0" collapsed="false">
      <c r="A104" s="142" t="n">
        <f aca="false">IF('Price History'!A105="","",'Price History'!A105)</f>
        <v>45898</v>
      </c>
      <c r="B104" s="143" t="n">
        <f aca="false">IFERROR(IF(OR(NOT(ISNUMBER('Price History'!B105)),NOT(ISNUMBER('Price History'!B104)),'Price History'!B104=0),"",'Price History'!B105/'Price History'!B104-1),"")</f>
        <v>-0.0148858018724626</v>
      </c>
      <c r="C104" s="143" t="n">
        <f aca="false">IFERROR(IF(OR(NOT(ISNUMBER('Price History'!C105)),NOT(ISNUMBER('Price History'!C104)),'Price History'!C104=0),"",'Price History'!C105/'Price History'!C104-1),"")</f>
        <v>0.024765478424015</v>
      </c>
      <c r="D104" s="143" t="n">
        <f aca="false">IFERROR(IF(OR(NOT(ISNUMBER('Price History'!D105)),NOT(ISNUMBER('Price History'!D104)),'Price History'!D104=0),"",'Price History'!D105/'Price History'!D104-1),"")</f>
        <v>-0.0162544169611308</v>
      </c>
      <c r="E104" s="143" t="n">
        <f aca="false">IFERROR(IF(OR(NOT(ISNUMBER('Price History'!E105)),NOT(ISNUMBER('Price History'!E104)),'Price History'!E104=0),"",'Price History'!E105/'Price History'!E104-1),"")</f>
        <v>0.0115333127381321</v>
      </c>
      <c r="F104" s="143" t="n">
        <f aca="false">IFERROR(IF(OR(NOT(ISNUMBER('Price History'!F105)),NOT(ISNUMBER('Price History'!F104)),'Price History'!F104=0),"",'Price History'!F105/'Price History'!F104-1),"")</f>
        <v>0.00842927631578938</v>
      </c>
      <c r="G104" s="143" t="n">
        <f aca="false">IFERROR(IF(OR(NOT(ISNUMBER('Price History'!G105)),NOT(ISNUMBER('Price History'!G104)),'Price History'!G104=0),"",'Price History'!G105/'Price History'!G104-1),"")</f>
        <v>0.00751379113562867</v>
      </c>
      <c r="H104" s="143" t="n">
        <f aca="false">IFERROR(IF(OR(NOT(ISNUMBER('Price History'!H105)),NOT(ISNUMBER('Price History'!H104)),'Price History'!H104=0),"",'Price History'!H105/'Price History'!H104-1),"")</f>
        <v>-0.00220458553791891</v>
      </c>
      <c r="I104" s="143" t="n">
        <f aca="false">IFERROR(IF(OR(NOT(ISNUMBER('Price History'!I105)),NOT(ISNUMBER('Price History'!I104)),'Price History'!I104=0),"",'Price History'!I105/'Price History'!I104-1),"")</f>
        <v>0.00196395563770801</v>
      </c>
      <c r="J104" s="143" t="n">
        <f aca="false">IFERROR(IF(OR(NOT(ISNUMBER('Price History'!J105)),NOT(ISNUMBER('Price History'!J104)),'Price History'!J104=0),"",'Price History'!J105/'Price History'!J104-1),"")</f>
        <v>0.0113201123499873</v>
      </c>
      <c r="K104" s="143" t="n">
        <f aca="false">IFERROR(IF(OR(NOT(ISNUMBER('Price History'!K105)),NOT(ISNUMBER('Price History'!K104)),'Price History'!K104=0),"",'Price History'!K105/'Price History'!K104-1),"")</f>
        <v>-0.0214024218529992</v>
      </c>
      <c r="L104" s="143" t="n">
        <f aca="false">IFERROR(IF(OR(NOT(ISNUMBER('Price History'!L105)),NOT(ISNUMBER('Price History'!L104)),'Price History'!L104=0),"",'Price History'!L105/'Price History'!L104-1),"")</f>
        <v>0.0133456904541243</v>
      </c>
      <c r="M104" s="143" t="n">
        <f aca="false">IFERROR(IF(OR(NOT(ISNUMBER('Price History'!M105)),NOT(ISNUMBER('Price History'!M104)),'Price History'!M104=0),"",'Price History'!M105/'Price History'!M104-1),"")</f>
        <v>-0.0127882071311579</v>
      </c>
      <c r="N104" s="143" t="n">
        <f aca="false">IFERROR(IF(OR(NOT(ISNUMBER('Price History'!N105)),NOT(ISNUMBER('Price History'!N104)),'Price History'!N104=0),"",'Price History'!N105/'Price History'!N104-1),"")</f>
        <v>-0.00112149532710282</v>
      </c>
      <c r="O104" s="143" t="n">
        <f aca="false">IFERROR(IF(OR(NOT(ISNUMBER('Price History'!O105)),NOT(ISNUMBER('Price History'!O104)),'Price History'!O104=0),"",'Price History'!O105/'Price History'!O104-1),"")</f>
        <v>-0.000260078023406996</v>
      </c>
      <c r="P104" s="143" t="n">
        <f aca="false">IFERROR(IF(OR(NOT(ISNUMBER('Price History'!P105)),NOT(ISNUMBER('Price History'!P104)),'Price History'!P104=0),"",'Price History'!P105/'Price History'!P104-1),"")</f>
        <v>-0.00909407362283532</v>
      </c>
      <c r="Q104" s="143" t="n">
        <f aca="false">IFERROR(IF(OR(NOT(ISNUMBER('Price History'!Q105)),NOT(ISNUMBER('Price History'!Q104)),'Price History'!Q104=0),"",'Price History'!Q105/'Price History'!Q104-1),"")</f>
        <v>0.00498185797385253</v>
      </c>
      <c r="R104" s="143" t="n">
        <f aca="false">IFERROR(IF(OR(NOT(ISNUMBER('Price History'!R105)),NOT(ISNUMBER('Price History'!R104)),'Price History'!R104=0),"",'Price History'!R105/'Price History'!R104-1),"")</f>
        <v>0.00713110257816796</v>
      </c>
      <c r="S104" s="143" t="n">
        <f aca="false">IFERROR(IF(OR(NOT(ISNUMBER('Price History'!S105)),NOT(ISNUMBER('Price History'!S104)),'Price History'!S104=0),"",'Price History'!S105/'Price History'!S104-1),"")</f>
        <v>0.0105420363700255</v>
      </c>
      <c r="T104" s="143" t="n">
        <f aca="false">IFERROR(IF(OR(NOT(ISNUMBER('Price History'!T105)),NOT(ISNUMBER('Price History'!T104)),'Price History'!T104=0),"",'Price History'!T105/'Price History'!T104-1),"")</f>
        <v>0.0219498289623719</v>
      </c>
      <c r="U104" s="143" t="str">
        <f aca="false">IFERROR(IF(OR(NOT(ISNUMBER('Price History'!U105)),NOT(ISNUMBER('Price History'!U104)),'Price History'!U104=0),"",'Price History'!U105/'Price History'!U104-1),"")</f>
        <v/>
      </c>
      <c r="V104" s="144" t="n">
        <f aca="false">IFERROR(IF(OR(NOT(ISNUMBER('Price History'!V105)),NOT(ISNUMBER('Price History'!V104)),'Price History'!V104=0),"",'Price History'!V105/'Price History'!V104-1),"")</f>
        <v>0.0229120259206757</v>
      </c>
      <c r="W104" s="145" t="str">
        <f aca="false">IFERROR('Price History'!B3+(INDEX('Price History'!B:B,MATCH(9.99E+307,'Price History'!$A:$A))-'Price History'!B3)*(ROW()-3)/(MATCH(9.99E+307,'Returns (Calc)'!$A:$A)-3),"")</f>
        <v/>
      </c>
      <c r="X104" s="145" t="n">
        <f aca="false">IFERROR('Price History'!C3+(INDEX('Price History'!C:C,MATCH(9.99E+307,'Price History'!$A:$A))-'Price History'!C3)*(ROW()-3)/(MATCH(9.99E+307,'Returns (Calc)'!$A:$A)-3),"")</f>
        <v>16.845534591195</v>
      </c>
      <c r="Y104" s="145" t="n">
        <f aca="false">IFERROR('Price History'!D3+(INDEX('Price History'!D:D,MATCH(9.99E+307,'Price History'!$A:$A))-'Price History'!D3)*(ROW()-3)/(MATCH(9.99E+307,'Returns (Calc)'!$A:$A)-3),"")</f>
        <v>212.305534591195</v>
      </c>
      <c r="Z104" s="145" t="n">
        <f aca="false">IFERROR('Price History'!E3+(INDEX('Price History'!E:E,MATCH(9.99E+307,'Price History'!$A:$A))-'Price History'!E3)*(ROW()-3)/(MATCH(9.99E+307,'Returns (Calc)'!$A:$A)-3),"")</f>
        <v>29.9119496855346</v>
      </c>
      <c r="AA104" s="145" t="n">
        <f aca="false">IFERROR('Price History'!F3+(INDEX('Price History'!F:F,MATCH(9.99E+307,'Price History'!$A:$A))-'Price History'!F3)*(ROW()-3)/(MATCH(9.99E+307,'Returns (Calc)'!$A:$A)-3),"")</f>
        <v>27.471572327044</v>
      </c>
      <c r="AB104" s="145" t="n">
        <f aca="false">IFERROR('Price History'!G3+(INDEX('Price History'!G:G,MATCH(9.99E+307,'Price History'!$A:$A))-'Price History'!G3)*(ROW()-3)/(MATCH(9.99E+307,'Returns (Calc)'!$A:$A)-3),"")</f>
        <v>15.0872955974843</v>
      </c>
      <c r="AC104" s="145" t="n">
        <f aca="false">IFERROR('Price History'!H3+(INDEX('Price History'!H:H,MATCH(9.99E+307,'Price History'!$A:$A))-'Price History'!H3)*(ROW()-3)/(MATCH(9.99E+307,'Returns (Calc)'!$A:$A)-3),"")</f>
        <v>36.6932075471698</v>
      </c>
      <c r="AD104" s="145" t="n">
        <f aca="false">IFERROR('Price History'!I3+(INDEX('Price History'!I:I,MATCH(9.99E+307,'Price History'!$A:$A))-'Price History'!I3)*(ROW()-3)/(MATCH(9.99E+307,'Returns (Calc)'!$A:$A)-3),"")</f>
        <v>16.1779874213836</v>
      </c>
      <c r="AE104" s="145" t="n">
        <f aca="false">IFERROR('Price History'!J3+(INDEX('Price History'!J:J,MATCH(9.99E+307,'Price History'!$A:$A))-'Price History'!J3)*(ROW()-3)/(MATCH(9.99E+307,'Returns (Calc)'!$A:$A)-3),"")</f>
        <v>25.2099371069182</v>
      </c>
      <c r="AF104" s="145" t="n">
        <f aca="false">IFERROR('Price History'!K3+(INDEX('Price History'!K:K,MATCH(9.99E+307,'Price History'!$A:$A))-'Price History'!K3)*(ROW()-3)/(MATCH(9.99E+307,'Returns (Calc)'!$A:$A)-3),"")</f>
        <v>15.9664150943396</v>
      </c>
      <c r="AG104" s="145" t="n">
        <f aca="false">IFERROR('Price History'!L3+(INDEX('Price History'!L:L,MATCH(9.99E+307,'Price History'!$A:$A))-'Price History'!L3)*(ROW()-3)/(MATCH(9.99E+307,'Returns (Calc)'!$A:$A)-3),"")</f>
        <v>40.7969811320755</v>
      </c>
      <c r="AH104" s="145" t="n">
        <f aca="false">IFERROR('Price History'!M3+(INDEX('Price History'!M:M,MATCH(9.99E+307,'Price History'!$A:$A))-'Price History'!M3)*(ROW()-3)/(MATCH(9.99E+307,'Returns (Calc)'!$A:$A)-3),"")</f>
        <v>5.59207547169811</v>
      </c>
      <c r="AI104" s="145" t="n">
        <f aca="false">IFERROR('Price History'!N3+(INDEX('Price History'!N:N,MATCH(9.99E+307,'Price History'!$A:$A))-'Price History'!N3)*(ROW()-3)/(MATCH(9.99E+307,'Returns (Calc)'!$A:$A)-3),"")</f>
        <v>7.95220125786164</v>
      </c>
      <c r="AJ104" s="145" t="n">
        <f aca="false">IFERROR('Price History'!O3+(INDEX('Price History'!O:O,MATCH(9.99E+307,'Price History'!$A:$A))-'Price History'!O3)*(ROW()-3)/(MATCH(9.99E+307,'Returns (Calc)'!$A:$A)-3),"")</f>
        <v>21.0222641509434</v>
      </c>
      <c r="AK104" s="145" t="n">
        <f aca="false">IFERROR('Price History'!Q3+(INDEX('Price History'!Q:Q,MATCH(9.99E+307,'Price History'!$A:$A))-'Price History'!Q3)*(ROW()-3)/(MATCH(9.99E+307,'Returns (Calc)'!$A:$A)-3),"")</f>
        <v>85.9530817610063</v>
      </c>
      <c r="AL104" s="145" t="n">
        <f aca="false">IFERROR('Price History'!R3+(INDEX('Price History'!R:R,MATCH(9.99E+307,'Price History'!$A:$A))-'Price History'!R3)*(ROW()-3)/(MATCH(9.99E+307,'Returns (Calc)'!$A:$A)-3),"")</f>
        <v>17.4437735849057</v>
      </c>
      <c r="AM104" s="145" t="n">
        <f aca="false">IFERROR('Price History'!S3+(INDEX('Price History'!S:S,MATCH(9.99E+307,'Price History'!$A:$A))-'Price History'!S3)*(ROW()-3)/(MATCH(9.99E+307,'Returns (Calc)'!$A:$A)-3),"")</f>
        <v>21.354213836478</v>
      </c>
      <c r="AN104" s="145" t="n">
        <f aca="false">IFERROR('Price History'!T3+(INDEX('Price History'!T:T,MATCH(9.99E+307,'Price History'!$A:$A))-'Price History'!T3)*(ROW()-3)/(MATCH(9.99E+307,'Returns (Calc)'!$A:$A)-3),"")</f>
        <v>9.81622641509434</v>
      </c>
      <c r="AO104" s="146" t="n">
        <f aca="false">IFERROR('Price History'!V3+(INDEX('Price History'!V:V,MATCH(9.99E+307,'Price History'!$A:$A))-'Price History'!V3)*(ROW()-3)/(MATCH(9.99E+307,'Returns (Calc)'!$A:$A)-3),"")</f>
        <v>0</v>
      </c>
    </row>
    <row r="105" customFormat="false" ht="15" hidden="false" customHeight="true" outlineLevel="0" collapsed="false">
      <c r="A105" s="142" t="n">
        <f aca="false">IF('Price History'!A106="","",'Price History'!A106)</f>
        <v>45905</v>
      </c>
      <c r="B105" s="143" t="n">
        <f aca="false">IFERROR(IF(OR(NOT(ISNUMBER('Price History'!B106)),NOT(ISNUMBER('Price History'!B105)),'Price History'!B105=0),"",'Price History'!B106/'Price History'!B105-1),"")</f>
        <v>-0.0216708718811325</v>
      </c>
      <c r="C105" s="143" t="n">
        <f aca="false">IFERROR(IF(OR(NOT(ISNUMBER('Price History'!C106)),NOT(ISNUMBER('Price History'!C105)),'Price History'!C105=0),"",'Price History'!C106/'Price History'!C105-1),"")</f>
        <v>0.0461369461735626</v>
      </c>
      <c r="D105" s="143" t="n">
        <f aca="false">IFERROR(IF(OR(NOT(ISNUMBER('Price History'!D106)),NOT(ISNUMBER('Price History'!D105)),'Price History'!D105=0),"",'Price History'!D106/'Price History'!D105-1),"")</f>
        <v>0.0526187378009109</v>
      </c>
      <c r="E105" s="143" t="n">
        <f aca="false">IFERROR(IF(OR(NOT(ISNUMBER('Price History'!E106)),NOT(ISNUMBER('Price History'!E105)),'Price History'!E105=0),"",'Price History'!E106/'Price History'!E105-1),"")</f>
        <v>0.126098612100852</v>
      </c>
      <c r="F105" s="143" t="n">
        <f aca="false">IFERROR(IF(OR(NOT(ISNUMBER('Price History'!F106)),NOT(ISNUMBER('Price History'!F105)),'Price History'!F105=0),"",'Price History'!F106/'Price History'!F105-1),"")</f>
        <v>0.0109072375127421</v>
      </c>
      <c r="G105" s="143" t="n">
        <f aca="false">IFERROR(IF(OR(NOT(ISNUMBER('Price History'!G106)),NOT(ISNUMBER('Price History'!G105)),'Price History'!G105=0),"",'Price History'!G106/'Price History'!G105-1),"")</f>
        <v>-0.0143490984612481</v>
      </c>
      <c r="H105" s="143" t="n">
        <f aca="false">IFERROR(IF(OR(NOT(ISNUMBER('Price History'!H106)),NOT(ISNUMBER('Price History'!H105)),'Price History'!H105=0),"",'Price History'!H106/'Price History'!H105-1),"")</f>
        <v>-0.000883782589483073</v>
      </c>
      <c r="I105" s="143" t="n">
        <f aca="false">IFERROR(IF(OR(NOT(ISNUMBER('Price History'!I106)),NOT(ISNUMBER('Price History'!I105)),'Price History'!I105=0),"",'Price History'!I106/'Price History'!I105-1),"")</f>
        <v>0.0379338175948345</v>
      </c>
      <c r="J105" s="143" t="n">
        <f aca="false">IFERROR(IF(OR(NOT(ISNUMBER('Price History'!J106)),NOT(ISNUMBER('Price History'!J105)),'Price History'!J105=0),"",'Price History'!J106/'Price History'!J105-1),"")</f>
        <v>0.103854569937721</v>
      </c>
      <c r="K105" s="143" t="n">
        <f aca="false">IFERROR(IF(OR(NOT(ISNUMBER('Price History'!K106)),NOT(ISNUMBER('Price History'!K105)),'Price History'!K105=0),"",'Price History'!K106/'Price History'!K105-1),"")</f>
        <v>-0.041093525179856</v>
      </c>
      <c r="L105" s="143" t="n">
        <f aca="false">IFERROR(IF(OR(NOT(ISNUMBER('Price History'!L106)),NOT(ISNUMBER('Price History'!L105)),'Price History'!L105=0),"",'Price History'!L106/'Price History'!L105-1),"")</f>
        <v>-0.00109749405524062</v>
      </c>
      <c r="M105" s="143" t="n">
        <f aca="false">IFERROR(IF(OR(NOT(ISNUMBER('Price History'!M106)),NOT(ISNUMBER('Price History'!M105)),'Price History'!M105=0),"",'Price History'!M106/'Price History'!M105-1),"")</f>
        <v>-0.0229723693446493</v>
      </c>
      <c r="N105" s="143" t="n">
        <f aca="false">IFERROR(IF(OR(NOT(ISNUMBER('Price History'!N106)),NOT(ISNUMBER('Price History'!N105)),'Price History'!N105=0),"",'Price History'!N106/'Price History'!N105-1),"")</f>
        <v>-0.0101047904191617</v>
      </c>
      <c r="O105" s="143" t="n">
        <f aca="false">IFERROR(IF(OR(NOT(ISNUMBER('Price History'!O106)),NOT(ISNUMBER('Price History'!O105)),'Price History'!O105=0),"",'Price History'!O106/'Price History'!O105-1),"")</f>
        <v>0.004942767950052</v>
      </c>
      <c r="P105" s="143" t="n">
        <f aca="false">IFERROR(IF(OR(NOT(ISNUMBER('Price History'!P106)),NOT(ISNUMBER('Price History'!P105)),'Price History'!P105=0),"",'Price History'!P106/'Price History'!P105-1),"")</f>
        <v>0.0543187107539631</v>
      </c>
      <c r="Q105" s="143" t="n">
        <f aca="false">IFERROR(IF(OR(NOT(ISNUMBER('Price History'!Q106)),NOT(ISNUMBER('Price History'!Q105)),'Price History'!Q105=0),"",'Price History'!Q106/'Price History'!Q105-1),"")</f>
        <v>-0.0243273446230551</v>
      </c>
      <c r="R105" s="143" t="n">
        <f aca="false">IFERROR(IF(OR(NOT(ISNUMBER('Price History'!R106)),NOT(ISNUMBER('Price History'!R105)),'Price History'!R105=0),"",'Price History'!R106/'Price History'!R105-1),"")</f>
        <v>-0.0230573710965867</v>
      </c>
      <c r="S105" s="143" t="n">
        <f aca="false">IFERROR(IF(OR(NOT(ISNUMBER('Price History'!S106)),NOT(ISNUMBER('Price History'!S105)),'Price History'!S105=0),"",'Price History'!S106/'Price History'!S105-1),"")</f>
        <v>-0.0156480918021386</v>
      </c>
      <c r="T105" s="143" t="n">
        <f aca="false">IFERROR(IF(OR(NOT(ISNUMBER('Price History'!T106)),NOT(ISNUMBER('Price History'!T105)),'Price History'!T105=0),"",'Price History'!T106/'Price History'!T105-1),"")</f>
        <v>-0.0418410041841004</v>
      </c>
      <c r="U105" s="143" t="str">
        <f aca="false">IFERROR(IF(OR(NOT(ISNUMBER('Price History'!U106)),NOT(ISNUMBER('Price History'!U105)),'Price History'!U105=0),"",'Price History'!U106/'Price History'!U105-1),"")</f>
        <v/>
      </c>
      <c r="V105" s="144" t="n">
        <f aca="false">IFERROR(IF(OR(NOT(ISNUMBER('Price History'!V106)),NOT(ISNUMBER('Price History'!V105)),'Price History'!V105=0),"",'Price History'!V106/'Price History'!V105-1),"")</f>
        <v>-0.0495489125823694</v>
      </c>
      <c r="W105" s="145" t="str">
        <f aca="false">IFERROR('Price History'!B3+(INDEX('Price History'!B:B,MATCH(9.99E+307,'Price History'!$A:$A))-'Price History'!B3)*(ROW()-3)/(MATCH(9.99E+307,'Returns (Calc)'!$A:$A)-3),"")</f>
        <v/>
      </c>
      <c r="X105" s="145" t="n">
        <f aca="false">IFERROR('Price History'!C3+(INDEX('Price History'!C:C,MATCH(9.99E+307,'Price History'!$A:$A))-'Price History'!C3)*(ROW()-3)/(MATCH(9.99E+307,'Returns (Calc)'!$A:$A)-3),"")</f>
        <v>16.5550943396226</v>
      </c>
      <c r="Y105" s="145" t="n">
        <f aca="false">IFERROR('Price History'!D3+(INDEX('Price History'!D:D,MATCH(9.99E+307,'Price History'!$A:$A))-'Price History'!D3)*(ROW()-3)/(MATCH(9.99E+307,'Returns (Calc)'!$A:$A)-3),"")</f>
        <v>208.645094339623</v>
      </c>
      <c r="Z105" s="145" t="n">
        <f aca="false">IFERROR('Price History'!E3+(INDEX('Price History'!E:E,MATCH(9.99E+307,'Price History'!$A:$A))-'Price History'!E3)*(ROW()-3)/(MATCH(9.99E+307,'Returns (Calc)'!$A:$A)-3),"")</f>
        <v>29.3962264150943</v>
      </c>
      <c r="AA105" s="145" t="n">
        <f aca="false">IFERROR('Price History'!F3+(INDEX('Price History'!F:F,MATCH(9.99E+307,'Price History'!$A:$A))-'Price History'!F3)*(ROW()-3)/(MATCH(9.99E+307,'Returns (Calc)'!$A:$A)-3),"")</f>
        <v>26.9979245283019</v>
      </c>
      <c r="AB105" s="145" t="n">
        <f aca="false">IFERROR('Price History'!G3+(INDEX('Price History'!G:G,MATCH(9.99E+307,'Price History'!$A:$A))-'Price History'!G3)*(ROW()-3)/(MATCH(9.99E+307,'Returns (Calc)'!$A:$A)-3),"")</f>
        <v>14.8271698113208</v>
      </c>
      <c r="AC105" s="145" t="n">
        <f aca="false">IFERROR('Price History'!H3+(INDEX('Price History'!H:H,MATCH(9.99E+307,'Price History'!$A:$A))-'Price History'!H3)*(ROW()-3)/(MATCH(9.99E+307,'Returns (Calc)'!$A:$A)-3),"")</f>
        <v>36.0605660377359</v>
      </c>
      <c r="AD105" s="145" t="n">
        <f aca="false">IFERROR('Price History'!I3+(INDEX('Price History'!I:I,MATCH(9.99E+307,'Price History'!$A:$A))-'Price History'!I3)*(ROW()-3)/(MATCH(9.99E+307,'Returns (Calc)'!$A:$A)-3),"")</f>
        <v>15.8990566037736</v>
      </c>
      <c r="AE105" s="145" t="n">
        <f aca="false">IFERROR('Price History'!J3+(INDEX('Price History'!J:J,MATCH(9.99E+307,'Price History'!$A:$A))-'Price History'!J3)*(ROW()-3)/(MATCH(9.99E+307,'Returns (Calc)'!$A:$A)-3),"")</f>
        <v>24.7752830188679</v>
      </c>
      <c r="AF105" s="145" t="n">
        <f aca="false">IFERROR('Price History'!K3+(INDEX('Price History'!K:K,MATCH(9.99E+307,'Price History'!$A:$A))-'Price History'!K3)*(ROW()-3)/(MATCH(9.99E+307,'Returns (Calc)'!$A:$A)-3),"")</f>
        <v>15.6911320754717</v>
      </c>
      <c r="AG105" s="145" t="n">
        <f aca="false">IFERROR('Price History'!L3+(INDEX('Price History'!L:L,MATCH(9.99E+307,'Price History'!$A:$A))-'Price History'!L3)*(ROW()-3)/(MATCH(9.99E+307,'Returns (Calc)'!$A:$A)-3),"")</f>
        <v>40.0935849056604</v>
      </c>
      <c r="AH105" s="145" t="n">
        <f aca="false">IFERROR('Price History'!M3+(INDEX('Price History'!M:M,MATCH(9.99E+307,'Price History'!$A:$A))-'Price History'!M3)*(ROW()-3)/(MATCH(9.99E+307,'Returns (Calc)'!$A:$A)-3),"")</f>
        <v>5.49566037735849</v>
      </c>
      <c r="AI105" s="145" t="n">
        <f aca="false">IFERROR('Price History'!N3+(INDEX('Price History'!N:N,MATCH(9.99E+307,'Price History'!$A:$A))-'Price History'!N3)*(ROW()-3)/(MATCH(9.99E+307,'Returns (Calc)'!$A:$A)-3),"")</f>
        <v>7.81509433962264</v>
      </c>
      <c r="AJ105" s="145" t="n">
        <f aca="false">IFERROR('Price History'!O3+(INDEX('Price History'!O:O,MATCH(9.99E+307,'Price History'!$A:$A))-'Price History'!O3)*(ROW()-3)/(MATCH(9.99E+307,'Returns (Calc)'!$A:$A)-3),"")</f>
        <v>20.6598113207547</v>
      </c>
      <c r="AK105" s="145" t="n">
        <f aca="false">IFERROR('Price History'!Q3+(INDEX('Price History'!Q:Q,MATCH(9.99E+307,'Price History'!$A:$A))-'Price History'!Q3)*(ROW()-3)/(MATCH(9.99E+307,'Returns (Calc)'!$A:$A)-3),"")</f>
        <v>84.4711320754717</v>
      </c>
      <c r="AL105" s="145" t="n">
        <f aca="false">IFERROR('Price History'!R3+(INDEX('Price History'!R:R,MATCH(9.99E+307,'Price History'!$A:$A))-'Price History'!R3)*(ROW()-3)/(MATCH(9.99E+307,'Returns (Calc)'!$A:$A)-3),"")</f>
        <v>17.1430188679245</v>
      </c>
      <c r="AM105" s="145" t="n">
        <f aca="false">IFERROR('Price History'!S3+(INDEX('Price History'!S:S,MATCH(9.99E+307,'Price History'!$A:$A))-'Price History'!S3)*(ROW()-3)/(MATCH(9.99E+307,'Returns (Calc)'!$A:$A)-3),"")</f>
        <v>20.9860377358491</v>
      </c>
      <c r="AN105" s="145" t="n">
        <f aca="false">IFERROR('Price History'!T3+(INDEX('Price History'!T:T,MATCH(9.99E+307,'Price History'!$A:$A))-'Price History'!T3)*(ROW()-3)/(MATCH(9.99E+307,'Returns (Calc)'!$A:$A)-3),"")</f>
        <v>9.64698113207547</v>
      </c>
      <c r="AO105" s="146" t="n">
        <f aca="false">IFERROR('Price History'!V3+(INDEX('Price History'!V:V,MATCH(9.99E+307,'Price History'!$A:$A))-'Price History'!V3)*(ROW()-3)/(MATCH(9.99E+307,'Returns (Calc)'!$A:$A)-3),"")</f>
        <v>0</v>
      </c>
    </row>
    <row r="106" customFormat="false" ht="15" hidden="false" customHeight="true" outlineLevel="0" collapsed="false">
      <c r="A106" s="142" t="n">
        <f aca="false">IF('Price History'!A107="","",'Price History'!A107)</f>
        <v>45912</v>
      </c>
      <c r="B106" s="143" t="n">
        <f aca="false">IFERROR(IF(OR(NOT(ISNUMBER('Price History'!B107)),NOT(ISNUMBER('Price History'!B106)),'Price History'!B106=0),"",'Price History'!B107/'Price History'!B106-1),"")</f>
        <v>0.00111757457661121</v>
      </c>
      <c r="C106" s="143" t="n">
        <f aca="false">IFERROR(IF(OR(NOT(ISNUMBER('Price History'!C107)),NOT(ISNUMBER('Price History'!C106)),'Price History'!C106=0),"",'Price History'!C107/'Price History'!C106-1),"")</f>
        <v>-0.0242212110605531</v>
      </c>
      <c r="D106" s="143" t="n">
        <f aca="false">IFERROR(IF(OR(NOT(ISNUMBER('Price History'!D107)),NOT(ISNUMBER('Price History'!D106)),'Price History'!D106=0),"",'Price History'!D107/'Price History'!D106-1),"")</f>
        <v>0.0411548069741687</v>
      </c>
      <c r="E106" s="143" t="n">
        <f aca="false">IFERROR(IF(OR(NOT(ISNUMBER('Price History'!E107)),NOT(ISNUMBER('Price History'!E106)),'Price History'!E106=0),"",'Price History'!E107/'Price History'!E106-1),"")</f>
        <v>0.0745818894078649</v>
      </c>
      <c r="F106" s="143" t="n">
        <f aca="false">IFERROR(IF(OR(NOT(ISNUMBER('Price History'!F107)),NOT(ISNUMBER('Price History'!F106)),'Price History'!F106=0),"",'Price History'!F107/'Price History'!F106-1),"")</f>
        <v>-0.00796611878592324</v>
      </c>
      <c r="G106" s="143" t="n">
        <f aca="false">IFERROR(IF(OR(NOT(ISNUMBER('Price History'!G107)),NOT(ISNUMBER('Price History'!G106)),'Price History'!G106=0),"",'Price History'!G107/'Price History'!G106-1),"")</f>
        <v>0.0442486351882003</v>
      </c>
      <c r="H106" s="143" t="n">
        <f aca="false">IFERROR(IF(OR(NOT(ISNUMBER('Price History'!H107)),NOT(ISNUMBER('Price History'!H106)),'Price History'!H106=0),"",'Price History'!H107/'Price History'!H106-1),"")</f>
        <v>0.0013268465280849</v>
      </c>
      <c r="I106" s="143" t="n">
        <f aca="false">IFERROR(IF(OR(NOT(ISNUMBER('Price History'!I107)),NOT(ISNUMBER('Price History'!I106)),'Price History'!I106=0),"",'Price History'!I107/'Price History'!I106-1),"")</f>
        <v>0.0650966451899577</v>
      </c>
      <c r="J106" s="143" t="n">
        <f aca="false">IFERROR(IF(OR(NOT(ISNUMBER('Price History'!J107)),NOT(ISNUMBER('Price History'!J106)),'Price History'!J106=0),"",'Price History'!J107/'Price History'!J106-1),"")</f>
        <v>0.196858798414151</v>
      </c>
      <c r="K106" s="143" t="n">
        <f aca="false">IFERROR(IF(OR(NOT(ISNUMBER('Price History'!K107)),NOT(ISNUMBER('Price History'!K106)),'Price History'!K106=0),"",'Price History'!K107/'Price History'!K106-1),"")</f>
        <v>0.0647620190864893</v>
      </c>
      <c r="L106" s="143" t="n">
        <f aca="false">IFERROR(IF(OR(NOT(ISNUMBER('Price History'!L107)),NOT(ISNUMBER('Price History'!L106)),'Price History'!L106=0),"",'Price History'!L107/'Price History'!L106-1),"")</f>
        <v>0.0149240065921992</v>
      </c>
      <c r="M106" s="143" t="n">
        <f aca="false">IFERROR(IF(OR(NOT(ISNUMBER('Price History'!M107)),NOT(ISNUMBER('Price History'!M106)),'Price History'!M106=0),"",'Price History'!M107/'Price History'!M106-1),"")</f>
        <v>0.119652537391418</v>
      </c>
      <c r="N106" s="143" t="n">
        <f aca="false">IFERROR(IF(OR(NOT(ISNUMBER('Price History'!N107)),NOT(ISNUMBER('Price History'!N106)),'Price History'!N106=0),"",'Price History'!N107/'Price History'!N106-1),"")</f>
        <v>-0.00567107750472584</v>
      </c>
      <c r="O106" s="143" t="n">
        <f aca="false">IFERROR(IF(OR(NOT(ISNUMBER('Price History'!O107)),NOT(ISNUMBER('Price History'!O106)),'Price History'!O106=0),"",'Price History'!O107/'Price History'!O106-1),"")</f>
        <v>0.029251876779705</v>
      </c>
      <c r="P106" s="143" t="n">
        <f aca="false">IFERROR(IF(OR(NOT(ISNUMBER('Price History'!P107)),NOT(ISNUMBER('Price History'!P106)),'Price History'!P106=0),"",'Price History'!P107/'Price History'!P106-1),"")</f>
        <v>0.0654310703873386</v>
      </c>
      <c r="Q106" s="143" t="n">
        <f aca="false">IFERROR(IF(OR(NOT(ISNUMBER('Price History'!Q107)),NOT(ISNUMBER('Price History'!Q106)),'Price History'!Q106=0),"",'Price History'!Q107/'Price History'!Q106-1),"")</f>
        <v>-0.0110425844346549</v>
      </c>
      <c r="R106" s="143" t="n">
        <f aca="false">IFERROR(IF(OR(NOT(ISNUMBER('Price History'!R107)),NOT(ISNUMBER('Price History'!R106)),'Price History'!R106=0),"",'Price History'!R107/'Price History'!R106-1),"")</f>
        <v>0.0280616985690392</v>
      </c>
      <c r="S106" s="143" t="n">
        <f aca="false">IFERROR(IF(OR(NOT(ISNUMBER('Price History'!S107)),NOT(ISNUMBER('Price History'!S106)),'Price History'!S106=0),"",'Price History'!S107/'Price History'!S106-1),"")</f>
        <v>0.0349730636757042</v>
      </c>
      <c r="T106" s="143" t="n">
        <f aca="false">IFERROR(IF(OR(NOT(ISNUMBER('Price History'!T107)),NOT(ISNUMBER('Price History'!T106)),'Price History'!T106=0),"",'Price History'!T107/'Price History'!T106-1),"")</f>
        <v>0.00989810771470157</v>
      </c>
      <c r="U106" s="143" t="str">
        <f aca="false">IFERROR(IF(OR(NOT(ISNUMBER('Price History'!U107)),NOT(ISNUMBER('Price History'!U106)),'Price History'!U106=0),"",'Price History'!U107/'Price History'!U106-1),"")</f>
        <v/>
      </c>
      <c r="V106" s="144" t="n">
        <f aca="false">IFERROR(IF(OR(NOT(ISNUMBER('Price History'!V107)),NOT(ISNUMBER('Price History'!V106)),'Price History'!V106=0),"",'Price History'!V107/'Price History'!V106-1),"")</f>
        <v>-0.00758770494242278</v>
      </c>
      <c r="W106" s="145" t="str">
        <f aca="false">IFERROR('Price History'!B3+(INDEX('Price History'!B:B,MATCH(9.99E+307,'Price History'!$A:$A))-'Price History'!B3)*(ROW()-3)/(MATCH(9.99E+307,'Returns (Calc)'!$A:$A)-3),"")</f>
        <v/>
      </c>
      <c r="X106" s="145" t="n">
        <f aca="false">IFERROR('Price History'!C3+(INDEX('Price History'!C:C,MATCH(9.99E+307,'Price History'!$A:$A))-'Price History'!C3)*(ROW()-3)/(MATCH(9.99E+307,'Returns (Calc)'!$A:$A)-3),"")</f>
        <v>16.2646540880503</v>
      </c>
      <c r="Y106" s="145" t="n">
        <f aca="false">IFERROR('Price History'!D3+(INDEX('Price History'!D:D,MATCH(9.99E+307,'Price History'!$A:$A))-'Price History'!D3)*(ROW()-3)/(MATCH(9.99E+307,'Returns (Calc)'!$A:$A)-3),"")</f>
        <v>204.98465408805</v>
      </c>
      <c r="Z106" s="145" t="n">
        <f aca="false">IFERROR('Price History'!E3+(INDEX('Price History'!E:E,MATCH(9.99E+307,'Price History'!$A:$A))-'Price History'!E3)*(ROW()-3)/(MATCH(9.99E+307,'Returns (Calc)'!$A:$A)-3),"")</f>
        <v>28.8805031446541</v>
      </c>
      <c r="AA106" s="145" t="n">
        <f aca="false">IFERROR('Price History'!F3+(INDEX('Price History'!F:F,MATCH(9.99E+307,'Price History'!$A:$A))-'Price History'!F3)*(ROW()-3)/(MATCH(9.99E+307,'Returns (Calc)'!$A:$A)-3),"")</f>
        <v>26.5242767295598</v>
      </c>
      <c r="AB106" s="145" t="n">
        <f aca="false">IFERROR('Price History'!G3+(INDEX('Price History'!G:G,MATCH(9.99E+307,'Price History'!$A:$A))-'Price History'!G3)*(ROW()-3)/(MATCH(9.99E+307,'Returns (Calc)'!$A:$A)-3),"")</f>
        <v>14.5670440251572</v>
      </c>
      <c r="AC106" s="145" t="n">
        <f aca="false">IFERROR('Price History'!H3+(INDEX('Price History'!H:H,MATCH(9.99E+307,'Price History'!$A:$A))-'Price History'!H3)*(ROW()-3)/(MATCH(9.99E+307,'Returns (Calc)'!$A:$A)-3),"")</f>
        <v>35.4279245283019</v>
      </c>
      <c r="AD106" s="145" t="n">
        <f aca="false">IFERROR('Price History'!I3+(INDEX('Price History'!I:I,MATCH(9.99E+307,'Price History'!$A:$A))-'Price History'!I3)*(ROW()-3)/(MATCH(9.99E+307,'Returns (Calc)'!$A:$A)-3),"")</f>
        <v>15.6201257861635</v>
      </c>
      <c r="AE106" s="145" t="n">
        <f aca="false">IFERROR('Price History'!J3+(INDEX('Price History'!J:J,MATCH(9.99E+307,'Price History'!$A:$A))-'Price History'!J3)*(ROW()-3)/(MATCH(9.99E+307,'Returns (Calc)'!$A:$A)-3),"")</f>
        <v>24.3406289308176</v>
      </c>
      <c r="AF106" s="145" t="n">
        <f aca="false">IFERROR('Price History'!K3+(INDEX('Price History'!K:K,MATCH(9.99E+307,'Price History'!$A:$A))-'Price History'!K3)*(ROW()-3)/(MATCH(9.99E+307,'Returns (Calc)'!$A:$A)-3),"")</f>
        <v>15.4158490566038</v>
      </c>
      <c r="AG106" s="145" t="n">
        <f aca="false">IFERROR('Price History'!L3+(INDEX('Price History'!L:L,MATCH(9.99E+307,'Price History'!$A:$A))-'Price History'!L3)*(ROW()-3)/(MATCH(9.99E+307,'Returns (Calc)'!$A:$A)-3),"")</f>
        <v>39.3901886792453</v>
      </c>
      <c r="AH106" s="145" t="n">
        <f aca="false">IFERROR('Price History'!M3+(INDEX('Price History'!M:M,MATCH(9.99E+307,'Price History'!$A:$A))-'Price History'!M3)*(ROW()-3)/(MATCH(9.99E+307,'Returns (Calc)'!$A:$A)-3),"")</f>
        <v>5.39924528301887</v>
      </c>
      <c r="AI106" s="145" t="n">
        <f aca="false">IFERROR('Price History'!N3+(INDEX('Price History'!N:N,MATCH(9.99E+307,'Price History'!$A:$A))-'Price History'!N3)*(ROW()-3)/(MATCH(9.99E+307,'Returns (Calc)'!$A:$A)-3),"")</f>
        <v>7.67798742138365</v>
      </c>
      <c r="AJ106" s="145" t="n">
        <f aca="false">IFERROR('Price History'!O3+(INDEX('Price History'!O:O,MATCH(9.99E+307,'Price History'!$A:$A))-'Price History'!O3)*(ROW()-3)/(MATCH(9.99E+307,'Returns (Calc)'!$A:$A)-3),"")</f>
        <v>20.297358490566</v>
      </c>
      <c r="AK106" s="145" t="n">
        <f aca="false">IFERROR('Price History'!Q3+(INDEX('Price History'!Q:Q,MATCH(9.99E+307,'Price History'!$A:$A))-'Price History'!Q3)*(ROW()-3)/(MATCH(9.99E+307,'Returns (Calc)'!$A:$A)-3),"")</f>
        <v>82.9891823899371</v>
      </c>
      <c r="AL106" s="145" t="n">
        <f aca="false">IFERROR('Price History'!R3+(INDEX('Price History'!R:R,MATCH(9.99E+307,'Price History'!$A:$A))-'Price History'!R3)*(ROW()-3)/(MATCH(9.99E+307,'Returns (Calc)'!$A:$A)-3),"")</f>
        <v>16.8422641509434</v>
      </c>
      <c r="AM106" s="145" t="n">
        <f aca="false">IFERROR('Price History'!S3+(INDEX('Price History'!S:S,MATCH(9.99E+307,'Price History'!$A:$A))-'Price History'!S3)*(ROW()-3)/(MATCH(9.99E+307,'Returns (Calc)'!$A:$A)-3),"")</f>
        <v>20.6178616352201</v>
      </c>
      <c r="AN106" s="145" t="n">
        <f aca="false">IFERROR('Price History'!T3+(INDEX('Price History'!T:T,MATCH(9.99E+307,'Price History'!$A:$A))-'Price History'!T3)*(ROW()-3)/(MATCH(9.99E+307,'Returns (Calc)'!$A:$A)-3),"")</f>
        <v>9.4777358490566</v>
      </c>
      <c r="AO106" s="146" t="n">
        <f aca="false">IFERROR('Price History'!V3+(INDEX('Price History'!V:V,MATCH(9.99E+307,'Price History'!$A:$A))-'Price History'!V3)*(ROW()-3)/(MATCH(9.99E+307,'Returns (Calc)'!$A:$A)-3),"")</f>
        <v>0</v>
      </c>
    </row>
    <row r="107" customFormat="false" ht="15" hidden="false" customHeight="true" outlineLevel="0" collapsed="false">
      <c r="A107" s="142" t="n">
        <f aca="false">IF('Price History'!A108="","",'Price History'!A108)</f>
        <v>45919</v>
      </c>
      <c r="B107" s="143" t="n">
        <f aca="false">IFERROR(IF(OR(NOT(ISNUMBER('Price History'!B108)),NOT(ISNUMBER('Price History'!B107)),'Price History'!B107=0),"",'Price History'!B108/'Price History'!B107-1),"")</f>
        <v>0.0473437142202884</v>
      </c>
      <c r="C107" s="143" t="n">
        <f aca="false">IFERROR(IF(OR(NOT(ISNUMBER('Price History'!C108)),NOT(ISNUMBER('Price History'!C107)),'Price History'!C107=0),"",'Price History'!C108/'Price History'!C107-1),"")</f>
        <v>0.0733194633761392</v>
      </c>
      <c r="D107" s="143" t="n">
        <f aca="false">IFERROR(IF(OR(NOT(ISNUMBER('Price History'!D108)),NOT(ISNUMBER('Price History'!D107)),'Price History'!D107=0),"",'Price History'!D108/'Price History'!D107-1),"")</f>
        <v>0.145336037796522</v>
      </c>
      <c r="E107" s="143" t="n">
        <f aca="false">IFERROR(IF(OR(NOT(ISNUMBER('Price History'!E108)),NOT(ISNUMBER('Price History'!E107)),'Price History'!E107=0),"",'Price History'!E108/'Price History'!E107-1),"")</f>
        <v>-0.0414750420639373</v>
      </c>
      <c r="F107" s="143" t="n">
        <f aca="false">IFERROR(IF(OR(NOT(ISNUMBER('Price History'!F108)),NOT(ISNUMBER('Price History'!F107)),'Price History'!F107=0),"",'Price History'!F108/'Price History'!F107-1),"")</f>
        <v>0.00569221386460672</v>
      </c>
      <c r="G107" s="143" t="n">
        <f aca="false">IFERROR(IF(OR(NOT(ISNUMBER('Price History'!G108)),NOT(ISNUMBER('Price History'!G107)),'Price History'!G107=0),"",'Price History'!G108/'Price History'!G107-1),"")</f>
        <v>0.152343391727048</v>
      </c>
      <c r="H107" s="143" t="n">
        <f aca="false">IFERROR(IF(OR(NOT(ISNUMBER('Price History'!H108)),NOT(ISNUMBER('Price History'!H107)),'Price History'!H107=0),"",'Price History'!H108/'Price History'!H107-1),"")</f>
        <v>-0.00279740871613665</v>
      </c>
      <c r="I107" s="143" t="n">
        <f aca="false">IFERROR(IF(OR(NOT(ISNUMBER('Price History'!I108)),NOT(ISNUMBER('Price History'!I107)),'Price History'!I107=0),"",'Price History'!I108/'Price History'!I107-1),"")</f>
        <v>0.083854818523154</v>
      </c>
      <c r="J107" s="143" t="n">
        <f aca="false">IFERROR(IF(OR(NOT(ISNUMBER('Price History'!J108)),NOT(ISNUMBER('Price History'!J107)),'Price History'!J107=0),"",'Price History'!J108/'Price History'!J107-1),"")</f>
        <v>0.0349726079755384</v>
      </c>
      <c r="K107" s="143" t="n">
        <f aca="false">IFERROR(IF(OR(NOT(ISNUMBER('Price History'!K108)),NOT(ISNUMBER('Price History'!K107)),'Price History'!K107=0),"",'Price History'!K108/'Price History'!K107-1),"")</f>
        <v>-0.00648252536640359</v>
      </c>
      <c r="L107" s="143" t="n">
        <f aca="false">IFERROR(IF(OR(NOT(ISNUMBER('Price History'!L108)),NOT(ISNUMBER('Price History'!L107)),'Price History'!L107=0),"",'Price History'!L108/'Price History'!L107-1),"")</f>
        <v>-0.00721695985566073</v>
      </c>
      <c r="M107" s="143" t="n">
        <f aca="false">IFERROR(IF(OR(NOT(ISNUMBER('Price History'!M108)),NOT(ISNUMBER('Price History'!M107)),'Price History'!M107=0),"",'Price History'!M108/'Price History'!M107-1),"")</f>
        <v>0.0639328005599953</v>
      </c>
      <c r="N107" s="143" t="n">
        <f aca="false">IFERROR(IF(OR(NOT(ISNUMBER('Price History'!N108)),NOT(ISNUMBER('Price History'!N107)),'Price History'!N107=0),"",'Price History'!N108/'Price History'!N107-1),"")</f>
        <v>-0.00570342205323204</v>
      </c>
      <c r="O107" s="143" t="n">
        <f aca="false">IFERROR(IF(OR(NOT(ISNUMBER('Price History'!O108)),NOT(ISNUMBER('Price History'!O107)),'Price History'!O107=0),"",'Price History'!O108/'Price History'!O107-1),"")</f>
        <v>0.012072434607646</v>
      </c>
      <c r="P107" s="143" t="n">
        <f aca="false">IFERROR(IF(OR(NOT(ISNUMBER('Price History'!P108)),NOT(ISNUMBER('Price History'!P107)),'Price History'!P107=0),"",'Price History'!P108/'Price History'!P107-1),"")</f>
        <v>0.0245885618232282</v>
      </c>
      <c r="Q107" s="143" t="n">
        <f aca="false">IFERROR(IF(OR(NOT(ISNUMBER('Price History'!Q108)),NOT(ISNUMBER('Price History'!Q107)),'Price History'!Q107=0),"",'Price History'!Q108/'Price History'!Q107-1),"")</f>
        <v>0.00641444437845218</v>
      </c>
      <c r="R107" s="143" t="n">
        <f aca="false">IFERROR(IF(OR(NOT(ISNUMBER('Price History'!R108)),NOT(ISNUMBER('Price History'!R107)),'Price History'!R107=0),"",'Price History'!R108/'Price History'!R107-1),"")</f>
        <v>0.00867678958785234</v>
      </c>
      <c r="S107" s="143" t="n">
        <f aca="false">IFERROR(IF(OR(NOT(ISNUMBER('Price History'!S108)),NOT(ISNUMBER('Price History'!S107)),'Price History'!S107=0),"",'Price History'!S108/'Price History'!S107-1),"")</f>
        <v>0.00102397815513267</v>
      </c>
      <c r="T107" s="143" t="n">
        <f aca="false">IFERROR(IF(OR(NOT(ISNUMBER('Price History'!T108)),NOT(ISNUMBER('Price History'!T107)),'Price History'!T107=0),"",'Price History'!T108/'Price History'!T107-1),"")</f>
        <v>0.0394926491784378</v>
      </c>
      <c r="U107" s="143" t="str">
        <f aca="false">IFERROR(IF(OR(NOT(ISNUMBER('Price History'!U108)),NOT(ISNUMBER('Price History'!U107)),'Price History'!U107=0),"",'Price History'!U108/'Price History'!U107-1),"")</f>
        <v/>
      </c>
      <c r="V107" s="144" t="n">
        <f aca="false">IFERROR(IF(OR(NOT(ISNUMBER('Price History'!V108)),NOT(ISNUMBER('Price History'!V107)),'Price History'!V107=0),"",'Price History'!V108/'Price History'!V107-1),"")</f>
        <v>0.0246461981290478</v>
      </c>
      <c r="W107" s="145" t="str">
        <f aca="false">IFERROR('Price History'!B3+(INDEX('Price History'!B:B,MATCH(9.99E+307,'Price History'!$A:$A))-'Price History'!B3)*(ROW()-3)/(MATCH(9.99E+307,'Returns (Calc)'!$A:$A)-3),"")</f>
        <v/>
      </c>
      <c r="X107" s="145" t="n">
        <f aca="false">IFERROR('Price History'!C3+(INDEX('Price History'!C:C,MATCH(9.99E+307,'Price History'!$A:$A))-'Price History'!C3)*(ROW()-3)/(MATCH(9.99E+307,'Returns (Calc)'!$A:$A)-3),"")</f>
        <v>15.974213836478</v>
      </c>
      <c r="Y107" s="145" t="n">
        <f aca="false">IFERROR('Price History'!D3+(INDEX('Price History'!D:D,MATCH(9.99E+307,'Price History'!$A:$A))-'Price History'!D3)*(ROW()-3)/(MATCH(9.99E+307,'Returns (Calc)'!$A:$A)-3),"")</f>
        <v>201.324213836478</v>
      </c>
      <c r="Z107" s="145" t="n">
        <f aca="false">IFERROR('Price History'!E3+(INDEX('Price History'!E:E,MATCH(9.99E+307,'Price History'!$A:$A))-'Price History'!E3)*(ROW()-3)/(MATCH(9.99E+307,'Returns (Calc)'!$A:$A)-3),"")</f>
        <v>28.3647798742138</v>
      </c>
      <c r="AA107" s="145" t="n">
        <f aca="false">IFERROR('Price History'!F3+(INDEX('Price History'!F:F,MATCH(9.99E+307,'Price History'!$A:$A))-'Price History'!F3)*(ROW()-3)/(MATCH(9.99E+307,'Returns (Calc)'!$A:$A)-3),"")</f>
        <v>26.0506289308176</v>
      </c>
      <c r="AB107" s="145" t="n">
        <f aca="false">IFERROR('Price History'!G3+(INDEX('Price History'!G:G,MATCH(9.99E+307,'Price History'!$A:$A))-'Price History'!G3)*(ROW()-3)/(MATCH(9.99E+307,'Returns (Calc)'!$A:$A)-3),"")</f>
        <v>14.3069182389937</v>
      </c>
      <c r="AC107" s="145" t="n">
        <f aca="false">IFERROR('Price History'!H3+(INDEX('Price History'!H:H,MATCH(9.99E+307,'Price History'!$A:$A))-'Price History'!H3)*(ROW()-3)/(MATCH(9.99E+307,'Returns (Calc)'!$A:$A)-3),"")</f>
        <v>34.7952830188679</v>
      </c>
      <c r="AD107" s="145" t="n">
        <f aca="false">IFERROR('Price History'!I3+(INDEX('Price History'!I:I,MATCH(9.99E+307,'Price History'!$A:$A))-'Price History'!I3)*(ROW()-3)/(MATCH(9.99E+307,'Returns (Calc)'!$A:$A)-3),"")</f>
        <v>15.3411949685535</v>
      </c>
      <c r="AE107" s="145" t="n">
        <f aca="false">IFERROR('Price History'!J3+(INDEX('Price History'!J:J,MATCH(9.99E+307,'Price History'!$A:$A))-'Price History'!J3)*(ROW()-3)/(MATCH(9.99E+307,'Returns (Calc)'!$A:$A)-3),"")</f>
        <v>23.9059748427673</v>
      </c>
      <c r="AF107" s="145" t="n">
        <f aca="false">IFERROR('Price History'!K3+(INDEX('Price History'!K:K,MATCH(9.99E+307,'Price History'!$A:$A))-'Price History'!K3)*(ROW()-3)/(MATCH(9.99E+307,'Returns (Calc)'!$A:$A)-3),"")</f>
        <v>15.1405660377359</v>
      </c>
      <c r="AG107" s="145" t="n">
        <f aca="false">IFERROR('Price History'!L3+(INDEX('Price History'!L:L,MATCH(9.99E+307,'Price History'!$A:$A))-'Price History'!L3)*(ROW()-3)/(MATCH(9.99E+307,'Returns (Calc)'!$A:$A)-3),"")</f>
        <v>38.6867924528302</v>
      </c>
      <c r="AH107" s="145" t="n">
        <f aca="false">IFERROR('Price History'!M3+(INDEX('Price History'!M:M,MATCH(9.99E+307,'Price History'!$A:$A))-'Price History'!M3)*(ROW()-3)/(MATCH(9.99E+307,'Returns (Calc)'!$A:$A)-3),"")</f>
        <v>5.30283018867925</v>
      </c>
      <c r="AI107" s="145" t="n">
        <f aca="false">IFERROR('Price History'!N3+(INDEX('Price History'!N:N,MATCH(9.99E+307,'Price History'!$A:$A))-'Price History'!N3)*(ROW()-3)/(MATCH(9.99E+307,'Returns (Calc)'!$A:$A)-3),"")</f>
        <v>7.54088050314465</v>
      </c>
      <c r="AJ107" s="145" t="n">
        <f aca="false">IFERROR('Price History'!O3+(INDEX('Price History'!O:O,MATCH(9.99E+307,'Price History'!$A:$A))-'Price History'!O3)*(ROW()-3)/(MATCH(9.99E+307,'Returns (Calc)'!$A:$A)-3),"")</f>
        <v>19.9349056603774</v>
      </c>
      <c r="AK107" s="145" t="n">
        <f aca="false">IFERROR('Price History'!Q3+(INDEX('Price History'!Q:Q,MATCH(9.99E+307,'Price History'!$A:$A))-'Price History'!Q3)*(ROW()-3)/(MATCH(9.99E+307,'Returns (Calc)'!$A:$A)-3),"")</f>
        <v>81.5072327044025</v>
      </c>
      <c r="AL107" s="145" t="n">
        <f aca="false">IFERROR('Price History'!R3+(INDEX('Price History'!R:R,MATCH(9.99E+307,'Price History'!$A:$A))-'Price History'!R3)*(ROW()-3)/(MATCH(9.99E+307,'Returns (Calc)'!$A:$A)-3),"")</f>
        <v>16.5415094339623</v>
      </c>
      <c r="AM107" s="145" t="n">
        <f aca="false">IFERROR('Price History'!S3+(INDEX('Price History'!S:S,MATCH(9.99E+307,'Price History'!$A:$A))-'Price History'!S3)*(ROW()-3)/(MATCH(9.99E+307,'Returns (Calc)'!$A:$A)-3),"")</f>
        <v>20.2496855345912</v>
      </c>
      <c r="AN107" s="145" t="n">
        <f aca="false">IFERROR('Price History'!T3+(INDEX('Price History'!T:T,MATCH(9.99E+307,'Price History'!$A:$A))-'Price History'!T3)*(ROW()-3)/(MATCH(9.99E+307,'Returns (Calc)'!$A:$A)-3),"")</f>
        <v>9.30849056603774</v>
      </c>
      <c r="AO107" s="146" t="n">
        <f aca="false">IFERROR('Price History'!V3+(INDEX('Price History'!V:V,MATCH(9.99E+307,'Price History'!$A:$A))-'Price History'!V3)*(ROW()-3)/(MATCH(9.99E+307,'Returns (Calc)'!$A:$A)-3),"")</f>
        <v>0</v>
      </c>
    </row>
    <row r="108" customFormat="false" ht="15" hidden="false" customHeight="true" outlineLevel="0" collapsed="false">
      <c r="A108" s="142" t="n">
        <f aca="false">IF('Price History'!A109="","",'Price History'!A109)</f>
        <v>45926</v>
      </c>
      <c r="B108" s="143" t="n">
        <f aca="false">IFERROR(IF(OR(NOT(ISNUMBER('Price History'!B109)),NOT(ISNUMBER('Price History'!B108)),'Price History'!B108=0),"",'Price History'!B109/'Price History'!B108-1),"")</f>
        <v>-0.0151134189669307</v>
      </c>
      <c r="C108" s="143" t="n">
        <f aca="false">IFERROR(IF(OR(NOT(ISNUMBER('Price History'!C109)),NOT(ISNUMBER('Price History'!C108)),'Price History'!C108=0),"",'Price History'!C109/'Price History'!C108-1),"")</f>
        <v>-0.0475235612592742</v>
      </c>
      <c r="D108" s="143" t="n">
        <f aca="false">IFERROR(IF(OR(NOT(ISNUMBER('Price History'!D109)),NOT(ISNUMBER('Price History'!D108)),'Price History'!D108=0),"",'Price History'!D109/'Price History'!D108-1),"")</f>
        <v>0.0207764159602613</v>
      </c>
      <c r="E108" s="143" t="n">
        <f aca="false">IFERROR(IF(OR(NOT(ISNUMBER('Price History'!E109)),NOT(ISNUMBER('Price History'!E108)),'Price History'!E108=0),"",'Price History'!E109/'Price History'!E108-1),"")</f>
        <v>-0.028524618940347</v>
      </c>
      <c r="F108" s="143" t="n">
        <f aca="false">IFERROR(IF(OR(NOT(ISNUMBER('Price History'!F109)),NOT(ISNUMBER('Price History'!F108)),'Price History'!F108=0),"",'Price History'!F109/'Price History'!F108-1),"")</f>
        <v>0.00303214069132807</v>
      </c>
      <c r="G108" s="143" t="n">
        <f aca="false">IFERROR(IF(OR(NOT(ISNUMBER('Price History'!G109)),NOT(ISNUMBER('Price History'!G108)),'Price History'!G108=0),"",'Price History'!G109/'Price History'!G108-1),"")</f>
        <v>-0.0420248328557784</v>
      </c>
      <c r="H108" s="143" t="n">
        <f aca="false">IFERROR(IF(OR(NOT(ISNUMBER('Price History'!H109)),NOT(ISNUMBER('Price History'!H108)),'Price History'!H108=0),"",'Price History'!H109/'Price History'!H108-1),"")</f>
        <v>0.00767754318618041</v>
      </c>
      <c r="I108" s="143" t="n">
        <f aca="false">IFERROR(IF(OR(NOT(ISNUMBER('Price History'!I109)),NOT(ISNUMBER('Price History'!I108)),'Price History'!I108=0),"",'Price History'!I109/'Price History'!I108-1),"")</f>
        <v>0.0186682063125481</v>
      </c>
      <c r="J108" s="143" t="n">
        <f aca="false">IFERROR(IF(OR(NOT(ISNUMBER('Price History'!J109)),NOT(ISNUMBER('Price History'!J108)),'Price History'!J108=0),"",'Price History'!J109/'Price History'!J108-1),"")</f>
        <v>-0.0335446543977349</v>
      </c>
      <c r="K108" s="143" t="n">
        <f aca="false">IFERROR(IF(OR(NOT(ISNUMBER('Price History'!K109)),NOT(ISNUMBER('Price History'!K108)),'Price History'!K108=0),"",'Price History'!K109/'Price History'!K108-1),"")</f>
        <v>0.00856737588652479</v>
      </c>
      <c r="L108" s="143" t="n">
        <f aca="false">IFERROR(IF(OR(NOT(ISNUMBER('Price History'!L109)),NOT(ISNUMBER('Price History'!L108)),'Price History'!L108=0),"",'Price History'!L109/'Price History'!L108-1),"")</f>
        <v>0.00599727396637895</v>
      </c>
      <c r="M108" s="143" t="n">
        <f aca="false">IFERROR(IF(OR(NOT(ISNUMBER('Price History'!M109)),NOT(ISNUMBER('Price History'!M108)),'Price History'!M108=0),"",'Price History'!M109/'Price History'!M108-1),"")</f>
        <v>-0.0264268874390043</v>
      </c>
      <c r="N108" s="143" t="n">
        <f aca="false">IFERROR(IF(OR(NOT(ISNUMBER('Price History'!N109)),NOT(ISNUMBER('Price History'!N108)),'Price History'!N108=0),"",'Price History'!N109/'Price History'!N108-1),"")</f>
        <v>0.00535372848948379</v>
      </c>
      <c r="O108" s="143" t="n">
        <f aca="false">IFERROR(IF(OR(NOT(ISNUMBER('Price History'!O109)),NOT(ISNUMBER('Price History'!O108)),'Price History'!O108=0),"",'Price History'!O109/'Price History'!O108-1),"")</f>
        <v>-0.00952617627567931</v>
      </c>
      <c r="P108" s="143" t="n">
        <f aca="false">IFERROR(IF(OR(NOT(ISNUMBER('Price History'!P109)),NOT(ISNUMBER('Price History'!P108)),'Price History'!P108=0),"",'Price History'!P109/'Price History'!P108-1),"")</f>
        <v>0.0320488363220144</v>
      </c>
      <c r="Q108" s="143" t="n">
        <f aca="false">IFERROR(IF(OR(NOT(ISNUMBER('Price History'!Q109)),NOT(ISNUMBER('Price History'!Q108)),'Price History'!Q108=0),"",'Price History'!Q109/'Price History'!Q108-1),"")</f>
        <v>-0.0124225435231631</v>
      </c>
      <c r="R108" s="143" t="n">
        <f aca="false">IFERROR(IF(OR(NOT(ISNUMBER('Price History'!R109)),NOT(ISNUMBER('Price History'!R108)),'Price History'!R108=0),"",'Price History'!R109/'Price History'!R108-1),"")</f>
        <v>-0.00232974910394257</v>
      </c>
      <c r="S108" s="143" t="n">
        <f aca="false">IFERROR(IF(OR(NOT(ISNUMBER('Price History'!S109)),NOT(ISNUMBER('Price History'!S108)),'Price History'!S108=0),"",'Price History'!S109/'Price History'!S108-1),"")</f>
        <v>-0.00681953797630208</v>
      </c>
      <c r="T108" s="143" t="n">
        <f aca="false">IFERROR(IF(OR(NOT(ISNUMBER('Price History'!T109)),NOT(ISNUMBER('Price History'!T108)),'Price History'!T108=0),"",'Price History'!T109/'Price History'!T108-1),"")</f>
        <v>0.0257903494176373</v>
      </c>
      <c r="U108" s="143" t="str">
        <f aca="false">IFERROR(IF(OR(NOT(ISNUMBER('Price History'!U109)),NOT(ISNUMBER('Price History'!U108)),'Price History'!U108=0),"",'Price History'!U109/'Price History'!U108-1),"")</f>
        <v/>
      </c>
      <c r="V108" s="144" t="n">
        <f aca="false">IFERROR(IF(OR(NOT(ISNUMBER('Price History'!V109)),NOT(ISNUMBER('Price History'!V108)),'Price History'!V108=0),"",'Price History'!V109/'Price History'!V108-1),"")</f>
        <v>0.0161526306548838</v>
      </c>
      <c r="W108" s="145" t="str">
        <f aca="false">IFERROR('Price History'!B3+(INDEX('Price History'!B:B,MATCH(9.99E+307,'Price History'!$A:$A))-'Price History'!B3)*(ROW()-3)/(MATCH(9.99E+307,'Returns (Calc)'!$A:$A)-3),"")</f>
        <v/>
      </c>
      <c r="X108" s="145" t="n">
        <f aca="false">IFERROR('Price History'!C3+(INDEX('Price History'!C:C,MATCH(9.99E+307,'Price History'!$A:$A))-'Price History'!C3)*(ROW()-3)/(MATCH(9.99E+307,'Returns (Calc)'!$A:$A)-3),"")</f>
        <v>15.6837735849057</v>
      </c>
      <c r="Y108" s="145" t="n">
        <f aca="false">IFERROR('Price History'!D3+(INDEX('Price History'!D:D,MATCH(9.99E+307,'Price History'!$A:$A))-'Price History'!D3)*(ROW()-3)/(MATCH(9.99E+307,'Returns (Calc)'!$A:$A)-3),"")</f>
        <v>197.663773584906</v>
      </c>
      <c r="Z108" s="145" t="n">
        <f aca="false">IFERROR('Price History'!E3+(INDEX('Price History'!E:E,MATCH(9.99E+307,'Price History'!$A:$A))-'Price History'!E3)*(ROW()-3)/(MATCH(9.99E+307,'Returns (Calc)'!$A:$A)-3),"")</f>
        <v>27.8490566037736</v>
      </c>
      <c r="AA108" s="145" t="n">
        <f aca="false">IFERROR('Price History'!F3+(INDEX('Price History'!F:F,MATCH(9.99E+307,'Price History'!$A:$A))-'Price History'!F3)*(ROW()-3)/(MATCH(9.99E+307,'Returns (Calc)'!$A:$A)-3),"")</f>
        <v>25.5769811320755</v>
      </c>
      <c r="AB108" s="145" t="n">
        <f aca="false">IFERROR('Price History'!G3+(INDEX('Price History'!G:G,MATCH(9.99E+307,'Price History'!$A:$A))-'Price History'!G3)*(ROW()-3)/(MATCH(9.99E+307,'Returns (Calc)'!$A:$A)-3),"")</f>
        <v>14.0467924528302</v>
      </c>
      <c r="AC108" s="145" t="n">
        <f aca="false">IFERROR('Price History'!H3+(INDEX('Price History'!H:H,MATCH(9.99E+307,'Price History'!$A:$A))-'Price History'!H3)*(ROW()-3)/(MATCH(9.99E+307,'Returns (Calc)'!$A:$A)-3),"")</f>
        <v>34.162641509434</v>
      </c>
      <c r="AD108" s="145" t="n">
        <f aca="false">IFERROR('Price History'!I3+(INDEX('Price History'!I:I,MATCH(9.99E+307,'Price History'!$A:$A))-'Price History'!I3)*(ROW()-3)/(MATCH(9.99E+307,'Returns (Calc)'!$A:$A)-3),"")</f>
        <v>15.0622641509434</v>
      </c>
      <c r="AE108" s="145" t="n">
        <f aca="false">IFERROR('Price History'!J3+(INDEX('Price History'!J:J,MATCH(9.99E+307,'Price History'!$A:$A))-'Price History'!J3)*(ROW()-3)/(MATCH(9.99E+307,'Returns (Calc)'!$A:$A)-3),"")</f>
        <v>23.471320754717</v>
      </c>
      <c r="AF108" s="145" t="n">
        <f aca="false">IFERROR('Price History'!K3+(INDEX('Price History'!K:K,MATCH(9.99E+307,'Price History'!$A:$A))-'Price History'!K3)*(ROW()-3)/(MATCH(9.99E+307,'Returns (Calc)'!$A:$A)-3),"")</f>
        <v>14.8652830188679</v>
      </c>
      <c r="AG108" s="145" t="n">
        <f aca="false">IFERROR('Price History'!L3+(INDEX('Price History'!L:L,MATCH(9.99E+307,'Price History'!$A:$A))-'Price History'!L3)*(ROW()-3)/(MATCH(9.99E+307,'Returns (Calc)'!$A:$A)-3),"")</f>
        <v>37.9833962264151</v>
      </c>
      <c r="AH108" s="145" t="n">
        <f aca="false">IFERROR('Price History'!M3+(INDEX('Price History'!M:M,MATCH(9.99E+307,'Price History'!$A:$A))-'Price History'!M3)*(ROW()-3)/(MATCH(9.99E+307,'Returns (Calc)'!$A:$A)-3),"")</f>
        <v>5.20641509433962</v>
      </c>
      <c r="AI108" s="145" t="n">
        <f aca="false">IFERROR('Price History'!N3+(INDEX('Price History'!N:N,MATCH(9.99E+307,'Price History'!$A:$A))-'Price History'!N3)*(ROW()-3)/(MATCH(9.99E+307,'Returns (Calc)'!$A:$A)-3),"")</f>
        <v>7.40377358490566</v>
      </c>
      <c r="AJ108" s="145" t="n">
        <f aca="false">IFERROR('Price History'!O3+(INDEX('Price History'!O:O,MATCH(9.99E+307,'Price History'!$A:$A))-'Price History'!O3)*(ROW()-3)/(MATCH(9.99E+307,'Returns (Calc)'!$A:$A)-3),"")</f>
        <v>19.5724528301887</v>
      </c>
      <c r="AK108" s="145" t="n">
        <f aca="false">IFERROR('Price History'!Q3+(INDEX('Price History'!Q:Q,MATCH(9.99E+307,'Price History'!$A:$A))-'Price History'!Q3)*(ROW()-3)/(MATCH(9.99E+307,'Returns (Calc)'!$A:$A)-3),"")</f>
        <v>80.0252830188679</v>
      </c>
      <c r="AL108" s="145" t="n">
        <f aca="false">IFERROR('Price History'!R3+(INDEX('Price History'!R:R,MATCH(9.99E+307,'Price History'!$A:$A))-'Price History'!R3)*(ROW()-3)/(MATCH(9.99E+307,'Returns (Calc)'!$A:$A)-3),"")</f>
        <v>16.2407547169811</v>
      </c>
      <c r="AM108" s="145" t="n">
        <f aca="false">IFERROR('Price History'!S3+(INDEX('Price History'!S:S,MATCH(9.99E+307,'Price History'!$A:$A))-'Price History'!S3)*(ROW()-3)/(MATCH(9.99E+307,'Returns (Calc)'!$A:$A)-3),"")</f>
        <v>19.8815094339623</v>
      </c>
      <c r="AN108" s="145" t="n">
        <f aca="false">IFERROR('Price History'!T3+(INDEX('Price History'!T:T,MATCH(9.99E+307,'Price History'!$A:$A))-'Price History'!T3)*(ROW()-3)/(MATCH(9.99E+307,'Returns (Calc)'!$A:$A)-3),"")</f>
        <v>9.13924528301887</v>
      </c>
      <c r="AO108" s="146" t="n">
        <f aca="false">IFERROR('Price History'!V3+(INDEX('Price History'!V:V,MATCH(9.99E+307,'Price History'!$A:$A))-'Price History'!V3)*(ROW()-3)/(MATCH(9.99E+307,'Returns (Calc)'!$A:$A)-3),"")</f>
        <v>0</v>
      </c>
    </row>
    <row r="109" customFormat="false" ht="15" hidden="false" customHeight="true" outlineLevel="0" collapsed="false">
      <c r="A109" s="142" t="n">
        <f aca="false">IF('Price History'!A110="","",'Price History'!A110)</f>
        <v>45933</v>
      </c>
      <c r="B109" s="143" t="n">
        <f aca="false">IFERROR(IF(OR(NOT(ISNUMBER('Price History'!B110)),NOT(ISNUMBER('Price History'!B109)),'Price History'!B109=0),"",'Price History'!B110/'Price History'!B109-1),"")</f>
        <v>-0.0378222382551267</v>
      </c>
      <c r="C109" s="143" t="n">
        <f aca="false">IFERROR(IF(OR(NOT(ISNUMBER('Price History'!C110)),NOT(ISNUMBER('Price History'!C109)),'Price History'!C109=0),"",'Price History'!C110/'Price History'!C109-1),"")</f>
        <v>0.0210526315789474</v>
      </c>
      <c r="D109" s="143" t="n">
        <f aca="false">IFERROR(IF(OR(NOT(ISNUMBER('Price History'!D110)),NOT(ISNUMBER('Price History'!D109)),'Price History'!D109=0),"",'Price History'!D110/'Price History'!D109-1),"")</f>
        <v>0.0848205312655377</v>
      </c>
      <c r="E109" s="143" t="n">
        <f aca="false">IFERROR(IF(OR(NOT(ISNUMBER('Price History'!E110)),NOT(ISNUMBER('Price History'!E109)),'Price History'!E109=0),"",'Price History'!E110/'Price History'!E109-1),"")</f>
        <v>0.0114738300307173</v>
      </c>
      <c r="F109" s="143" t="n">
        <f aca="false">IFERROR(IF(OR(NOT(ISNUMBER('Price History'!F110)),NOT(ISNUMBER('Price History'!F109)),'Price History'!F109=0),"",'Price History'!F110/'Price History'!F109-1),"")</f>
        <v>0.00110842402257161</v>
      </c>
      <c r="G109" s="143" t="n">
        <f aca="false">IFERROR(IF(OR(NOT(ISNUMBER('Price History'!G110)),NOT(ISNUMBER('Price History'!G109)),'Price History'!G109=0),"",'Price History'!G110/'Price History'!G109-1),"")</f>
        <v>0.0175307411100034</v>
      </c>
      <c r="H109" s="143" t="n">
        <f aca="false">IFERROR(IF(OR(NOT(ISNUMBER('Price History'!H110)),NOT(ISNUMBER('Price History'!H109)),'Price History'!H109=0),"",'Price History'!H110/'Price History'!H109-1),"")</f>
        <v>0.0123809523809524</v>
      </c>
      <c r="I109" s="143" t="n">
        <f aca="false">IFERROR(IF(OR(NOT(ISNUMBER('Price History'!I110)),NOT(ISNUMBER('Price History'!I109)),'Price History'!I109=0),"",'Price History'!I110/'Price History'!I109-1),"")</f>
        <v>0.0349518231626678</v>
      </c>
      <c r="J109" s="143" t="n">
        <f aca="false">IFERROR(IF(OR(NOT(ISNUMBER('Price History'!J110)),NOT(ISNUMBER('Price History'!J109)),'Price History'!J109=0),"",'Price History'!J110/'Price History'!J109-1),"")</f>
        <v>0.195070691631639</v>
      </c>
      <c r="K109" s="143" t="n">
        <f aca="false">IFERROR(IF(OR(NOT(ISNUMBER('Price History'!K110)),NOT(ISNUMBER('Price History'!K109)),'Price History'!K109=0),"",'Price History'!K110/'Price History'!K109-1),"")</f>
        <v>0.0529365436543654</v>
      </c>
      <c r="L109" s="143" t="n">
        <f aca="false">IFERROR(IF(OR(NOT(ISNUMBER('Price History'!L110)),NOT(ISNUMBER('Price History'!L109)),'Price History'!L109=0),"",'Price History'!L110/'Price History'!L109-1),"")</f>
        <v>0.0252009755216331</v>
      </c>
      <c r="M109" s="143" t="n">
        <f aca="false">IFERROR(IF(OR(NOT(ISNUMBER('Price History'!M110)),NOT(ISNUMBER('Price History'!M109)),'Price History'!M109=0),"",'Price History'!M110/'Price History'!M109-1),"")</f>
        <v>-0.025342118601115</v>
      </c>
      <c r="N109" s="143" t="n">
        <f aca="false">IFERROR(IF(OR(NOT(ISNUMBER('Price History'!N110)),NOT(ISNUMBER('Price History'!N109)),'Price History'!N109=0),"",'Price History'!N110/'Price History'!N109-1),"")</f>
        <v>0.00722708254089022</v>
      </c>
      <c r="O109" s="143" t="n">
        <f aca="false">IFERROR(IF(OR(NOT(ISNUMBER('Price History'!O110)),NOT(ISNUMBER('Price History'!O109)),'Price History'!O109=0),"",'Price History'!O110/'Price History'!O109-1),"")</f>
        <v>-0.00409801789746589</v>
      </c>
      <c r="P109" s="143" t="n">
        <f aca="false">IFERROR(IF(OR(NOT(ISNUMBER('Price History'!P110)),NOT(ISNUMBER('Price History'!P109)),'Price History'!P109=0),"",'Price History'!P110/'Price History'!P109-1),"")</f>
        <v>0.0688724584103513</v>
      </c>
      <c r="Q109" s="143" t="n">
        <f aca="false">IFERROR(IF(OR(NOT(ISNUMBER('Price History'!Q110)),NOT(ISNUMBER('Price History'!Q109)),'Price History'!Q109=0),"",'Price History'!Q110/'Price History'!Q109-1),"")</f>
        <v>0.0369595745316562</v>
      </c>
      <c r="R109" s="143" t="n">
        <f aca="false">IFERROR(IF(OR(NOT(ISNUMBER('Price History'!R110)),NOT(ISNUMBER('Price History'!R109)),'Price History'!R109=0),"",'Price History'!R110/'Price History'!R109-1),"")</f>
        <v>0.000179629962277605</v>
      </c>
      <c r="S109" s="143" t="n">
        <f aca="false">IFERROR(IF(OR(NOT(ISNUMBER('Price History'!S110)),NOT(ISNUMBER('Price History'!S109)),'Price History'!S109=0),"",'Price History'!S110/'Price History'!S109-1),"")</f>
        <v>-0.000257488627585678</v>
      </c>
      <c r="T109" s="143" t="n">
        <f aca="false">IFERROR(IF(OR(NOT(ISNUMBER('Price History'!T110)),NOT(ISNUMBER('Price History'!T109)),'Price History'!T109=0),"",'Price History'!T110/'Price History'!T109-1),"")</f>
        <v>0.00919167342524996</v>
      </c>
      <c r="U109" s="143" t="str">
        <f aca="false">IFERROR(IF(OR(NOT(ISNUMBER('Price History'!U110)),NOT(ISNUMBER('Price History'!U109)),'Price History'!U109=0),"",'Price History'!U110/'Price History'!U109-1),"")</f>
        <v/>
      </c>
      <c r="V109" s="144" t="n">
        <f aca="false">IFERROR(IF(OR(NOT(ISNUMBER('Price History'!V110)),NOT(ISNUMBER('Price History'!V109)),'Price History'!V109=0),"",'Price History'!V110/'Price History'!V109-1),"")</f>
        <v>0.00498185797385253</v>
      </c>
      <c r="W109" s="145" t="str">
        <f aca="false">IFERROR('Price History'!B3+(INDEX('Price History'!B:B,MATCH(9.99E+307,'Price History'!$A:$A))-'Price History'!B3)*(ROW()-3)/(MATCH(9.99E+307,'Returns (Calc)'!$A:$A)-3),"")</f>
        <v/>
      </c>
      <c r="X109" s="145" t="n">
        <f aca="false">IFERROR('Price History'!C3+(INDEX('Price History'!C:C,MATCH(9.99E+307,'Price History'!$A:$A))-'Price History'!C3)*(ROW()-3)/(MATCH(9.99E+307,'Returns (Calc)'!$A:$A)-3),"")</f>
        <v>15.3933333333333</v>
      </c>
      <c r="Y109" s="145" t="n">
        <f aca="false">IFERROR('Price History'!D3+(INDEX('Price History'!D:D,MATCH(9.99E+307,'Price History'!$A:$A))-'Price History'!D3)*(ROW()-3)/(MATCH(9.99E+307,'Returns (Calc)'!$A:$A)-3),"")</f>
        <v>194.003333333333</v>
      </c>
      <c r="Z109" s="145" t="n">
        <f aca="false">IFERROR('Price History'!E3+(INDEX('Price History'!E:E,MATCH(9.99E+307,'Price History'!$A:$A))-'Price History'!E3)*(ROW()-3)/(MATCH(9.99E+307,'Returns (Calc)'!$A:$A)-3),"")</f>
        <v>27.3333333333333</v>
      </c>
      <c r="AA109" s="145" t="n">
        <f aca="false">IFERROR('Price History'!F3+(INDEX('Price History'!F:F,MATCH(9.99E+307,'Price History'!$A:$A))-'Price History'!F3)*(ROW()-3)/(MATCH(9.99E+307,'Returns (Calc)'!$A:$A)-3),"")</f>
        <v>25.1033333333333</v>
      </c>
      <c r="AB109" s="145" t="n">
        <f aca="false">IFERROR('Price History'!G3+(INDEX('Price History'!G:G,MATCH(9.99E+307,'Price History'!$A:$A))-'Price History'!G3)*(ROW()-3)/(MATCH(9.99E+307,'Returns (Calc)'!$A:$A)-3),"")</f>
        <v>13.7866666666667</v>
      </c>
      <c r="AC109" s="145" t="n">
        <f aca="false">IFERROR('Price History'!H3+(INDEX('Price History'!H:H,MATCH(9.99E+307,'Price History'!$A:$A))-'Price History'!H3)*(ROW()-3)/(MATCH(9.99E+307,'Returns (Calc)'!$A:$A)-3),"")</f>
        <v>33.53</v>
      </c>
      <c r="AD109" s="145" t="n">
        <f aca="false">IFERROR('Price History'!I3+(INDEX('Price History'!I:I,MATCH(9.99E+307,'Price History'!$A:$A))-'Price History'!I3)*(ROW()-3)/(MATCH(9.99E+307,'Returns (Calc)'!$A:$A)-3),"")</f>
        <v>14.7833333333333</v>
      </c>
      <c r="AE109" s="145" t="n">
        <f aca="false">IFERROR('Price History'!J3+(INDEX('Price History'!J:J,MATCH(9.99E+307,'Price History'!$A:$A))-'Price History'!J3)*(ROW()-3)/(MATCH(9.99E+307,'Returns (Calc)'!$A:$A)-3),"")</f>
        <v>23.0366666666667</v>
      </c>
      <c r="AF109" s="145" t="n">
        <f aca="false">IFERROR('Price History'!K3+(INDEX('Price History'!K:K,MATCH(9.99E+307,'Price History'!$A:$A))-'Price History'!K3)*(ROW()-3)/(MATCH(9.99E+307,'Returns (Calc)'!$A:$A)-3),"")</f>
        <v>14.59</v>
      </c>
      <c r="AG109" s="145" t="n">
        <f aca="false">IFERROR('Price History'!L3+(INDEX('Price History'!L:L,MATCH(9.99E+307,'Price History'!$A:$A))-'Price History'!L3)*(ROW()-3)/(MATCH(9.99E+307,'Returns (Calc)'!$A:$A)-3),"")</f>
        <v>37.28</v>
      </c>
      <c r="AH109" s="145" t="n">
        <f aca="false">IFERROR('Price History'!M3+(INDEX('Price History'!M:M,MATCH(9.99E+307,'Price History'!$A:$A))-'Price History'!M3)*(ROW()-3)/(MATCH(9.99E+307,'Returns (Calc)'!$A:$A)-3),"")</f>
        <v>5.11</v>
      </c>
      <c r="AI109" s="145" t="n">
        <f aca="false">IFERROR('Price History'!N3+(INDEX('Price History'!N:N,MATCH(9.99E+307,'Price History'!$A:$A))-'Price History'!N3)*(ROW()-3)/(MATCH(9.99E+307,'Returns (Calc)'!$A:$A)-3),"")</f>
        <v>7.26666666666667</v>
      </c>
      <c r="AJ109" s="145" t="n">
        <f aca="false">IFERROR('Price History'!O3+(INDEX('Price History'!O:O,MATCH(9.99E+307,'Price History'!$A:$A))-'Price History'!O3)*(ROW()-3)/(MATCH(9.99E+307,'Returns (Calc)'!$A:$A)-3),"")</f>
        <v>19.21</v>
      </c>
      <c r="AK109" s="145" t="n">
        <f aca="false">IFERROR('Price History'!Q3+(INDEX('Price History'!Q:Q,MATCH(9.99E+307,'Price History'!$A:$A))-'Price History'!Q3)*(ROW()-3)/(MATCH(9.99E+307,'Returns (Calc)'!$A:$A)-3),"")</f>
        <v>78.5433333333333</v>
      </c>
      <c r="AL109" s="145" t="n">
        <f aca="false">IFERROR('Price History'!R3+(INDEX('Price History'!R:R,MATCH(9.99E+307,'Price History'!$A:$A))-'Price History'!R3)*(ROW()-3)/(MATCH(9.99E+307,'Returns (Calc)'!$A:$A)-3),"")</f>
        <v>15.94</v>
      </c>
      <c r="AM109" s="145" t="n">
        <f aca="false">IFERROR('Price History'!S3+(INDEX('Price History'!S:S,MATCH(9.99E+307,'Price History'!$A:$A))-'Price History'!S3)*(ROW()-3)/(MATCH(9.99E+307,'Returns (Calc)'!$A:$A)-3),"")</f>
        <v>19.5133333333333</v>
      </c>
      <c r="AN109" s="145" t="n">
        <f aca="false">IFERROR('Price History'!T3+(INDEX('Price History'!T:T,MATCH(9.99E+307,'Price History'!$A:$A))-'Price History'!T3)*(ROW()-3)/(MATCH(9.99E+307,'Returns (Calc)'!$A:$A)-3),"")</f>
        <v>8.97</v>
      </c>
      <c r="AO109" s="146" t="n">
        <f aca="false">IFERROR('Price History'!V3+(INDEX('Price History'!V:V,MATCH(9.99E+307,'Price History'!$A:$A))-'Price History'!V3)*(ROW()-3)/(MATCH(9.99E+307,'Returns (Calc)'!$A:$A)-3),"")</f>
        <v>0</v>
      </c>
    </row>
    <row r="110" customFormat="false" ht="15" hidden="false" customHeight="true" outlineLevel="0" collapsed="false">
      <c r="A110" s="142" t="n">
        <f aca="false">IF('Price History'!A111="","",'Price History'!A111)</f>
        <v>45940</v>
      </c>
      <c r="B110" s="143" t="n">
        <f aca="false">IFERROR(IF(OR(NOT(ISNUMBER('Price History'!B111)),NOT(ISNUMBER('Price History'!B110)),'Price History'!B110=0),"",'Price History'!B111/'Price History'!B110-1),"")</f>
        <v>-0.026619368979639</v>
      </c>
      <c r="C110" s="143" t="n">
        <f aca="false">IFERROR(IF(OR(NOT(ISNUMBER('Price History'!C111)),NOT(ISNUMBER('Price History'!C110)),'Price History'!C110=0),"",'Price History'!C111/'Price History'!C110-1),"")</f>
        <v>0.059106529209622</v>
      </c>
      <c r="D110" s="143" t="n">
        <f aca="false">IFERROR(IF(OR(NOT(ISNUMBER('Price History'!D111)),NOT(ISNUMBER('Price History'!D110)),'Price History'!D110=0),"",'Price History'!D111/'Price History'!D110-1),"")</f>
        <v>-0.0930402644640995</v>
      </c>
      <c r="E110" s="143" t="n">
        <f aca="false">IFERROR(IF(OR(NOT(ISNUMBER('Price History'!E111)),NOT(ISNUMBER('Price History'!E110)),'Price History'!E110=0),"",'Price History'!E111/'Price History'!E110-1),"")</f>
        <v>-0.040610950665436</v>
      </c>
      <c r="F110" s="143" t="n">
        <f aca="false">IFERROR(IF(OR(NOT(ISNUMBER('Price History'!F111)),NOT(ISNUMBER('Price History'!F110)),'Price History'!F110=0),"",'Price History'!F111/'Price History'!F110-1),"")</f>
        <v>-0.054353296426774</v>
      </c>
      <c r="G110" s="143" t="n">
        <f aca="false">IFERROR(IF(OR(NOT(ISNUMBER('Price History'!G111)),NOT(ISNUMBER('Price History'!G110)),'Price History'!G110=0),"",'Price History'!G111/'Price History'!G110-1),"")</f>
        <v>0.00775700171470573</v>
      </c>
      <c r="H110" s="143" t="n">
        <f aca="false">IFERROR(IF(OR(NOT(ISNUMBER('Price History'!H111)),NOT(ISNUMBER('Price History'!H110)),'Price History'!H110=0),"",'Price History'!H111/'Price History'!H110-1),"")</f>
        <v>-0.0345900571676677</v>
      </c>
      <c r="I110" s="143" t="n">
        <f aca="false">IFERROR(IF(OR(NOT(ISNUMBER('Price History'!I111)),NOT(ISNUMBER('Price History'!I110)),'Price History'!I110=0),"",'Price History'!I111/'Price History'!I110-1),"")</f>
        <v>-0.107794815626141</v>
      </c>
      <c r="J110" s="143" t="n">
        <f aca="false">IFERROR(IF(OR(NOT(ISNUMBER('Price History'!J111)),NOT(ISNUMBER('Price History'!J110)),'Price History'!J110=0),"",'Price History'!J111/'Price History'!J110-1),"")</f>
        <v>-0.0332001065814016</v>
      </c>
      <c r="K110" s="143" t="n">
        <f aca="false">IFERROR(IF(OR(NOT(ISNUMBER('Price History'!K111)),NOT(ISNUMBER('Price History'!K110)),'Price History'!K110=0),"",'Price History'!K111/'Price History'!K110-1),"")</f>
        <v>-0.0237751776459902</v>
      </c>
      <c r="L110" s="143" t="n">
        <f aca="false">IFERROR(IF(OR(NOT(ISNUMBER('Price History'!L111)),NOT(ISNUMBER('Price History'!L110)),'Price History'!L110=0),"",'Price History'!L111/'Price History'!L110-1),"")</f>
        <v>-0.0498678414096916</v>
      </c>
      <c r="M110" s="143" t="n">
        <f aca="false">IFERROR(IF(OR(NOT(ISNUMBER('Price History'!M111)),NOT(ISNUMBER('Price History'!M110)),'Price History'!M110=0),"",'Price History'!M111/'Price History'!M110-1),"")</f>
        <v>0.0136938810885769</v>
      </c>
      <c r="N110" s="143" t="n">
        <f aca="false">IFERROR(IF(OR(NOT(ISNUMBER('Price History'!N111)),NOT(ISNUMBER('Price History'!N110)),'Price History'!N110=0),"",'Price History'!N111/'Price History'!N110-1),"")</f>
        <v>-0.0317220543806647</v>
      </c>
      <c r="O110" s="143" t="n">
        <f aca="false">IFERROR(IF(OR(NOT(ISNUMBER('Price History'!O111)),NOT(ISNUMBER('Price History'!O110)),'Price History'!O110=0),"",'Price History'!O111/'Price History'!O110-1),"")</f>
        <v>-0.0131844138394356</v>
      </c>
      <c r="P110" s="143" t="n">
        <f aca="false">IFERROR(IF(OR(NOT(ISNUMBER('Price History'!P111)),NOT(ISNUMBER('Price History'!P110)),'Price History'!P110=0),"",'Price History'!P111/'Price History'!P110-1),"")</f>
        <v>-0.0394632172379206</v>
      </c>
      <c r="Q110" s="143" t="n">
        <f aca="false">IFERROR(IF(OR(NOT(ISNUMBER('Price History'!Q111)),NOT(ISNUMBER('Price History'!Q110)),'Price History'!Q110=0),"",'Price History'!Q111/'Price History'!Q110-1),"")</f>
        <v>-0.0176914654526594</v>
      </c>
      <c r="R110" s="143" t="n">
        <f aca="false">IFERROR(IF(OR(NOT(ISNUMBER('Price History'!R111)),NOT(ISNUMBER('Price History'!R110)),'Price History'!R110=0),"",'Price History'!R111/'Price History'!R110-1),"")</f>
        <v>0.00179597701149437</v>
      </c>
      <c r="S110" s="143" t="n">
        <f aca="false">IFERROR(IF(OR(NOT(ISNUMBER('Price History'!S111)),NOT(ISNUMBER('Price History'!S110)),'Price History'!S110=0),"",'Price History'!S111/'Price History'!S110-1),"")</f>
        <v>0.0048935439560438</v>
      </c>
      <c r="T110" s="143" t="n">
        <f aca="false">IFERROR(IF(OR(NOT(ISNUMBER('Price History'!T111)),NOT(ISNUMBER('Price History'!T110)),'Price History'!T110=0),"",'Price History'!T111/'Price History'!T110-1),"")</f>
        <v>0.00750066970265206</v>
      </c>
      <c r="U110" s="143" t="str">
        <f aca="false">IFERROR(IF(OR(NOT(ISNUMBER('Price History'!U111)),NOT(ISNUMBER('Price History'!U110)),'Price History'!U110=0),"",'Price History'!U111/'Price History'!U110-1),"")</f>
        <v/>
      </c>
      <c r="V110" s="144" t="n">
        <f aca="false">IFERROR(IF(OR(NOT(ISNUMBER('Price History'!V111)),NOT(ISNUMBER('Price History'!V110)),'Price History'!V110=0),"",'Price History'!V111/'Price History'!V110-1),"")</f>
        <v>-0.0243273446230551</v>
      </c>
      <c r="W110" s="145" t="str">
        <f aca="false">IFERROR('Price History'!B3+(INDEX('Price History'!B:B,MATCH(9.99E+307,'Price History'!$A:$A))-'Price History'!B3)*(ROW()-3)/(MATCH(9.99E+307,'Returns (Calc)'!$A:$A)-3),"")</f>
        <v/>
      </c>
      <c r="X110" s="145" t="n">
        <f aca="false">IFERROR('Price History'!C3+(INDEX('Price History'!C:C,MATCH(9.99E+307,'Price History'!$A:$A))-'Price History'!C3)*(ROW()-3)/(MATCH(9.99E+307,'Returns (Calc)'!$A:$A)-3),"")</f>
        <v>15.102893081761</v>
      </c>
      <c r="Y110" s="145" t="n">
        <f aca="false">IFERROR('Price History'!D3+(INDEX('Price History'!D:D,MATCH(9.99E+307,'Price History'!$A:$A))-'Price History'!D3)*(ROW()-3)/(MATCH(9.99E+307,'Returns (Calc)'!$A:$A)-3),"")</f>
        <v>190.342893081761</v>
      </c>
      <c r="Z110" s="145" t="n">
        <f aca="false">IFERROR('Price History'!E3+(INDEX('Price History'!E:E,MATCH(9.99E+307,'Price History'!$A:$A))-'Price History'!E3)*(ROW()-3)/(MATCH(9.99E+307,'Returns (Calc)'!$A:$A)-3),"")</f>
        <v>26.8176100628931</v>
      </c>
      <c r="AA110" s="145" t="n">
        <f aca="false">IFERROR('Price History'!F3+(INDEX('Price History'!F:F,MATCH(9.99E+307,'Price History'!$A:$A))-'Price History'!F3)*(ROW()-3)/(MATCH(9.99E+307,'Returns (Calc)'!$A:$A)-3),"")</f>
        <v>24.6296855345912</v>
      </c>
      <c r="AB110" s="145" t="n">
        <f aca="false">IFERROR('Price History'!G3+(INDEX('Price History'!G:G,MATCH(9.99E+307,'Price History'!$A:$A))-'Price History'!G3)*(ROW()-3)/(MATCH(9.99E+307,'Returns (Calc)'!$A:$A)-3),"")</f>
        <v>13.5265408805031</v>
      </c>
      <c r="AC110" s="145" t="n">
        <f aca="false">IFERROR('Price History'!H3+(INDEX('Price History'!H:H,MATCH(9.99E+307,'Price History'!$A:$A))-'Price History'!H3)*(ROW()-3)/(MATCH(9.99E+307,'Returns (Calc)'!$A:$A)-3),"")</f>
        <v>32.897358490566</v>
      </c>
      <c r="AD110" s="145" t="n">
        <f aca="false">IFERROR('Price History'!I3+(INDEX('Price History'!I:I,MATCH(9.99E+307,'Price History'!$A:$A))-'Price History'!I3)*(ROW()-3)/(MATCH(9.99E+307,'Returns (Calc)'!$A:$A)-3),"")</f>
        <v>14.5044025157233</v>
      </c>
      <c r="AE110" s="145" t="n">
        <f aca="false">IFERROR('Price History'!J3+(INDEX('Price History'!J:J,MATCH(9.99E+307,'Price History'!$A:$A))-'Price History'!J3)*(ROW()-3)/(MATCH(9.99E+307,'Returns (Calc)'!$A:$A)-3),"")</f>
        <v>22.6020125786164</v>
      </c>
      <c r="AF110" s="145" t="n">
        <f aca="false">IFERROR('Price History'!K3+(INDEX('Price History'!K:K,MATCH(9.99E+307,'Price History'!$A:$A))-'Price History'!K3)*(ROW()-3)/(MATCH(9.99E+307,'Returns (Calc)'!$A:$A)-3),"")</f>
        <v>14.3147169811321</v>
      </c>
      <c r="AG110" s="145" t="n">
        <f aca="false">IFERROR('Price History'!L3+(INDEX('Price History'!L:L,MATCH(9.99E+307,'Price History'!$A:$A))-'Price History'!L3)*(ROW()-3)/(MATCH(9.99E+307,'Returns (Calc)'!$A:$A)-3),"")</f>
        <v>36.5766037735849</v>
      </c>
      <c r="AH110" s="145" t="n">
        <f aca="false">IFERROR('Price History'!M3+(INDEX('Price History'!M:M,MATCH(9.99E+307,'Price History'!$A:$A))-'Price History'!M3)*(ROW()-3)/(MATCH(9.99E+307,'Returns (Calc)'!$A:$A)-3),"")</f>
        <v>5.01358490566038</v>
      </c>
      <c r="AI110" s="145" t="n">
        <f aca="false">IFERROR('Price History'!N3+(INDEX('Price History'!N:N,MATCH(9.99E+307,'Price History'!$A:$A))-'Price History'!N3)*(ROW()-3)/(MATCH(9.99E+307,'Returns (Calc)'!$A:$A)-3),"")</f>
        <v>7.12955974842767</v>
      </c>
      <c r="AJ110" s="145" t="n">
        <f aca="false">IFERROR('Price History'!O3+(INDEX('Price History'!O:O,MATCH(9.99E+307,'Price History'!$A:$A))-'Price History'!O3)*(ROW()-3)/(MATCH(9.99E+307,'Returns (Calc)'!$A:$A)-3),"")</f>
        <v>18.8475471698113</v>
      </c>
      <c r="AK110" s="145" t="n">
        <f aca="false">IFERROR('Price History'!Q3+(INDEX('Price History'!Q:Q,MATCH(9.99E+307,'Price History'!$A:$A))-'Price History'!Q3)*(ROW()-3)/(MATCH(9.99E+307,'Returns (Calc)'!$A:$A)-3),"")</f>
        <v>77.0613836477988</v>
      </c>
      <c r="AL110" s="145" t="n">
        <f aca="false">IFERROR('Price History'!R3+(INDEX('Price History'!R:R,MATCH(9.99E+307,'Price History'!$A:$A))-'Price History'!R3)*(ROW()-3)/(MATCH(9.99E+307,'Returns (Calc)'!$A:$A)-3),"")</f>
        <v>15.6392452830189</v>
      </c>
      <c r="AM110" s="145" t="n">
        <f aca="false">IFERROR('Price History'!S3+(INDEX('Price History'!S:S,MATCH(9.99E+307,'Price History'!$A:$A))-'Price History'!S3)*(ROW()-3)/(MATCH(9.99E+307,'Returns (Calc)'!$A:$A)-3),"")</f>
        <v>19.1451572327044</v>
      </c>
      <c r="AN110" s="145" t="n">
        <f aca="false">IFERROR('Price History'!T3+(INDEX('Price History'!T:T,MATCH(9.99E+307,'Price History'!$A:$A))-'Price History'!T3)*(ROW()-3)/(MATCH(9.99E+307,'Returns (Calc)'!$A:$A)-3),"")</f>
        <v>8.80075471698113</v>
      </c>
      <c r="AO110" s="146" t="n">
        <f aca="false">IFERROR('Price History'!V3+(INDEX('Price History'!V:V,MATCH(9.99E+307,'Price History'!$A:$A))-'Price History'!V3)*(ROW()-3)/(MATCH(9.99E+307,'Returns (Calc)'!$A:$A)-3),"")</f>
        <v>0</v>
      </c>
    </row>
    <row r="111" customFormat="false" ht="15" hidden="false" customHeight="true" outlineLevel="0" collapsed="false">
      <c r="A111" s="142" t="n">
        <f aca="false">IF('Price History'!A112="","",'Price History'!A112)</f>
        <v>45947</v>
      </c>
      <c r="B111" s="143" t="n">
        <f aca="false">IFERROR(IF(OR(NOT(ISNUMBER('Price History'!B112)),NOT(ISNUMBER('Price History'!B111)),'Price History'!B111=0),"",'Price History'!B112/'Price History'!B111-1),"")</f>
        <v>-0.0125922194897929</v>
      </c>
      <c r="C111" s="143" t="n">
        <f aca="false">IFERROR(IF(OR(NOT(ISNUMBER('Price History'!C112)),NOT(ISNUMBER('Price History'!C111)),'Price History'!C111=0),"",'Price History'!C112/'Price History'!C111-1),"")</f>
        <v>-0.0713822193380922</v>
      </c>
      <c r="D111" s="143" t="n">
        <f aca="false">IFERROR(IF(OR(NOT(ISNUMBER('Price History'!D112)),NOT(ISNUMBER('Price History'!D111)),'Price History'!D111=0),"",'Price History'!D112/'Price History'!D111-1),"")</f>
        <v>0.0994236930950692</v>
      </c>
      <c r="E111" s="143" t="n">
        <f aca="false">IFERROR(IF(OR(NOT(ISNUMBER('Price History'!E112)),NOT(ISNUMBER('Price History'!E111)),'Price History'!E111=0),"",'Price History'!E112/'Price History'!E111-1),"")</f>
        <v>0.0760947149551563</v>
      </c>
      <c r="F111" s="143" t="n">
        <f aca="false">IFERROR(IF(OR(NOT(ISNUMBER('Price History'!F112)),NOT(ISNUMBER('Price History'!F111)),'Price History'!F111=0),"",'Price History'!F112/'Price History'!F111-1),"")</f>
        <v>0.0195848855774348</v>
      </c>
      <c r="G111" s="143" t="n">
        <f aca="false">IFERROR(IF(OR(NOT(ISNUMBER('Price History'!G112)),NOT(ISNUMBER('Price History'!G111)),'Price History'!G111=0),"",'Price History'!G112/'Price History'!G111-1),"")</f>
        <v>-0.0183114568141306</v>
      </c>
      <c r="H111" s="143" t="n">
        <f aca="false">IFERROR(IF(OR(NOT(ISNUMBER('Price History'!H112)),NOT(ISNUMBER('Price History'!H111)),'Price History'!H111=0),"",'Price History'!H112/'Price History'!H111-1),"")</f>
        <v>0.0146915523573945</v>
      </c>
      <c r="I111" s="143" t="n">
        <f aca="false">IFERROR(IF(OR(NOT(ISNUMBER('Price History'!I112)),NOT(ISNUMBER('Price History'!I111)),'Price History'!I111=0),"",'Price History'!I112/'Price History'!I111-1),"")</f>
        <v>0.126035805626598</v>
      </c>
      <c r="J111" s="143" t="n">
        <f aca="false">IFERROR(IF(OR(NOT(ISNUMBER('Price History'!J112)),NOT(ISNUMBER('Price History'!J111)),'Price History'!J111=0),"",'Price History'!J112/'Price History'!J111-1),"")</f>
        <v>0.114430603020615</v>
      </c>
      <c r="K111" s="143" t="n">
        <f aca="false">IFERROR(IF(OR(NOT(ISNUMBER('Price History'!K112)),NOT(ISNUMBER('Price History'!K111)),'Price History'!K111=0),"",'Price History'!K112/'Price History'!K111-1),"")</f>
        <v>0.00032837127845875</v>
      </c>
      <c r="L111" s="143" t="n">
        <f aca="false">IFERROR(IF(OR(NOT(ISNUMBER('Price History'!L112)),NOT(ISNUMBER('Price History'!L111)),'Price History'!L111=0),"",'Price History'!L112/'Price History'!L111-1),"")</f>
        <v>0.115541543026706</v>
      </c>
      <c r="M111" s="143" t="n">
        <f aca="false">IFERROR(IF(OR(NOT(ISNUMBER('Price History'!M112)),NOT(ISNUMBER('Price History'!M111)),'Price History'!M111=0),"",'Price History'!M112/'Price History'!M111-1),"")</f>
        <v>0.0154468764249887</v>
      </c>
      <c r="N111" s="143" t="n">
        <f aca="false">IFERROR(IF(OR(NOT(ISNUMBER('Price History'!N112)),NOT(ISNUMBER('Price History'!N111)),'Price History'!N111=0),"",'Price History'!N112/'Price History'!N111-1),"")</f>
        <v>0.00936037441497661</v>
      </c>
      <c r="O111" s="143" t="n">
        <f aca="false">IFERROR(IF(OR(NOT(ISNUMBER('Price History'!O112)),NOT(ISNUMBER('Price History'!O111)),'Price History'!O111=0),"",'Price History'!O112/'Price History'!O111-1),"")</f>
        <v>0.0161688366947492</v>
      </c>
      <c r="P111" s="143" t="n">
        <f aca="false">IFERROR(IF(OR(NOT(ISNUMBER('Price History'!P112)),NOT(ISNUMBER('Price History'!P111)),'Price History'!P111=0),"",'Price History'!P112/'Price History'!P111-1),"")</f>
        <v>0.0513826875990204</v>
      </c>
      <c r="Q111" s="143" t="n">
        <f aca="false">IFERROR(IF(OR(NOT(ISNUMBER('Price History'!Q112)),NOT(ISNUMBER('Price History'!Q111)),'Price History'!Q111=0),"",'Price History'!Q112/'Price History'!Q111-1),"")</f>
        <v>-0.00510383667722636</v>
      </c>
      <c r="R111" s="143" t="n">
        <f aca="false">IFERROR(IF(OR(NOT(ISNUMBER('Price History'!R112)),NOT(ISNUMBER('Price History'!R111)),'Price History'!R111=0),"",'Price History'!R112/'Price History'!R111-1),"")</f>
        <v>0.0136249551810685</v>
      </c>
      <c r="S111" s="143" t="n">
        <f aca="false">IFERROR(IF(OR(NOT(ISNUMBER('Price History'!S112)),NOT(ISNUMBER('Price History'!S111)),'Price History'!S111=0),"",'Price History'!S112/'Price History'!S111-1),"")</f>
        <v>0.0293037163605296</v>
      </c>
      <c r="T111" s="143" t="n">
        <f aca="false">IFERROR(IF(OR(NOT(ISNUMBER('Price History'!T112)),NOT(ISNUMBER('Price History'!T111)),'Price History'!T111=0),"",'Price History'!T112/'Price History'!T111-1),"")</f>
        <v>-0.00292475405477266</v>
      </c>
      <c r="U111" s="143" t="str">
        <f aca="false">IFERROR(IF(OR(NOT(ISNUMBER('Price History'!U112)),NOT(ISNUMBER('Price History'!U111)),'Price History'!U111=0),"",'Price History'!U112/'Price History'!U111-1),"")</f>
        <v/>
      </c>
      <c r="V111" s="144" t="n">
        <f aca="false">IFERROR(IF(OR(NOT(ISNUMBER('Price History'!V112)),NOT(ISNUMBER('Price History'!V111)),'Price History'!V111=0),"",'Price History'!V112/'Price History'!V111-1),"")</f>
        <v>-0.0110425844346549</v>
      </c>
      <c r="W111" s="145" t="str">
        <f aca="false">IFERROR('Price History'!B3+(INDEX('Price History'!B:B,MATCH(9.99E+307,'Price History'!$A:$A))-'Price History'!B3)*(ROW()-3)/(MATCH(9.99E+307,'Returns (Calc)'!$A:$A)-3),"")</f>
        <v/>
      </c>
      <c r="X111" s="145" t="n">
        <f aca="false">IFERROR('Price History'!C3+(INDEX('Price History'!C:C,MATCH(9.99E+307,'Price History'!$A:$A))-'Price History'!C3)*(ROW()-3)/(MATCH(9.99E+307,'Returns (Calc)'!$A:$A)-3),"")</f>
        <v>14.8124528301887</v>
      </c>
      <c r="Y111" s="145" t="n">
        <f aca="false">IFERROR('Price History'!D3+(INDEX('Price History'!D:D,MATCH(9.99E+307,'Price History'!$A:$A))-'Price History'!D3)*(ROW()-3)/(MATCH(9.99E+307,'Returns (Calc)'!$A:$A)-3),"")</f>
        <v>186.682452830189</v>
      </c>
      <c r="Z111" s="145" t="n">
        <f aca="false">IFERROR('Price History'!E3+(INDEX('Price History'!E:E,MATCH(9.99E+307,'Price History'!$A:$A))-'Price History'!E3)*(ROW()-3)/(MATCH(9.99E+307,'Returns (Calc)'!$A:$A)-3),"")</f>
        <v>26.3018867924528</v>
      </c>
      <c r="AA111" s="145" t="n">
        <f aca="false">IFERROR('Price History'!F3+(INDEX('Price History'!F:F,MATCH(9.99E+307,'Price History'!$A:$A))-'Price History'!F3)*(ROW()-3)/(MATCH(9.99E+307,'Returns (Calc)'!$A:$A)-3),"")</f>
        <v>24.1560377358491</v>
      </c>
      <c r="AB111" s="145" t="n">
        <f aca="false">IFERROR('Price History'!G3+(INDEX('Price History'!G:G,MATCH(9.99E+307,'Price History'!$A:$A))-'Price History'!G3)*(ROW()-3)/(MATCH(9.99E+307,'Returns (Calc)'!$A:$A)-3),"")</f>
        <v>13.2664150943396</v>
      </c>
      <c r="AC111" s="145" t="n">
        <f aca="false">IFERROR('Price History'!H3+(INDEX('Price History'!H:H,MATCH(9.99E+307,'Price History'!$A:$A))-'Price History'!H3)*(ROW()-3)/(MATCH(9.99E+307,'Returns (Calc)'!$A:$A)-3),"")</f>
        <v>32.2647169811321</v>
      </c>
      <c r="AD111" s="145" t="n">
        <f aca="false">IFERROR('Price History'!I3+(INDEX('Price History'!I:I,MATCH(9.99E+307,'Price History'!$A:$A))-'Price History'!I3)*(ROW()-3)/(MATCH(9.99E+307,'Returns (Calc)'!$A:$A)-3),"")</f>
        <v>14.2254716981132</v>
      </c>
      <c r="AE111" s="145" t="n">
        <f aca="false">IFERROR('Price History'!J3+(INDEX('Price History'!J:J,MATCH(9.99E+307,'Price History'!$A:$A))-'Price History'!J3)*(ROW()-3)/(MATCH(9.99E+307,'Returns (Calc)'!$A:$A)-3),"")</f>
        <v>22.167358490566</v>
      </c>
      <c r="AF111" s="145" t="n">
        <f aca="false">IFERROR('Price History'!K3+(INDEX('Price History'!K:K,MATCH(9.99E+307,'Price History'!$A:$A))-'Price History'!K3)*(ROW()-3)/(MATCH(9.99E+307,'Returns (Calc)'!$A:$A)-3),"")</f>
        <v>14.0394339622641</v>
      </c>
      <c r="AG111" s="145" t="n">
        <f aca="false">IFERROR('Price History'!L3+(INDEX('Price History'!L:L,MATCH(9.99E+307,'Price History'!$A:$A))-'Price History'!L3)*(ROW()-3)/(MATCH(9.99E+307,'Returns (Calc)'!$A:$A)-3),"")</f>
        <v>35.8732075471698</v>
      </c>
      <c r="AH111" s="145" t="n">
        <f aca="false">IFERROR('Price History'!M3+(INDEX('Price History'!M:M,MATCH(9.99E+307,'Price History'!$A:$A))-'Price History'!M3)*(ROW()-3)/(MATCH(9.99E+307,'Returns (Calc)'!$A:$A)-3),"")</f>
        <v>4.91716981132075</v>
      </c>
      <c r="AI111" s="145" t="n">
        <f aca="false">IFERROR('Price History'!N3+(INDEX('Price History'!N:N,MATCH(9.99E+307,'Price History'!$A:$A))-'Price History'!N3)*(ROW()-3)/(MATCH(9.99E+307,'Returns (Calc)'!$A:$A)-3),"")</f>
        <v>6.99245283018868</v>
      </c>
      <c r="AJ111" s="145" t="n">
        <f aca="false">IFERROR('Price History'!O3+(INDEX('Price History'!O:O,MATCH(9.99E+307,'Price History'!$A:$A))-'Price History'!O3)*(ROW()-3)/(MATCH(9.99E+307,'Returns (Calc)'!$A:$A)-3),"")</f>
        <v>18.4850943396226</v>
      </c>
      <c r="AK111" s="145" t="n">
        <f aca="false">IFERROR('Price History'!Q3+(INDEX('Price History'!Q:Q,MATCH(9.99E+307,'Price History'!$A:$A))-'Price History'!Q3)*(ROW()-3)/(MATCH(9.99E+307,'Returns (Calc)'!$A:$A)-3),"")</f>
        <v>75.5794339622642</v>
      </c>
      <c r="AL111" s="145" t="n">
        <f aca="false">IFERROR('Price History'!R3+(INDEX('Price History'!R:R,MATCH(9.99E+307,'Price History'!$A:$A))-'Price History'!R3)*(ROW()-3)/(MATCH(9.99E+307,'Returns (Calc)'!$A:$A)-3),"")</f>
        <v>15.3384905660377</v>
      </c>
      <c r="AM111" s="145" t="n">
        <f aca="false">IFERROR('Price History'!S3+(INDEX('Price History'!S:S,MATCH(9.99E+307,'Price History'!$A:$A))-'Price History'!S3)*(ROW()-3)/(MATCH(9.99E+307,'Returns (Calc)'!$A:$A)-3),"")</f>
        <v>18.7769811320755</v>
      </c>
      <c r="AN111" s="145" t="n">
        <f aca="false">IFERROR('Price History'!T3+(INDEX('Price History'!T:T,MATCH(9.99E+307,'Price History'!$A:$A))-'Price History'!T3)*(ROW()-3)/(MATCH(9.99E+307,'Returns (Calc)'!$A:$A)-3),"")</f>
        <v>8.63150943396227</v>
      </c>
      <c r="AO111" s="146" t="n">
        <f aca="false">IFERROR('Price History'!V3+(INDEX('Price History'!V:V,MATCH(9.99E+307,'Price History'!$A:$A))-'Price History'!V3)*(ROW()-3)/(MATCH(9.99E+307,'Returns (Calc)'!$A:$A)-3),"")</f>
        <v>0</v>
      </c>
    </row>
    <row r="112" customFormat="false" ht="15" hidden="false" customHeight="true" outlineLevel="0" collapsed="false">
      <c r="A112" s="142" t="n">
        <f aca="false">IF('Price History'!A113="","",'Price History'!A113)</f>
        <v>45954</v>
      </c>
      <c r="B112" s="143" t="n">
        <f aca="false">IFERROR(IF(OR(NOT(ISNUMBER('Price History'!B113)),NOT(ISNUMBER('Price History'!B112)),'Price History'!B112=0),"",'Price History'!B113/'Price History'!B112-1),"")</f>
        <v>0.0607933745423992</v>
      </c>
      <c r="C112" s="143" t="n">
        <f aca="false">IFERROR(IF(OR(NOT(ISNUMBER('Price History'!C113)),NOT(ISNUMBER('Price History'!C112)),'Price History'!C112=0),"",'Price History'!C113/'Price History'!C112-1),"")</f>
        <v>0.0749126484975542</v>
      </c>
      <c r="D112" s="143" t="n">
        <f aca="false">IFERROR(IF(OR(NOT(ISNUMBER('Price History'!D113)),NOT(ISNUMBER('Price History'!D112)),'Price History'!D112=0),"",'Price History'!D113/'Price History'!D112-1),"")</f>
        <v>0.00372605204737253</v>
      </c>
      <c r="E112" s="143" t="n">
        <f aca="false">IFERROR(IF(OR(NOT(ISNUMBER('Price History'!E113)),NOT(ISNUMBER('Price History'!E112)),'Price History'!E112=0),"",'Price History'!E113/'Price History'!E112-1),"")</f>
        <v>0.0137563085796684</v>
      </c>
      <c r="F112" s="143" t="n">
        <f aca="false">IFERROR(IF(OR(NOT(ISNUMBER('Price History'!F113)),NOT(ISNUMBER('Price History'!F112)),'Price History'!F112=0),"",'Price History'!F113/'Price History'!F112-1),"")</f>
        <v>0.0294393986846226</v>
      </c>
      <c r="G112" s="143" t="n">
        <f aca="false">IFERROR(IF(OR(NOT(ISNUMBER('Price History'!G113)),NOT(ISNUMBER('Price History'!G112)),'Price History'!G112=0),"",'Price History'!G113/'Price History'!G112-1),"")</f>
        <v>0.0880653681082868</v>
      </c>
      <c r="H112" s="143" t="n">
        <f aca="false">IFERROR(IF(OR(NOT(ISNUMBER('Price History'!H113)),NOT(ISNUMBER('Price History'!H112)),'Price History'!H112=0),"",'Price History'!H113/'Price History'!H112-1),"")</f>
        <v>0.0169904705621629</v>
      </c>
      <c r="I112" s="143" t="n">
        <f aca="false">IFERROR(IF(OR(NOT(ISNUMBER('Price History'!I113)),NOT(ISNUMBER('Price History'!I112)),'Price History'!I112=0),"",'Price History'!I113/'Price History'!I112-1),"")</f>
        <v>0.0688652675570094</v>
      </c>
      <c r="J112" s="143" t="n">
        <f aca="false">IFERROR(IF(OR(NOT(ISNUMBER('Price History'!J113)),NOT(ISNUMBER('Price History'!J112)),'Price History'!J112=0),"",'Price History'!J113/'Price History'!J112-1),"")</f>
        <v>0.082253437530913</v>
      </c>
      <c r="K112" s="143" t="n">
        <f aca="false">IFERROR(IF(OR(NOT(ISNUMBER('Price History'!K113)),NOT(ISNUMBER('Price History'!K112)),'Price History'!K112=0),"",'Price History'!K113/'Price History'!K112-1),"")</f>
        <v>0.0165773060509902</v>
      </c>
      <c r="L112" s="143" t="n">
        <f aca="false">IFERROR(IF(OR(NOT(ISNUMBER('Price History'!L113)),NOT(ISNUMBER('Price History'!L112)),'Price History'!L112=0),"",'Price History'!L113/'Price History'!L112-1),"")</f>
        <v>0.0189526184538653</v>
      </c>
      <c r="M112" s="143" t="n">
        <f aca="false">IFERROR(IF(OR(NOT(ISNUMBER('Price History'!M113)),NOT(ISNUMBER('Price History'!M112)),'Price History'!M112=0),"",'Price History'!M113/'Price History'!M112-1),"")</f>
        <v>0.0363738422677518</v>
      </c>
      <c r="N112" s="143" t="n">
        <f aca="false">IFERROR(IF(OR(NOT(ISNUMBER('Price History'!N113)),NOT(ISNUMBER('Price History'!N112)),'Price History'!N112=0),"",'Price History'!N113/'Price History'!N112-1),"")</f>
        <v>0.00888717156105101</v>
      </c>
      <c r="O112" s="143" t="n">
        <f aca="false">IFERROR(IF(OR(NOT(ISNUMBER('Price History'!O113)),NOT(ISNUMBER('Price History'!O112)),'Price History'!O112=0),"",'Price History'!O113/'Price History'!O112-1),"")</f>
        <v>0.0107193702369985</v>
      </c>
      <c r="P112" s="143" t="n">
        <f aca="false">IFERROR(IF(OR(NOT(ISNUMBER('Price History'!P113)),NOT(ISNUMBER('Price History'!P112)),'Price History'!P112=0),"",'Price History'!P113/'Price History'!P112-1),"")</f>
        <v>-0.000410972978526658</v>
      </c>
      <c r="Q112" s="143" t="n">
        <f aca="false">IFERROR(IF(OR(NOT(ISNUMBER('Price History'!Q113)),NOT(ISNUMBER('Price History'!Q112)),'Price History'!Q112=0),"",'Price History'!Q113/'Price History'!Q112-1),"")</f>
        <v>0.0160386815260334</v>
      </c>
      <c r="R112" s="143" t="n">
        <f aca="false">IFERROR(IF(OR(NOT(ISNUMBER('Price History'!R113)),NOT(ISNUMBER('Price History'!R112)),'Price History'!R112=0),"",'Price History'!R113/'Price History'!R112-1),"")</f>
        <v>0.0109656880084896</v>
      </c>
      <c r="S112" s="143" t="n">
        <f aca="false">IFERROR(IF(OR(NOT(ISNUMBER('Price History'!S113)),NOT(ISNUMBER('Price History'!S112)),'Price History'!S112=0),"",'Price History'!S113/'Price History'!S112-1),"")</f>
        <v>0.0120351925630811</v>
      </c>
      <c r="T112" s="143" t="n">
        <f aca="false">IFERROR(IF(OR(NOT(ISNUMBER('Price History'!T113)),NOT(ISNUMBER('Price History'!T112)),'Price History'!T112=0),"",'Price History'!T113/'Price History'!T112-1),"")</f>
        <v>-0.0013333333333333</v>
      </c>
      <c r="U112" s="143" t="str">
        <f aca="false">IFERROR(IF(OR(NOT(ISNUMBER('Price History'!U113)),NOT(ISNUMBER('Price History'!U112)),'Price History'!U112=0),"",'Price History'!U113/'Price History'!U112-1),"")</f>
        <v/>
      </c>
      <c r="V112" s="144" t="n">
        <f aca="false">IFERROR(IF(OR(NOT(ISNUMBER('Price History'!V113)),NOT(ISNUMBER('Price History'!V112)),'Price History'!V112=0),"",'Price History'!V113/'Price History'!V112-1),"")</f>
        <v>0.00641444437845218</v>
      </c>
      <c r="W112" s="145" t="str">
        <f aca="false">IFERROR('Price History'!B3+(INDEX('Price History'!B:B,MATCH(9.99E+307,'Price History'!$A:$A))-'Price History'!B3)*(ROW()-3)/(MATCH(9.99E+307,'Returns (Calc)'!$A:$A)-3),"")</f>
        <v/>
      </c>
      <c r="X112" s="145" t="n">
        <f aca="false">IFERROR('Price History'!C3+(INDEX('Price History'!C:C,MATCH(9.99E+307,'Price History'!$A:$A))-'Price History'!C3)*(ROW()-3)/(MATCH(9.99E+307,'Returns (Calc)'!$A:$A)-3),"")</f>
        <v>14.5220125786164</v>
      </c>
      <c r="Y112" s="145" t="n">
        <f aca="false">IFERROR('Price History'!D3+(INDEX('Price History'!D:D,MATCH(9.99E+307,'Price History'!$A:$A))-'Price History'!D3)*(ROW()-3)/(MATCH(9.99E+307,'Returns (Calc)'!$A:$A)-3),"")</f>
        <v>183.022012578616</v>
      </c>
      <c r="Z112" s="145" t="n">
        <f aca="false">IFERROR('Price History'!E3+(INDEX('Price History'!E:E,MATCH(9.99E+307,'Price History'!$A:$A))-'Price History'!E3)*(ROW()-3)/(MATCH(9.99E+307,'Returns (Calc)'!$A:$A)-3),"")</f>
        <v>25.7861635220126</v>
      </c>
      <c r="AA112" s="145" t="n">
        <f aca="false">IFERROR('Price History'!F3+(INDEX('Price History'!F:F,MATCH(9.99E+307,'Price History'!$A:$A))-'Price History'!F3)*(ROW()-3)/(MATCH(9.99E+307,'Returns (Calc)'!$A:$A)-3),"")</f>
        <v>23.6823899371069</v>
      </c>
      <c r="AB112" s="145" t="n">
        <f aca="false">IFERROR('Price History'!G3+(INDEX('Price History'!G:G,MATCH(9.99E+307,'Price History'!$A:$A))-'Price History'!G3)*(ROW()-3)/(MATCH(9.99E+307,'Returns (Calc)'!$A:$A)-3),"")</f>
        <v>13.0062893081761</v>
      </c>
      <c r="AC112" s="145" t="n">
        <f aca="false">IFERROR('Price History'!H3+(INDEX('Price History'!H:H,MATCH(9.99E+307,'Price History'!$A:$A))-'Price History'!H3)*(ROW()-3)/(MATCH(9.99E+307,'Returns (Calc)'!$A:$A)-3),"")</f>
        <v>31.6320754716981</v>
      </c>
      <c r="AD112" s="145" t="n">
        <f aca="false">IFERROR('Price History'!I3+(INDEX('Price History'!I:I,MATCH(9.99E+307,'Price History'!$A:$A))-'Price History'!I3)*(ROW()-3)/(MATCH(9.99E+307,'Returns (Calc)'!$A:$A)-3),"")</f>
        <v>13.9465408805031</v>
      </c>
      <c r="AE112" s="145" t="n">
        <f aca="false">IFERROR('Price History'!J3+(INDEX('Price History'!J:J,MATCH(9.99E+307,'Price History'!$A:$A))-'Price History'!J3)*(ROW()-3)/(MATCH(9.99E+307,'Returns (Calc)'!$A:$A)-3),"")</f>
        <v>21.7327044025157</v>
      </c>
      <c r="AF112" s="145" t="n">
        <f aca="false">IFERROR('Price History'!K3+(INDEX('Price History'!K:K,MATCH(9.99E+307,'Price History'!$A:$A))-'Price History'!K3)*(ROW()-3)/(MATCH(9.99E+307,'Returns (Calc)'!$A:$A)-3),"")</f>
        <v>13.7641509433962</v>
      </c>
      <c r="AG112" s="145" t="n">
        <f aca="false">IFERROR('Price History'!L3+(INDEX('Price History'!L:L,MATCH(9.99E+307,'Price History'!$A:$A))-'Price History'!L3)*(ROW()-3)/(MATCH(9.99E+307,'Returns (Calc)'!$A:$A)-3),"")</f>
        <v>35.1698113207547</v>
      </c>
      <c r="AH112" s="145" t="n">
        <f aca="false">IFERROR('Price History'!M3+(INDEX('Price History'!M:M,MATCH(9.99E+307,'Price History'!$A:$A))-'Price History'!M3)*(ROW()-3)/(MATCH(9.99E+307,'Returns (Calc)'!$A:$A)-3),"")</f>
        <v>4.82075471698113</v>
      </c>
      <c r="AI112" s="145" t="n">
        <f aca="false">IFERROR('Price History'!N3+(INDEX('Price History'!N:N,MATCH(9.99E+307,'Price History'!$A:$A))-'Price History'!N3)*(ROW()-3)/(MATCH(9.99E+307,'Returns (Calc)'!$A:$A)-3),"")</f>
        <v>6.85534591194969</v>
      </c>
      <c r="AJ112" s="145" t="n">
        <f aca="false">IFERROR('Price History'!O3+(INDEX('Price History'!O:O,MATCH(9.99E+307,'Price History'!$A:$A))-'Price History'!O3)*(ROW()-3)/(MATCH(9.99E+307,'Returns (Calc)'!$A:$A)-3),"")</f>
        <v>18.122641509434</v>
      </c>
      <c r="AK112" s="145" t="n">
        <f aca="false">IFERROR('Price History'!Q3+(INDEX('Price History'!Q:Q,MATCH(9.99E+307,'Price History'!$A:$A))-'Price History'!Q3)*(ROW()-3)/(MATCH(9.99E+307,'Returns (Calc)'!$A:$A)-3),"")</f>
        <v>74.0974842767296</v>
      </c>
      <c r="AL112" s="145" t="n">
        <f aca="false">IFERROR('Price History'!R3+(INDEX('Price History'!R:R,MATCH(9.99E+307,'Price History'!$A:$A))-'Price History'!R3)*(ROW()-3)/(MATCH(9.99E+307,'Returns (Calc)'!$A:$A)-3),"")</f>
        <v>15.0377358490566</v>
      </c>
      <c r="AM112" s="145" t="n">
        <f aca="false">IFERROR('Price History'!S3+(INDEX('Price History'!S:S,MATCH(9.99E+307,'Price History'!$A:$A))-'Price History'!S3)*(ROW()-3)/(MATCH(9.99E+307,'Returns (Calc)'!$A:$A)-3),"")</f>
        <v>18.4088050314465</v>
      </c>
      <c r="AN112" s="145" t="n">
        <f aca="false">IFERROR('Price History'!T3+(INDEX('Price History'!T:T,MATCH(9.99E+307,'Price History'!$A:$A))-'Price History'!T3)*(ROW()-3)/(MATCH(9.99E+307,'Returns (Calc)'!$A:$A)-3),"")</f>
        <v>8.4622641509434</v>
      </c>
      <c r="AO112" s="146" t="n">
        <f aca="false">IFERROR('Price History'!V3+(INDEX('Price History'!V:V,MATCH(9.99E+307,'Price History'!$A:$A))-'Price History'!V3)*(ROW()-3)/(MATCH(9.99E+307,'Returns (Calc)'!$A:$A)-3),"")</f>
        <v>0</v>
      </c>
    </row>
    <row r="113" customFormat="false" ht="15" hidden="false" customHeight="true" outlineLevel="0" collapsed="false">
      <c r="A113" s="142" t="n">
        <f aca="false">IF('Price History'!A114="","",'Price History'!A114)</f>
        <v>45961</v>
      </c>
      <c r="B113" s="143" t="n">
        <f aca="false">IFERROR(IF(OR(NOT(ISNUMBER('Price History'!B114)),NOT(ISNUMBER('Price History'!B113)),'Price History'!B113=0),"",'Price History'!B114/'Price History'!B113-1),"")</f>
        <v>-0.037367051369088</v>
      </c>
      <c r="C113" s="143" t="n">
        <f aca="false">IFERROR(IF(OR(NOT(ISNUMBER('Price History'!C114)),NOT(ISNUMBER('Price History'!C113)),'Price History'!C113=0),"",'Price History'!C114/'Price History'!C113-1),"")</f>
        <v>0.0251592770771032</v>
      </c>
      <c r="D113" s="143" t="n">
        <f aca="false">IFERROR(IF(OR(NOT(ISNUMBER('Price History'!D114)),NOT(ISNUMBER('Price History'!D113)),'Price History'!D113=0),"",'Price History'!D114/'Price History'!D113-1),"")</f>
        <v>0.0271157706023346</v>
      </c>
      <c r="E113" s="143" t="n">
        <f aca="false">IFERROR(IF(OR(NOT(ISNUMBER('Price History'!E114)),NOT(ISNUMBER('Price History'!E113)),'Price History'!E113=0),"",'Price History'!E114/'Price History'!E113-1),"")</f>
        <v>0.0437528447883477</v>
      </c>
      <c r="F113" s="143" t="n">
        <f aca="false">IFERROR(IF(OR(NOT(ISNUMBER('Price History'!F114)),NOT(ISNUMBER('Price History'!F113)),'Price History'!F113=0),"",'Price History'!F114/'Price History'!F113-1),"")</f>
        <v>-0.021194605009634</v>
      </c>
      <c r="G113" s="143" t="n">
        <f aca="false">IFERROR(IF(OR(NOT(ISNUMBER('Price History'!G114)),NOT(ISNUMBER('Price History'!G113)),'Price History'!G113=0),"",'Price History'!G114/'Price History'!G113-1),"")</f>
        <v>0.029735265114162</v>
      </c>
      <c r="H113" s="143" t="n">
        <f aca="false">IFERROR(IF(OR(NOT(ISNUMBER('Price History'!H114)),NOT(ISNUMBER('Price History'!H113)),'Price History'!H113=0),"",'Price History'!H114/'Price History'!H113-1),"")</f>
        <v>-0.0238250889808963</v>
      </c>
      <c r="I113" s="143" t="n">
        <f aca="false">IFERROR(IF(OR(NOT(ISNUMBER('Price History'!I114)),NOT(ISNUMBER('Price History'!I113)),'Price History'!I113=0),"",'Price History'!I114/'Price History'!I113-1),"")</f>
        <v>0.0219294517637059</v>
      </c>
      <c r="J113" s="143" t="n">
        <f aca="false">IFERROR(IF(OR(NOT(ISNUMBER('Price History'!J114)),NOT(ISNUMBER('Price History'!J113)),'Price History'!J113=0),"",'Price History'!J114/'Price History'!J113-1),"")</f>
        <v>0.0216626296787168</v>
      </c>
      <c r="K113" s="143" t="n">
        <f aca="false">IFERROR(IF(OR(NOT(ISNUMBER('Price History'!K114)),NOT(ISNUMBER('Price History'!K113)),'Price History'!K113=0),"",'Price History'!K114/'Price History'!K113-1),"")</f>
        <v>0.0871858349927344</v>
      </c>
      <c r="L113" s="143" t="n">
        <f aca="false">IFERROR(IF(OR(NOT(ISNUMBER('Price History'!L114)),NOT(ISNUMBER('Price History'!L113)),'Price History'!L113=0),"",'Price History'!L114/'Price History'!L113-1),"")</f>
        <v>-0.0185185185185185</v>
      </c>
      <c r="M113" s="143" t="n">
        <f aca="false">IFERROR(IF(OR(NOT(ISNUMBER('Price History'!M114)),NOT(ISNUMBER('Price History'!M113)),'Price History'!M113=0),"",'Price History'!M114/'Price History'!M113-1),"")</f>
        <v>0.0857932080376971</v>
      </c>
      <c r="N113" s="143" t="n">
        <f aca="false">IFERROR(IF(OR(NOT(ISNUMBER('Price History'!N114)),NOT(ISNUMBER('Price History'!N113)),'Price History'!N113=0),"",'Price History'!N114/'Price History'!N113-1),"")</f>
        <v>-0.0103408655687476</v>
      </c>
      <c r="O113" s="143" t="n">
        <f aca="false">IFERROR(IF(OR(NOT(ISNUMBER('Price History'!O114)),NOT(ISNUMBER('Price History'!O113)),'Price History'!O113=0),"",'Price History'!O114/'Price History'!O113-1),"")</f>
        <v>-8.28569061230855E-005</v>
      </c>
      <c r="P113" s="143" t="n">
        <f aca="false">IFERROR(IF(OR(NOT(ISNUMBER('Price History'!P114)),NOT(ISNUMBER('Price History'!P113)),'Price History'!P113=0),"",'Price History'!P114/'Price History'!P113-1),"")</f>
        <v>0.0185356494329667</v>
      </c>
      <c r="Q113" s="143" t="n">
        <f aca="false">IFERROR(IF(OR(NOT(ISNUMBER('Price History'!Q114)),NOT(ISNUMBER('Price History'!Q113)),'Price History'!Q113=0),"",'Price History'!Q114/'Price History'!Q113-1),"")</f>
        <v>-0.0190934942835587</v>
      </c>
      <c r="R113" s="143" t="n">
        <f aca="false">IFERROR(IF(OR(NOT(ISNUMBER('Price History'!R114)),NOT(ISNUMBER('Price History'!R113)),'Price History'!R113=0),"",'Price History'!R114/'Price History'!R113-1),"")</f>
        <v>0.00157452764170762</v>
      </c>
      <c r="S113" s="143" t="n">
        <f aca="false">IFERROR(IF(OR(NOT(ISNUMBER('Price History'!S114)),NOT(ISNUMBER('Price History'!S113)),'Price History'!S113=0),"",'Price History'!S114/'Price History'!S113-1),"")</f>
        <v>-0.0110719265152137</v>
      </c>
      <c r="T113" s="143" t="n">
        <f aca="false">IFERROR(IF(OR(NOT(ISNUMBER('Price History'!T114)),NOT(ISNUMBER('Price History'!T113)),'Price History'!T113=0),"",'Price History'!T114/'Price History'!T113-1),"")</f>
        <v>0.0077436582109478</v>
      </c>
      <c r="U113" s="143" t="str">
        <f aca="false">IFERROR(IF(OR(NOT(ISNUMBER('Price History'!U114)),NOT(ISNUMBER('Price History'!U113)),'Price History'!U113=0),"",'Price History'!U114/'Price History'!U113-1),"")</f>
        <v/>
      </c>
      <c r="V113" s="144" t="n">
        <f aca="false">IFERROR(IF(OR(NOT(ISNUMBER('Price History'!V114)),NOT(ISNUMBER('Price History'!V113)),'Price History'!V113=0),"",'Price History'!V114/'Price History'!V113-1),"")</f>
        <v>-0.0124225435231631</v>
      </c>
      <c r="W113" s="145" t="str">
        <f aca="false">IFERROR('Price History'!B3+(INDEX('Price History'!B:B,MATCH(9.99E+307,'Price History'!$A:$A))-'Price History'!B3)*(ROW()-3)/(MATCH(9.99E+307,'Returns (Calc)'!$A:$A)-3),"")</f>
        <v/>
      </c>
      <c r="X113" s="145" t="n">
        <f aca="false">IFERROR('Price History'!C3+(INDEX('Price History'!C:C,MATCH(9.99E+307,'Price History'!$A:$A))-'Price History'!C3)*(ROW()-3)/(MATCH(9.99E+307,'Returns (Calc)'!$A:$A)-3),"")</f>
        <v>14.231572327044</v>
      </c>
      <c r="Y113" s="145" t="n">
        <f aca="false">IFERROR('Price History'!D3+(INDEX('Price History'!D:D,MATCH(9.99E+307,'Price History'!$A:$A))-'Price History'!D3)*(ROW()-3)/(MATCH(9.99E+307,'Returns (Calc)'!$A:$A)-3),"")</f>
        <v>179.361572327044</v>
      </c>
      <c r="Z113" s="145" t="n">
        <f aca="false">IFERROR('Price History'!E3+(INDEX('Price History'!E:E,MATCH(9.99E+307,'Price History'!$A:$A))-'Price History'!E3)*(ROW()-3)/(MATCH(9.99E+307,'Returns (Calc)'!$A:$A)-3),"")</f>
        <v>25.2704402515723</v>
      </c>
      <c r="AA113" s="145" t="n">
        <f aca="false">IFERROR('Price History'!F3+(INDEX('Price History'!F:F,MATCH(9.99E+307,'Price History'!$A:$A))-'Price History'!F3)*(ROW()-3)/(MATCH(9.99E+307,'Returns (Calc)'!$A:$A)-3),"")</f>
        <v>23.2087421383648</v>
      </c>
      <c r="AB113" s="145" t="n">
        <f aca="false">IFERROR('Price History'!G3+(INDEX('Price History'!G:G,MATCH(9.99E+307,'Price History'!$A:$A))-'Price History'!G3)*(ROW()-3)/(MATCH(9.99E+307,'Returns (Calc)'!$A:$A)-3),"")</f>
        <v>12.7461635220126</v>
      </c>
      <c r="AC113" s="145" t="n">
        <f aca="false">IFERROR('Price History'!H3+(INDEX('Price History'!H:H,MATCH(9.99E+307,'Price History'!$A:$A))-'Price History'!H3)*(ROW()-3)/(MATCH(9.99E+307,'Returns (Calc)'!$A:$A)-3),"")</f>
        <v>30.9994339622642</v>
      </c>
      <c r="AD113" s="145" t="n">
        <f aca="false">IFERROR('Price History'!I3+(INDEX('Price History'!I:I,MATCH(9.99E+307,'Price History'!$A:$A))-'Price History'!I3)*(ROW()-3)/(MATCH(9.99E+307,'Returns (Calc)'!$A:$A)-3),"")</f>
        <v>13.6676100628931</v>
      </c>
      <c r="AE113" s="145" t="n">
        <f aca="false">IFERROR('Price History'!J3+(INDEX('Price History'!J:J,MATCH(9.99E+307,'Price History'!$A:$A))-'Price History'!J3)*(ROW()-3)/(MATCH(9.99E+307,'Returns (Calc)'!$A:$A)-3),"")</f>
        <v>21.2980503144654</v>
      </c>
      <c r="AF113" s="145" t="n">
        <f aca="false">IFERROR('Price History'!K3+(INDEX('Price History'!K:K,MATCH(9.99E+307,'Price History'!$A:$A))-'Price History'!K3)*(ROW()-3)/(MATCH(9.99E+307,'Returns (Calc)'!$A:$A)-3),"")</f>
        <v>13.4888679245283</v>
      </c>
      <c r="AG113" s="145" t="n">
        <f aca="false">IFERROR('Price History'!L3+(INDEX('Price History'!L:L,MATCH(9.99E+307,'Price History'!$A:$A))-'Price History'!L3)*(ROW()-3)/(MATCH(9.99E+307,'Returns (Calc)'!$A:$A)-3),"")</f>
        <v>34.4664150943396</v>
      </c>
      <c r="AH113" s="145" t="n">
        <f aca="false">IFERROR('Price History'!M3+(INDEX('Price History'!M:M,MATCH(9.99E+307,'Price History'!$A:$A))-'Price History'!M3)*(ROW()-3)/(MATCH(9.99E+307,'Returns (Calc)'!$A:$A)-3),"")</f>
        <v>4.72433962264151</v>
      </c>
      <c r="AI113" s="145" t="n">
        <f aca="false">IFERROR('Price History'!N3+(INDEX('Price History'!N:N,MATCH(9.99E+307,'Price History'!$A:$A))-'Price History'!N3)*(ROW()-3)/(MATCH(9.99E+307,'Returns (Calc)'!$A:$A)-3),"")</f>
        <v>6.71823899371069</v>
      </c>
      <c r="AJ113" s="145" t="n">
        <f aca="false">IFERROR('Price History'!O3+(INDEX('Price History'!O:O,MATCH(9.99E+307,'Price History'!$A:$A))-'Price History'!O3)*(ROW()-3)/(MATCH(9.99E+307,'Returns (Calc)'!$A:$A)-3),"")</f>
        <v>17.7601886792453</v>
      </c>
      <c r="AK113" s="145" t="n">
        <f aca="false">IFERROR('Price History'!Q3+(INDEX('Price History'!Q:Q,MATCH(9.99E+307,'Price History'!$A:$A))-'Price History'!Q3)*(ROW()-3)/(MATCH(9.99E+307,'Returns (Calc)'!$A:$A)-3),"")</f>
        <v>72.615534591195</v>
      </c>
      <c r="AL113" s="145" t="n">
        <f aca="false">IFERROR('Price History'!R3+(INDEX('Price History'!R:R,MATCH(9.99E+307,'Price History'!$A:$A))-'Price History'!R3)*(ROW()-3)/(MATCH(9.99E+307,'Returns (Calc)'!$A:$A)-3),"")</f>
        <v>14.7369811320755</v>
      </c>
      <c r="AM113" s="145" t="n">
        <f aca="false">IFERROR('Price History'!S3+(INDEX('Price History'!S:S,MATCH(9.99E+307,'Price History'!$A:$A))-'Price History'!S3)*(ROW()-3)/(MATCH(9.99E+307,'Returns (Calc)'!$A:$A)-3),"")</f>
        <v>18.0406289308176</v>
      </c>
      <c r="AN113" s="145" t="n">
        <f aca="false">IFERROR('Price History'!T3+(INDEX('Price History'!T:T,MATCH(9.99E+307,'Price History'!$A:$A))-'Price History'!T3)*(ROW()-3)/(MATCH(9.99E+307,'Returns (Calc)'!$A:$A)-3),"")</f>
        <v>8.29301886792453</v>
      </c>
      <c r="AO113" s="146" t="n">
        <f aca="false">IFERROR('Price History'!V3+(INDEX('Price History'!V:V,MATCH(9.99E+307,'Price History'!$A:$A))-'Price History'!V3)*(ROW()-3)/(MATCH(9.99E+307,'Returns (Calc)'!$A:$A)-3),"")</f>
        <v>0</v>
      </c>
    </row>
    <row r="114" customFormat="false" ht="15" hidden="false" customHeight="true" outlineLevel="0" collapsed="false">
      <c r="A114" s="142" t="n">
        <f aca="false">IF('Price History'!A115="","",'Price History'!A115)</f>
        <v>45968</v>
      </c>
      <c r="B114" s="143" t="n">
        <f aca="false">IFERROR(IF(OR(NOT(ISNUMBER('Price History'!B115)),NOT(ISNUMBER('Price History'!B114)),'Price History'!B114=0),"",'Price History'!B115/'Price History'!B114-1),"")</f>
        <v>-0.0392583232934678</v>
      </c>
      <c r="C114" s="143" t="n">
        <f aca="false">IFERROR(IF(OR(NOT(ISNUMBER('Price History'!C115)),NOT(ISNUMBER('Price History'!C114)),'Price History'!C114=0),"",'Price History'!C115/'Price History'!C114-1),"")</f>
        <v>-0.146109455260321</v>
      </c>
      <c r="D114" s="143" t="n">
        <f aca="false">IFERROR(IF(OR(NOT(ISNUMBER('Price History'!D115)),NOT(ISNUMBER('Price History'!D114)),'Price History'!D114=0),"",'Price History'!D115/'Price History'!D114-1),"")</f>
        <v>-0.0399081742034018</v>
      </c>
      <c r="E114" s="143" t="n">
        <f aca="false">IFERROR(IF(OR(NOT(ISNUMBER('Price History'!E115)),NOT(ISNUMBER('Price History'!E114)),'Price History'!E114=0),"",'Price History'!E115/'Price History'!E114-1),"")</f>
        <v>-0.0546470427909511</v>
      </c>
      <c r="F114" s="143" t="n">
        <f aca="false">IFERROR(IF(OR(NOT(ISNUMBER('Price History'!F115)),NOT(ISNUMBER('Price History'!F114)),'Price History'!F114=0),"",'Price History'!F115/'Price History'!F114-1),"")</f>
        <v>-0.000621632822213059</v>
      </c>
      <c r="G114" s="143" t="n">
        <f aca="false">IFERROR(IF(OR(NOT(ISNUMBER('Price History'!G115)),NOT(ISNUMBER('Price History'!G114)),'Price History'!G114=0),"",'Price History'!G115/'Price History'!G114-1),"")</f>
        <v>-0.00589318600368327</v>
      </c>
      <c r="H114" s="143" t="n">
        <f aca="false">IFERROR(IF(OR(NOT(ISNUMBER('Price History'!H115)),NOT(ISNUMBER('Price History'!H114)),'Price History'!H114=0),"",'Price History'!H115/'Price History'!H114-1),"")</f>
        <v>0.00744102983852968</v>
      </c>
      <c r="I114" s="143" t="n">
        <f aca="false">IFERROR(IF(OR(NOT(ISNUMBER('Price History'!I115)),NOT(ISNUMBER('Price History'!I114)),'Price History'!I114=0),"",'Price History'!I115/'Price History'!I114-1),"")</f>
        <v>-0.0127256092489395</v>
      </c>
      <c r="J114" s="143" t="n">
        <f aca="false">IFERROR(IF(OR(NOT(ISNUMBER('Price History'!J115)),NOT(ISNUMBER('Price History'!J114)),'Price History'!J114=0),"",'Price History'!J115/'Price History'!J114-1),"")</f>
        <v>0.0632520688883917</v>
      </c>
      <c r="K114" s="143" t="n">
        <f aca="false">IFERROR(IF(OR(NOT(ISNUMBER('Price History'!K115)),NOT(ISNUMBER('Price History'!K114)),'Price History'!K114=0),"",'Price History'!K115/'Price History'!K114-1),"")</f>
        <v>-0.0708380773229048</v>
      </c>
      <c r="L114" s="143" t="n">
        <f aca="false">IFERROR(IF(OR(NOT(ISNUMBER('Price History'!L115)),NOT(ISNUMBER('Price History'!L114)),'Price History'!L114=0),"",'Price History'!L115/'Price History'!L114-1),"")</f>
        <v>0.012218435707755</v>
      </c>
      <c r="M114" s="143" t="n">
        <f aca="false">IFERROR(IF(OR(NOT(ISNUMBER('Price History'!M115)),NOT(ISNUMBER('Price History'!M114)),'Price History'!M114=0),"",'Price History'!M115/'Price History'!M114-1),"")</f>
        <v>-0.112435775926573</v>
      </c>
      <c r="N114" s="143" t="n">
        <f aca="false">IFERROR(IF(OR(NOT(ISNUMBER('Price History'!N115)),NOT(ISNUMBER('Price History'!N114)),'Price History'!N114=0),"",'Price History'!N115/'Price History'!N114-1),"")</f>
        <v>-0.00116099071207432</v>
      </c>
      <c r="O114" s="143" t="n">
        <f aca="false">IFERROR(IF(OR(NOT(ISNUMBER('Price History'!O115)),NOT(ISNUMBER('Price History'!O114)),'Price History'!O114=0),"",'Price History'!O115/'Price History'!O114-1),"")</f>
        <v>-0.0260192243950945</v>
      </c>
      <c r="P114" s="143" t="n">
        <f aca="false">IFERROR(IF(OR(NOT(ISNUMBER('Price History'!P115)),NOT(ISNUMBER('Price History'!P114)),'Price History'!P114=0),"",'Price History'!P115/'Price History'!P114-1),"")</f>
        <v>-0.046353606027987</v>
      </c>
      <c r="Q114" s="143" t="n">
        <f aca="false">IFERROR(IF(OR(NOT(ISNUMBER('Price History'!Q115)),NOT(ISNUMBER('Price History'!Q114)),'Price History'!Q114=0),"",'Price History'!Q115/'Price History'!Q114-1),"")</f>
        <v>-0.0138740977399124</v>
      </c>
      <c r="R114" s="143" t="n">
        <f aca="false">IFERROR(IF(OR(NOT(ISNUMBER('Price History'!R115)),NOT(ISNUMBER('Price History'!R114)),'Price History'!R114=0),"",'Price History'!R115/'Price History'!R114-1),"")</f>
        <v>0.00052401746724895</v>
      </c>
      <c r="S114" s="143" t="n">
        <f aca="false">IFERROR(IF(OR(NOT(ISNUMBER('Price History'!S115)),NOT(ISNUMBER('Price History'!S114)),'Price History'!S114=0),"",'Price History'!S115/'Price History'!S114-1),"")</f>
        <v>-0.00406369215458613</v>
      </c>
      <c r="T114" s="143" t="n">
        <f aca="false">IFERROR(IF(OR(NOT(ISNUMBER('Price History'!T115)),NOT(ISNUMBER('Price History'!T114)),'Price History'!T114=0),"",'Price History'!T115/'Price History'!T114-1),"")</f>
        <v>0.00344462109167987</v>
      </c>
      <c r="U114" s="143" t="str">
        <f aca="false">IFERROR(IF(OR(NOT(ISNUMBER('Price History'!U115)),NOT(ISNUMBER('Price History'!U114)),'Price History'!U114=0),"",'Price History'!U115/'Price History'!U114-1),"")</f>
        <v/>
      </c>
      <c r="V114" s="144" t="n">
        <f aca="false">IFERROR(IF(OR(NOT(ISNUMBER('Price History'!V115)),NOT(ISNUMBER('Price History'!V114)),'Price History'!V114=0),"",'Price History'!V115/'Price History'!V114-1),"")</f>
        <v>0.0369595745316562</v>
      </c>
      <c r="W114" s="145" t="str">
        <f aca="false">IFERROR('Price History'!B3+(INDEX('Price History'!B:B,MATCH(9.99E+307,'Price History'!$A:$A))-'Price History'!B3)*(ROW()-3)/(MATCH(9.99E+307,'Returns (Calc)'!$A:$A)-3),"")</f>
        <v/>
      </c>
      <c r="X114" s="145" t="n">
        <f aca="false">IFERROR('Price History'!C3+(INDEX('Price History'!C:C,MATCH(9.99E+307,'Price History'!$A:$A))-'Price History'!C3)*(ROW()-3)/(MATCH(9.99E+307,'Returns (Calc)'!$A:$A)-3),"")</f>
        <v>13.9411320754717</v>
      </c>
      <c r="Y114" s="145" t="n">
        <f aca="false">IFERROR('Price History'!D3+(INDEX('Price History'!D:D,MATCH(9.99E+307,'Price History'!$A:$A))-'Price History'!D3)*(ROW()-3)/(MATCH(9.99E+307,'Returns (Calc)'!$A:$A)-3),"")</f>
        <v>175.701132075472</v>
      </c>
      <c r="Z114" s="145" t="n">
        <f aca="false">IFERROR('Price History'!E3+(INDEX('Price History'!E:E,MATCH(9.99E+307,'Price History'!$A:$A))-'Price History'!E3)*(ROW()-3)/(MATCH(9.99E+307,'Returns (Calc)'!$A:$A)-3),"")</f>
        <v>24.7547169811321</v>
      </c>
      <c r="AA114" s="145" t="n">
        <f aca="false">IFERROR('Price History'!F3+(INDEX('Price History'!F:F,MATCH(9.99E+307,'Price History'!$A:$A))-'Price History'!F3)*(ROW()-3)/(MATCH(9.99E+307,'Returns (Calc)'!$A:$A)-3),"")</f>
        <v>22.7350943396226</v>
      </c>
      <c r="AB114" s="145" t="n">
        <f aca="false">IFERROR('Price History'!G3+(INDEX('Price History'!G:G,MATCH(9.99E+307,'Price History'!$A:$A))-'Price History'!G3)*(ROW()-3)/(MATCH(9.99E+307,'Returns (Calc)'!$A:$A)-3),"")</f>
        <v>12.4860377358491</v>
      </c>
      <c r="AC114" s="145" t="n">
        <f aca="false">IFERROR('Price History'!H3+(INDEX('Price History'!H:H,MATCH(9.99E+307,'Price History'!$A:$A))-'Price History'!H3)*(ROW()-3)/(MATCH(9.99E+307,'Returns (Calc)'!$A:$A)-3),"")</f>
        <v>30.3667924528302</v>
      </c>
      <c r="AD114" s="145" t="n">
        <f aca="false">IFERROR('Price History'!I3+(INDEX('Price History'!I:I,MATCH(9.99E+307,'Price History'!$A:$A))-'Price History'!I3)*(ROW()-3)/(MATCH(9.99E+307,'Returns (Calc)'!$A:$A)-3),"")</f>
        <v>13.388679245283</v>
      </c>
      <c r="AE114" s="145" t="n">
        <f aca="false">IFERROR('Price History'!J3+(INDEX('Price History'!J:J,MATCH(9.99E+307,'Price History'!$A:$A))-'Price History'!J3)*(ROW()-3)/(MATCH(9.99E+307,'Returns (Calc)'!$A:$A)-3),"")</f>
        <v>20.8633962264151</v>
      </c>
      <c r="AF114" s="145" t="n">
        <f aca="false">IFERROR('Price History'!K3+(INDEX('Price History'!K:K,MATCH(9.99E+307,'Price History'!$A:$A))-'Price History'!K3)*(ROW()-3)/(MATCH(9.99E+307,'Returns (Calc)'!$A:$A)-3),"")</f>
        <v>13.2135849056604</v>
      </c>
      <c r="AG114" s="145" t="n">
        <f aca="false">IFERROR('Price History'!L3+(INDEX('Price History'!L:L,MATCH(9.99E+307,'Price History'!$A:$A))-'Price History'!L3)*(ROW()-3)/(MATCH(9.99E+307,'Returns (Calc)'!$A:$A)-3),"")</f>
        <v>33.7630188679245</v>
      </c>
      <c r="AH114" s="145" t="n">
        <f aca="false">IFERROR('Price History'!M3+(INDEX('Price History'!M:M,MATCH(9.99E+307,'Price History'!$A:$A))-'Price History'!M3)*(ROW()-3)/(MATCH(9.99E+307,'Returns (Calc)'!$A:$A)-3),"")</f>
        <v>4.62792452830189</v>
      </c>
      <c r="AI114" s="145" t="n">
        <f aca="false">IFERROR('Price History'!N3+(INDEX('Price History'!N:N,MATCH(9.99E+307,'Price History'!$A:$A))-'Price History'!N3)*(ROW()-3)/(MATCH(9.99E+307,'Returns (Calc)'!$A:$A)-3),"")</f>
        <v>6.5811320754717</v>
      </c>
      <c r="AJ114" s="145" t="n">
        <f aca="false">IFERROR('Price History'!O3+(INDEX('Price History'!O:O,MATCH(9.99E+307,'Price History'!$A:$A))-'Price History'!O3)*(ROW()-3)/(MATCH(9.99E+307,'Returns (Calc)'!$A:$A)-3),"")</f>
        <v>17.3977358490566</v>
      </c>
      <c r="AK114" s="145" t="n">
        <f aca="false">IFERROR('Price History'!Q3+(INDEX('Price History'!Q:Q,MATCH(9.99E+307,'Price History'!$A:$A))-'Price History'!Q3)*(ROW()-3)/(MATCH(9.99E+307,'Returns (Calc)'!$A:$A)-3),"")</f>
        <v>71.1335849056604</v>
      </c>
      <c r="AL114" s="145" t="n">
        <f aca="false">IFERROR('Price History'!R3+(INDEX('Price History'!R:R,MATCH(9.99E+307,'Price History'!$A:$A))-'Price History'!R3)*(ROW()-3)/(MATCH(9.99E+307,'Returns (Calc)'!$A:$A)-3),"")</f>
        <v>14.4362264150943</v>
      </c>
      <c r="AM114" s="145" t="n">
        <f aca="false">IFERROR('Price History'!S3+(INDEX('Price History'!S:S,MATCH(9.99E+307,'Price History'!$A:$A))-'Price History'!S3)*(ROW()-3)/(MATCH(9.99E+307,'Returns (Calc)'!$A:$A)-3),"")</f>
        <v>17.6724528301887</v>
      </c>
      <c r="AN114" s="145" t="n">
        <f aca="false">IFERROR('Price History'!T3+(INDEX('Price History'!T:T,MATCH(9.99E+307,'Price History'!$A:$A))-'Price History'!T3)*(ROW()-3)/(MATCH(9.99E+307,'Returns (Calc)'!$A:$A)-3),"")</f>
        <v>8.12377358490566</v>
      </c>
      <c r="AO114" s="146" t="n">
        <f aca="false">IFERROR('Price History'!V3+(INDEX('Price History'!V:V,MATCH(9.99E+307,'Price History'!$A:$A))-'Price History'!V3)*(ROW()-3)/(MATCH(9.99E+307,'Returns (Calc)'!$A:$A)-3),"")</f>
        <v>0</v>
      </c>
    </row>
    <row r="115" customFormat="false" ht="15" hidden="false" customHeight="true" outlineLevel="0" collapsed="false">
      <c r="A115" s="142" t="n">
        <f aca="false">IF('Price History'!A116="","",'Price History'!A116)</f>
        <v>45975</v>
      </c>
      <c r="B115" s="143" t="n">
        <f aca="false">IFERROR(IF(OR(NOT(ISNUMBER('Price History'!B116)),NOT(ISNUMBER('Price History'!B115)),'Price History'!B115=0),"",'Price History'!B116/'Price History'!B115-1),"")</f>
        <v>0.0127236580516898</v>
      </c>
      <c r="C115" s="143" t="n">
        <f aca="false">IFERROR(IF(OR(NOT(ISNUMBER('Price History'!C116)),NOT(ISNUMBER('Price History'!C115)),'Price History'!C115=0),"",'Price History'!C116/'Price History'!C115-1),"")</f>
        <v>-0.024359450427033</v>
      </c>
      <c r="D115" s="143" t="n">
        <f aca="false">IFERROR(IF(OR(NOT(ISNUMBER('Price History'!D116)),NOT(ISNUMBER('Price History'!D115)),'Price History'!D115=0),"",'Price History'!D116/'Price History'!D115-1),"")</f>
        <v>-0.00981128347001292</v>
      </c>
      <c r="E115" s="143" t="n">
        <f aca="false">IFERROR(IF(OR(NOT(ISNUMBER('Price History'!E116)),NOT(ISNUMBER('Price History'!E115)),'Price History'!E115=0),"",'Price History'!E116/'Price History'!E115-1),"")</f>
        <v>-0.0199509874585556</v>
      </c>
      <c r="F115" s="143" t="n">
        <f aca="false">IFERROR(IF(OR(NOT(ISNUMBER('Price History'!F116)),NOT(ISNUMBER('Price History'!F115)),'Price History'!F115=0),"",'Price History'!F116/'Price History'!F115-1),"")</f>
        <v>-0.00145137880986934</v>
      </c>
      <c r="G115" s="143" t="n">
        <f aca="false">IFERROR(IF(OR(NOT(ISNUMBER('Price History'!G116)),NOT(ISNUMBER('Price History'!G115)),'Price History'!G115=0),"",'Price History'!G116/'Price History'!G115-1),"")</f>
        <v>-0.00414968506854396</v>
      </c>
      <c r="H115" s="143" t="n">
        <f aca="false">IFERROR(IF(OR(NOT(ISNUMBER('Price History'!H116)),NOT(ISNUMBER('Price History'!H115)),'Price History'!H115=0),"",'Price History'!H116/'Price History'!H115-1),"")</f>
        <v>0.00310214934633302</v>
      </c>
      <c r="I115" s="143" t="n">
        <f aca="false">IFERROR(IF(OR(NOT(ISNUMBER('Price History'!I116)),NOT(ISNUMBER('Price History'!I115)),'Price History'!I115=0),"",'Price History'!I116/'Price History'!I115-1),"")</f>
        <v>-0.0495366470092672</v>
      </c>
      <c r="J115" s="143" t="n">
        <f aca="false">IFERROR(IF(OR(NOT(ISNUMBER('Price History'!J116)),NOT(ISNUMBER('Price History'!J115)),'Price History'!J115=0),"",'Price History'!J116/'Price History'!J115-1),"")</f>
        <v>0.0374437292271446</v>
      </c>
      <c r="K115" s="143" t="n">
        <f aca="false">IFERROR(IF(OR(NOT(ISNUMBER('Price History'!K116)),NOT(ISNUMBER('Price History'!K115)),'Price History'!K115=0),"",'Price History'!K116/'Price History'!K115-1),"")</f>
        <v>0.0107618540223762</v>
      </c>
      <c r="L115" s="143" t="n">
        <f aca="false">IFERROR(IF(OR(NOT(ISNUMBER('Price History'!L116)),NOT(ISNUMBER('Price History'!L115)),'Price History'!L115=0),"",'Price History'!L116/'Price History'!L115-1),"")</f>
        <v>-0.0220890129742157</v>
      </c>
      <c r="M115" s="143" t="n">
        <f aca="false">IFERROR(IF(OR(NOT(ISNUMBER('Price History'!M116)),NOT(ISNUMBER('Price History'!M115)),'Price History'!M115=0),"",'Price History'!M116/'Price History'!M115-1),"")</f>
        <v>-0.0220311358399371</v>
      </c>
      <c r="N115" s="143" t="n">
        <f aca="false">IFERROR(IF(OR(NOT(ISNUMBER('Price History'!N116)),NOT(ISNUMBER('Price History'!N115)),'Price History'!N115=0),"",'Price History'!N116/'Price History'!N115-1),"")</f>
        <v>0.0197597830298335</v>
      </c>
      <c r="O115" s="143" t="n">
        <f aca="false">IFERROR(IF(OR(NOT(ISNUMBER('Price History'!O116)),NOT(ISNUMBER('Price History'!O115)),'Price History'!O115=0),"",'Price History'!O116/'Price History'!O115-1),"")</f>
        <v>-0.00595541943168287</v>
      </c>
      <c r="P115" s="143" t="n">
        <f aca="false">IFERROR(IF(OR(NOT(ISNUMBER('Price History'!P116)),NOT(ISNUMBER('Price History'!P115)),'Price History'!P115=0),"",'Price History'!P116/'Price History'!P115-1),"")</f>
        <v>-0.0058553791887126</v>
      </c>
      <c r="Q115" s="143" t="n">
        <f aca="false">IFERROR(IF(OR(NOT(ISNUMBER('Price History'!Q116)),NOT(ISNUMBER('Price History'!Q115)),'Price History'!Q115=0),"",'Price History'!Q116/'Price History'!Q115-1),"")</f>
        <v>-0.0158992050397481</v>
      </c>
      <c r="R115" s="143" t="n">
        <f aca="false">IFERROR(IF(OR(NOT(ISNUMBER('Price History'!R116)),NOT(ISNUMBER('Price History'!R115)),'Price History'!R115=0),"",'Price History'!R116/'Price History'!R115-1),"")</f>
        <v>-0.0165851955307264</v>
      </c>
      <c r="S115" s="143" t="n">
        <f aca="false">IFERROR(IF(OR(NOT(ISNUMBER('Price History'!S116)),NOT(ISNUMBER('Price History'!S115)),'Price History'!S115=0),"",'Price History'!S116/'Price History'!S115-1),"")</f>
        <v>-0.0132400699475393</v>
      </c>
      <c r="T115" s="143" t="n">
        <f aca="false">IFERROR(IF(OR(NOT(ISNUMBER('Price History'!T116)),NOT(ISNUMBER('Price History'!T115)),'Price History'!T115=0),"",'Price History'!T116/'Price History'!T115-1),"")</f>
        <v>-0.0340639028254555</v>
      </c>
      <c r="U115" s="143" t="str">
        <f aca="false">IFERROR(IF(OR(NOT(ISNUMBER('Price History'!U116)),NOT(ISNUMBER('Price History'!U115)),'Price History'!U115=0),"",'Price History'!U116/'Price History'!U115-1),"")</f>
        <v/>
      </c>
      <c r="V115" s="144" t="n">
        <f aca="false">IFERROR(IF(OR(NOT(ISNUMBER('Price History'!V116)),NOT(ISNUMBER('Price History'!V115)),'Price History'!V115=0),"",'Price History'!V116/'Price History'!V115-1),"")</f>
        <v>-0.0176914654526594</v>
      </c>
      <c r="W115" s="145" t="str">
        <f aca="false">IFERROR('Price History'!B3+(INDEX('Price History'!B:B,MATCH(9.99E+307,'Price History'!$A:$A))-'Price History'!B3)*(ROW()-3)/(MATCH(9.99E+307,'Returns (Calc)'!$A:$A)-3),"")</f>
        <v/>
      </c>
      <c r="X115" s="145" t="n">
        <f aca="false">IFERROR('Price History'!C3+(INDEX('Price History'!C:C,MATCH(9.99E+307,'Price History'!$A:$A))-'Price History'!C3)*(ROW()-3)/(MATCH(9.99E+307,'Returns (Calc)'!$A:$A)-3),"")</f>
        <v>13.6506918238994</v>
      </c>
      <c r="Y115" s="145" t="n">
        <f aca="false">IFERROR('Price History'!D3+(INDEX('Price History'!D:D,MATCH(9.99E+307,'Price History'!$A:$A))-'Price History'!D3)*(ROW()-3)/(MATCH(9.99E+307,'Returns (Calc)'!$A:$A)-3),"")</f>
        <v>172.040691823899</v>
      </c>
      <c r="Z115" s="145" t="n">
        <f aca="false">IFERROR('Price History'!E3+(INDEX('Price History'!E:E,MATCH(9.99E+307,'Price History'!$A:$A))-'Price History'!E3)*(ROW()-3)/(MATCH(9.99E+307,'Returns (Calc)'!$A:$A)-3),"")</f>
        <v>24.2389937106918</v>
      </c>
      <c r="AA115" s="145" t="n">
        <f aca="false">IFERROR('Price History'!F3+(INDEX('Price History'!F:F,MATCH(9.99E+307,'Price History'!$A:$A))-'Price History'!F3)*(ROW()-3)/(MATCH(9.99E+307,'Returns (Calc)'!$A:$A)-3),"")</f>
        <v>22.2614465408805</v>
      </c>
      <c r="AB115" s="145" t="n">
        <f aca="false">IFERROR('Price History'!G3+(INDEX('Price History'!G:G,MATCH(9.99E+307,'Price History'!$A:$A))-'Price History'!G3)*(ROW()-3)/(MATCH(9.99E+307,'Returns (Calc)'!$A:$A)-3),"")</f>
        <v>12.2259119496855</v>
      </c>
      <c r="AC115" s="145" t="n">
        <f aca="false">IFERROR('Price History'!H3+(INDEX('Price History'!H:H,MATCH(9.99E+307,'Price History'!$A:$A))-'Price History'!H3)*(ROW()-3)/(MATCH(9.99E+307,'Returns (Calc)'!$A:$A)-3),"")</f>
        <v>29.7341509433962</v>
      </c>
      <c r="AD115" s="145" t="n">
        <f aca="false">IFERROR('Price History'!I3+(INDEX('Price History'!I:I,MATCH(9.99E+307,'Price History'!$A:$A))-'Price History'!I3)*(ROW()-3)/(MATCH(9.99E+307,'Returns (Calc)'!$A:$A)-3),"")</f>
        <v>13.109748427673</v>
      </c>
      <c r="AE115" s="145" t="n">
        <f aca="false">IFERROR('Price History'!J3+(INDEX('Price History'!J:J,MATCH(9.99E+307,'Price History'!$A:$A))-'Price History'!J3)*(ROW()-3)/(MATCH(9.99E+307,'Returns (Calc)'!$A:$A)-3),"")</f>
        <v>20.4287421383648</v>
      </c>
      <c r="AF115" s="145" t="n">
        <f aca="false">IFERROR('Price History'!K3+(INDEX('Price History'!K:K,MATCH(9.99E+307,'Price History'!$A:$A))-'Price History'!K3)*(ROW()-3)/(MATCH(9.99E+307,'Returns (Calc)'!$A:$A)-3),"")</f>
        <v>12.9383018867925</v>
      </c>
      <c r="AG115" s="145" t="n">
        <f aca="false">IFERROR('Price History'!L3+(INDEX('Price History'!L:L,MATCH(9.99E+307,'Price History'!$A:$A))-'Price History'!L3)*(ROW()-3)/(MATCH(9.99E+307,'Returns (Calc)'!$A:$A)-3),"")</f>
        <v>33.0596226415094</v>
      </c>
      <c r="AH115" s="145" t="n">
        <f aca="false">IFERROR('Price History'!M3+(INDEX('Price History'!M:M,MATCH(9.99E+307,'Price History'!$A:$A))-'Price History'!M3)*(ROW()-3)/(MATCH(9.99E+307,'Returns (Calc)'!$A:$A)-3),"")</f>
        <v>4.53150943396226</v>
      </c>
      <c r="AI115" s="145" t="n">
        <f aca="false">IFERROR('Price History'!N3+(INDEX('Price History'!N:N,MATCH(9.99E+307,'Price History'!$A:$A))-'Price History'!N3)*(ROW()-3)/(MATCH(9.99E+307,'Returns (Calc)'!$A:$A)-3),"")</f>
        <v>6.44402515723271</v>
      </c>
      <c r="AJ115" s="145" t="n">
        <f aca="false">IFERROR('Price History'!O3+(INDEX('Price History'!O:O,MATCH(9.99E+307,'Price History'!$A:$A))-'Price History'!O3)*(ROW()-3)/(MATCH(9.99E+307,'Returns (Calc)'!$A:$A)-3),"")</f>
        <v>17.0352830188679</v>
      </c>
      <c r="AK115" s="145" t="n">
        <f aca="false">IFERROR('Price History'!Q3+(INDEX('Price History'!Q:Q,MATCH(9.99E+307,'Price History'!$A:$A))-'Price History'!Q3)*(ROW()-3)/(MATCH(9.99E+307,'Returns (Calc)'!$A:$A)-3),"")</f>
        <v>69.6516352201258</v>
      </c>
      <c r="AL115" s="145" t="n">
        <f aca="false">IFERROR('Price History'!R3+(INDEX('Price History'!R:R,MATCH(9.99E+307,'Price History'!$A:$A))-'Price History'!R3)*(ROW()-3)/(MATCH(9.99E+307,'Returns (Calc)'!$A:$A)-3),"")</f>
        <v>14.1354716981132</v>
      </c>
      <c r="AM115" s="145" t="n">
        <f aca="false">IFERROR('Price History'!S3+(INDEX('Price History'!S:S,MATCH(9.99E+307,'Price History'!$A:$A))-'Price History'!S3)*(ROW()-3)/(MATCH(9.99E+307,'Returns (Calc)'!$A:$A)-3),"")</f>
        <v>17.3042767295598</v>
      </c>
      <c r="AN115" s="145" t="n">
        <f aca="false">IFERROR('Price History'!T3+(INDEX('Price History'!T:T,MATCH(9.99E+307,'Price History'!$A:$A))-'Price History'!T3)*(ROW()-3)/(MATCH(9.99E+307,'Returns (Calc)'!$A:$A)-3),"")</f>
        <v>7.95452830188679</v>
      </c>
      <c r="AO115" s="146" t="n">
        <f aca="false">IFERROR('Price History'!V3+(INDEX('Price History'!V:V,MATCH(9.99E+307,'Price History'!$A:$A))-'Price History'!V3)*(ROW()-3)/(MATCH(9.99E+307,'Returns (Calc)'!$A:$A)-3),"")</f>
        <v>0</v>
      </c>
    </row>
    <row r="116" customFormat="false" ht="15" hidden="false" customHeight="true" outlineLevel="0" collapsed="false">
      <c r="A116" s="142" t="n">
        <f aca="false">IF('Price History'!A117="","",'Price History'!A117)</f>
        <v>45982</v>
      </c>
      <c r="B116" s="143" t="n">
        <f aca="false">IFERROR(IF(OR(NOT(ISNUMBER('Price History'!B117)),NOT(ISNUMBER('Price History'!B116)),'Price History'!B116=0),"",'Price History'!B117/'Price History'!B116-1),"")</f>
        <v>-0.0208993989912718</v>
      </c>
      <c r="C116" s="143" t="n">
        <f aca="false">IFERROR(IF(OR(NOT(ISNUMBER('Price History'!C117)),NOT(ISNUMBER('Price History'!C116)),'Price History'!C116=0),"",'Price History'!C117/'Price History'!C116-1),"")</f>
        <v>-0.106112506660577</v>
      </c>
      <c r="D116" s="143" t="n">
        <f aca="false">IFERROR(IF(OR(NOT(ISNUMBER('Price History'!D117)),NOT(ISNUMBER('Price History'!D116)),'Price History'!D116=0),"",'Price History'!D117/'Price History'!D116-1),"")</f>
        <v>-0.0401329115818673</v>
      </c>
      <c r="E116" s="143" t="n">
        <f aca="false">IFERROR(IF(OR(NOT(ISNUMBER('Price History'!E117)),NOT(ISNUMBER('Price History'!E116)),'Price History'!E116=0),"",'Price History'!E117/'Price History'!E116-1),"")</f>
        <v>-0.00658959197481834</v>
      </c>
      <c r="F116" s="143" t="n">
        <f aca="false">IFERROR(IF(OR(NOT(ISNUMBER('Price History'!F117)),NOT(ISNUMBER('Price History'!F116)),'Price History'!F116=0),"",'Price History'!F117/'Price History'!F116-1),"")</f>
        <v>-0.00778654485049835</v>
      </c>
      <c r="G116" s="143" t="n">
        <f aca="false">IFERROR(IF(OR(NOT(ISNUMBER('Price History'!G117)),NOT(ISNUMBER('Price History'!G116)),'Price History'!G116=0),"",'Price History'!G117/'Price History'!G116-1),"")</f>
        <v>-0.0872088697075675</v>
      </c>
      <c r="H116" s="143" t="n">
        <f aca="false">IFERROR(IF(OR(NOT(ISNUMBER('Price History'!H117)),NOT(ISNUMBER('Price History'!H116)),'Price History'!H116=0),"",'Price History'!H117/'Price History'!H116-1),"")</f>
        <v>-0.00493336278624557</v>
      </c>
      <c r="I116" s="143" t="n">
        <f aca="false">IFERROR(IF(OR(NOT(ISNUMBER('Price History'!I117)),NOT(ISNUMBER('Price History'!I116)),'Price History'!I116=0),"",'Price History'!I117/'Price History'!I116-1),"")</f>
        <v>-0.0311115050522957</v>
      </c>
      <c r="J116" s="143" t="n">
        <f aca="false">IFERROR(IF(OR(NOT(ISNUMBER('Price History'!J117)),NOT(ISNUMBER('Price History'!J116)),'Price History'!J116=0),"",'Price History'!J117/'Price History'!J116-1),"")</f>
        <v>-0.159860497181556</v>
      </c>
      <c r="K116" s="143" t="n">
        <f aca="false">IFERROR(IF(OR(NOT(ISNUMBER('Price History'!K117)),NOT(ISNUMBER('Price History'!K116)),'Price History'!K116=0),"",'Price History'!K117/'Price History'!K116-1),"")</f>
        <v>-0.0594033312249631</v>
      </c>
      <c r="L116" s="143" t="n">
        <f aca="false">IFERROR(IF(OR(NOT(ISNUMBER('Price History'!L117)),NOT(ISNUMBER('Price History'!L116)),'Price History'!L116=0),"",'Price History'!L117/'Price History'!L116-1),"")</f>
        <v>0.0240994206062641</v>
      </c>
      <c r="M116" s="143" t="n">
        <f aca="false">IFERROR(IF(OR(NOT(ISNUMBER('Price History'!M117)),NOT(ISNUMBER('Price History'!M116)),'Price History'!M116=0),"",'Price History'!M117/'Price History'!M116-1),"")</f>
        <v>-0.110108614447446</v>
      </c>
      <c r="N116" s="143" t="n">
        <f aca="false">IFERROR(IF(OR(NOT(ISNUMBER('Price History'!N117)),NOT(ISNUMBER('Price History'!N116)),'Price History'!N116=0),"",'Price History'!N117/'Price History'!N116-1),"")</f>
        <v>-0.00531914893617025</v>
      </c>
      <c r="O116" s="143" t="n">
        <f aca="false">IFERROR(IF(OR(NOT(ISNUMBER('Price History'!O117)),NOT(ISNUMBER('Price History'!O116)),'Price History'!O116=0),"",'Price History'!O117/'Price History'!O116-1),"")</f>
        <v>-0.029955494693598</v>
      </c>
      <c r="P116" s="143" t="n">
        <f aca="false">IFERROR(IF(OR(NOT(ISNUMBER('Price History'!P117)),NOT(ISNUMBER('Price History'!P116)),'Price History'!P116=0),"",'Price History'!P117/'Price History'!P116-1),"")</f>
        <v>-0.0342747658245812</v>
      </c>
      <c r="Q116" s="143" t="n">
        <f aca="false">IFERROR(IF(OR(NOT(ISNUMBER('Price History'!Q117)),NOT(ISNUMBER('Price History'!Q116)),'Price History'!Q116=0),"",'Price History'!Q117/'Price History'!Q116-1),"")</f>
        <v>-0.00618808108520053</v>
      </c>
      <c r="R116" s="143" t="n">
        <f aca="false">IFERROR(IF(OR(NOT(ISNUMBER('Price History'!R117)),NOT(ISNUMBER('Price History'!R116)),'Price History'!R116=0),"",'Price History'!R117/'Price History'!R116-1),"")</f>
        <v>0.0204154091958104</v>
      </c>
      <c r="S116" s="143" t="n">
        <f aca="false">IFERROR(IF(OR(NOT(ISNUMBER('Price History'!S117)),NOT(ISNUMBER('Price History'!S116)),'Price History'!S116=0),"",'Price History'!S117/'Price History'!S116-1),"")</f>
        <v>0.0162025316455696</v>
      </c>
      <c r="T116" s="143" t="n">
        <f aca="false">IFERROR(IF(OR(NOT(ISNUMBER('Price History'!T117)),NOT(ISNUMBER('Price History'!T116)),'Price History'!T116=0),"",'Price History'!T117/'Price History'!T116-1),"")</f>
        <v>0.0139420448332424</v>
      </c>
      <c r="U116" s="143" t="str">
        <f aca="false">IFERROR(IF(OR(NOT(ISNUMBER('Price History'!U117)),NOT(ISNUMBER('Price History'!U116)),'Price History'!U116=0),"",'Price History'!U117/'Price History'!U116-1),"")</f>
        <v/>
      </c>
      <c r="V116" s="144" t="n">
        <f aca="false">IFERROR(IF(OR(NOT(ISNUMBER('Price History'!V117)),NOT(ISNUMBER('Price History'!V116)),'Price History'!V116=0),"",'Price History'!V117/'Price History'!V116-1),"")</f>
        <v>-0.00510383667722636</v>
      </c>
      <c r="W116" s="145" t="str">
        <f aca="false">IFERROR('Price History'!B3+(INDEX('Price History'!B:B,MATCH(9.99E+307,'Price History'!$A:$A))-'Price History'!B3)*(ROW()-3)/(MATCH(9.99E+307,'Returns (Calc)'!$A:$A)-3),"")</f>
        <v/>
      </c>
      <c r="X116" s="145" t="n">
        <f aca="false">IFERROR('Price History'!C3+(INDEX('Price History'!C:C,MATCH(9.99E+307,'Price History'!$A:$A))-'Price History'!C3)*(ROW()-3)/(MATCH(9.99E+307,'Returns (Calc)'!$A:$A)-3),"")</f>
        <v>13.360251572327</v>
      </c>
      <c r="Y116" s="145" t="n">
        <f aca="false">IFERROR('Price History'!D3+(INDEX('Price History'!D:D,MATCH(9.99E+307,'Price History'!$A:$A))-'Price History'!D3)*(ROW()-3)/(MATCH(9.99E+307,'Returns (Calc)'!$A:$A)-3),"")</f>
        <v>168.380251572327</v>
      </c>
      <c r="Z116" s="145" t="n">
        <f aca="false">IFERROR('Price History'!E3+(INDEX('Price History'!E:E,MATCH(9.99E+307,'Price History'!$A:$A))-'Price History'!E3)*(ROW()-3)/(MATCH(9.99E+307,'Returns (Calc)'!$A:$A)-3),"")</f>
        <v>23.7232704402516</v>
      </c>
      <c r="AA116" s="145" t="n">
        <f aca="false">IFERROR('Price History'!F3+(INDEX('Price History'!F:F,MATCH(9.99E+307,'Price History'!$A:$A))-'Price History'!F3)*(ROW()-3)/(MATCH(9.99E+307,'Returns (Calc)'!$A:$A)-3),"")</f>
        <v>21.7877987421384</v>
      </c>
      <c r="AB116" s="145" t="n">
        <f aca="false">IFERROR('Price History'!G3+(INDEX('Price History'!G:G,MATCH(9.99E+307,'Price History'!$A:$A))-'Price History'!G3)*(ROW()-3)/(MATCH(9.99E+307,'Returns (Calc)'!$A:$A)-3),"")</f>
        <v>11.965786163522</v>
      </c>
      <c r="AC116" s="145" t="n">
        <f aca="false">IFERROR('Price History'!H3+(INDEX('Price History'!H:H,MATCH(9.99E+307,'Price History'!$A:$A))-'Price History'!H3)*(ROW()-3)/(MATCH(9.99E+307,'Returns (Calc)'!$A:$A)-3),"")</f>
        <v>29.1015094339623</v>
      </c>
      <c r="AD116" s="145" t="n">
        <f aca="false">IFERROR('Price History'!I3+(INDEX('Price History'!I:I,MATCH(9.99E+307,'Price History'!$A:$A))-'Price History'!I3)*(ROW()-3)/(MATCH(9.99E+307,'Returns (Calc)'!$A:$A)-3),"")</f>
        <v>12.8308176100629</v>
      </c>
      <c r="AE116" s="145" t="n">
        <f aca="false">IFERROR('Price History'!J3+(INDEX('Price History'!J:J,MATCH(9.99E+307,'Price History'!$A:$A))-'Price History'!J3)*(ROW()-3)/(MATCH(9.99E+307,'Returns (Calc)'!$A:$A)-3),"")</f>
        <v>19.9940880503145</v>
      </c>
      <c r="AF116" s="145" t="n">
        <f aca="false">IFERROR('Price History'!K3+(INDEX('Price History'!K:K,MATCH(9.99E+307,'Price History'!$A:$A))-'Price History'!K3)*(ROW()-3)/(MATCH(9.99E+307,'Returns (Calc)'!$A:$A)-3),"")</f>
        <v>12.6630188679245</v>
      </c>
      <c r="AG116" s="145" t="n">
        <f aca="false">IFERROR('Price History'!L3+(INDEX('Price History'!L:L,MATCH(9.99E+307,'Price History'!$A:$A))-'Price History'!L3)*(ROW()-3)/(MATCH(9.99E+307,'Returns (Calc)'!$A:$A)-3),"")</f>
        <v>32.3562264150943</v>
      </c>
      <c r="AH116" s="145" t="n">
        <f aca="false">IFERROR('Price History'!M3+(INDEX('Price History'!M:M,MATCH(9.99E+307,'Price History'!$A:$A))-'Price History'!M3)*(ROW()-3)/(MATCH(9.99E+307,'Returns (Calc)'!$A:$A)-3),"")</f>
        <v>4.43509433962264</v>
      </c>
      <c r="AI116" s="145" t="n">
        <f aca="false">IFERROR('Price History'!N3+(INDEX('Price History'!N:N,MATCH(9.99E+307,'Price History'!$A:$A))-'Price History'!N3)*(ROW()-3)/(MATCH(9.99E+307,'Returns (Calc)'!$A:$A)-3),"")</f>
        <v>6.30691823899371</v>
      </c>
      <c r="AJ116" s="145" t="n">
        <f aca="false">IFERROR('Price History'!O3+(INDEX('Price History'!O:O,MATCH(9.99E+307,'Price History'!$A:$A))-'Price History'!O3)*(ROW()-3)/(MATCH(9.99E+307,'Returns (Calc)'!$A:$A)-3),"")</f>
        <v>16.6728301886792</v>
      </c>
      <c r="AK116" s="145" t="n">
        <f aca="false">IFERROR('Price History'!Q3+(INDEX('Price History'!Q:Q,MATCH(9.99E+307,'Price History'!$A:$A))-'Price History'!Q3)*(ROW()-3)/(MATCH(9.99E+307,'Returns (Calc)'!$A:$A)-3),"")</f>
        <v>68.1696855345912</v>
      </c>
      <c r="AL116" s="145" t="n">
        <f aca="false">IFERROR('Price History'!R3+(INDEX('Price History'!R:R,MATCH(9.99E+307,'Price History'!$A:$A))-'Price History'!R3)*(ROW()-3)/(MATCH(9.99E+307,'Returns (Calc)'!$A:$A)-3),"")</f>
        <v>13.8347169811321</v>
      </c>
      <c r="AM116" s="145" t="n">
        <f aca="false">IFERROR('Price History'!S3+(INDEX('Price History'!S:S,MATCH(9.99E+307,'Price History'!$A:$A))-'Price History'!S3)*(ROW()-3)/(MATCH(9.99E+307,'Returns (Calc)'!$A:$A)-3),"")</f>
        <v>16.9361006289308</v>
      </c>
      <c r="AN116" s="145" t="n">
        <f aca="false">IFERROR('Price History'!T3+(INDEX('Price History'!T:T,MATCH(9.99E+307,'Price History'!$A:$A))-'Price History'!T3)*(ROW()-3)/(MATCH(9.99E+307,'Returns (Calc)'!$A:$A)-3),"")</f>
        <v>7.78528301886793</v>
      </c>
      <c r="AO116" s="146" t="n">
        <f aca="false">IFERROR('Price History'!V3+(INDEX('Price History'!V:V,MATCH(9.99E+307,'Price History'!$A:$A))-'Price History'!V3)*(ROW()-3)/(MATCH(9.99E+307,'Returns (Calc)'!$A:$A)-3),"")</f>
        <v>0</v>
      </c>
    </row>
    <row r="117" customFormat="false" ht="15" hidden="false" customHeight="true" outlineLevel="0" collapsed="false">
      <c r="A117" s="142" t="n">
        <f aca="false">IF('Price History'!A118="","",'Price History'!A118)</f>
        <v>45989</v>
      </c>
      <c r="B117" s="143" t="n">
        <f aca="false">IFERROR(IF(OR(NOT(ISNUMBER('Price History'!B118)),NOT(ISNUMBER('Price History'!B117)),'Price History'!B117=0),"",'Price History'!B118/'Price History'!B117-1),"")</f>
        <v>-0.0125235201579321</v>
      </c>
      <c r="C117" s="143" t="n">
        <f aca="false">IFERROR(IF(OR(NOT(ISNUMBER('Price History'!C118)),NOT(ISNUMBER('Price History'!C117)),'Price History'!C117=0),"",'Price History'!C118/'Price History'!C117-1),"")</f>
        <v>0.112833177211956</v>
      </c>
      <c r="D117" s="143" t="n">
        <f aca="false">IFERROR(IF(OR(NOT(ISNUMBER('Price History'!D118)),NOT(ISNUMBER('Price History'!D117)),'Price History'!D117=0),"",'Price History'!D118/'Price History'!D117-1),"")</f>
        <v>0.0966578304485681</v>
      </c>
      <c r="E117" s="143" t="n">
        <f aca="false">IFERROR(IF(OR(NOT(ISNUMBER('Price History'!E118)),NOT(ISNUMBER('Price History'!E117)),'Price History'!E117=0),"",'Price History'!E118/'Price History'!E117-1),"")</f>
        <v>0.184488732269241</v>
      </c>
      <c r="F117" s="143" t="n">
        <f aca="false">IFERROR(IF(OR(NOT(ISNUMBER('Price History'!F118)),NOT(ISNUMBER('Price History'!F117)),'Price History'!F117=0),"",'Price History'!F118/'Price History'!F117-1),"")</f>
        <v>0.0443653866276028</v>
      </c>
      <c r="G117" s="143" t="n">
        <f aca="false">IFERROR(IF(OR(NOT(ISNUMBER('Price History'!G118)),NOT(ISNUMBER('Price History'!G117)),'Price History'!G117=0),"",'Price History'!G118/'Price History'!G117-1),"")</f>
        <v>0.0376620200538029</v>
      </c>
      <c r="H117" s="143" t="n">
        <f aca="false">IFERROR(IF(OR(NOT(ISNUMBER('Price History'!H118)),NOT(ISNUMBER('Price History'!H117)),'Price History'!H117=0),"",'Price History'!H118/'Price History'!H117-1),"")</f>
        <v>0.0257510729613735</v>
      </c>
      <c r="I117" s="143" t="n">
        <f aca="false">IFERROR(IF(OR(NOT(ISNUMBER('Price History'!I118)),NOT(ISNUMBER('Price History'!I117)),'Price History'!I117=0),"",'Price History'!I118/'Price History'!I117-1),"")</f>
        <v>0.0713566919769462</v>
      </c>
      <c r="J117" s="143" t="n">
        <f aca="false">IFERROR(IF(OR(NOT(ISNUMBER('Price History'!J118)),NOT(ISNUMBER('Price History'!J117)),'Price History'!J117=0),"",'Price History'!J118/'Price History'!J117-1),"")</f>
        <v>0.140367813872665</v>
      </c>
      <c r="K117" s="143" t="n">
        <f aca="false">IFERROR(IF(OR(NOT(ISNUMBER('Price History'!K118)),NOT(ISNUMBER('Price History'!K117)),'Price History'!K117=0),"",'Price History'!K118/'Price History'!K117-1),"")</f>
        <v>-0.0104791258055477</v>
      </c>
      <c r="L117" s="143" t="n">
        <f aca="false">IFERROR(IF(OR(NOT(ISNUMBER('Price History'!L118)),NOT(ISNUMBER('Price History'!L117)),'Price History'!L117=0),"",'Price History'!L118/'Price History'!L117-1),"")</f>
        <v>0.0218104296490653</v>
      </c>
      <c r="M117" s="143" t="n">
        <f aca="false">IFERROR(IF(OR(NOT(ISNUMBER('Price History'!M118)),NOT(ISNUMBER('Price History'!M117)),'Price History'!M117=0),"",'Price History'!M118/'Price History'!M117-1),"")</f>
        <v>0.0878269292864062</v>
      </c>
      <c r="N117" s="143" t="n">
        <f aca="false">IFERROR(IF(OR(NOT(ISNUMBER('Price History'!N118)),NOT(ISNUMBER('Price History'!N117)),'Price History'!N117=0),"",'Price History'!N118/'Price History'!N117-1),"")</f>
        <v>0.0183346065699006</v>
      </c>
      <c r="O117" s="143" t="n">
        <f aca="false">IFERROR(IF(OR(NOT(ISNUMBER('Price History'!O118)),NOT(ISNUMBER('Price History'!O117)),'Price History'!O117=0),"",'Price History'!O118/'Price History'!O117-1),"")</f>
        <v>0.0509087700723487</v>
      </c>
      <c r="P117" s="143" t="n">
        <f aca="false">IFERROR(IF(OR(NOT(ISNUMBER('Price History'!P118)),NOT(ISNUMBER('Price History'!P117)),'Price History'!P117=0),"",'Price History'!P118/'Price History'!P117-1),"")</f>
        <v>0.059813358806672</v>
      </c>
      <c r="Q117" s="143" t="n">
        <f aca="false">IFERROR(IF(OR(NOT(ISNUMBER('Price History'!Q118)),NOT(ISNUMBER('Price History'!Q117)),'Price History'!Q117=0),"",'Price History'!Q118/'Price History'!Q117-1),"")</f>
        <v>0.0196920434329182</v>
      </c>
      <c r="R117" s="143" t="n">
        <f aca="false">IFERROR(IF(OR(NOT(ISNUMBER('Price History'!R118)),NOT(ISNUMBER('Price History'!R117)),'Price History'!R117=0),"",'Price History'!R118/'Price History'!R117-1),"")</f>
        <v>0.0186151704940849</v>
      </c>
      <c r="S117" s="143" t="n">
        <f aca="false">IFERROR(IF(OR(NOT(ISNUMBER('Price History'!S118)),NOT(ISNUMBER('Price History'!S117)),'Price History'!S117=0),"",'Price History'!S118/'Price History'!S117-1),"")</f>
        <v>0.0107125062282012</v>
      </c>
      <c r="T117" s="143" t="n">
        <f aca="false">IFERROR(IF(OR(NOT(ISNUMBER('Price History'!T118)),NOT(ISNUMBER('Price History'!T117)),'Price History'!T117=0),"",'Price History'!T118/'Price History'!T117-1),"")</f>
        <v>0.0261526017794553</v>
      </c>
      <c r="U117" s="143" t="str">
        <f aca="false">IFERROR(IF(OR(NOT(ISNUMBER('Price History'!U118)),NOT(ISNUMBER('Price History'!U117)),'Price History'!U117=0),"",'Price History'!U118/'Price History'!U117-1),"")</f>
        <v/>
      </c>
      <c r="V117" s="144" t="n">
        <f aca="false">IFERROR(IF(OR(NOT(ISNUMBER('Price History'!V118)),NOT(ISNUMBER('Price History'!V117)),'Price History'!V117=0),"",'Price History'!V118/'Price History'!V117-1),"")</f>
        <v>0.0160386815260334</v>
      </c>
      <c r="W117" s="145" t="str">
        <f aca="false">IFERROR('Price History'!B3+(INDEX('Price History'!B:B,MATCH(9.99E+307,'Price History'!$A:$A))-'Price History'!B3)*(ROW()-3)/(MATCH(9.99E+307,'Returns (Calc)'!$A:$A)-3),"")</f>
        <v/>
      </c>
      <c r="X117" s="145" t="n">
        <f aca="false">IFERROR('Price History'!C3+(INDEX('Price History'!C:C,MATCH(9.99E+307,'Price History'!$A:$A))-'Price History'!C3)*(ROW()-3)/(MATCH(9.99E+307,'Returns (Calc)'!$A:$A)-3),"")</f>
        <v>13.0698113207547</v>
      </c>
      <c r="Y117" s="145" t="n">
        <f aca="false">IFERROR('Price History'!D3+(INDEX('Price History'!D:D,MATCH(9.99E+307,'Price History'!$A:$A))-'Price History'!D3)*(ROW()-3)/(MATCH(9.99E+307,'Returns (Calc)'!$A:$A)-3),"")</f>
        <v>164.719811320755</v>
      </c>
      <c r="Z117" s="145" t="n">
        <f aca="false">IFERROR('Price History'!E3+(INDEX('Price History'!E:E,MATCH(9.99E+307,'Price History'!$A:$A))-'Price History'!E3)*(ROW()-3)/(MATCH(9.99E+307,'Returns (Calc)'!$A:$A)-3),"")</f>
        <v>23.2075471698113</v>
      </c>
      <c r="AA117" s="145" t="n">
        <f aca="false">IFERROR('Price History'!F3+(INDEX('Price History'!F:F,MATCH(9.99E+307,'Price History'!$A:$A))-'Price History'!F3)*(ROW()-3)/(MATCH(9.99E+307,'Returns (Calc)'!$A:$A)-3),"")</f>
        <v>21.3141509433962</v>
      </c>
      <c r="AB117" s="145" t="n">
        <f aca="false">IFERROR('Price History'!G3+(INDEX('Price History'!G:G,MATCH(9.99E+307,'Price History'!$A:$A))-'Price History'!G3)*(ROW()-3)/(MATCH(9.99E+307,'Returns (Calc)'!$A:$A)-3),"")</f>
        <v>11.7056603773585</v>
      </c>
      <c r="AC117" s="145" t="n">
        <f aca="false">IFERROR('Price History'!H3+(INDEX('Price History'!H:H,MATCH(9.99E+307,'Price History'!$A:$A))-'Price History'!H3)*(ROW()-3)/(MATCH(9.99E+307,'Returns (Calc)'!$A:$A)-3),"")</f>
        <v>28.4688679245283</v>
      </c>
      <c r="AD117" s="145" t="n">
        <f aca="false">IFERROR('Price History'!I3+(INDEX('Price History'!I:I,MATCH(9.99E+307,'Price History'!$A:$A))-'Price History'!I3)*(ROW()-3)/(MATCH(9.99E+307,'Returns (Calc)'!$A:$A)-3),"")</f>
        <v>12.5518867924528</v>
      </c>
      <c r="AE117" s="145" t="n">
        <f aca="false">IFERROR('Price History'!J3+(INDEX('Price History'!J:J,MATCH(9.99E+307,'Price History'!$A:$A))-'Price History'!J3)*(ROW()-3)/(MATCH(9.99E+307,'Returns (Calc)'!$A:$A)-3),"")</f>
        <v>19.5594339622642</v>
      </c>
      <c r="AF117" s="145" t="n">
        <f aca="false">IFERROR('Price History'!K3+(INDEX('Price History'!K:K,MATCH(9.99E+307,'Price History'!$A:$A))-'Price History'!K3)*(ROW()-3)/(MATCH(9.99E+307,'Returns (Calc)'!$A:$A)-3),"")</f>
        <v>12.3877358490566</v>
      </c>
      <c r="AG117" s="145" t="n">
        <f aca="false">IFERROR('Price History'!L3+(INDEX('Price History'!L:L,MATCH(9.99E+307,'Price History'!$A:$A))-'Price History'!L3)*(ROW()-3)/(MATCH(9.99E+307,'Returns (Calc)'!$A:$A)-3),"")</f>
        <v>31.6528301886792</v>
      </c>
      <c r="AH117" s="145" t="n">
        <f aca="false">IFERROR('Price History'!M3+(INDEX('Price History'!M:M,MATCH(9.99E+307,'Price History'!$A:$A))-'Price History'!M3)*(ROW()-3)/(MATCH(9.99E+307,'Returns (Calc)'!$A:$A)-3),"")</f>
        <v>4.33867924528302</v>
      </c>
      <c r="AI117" s="145" t="n">
        <f aca="false">IFERROR('Price History'!N3+(INDEX('Price History'!N:N,MATCH(9.99E+307,'Price History'!$A:$A))-'Price History'!N3)*(ROW()-3)/(MATCH(9.99E+307,'Returns (Calc)'!$A:$A)-3),"")</f>
        <v>6.16981132075472</v>
      </c>
      <c r="AJ117" s="145" t="n">
        <f aca="false">IFERROR('Price History'!O3+(INDEX('Price History'!O:O,MATCH(9.99E+307,'Price History'!$A:$A))-'Price History'!O3)*(ROW()-3)/(MATCH(9.99E+307,'Returns (Calc)'!$A:$A)-3),"")</f>
        <v>16.3103773584906</v>
      </c>
      <c r="AK117" s="145" t="n">
        <f aca="false">IFERROR('Price History'!Q3+(INDEX('Price History'!Q:Q,MATCH(9.99E+307,'Price History'!$A:$A))-'Price History'!Q3)*(ROW()-3)/(MATCH(9.99E+307,'Returns (Calc)'!$A:$A)-3),"")</f>
        <v>66.6877358490566</v>
      </c>
      <c r="AL117" s="145" t="n">
        <f aca="false">IFERROR('Price History'!R3+(INDEX('Price History'!R:R,MATCH(9.99E+307,'Price History'!$A:$A))-'Price History'!R3)*(ROW()-3)/(MATCH(9.99E+307,'Returns (Calc)'!$A:$A)-3),"")</f>
        <v>13.5339622641509</v>
      </c>
      <c r="AM117" s="145" t="n">
        <f aca="false">IFERROR('Price History'!S3+(INDEX('Price History'!S:S,MATCH(9.99E+307,'Price History'!$A:$A))-'Price History'!S3)*(ROW()-3)/(MATCH(9.99E+307,'Returns (Calc)'!$A:$A)-3),"")</f>
        <v>16.5679245283019</v>
      </c>
      <c r="AN117" s="145" t="n">
        <f aca="false">IFERROR('Price History'!T3+(INDEX('Price History'!T:T,MATCH(9.99E+307,'Price History'!$A:$A))-'Price History'!T3)*(ROW()-3)/(MATCH(9.99E+307,'Returns (Calc)'!$A:$A)-3),"")</f>
        <v>7.61603773584906</v>
      </c>
      <c r="AO117" s="146" t="n">
        <f aca="false">IFERROR('Price History'!V3+(INDEX('Price History'!V:V,MATCH(9.99E+307,'Price History'!$A:$A))-'Price History'!V3)*(ROW()-3)/(MATCH(9.99E+307,'Returns (Calc)'!$A:$A)-3),"")</f>
        <v>0</v>
      </c>
    </row>
    <row r="118" customFormat="false" ht="15" hidden="false" customHeight="true" outlineLevel="0" collapsed="false">
      <c r="A118" s="142" t="n">
        <f aca="false">IF('Price History'!A119="","",'Price History'!A119)</f>
        <v>45996</v>
      </c>
      <c r="B118" s="143" t="n">
        <f aca="false">IFERROR(IF(OR(NOT(ISNUMBER('Price History'!B119)),NOT(ISNUMBER('Price History'!B118)),'Price History'!B118=0),"",'Price History'!B119/'Price History'!B118-1),"")</f>
        <v>0.0816230906194357</v>
      </c>
      <c r="C118" s="143" t="n">
        <f aca="false">IFERROR(IF(OR(NOT(ISNUMBER('Price History'!C119)),NOT(ISNUMBER('Price History'!C118)),'Price History'!C118=0),"",'Price History'!C119/'Price History'!C118-1),"")</f>
        <v>-0.015993265993266</v>
      </c>
      <c r="D118" s="143" t="n">
        <f aca="false">IFERROR(IF(OR(NOT(ISNUMBER('Price History'!D119)),NOT(ISNUMBER('Price History'!D118)),'Price History'!D118=0),"",'Price History'!D119/'Price History'!D118-1),"")</f>
        <v>0.0372346980368365</v>
      </c>
      <c r="E118" s="143" t="n">
        <f aca="false">IFERROR(IF(OR(NOT(ISNUMBER('Price History'!E119)),NOT(ISNUMBER('Price History'!E118)),'Price History'!E118=0),"",'Price History'!E119/'Price History'!E118-1),"")</f>
        <v>-0.0315757893947348</v>
      </c>
      <c r="F118" s="143" t="n">
        <f aca="false">IFERROR(IF(OR(NOT(ISNUMBER('Price History'!F119)),NOT(ISNUMBER('Price History'!F118)),'Price History'!F118=0),"",'Price History'!F119/'Price History'!F118-1),"")</f>
        <v>0.0175333132952611</v>
      </c>
      <c r="G118" s="143" t="n">
        <f aca="false">IFERROR(IF(OR(NOT(ISNUMBER('Price History'!G119)),NOT(ISNUMBER('Price History'!G118)),'Price History'!G118=0),"",'Price History'!G119/'Price History'!G118-1),"")</f>
        <v>0.00565637520622198</v>
      </c>
      <c r="H118" s="143" t="n">
        <f aca="false">IFERROR(IF(OR(NOT(ISNUMBER('Price History'!H119)),NOT(ISNUMBER('Price History'!H118)),'Price History'!H118=0),"",'Price History'!H119/'Price History'!H118-1),"")</f>
        <v>-0.0119030442937528</v>
      </c>
      <c r="I118" s="143" t="n">
        <f aca="false">IFERROR(IF(OR(NOT(ISNUMBER('Price History'!I119)),NOT(ISNUMBER('Price History'!I118)),'Price History'!I118=0),"",'Price History'!I119/'Price History'!I118-1),"")</f>
        <v>0.0332166339339084</v>
      </c>
      <c r="J118" s="143" t="n">
        <f aca="false">IFERROR(IF(OR(NOT(ISNUMBER('Price History'!J119)),NOT(ISNUMBER('Price History'!J118)),'Price History'!J118=0),"",'Price History'!J119/'Price History'!J118-1),"")</f>
        <v>0.0031322751322751</v>
      </c>
      <c r="K118" s="143" t="n">
        <f aca="false">IFERROR(IF(OR(NOT(ISNUMBER('Price History'!K119)),NOT(ISNUMBER('Price History'!K118)),'Price History'!K118=0),"",'Price History'!K119/'Price History'!K118-1),"")</f>
        <v>0.0305810397553516</v>
      </c>
      <c r="L118" s="143" t="n">
        <f aca="false">IFERROR(IF(OR(NOT(ISNUMBER('Price History'!L119)),NOT(ISNUMBER('Price History'!L118)),'Price History'!L118=0),"",'Price History'!L119/'Price History'!L118-1),"")</f>
        <v>-0.00433317284545021</v>
      </c>
      <c r="M118" s="143" t="n">
        <f aca="false">IFERROR(IF(OR(NOT(ISNUMBER('Price History'!M119)),NOT(ISNUMBER('Price History'!M118)),'Price History'!M118=0),"",'Price History'!M119/'Price History'!M118-1),"")</f>
        <v>0.0790145443751855</v>
      </c>
      <c r="N118" s="143" t="n">
        <f aca="false">IFERROR(IF(OR(NOT(ISNUMBER('Price History'!N119)),NOT(ISNUMBER('Price History'!N118)),'Price History'!N118=0),"",'Price History'!N119/'Price History'!N118-1),"")</f>
        <v>0.00412603150787705</v>
      </c>
      <c r="O118" s="143" t="n">
        <f aca="false">IFERROR(IF(OR(NOT(ISNUMBER('Price History'!O119)),NOT(ISNUMBER('Price History'!O118)),'Price History'!O118=0),"",'Price History'!O119/'Price History'!O118-1),"")</f>
        <v>0.00612878851481824</v>
      </c>
      <c r="P118" s="143" t="n">
        <f aca="false">IFERROR(IF(OR(NOT(ISNUMBER('Price History'!P119)),NOT(ISNUMBER('Price History'!P118)),'Price History'!P118=0),"",'Price History'!P119/'Price History'!P118-1),"")</f>
        <v>0.0109893919434239</v>
      </c>
      <c r="Q118" s="143" t="n">
        <f aca="false">IFERROR(IF(OR(NOT(ISNUMBER('Price History'!Q119)),NOT(ISNUMBER('Price History'!Q118)),'Price History'!Q118=0),"",'Price History'!Q119/'Price History'!Q118-1),"")</f>
        <v>-0.00956563590422332</v>
      </c>
      <c r="R118" s="143" t="n">
        <f aca="false">IFERROR(IF(OR(NOT(ISNUMBER('Price History'!R119)),NOT(ISNUMBER('Price History'!R118)),'Price History'!R118=0),"",'Price History'!R119/'Price History'!R118-1),"")</f>
        <v>0.00939368061485912</v>
      </c>
      <c r="S118" s="143" t="n">
        <f aca="false">IFERROR(IF(OR(NOT(ISNUMBER('Price History'!S119)),NOT(ISNUMBER('Price History'!S118)),'Price History'!S118=0),"",'Price History'!S119/'Price History'!S118-1),"")</f>
        <v>-8.21625174594054E-005</v>
      </c>
      <c r="T118" s="143" t="n">
        <f aca="false">IFERROR(IF(OR(NOT(ISNUMBER('Price History'!T119)),NOT(ISNUMBER('Price History'!T118)),'Price History'!T118=0),"",'Price History'!T119/'Price History'!T118-1),"")</f>
        <v>-0.0063058328954283</v>
      </c>
      <c r="U118" s="143" t="str">
        <f aca="false">IFERROR(IF(OR(NOT(ISNUMBER('Price History'!U119)),NOT(ISNUMBER('Price History'!U118)),'Price History'!U118=0),"",'Price History'!U119/'Price History'!U118-1),"")</f>
        <v/>
      </c>
      <c r="V118" s="144" t="n">
        <f aca="false">IFERROR(IF(OR(NOT(ISNUMBER('Price History'!V119)),NOT(ISNUMBER('Price History'!V118)),'Price History'!V118=0),"",'Price History'!V119/'Price History'!V118-1),"")</f>
        <v>-0.0190934942835587</v>
      </c>
      <c r="W118" s="145" t="str">
        <f aca="false">IFERROR('Price History'!B3+(INDEX('Price History'!B:B,MATCH(9.99E+307,'Price History'!$A:$A))-'Price History'!B3)*(ROW()-3)/(MATCH(9.99E+307,'Returns (Calc)'!$A:$A)-3),"")</f>
        <v/>
      </c>
      <c r="X118" s="145" t="n">
        <f aca="false">IFERROR('Price History'!C3+(INDEX('Price History'!C:C,MATCH(9.99E+307,'Price History'!$A:$A))-'Price History'!C3)*(ROW()-3)/(MATCH(9.99E+307,'Returns (Calc)'!$A:$A)-3),"")</f>
        <v>12.7793710691824</v>
      </c>
      <c r="Y118" s="145" t="n">
        <f aca="false">IFERROR('Price History'!D3+(INDEX('Price History'!D:D,MATCH(9.99E+307,'Price History'!$A:$A))-'Price History'!D3)*(ROW()-3)/(MATCH(9.99E+307,'Returns (Calc)'!$A:$A)-3),"")</f>
        <v>161.059371069182</v>
      </c>
      <c r="Z118" s="145" t="n">
        <f aca="false">IFERROR('Price History'!E3+(INDEX('Price History'!E:E,MATCH(9.99E+307,'Price History'!$A:$A))-'Price History'!E3)*(ROW()-3)/(MATCH(9.99E+307,'Returns (Calc)'!$A:$A)-3),"")</f>
        <v>22.6918238993711</v>
      </c>
      <c r="AA118" s="145" t="n">
        <f aca="false">IFERROR('Price History'!F3+(INDEX('Price History'!F:F,MATCH(9.99E+307,'Price History'!$A:$A))-'Price History'!F3)*(ROW()-3)/(MATCH(9.99E+307,'Returns (Calc)'!$A:$A)-3),"")</f>
        <v>20.8405031446541</v>
      </c>
      <c r="AB118" s="145" t="n">
        <f aca="false">IFERROR('Price History'!G3+(INDEX('Price History'!G:G,MATCH(9.99E+307,'Price History'!$A:$A))-'Price History'!G3)*(ROW()-3)/(MATCH(9.99E+307,'Returns (Calc)'!$A:$A)-3),"")</f>
        <v>11.445534591195</v>
      </c>
      <c r="AC118" s="145" t="n">
        <f aca="false">IFERROR('Price History'!H3+(INDEX('Price History'!H:H,MATCH(9.99E+307,'Price History'!$A:$A))-'Price History'!H3)*(ROW()-3)/(MATCH(9.99E+307,'Returns (Calc)'!$A:$A)-3),"")</f>
        <v>27.8362264150943</v>
      </c>
      <c r="AD118" s="145" t="n">
        <f aca="false">IFERROR('Price History'!I3+(INDEX('Price History'!I:I,MATCH(9.99E+307,'Price History'!$A:$A))-'Price History'!I3)*(ROW()-3)/(MATCH(9.99E+307,'Returns (Calc)'!$A:$A)-3),"")</f>
        <v>12.2729559748428</v>
      </c>
      <c r="AE118" s="145" t="n">
        <f aca="false">IFERROR('Price History'!J3+(INDEX('Price History'!J:J,MATCH(9.99E+307,'Price History'!$A:$A))-'Price History'!J3)*(ROW()-3)/(MATCH(9.99E+307,'Returns (Calc)'!$A:$A)-3),"")</f>
        <v>19.1247798742138</v>
      </c>
      <c r="AF118" s="145" t="n">
        <f aca="false">IFERROR('Price History'!K3+(INDEX('Price History'!K:K,MATCH(9.99E+307,'Price History'!$A:$A))-'Price History'!K3)*(ROW()-3)/(MATCH(9.99E+307,'Returns (Calc)'!$A:$A)-3),"")</f>
        <v>12.1124528301887</v>
      </c>
      <c r="AG118" s="145" t="n">
        <f aca="false">IFERROR('Price History'!L3+(INDEX('Price History'!L:L,MATCH(9.99E+307,'Price History'!$A:$A))-'Price History'!L3)*(ROW()-3)/(MATCH(9.99E+307,'Returns (Calc)'!$A:$A)-3),"")</f>
        <v>30.9494339622642</v>
      </c>
      <c r="AH118" s="145" t="n">
        <f aca="false">IFERROR('Price History'!M3+(INDEX('Price History'!M:M,MATCH(9.99E+307,'Price History'!$A:$A))-'Price History'!M3)*(ROW()-3)/(MATCH(9.99E+307,'Returns (Calc)'!$A:$A)-3),"")</f>
        <v>4.2422641509434</v>
      </c>
      <c r="AI118" s="145" t="n">
        <f aca="false">IFERROR('Price History'!N3+(INDEX('Price History'!N:N,MATCH(9.99E+307,'Price History'!$A:$A))-'Price History'!N3)*(ROW()-3)/(MATCH(9.99E+307,'Returns (Calc)'!$A:$A)-3),"")</f>
        <v>6.03270440251573</v>
      </c>
      <c r="AJ118" s="145" t="n">
        <f aca="false">IFERROR('Price History'!O3+(INDEX('Price History'!O:O,MATCH(9.99E+307,'Price History'!$A:$A))-'Price History'!O3)*(ROW()-3)/(MATCH(9.99E+307,'Returns (Calc)'!$A:$A)-3),"")</f>
        <v>15.9479245283019</v>
      </c>
      <c r="AK118" s="145" t="n">
        <f aca="false">IFERROR('Price History'!Q3+(INDEX('Price History'!Q:Q,MATCH(9.99E+307,'Price History'!$A:$A))-'Price History'!Q3)*(ROW()-3)/(MATCH(9.99E+307,'Returns (Calc)'!$A:$A)-3),"")</f>
        <v>65.205786163522</v>
      </c>
      <c r="AL118" s="145" t="n">
        <f aca="false">IFERROR('Price History'!R3+(INDEX('Price History'!R:R,MATCH(9.99E+307,'Price History'!$A:$A))-'Price History'!R3)*(ROW()-3)/(MATCH(9.99E+307,'Returns (Calc)'!$A:$A)-3),"")</f>
        <v>13.2332075471698</v>
      </c>
      <c r="AM118" s="145" t="n">
        <f aca="false">IFERROR('Price History'!S3+(INDEX('Price History'!S:S,MATCH(9.99E+307,'Price History'!$A:$A))-'Price History'!S3)*(ROW()-3)/(MATCH(9.99E+307,'Returns (Calc)'!$A:$A)-3),"")</f>
        <v>16.199748427673</v>
      </c>
      <c r="AN118" s="145" t="n">
        <f aca="false">IFERROR('Price History'!T3+(INDEX('Price History'!T:T,MATCH(9.99E+307,'Price History'!$A:$A))-'Price History'!T3)*(ROW()-3)/(MATCH(9.99E+307,'Returns (Calc)'!$A:$A)-3),"")</f>
        <v>7.44679245283019</v>
      </c>
      <c r="AO118" s="146" t="n">
        <f aca="false">IFERROR('Price History'!V3+(INDEX('Price History'!V:V,MATCH(9.99E+307,'Price History'!$A:$A))-'Price History'!V3)*(ROW()-3)/(MATCH(9.99E+307,'Returns (Calc)'!$A:$A)-3),"")</f>
        <v>0</v>
      </c>
    </row>
    <row r="119" customFormat="false" ht="15" hidden="false" customHeight="true" outlineLevel="0" collapsed="false">
      <c r="A119" s="142" t="n">
        <f aca="false">IF('Price History'!A120="","",'Price History'!A120)</f>
        <v>46003</v>
      </c>
      <c r="B119" s="143" t="n">
        <f aca="false">IFERROR(IF(OR(NOT(ISNUMBER('Price History'!B120)),NOT(ISNUMBER('Price History'!B119)),'Price History'!B119=0),"",'Price History'!B120/'Price History'!B119-1),"")</f>
        <v>0.0293709928955122</v>
      </c>
      <c r="C119" s="143" t="n">
        <f aca="false">IFERROR(IF(OR(NOT(ISNUMBER('Price History'!C120)),NOT(ISNUMBER('Price History'!C119)),'Price History'!C119=0),"",'Price History'!C120/'Price History'!C119-1),"")</f>
        <v>-0.0297845866708142</v>
      </c>
      <c r="D119" s="143" t="n">
        <f aca="false">IFERROR(IF(OR(NOT(ISNUMBER('Price History'!D120)),NOT(ISNUMBER('Price History'!D119)),'Price History'!D119=0),"",'Price History'!D120/'Price History'!D119-1),"")</f>
        <v>-0.0169345920801308</v>
      </c>
      <c r="E119" s="143" t="n">
        <f aca="false">IFERROR(IF(OR(NOT(ISNUMBER('Price History'!E120)),NOT(ISNUMBER('Price History'!E119)),'Price History'!E119=0),"",'Price History'!E120/'Price History'!E119-1),"")</f>
        <v>-0.0776796778190831</v>
      </c>
      <c r="F119" s="143" t="n">
        <f aca="false">IFERROR(IF(OR(NOT(ISNUMBER('Price History'!F120)),NOT(ISNUMBER('Price History'!F119)),'Price History'!F119=0),"",'Price History'!F120/'Price History'!F119-1),"")</f>
        <v>0.0214651437573847</v>
      </c>
      <c r="G119" s="143" t="n">
        <f aca="false">IFERROR(IF(OR(NOT(ISNUMBER('Price History'!G120)),NOT(ISNUMBER('Price History'!G119)),'Price History'!G119=0),"",'Price History'!G120/'Price History'!G119-1),"")</f>
        <v>-0.0142176392469338</v>
      </c>
      <c r="H119" s="143" t="n">
        <f aca="false">IFERROR(IF(OR(NOT(ISNUMBER('Price History'!H120)),NOT(ISNUMBER('Price History'!H119)),'Price History'!H119=0),"",'Price History'!H120/'Price History'!H119-1),"")</f>
        <v>0.0162079287435204</v>
      </c>
      <c r="I119" s="143" t="n">
        <f aca="false">IFERROR(IF(OR(NOT(ISNUMBER('Price History'!I120)),NOT(ISNUMBER('Price History'!I119)),'Price History'!I119=0),"",'Price History'!I120/'Price History'!I119-1),"")</f>
        <v>-0.0169421487603305</v>
      </c>
      <c r="J119" s="143" t="n">
        <f aca="false">IFERROR(IF(OR(NOT(ISNUMBER('Price History'!J120)),NOT(ISNUMBER('Price History'!J119)),'Price History'!J119=0),"",'Price History'!J120/'Price History'!J119-1),"")</f>
        <v>0.0164985864382463</v>
      </c>
      <c r="K119" s="143" t="n">
        <f aca="false">IFERROR(IF(OR(NOT(ISNUMBER('Price History'!K120)),NOT(ISNUMBER('Price History'!K119)),'Price History'!K119=0),"",'Price History'!K120/'Price History'!K119-1),"")</f>
        <v>-0.0404989559292228</v>
      </c>
      <c r="L119" s="143" t="n">
        <f aca="false">IFERROR(IF(OR(NOT(ISNUMBER('Price History'!L120)),NOT(ISNUMBER('Price History'!L119)),'Price History'!L119=0),"",'Price History'!L120/'Price History'!L119-1),"")</f>
        <v>0.0172469374597035</v>
      </c>
      <c r="M119" s="143" t="n">
        <f aca="false">IFERROR(IF(OR(NOT(ISNUMBER('Price History'!M120)),NOT(ISNUMBER('Price History'!M119)),'Price History'!M119=0),"",'Price History'!M120/'Price History'!M119-1),"")</f>
        <v>0.00995818661971826</v>
      </c>
      <c r="N119" s="143" t="n">
        <f aca="false">IFERROR(IF(OR(NOT(ISNUMBER('Price History'!N120)),NOT(ISNUMBER('Price History'!N119)),'Price History'!N119=0),"",'Price History'!N120/'Price History'!N119-1),"")</f>
        <v>0.00933881210310039</v>
      </c>
      <c r="O119" s="143" t="n">
        <f aca="false">IFERROR(IF(OR(NOT(ISNUMBER('Price History'!O120)),NOT(ISNUMBER('Price History'!O119)),'Price History'!O119=0),"",'Price History'!O120/'Price History'!O119-1),"")</f>
        <v>-0.0145193591455275</v>
      </c>
      <c r="P119" s="143" t="n">
        <f aca="false">IFERROR(IF(OR(NOT(ISNUMBER('Price History'!P120)),NOT(ISNUMBER('Price History'!P119)),'Price History'!P119=0),"",'Price History'!P120/'Price History'!P119-1),"")</f>
        <v>-0.00641223468093133</v>
      </c>
      <c r="Q119" s="143" t="n">
        <f aca="false">IFERROR(IF(OR(NOT(ISNUMBER('Price History'!Q120)),NOT(ISNUMBER('Price History'!Q119)),'Price History'!Q119=0),"",'Price History'!Q120/'Price History'!Q119-1),"")</f>
        <v>0.0500820020652373</v>
      </c>
      <c r="R119" s="143" t="n">
        <f aca="false">IFERROR(IF(OR(NOT(ISNUMBER('Price History'!R120)),NOT(ISNUMBER('Price History'!R119)),'Price History'!R119=0),"",'Price History'!R120/'Price History'!R119-1),"")</f>
        <v>-0.0235194585448393</v>
      </c>
      <c r="S119" s="143" t="n">
        <f aca="false">IFERROR(IF(OR(NOT(ISNUMBER('Price History'!S120)),NOT(ISNUMBER('Price History'!S119)),'Price History'!S119=0),"",'Price History'!S120/'Price History'!S119-1),"")</f>
        <v>-0.0260476581758422</v>
      </c>
      <c r="T119" s="143" t="n">
        <f aca="false">IFERROR(IF(OR(NOT(ISNUMBER('Price History'!T120)),NOT(ISNUMBER('Price History'!T119)),'Price History'!T119=0),"",'Price History'!T120/'Price History'!T119-1),"")</f>
        <v>0.00158646218931779</v>
      </c>
      <c r="U119" s="143" t="str">
        <f aca="false">IFERROR(IF(OR(NOT(ISNUMBER('Price History'!U120)),NOT(ISNUMBER('Price History'!U119)),'Price History'!U119=0),"",'Price History'!U120/'Price History'!U119-1),"")</f>
        <v/>
      </c>
      <c r="V119" s="144" t="n">
        <f aca="false">IFERROR(IF(OR(NOT(ISNUMBER('Price History'!V120)),NOT(ISNUMBER('Price History'!V119)),'Price History'!V119=0),"",'Price History'!V120/'Price History'!V119-1),"")</f>
        <v>-0.0138740977399124</v>
      </c>
      <c r="W119" s="145" t="str">
        <f aca="false">IFERROR('Price History'!B3+(INDEX('Price History'!B:B,MATCH(9.99E+307,'Price History'!$A:$A))-'Price History'!B3)*(ROW()-3)/(MATCH(9.99E+307,'Returns (Calc)'!$A:$A)-3),"")</f>
        <v/>
      </c>
      <c r="X119" s="145" t="n">
        <f aca="false">IFERROR('Price History'!C3+(INDEX('Price History'!C:C,MATCH(9.99E+307,'Price History'!$A:$A))-'Price History'!C3)*(ROW()-3)/(MATCH(9.99E+307,'Returns (Calc)'!$A:$A)-3),"")</f>
        <v>12.4889308176101</v>
      </c>
      <c r="Y119" s="145" t="n">
        <f aca="false">IFERROR('Price History'!D3+(INDEX('Price History'!D:D,MATCH(9.99E+307,'Price History'!$A:$A))-'Price History'!D3)*(ROW()-3)/(MATCH(9.99E+307,'Returns (Calc)'!$A:$A)-3),"")</f>
        <v>157.39893081761</v>
      </c>
      <c r="Z119" s="145" t="n">
        <f aca="false">IFERROR('Price History'!E3+(INDEX('Price History'!E:E,MATCH(9.99E+307,'Price History'!$A:$A))-'Price History'!E3)*(ROW()-3)/(MATCH(9.99E+307,'Returns (Calc)'!$A:$A)-3),"")</f>
        <v>22.1761006289308</v>
      </c>
      <c r="AA119" s="145" t="n">
        <f aca="false">IFERROR('Price History'!F3+(INDEX('Price History'!F:F,MATCH(9.99E+307,'Price History'!$A:$A))-'Price History'!F3)*(ROW()-3)/(MATCH(9.99E+307,'Returns (Calc)'!$A:$A)-3),"")</f>
        <v>20.3668553459119</v>
      </c>
      <c r="AB119" s="145" t="n">
        <f aca="false">IFERROR('Price History'!G3+(INDEX('Price History'!G:G,MATCH(9.99E+307,'Price History'!$A:$A))-'Price History'!G3)*(ROW()-3)/(MATCH(9.99E+307,'Returns (Calc)'!$A:$A)-3),"")</f>
        <v>11.1854088050314</v>
      </c>
      <c r="AC119" s="145" t="n">
        <f aca="false">IFERROR('Price History'!H3+(INDEX('Price History'!H:H,MATCH(9.99E+307,'Price History'!$A:$A))-'Price History'!H3)*(ROW()-3)/(MATCH(9.99E+307,'Returns (Calc)'!$A:$A)-3),"")</f>
        <v>27.2035849056604</v>
      </c>
      <c r="AD119" s="145" t="n">
        <f aca="false">IFERROR('Price History'!I3+(INDEX('Price History'!I:I,MATCH(9.99E+307,'Price History'!$A:$A))-'Price History'!I3)*(ROW()-3)/(MATCH(9.99E+307,'Returns (Calc)'!$A:$A)-3),"")</f>
        <v>11.9940251572327</v>
      </c>
      <c r="AE119" s="145" t="n">
        <f aca="false">IFERROR('Price History'!J3+(INDEX('Price History'!J:J,MATCH(9.99E+307,'Price History'!$A:$A))-'Price History'!J3)*(ROW()-3)/(MATCH(9.99E+307,'Returns (Calc)'!$A:$A)-3),"")</f>
        <v>18.6901257861635</v>
      </c>
      <c r="AF119" s="145" t="n">
        <f aca="false">IFERROR('Price History'!K3+(INDEX('Price History'!K:K,MATCH(9.99E+307,'Price History'!$A:$A))-'Price History'!K3)*(ROW()-3)/(MATCH(9.99E+307,'Returns (Calc)'!$A:$A)-3),"")</f>
        <v>11.8371698113208</v>
      </c>
      <c r="AG119" s="145" t="n">
        <f aca="false">IFERROR('Price History'!L3+(INDEX('Price History'!L:L,MATCH(9.99E+307,'Price History'!$A:$A))-'Price History'!L3)*(ROW()-3)/(MATCH(9.99E+307,'Returns (Calc)'!$A:$A)-3),"")</f>
        <v>30.2460377358491</v>
      </c>
      <c r="AH119" s="145" t="n">
        <f aca="false">IFERROR('Price History'!M3+(INDEX('Price History'!M:M,MATCH(9.99E+307,'Price History'!$A:$A))-'Price History'!M3)*(ROW()-3)/(MATCH(9.99E+307,'Returns (Calc)'!$A:$A)-3),"")</f>
        <v>4.14584905660377</v>
      </c>
      <c r="AI119" s="145" t="n">
        <f aca="false">IFERROR('Price History'!N3+(INDEX('Price History'!N:N,MATCH(9.99E+307,'Price History'!$A:$A))-'Price History'!N3)*(ROW()-3)/(MATCH(9.99E+307,'Returns (Calc)'!$A:$A)-3),"")</f>
        <v>5.89559748427673</v>
      </c>
      <c r="AJ119" s="145" t="n">
        <f aca="false">IFERROR('Price History'!O3+(INDEX('Price History'!O:O,MATCH(9.99E+307,'Price History'!$A:$A))-'Price History'!O3)*(ROW()-3)/(MATCH(9.99E+307,'Returns (Calc)'!$A:$A)-3),"")</f>
        <v>15.5854716981132</v>
      </c>
      <c r="AK119" s="145" t="n">
        <f aca="false">IFERROR('Price History'!Q3+(INDEX('Price History'!Q:Q,MATCH(9.99E+307,'Price History'!$A:$A))-'Price History'!Q3)*(ROW()-3)/(MATCH(9.99E+307,'Returns (Calc)'!$A:$A)-3),"")</f>
        <v>63.7238364779874</v>
      </c>
      <c r="AL119" s="145" t="n">
        <f aca="false">IFERROR('Price History'!R3+(INDEX('Price History'!R:R,MATCH(9.99E+307,'Price History'!$A:$A))-'Price History'!R3)*(ROW()-3)/(MATCH(9.99E+307,'Returns (Calc)'!$A:$A)-3),"")</f>
        <v>12.9324528301887</v>
      </c>
      <c r="AM119" s="145" t="n">
        <f aca="false">IFERROR('Price History'!S3+(INDEX('Price History'!S:S,MATCH(9.99E+307,'Price History'!$A:$A))-'Price History'!S3)*(ROW()-3)/(MATCH(9.99E+307,'Returns (Calc)'!$A:$A)-3),"")</f>
        <v>15.831572327044</v>
      </c>
      <c r="AN119" s="145" t="n">
        <f aca="false">IFERROR('Price History'!T3+(INDEX('Price History'!T:T,MATCH(9.99E+307,'Price History'!$A:$A))-'Price History'!T3)*(ROW()-3)/(MATCH(9.99E+307,'Returns (Calc)'!$A:$A)-3),"")</f>
        <v>7.27754716981132</v>
      </c>
      <c r="AO119" s="146" t="n">
        <f aca="false">IFERROR('Price History'!V3+(INDEX('Price History'!V:V,MATCH(9.99E+307,'Price History'!$A:$A))-'Price History'!V3)*(ROW()-3)/(MATCH(9.99E+307,'Returns (Calc)'!$A:$A)-3),"")</f>
        <v>0</v>
      </c>
    </row>
    <row r="120" customFormat="false" ht="15" hidden="false" customHeight="true" outlineLevel="0" collapsed="false">
      <c r="A120" s="142" t="n">
        <f aca="false">IF('Price History'!A121="","",'Price History'!A121)</f>
        <v>46010</v>
      </c>
      <c r="B120" s="143" t="n">
        <f aca="false">IFERROR(IF(OR(NOT(ISNUMBER('Price History'!B121)),NOT(ISNUMBER('Price History'!B120)),'Price History'!B120=0),"",'Price History'!B121/'Price History'!B120-1),"")</f>
        <v>-0.00159919198720648</v>
      </c>
      <c r="C120" s="143" t="n">
        <f aca="false">IFERROR(IF(OR(NOT(ISNUMBER('Price History'!C121)),NOT(ISNUMBER('Price History'!C120)),'Price History'!C120=0),"",'Price History'!C121/'Price History'!C120-1),"")</f>
        <v>0.0509778775248477</v>
      </c>
      <c r="D120" s="143" t="n">
        <f aca="false">IFERROR(IF(OR(NOT(ISNUMBER('Price History'!D121)),NOT(ISNUMBER('Price History'!D120)),'Price History'!D120=0),"",'Price History'!D121/'Price History'!D120-1),"")</f>
        <v>-0.0229715156923993</v>
      </c>
      <c r="E120" s="143" t="n">
        <f aca="false">IFERROR(IF(OR(NOT(ISNUMBER('Price History'!E121)),NOT(ISNUMBER('Price History'!E120)),'Price History'!E120=0),"",'Price History'!E121/'Price History'!E120-1),"")</f>
        <v>-0.0543566490329441</v>
      </c>
      <c r="F120" s="143" t="n">
        <f aca="false">IFERROR(IF(OR(NOT(ISNUMBER('Price History'!F121)),NOT(ISNUMBER('Price History'!F120)),'Price History'!F120=0),"",'Price History'!F121/'Price History'!F120-1),"")</f>
        <v>-0.00906111432427215</v>
      </c>
      <c r="G120" s="143" t="n">
        <f aca="false">IFERROR(IF(OR(NOT(ISNUMBER('Price History'!G121)),NOT(ISNUMBER('Price History'!G120)),'Price History'!G120=0),"",'Price History'!G121/'Price History'!G120-1),"")</f>
        <v>-0.0465171566685158</v>
      </c>
      <c r="H120" s="143" t="n">
        <f aca="false">IFERROR(IF(OR(NOT(ISNUMBER('Price History'!H121)),NOT(ISNUMBER('Price History'!H120)),'Price History'!H120=0),"",'Price History'!H121/'Price History'!H120-1),"")</f>
        <v>-0.00459803146777771</v>
      </c>
      <c r="I120" s="143" t="n">
        <f aca="false">IFERROR(IF(OR(NOT(ISNUMBER('Price History'!I121)),NOT(ISNUMBER('Price History'!I120)),'Price History'!I120=0),"",'Price History'!I121/'Price History'!I120-1),"")</f>
        <v>0.0433795712484237</v>
      </c>
      <c r="J120" s="143" t="n">
        <f aca="false">IFERROR(IF(OR(NOT(ISNUMBER('Price History'!J121)),NOT(ISNUMBER('Price History'!J120)),'Price History'!J120=0),"",'Price History'!J121/'Price History'!J120-1),"")</f>
        <v>0.102781237027813</v>
      </c>
      <c r="K120" s="143" t="n">
        <f aca="false">IFERROR(IF(OR(NOT(ISNUMBER('Price History'!K121)),NOT(ISNUMBER('Price History'!K120)),'Price History'!K120=0),"",'Price History'!K121/'Price History'!K120-1),"")</f>
        <v>0.0341332111562911</v>
      </c>
      <c r="L120" s="143" t="n">
        <f aca="false">IFERROR(IF(OR(NOT(ISNUMBER('Price History'!L121)),NOT(ISNUMBER('Price History'!L120)),'Price History'!L120=0),"",'Price History'!L121/'Price History'!L120-1),"")</f>
        <v>-0.0150530819204564</v>
      </c>
      <c r="M120" s="143" t="n">
        <f aca="false">IFERROR(IF(OR(NOT(ISNUMBER('Price History'!M121)),NOT(ISNUMBER('Price History'!M120)),'Price History'!M120=0),"",'Price History'!M121/'Price History'!M120-1),"")</f>
        <v>0.0534401045922537</v>
      </c>
      <c r="N120" s="143" t="n">
        <f aca="false">IFERROR(IF(OR(NOT(ISNUMBER('Price History'!N121)),NOT(ISNUMBER('Price History'!N120)),'Price History'!N120=0),"",'Price History'!N121/'Price History'!N120-1),"")</f>
        <v>-0.00814211695040712</v>
      </c>
      <c r="O120" s="143" t="n">
        <f aca="false">IFERROR(IF(OR(NOT(ISNUMBER('Price History'!O121)),NOT(ISNUMBER('Price History'!O120)),'Price History'!O120=0),"",'Price History'!O121/'Price History'!O120-1),"")</f>
        <v>0.0036409822184591</v>
      </c>
      <c r="P120" s="143" t="n">
        <f aca="false">IFERROR(IF(OR(NOT(ISNUMBER('Price History'!P121)),NOT(ISNUMBER('Price History'!P120)),'Price History'!P120=0),"",'Price History'!P121/'Price History'!P120-1),"")</f>
        <v>-0.0105604638321369</v>
      </c>
      <c r="Q120" s="143" t="n">
        <f aca="false">IFERROR(IF(OR(NOT(ISNUMBER('Price History'!Q121)),NOT(ISNUMBER('Price History'!Q120)),'Price History'!Q120=0),"",'Price History'!Q121/'Price History'!Q120-1),"")</f>
        <v>0.00410701373825018</v>
      </c>
      <c r="R120" s="143" t="n">
        <f aca="false">IFERROR(IF(OR(NOT(ISNUMBER('Price History'!R121)),NOT(ISNUMBER('Price History'!R120)),'Price History'!R120=0),"",'Price History'!R121/'Price History'!R120-1),"")</f>
        <v>0.00190608213481203</v>
      </c>
      <c r="S120" s="143" t="n">
        <f aca="false">IFERROR(IF(OR(NOT(ISNUMBER('Price History'!S121)),NOT(ISNUMBER('Price History'!S120)),'Price History'!S120=0),"",'Price History'!S121/'Price History'!S120-1),"")</f>
        <v>-0.00590567788745466</v>
      </c>
      <c r="T120" s="143" t="n">
        <f aca="false">IFERROR(IF(OR(NOT(ISNUMBER('Price History'!T121)),NOT(ISNUMBER('Price History'!T120)),'Price History'!T120=0),"",'Price History'!T121/'Price History'!T120-1),"")</f>
        <v>0.0110876451953537</v>
      </c>
      <c r="U120" s="143" t="str">
        <f aca="false">IFERROR(IF(OR(NOT(ISNUMBER('Price History'!U121)),NOT(ISNUMBER('Price History'!U120)),'Price History'!U120=0),"",'Price History'!U121/'Price History'!U120-1),"")</f>
        <v/>
      </c>
      <c r="V120" s="144" t="n">
        <f aca="false">IFERROR(IF(OR(NOT(ISNUMBER('Price History'!V121)),NOT(ISNUMBER('Price History'!V120)),'Price History'!V120=0),"",'Price History'!V121/'Price History'!V120-1),"")</f>
        <v>-0.0158992050397481</v>
      </c>
      <c r="W120" s="145" t="str">
        <f aca="false">IFERROR('Price History'!B3+(INDEX('Price History'!B:B,MATCH(9.99E+307,'Price History'!$A:$A))-'Price History'!B3)*(ROW()-3)/(MATCH(9.99E+307,'Returns (Calc)'!$A:$A)-3),"")</f>
        <v/>
      </c>
      <c r="X120" s="145" t="n">
        <f aca="false">IFERROR('Price History'!C3+(INDEX('Price History'!C:C,MATCH(9.99E+307,'Price History'!$A:$A))-'Price History'!C3)*(ROW()-3)/(MATCH(9.99E+307,'Returns (Calc)'!$A:$A)-3),"")</f>
        <v>12.1984905660377</v>
      </c>
      <c r="Y120" s="145" t="n">
        <f aca="false">IFERROR('Price History'!D3+(INDEX('Price History'!D:D,MATCH(9.99E+307,'Price History'!$A:$A))-'Price History'!D3)*(ROW()-3)/(MATCH(9.99E+307,'Returns (Calc)'!$A:$A)-3),"")</f>
        <v>153.738490566038</v>
      </c>
      <c r="Z120" s="145" t="n">
        <f aca="false">IFERROR('Price History'!E3+(INDEX('Price History'!E:E,MATCH(9.99E+307,'Price History'!$A:$A))-'Price History'!E3)*(ROW()-3)/(MATCH(9.99E+307,'Returns (Calc)'!$A:$A)-3),"")</f>
        <v>21.6603773584906</v>
      </c>
      <c r="AA120" s="145" t="n">
        <f aca="false">IFERROR('Price History'!F3+(INDEX('Price History'!F:F,MATCH(9.99E+307,'Price History'!$A:$A))-'Price History'!F3)*(ROW()-3)/(MATCH(9.99E+307,'Returns (Calc)'!$A:$A)-3),"")</f>
        <v>19.8932075471698</v>
      </c>
      <c r="AB120" s="145" t="n">
        <f aca="false">IFERROR('Price History'!G3+(INDEX('Price History'!G:G,MATCH(9.99E+307,'Price History'!$A:$A))-'Price History'!G3)*(ROW()-3)/(MATCH(9.99E+307,'Returns (Calc)'!$A:$A)-3),"")</f>
        <v>10.9252830188679</v>
      </c>
      <c r="AC120" s="145" t="n">
        <f aca="false">IFERROR('Price History'!H3+(INDEX('Price History'!H:H,MATCH(9.99E+307,'Price History'!$A:$A))-'Price History'!H3)*(ROW()-3)/(MATCH(9.99E+307,'Returns (Calc)'!$A:$A)-3),"")</f>
        <v>26.5709433962264</v>
      </c>
      <c r="AD120" s="145" t="n">
        <f aca="false">IFERROR('Price History'!I3+(INDEX('Price History'!I:I,MATCH(9.99E+307,'Price History'!$A:$A))-'Price History'!I3)*(ROW()-3)/(MATCH(9.99E+307,'Returns (Calc)'!$A:$A)-3),"")</f>
        <v>11.7150943396226</v>
      </c>
      <c r="AE120" s="145" t="n">
        <f aca="false">IFERROR('Price History'!J3+(INDEX('Price History'!J:J,MATCH(9.99E+307,'Price History'!$A:$A))-'Price History'!J3)*(ROW()-3)/(MATCH(9.99E+307,'Returns (Calc)'!$A:$A)-3),"")</f>
        <v>18.2554716981132</v>
      </c>
      <c r="AF120" s="145" t="n">
        <f aca="false">IFERROR('Price History'!K3+(INDEX('Price History'!K:K,MATCH(9.99E+307,'Price History'!$A:$A))-'Price History'!K3)*(ROW()-3)/(MATCH(9.99E+307,'Returns (Calc)'!$A:$A)-3),"")</f>
        <v>11.5618867924528</v>
      </c>
      <c r="AG120" s="145" t="n">
        <f aca="false">IFERROR('Price History'!L3+(INDEX('Price History'!L:L,MATCH(9.99E+307,'Price History'!$A:$A))-'Price History'!L3)*(ROW()-3)/(MATCH(9.99E+307,'Returns (Calc)'!$A:$A)-3),"")</f>
        <v>29.542641509434</v>
      </c>
      <c r="AH120" s="145" t="n">
        <f aca="false">IFERROR('Price History'!M3+(INDEX('Price History'!M:M,MATCH(9.99E+307,'Price History'!$A:$A))-'Price History'!M3)*(ROW()-3)/(MATCH(9.99E+307,'Returns (Calc)'!$A:$A)-3),"")</f>
        <v>4.04943396226415</v>
      </c>
      <c r="AI120" s="145" t="n">
        <f aca="false">IFERROR('Price History'!N3+(INDEX('Price History'!N:N,MATCH(9.99E+307,'Price History'!$A:$A))-'Price History'!N3)*(ROW()-3)/(MATCH(9.99E+307,'Returns (Calc)'!$A:$A)-3),"")</f>
        <v>5.75849056603774</v>
      </c>
      <c r="AJ120" s="145" t="n">
        <f aca="false">IFERROR('Price History'!O3+(INDEX('Price History'!O:O,MATCH(9.99E+307,'Price History'!$A:$A))-'Price History'!O3)*(ROW()-3)/(MATCH(9.99E+307,'Returns (Calc)'!$A:$A)-3),"")</f>
        <v>15.2230188679245</v>
      </c>
      <c r="AK120" s="145" t="n">
        <f aca="false">IFERROR('Price History'!Q3+(INDEX('Price History'!Q:Q,MATCH(9.99E+307,'Price History'!$A:$A))-'Price History'!Q3)*(ROW()-3)/(MATCH(9.99E+307,'Returns (Calc)'!$A:$A)-3),"")</f>
        <v>62.2418867924528</v>
      </c>
      <c r="AL120" s="145" t="n">
        <f aca="false">IFERROR('Price History'!R3+(INDEX('Price History'!R:R,MATCH(9.99E+307,'Price History'!$A:$A))-'Price History'!R3)*(ROW()-3)/(MATCH(9.99E+307,'Returns (Calc)'!$A:$A)-3),"")</f>
        <v>12.6316981132075</v>
      </c>
      <c r="AM120" s="145" t="n">
        <f aca="false">IFERROR('Price History'!S3+(INDEX('Price History'!S:S,MATCH(9.99E+307,'Price History'!$A:$A))-'Price History'!S3)*(ROW()-3)/(MATCH(9.99E+307,'Returns (Calc)'!$A:$A)-3),"")</f>
        <v>15.4633962264151</v>
      </c>
      <c r="AN120" s="145" t="n">
        <f aca="false">IFERROR('Price History'!T3+(INDEX('Price History'!T:T,MATCH(9.99E+307,'Price History'!$A:$A))-'Price History'!T3)*(ROW()-3)/(MATCH(9.99E+307,'Returns (Calc)'!$A:$A)-3),"")</f>
        <v>7.10830188679245</v>
      </c>
      <c r="AO120" s="146" t="n">
        <f aca="false">IFERROR('Price History'!V3+(INDEX('Price History'!V:V,MATCH(9.99E+307,'Price History'!$A:$A))-'Price History'!V3)*(ROW()-3)/(MATCH(9.99E+307,'Returns (Calc)'!$A:$A)-3),"")</f>
        <v>0</v>
      </c>
    </row>
    <row r="121" customFormat="false" ht="15" hidden="false" customHeight="true" outlineLevel="0" collapsed="false">
      <c r="A121" s="142" t="n">
        <f aca="false">IF('Price History'!A122="","",'Price History'!A122)</f>
        <v>46017</v>
      </c>
      <c r="B121" s="143" t="n">
        <f aca="false">IFERROR(IF(OR(NOT(ISNUMBER('Price History'!B122)),NOT(ISNUMBER('Price History'!B121)),'Price History'!B121=0),"",'Price History'!B122/'Price History'!B121-1),"")</f>
        <v>-0.00578879334569771</v>
      </c>
      <c r="C121" s="143" t="n">
        <f aca="false">IFERROR(IF(OR(NOT(ISNUMBER('Price History'!C122)),NOT(ISNUMBER('Price History'!C121)),'Price History'!C121=0),"",'Price History'!C122/'Price History'!C121-1),"")</f>
        <v>0.00549115314215976</v>
      </c>
      <c r="D121" s="143" t="n">
        <f aca="false">IFERROR(IF(OR(NOT(ISNUMBER('Price History'!D122)),NOT(ISNUMBER('Price History'!D121)),'Price History'!D121=0),"",'Price History'!D122/'Price History'!D121-1),"")</f>
        <v>0.0158425073979276</v>
      </c>
      <c r="E121" s="143" t="n">
        <f aca="false">IFERROR(IF(OR(NOT(ISNUMBER('Price History'!E122)),NOT(ISNUMBER('Price History'!E121)),'Price History'!E121=0),"",'Price History'!E122/'Price History'!E121-1),"")</f>
        <v>0.0365546840313749</v>
      </c>
      <c r="F121" s="143" t="n">
        <f aca="false">IFERROR(IF(OR(NOT(ISNUMBER('Price History'!F122)),NOT(ISNUMBER('Price History'!F121)),'Price History'!F121=0),"",'Price History'!F122/'Price History'!F121-1),"")</f>
        <v>-0.000875486381322954</v>
      </c>
      <c r="G121" s="143" t="n">
        <f aca="false">IFERROR(IF(OR(NOT(ISNUMBER('Price History'!G122)),NOT(ISNUMBER('Price History'!G121)),'Price History'!G121=0),"",'Price History'!G122/'Price History'!G121-1),"")</f>
        <v>-0.000166223404255317</v>
      </c>
      <c r="H121" s="143" t="n">
        <f aca="false">IFERROR(IF(OR(NOT(ISNUMBER('Price History'!H122)),NOT(ISNUMBER('Price History'!H121)),'Price History'!H121=0),"",'Price History'!H122/'Price History'!H121-1),"")</f>
        <v>0.00526885600866112</v>
      </c>
      <c r="I121" s="143" t="n">
        <f aca="false">IFERROR(IF(OR(NOT(ISNUMBER('Price History'!I122)),NOT(ISNUMBER('Price History'!I121)),'Price History'!I121=0),"",'Price History'!I122/'Price History'!I121-1),"")</f>
        <v>0.0272339054064943</v>
      </c>
      <c r="J121" s="143" t="n">
        <f aca="false">IFERROR(IF(OR(NOT(ISNUMBER('Price History'!J122)),NOT(ISNUMBER('Price History'!J121)),'Price History'!J121=0),"",'Price History'!J122/'Price History'!J121-1),"")</f>
        <v>0.0709553564706766</v>
      </c>
      <c r="K121" s="143" t="n">
        <f aca="false">IFERROR(IF(OR(NOT(ISNUMBER('Price History'!K122)),NOT(ISNUMBER('Price History'!K121)),'Price History'!K121=0),"",'Price History'!K122/'Price History'!K121-1),"")</f>
        <v>0.0527219360912665</v>
      </c>
      <c r="L121" s="143" t="n">
        <f aca="false">IFERROR(IF(OR(NOT(ISNUMBER('Price History'!L122)),NOT(ISNUMBER('Price History'!L121)),'Price History'!L121=0),"",'Price History'!L122/'Price History'!L121-1),"")</f>
        <v>0.0115830115830118</v>
      </c>
      <c r="M121" s="143" t="n">
        <f aca="false">IFERROR(IF(OR(NOT(ISNUMBER('Price History'!M122)),NOT(ISNUMBER('Price History'!M121)),'Price History'!M121=0),"",'Price History'!M122/'Price History'!M121-1),"")</f>
        <v>-0.0241493432619712</v>
      </c>
      <c r="N121" s="143" t="n">
        <f aca="false">IFERROR(IF(OR(NOT(ISNUMBER('Price History'!N122)),NOT(ISNUMBER('Price History'!N121)),'Price History'!N121=0),"",'Price History'!N122/'Price History'!N121-1),"")</f>
        <v>0.00671641791044775</v>
      </c>
      <c r="O121" s="143" t="n">
        <f aca="false">IFERROR(IF(OR(NOT(ISNUMBER('Price History'!O122)),NOT(ISNUMBER('Price History'!O121)),'Price History'!O121=0),"",'Price History'!O122/'Price History'!O121-1),"")</f>
        <v>0.0179701341432548</v>
      </c>
      <c r="P121" s="143" t="n">
        <f aca="false">IFERROR(IF(OR(NOT(ISNUMBER('Price History'!P122)),NOT(ISNUMBER('Price History'!P121)),'Price History'!P121=0),"",'Price History'!P122/'Price History'!P121-1),"")</f>
        <v>0.0480641785838858</v>
      </c>
      <c r="Q121" s="143" t="n">
        <f aca="false">IFERROR(IF(OR(NOT(ISNUMBER('Price History'!Q122)),NOT(ISNUMBER('Price History'!Q121)),'Price History'!Q121=0),"",'Price History'!Q122/'Price History'!Q121-1),"")</f>
        <v>0.0164472736699599</v>
      </c>
      <c r="R121" s="143" t="n">
        <f aca="false">IFERROR(IF(OR(NOT(ISNUMBER('Price History'!R122)),NOT(ISNUMBER('Price History'!R121)),'Price History'!R121=0),"",'Price History'!R122/'Price History'!R121-1),"")</f>
        <v>-0.0273261847111725</v>
      </c>
      <c r="S121" s="143" t="n">
        <f aca="false">IFERROR(IF(OR(NOT(ISNUMBER('Price History'!S122)),NOT(ISNUMBER('Price History'!S121)),'Price History'!S121=0),"",'Price History'!S122/'Price History'!S121-1),"")</f>
        <v>-0.0299584146651957</v>
      </c>
      <c r="T121" s="143" t="n">
        <f aca="false">IFERROR(IF(OR(NOT(ISNUMBER('Price History'!T122)),NOT(ISNUMBER('Price History'!T121)),'Price History'!T121=0),"",'Price History'!T122/'Price History'!T121-1),"")</f>
        <v>-0.0201044386422975</v>
      </c>
      <c r="U121" s="143" t="str">
        <f aca="false">IFERROR(IF(OR(NOT(ISNUMBER('Price History'!U122)),NOT(ISNUMBER('Price History'!U121)),'Price History'!U121=0),"",'Price History'!U122/'Price History'!U121-1),"")</f>
        <v/>
      </c>
      <c r="V121" s="144" t="n">
        <f aca="false">IFERROR(IF(OR(NOT(ISNUMBER('Price History'!V122)),NOT(ISNUMBER('Price History'!V121)),'Price History'!V121=0),"",'Price History'!V122/'Price History'!V121-1),"")</f>
        <v>-0.00618808108520053</v>
      </c>
      <c r="W121" s="145" t="str">
        <f aca="false">IFERROR('Price History'!B3+(INDEX('Price History'!B:B,MATCH(9.99E+307,'Price History'!$A:$A))-'Price History'!B3)*(ROW()-3)/(MATCH(9.99E+307,'Returns (Calc)'!$A:$A)-3),"")</f>
        <v/>
      </c>
      <c r="X121" s="145" t="n">
        <f aca="false">IFERROR('Price History'!C3+(INDEX('Price History'!C:C,MATCH(9.99E+307,'Price History'!$A:$A))-'Price History'!C3)*(ROW()-3)/(MATCH(9.99E+307,'Returns (Calc)'!$A:$A)-3),"")</f>
        <v>11.9080503144654</v>
      </c>
      <c r="Y121" s="145" t="n">
        <f aca="false">IFERROR('Price History'!D3+(INDEX('Price History'!D:D,MATCH(9.99E+307,'Price History'!$A:$A))-'Price History'!D3)*(ROW()-3)/(MATCH(9.99E+307,'Returns (Calc)'!$A:$A)-3),"")</f>
        <v>150.078050314465</v>
      </c>
      <c r="Z121" s="145" t="n">
        <f aca="false">IFERROR('Price History'!E3+(INDEX('Price History'!E:E,MATCH(9.99E+307,'Price History'!$A:$A))-'Price History'!E3)*(ROW()-3)/(MATCH(9.99E+307,'Returns (Calc)'!$A:$A)-3),"")</f>
        <v>21.1446540880503</v>
      </c>
      <c r="AA121" s="145" t="n">
        <f aca="false">IFERROR('Price History'!F3+(INDEX('Price History'!F:F,MATCH(9.99E+307,'Price History'!$A:$A))-'Price History'!F3)*(ROW()-3)/(MATCH(9.99E+307,'Returns (Calc)'!$A:$A)-3),"")</f>
        <v>19.4195597484277</v>
      </c>
      <c r="AB121" s="145" t="n">
        <f aca="false">IFERROR('Price History'!G3+(INDEX('Price History'!G:G,MATCH(9.99E+307,'Price History'!$A:$A))-'Price History'!G3)*(ROW()-3)/(MATCH(9.99E+307,'Returns (Calc)'!$A:$A)-3),"")</f>
        <v>10.6651572327044</v>
      </c>
      <c r="AC121" s="145" t="n">
        <f aca="false">IFERROR('Price History'!H3+(INDEX('Price History'!H:H,MATCH(9.99E+307,'Price History'!$A:$A))-'Price History'!H3)*(ROW()-3)/(MATCH(9.99E+307,'Returns (Calc)'!$A:$A)-3),"")</f>
        <v>25.9383018867924</v>
      </c>
      <c r="AD121" s="145" t="n">
        <f aca="false">IFERROR('Price History'!I3+(INDEX('Price History'!I:I,MATCH(9.99E+307,'Price History'!$A:$A))-'Price History'!I3)*(ROW()-3)/(MATCH(9.99E+307,'Returns (Calc)'!$A:$A)-3),"")</f>
        <v>11.4361635220126</v>
      </c>
      <c r="AE121" s="145" t="n">
        <f aca="false">IFERROR('Price History'!J3+(INDEX('Price History'!J:J,MATCH(9.99E+307,'Price History'!$A:$A))-'Price History'!J3)*(ROW()-3)/(MATCH(9.99E+307,'Returns (Calc)'!$A:$A)-3),"")</f>
        <v>17.8208176100629</v>
      </c>
      <c r="AF121" s="145" t="n">
        <f aca="false">IFERROR('Price History'!K3+(INDEX('Price History'!K:K,MATCH(9.99E+307,'Price History'!$A:$A))-'Price History'!K3)*(ROW()-3)/(MATCH(9.99E+307,'Returns (Calc)'!$A:$A)-3),"")</f>
        <v>11.2866037735849</v>
      </c>
      <c r="AG121" s="145" t="n">
        <f aca="false">IFERROR('Price History'!L3+(INDEX('Price History'!L:L,MATCH(9.99E+307,'Price History'!$A:$A))-'Price History'!L3)*(ROW()-3)/(MATCH(9.99E+307,'Returns (Calc)'!$A:$A)-3),"")</f>
        <v>28.8392452830189</v>
      </c>
      <c r="AH121" s="145" t="n">
        <f aca="false">IFERROR('Price History'!M3+(INDEX('Price History'!M:M,MATCH(9.99E+307,'Price History'!$A:$A))-'Price History'!M3)*(ROW()-3)/(MATCH(9.99E+307,'Returns (Calc)'!$A:$A)-3),"")</f>
        <v>3.95301886792453</v>
      </c>
      <c r="AI121" s="145" t="n">
        <f aca="false">IFERROR('Price History'!N3+(INDEX('Price History'!N:N,MATCH(9.99E+307,'Price History'!$A:$A))-'Price History'!N3)*(ROW()-3)/(MATCH(9.99E+307,'Returns (Calc)'!$A:$A)-3),"")</f>
        <v>5.62138364779874</v>
      </c>
      <c r="AJ121" s="145" t="n">
        <f aca="false">IFERROR('Price History'!O3+(INDEX('Price History'!O:O,MATCH(9.99E+307,'Price History'!$A:$A))-'Price History'!O3)*(ROW()-3)/(MATCH(9.99E+307,'Returns (Calc)'!$A:$A)-3),"")</f>
        <v>14.8605660377359</v>
      </c>
      <c r="AK121" s="145" t="n">
        <f aca="false">IFERROR('Price History'!Q3+(INDEX('Price History'!Q:Q,MATCH(9.99E+307,'Price History'!$A:$A))-'Price History'!Q3)*(ROW()-3)/(MATCH(9.99E+307,'Returns (Calc)'!$A:$A)-3),"")</f>
        <v>60.7599371069182</v>
      </c>
      <c r="AL121" s="145" t="n">
        <f aca="false">IFERROR('Price History'!R3+(INDEX('Price History'!R:R,MATCH(9.99E+307,'Price History'!$A:$A))-'Price History'!R3)*(ROW()-3)/(MATCH(9.99E+307,'Returns (Calc)'!$A:$A)-3),"")</f>
        <v>12.3309433962264</v>
      </c>
      <c r="AM121" s="145" t="n">
        <f aca="false">IFERROR('Price History'!S3+(INDEX('Price History'!S:S,MATCH(9.99E+307,'Price History'!$A:$A))-'Price History'!S3)*(ROW()-3)/(MATCH(9.99E+307,'Returns (Calc)'!$A:$A)-3),"")</f>
        <v>15.0952201257862</v>
      </c>
      <c r="AN121" s="145" t="n">
        <f aca="false">IFERROR('Price History'!T3+(INDEX('Price History'!T:T,MATCH(9.99E+307,'Price History'!$A:$A))-'Price History'!T3)*(ROW()-3)/(MATCH(9.99E+307,'Returns (Calc)'!$A:$A)-3),"")</f>
        <v>6.93905660377358</v>
      </c>
      <c r="AO121" s="146" t="n">
        <f aca="false">IFERROR('Price History'!V3+(INDEX('Price History'!V:V,MATCH(9.99E+307,'Price History'!$A:$A))-'Price History'!V3)*(ROW()-3)/(MATCH(9.99E+307,'Returns (Calc)'!$A:$A)-3),"")</f>
        <v>0</v>
      </c>
    </row>
    <row r="122" customFormat="false" ht="15" hidden="false" customHeight="true" outlineLevel="0" collapsed="false">
      <c r="A122" s="142" t="n">
        <f aca="false">IF('Price History'!A123="","",'Price History'!A123)</f>
        <v>46024</v>
      </c>
      <c r="B122" s="143" t="n">
        <f aca="false">IFERROR(IF(OR(NOT(ISNUMBER('Price History'!B123)),NOT(ISNUMBER('Price History'!B122)),'Price History'!B122=0),"",'Price History'!B123/'Price History'!B122-1),"")</f>
        <v>-0.0579423403052572</v>
      </c>
      <c r="C122" s="143" t="n">
        <f aca="false">IFERROR(IF(OR(NOT(ISNUMBER('Price History'!C123)),NOT(ISNUMBER('Price History'!C122)),'Price History'!C122=0),"",'Price History'!C123/'Price History'!C122-1),"")</f>
        <v>0.0133495145631066</v>
      </c>
      <c r="D122" s="143" t="n">
        <f aca="false">IFERROR(IF(OR(NOT(ISNUMBER('Price History'!D123)),NOT(ISNUMBER('Price History'!D122)),'Price History'!D122=0),"",'Price History'!D123/'Price History'!D122-1),"")</f>
        <v>0.0848616548959369</v>
      </c>
      <c r="E122" s="143" t="n">
        <f aca="false">IFERROR(IF(OR(NOT(ISNUMBER('Price History'!E123)),NOT(ISNUMBER('Price History'!E122)),'Price History'!E122=0),"",'Price History'!E123/'Price History'!E122-1),"")</f>
        <v>-0.0128212450028555</v>
      </c>
      <c r="F122" s="143" t="n">
        <f aca="false">IFERROR(IF(OR(NOT(ISNUMBER('Price History'!F123)),NOT(ISNUMBER('Price History'!F122)),'Price History'!F122=0),"",'Price History'!F123/'Price History'!F122-1),"")</f>
        <v>-0.00554960568591167</v>
      </c>
      <c r="G122" s="143" t="n">
        <f aca="false">IFERROR(IF(OR(NOT(ISNUMBER('Price History'!G123)),NOT(ISNUMBER('Price History'!G122)),'Price History'!G122=0),"",'Price History'!G123/'Price History'!G122-1),"")</f>
        <v>-0.0574397339983375</v>
      </c>
      <c r="H122" s="143" t="n">
        <f aca="false">IFERROR(IF(OR(NOT(ISNUMBER('Price History'!H123)),NOT(ISNUMBER('Price History'!H122)),'Price History'!H122=0),"",'Price History'!H123/'Price History'!H122-1),"")</f>
        <v>7.17978173463418E-005</v>
      </c>
      <c r="I122" s="143" t="n">
        <f aca="false">IFERROR(IF(OR(NOT(ISNUMBER('Price History'!I123)),NOT(ISNUMBER('Price History'!I122)),'Price History'!I122=0),"",'Price History'!I123/'Price History'!I122-1),"")</f>
        <v>-0.00400031375009802</v>
      </c>
      <c r="J122" s="143" t="n">
        <f aca="false">IFERROR(IF(OR(NOT(ISNUMBER('Price History'!J123)),NOT(ISNUMBER('Price History'!J122)),'Price History'!J122=0),"",'Price History'!J123/'Price History'!J122-1),"")</f>
        <v>0.108010263259639</v>
      </c>
      <c r="K122" s="143" t="n">
        <f aca="false">IFERROR(IF(OR(NOT(ISNUMBER('Price History'!K123)),NOT(ISNUMBER('Price History'!K122)),'Price History'!K122=0),"",'Price History'!K123/'Price History'!K122-1),"")</f>
        <v>-0.00883791888053032</v>
      </c>
      <c r="L122" s="143" t="n">
        <f aca="false">IFERROR(IF(OR(NOT(ISNUMBER('Price History'!L123)),NOT(ISNUMBER('Price History'!L122)),'Price History'!L122=0),"",'Price History'!L123/'Price History'!L122-1),"")</f>
        <v>0.0027035623409668</v>
      </c>
      <c r="M122" s="143" t="n">
        <f aca="false">IFERROR(IF(OR(NOT(ISNUMBER('Price History'!M123)),NOT(ISNUMBER('Price History'!M122)),'Price History'!M122=0),"",'Price History'!M123/'Price History'!M122-1),"")</f>
        <v>-0.110486990620529</v>
      </c>
      <c r="N122" s="143" t="n">
        <f aca="false">IFERROR(IF(OR(NOT(ISNUMBER('Price History'!N123)),NOT(ISNUMBER('Price History'!N122)),'Price History'!N122=0),"",'Price History'!N123/'Price History'!N122-1),"")</f>
        <v>0.00296515937731656</v>
      </c>
      <c r="O122" s="143" t="n">
        <f aca="false">IFERROR(IF(OR(NOT(ISNUMBER('Price History'!O123)),NOT(ISNUMBER('Price History'!O122)),'Price History'!O122=0),"",'Price History'!O123/'Price History'!O122-1),"")</f>
        <v>-0.01408917619758</v>
      </c>
      <c r="P122" s="143" t="n">
        <f aca="false">IFERROR(IF(OR(NOT(ISNUMBER('Price History'!P123)),NOT(ISNUMBER('Price History'!P122)),'Price History'!P122=0),"",'Price History'!P123/'Price History'!P122-1),"")</f>
        <v>0.0553780617678381</v>
      </c>
      <c r="Q122" s="143" t="n">
        <f aca="false">IFERROR(IF(OR(NOT(ISNUMBER('Price History'!Q123)),NOT(ISNUMBER('Price History'!Q122)),'Price History'!Q122=0),"",'Price History'!Q123/'Price History'!Q122-1),"")</f>
        <v>-0.0240024937655859</v>
      </c>
      <c r="R122" s="143" t="n">
        <f aca="false">IFERROR(IF(OR(NOT(ISNUMBER('Price History'!R123)),NOT(ISNUMBER('Price History'!R122)),'Price History'!R122=0),"",'Price History'!R123/'Price History'!R122-1),"")</f>
        <v>0.045697012802276</v>
      </c>
      <c r="S122" s="143" t="n">
        <f aca="false">IFERROR(IF(OR(NOT(ISNUMBER('Price History'!S123)),NOT(ISNUMBER('Price History'!S122)),'Price History'!S122=0),"",'Price History'!S123/'Price History'!S122-1),"")</f>
        <v>0.0509186351706037</v>
      </c>
      <c r="T122" s="143" t="n">
        <f aca="false">IFERROR(IF(OR(NOT(ISNUMBER('Price History'!T123)),NOT(ISNUMBER('Price History'!T122)),'Price History'!T122=0),"",'Price History'!T123/'Price History'!T122-1),"")</f>
        <v>0.0343725019984014</v>
      </c>
      <c r="U122" s="143" t="str">
        <f aca="false">IFERROR(IF(OR(NOT(ISNUMBER('Price History'!U123)),NOT(ISNUMBER('Price History'!U122)),'Price History'!U122=0),"",'Price History'!U123/'Price History'!U122-1),"")</f>
        <v/>
      </c>
      <c r="V122" s="144" t="n">
        <f aca="false">IFERROR(IF(OR(NOT(ISNUMBER('Price History'!V123)),NOT(ISNUMBER('Price History'!V122)),'Price History'!V122=0),"",'Price History'!V123/'Price History'!V122-1),"")</f>
        <v>0.0196920434329182</v>
      </c>
      <c r="W122" s="145" t="str">
        <f aca="false">IFERROR('Price History'!B3+(INDEX('Price History'!B:B,MATCH(9.99E+307,'Price History'!$A:$A))-'Price History'!B3)*(ROW()-3)/(MATCH(9.99E+307,'Returns (Calc)'!$A:$A)-3),"")</f>
        <v/>
      </c>
      <c r="X122" s="145" t="n">
        <f aca="false">IFERROR('Price History'!C3+(INDEX('Price History'!C:C,MATCH(9.99E+307,'Price History'!$A:$A))-'Price History'!C3)*(ROW()-3)/(MATCH(9.99E+307,'Returns (Calc)'!$A:$A)-3),"")</f>
        <v>11.6176100628931</v>
      </c>
      <c r="Y122" s="145" t="n">
        <f aca="false">IFERROR('Price History'!D3+(INDEX('Price History'!D:D,MATCH(9.99E+307,'Price History'!$A:$A))-'Price History'!D3)*(ROW()-3)/(MATCH(9.99E+307,'Returns (Calc)'!$A:$A)-3),"")</f>
        <v>146.417610062893</v>
      </c>
      <c r="Z122" s="145" t="n">
        <f aca="false">IFERROR('Price History'!E3+(INDEX('Price History'!E:E,MATCH(9.99E+307,'Price History'!$A:$A))-'Price History'!E3)*(ROW()-3)/(MATCH(9.99E+307,'Returns (Calc)'!$A:$A)-3),"")</f>
        <v>20.6289308176101</v>
      </c>
      <c r="AA122" s="145" t="n">
        <f aca="false">IFERROR('Price History'!F3+(INDEX('Price History'!F:F,MATCH(9.99E+307,'Price History'!$A:$A))-'Price History'!F3)*(ROW()-3)/(MATCH(9.99E+307,'Returns (Calc)'!$A:$A)-3),"")</f>
        <v>18.9459119496855</v>
      </c>
      <c r="AB122" s="145" t="n">
        <f aca="false">IFERROR('Price History'!G3+(INDEX('Price History'!G:G,MATCH(9.99E+307,'Price History'!$A:$A))-'Price History'!G3)*(ROW()-3)/(MATCH(9.99E+307,'Returns (Calc)'!$A:$A)-3),"")</f>
        <v>10.4050314465409</v>
      </c>
      <c r="AC122" s="145" t="n">
        <f aca="false">IFERROR('Price History'!H3+(INDEX('Price History'!H:H,MATCH(9.99E+307,'Price History'!$A:$A))-'Price History'!H3)*(ROW()-3)/(MATCH(9.99E+307,'Returns (Calc)'!$A:$A)-3),"")</f>
        <v>25.3056603773585</v>
      </c>
      <c r="AD122" s="145" t="n">
        <f aca="false">IFERROR('Price History'!I3+(INDEX('Price History'!I:I,MATCH(9.99E+307,'Price History'!$A:$A))-'Price History'!I3)*(ROW()-3)/(MATCH(9.99E+307,'Returns (Calc)'!$A:$A)-3),"")</f>
        <v>11.1572327044025</v>
      </c>
      <c r="AE122" s="145" t="n">
        <f aca="false">IFERROR('Price History'!J3+(INDEX('Price History'!J:J,MATCH(9.99E+307,'Price History'!$A:$A))-'Price History'!J3)*(ROW()-3)/(MATCH(9.99E+307,'Returns (Calc)'!$A:$A)-3),"")</f>
        <v>17.3861635220126</v>
      </c>
      <c r="AF122" s="145" t="n">
        <f aca="false">IFERROR('Price History'!K3+(INDEX('Price History'!K:K,MATCH(9.99E+307,'Price History'!$A:$A))-'Price History'!K3)*(ROW()-3)/(MATCH(9.99E+307,'Returns (Calc)'!$A:$A)-3),"")</f>
        <v>11.011320754717</v>
      </c>
      <c r="AG122" s="145" t="n">
        <f aca="false">IFERROR('Price History'!L3+(INDEX('Price History'!L:L,MATCH(9.99E+307,'Price History'!$A:$A))-'Price History'!L3)*(ROW()-3)/(MATCH(9.99E+307,'Returns (Calc)'!$A:$A)-3),"")</f>
        <v>28.1358490566038</v>
      </c>
      <c r="AH122" s="145" t="n">
        <f aca="false">IFERROR('Price History'!M3+(INDEX('Price History'!M:M,MATCH(9.99E+307,'Price History'!$A:$A))-'Price History'!M3)*(ROW()-3)/(MATCH(9.99E+307,'Returns (Calc)'!$A:$A)-3),"")</f>
        <v>3.85660377358491</v>
      </c>
      <c r="AI122" s="145" t="n">
        <f aca="false">IFERROR('Price History'!N3+(INDEX('Price History'!N:N,MATCH(9.99E+307,'Price History'!$A:$A))-'Price History'!N3)*(ROW()-3)/(MATCH(9.99E+307,'Returns (Calc)'!$A:$A)-3),"")</f>
        <v>5.48427672955975</v>
      </c>
      <c r="AJ122" s="145" t="n">
        <f aca="false">IFERROR('Price History'!O3+(INDEX('Price History'!O:O,MATCH(9.99E+307,'Price History'!$A:$A))-'Price History'!O3)*(ROW()-3)/(MATCH(9.99E+307,'Returns (Calc)'!$A:$A)-3),"")</f>
        <v>14.4981132075472</v>
      </c>
      <c r="AK122" s="145" t="n">
        <f aca="false">IFERROR('Price History'!Q3+(INDEX('Price History'!Q:Q,MATCH(9.99E+307,'Price History'!$A:$A))-'Price History'!Q3)*(ROW()-3)/(MATCH(9.99E+307,'Returns (Calc)'!$A:$A)-3),"")</f>
        <v>59.2779874213836</v>
      </c>
      <c r="AL122" s="145" t="n">
        <f aca="false">IFERROR('Price History'!R3+(INDEX('Price History'!R:R,MATCH(9.99E+307,'Price History'!$A:$A))-'Price History'!R3)*(ROW()-3)/(MATCH(9.99E+307,'Returns (Calc)'!$A:$A)-3),"")</f>
        <v>12.0301886792453</v>
      </c>
      <c r="AM122" s="145" t="n">
        <f aca="false">IFERROR('Price History'!S3+(INDEX('Price History'!S:S,MATCH(9.99E+307,'Price History'!$A:$A))-'Price History'!S3)*(ROW()-3)/(MATCH(9.99E+307,'Returns (Calc)'!$A:$A)-3),"")</f>
        <v>14.7270440251572</v>
      </c>
      <c r="AN122" s="145" t="n">
        <f aca="false">IFERROR('Price History'!T3+(INDEX('Price History'!T:T,MATCH(9.99E+307,'Price History'!$A:$A))-'Price History'!T3)*(ROW()-3)/(MATCH(9.99E+307,'Returns (Calc)'!$A:$A)-3),"")</f>
        <v>6.76981132075472</v>
      </c>
      <c r="AO122" s="146" t="n">
        <f aca="false">IFERROR('Price History'!V3+(INDEX('Price History'!V:V,MATCH(9.99E+307,'Price History'!$A:$A))-'Price History'!V3)*(ROW()-3)/(MATCH(9.99E+307,'Returns (Calc)'!$A:$A)-3),"")</f>
        <v>0</v>
      </c>
    </row>
    <row r="123" customFormat="false" ht="15" hidden="false" customHeight="true" outlineLevel="0" collapsed="false">
      <c r="A123" s="142" t="n">
        <f aca="false">IF('Price History'!A124="","",'Price History'!A124)</f>
        <v>46031</v>
      </c>
      <c r="B123" s="143" t="n">
        <f aca="false">IFERROR(IF(OR(NOT(ISNUMBER('Price History'!B124)),NOT(ISNUMBER('Price History'!B123)),'Price History'!B123=0),"",'Price History'!B124/'Price History'!B123-1),"")</f>
        <v>0.00195019501950178</v>
      </c>
      <c r="C123" s="143" t="n">
        <f aca="false">IFERROR(IF(OR(NOT(ISNUMBER('Price History'!C124)),NOT(ISNUMBER('Price History'!C123)),'Price History'!C123=0),"",'Price History'!C124/'Price History'!C123-1),"")</f>
        <v>-0.0801646706586826</v>
      </c>
      <c r="D123" s="143" t="n">
        <f aca="false">IFERROR(IF(OR(NOT(ISNUMBER('Price History'!D124)),NOT(ISNUMBER('Price History'!D123)),'Price History'!D123=0),"",'Price History'!D124/'Price History'!D123-1),"")</f>
        <v>0.0946020617844623</v>
      </c>
      <c r="E123" s="143" t="n">
        <f aca="false">IFERROR(IF(OR(NOT(ISNUMBER('Price History'!E124)),NOT(ISNUMBER('Price History'!E123)),'Price History'!E123=0),"",'Price History'!E124/'Price History'!E123-1),"")</f>
        <v>-0.00760753232478084</v>
      </c>
      <c r="F123" s="143" t="n">
        <f aca="false">IFERROR(IF(OR(NOT(ISNUMBER('Price History'!F124)),NOT(ISNUMBER('Price History'!F123)),'Price History'!F123=0),"",'Price History'!F124/'Price History'!F123-1),"")</f>
        <v>0.0408263168200509</v>
      </c>
      <c r="G123" s="143" t="n">
        <f aca="false">IFERROR(IF(OR(NOT(ISNUMBER('Price History'!G124)),NOT(ISNUMBER('Price History'!G123)),'Price History'!G123=0),"",'Price History'!G124/'Price History'!G123-1),"")</f>
        <v>0.0375694505688333</v>
      </c>
      <c r="H123" s="143" t="n">
        <f aca="false">IFERROR(IF(OR(NOT(ISNUMBER('Price History'!H124)),NOT(ISNUMBER('Price History'!H123)),'Price History'!H123=0),"",'Price History'!H124/'Price History'!H123-1),"")</f>
        <v>0.02096345753464</v>
      </c>
      <c r="I123" s="143" t="n">
        <f aca="false">IFERROR(IF(OR(NOT(ISNUMBER('Price History'!I124)),NOT(ISNUMBER('Price History'!I123)),'Price History'!I123=0),"",'Price History'!I124/'Price History'!I123-1),"")</f>
        <v>0.0984406993227278</v>
      </c>
      <c r="J123" s="143" t="n">
        <f aca="false">IFERROR(IF(OR(NOT(ISNUMBER('Price History'!J124)),NOT(ISNUMBER('Price History'!J123)),'Price History'!J123=0),"",'Price History'!J124/'Price History'!J123-1),"")</f>
        <v>0.0940553229285623</v>
      </c>
      <c r="K123" s="143" t="n">
        <f aca="false">IFERROR(IF(OR(NOT(ISNUMBER('Price History'!K124)),NOT(ISNUMBER('Price History'!K123)),'Price History'!K123=0),"",'Price History'!K124/'Price History'!K123-1),"")</f>
        <v>-0.0211241441537073</v>
      </c>
      <c r="L123" s="143" t="n">
        <f aca="false">IFERROR(IF(OR(NOT(ISNUMBER('Price History'!L124)),NOT(ISNUMBER('Price History'!L123)),'Price History'!L123=0),"",'Price History'!L124/'Price History'!L123-1),"")</f>
        <v>0.00269627279936557</v>
      </c>
      <c r="M123" s="143" t="n">
        <f aca="false">IFERROR(IF(OR(NOT(ISNUMBER('Price History'!M124)),NOT(ISNUMBER('Price History'!M123)),'Price History'!M123=0),"",'Price History'!M124/'Price History'!M123-1),"")</f>
        <v>0.0573692362683189</v>
      </c>
      <c r="N123" s="143" t="n">
        <f aca="false">IFERROR(IF(OR(NOT(ISNUMBER('Price History'!N124)),NOT(ISNUMBER('Price History'!N123)),'Price History'!N123=0),"",'Price History'!N124/'Price History'!N123-1),"")</f>
        <v>0.0295639320029564</v>
      </c>
      <c r="O123" s="143" t="n">
        <f aca="false">IFERROR(IF(OR(NOT(ISNUMBER('Price History'!O124)),NOT(ISNUMBER('Price History'!O123)),'Price History'!O123=0),"",'Price History'!O124/'Price History'!O123-1),"")</f>
        <v>0.00294216543375936</v>
      </c>
      <c r="P123" s="143" t="n">
        <f aca="false">IFERROR(IF(OR(NOT(ISNUMBER('Price History'!P124)),NOT(ISNUMBER('Price History'!P123)),'Price History'!P123=0),"",'Price History'!P124/'Price History'!P123-1),"")</f>
        <v>0.0125819878910192</v>
      </c>
      <c r="Q123" s="143" t="n">
        <f aca="false">IFERROR(IF(OR(NOT(ISNUMBER('Price History'!Q124)),NOT(ISNUMBER('Price History'!Q123)),'Price History'!Q123=0),"",'Price History'!Q124/'Price History'!Q123-1),"")</f>
        <v>0.0094944978368805</v>
      </c>
      <c r="R123" s="143" t="n">
        <f aca="false">IFERROR(IF(OR(NOT(ISNUMBER('Price History'!R124)),NOT(ISNUMBER('Price History'!R123)),'Price History'!R123=0),"",'Price History'!R124/'Price History'!R123-1),"")</f>
        <v>0.000170039108994935</v>
      </c>
      <c r="S123" s="143" t="n">
        <f aca="false">IFERROR(IF(OR(NOT(ISNUMBER('Price History'!S124)),NOT(ISNUMBER('Price History'!S123)),'Price History'!S123=0),"",'Price History'!S124/'Price History'!S123-1),"")</f>
        <v>0.00607725607725596</v>
      </c>
      <c r="T123" s="143" t="n">
        <f aca="false">IFERROR(IF(OR(NOT(ISNUMBER('Price History'!T124)),NOT(ISNUMBER('Price History'!T123)),'Price History'!T123=0),"",'Price History'!T124/'Price History'!T123-1),"")</f>
        <v>0.0154559505409584</v>
      </c>
      <c r="U123" s="143" t="str">
        <f aca="false">IFERROR(IF(OR(NOT(ISNUMBER('Price History'!U124)),NOT(ISNUMBER('Price History'!U123)),'Price History'!U123=0),"",'Price History'!U124/'Price History'!U123-1),"")</f>
        <v/>
      </c>
      <c r="V123" s="144" t="n">
        <f aca="false">IFERROR(IF(OR(NOT(ISNUMBER('Price History'!V124)),NOT(ISNUMBER('Price History'!V123)),'Price History'!V123=0),"",'Price History'!V124/'Price History'!V123-1),"")</f>
        <v>-0.00956563590422332</v>
      </c>
      <c r="W123" s="145" t="str">
        <f aca="false">IFERROR('Price History'!B3+(INDEX('Price History'!B:B,MATCH(9.99E+307,'Price History'!$A:$A))-'Price History'!B3)*(ROW()-3)/(MATCH(9.99E+307,'Returns (Calc)'!$A:$A)-3),"")</f>
        <v/>
      </c>
      <c r="X123" s="145" t="n">
        <f aca="false">IFERROR('Price History'!C3+(INDEX('Price History'!C:C,MATCH(9.99E+307,'Price History'!$A:$A))-'Price History'!C3)*(ROW()-3)/(MATCH(9.99E+307,'Returns (Calc)'!$A:$A)-3),"")</f>
        <v>11.3271698113208</v>
      </c>
      <c r="Y123" s="145" t="n">
        <f aca="false">IFERROR('Price History'!D3+(INDEX('Price History'!D:D,MATCH(9.99E+307,'Price History'!$A:$A))-'Price History'!D3)*(ROW()-3)/(MATCH(9.99E+307,'Returns (Calc)'!$A:$A)-3),"")</f>
        <v>142.757169811321</v>
      </c>
      <c r="Z123" s="145" t="n">
        <f aca="false">IFERROR('Price History'!E3+(INDEX('Price History'!E:E,MATCH(9.99E+307,'Price History'!$A:$A))-'Price History'!E3)*(ROW()-3)/(MATCH(9.99E+307,'Returns (Calc)'!$A:$A)-3),"")</f>
        <v>20.1132075471698</v>
      </c>
      <c r="AA123" s="145" t="n">
        <f aca="false">IFERROR('Price History'!F3+(INDEX('Price History'!F:F,MATCH(9.99E+307,'Price History'!$A:$A))-'Price History'!F3)*(ROW()-3)/(MATCH(9.99E+307,'Returns (Calc)'!$A:$A)-3),"")</f>
        <v>18.4722641509434</v>
      </c>
      <c r="AB123" s="145" t="n">
        <f aca="false">IFERROR('Price History'!G3+(INDEX('Price History'!G:G,MATCH(9.99E+307,'Price History'!$A:$A))-'Price History'!G3)*(ROW()-3)/(MATCH(9.99E+307,'Returns (Calc)'!$A:$A)-3),"")</f>
        <v>10.1449056603774</v>
      </c>
      <c r="AC123" s="145" t="n">
        <f aca="false">IFERROR('Price History'!H3+(INDEX('Price History'!H:H,MATCH(9.99E+307,'Price History'!$A:$A))-'Price History'!H3)*(ROW()-3)/(MATCH(9.99E+307,'Returns (Calc)'!$A:$A)-3),"")</f>
        <v>24.6730188679245</v>
      </c>
      <c r="AD123" s="145" t="n">
        <f aca="false">IFERROR('Price History'!I3+(INDEX('Price History'!I:I,MATCH(9.99E+307,'Price History'!$A:$A))-'Price History'!I3)*(ROW()-3)/(MATCH(9.99E+307,'Returns (Calc)'!$A:$A)-3),"")</f>
        <v>10.8783018867925</v>
      </c>
      <c r="AE123" s="145" t="n">
        <f aca="false">IFERROR('Price History'!J3+(INDEX('Price History'!J:J,MATCH(9.99E+307,'Price History'!$A:$A))-'Price History'!J3)*(ROW()-3)/(MATCH(9.99E+307,'Returns (Calc)'!$A:$A)-3),"")</f>
        <v>16.9515094339623</v>
      </c>
      <c r="AF123" s="145" t="n">
        <f aca="false">IFERROR('Price History'!K3+(INDEX('Price History'!K:K,MATCH(9.99E+307,'Price History'!$A:$A))-'Price History'!K3)*(ROW()-3)/(MATCH(9.99E+307,'Returns (Calc)'!$A:$A)-3),"")</f>
        <v>10.7360377358491</v>
      </c>
      <c r="AG123" s="145" t="n">
        <f aca="false">IFERROR('Price History'!L3+(INDEX('Price History'!L:L,MATCH(9.99E+307,'Price History'!$A:$A))-'Price History'!L3)*(ROW()-3)/(MATCH(9.99E+307,'Returns (Calc)'!$A:$A)-3),"")</f>
        <v>27.4324528301887</v>
      </c>
      <c r="AH123" s="145" t="n">
        <f aca="false">IFERROR('Price History'!M3+(INDEX('Price History'!M:M,MATCH(9.99E+307,'Price History'!$A:$A))-'Price History'!M3)*(ROW()-3)/(MATCH(9.99E+307,'Returns (Calc)'!$A:$A)-3),"")</f>
        <v>3.76018867924528</v>
      </c>
      <c r="AI123" s="145" t="n">
        <f aca="false">IFERROR('Price History'!N3+(INDEX('Price History'!N:N,MATCH(9.99E+307,'Price History'!$A:$A))-'Price History'!N3)*(ROW()-3)/(MATCH(9.99E+307,'Returns (Calc)'!$A:$A)-3),"")</f>
        <v>5.34716981132075</v>
      </c>
      <c r="AJ123" s="145" t="n">
        <f aca="false">IFERROR('Price History'!O3+(INDEX('Price History'!O:O,MATCH(9.99E+307,'Price History'!$A:$A))-'Price History'!O3)*(ROW()-3)/(MATCH(9.99E+307,'Returns (Calc)'!$A:$A)-3),"")</f>
        <v>14.1356603773585</v>
      </c>
      <c r="AK123" s="145" t="n">
        <f aca="false">IFERROR('Price History'!Q3+(INDEX('Price History'!Q:Q,MATCH(9.99E+307,'Price History'!$A:$A))-'Price History'!Q3)*(ROW()-3)/(MATCH(9.99E+307,'Returns (Calc)'!$A:$A)-3),"")</f>
        <v>57.7960377358491</v>
      </c>
      <c r="AL123" s="145" t="n">
        <f aca="false">IFERROR('Price History'!R3+(INDEX('Price History'!R:R,MATCH(9.99E+307,'Price History'!$A:$A))-'Price History'!R3)*(ROW()-3)/(MATCH(9.99E+307,'Returns (Calc)'!$A:$A)-3),"")</f>
        <v>11.7294339622642</v>
      </c>
      <c r="AM123" s="145" t="n">
        <f aca="false">IFERROR('Price History'!S3+(INDEX('Price History'!S:S,MATCH(9.99E+307,'Price History'!$A:$A))-'Price History'!S3)*(ROW()-3)/(MATCH(9.99E+307,'Returns (Calc)'!$A:$A)-3),"")</f>
        <v>14.3588679245283</v>
      </c>
      <c r="AN123" s="145" t="n">
        <f aca="false">IFERROR('Price History'!T3+(INDEX('Price History'!T:T,MATCH(9.99E+307,'Price History'!$A:$A))-'Price History'!T3)*(ROW()-3)/(MATCH(9.99E+307,'Returns (Calc)'!$A:$A)-3),"")</f>
        <v>6.60056603773585</v>
      </c>
      <c r="AO123" s="146" t="n">
        <f aca="false">IFERROR('Price History'!V3+(INDEX('Price History'!V:V,MATCH(9.99E+307,'Price History'!$A:$A))-'Price History'!V3)*(ROW()-3)/(MATCH(9.99E+307,'Returns (Calc)'!$A:$A)-3),"")</f>
        <v>0</v>
      </c>
    </row>
    <row r="124" customFormat="false" ht="15" hidden="false" customHeight="true" outlineLevel="0" collapsed="false">
      <c r="A124" s="142" t="n">
        <f aca="false">IF('Price History'!A125="","",'Price History'!A125)</f>
        <v>46038</v>
      </c>
      <c r="B124" s="143" t="n">
        <f aca="false">IFERROR(IF(OR(NOT(ISNUMBER('Price History'!B125)),NOT(ISNUMBER('Price History'!B124)),'Price History'!B124=0),"",'Price History'!B125/'Price History'!B124-1),"")</f>
        <v>-0.113280431202276</v>
      </c>
      <c r="C124" s="143" t="n">
        <f aca="false">IFERROR(IF(OR(NOT(ISNUMBER('Price History'!C125)),NOT(ISNUMBER('Price History'!C124)),'Price History'!C124=0),"",'Price History'!C125/'Price History'!C124-1),"")</f>
        <v>0.0564732687769551</v>
      </c>
      <c r="D124" s="143" t="n">
        <f aca="false">IFERROR(IF(OR(NOT(ISNUMBER('Price History'!D125)),NOT(ISNUMBER('Price History'!D124)),'Price History'!D124=0),"",'Price History'!D125/'Price History'!D124-1),"")</f>
        <v>0.0664778867162543</v>
      </c>
      <c r="E124" s="143" t="n">
        <f aca="false">IFERROR(IF(OR(NOT(ISNUMBER('Price History'!E125)),NOT(ISNUMBER('Price History'!E124)),'Price History'!E124=0),"",'Price History'!E125/'Price History'!E124-1),"")</f>
        <v>0.0195289728343244</v>
      </c>
      <c r="F124" s="143" t="n">
        <f aca="false">IFERROR(IF(OR(NOT(ISNUMBER('Price History'!F125)),NOT(ISNUMBER('Price History'!F124)),'Price History'!F124=0),"",'Price History'!F125/'Price History'!F124-1),"")</f>
        <v>0.0110055498071677</v>
      </c>
      <c r="G124" s="143" t="n">
        <f aca="false">IFERROR(IF(OR(NOT(ISNUMBER('Price History'!G125)),NOT(ISNUMBER('Price History'!G124)),'Price History'!G124=0),"",'Price History'!G125/'Price History'!G124-1),"")</f>
        <v>-0.0355291117722057</v>
      </c>
      <c r="H124" s="143" t="n">
        <f aca="false">IFERROR(IF(OR(NOT(ISNUMBER('Price History'!H125)),NOT(ISNUMBER('Price History'!H124)),'Price History'!H124=0),"",'Price History'!H125/'Price History'!H124-1),"")</f>
        <v>0.013008930454961</v>
      </c>
      <c r="I124" s="143" t="n">
        <f aca="false">IFERROR(IF(OR(NOT(ISNUMBER('Price History'!I125)),NOT(ISNUMBER('Price History'!I124)),'Price History'!I124=0),"",'Price History'!I125/'Price History'!I124-1),"")</f>
        <v>0.1198738170347</v>
      </c>
      <c r="J124" s="143" t="n">
        <f aca="false">IFERROR(IF(OR(NOT(ISNUMBER('Price History'!J125)),NOT(ISNUMBER('Price History'!J124)),'Price History'!J124=0),"",'Price History'!J125/'Price History'!J124-1),"")</f>
        <v>0.0511757371915684</v>
      </c>
      <c r="K124" s="143" t="n">
        <f aca="false">IFERROR(IF(OR(NOT(ISNUMBER('Price History'!K125)),NOT(ISNUMBER('Price History'!K124)),'Price History'!K124=0),"",'Price History'!K125/'Price History'!K124-1),"")</f>
        <v>0.00742829257712963</v>
      </c>
      <c r="L124" s="143" t="n">
        <f aca="false">IFERROR(IF(OR(NOT(ISNUMBER('Price History'!L125)),NOT(ISNUMBER('Price History'!L124)),'Price History'!L124=0),"",'Price History'!L125/'Price History'!L124-1),"")</f>
        <v>0.0294210692818728</v>
      </c>
      <c r="M124" s="143" t="n">
        <f aca="false">IFERROR(IF(OR(NOT(ISNUMBER('Price History'!M125)),NOT(ISNUMBER('Price History'!M124)),'Price History'!M124=0),"",'Price History'!M125/'Price History'!M124-1),"")</f>
        <v>-0.0367908051157811</v>
      </c>
      <c r="N124" s="143" t="n">
        <f aca="false">IFERROR(IF(OR(NOT(ISNUMBER('Price History'!N125)),NOT(ISNUMBER('Price History'!N124)),'Price History'!N124=0),"",'Price History'!N125/'Price History'!N124-1),"")</f>
        <v>0.0125628140703518</v>
      </c>
      <c r="O124" s="143" t="n">
        <f aca="false">IFERROR(IF(OR(NOT(ISNUMBER('Price History'!O125)),NOT(ISNUMBER('Price History'!O124)),'Price History'!O124=0),"",'Price History'!O125/'Price History'!O124-1),"")</f>
        <v>-0.000251445813427176</v>
      </c>
      <c r="P124" s="143" t="n">
        <f aca="false">IFERROR(IF(OR(NOT(ISNUMBER('Price History'!P125)),NOT(ISNUMBER('Price History'!P124)),'Price History'!P124=0),"",'Price History'!P125/'Price History'!P124-1),"")</f>
        <v>0.0579863598143939</v>
      </c>
      <c r="Q124" s="143" t="n">
        <f aca="false">IFERROR(IF(OR(NOT(ISNUMBER('Price History'!Q125)),NOT(ISNUMBER('Price History'!Q124)),'Price History'!Q124=0),"",'Price History'!Q125/'Price History'!Q124-1),"")</f>
        <v>-0.0613782788771284</v>
      </c>
      <c r="R124" s="143" t="n">
        <f aca="false">IFERROR(IF(OR(NOT(ISNUMBER('Price History'!R125)),NOT(ISNUMBER('Price History'!R124)),'Price History'!R124=0),"",'Price History'!R125/'Price History'!R124-1),"")</f>
        <v>-0.0108806528391704</v>
      </c>
      <c r="S124" s="143" t="n">
        <f aca="false">IFERROR(IF(OR(NOT(ISNUMBER('Price History'!S125)),NOT(ISNUMBER('Price History'!S124)),'Price History'!S124=0),"",'Price History'!S125/'Price History'!S124-1),"")</f>
        <v>-0.014480761274307</v>
      </c>
      <c r="T124" s="143" t="n">
        <f aca="false">IFERROR(IF(OR(NOT(ISNUMBER('Price History'!T125)),NOT(ISNUMBER('Price History'!T124)),'Price History'!T124=0),"",'Price History'!T125/'Price History'!T124-1),"")</f>
        <v>0.00710299340436338</v>
      </c>
      <c r="U124" s="143" t="str">
        <f aca="false">IFERROR(IF(OR(NOT(ISNUMBER('Price History'!U125)),NOT(ISNUMBER('Price History'!U124)),'Price History'!U124=0),"",'Price History'!U125/'Price History'!U124-1),"")</f>
        <v/>
      </c>
      <c r="V124" s="144" t="n">
        <f aca="false">IFERROR(IF(OR(NOT(ISNUMBER('Price History'!V125)),NOT(ISNUMBER('Price History'!V124)),'Price History'!V124=0),"",'Price History'!V125/'Price History'!V124-1),"")</f>
        <v>0.0500820020652373</v>
      </c>
      <c r="W124" s="145" t="str">
        <f aca="false">IFERROR('Price History'!B3+(INDEX('Price History'!B:B,MATCH(9.99E+307,'Price History'!$A:$A))-'Price History'!B3)*(ROW()-3)/(MATCH(9.99E+307,'Returns (Calc)'!$A:$A)-3),"")</f>
        <v/>
      </c>
      <c r="X124" s="145" t="n">
        <f aca="false">IFERROR('Price History'!C3+(INDEX('Price History'!C:C,MATCH(9.99E+307,'Price History'!$A:$A))-'Price History'!C3)*(ROW()-3)/(MATCH(9.99E+307,'Returns (Calc)'!$A:$A)-3),"")</f>
        <v>11.0367295597484</v>
      </c>
      <c r="Y124" s="145" t="n">
        <f aca="false">IFERROR('Price History'!D3+(INDEX('Price History'!D:D,MATCH(9.99E+307,'Price History'!$A:$A))-'Price History'!D3)*(ROW()-3)/(MATCH(9.99E+307,'Returns (Calc)'!$A:$A)-3),"")</f>
        <v>139.096729559749</v>
      </c>
      <c r="Z124" s="145" t="n">
        <f aca="false">IFERROR('Price History'!E3+(INDEX('Price History'!E:E,MATCH(9.99E+307,'Price History'!$A:$A))-'Price History'!E3)*(ROW()-3)/(MATCH(9.99E+307,'Returns (Calc)'!$A:$A)-3),"")</f>
        <v>19.5974842767296</v>
      </c>
      <c r="AA124" s="145" t="n">
        <f aca="false">IFERROR('Price History'!F3+(INDEX('Price History'!F:F,MATCH(9.99E+307,'Price History'!$A:$A))-'Price History'!F3)*(ROW()-3)/(MATCH(9.99E+307,'Returns (Calc)'!$A:$A)-3),"")</f>
        <v>17.9986163522013</v>
      </c>
      <c r="AB124" s="145" t="n">
        <f aca="false">IFERROR('Price History'!G3+(INDEX('Price History'!G:G,MATCH(9.99E+307,'Price History'!$A:$A))-'Price History'!G3)*(ROW()-3)/(MATCH(9.99E+307,'Returns (Calc)'!$A:$A)-3),"")</f>
        <v>9.88477987421384</v>
      </c>
      <c r="AC124" s="145" t="n">
        <f aca="false">IFERROR('Price History'!H3+(INDEX('Price History'!H:H,MATCH(9.99E+307,'Price History'!$A:$A))-'Price History'!H3)*(ROW()-3)/(MATCH(9.99E+307,'Returns (Calc)'!$A:$A)-3),"")</f>
        <v>24.0403773584906</v>
      </c>
      <c r="AD124" s="145" t="n">
        <f aca="false">IFERROR('Price History'!I3+(INDEX('Price History'!I:I,MATCH(9.99E+307,'Price History'!$A:$A))-'Price History'!I3)*(ROW()-3)/(MATCH(9.99E+307,'Returns (Calc)'!$A:$A)-3),"")</f>
        <v>10.5993710691824</v>
      </c>
      <c r="AE124" s="145" t="n">
        <f aca="false">IFERROR('Price History'!J3+(INDEX('Price History'!J:J,MATCH(9.99E+307,'Price History'!$A:$A))-'Price History'!J3)*(ROW()-3)/(MATCH(9.99E+307,'Returns (Calc)'!$A:$A)-3),"")</f>
        <v>16.516855345912</v>
      </c>
      <c r="AF124" s="145" t="n">
        <f aca="false">IFERROR('Price History'!K3+(INDEX('Price History'!K:K,MATCH(9.99E+307,'Price History'!$A:$A))-'Price History'!K3)*(ROW()-3)/(MATCH(9.99E+307,'Returns (Calc)'!$A:$A)-3),"")</f>
        <v>10.4607547169811</v>
      </c>
      <c r="AG124" s="145" t="n">
        <f aca="false">IFERROR('Price History'!L3+(INDEX('Price History'!L:L,MATCH(9.99E+307,'Price History'!$A:$A))-'Price History'!L3)*(ROW()-3)/(MATCH(9.99E+307,'Returns (Calc)'!$A:$A)-3),"")</f>
        <v>26.7290566037736</v>
      </c>
      <c r="AH124" s="145" t="n">
        <f aca="false">IFERROR('Price History'!M3+(INDEX('Price History'!M:M,MATCH(9.99E+307,'Price History'!$A:$A))-'Price History'!M3)*(ROW()-3)/(MATCH(9.99E+307,'Returns (Calc)'!$A:$A)-3),"")</f>
        <v>3.66377358490566</v>
      </c>
      <c r="AI124" s="145" t="n">
        <f aca="false">IFERROR('Price History'!N3+(INDEX('Price History'!N:N,MATCH(9.99E+307,'Price History'!$A:$A))-'Price History'!N3)*(ROW()-3)/(MATCH(9.99E+307,'Returns (Calc)'!$A:$A)-3),"")</f>
        <v>5.21006289308176</v>
      </c>
      <c r="AJ124" s="145" t="n">
        <f aca="false">IFERROR('Price History'!O3+(INDEX('Price History'!O:O,MATCH(9.99E+307,'Price History'!$A:$A))-'Price History'!O3)*(ROW()-3)/(MATCH(9.99E+307,'Returns (Calc)'!$A:$A)-3),"")</f>
        <v>13.7732075471698</v>
      </c>
      <c r="AK124" s="145" t="n">
        <f aca="false">IFERROR('Price History'!Q3+(INDEX('Price History'!Q:Q,MATCH(9.99E+307,'Price History'!$A:$A))-'Price History'!Q3)*(ROW()-3)/(MATCH(9.99E+307,'Returns (Calc)'!$A:$A)-3),"")</f>
        <v>56.3140880503145</v>
      </c>
      <c r="AL124" s="145" t="n">
        <f aca="false">IFERROR('Price History'!R3+(INDEX('Price History'!R:R,MATCH(9.99E+307,'Price History'!$A:$A))-'Price History'!R3)*(ROW()-3)/(MATCH(9.99E+307,'Returns (Calc)'!$A:$A)-3),"")</f>
        <v>11.428679245283</v>
      </c>
      <c r="AM124" s="145" t="n">
        <f aca="false">IFERROR('Price History'!S3+(INDEX('Price History'!S:S,MATCH(9.99E+307,'Price History'!$A:$A))-'Price History'!S3)*(ROW()-3)/(MATCH(9.99E+307,'Returns (Calc)'!$A:$A)-3),"")</f>
        <v>13.9906918238994</v>
      </c>
      <c r="AN124" s="145" t="n">
        <f aca="false">IFERROR('Price History'!T3+(INDEX('Price History'!T:T,MATCH(9.99E+307,'Price History'!$A:$A))-'Price History'!T3)*(ROW()-3)/(MATCH(9.99E+307,'Returns (Calc)'!$A:$A)-3),"")</f>
        <v>6.43132075471698</v>
      </c>
      <c r="AO124" s="146" t="n">
        <f aca="false">IFERROR('Price History'!V3+(INDEX('Price History'!V:V,MATCH(9.99E+307,'Price History'!$A:$A))-'Price History'!V3)*(ROW()-3)/(MATCH(9.99E+307,'Returns (Calc)'!$A:$A)-3),"")</f>
        <v>0</v>
      </c>
    </row>
    <row r="125" customFormat="false" ht="15" hidden="false" customHeight="true" outlineLevel="0" collapsed="false">
      <c r="A125" s="142" t="n">
        <f aca="false">IF('Price History'!A126="","",'Price History'!A126)</f>
        <v>46045</v>
      </c>
      <c r="B125" s="143" t="n">
        <f aca="false">IFERROR(IF(OR(NOT(ISNUMBER('Price History'!B126)),NOT(ISNUMBER('Price History'!B125)),'Price History'!B125=0),"",'Price History'!B126/'Price History'!B125-1),"")</f>
        <v>0.0167161961367013</v>
      </c>
      <c r="C125" s="143" t="n">
        <f aca="false">IFERROR(IF(OR(NOT(ISNUMBER('Price History'!C126)),NOT(ISNUMBER('Price History'!C125)),'Price History'!C125=0),"",'Price History'!C126/'Price History'!C125-1),"")</f>
        <v>0.0501424940306554</v>
      </c>
      <c r="D125" s="143" t="n">
        <f aca="false">IFERROR(IF(OR(NOT(ISNUMBER('Price History'!D126)),NOT(ISNUMBER('Price History'!D125)),'Price History'!D125=0),"",'Price History'!D126/'Price History'!D125-1),"")</f>
        <v>0.0224322705185385</v>
      </c>
      <c r="E125" s="143" t="n">
        <f aca="false">IFERROR(IF(OR(NOT(ISNUMBER('Price History'!E126)),NOT(ISNUMBER('Price History'!E125)),'Price History'!E125=0),"",'Price History'!E126/'Price History'!E125-1),"")</f>
        <v>-0.0899994282120189</v>
      </c>
      <c r="F125" s="143" t="n">
        <f aca="false">IFERROR(IF(OR(NOT(ISNUMBER('Price History'!F126)),NOT(ISNUMBER('Price History'!F125)),'Price History'!F125=0),"",'Price History'!F126/'Price History'!F125-1),"")</f>
        <v>-0.000186081131373417</v>
      </c>
      <c r="G125" s="143" t="n">
        <f aca="false">IFERROR(IF(OR(NOT(ISNUMBER('Price History'!G126)),NOT(ISNUMBER('Price History'!G125)),'Price History'!G125=0),"",'Price History'!G126/'Price History'!G125-1),"")</f>
        <v>-0.00308451573103019</v>
      </c>
      <c r="H125" s="143" t="n">
        <f aca="false">IFERROR(IF(OR(NOT(ISNUMBER('Price History'!H126)),NOT(ISNUMBER('Price History'!H125)),'Price History'!H125=0),"",'Price History'!H126/'Price History'!H125-1),"")</f>
        <v>0.0024989587671802</v>
      </c>
      <c r="I125" s="143" t="n">
        <f aca="false">IFERROR(IF(OR(NOT(ISNUMBER('Price History'!I126)),NOT(ISNUMBER('Price History'!I125)),'Price History'!I125=0),"",'Price History'!I126/'Price History'!I125-1),"")</f>
        <v>-0.0350832266325224</v>
      </c>
      <c r="J125" s="143" t="n">
        <f aca="false">IFERROR(IF(OR(NOT(ISNUMBER('Price History'!J126)),NOT(ISNUMBER('Price History'!J125)),'Price History'!J125=0),"",'Price History'!J126/'Price History'!J125-1),"")</f>
        <v>0.101726706018646</v>
      </c>
      <c r="K125" s="143" t="n">
        <f aca="false">IFERROR(IF(OR(NOT(ISNUMBER('Price History'!K126)),NOT(ISNUMBER('Price History'!K125)),'Price History'!K125=0),"",'Price History'!K126/'Price History'!K125-1),"")</f>
        <v>0.00769644779332612</v>
      </c>
      <c r="L125" s="143" t="n">
        <f aca="false">IFERROR(IF(OR(NOT(ISNUMBER('Price History'!L126)),NOT(ISNUMBER('Price History'!L125)),'Price History'!L125=0),"",'Price History'!L126/'Price History'!L125-1),"")</f>
        <v>-0.0454824830977258</v>
      </c>
      <c r="M125" s="143" t="n">
        <f aca="false">IFERROR(IF(OR(NOT(ISNUMBER('Price History'!M126)),NOT(ISNUMBER('Price History'!M125)),'Price History'!M125=0),"",'Price History'!M126/'Price History'!M125-1),"")</f>
        <v>-0.0079550772110436</v>
      </c>
      <c r="N125" s="143" t="n">
        <f aca="false">IFERROR(IF(OR(NOT(ISNUMBER('Price History'!N126)),NOT(ISNUMBER('Price History'!N125)),'Price History'!N125=0),"",'Price History'!N126/'Price History'!N125-1),"")</f>
        <v>0.00815313718539534</v>
      </c>
      <c r="O125" s="143" t="n">
        <f aca="false">IFERROR(IF(OR(NOT(ISNUMBER('Price History'!O126)),NOT(ISNUMBER('Price History'!O125)),'Price History'!O125=0),"",'Price History'!O126/'Price History'!O125-1),"")</f>
        <v>-0.017270288397049</v>
      </c>
      <c r="P125" s="143" t="n">
        <f aca="false">IFERROR(IF(OR(NOT(ISNUMBER('Price History'!P126)),NOT(ISNUMBER('Price History'!P125)),'Price History'!P125=0),"",'Price History'!P126/'Price History'!P125-1),"")</f>
        <v>-0.0219880493332941</v>
      </c>
      <c r="Q125" s="143" t="n">
        <f aca="false">IFERROR(IF(OR(NOT(ISNUMBER('Price History'!Q126)),NOT(ISNUMBER('Price History'!Q125)),'Price History'!Q125=0),"",'Price History'!Q126/'Price History'!Q125-1),"")</f>
        <v>-0.00646564932279203</v>
      </c>
      <c r="R125" s="143" t="n">
        <f aca="false">IFERROR(IF(OR(NOT(ISNUMBER('Price History'!R126)),NOT(ISNUMBER('Price History'!R125)),'Price History'!R125=0),"",'Price History'!R126/'Price History'!R125-1),"")</f>
        <v>0.00756273633551041</v>
      </c>
      <c r="S125" s="143" t="n">
        <f aca="false">IFERROR(IF(OR(NOT(ISNUMBER('Price History'!S126)),NOT(ISNUMBER('Price History'!S125)),'Price History'!S125=0),"",'Price History'!S126/'Price History'!S125-1),"")</f>
        <v>0.00361041141897567</v>
      </c>
      <c r="T125" s="143" t="n">
        <f aca="false">IFERROR(IF(OR(NOT(ISNUMBER('Price History'!T126)),NOT(ISNUMBER('Price History'!T125)),'Price History'!T125=0),"",'Price History'!T126/'Price History'!T125-1),"")</f>
        <v>-0.00428211586901772</v>
      </c>
      <c r="U125" s="143" t="str">
        <f aca="false">IFERROR(IF(OR(NOT(ISNUMBER('Price History'!U126)),NOT(ISNUMBER('Price History'!U125)),'Price History'!U125=0),"",'Price History'!U126/'Price History'!U125-1),"")</f>
        <v/>
      </c>
      <c r="V125" s="144" t="n">
        <f aca="false">IFERROR(IF(OR(NOT(ISNUMBER('Price History'!V126)),NOT(ISNUMBER('Price History'!V125)),'Price History'!V125=0),"",'Price History'!V126/'Price History'!V125-1),"")</f>
        <v>0.00410701373825018</v>
      </c>
      <c r="W125" s="145" t="str">
        <f aca="false">IFERROR('Price History'!B3+(INDEX('Price History'!B:B,MATCH(9.99E+307,'Price History'!$A:$A))-'Price History'!B3)*(ROW()-3)/(MATCH(9.99E+307,'Returns (Calc)'!$A:$A)-3),"")</f>
        <v/>
      </c>
      <c r="X125" s="145" t="n">
        <f aca="false">IFERROR('Price History'!C3+(INDEX('Price History'!C:C,MATCH(9.99E+307,'Price History'!$A:$A))-'Price History'!C3)*(ROW()-3)/(MATCH(9.99E+307,'Returns (Calc)'!$A:$A)-3),"")</f>
        <v>10.7462893081761</v>
      </c>
      <c r="Y125" s="145" t="n">
        <f aca="false">IFERROR('Price History'!D3+(INDEX('Price History'!D:D,MATCH(9.99E+307,'Price History'!$A:$A))-'Price History'!D3)*(ROW()-3)/(MATCH(9.99E+307,'Returns (Calc)'!$A:$A)-3),"")</f>
        <v>135.436289308176</v>
      </c>
      <c r="Z125" s="145" t="n">
        <f aca="false">IFERROR('Price History'!E3+(INDEX('Price History'!E:E,MATCH(9.99E+307,'Price History'!$A:$A))-'Price History'!E3)*(ROW()-3)/(MATCH(9.99E+307,'Returns (Calc)'!$A:$A)-3),"")</f>
        <v>19.0817610062893</v>
      </c>
      <c r="AA125" s="145" t="n">
        <f aca="false">IFERROR('Price History'!F3+(INDEX('Price History'!F:F,MATCH(9.99E+307,'Price History'!$A:$A))-'Price History'!F3)*(ROW()-3)/(MATCH(9.99E+307,'Returns (Calc)'!$A:$A)-3),"")</f>
        <v>17.5249685534591</v>
      </c>
      <c r="AB125" s="145" t="n">
        <f aca="false">IFERROR('Price History'!G3+(INDEX('Price History'!G:G,MATCH(9.99E+307,'Price History'!$A:$A))-'Price History'!G3)*(ROW()-3)/(MATCH(9.99E+307,'Returns (Calc)'!$A:$A)-3),"")</f>
        <v>9.62465408805031</v>
      </c>
      <c r="AC125" s="145" t="n">
        <f aca="false">IFERROR('Price History'!H3+(INDEX('Price History'!H:H,MATCH(9.99E+307,'Price History'!$A:$A))-'Price History'!H3)*(ROW()-3)/(MATCH(9.99E+307,'Returns (Calc)'!$A:$A)-3),"")</f>
        <v>23.4077358490566</v>
      </c>
      <c r="AD125" s="145" t="n">
        <f aca="false">IFERROR('Price History'!I3+(INDEX('Price History'!I:I,MATCH(9.99E+307,'Price History'!$A:$A))-'Price History'!I3)*(ROW()-3)/(MATCH(9.99E+307,'Returns (Calc)'!$A:$A)-3),"")</f>
        <v>10.3204402515723</v>
      </c>
      <c r="AE125" s="145" t="n">
        <f aca="false">IFERROR('Price History'!J3+(INDEX('Price History'!J:J,MATCH(9.99E+307,'Price History'!$A:$A))-'Price History'!J3)*(ROW()-3)/(MATCH(9.99E+307,'Returns (Calc)'!$A:$A)-3),"")</f>
        <v>16.0822012578616</v>
      </c>
      <c r="AF125" s="145" t="n">
        <f aca="false">IFERROR('Price History'!K3+(INDEX('Price History'!K:K,MATCH(9.99E+307,'Price History'!$A:$A))-'Price History'!K3)*(ROW()-3)/(MATCH(9.99E+307,'Returns (Calc)'!$A:$A)-3),"")</f>
        <v>10.1854716981132</v>
      </c>
      <c r="AG125" s="145" t="n">
        <f aca="false">IFERROR('Price History'!L3+(INDEX('Price History'!L:L,MATCH(9.99E+307,'Price History'!$A:$A))-'Price History'!L3)*(ROW()-3)/(MATCH(9.99E+307,'Returns (Calc)'!$A:$A)-3),"")</f>
        <v>26.0256603773585</v>
      </c>
      <c r="AH125" s="145" t="n">
        <f aca="false">IFERROR('Price History'!M3+(INDEX('Price History'!M:M,MATCH(9.99E+307,'Price History'!$A:$A))-'Price History'!M3)*(ROW()-3)/(MATCH(9.99E+307,'Returns (Calc)'!$A:$A)-3),"")</f>
        <v>3.56735849056604</v>
      </c>
      <c r="AI125" s="145" t="n">
        <f aca="false">IFERROR('Price History'!N3+(INDEX('Price History'!N:N,MATCH(9.99E+307,'Price History'!$A:$A))-'Price History'!N3)*(ROW()-3)/(MATCH(9.99E+307,'Returns (Calc)'!$A:$A)-3),"")</f>
        <v>5.07295597484277</v>
      </c>
      <c r="AJ125" s="145" t="n">
        <f aca="false">IFERROR('Price History'!O3+(INDEX('Price History'!O:O,MATCH(9.99E+307,'Price History'!$A:$A))-'Price History'!O3)*(ROW()-3)/(MATCH(9.99E+307,'Returns (Calc)'!$A:$A)-3),"")</f>
        <v>13.4107547169811</v>
      </c>
      <c r="AK125" s="145" t="n">
        <f aca="false">IFERROR('Price History'!Q3+(INDEX('Price History'!Q:Q,MATCH(9.99E+307,'Price History'!$A:$A))-'Price History'!Q3)*(ROW()-3)/(MATCH(9.99E+307,'Returns (Calc)'!$A:$A)-3),"")</f>
        <v>54.8321383647799</v>
      </c>
      <c r="AL125" s="145" t="n">
        <f aca="false">IFERROR('Price History'!R3+(INDEX('Price History'!R:R,MATCH(9.99E+307,'Price History'!$A:$A))-'Price History'!R3)*(ROW()-3)/(MATCH(9.99E+307,'Returns (Calc)'!$A:$A)-3),"")</f>
        <v>11.1279245283019</v>
      </c>
      <c r="AM125" s="145" t="n">
        <f aca="false">IFERROR('Price History'!S3+(INDEX('Price History'!S:S,MATCH(9.99E+307,'Price History'!$A:$A))-'Price History'!S3)*(ROW()-3)/(MATCH(9.99E+307,'Returns (Calc)'!$A:$A)-3),"")</f>
        <v>13.6225157232704</v>
      </c>
      <c r="AN125" s="145" t="n">
        <f aca="false">IFERROR('Price History'!T3+(INDEX('Price History'!T:T,MATCH(9.99E+307,'Price History'!$A:$A))-'Price History'!T3)*(ROW()-3)/(MATCH(9.99E+307,'Returns (Calc)'!$A:$A)-3),"")</f>
        <v>6.26207547169812</v>
      </c>
      <c r="AO125" s="146" t="n">
        <f aca="false">IFERROR('Price History'!V3+(INDEX('Price History'!V:V,MATCH(9.99E+307,'Price History'!$A:$A))-'Price History'!V3)*(ROW()-3)/(MATCH(9.99E+307,'Returns (Calc)'!$A:$A)-3),"")</f>
        <v>0</v>
      </c>
    </row>
    <row r="126" customFormat="false" ht="15" hidden="false" customHeight="true" outlineLevel="0" collapsed="false">
      <c r="A126" s="142" t="n">
        <f aca="false">IF('Price History'!A127="","",'Price History'!A127)</f>
        <v>46052</v>
      </c>
      <c r="B126" s="143" t="n">
        <f aca="false">IFERROR(IF(OR(NOT(ISNUMBER('Price History'!B127)),NOT(ISNUMBER('Price History'!B126)),'Price History'!B126=0),"",'Price History'!B127/'Price History'!B126-1),"")</f>
        <v>-0.025974025974026</v>
      </c>
      <c r="C126" s="143" t="n">
        <f aca="false">IFERROR(IF(OR(NOT(ISNUMBER('Price History'!C127)),NOT(ISNUMBER('Price History'!C126)),'Price History'!C126=0),"",'Price History'!C127/'Price History'!C126-1),"")</f>
        <v>0.0396068651899664</v>
      </c>
      <c r="D126" s="143" t="n">
        <f aca="false">IFERROR(IF(OR(NOT(ISNUMBER('Price History'!D127)),NOT(ISNUMBER('Price History'!D126)),'Price History'!D126=0),"",'Price History'!D127/'Price History'!D126-1),"")</f>
        <v>0.0244502314814814</v>
      </c>
      <c r="E126" s="143" t="n">
        <f aca="false">IFERROR(IF(OR(NOT(ISNUMBER('Price History'!E127)),NOT(ISNUMBER('Price History'!E126)),'Price History'!E126=0),"",'Price History'!E127/'Price History'!E126-1),"")</f>
        <v>0.0351240967640591</v>
      </c>
      <c r="F126" s="143" t="n">
        <f aca="false">IFERROR(IF(OR(NOT(ISNUMBER('Price History'!F127)),NOT(ISNUMBER('Price History'!F126)),'Price History'!F126=0),"",'Price History'!F127/'Price History'!F126-1),"")</f>
        <v>0.00725851479620321</v>
      </c>
      <c r="G126" s="143" t="n">
        <f aca="false">IFERROR(IF(OR(NOT(ISNUMBER('Price History'!G127)),NOT(ISNUMBER('Price History'!G126)),'Price History'!G126=0),"",'Price History'!G127/'Price History'!G126-1),"")</f>
        <v>-0.0244872701555871</v>
      </c>
      <c r="H126" s="143" t="n">
        <f aca="false">IFERROR(IF(OR(NOT(ISNUMBER('Price History'!H127)),NOT(ISNUMBER('Price History'!H126)),'Price History'!H126=0),"",'Price History'!H127/'Price History'!H126-1),"")</f>
        <v>0.0173798642847252</v>
      </c>
      <c r="I126" s="143" t="n">
        <f aca="false">IFERROR(IF(OR(NOT(ISNUMBER('Price History'!I127)),NOT(ISNUMBER('Price History'!I126)),'Price History'!I126=0),"",'Price History'!I127/'Price History'!I126-1),"")</f>
        <v>-0.0560642250530785</v>
      </c>
      <c r="J126" s="143" t="n">
        <f aca="false">IFERROR(IF(OR(NOT(ISNUMBER('Price History'!J127)),NOT(ISNUMBER('Price History'!J126)),'Price History'!J126=0),"",'Price History'!J127/'Price History'!J126-1),"")</f>
        <v>0.0381052526162935</v>
      </c>
      <c r="K126" s="143" t="n">
        <f aca="false">IFERROR(IF(OR(NOT(ISNUMBER('Price History'!K127)),NOT(ISNUMBER('Price History'!K126)),'Price History'!K126=0),"",'Price History'!K127/'Price History'!K126-1),"")</f>
        <v>0.0184265342092613</v>
      </c>
      <c r="L126" s="143" t="n">
        <f aca="false">IFERROR(IF(OR(NOT(ISNUMBER('Price History'!L127)),NOT(ISNUMBER('Price History'!L126)),'Price History'!L126=0),"",'Price History'!L127/'Price History'!L126-1),"")</f>
        <v>0.0268029620090149</v>
      </c>
      <c r="M126" s="143" t="n">
        <f aca="false">IFERROR(IF(OR(NOT(ISNUMBER('Price History'!M127)),NOT(ISNUMBER('Price History'!M126)),'Price History'!M126=0),"",'Price History'!M127/'Price History'!M126-1),"")</f>
        <v>-0.135672169811321</v>
      </c>
      <c r="N126" s="143" t="n">
        <f aca="false">IFERROR(IF(OR(NOT(ISNUMBER('Price History'!N127)),NOT(ISNUMBER('Price History'!N126)),'Price History'!N126=0),"",'Price History'!N127/'Price History'!N126-1),"")</f>
        <v>0.0232067510548524</v>
      </c>
      <c r="O126" s="143" t="n">
        <f aca="false">IFERROR(IF(OR(NOT(ISNUMBER('Price History'!O127)),NOT(ISNUMBER('Price History'!O126)),'Price History'!O126=0),"",'Price History'!O127/'Price History'!O126-1),"")</f>
        <v>0.0164647671045897</v>
      </c>
      <c r="P126" s="143" t="n">
        <f aca="false">IFERROR(IF(OR(NOT(ISNUMBER('Price History'!P127)),NOT(ISNUMBER('Price History'!P126)),'Price History'!P126=0),"",'Price History'!P127/'Price History'!P126-1),"")</f>
        <v>-0.0128814783603202</v>
      </c>
      <c r="Q126" s="143" t="n">
        <f aca="false">IFERROR(IF(OR(NOT(ISNUMBER('Price History'!Q127)),NOT(ISNUMBER('Price History'!Q126)),'Price History'!Q126=0),"",'Price History'!Q127/'Price History'!Q126-1),"")</f>
        <v>-0.013323875026987</v>
      </c>
      <c r="R126" s="143" t="n">
        <f aca="false">IFERROR(IF(OR(NOT(ISNUMBER('Price History'!R127)),NOT(ISNUMBER('Price History'!R126)),'Price History'!R126=0),"",'Price History'!R127/'Price History'!R126-1),"")</f>
        <v>0.0122824974411464</v>
      </c>
      <c r="S126" s="143" t="n">
        <f aca="false">IFERROR(IF(OR(NOT(ISNUMBER('Price History'!S127)),NOT(ISNUMBER('Price History'!S126)),'Price History'!S126=0),"",'Price History'!S127/'Price History'!S126-1),"")</f>
        <v>0.0154772860369781</v>
      </c>
      <c r="T126" s="143" t="n">
        <f aca="false">IFERROR(IF(OR(NOT(ISNUMBER('Price History'!T127)),NOT(ISNUMBER('Price History'!T126)),'Price History'!T126=0),"",'Price History'!T127/'Price History'!T126-1),"")</f>
        <v>0.00657728307614458</v>
      </c>
      <c r="U126" s="143" t="str">
        <f aca="false">IFERROR(IF(OR(NOT(ISNUMBER('Price History'!U127)),NOT(ISNUMBER('Price History'!U126)),'Price History'!U126=0),"",'Price History'!U127/'Price History'!U126-1),"")</f>
        <v/>
      </c>
      <c r="V126" s="144" t="n">
        <f aca="false">IFERROR(IF(OR(NOT(ISNUMBER('Price History'!V127)),NOT(ISNUMBER('Price History'!V126)),'Price History'!V126=0),"",'Price History'!V127/'Price History'!V126-1),"")</f>
        <v>0.0164472736699599</v>
      </c>
      <c r="W126" s="145" t="str">
        <f aca="false">IFERROR('Price History'!B3+(INDEX('Price History'!B:B,MATCH(9.99E+307,'Price History'!$A:$A))-'Price History'!B3)*(ROW()-3)/(MATCH(9.99E+307,'Returns (Calc)'!$A:$A)-3),"")</f>
        <v/>
      </c>
      <c r="X126" s="145" t="n">
        <f aca="false">IFERROR('Price History'!C3+(INDEX('Price History'!C:C,MATCH(9.99E+307,'Price History'!$A:$A))-'Price History'!C3)*(ROW()-3)/(MATCH(9.99E+307,'Returns (Calc)'!$A:$A)-3),"")</f>
        <v>10.4558490566038</v>
      </c>
      <c r="Y126" s="145" t="n">
        <f aca="false">IFERROR('Price History'!D3+(INDEX('Price History'!D:D,MATCH(9.99E+307,'Price History'!$A:$A))-'Price History'!D3)*(ROW()-3)/(MATCH(9.99E+307,'Returns (Calc)'!$A:$A)-3),"")</f>
        <v>131.775849056604</v>
      </c>
      <c r="Z126" s="145" t="n">
        <f aca="false">IFERROR('Price History'!E3+(INDEX('Price History'!E:E,MATCH(9.99E+307,'Price History'!$A:$A))-'Price History'!E3)*(ROW()-3)/(MATCH(9.99E+307,'Returns (Calc)'!$A:$A)-3),"")</f>
        <v>18.5660377358491</v>
      </c>
      <c r="AA126" s="145" t="n">
        <f aca="false">IFERROR('Price History'!F3+(INDEX('Price History'!F:F,MATCH(9.99E+307,'Price History'!$A:$A))-'Price History'!F3)*(ROW()-3)/(MATCH(9.99E+307,'Returns (Calc)'!$A:$A)-3),"")</f>
        <v>17.051320754717</v>
      </c>
      <c r="AB126" s="145" t="n">
        <f aca="false">IFERROR('Price History'!G3+(INDEX('Price History'!G:G,MATCH(9.99E+307,'Price History'!$A:$A))-'Price History'!G3)*(ROW()-3)/(MATCH(9.99E+307,'Returns (Calc)'!$A:$A)-3),"")</f>
        <v>9.36452830188679</v>
      </c>
      <c r="AC126" s="145" t="n">
        <f aca="false">IFERROR('Price History'!H3+(INDEX('Price History'!H:H,MATCH(9.99E+307,'Price History'!$A:$A))-'Price History'!H3)*(ROW()-3)/(MATCH(9.99E+307,'Returns (Calc)'!$A:$A)-3),"")</f>
        <v>22.7750943396226</v>
      </c>
      <c r="AD126" s="145" t="n">
        <f aca="false">IFERROR('Price History'!I3+(INDEX('Price History'!I:I,MATCH(9.99E+307,'Price History'!$A:$A))-'Price History'!I3)*(ROW()-3)/(MATCH(9.99E+307,'Returns (Calc)'!$A:$A)-3),"")</f>
        <v>10.0415094339623</v>
      </c>
      <c r="AE126" s="145" t="n">
        <f aca="false">IFERROR('Price History'!J3+(INDEX('Price History'!J:J,MATCH(9.99E+307,'Price History'!$A:$A))-'Price History'!J3)*(ROW()-3)/(MATCH(9.99E+307,'Returns (Calc)'!$A:$A)-3),"")</f>
        <v>15.6475471698113</v>
      </c>
      <c r="AF126" s="145" t="n">
        <f aca="false">IFERROR('Price History'!K3+(INDEX('Price History'!K:K,MATCH(9.99E+307,'Price History'!$A:$A))-'Price History'!K3)*(ROW()-3)/(MATCH(9.99E+307,'Returns (Calc)'!$A:$A)-3),"")</f>
        <v>9.91018867924529</v>
      </c>
      <c r="AG126" s="145" t="n">
        <f aca="false">IFERROR('Price History'!L3+(INDEX('Price History'!L:L,MATCH(9.99E+307,'Price History'!$A:$A))-'Price History'!L3)*(ROW()-3)/(MATCH(9.99E+307,'Returns (Calc)'!$A:$A)-3),"")</f>
        <v>25.3222641509434</v>
      </c>
      <c r="AH126" s="145" t="n">
        <f aca="false">IFERROR('Price History'!M3+(INDEX('Price History'!M:M,MATCH(9.99E+307,'Price History'!$A:$A))-'Price History'!M3)*(ROW()-3)/(MATCH(9.99E+307,'Returns (Calc)'!$A:$A)-3),"")</f>
        <v>3.47094339622642</v>
      </c>
      <c r="AI126" s="145" t="n">
        <f aca="false">IFERROR('Price History'!N3+(INDEX('Price History'!N:N,MATCH(9.99E+307,'Price History'!$A:$A))-'Price History'!N3)*(ROW()-3)/(MATCH(9.99E+307,'Returns (Calc)'!$A:$A)-3),"")</f>
        <v>4.93584905660378</v>
      </c>
      <c r="AJ126" s="145" t="n">
        <f aca="false">IFERROR('Price History'!O3+(INDEX('Price History'!O:O,MATCH(9.99E+307,'Price History'!$A:$A))-'Price History'!O3)*(ROW()-3)/(MATCH(9.99E+307,'Returns (Calc)'!$A:$A)-3),"")</f>
        <v>13.0483018867925</v>
      </c>
      <c r="AK126" s="145" t="n">
        <f aca="false">IFERROR('Price History'!Q3+(INDEX('Price History'!Q:Q,MATCH(9.99E+307,'Price History'!$A:$A))-'Price History'!Q3)*(ROW()-3)/(MATCH(9.99E+307,'Returns (Calc)'!$A:$A)-3),"")</f>
        <v>53.3501886792453</v>
      </c>
      <c r="AL126" s="145" t="n">
        <f aca="false">IFERROR('Price History'!R3+(INDEX('Price History'!R:R,MATCH(9.99E+307,'Price History'!$A:$A))-'Price History'!R3)*(ROW()-3)/(MATCH(9.99E+307,'Returns (Calc)'!$A:$A)-3),"")</f>
        <v>10.8271698113208</v>
      </c>
      <c r="AM126" s="145" t="n">
        <f aca="false">IFERROR('Price History'!S3+(INDEX('Price History'!S:S,MATCH(9.99E+307,'Price History'!$A:$A))-'Price History'!S3)*(ROW()-3)/(MATCH(9.99E+307,'Returns (Calc)'!$A:$A)-3),"")</f>
        <v>13.2543396226415</v>
      </c>
      <c r="AN126" s="145" t="n">
        <f aca="false">IFERROR('Price History'!T3+(INDEX('Price History'!T:T,MATCH(9.99E+307,'Price History'!$A:$A))-'Price History'!T3)*(ROW()-3)/(MATCH(9.99E+307,'Returns (Calc)'!$A:$A)-3),"")</f>
        <v>6.09283018867925</v>
      </c>
      <c r="AO126" s="146" t="n">
        <f aca="false">IFERROR('Price History'!V3+(INDEX('Price History'!V:V,MATCH(9.99E+307,'Price History'!$A:$A))-'Price History'!V3)*(ROW()-3)/(MATCH(9.99E+307,'Returns (Calc)'!$A:$A)-3),"")</f>
        <v>0</v>
      </c>
    </row>
    <row r="127" customFormat="false" ht="15" hidden="false" customHeight="true" outlineLevel="0" collapsed="false">
      <c r="A127" s="142" t="n">
        <f aca="false">IF('Price History'!A128="","",'Price History'!A128)</f>
        <v>46059</v>
      </c>
      <c r="B127" s="143" t="n">
        <f aca="false">IFERROR(IF(OR(NOT(ISNUMBER('Price History'!B128)),NOT(ISNUMBER('Price History'!B127)),'Price History'!B127=0),"",'Price History'!B128/'Price History'!B127-1),"")</f>
        <v>-0.0848081841432226</v>
      </c>
      <c r="C127" s="143" t="n">
        <f aca="false">IFERROR(IF(OR(NOT(ISNUMBER('Price History'!C128)),NOT(ISNUMBER('Price History'!C127)),'Price History'!C127=0),"",'Price History'!C128/'Price History'!C127-1),"")</f>
        <v>-0.0299844786228305</v>
      </c>
      <c r="D127" s="143" t="n">
        <f aca="false">IFERROR(IF(OR(NOT(ISNUMBER('Price History'!D128)),NOT(ISNUMBER('Price History'!D127)),'Price History'!D127=0),"",'Price History'!D128/'Price History'!D127-1),"")</f>
        <v>-0.00702584380737192</v>
      </c>
      <c r="E127" s="143" t="n">
        <f aca="false">IFERROR(IF(OR(NOT(ISNUMBER('Price History'!E128)),NOT(ISNUMBER('Price History'!E127)),'Price History'!E127=0),"",'Price History'!E128/'Price History'!E127-1),"")</f>
        <v>0.00491683865485015</v>
      </c>
      <c r="F127" s="143" t="n">
        <f aca="false">IFERROR(IF(OR(NOT(ISNUMBER('Price History'!F128)),NOT(ISNUMBER('Price History'!F127)),'Price History'!F127=0),"",'Price History'!F128/'Price History'!F127-1),"")</f>
        <v>0.054138950480414</v>
      </c>
      <c r="G127" s="143" t="n">
        <f aca="false">IFERROR(IF(OR(NOT(ISNUMBER('Price History'!G128)),NOT(ISNUMBER('Price History'!G127)),'Price History'!G127=0),"",'Price History'!G128/'Price History'!G127-1),"")</f>
        <v>-0.103942002718623</v>
      </c>
      <c r="H127" s="143" t="n">
        <f aca="false">IFERROR(IF(OR(NOT(ISNUMBER('Price History'!H128)),NOT(ISNUMBER('Price History'!H127)),'Price History'!H127=0),"",'Price History'!H128/'Price History'!H127-1),"")</f>
        <v>0.0330769754304769</v>
      </c>
      <c r="I127" s="143" t="n">
        <f aca="false">IFERROR(IF(OR(NOT(ISNUMBER('Price History'!I128)),NOT(ISNUMBER('Price History'!I127)),'Price History'!I127=0),"",'Price History'!I128/'Price History'!I127-1),"")</f>
        <v>0.01047304421171</v>
      </c>
      <c r="J127" s="143" t="n">
        <f aca="false">IFERROR(IF(OR(NOT(ISNUMBER('Price History'!J128)),NOT(ISNUMBER('Price History'!J127)),'Price History'!J127=0),"",'Price History'!J128/'Price History'!J127-1),"")</f>
        <v>-0.0486687246768281</v>
      </c>
      <c r="K127" s="143" t="n">
        <f aca="false">IFERROR(IF(OR(NOT(ISNUMBER('Price History'!K128)),NOT(ISNUMBER('Price History'!K127)),'Price History'!K127=0),"",'Price History'!K128/'Price History'!K127-1),"")</f>
        <v>-0.0298930144745123</v>
      </c>
      <c r="L127" s="143" t="n">
        <f aca="false">IFERROR(IF(OR(NOT(ISNUMBER('Price History'!L128)),NOT(ISNUMBER('Price History'!L127)),'Price History'!L127=0),"",'Price History'!L128/'Price History'!L127-1),"")</f>
        <v>0.0489927098847691</v>
      </c>
      <c r="M127" s="143" t="n">
        <f aca="false">IFERROR(IF(OR(NOT(ISNUMBER('Price History'!M128)),NOT(ISNUMBER('Price History'!M127)),'Price History'!M127=0),"",'Price History'!M128/'Price History'!M127-1),"")</f>
        <v>-0.0729244832526093</v>
      </c>
      <c r="N127" s="143" t="n">
        <f aca="false">IFERROR(IF(OR(NOT(ISNUMBER('Price History'!N128)),NOT(ISNUMBER('Price History'!N127)),'Price History'!N127=0),"",'Price History'!N128/'Price History'!N127-1),"")</f>
        <v>0.0553264604810997</v>
      </c>
      <c r="O127" s="143" t="n">
        <f aca="false">IFERROR(IF(OR(NOT(ISNUMBER('Price History'!O128)),NOT(ISNUMBER('Price History'!O127)),'Price History'!O127=0),"",'Price History'!O128/'Price History'!O127-1),"")</f>
        <v>-0.000251783466219013</v>
      </c>
      <c r="P127" s="143" t="n">
        <f aca="false">IFERROR(IF(OR(NOT(ISNUMBER('Price History'!P128)),NOT(ISNUMBER('Price History'!P127)),'Price History'!P127=0),"",'Price History'!P128/'Price History'!P127-1),"")</f>
        <v>0.0553387401670833</v>
      </c>
      <c r="Q127" s="143" t="n">
        <f aca="false">IFERROR(IF(OR(NOT(ISNUMBER('Price History'!Q128)),NOT(ISNUMBER('Price History'!Q127)),'Price History'!Q127=0),"",'Price History'!Q128/'Price History'!Q127-1),"")</f>
        <v>0.0302897689975306</v>
      </c>
      <c r="R127" s="143" t="n">
        <f aca="false">IFERROR(IF(OR(NOT(ISNUMBER('Price History'!R128)),NOT(ISNUMBER('Price History'!R127)),'Price History'!R127=0),"",'Price History'!R128/'Price History'!R127-1),"")</f>
        <v>-0.0210650488709134</v>
      </c>
      <c r="S127" s="143" t="n">
        <f aca="false">IFERROR(IF(OR(NOT(ISNUMBER('Price History'!S128)),NOT(ISNUMBER('Price History'!S127)),'Price History'!S127=0),"",'Price History'!S128/'Price History'!S127-1),"")</f>
        <v>-0.014087988136431</v>
      </c>
      <c r="T127" s="143" t="n">
        <f aca="false">IFERROR(IF(OR(NOT(ISNUMBER('Price History'!T128)),NOT(ISNUMBER('Price History'!T127)),'Price History'!T127=0),"",'Price History'!T128/'Price History'!T127-1),"")</f>
        <v>-0.0092988187986931</v>
      </c>
      <c r="U127" s="143" t="str">
        <f aca="false">IFERROR(IF(OR(NOT(ISNUMBER('Price History'!U128)),NOT(ISNUMBER('Price History'!U127)),'Price History'!U127=0),"",'Price History'!U128/'Price History'!U127-1),"")</f>
        <v/>
      </c>
      <c r="V127" s="144" t="n">
        <f aca="false">IFERROR(IF(OR(NOT(ISNUMBER('Price History'!V128)),NOT(ISNUMBER('Price History'!V127)),'Price History'!V127=0),"",'Price History'!V128/'Price History'!V127-1),"")</f>
        <v>-0.0240024937655859</v>
      </c>
      <c r="W127" s="145" t="str">
        <f aca="false">IFERROR('Price History'!B3+(INDEX('Price History'!B:B,MATCH(9.99E+307,'Price History'!$A:$A))-'Price History'!B3)*(ROW()-3)/(MATCH(9.99E+307,'Returns (Calc)'!$A:$A)-3),"")</f>
        <v/>
      </c>
      <c r="X127" s="145" t="n">
        <f aca="false">IFERROR('Price History'!C3+(INDEX('Price History'!C:C,MATCH(9.99E+307,'Price History'!$A:$A))-'Price History'!C3)*(ROW()-3)/(MATCH(9.99E+307,'Returns (Calc)'!$A:$A)-3),"")</f>
        <v>10.1654088050314</v>
      </c>
      <c r="Y127" s="145" t="n">
        <f aca="false">IFERROR('Price History'!D3+(INDEX('Price History'!D:D,MATCH(9.99E+307,'Price History'!$A:$A))-'Price History'!D3)*(ROW()-3)/(MATCH(9.99E+307,'Returns (Calc)'!$A:$A)-3),"")</f>
        <v>128.115408805031</v>
      </c>
      <c r="Z127" s="145" t="n">
        <f aca="false">IFERROR('Price History'!E3+(INDEX('Price History'!E:E,MATCH(9.99E+307,'Price History'!$A:$A))-'Price History'!E3)*(ROW()-3)/(MATCH(9.99E+307,'Returns (Calc)'!$A:$A)-3),"")</f>
        <v>18.0503144654088</v>
      </c>
      <c r="AA127" s="145" t="n">
        <f aca="false">IFERROR('Price History'!F3+(INDEX('Price History'!F:F,MATCH(9.99E+307,'Price History'!$A:$A))-'Price History'!F3)*(ROW()-3)/(MATCH(9.99E+307,'Returns (Calc)'!$A:$A)-3),"")</f>
        <v>16.5776729559748</v>
      </c>
      <c r="AB127" s="145" t="n">
        <f aca="false">IFERROR('Price History'!G3+(INDEX('Price History'!G:G,MATCH(9.99E+307,'Price History'!$A:$A))-'Price History'!G3)*(ROW()-3)/(MATCH(9.99E+307,'Returns (Calc)'!$A:$A)-3),"")</f>
        <v>9.10440251572327</v>
      </c>
      <c r="AC127" s="145" t="n">
        <f aca="false">IFERROR('Price History'!H3+(INDEX('Price History'!H:H,MATCH(9.99E+307,'Price History'!$A:$A))-'Price History'!H3)*(ROW()-3)/(MATCH(9.99E+307,'Returns (Calc)'!$A:$A)-3),"")</f>
        <v>22.1424528301887</v>
      </c>
      <c r="AD127" s="145" t="n">
        <f aca="false">IFERROR('Price History'!I3+(INDEX('Price History'!I:I,MATCH(9.99E+307,'Price History'!$A:$A))-'Price History'!I3)*(ROW()-3)/(MATCH(9.99E+307,'Returns (Calc)'!$A:$A)-3),"")</f>
        <v>9.7625786163522</v>
      </c>
      <c r="AE127" s="145" t="n">
        <f aca="false">IFERROR('Price History'!J3+(INDEX('Price History'!J:J,MATCH(9.99E+307,'Price History'!$A:$A))-'Price History'!J3)*(ROW()-3)/(MATCH(9.99E+307,'Returns (Calc)'!$A:$A)-3),"")</f>
        <v>15.212893081761</v>
      </c>
      <c r="AF127" s="145" t="n">
        <f aca="false">IFERROR('Price History'!K3+(INDEX('Price History'!K:K,MATCH(9.99E+307,'Price History'!$A:$A))-'Price History'!K3)*(ROW()-3)/(MATCH(9.99E+307,'Returns (Calc)'!$A:$A)-3),"")</f>
        <v>9.63490566037736</v>
      </c>
      <c r="AG127" s="145" t="n">
        <f aca="false">IFERROR('Price History'!L3+(INDEX('Price History'!L:L,MATCH(9.99E+307,'Price History'!$A:$A))-'Price History'!L3)*(ROW()-3)/(MATCH(9.99E+307,'Returns (Calc)'!$A:$A)-3),"")</f>
        <v>24.6188679245283</v>
      </c>
      <c r="AH127" s="145" t="n">
        <f aca="false">IFERROR('Price History'!M3+(INDEX('Price History'!M:M,MATCH(9.99E+307,'Price History'!$A:$A))-'Price History'!M3)*(ROW()-3)/(MATCH(9.99E+307,'Returns (Calc)'!$A:$A)-3),"")</f>
        <v>3.37452830188679</v>
      </c>
      <c r="AI127" s="145" t="n">
        <f aca="false">IFERROR('Price History'!N3+(INDEX('Price History'!N:N,MATCH(9.99E+307,'Price History'!$A:$A))-'Price History'!N3)*(ROW()-3)/(MATCH(9.99E+307,'Returns (Calc)'!$A:$A)-3),"")</f>
        <v>4.79874213836478</v>
      </c>
      <c r="AJ127" s="145" t="n">
        <f aca="false">IFERROR('Price History'!O3+(INDEX('Price History'!O:O,MATCH(9.99E+307,'Price History'!$A:$A))-'Price History'!O3)*(ROW()-3)/(MATCH(9.99E+307,'Returns (Calc)'!$A:$A)-3),"")</f>
        <v>12.6858490566038</v>
      </c>
      <c r="AK127" s="145" t="n">
        <f aca="false">IFERROR('Price History'!Q3+(INDEX('Price History'!Q:Q,MATCH(9.99E+307,'Price History'!$A:$A))-'Price History'!Q3)*(ROW()-3)/(MATCH(9.99E+307,'Returns (Calc)'!$A:$A)-3),"")</f>
        <v>51.8682389937107</v>
      </c>
      <c r="AL127" s="145" t="n">
        <f aca="false">IFERROR('Price History'!R3+(INDEX('Price History'!R:R,MATCH(9.99E+307,'Price History'!$A:$A))-'Price History'!R3)*(ROW()-3)/(MATCH(9.99E+307,'Returns (Calc)'!$A:$A)-3),"")</f>
        <v>10.5264150943396</v>
      </c>
      <c r="AM127" s="145" t="n">
        <f aca="false">IFERROR('Price History'!S3+(INDEX('Price History'!S:S,MATCH(9.99E+307,'Price History'!$A:$A))-'Price History'!S3)*(ROW()-3)/(MATCH(9.99E+307,'Returns (Calc)'!$A:$A)-3),"")</f>
        <v>12.8861635220126</v>
      </c>
      <c r="AN127" s="145" t="n">
        <f aca="false">IFERROR('Price History'!T3+(INDEX('Price History'!T:T,MATCH(9.99E+307,'Price History'!$A:$A))-'Price History'!T3)*(ROW()-3)/(MATCH(9.99E+307,'Returns (Calc)'!$A:$A)-3),"")</f>
        <v>5.92358490566038</v>
      </c>
      <c r="AO127" s="146" t="n">
        <f aca="false">IFERROR('Price History'!V3+(INDEX('Price History'!V:V,MATCH(9.99E+307,'Price History'!$A:$A))-'Price History'!V3)*(ROW()-3)/(MATCH(9.99E+307,'Returns (Calc)'!$A:$A)-3),"")</f>
        <v>0</v>
      </c>
    </row>
    <row r="128" customFormat="false" ht="15" hidden="false" customHeight="true" outlineLevel="0" collapsed="false">
      <c r="A128" s="142" t="n">
        <f aca="false">IF('Price History'!A129="","",'Price History'!A129)</f>
        <v>46066</v>
      </c>
      <c r="B128" s="143" t="n">
        <f aca="false">IFERROR(IF(OR(NOT(ISNUMBER('Price History'!B129)),NOT(ISNUMBER('Price History'!B128)),'Price History'!B128=0),"",'Price History'!B129/'Price History'!B128-1),"")</f>
        <v>-0.016431924882629</v>
      </c>
      <c r="C128" s="143" t="n">
        <f aca="false">IFERROR(IF(OR(NOT(ISNUMBER('Price History'!C129)),NOT(ISNUMBER('Price History'!C128)),'Price History'!C128=0),"",'Price History'!C129/'Price History'!C128-1),"")</f>
        <v>0.0298203505709507</v>
      </c>
      <c r="D128" s="143" t="n">
        <f aca="false">IFERROR(IF(OR(NOT(ISNUMBER('Price History'!D129)),NOT(ISNUMBER('Price History'!D128)),'Price History'!D128=0),"",'Price History'!D129/'Price History'!D128-1),"")</f>
        <v>-0.00321422222222223</v>
      </c>
      <c r="E128" s="143" t="n">
        <f aca="false">IFERROR(IF(OR(NOT(ISNUMBER('Price History'!E129)),NOT(ISNUMBER('Price History'!E128)),'Price History'!E128=0),"",'Price History'!E129/'Price History'!E128-1),"")</f>
        <v>-0.0232860163092722</v>
      </c>
      <c r="F128" s="143" t="n">
        <f aca="false">IFERROR(IF(OR(NOT(ISNUMBER('Price History'!F129)),NOT(ISNUMBER('Price History'!F128)),'Price History'!F128=0),"",'Price History'!F129/'Price History'!F128-1),"")</f>
        <v>-0.002541630148992</v>
      </c>
      <c r="G128" s="143" t="n">
        <f aca="false">IFERROR(IF(OR(NOT(ISNUMBER('Price History'!G129)),NOT(ISNUMBER('Price History'!G128)),'Price History'!G128=0),"",'Price History'!G129/'Price History'!G128-1),"")</f>
        <v>0.0862661812297736</v>
      </c>
      <c r="H128" s="143" t="n">
        <f aca="false">IFERROR(IF(OR(NOT(ISNUMBER('Price History'!H129)),NOT(ISNUMBER('Price History'!H128)),'Price History'!H128=0),"",'Price History'!H129/'Price History'!H128-1),"")</f>
        <v>0.016074840239805</v>
      </c>
      <c r="I128" s="143" t="n">
        <f aca="false">IFERROR(IF(OR(NOT(ISNUMBER('Price History'!I129)),NOT(ISNUMBER('Price History'!I128)),'Price History'!I128=0),"",'Price History'!I129/'Price History'!I128-1),"")</f>
        <v>0.0146772398441848</v>
      </c>
      <c r="J128" s="143" t="n">
        <f aca="false">IFERROR(IF(OR(NOT(ISNUMBER('Price History'!J129)),NOT(ISNUMBER('Price History'!J128)),'Price History'!J128=0),"",'Price History'!J129/'Price History'!J128-1),"")</f>
        <v>0.0429954875019014</v>
      </c>
      <c r="K128" s="143" t="n">
        <f aca="false">IFERROR(IF(OR(NOT(ISNUMBER('Price History'!K129)),NOT(ISNUMBER('Price History'!K128)),'Price History'!K128=0),"",'Price History'!K129/'Price History'!K128-1),"")</f>
        <v>-0.0140555735755217</v>
      </c>
      <c r="L128" s="143" t="n">
        <f aca="false">IFERROR(IF(OR(NOT(ISNUMBER('Price History'!L129)),NOT(ISNUMBER('Price History'!L128)),'Price History'!L128=0),"",'Price History'!L129/'Price History'!L128-1),"")</f>
        <v>0.0147212673740846</v>
      </c>
      <c r="M128" s="143" t="n">
        <f aca="false">IFERROR(IF(OR(NOT(ISNUMBER('Price History'!M129)),NOT(ISNUMBER('Price History'!M128)),'Price History'!M128=0),"",'Price History'!M129/'Price History'!M128-1),"")</f>
        <v>-0.0330389992641649</v>
      </c>
      <c r="N128" s="143" t="n">
        <f aca="false">IFERROR(IF(OR(NOT(ISNUMBER('Price History'!N129)),NOT(ISNUMBER('Price History'!N128)),'Price History'!N128=0),"",'Price History'!N129/'Price History'!N128-1),"")</f>
        <v>0.00455877564311291</v>
      </c>
      <c r="O128" s="143" t="n">
        <f aca="false">IFERROR(IF(OR(NOT(ISNUMBER('Price History'!O129)),NOT(ISNUMBER('Price History'!O128)),'Price History'!O128=0),"",'Price History'!O129/'Price History'!O128-1),"")</f>
        <v>-0.0132639355271994</v>
      </c>
      <c r="P128" s="143" t="n">
        <f aca="false">IFERROR(IF(OR(NOT(ISNUMBER('Price History'!P129)),NOT(ISNUMBER('Price History'!P128)),'Price History'!P128=0),"",'Price History'!P129/'Price History'!P128-1),"")</f>
        <v>0.050183457082599</v>
      </c>
      <c r="Q128" s="143" t="n">
        <f aca="false">IFERROR(IF(OR(NOT(ISNUMBER('Price History'!Q129)),NOT(ISNUMBER('Price History'!Q128)),'Price History'!Q128=0),"",'Price History'!Q129/'Price History'!Q128-1),"")</f>
        <v>-0.0508191747572816</v>
      </c>
      <c r="R128" s="143" t="n">
        <f aca="false">IFERROR(IF(OR(NOT(ISNUMBER('Price History'!R129)),NOT(ISNUMBER('Price History'!R128)),'Price History'!R128=0),"",'Price History'!R129/'Price History'!R128-1),"")</f>
        <v>0.0184196935789291</v>
      </c>
      <c r="S128" s="143" t="n">
        <f aca="false">IFERROR(IF(OR(NOT(ISNUMBER('Price History'!S129)),NOT(ISNUMBER('Price History'!S128)),'Price History'!S128=0),"",'Price History'!S129/'Price History'!S128-1),"")</f>
        <v>0.00300827275006266</v>
      </c>
      <c r="T128" s="143" t="n">
        <f aca="false">IFERROR(IF(OR(NOT(ISNUMBER('Price History'!T129)),NOT(ISNUMBER('Price History'!T128)),'Price History'!T128=0),"",'Price History'!T129/'Price History'!T128-1),"")</f>
        <v>0.0256215119228818</v>
      </c>
      <c r="U128" s="143" t="str">
        <f aca="false">IFERROR(IF(OR(NOT(ISNUMBER('Price History'!U129)),NOT(ISNUMBER('Price History'!U128)),'Price History'!U128=0),"",'Price History'!U129/'Price History'!U128-1),"")</f>
        <v/>
      </c>
      <c r="V128" s="144" t="n">
        <f aca="false">IFERROR(IF(OR(NOT(ISNUMBER('Price History'!V129)),NOT(ISNUMBER('Price History'!V128)),'Price History'!V128=0),"",'Price History'!V129/'Price History'!V128-1),"")</f>
        <v>0.0094944978368805</v>
      </c>
      <c r="W128" s="145" t="str">
        <f aca="false">IFERROR('Price History'!B3+(INDEX('Price History'!B:B,MATCH(9.99E+307,'Price History'!$A:$A))-'Price History'!B3)*(ROW()-3)/(MATCH(9.99E+307,'Returns (Calc)'!$A:$A)-3),"")</f>
        <v/>
      </c>
      <c r="X128" s="145" t="n">
        <f aca="false">IFERROR('Price History'!C3+(INDEX('Price History'!C:C,MATCH(9.99E+307,'Price History'!$A:$A))-'Price History'!C3)*(ROW()-3)/(MATCH(9.99E+307,'Returns (Calc)'!$A:$A)-3),"")</f>
        <v>9.87496855345912</v>
      </c>
      <c r="Y128" s="145" t="n">
        <f aca="false">IFERROR('Price History'!D3+(INDEX('Price History'!D:D,MATCH(9.99E+307,'Price History'!$A:$A))-'Price History'!D3)*(ROW()-3)/(MATCH(9.99E+307,'Returns (Calc)'!$A:$A)-3),"")</f>
        <v>124.454968553459</v>
      </c>
      <c r="Z128" s="145" t="n">
        <f aca="false">IFERROR('Price History'!E3+(INDEX('Price History'!E:E,MATCH(9.99E+307,'Price History'!$A:$A))-'Price History'!E3)*(ROW()-3)/(MATCH(9.99E+307,'Returns (Calc)'!$A:$A)-3),"")</f>
        <v>17.5345911949686</v>
      </c>
      <c r="AA128" s="145" t="n">
        <f aca="false">IFERROR('Price History'!F3+(INDEX('Price History'!F:F,MATCH(9.99E+307,'Price History'!$A:$A))-'Price History'!F3)*(ROW()-3)/(MATCH(9.99E+307,'Returns (Calc)'!$A:$A)-3),"")</f>
        <v>16.1040251572327</v>
      </c>
      <c r="AB128" s="145" t="n">
        <f aca="false">IFERROR('Price History'!G3+(INDEX('Price History'!G:G,MATCH(9.99E+307,'Price History'!$A:$A))-'Price History'!G3)*(ROW()-3)/(MATCH(9.99E+307,'Returns (Calc)'!$A:$A)-3),"")</f>
        <v>8.84427672955975</v>
      </c>
      <c r="AC128" s="145" t="n">
        <f aca="false">IFERROR('Price History'!H3+(INDEX('Price History'!H:H,MATCH(9.99E+307,'Price History'!$A:$A))-'Price History'!H3)*(ROW()-3)/(MATCH(9.99E+307,'Returns (Calc)'!$A:$A)-3),"")</f>
        <v>21.5098113207547</v>
      </c>
      <c r="AD128" s="145" t="n">
        <f aca="false">IFERROR('Price History'!I3+(INDEX('Price History'!I:I,MATCH(9.99E+307,'Price History'!$A:$A))-'Price History'!I3)*(ROW()-3)/(MATCH(9.99E+307,'Returns (Calc)'!$A:$A)-3),"")</f>
        <v>9.48364779874214</v>
      </c>
      <c r="AE128" s="145" t="n">
        <f aca="false">IFERROR('Price History'!J3+(INDEX('Price History'!J:J,MATCH(9.99E+307,'Price History'!$A:$A))-'Price History'!J3)*(ROW()-3)/(MATCH(9.99E+307,'Returns (Calc)'!$A:$A)-3),"")</f>
        <v>14.7782389937107</v>
      </c>
      <c r="AF128" s="145" t="n">
        <f aca="false">IFERROR('Price History'!K3+(INDEX('Price History'!K:K,MATCH(9.99E+307,'Price History'!$A:$A))-'Price History'!K3)*(ROW()-3)/(MATCH(9.99E+307,'Returns (Calc)'!$A:$A)-3),"")</f>
        <v>9.35962264150944</v>
      </c>
      <c r="AG128" s="145" t="n">
        <f aca="false">IFERROR('Price History'!L3+(INDEX('Price History'!L:L,MATCH(9.99E+307,'Price History'!$A:$A))-'Price History'!L3)*(ROW()-3)/(MATCH(9.99E+307,'Returns (Calc)'!$A:$A)-3),"")</f>
        <v>23.9154716981132</v>
      </c>
      <c r="AH128" s="145" t="n">
        <f aca="false">IFERROR('Price History'!M3+(INDEX('Price History'!M:M,MATCH(9.99E+307,'Price History'!$A:$A))-'Price History'!M3)*(ROW()-3)/(MATCH(9.99E+307,'Returns (Calc)'!$A:$A)-3),"")</f>
        <v>3.27811320754717</v>
      </c>
      <c r="AI128" s="145" t="n">
        <f aca="false">IFERROR('Price History'!N3+(INDEX('Price History'!N:N,MATCH(9.99E+307,'Price History'!$A:$A))-'Price History'!N3)*(ROW()-3)/(MATCH(9.99E+307,'Returns (Calc)'!$A:$A)-3),"")</f>
        <v>4.66163522012579</v>
      </c>
      <c r="AJ128" s="145" t="n">
        <f aca="false">IFERROR('Price History'!O3+(INDEX('Price History'!O:O,MATCH(9.99E+307,'Price History'!$A:$A))-'Price History'!O3)*(ROW()-3)/(MATCH(9.99E+307,'Returns (Calc)'!$A:$A)-3),"")</f>
        <v>12.3233962264151</v>
      </c>
      <c r="AK128" s="145" t="n">
        <f aca="false">IFERROR('Price History'!Q3+(INDEX('Price History'!Q:Q,MATCH(9.99E+307,'Price History'!$A:$A))-'Price History'!Q3)*(ROW()-3)/(MATCH(9.99E+307,'Returns (Calc)'!$A:$A)-3),"")</f>
        <v>50.3862893081761</v>
      </c>
      <c r="AL128" s="145" t="n">
        <f aca="false">IFERROR('Price History'!R3+(INDEX('Price History'!R:R,MATCH(9.99E+307,'Price History'!$A:$A))-'Price History'!R3)*(ROW()-3)/(MATCH(9.99E+307,'Returns (Calc)'!$A:$A)-3),"")</f>
        <v>10.2256603773585</v>
      </c>
      <c r="AM128" s="145" t="n">
        <f aca="false">IFERROR('Price History'!S3+(INDEX('Price History'!S:S,MATCH(9.99E+307,'Price History'!$A:$A))-'Price History'!S3)*(ROW()-3)/(MATCH(9.99E+307,'Returns (Calc)'!$A:$A)-3),"")</f>
        <v>12.5179874213836</v>
      </c>
      <c r="AN128" s="145" t="n">
        <f aca="false">IFERROR('Price History'!T3+(INDEX('Price History'!T:T,MATCH(9.99E+307,'Price History'!$A:$A))-'Price History'!T3)*(ROW()-3)/(MATCH(9.99E+307,'Returns (Calc)'!$A:$A)-3),"")</f>
        <v>5.75433962264151</v>
      </c>
      <c r="AO128" s="146" t="n">
        <f aca="false">IFERROR('Price History'!V3+(INDEX('Price History'!V:V,MATCH(9.99E+307,'Price History'!$A:$A))-'Price History'!V3)*(ROW()-3)/(MATCH(9.99E+307,'Returns (Calc)'!$A:$A)-3),"")</f>
        <v>0</v>
      </c>
    </row>
    <row r="129" customFormat="false" ht="15" hidden="false" customHeight="true" outlineLevel="0" collapsed="false">
      <c r="A129" s="142" t="n">
        <f aca="false">IF('Price History'!A130="","",'Price History'!A130)</f>
        <v>46073</v>
      </c>
      <c r="B129" s="143" t="n">
        <f aca="false">IFERROR(IF(OR(NOT(ISNUMBER('Price History'!B130)),NOT(ISNUMBER('Price History'!B129)),'Price History'!B129=0),"",'Price History'!B130/'Price History'!B129-1),"")</f>
        <v>-0.0203053377277721</v>
      </c>
      <c r="C129" s="143" t="n">
        <f aca="false">IFERROR(IF(OR(NOT(ISNUMBER('Price History'!C130)),NOT(ISNUMBER('Price History'!C129)),'Price History'!C129=0),"",'Price History'!C130/'Price History'!C129-1),"")</f>
        <v>-0.0621512818701887</v>
      </c>
      <c r="D129" s="143" t="n">
        <f aca="false">IFERROR(IF(OR(NOT(ISNUMBER('Price History'!D130)),NOT(ISNUMBER('Price History'!D129)),'Price History'!D129=0),"",'Price History'!D130/'Price History'!D129-1),"")</f>
        <v>0.0447732444907365</v>
      </c>
      <c r="E129" s="143" t="n">
        <f aca="false">IFERROR(IF(OR(NOT(ISNUMBER('Price History'!E130)),NOT(ISNUMBER('Price History'!E129)),'Price History'!E129=0),"",'Price History'!E130/'Price History'!E129-1),"")</f>
        <v>0.0230062772503787</v>
      </c>
      <c r="F129" s="143" t="n">
        <f aca="false">IFERROR(IF(OR(NOT(ISNUMBER('Price History'!F130)),NOT(ISNUMBER('Price History'!F129)),'Price History'!F129=0),"",'Price History'!F130/'Price History'!F129-1),"")</f>
        <v>0.00562340743344181</v>
      </c>
      <c r="G129" s="143" t="n">
        <f aca="false">IFERROR(IF(OR(NOT(ISNUMBER('Price History'!G130)),NOT(ISNUMBER('Price History'!G129)),'Price History'!G129=0),"",'Price History'!G130/'Price History'!G129-1),"")</f>
        <v>-0.0955218322316357</v>
      </c>
      <c r="H129" s="143" t="n">
        <f aca="false">IFERROR(IF(OR(NOT(ISNUMBER('Price History'!H130)),NOT(ISNUMBER('Price History'!H129)),'Price History'!H129=0),"",'Price History'!H130/'Price History'!H129-1),"")</f>
        <v>-0.00713220514815527</v>
      </c>
      <c r="I129" s="143" t="n">
        <f aca="false">IFERROR(IF(OR(NOT(ISNUMBER('Price History'!I130)),NOT(ISNUMBER('Price History'!I129)),'Price History'!I129=0),"",'Price History'!I130/'Price History'!I129-1),"")</f>
        <v>0.0231027627339413</v>
      </c>
      <c r="J129" s="143" t="n">
        <f aca="false">IFERROR(IF(OR(NOT(ISNUMBER('Price History'!J130)),NOT(ISNUMBER('Price History'!J129)),'Price History'!J129=0),"",'Price History'!J130/'Price History'!J129-1),"")</f>
        <v>0.0401050021875455</v>
      </c>
      <c r="K129" s="143" t="n">
        <f aca="false">IFERROR(IF(OR(NOT(ISNUMBER('Price History'!K130)),NOT(ISNUMBER('Price History'!K129)),'Price History'!K129=0),"",'Price History'!K130/'Price History'!K129-1),"")</f>
        <v>0.0383814014694595</v>
      </c>
      <c r="L129" s="143" t="n">
        <f aca="false">IFERROR(IF(OR(NOT(ISNUMBER('Price History'!L130)),NOT(ISNUMBER('Price History'!L129)),'Price History'!L129=0),"",'Price History'!L130/'Price History'!L129-1),"")</f>
        <v>0.0182634951027323</v>
      </c>
      <c r="M129" s="143" t="n">
        <f aca="false">IFERROR(IF(OR(NOT(ISNUMBER('Price History'!M130)),NOT(ISNUMBER('Price History'!M129)),'Price History'!M129=0),"",'Price History'!M130/'Price History'!M129-1),"")</f>
        <v>0.0291454227227761</v>
      </c>
      <c r="N129" s="143" t="n">
        <f aca="false">IFERROR(IF(OR(NOT(ISNUMBER('Price History'!N130)),NOT(ISNUMBER('Price History'!N129)),'Price History'!N129=0),"",'Price History'!N130/'Price History'!N129-1),"")</f>
        <v>0</v>
      </c>
      <c r="O129" s="143" t="n">
        <f aca="false">IFERROR(IF(OR(NOT(ISNUMBER('Price History'!O130)),NOT(ISNUMBER('Price History'!O129)),'Price History'!O129=0),"",'Price History'!O130/'Price History'!O129-1),"")</f>
        <v>0.0144631614769439</v>
      </c>
      <c r="P129" s="143" t="n">
        <f aca="false">IFERROR(IF(OR(NOT(ISNUMBER('Price History'!P130)),NOT(ISNUMBER('Price History'!P129)),'Price History'!P129=0),"",'Price History'!P130/'Price History'!P129-1),"")</f>
        <v>0.0114167812929848</v>
      </c>
      <c r="Q129" s="143" t="n">
        <f aca="false">IFERROR(IF(OR(NOT(ISNUMBER('Price History'!Q130)),NOT(ISNUMBER('Price History'!Q129)),'Price History'!Q129=0),"",'Price History'!Q130/'Price History'!Q129-1),"")</f>
        <v>0.0218635128655904</v>
      </c>
      <c r="R129" s="143" t="n">
        <f aca="false">IFERROR(IF(OR(NOT(ISNUMBER('Price History'!R130)),NOT(ISNUMBER('Price History'!R129)),'Price History'!R129=0),"",'Price History'!R130/'Price History'!R129-1),"")</f>
        <v>-0.00405679513184576</v>
      </c>
      <c r="S129" s="143" t="n">
        <f aca="false">IFERROR(IF(OR(NOT(ISNUMBER('Price History'!S130)),NOT(ISNUMBER('Price History'!S129)),'Price History'!S129=0),"",'Price History'!S130/'Price History'!S129-1),"")</f>
        <v>-0.000249937515621079</v>
      </c>
      <c r="T129" s="143" t="n">
        <f aca="false">IFERROR(IF(OR(NOT(ISNUMBER('Price History'!T130)),NOT(ISNUMBER('Price History'!T129)),'Price History'!T129=0),"",'Price History'!T130/'Price History'!T129-1),"")</f>
        <v>-0.0202819688350235</v>
      </c>
      <c r="U129" s="143" t="str">
        <f aca="false">IFERROR(IF(OR(NOT(ISNUMBER('Price History'!U130)),NOT(ISNUMBER('Price History'!U129)),'Price History'!U129=0),"",'Price History'!U130/'Price History'!U129-1),"")</f>
        <v/>
      </c>
      <c r="V129" s="144" t="n">
        <f aca="false">IFERROR(IF(OR(NOT(ISNUMBER('Price History'!V130)),NOT(ISNUMBER('Price History'!V129)),'Price History'!V129=0),"",'Price History'!V130/'Price History'!V129-1),"")</f>
        <v>-0.0613782788771284</v>
      </c>
      <c r="W129" s="145" t="str">
        <f aca="false">IFERROR('Price History'!B3+(INDEX('Price History'!B:B,MATCH(9.99E+307,'Price History'!$A:$A))-'Price History'!B3)*(ROW()-3)/(MATCH(9.99E+307,'Returns (Calc)'!$A:$A)-3),"")</f>
        <v/>
      </c>
      <c r="X129" s="145" t="n">
        <f aca="false">IFERROR('Price History'!C3+(INDEX('Price History'!C:C,MATCH(9.99E+307,'Price History'!$A:$A))-'Price History'!C3)*(ROW()-3)/(MATCH(9.99E+307,'Returns (Calc)'!$A:$A)-3),"")</f>
        <v>9.58452830188679</v>
      </c>
      <c r="Y129" s="145" t="n">
        <f aca="false">IFERROR('Price History'!D3+(INDEX('Price History'!D:D,MATCH(9.99E+307,'Price History'!$A:$A))-'Price History'!D3)*(ROW()-3)/(MATCH(9.99E+307,'Returns (Calc)'!$A:$A)-3),"")</f>
        <v>120.794528301887</v>
      </c>
      <c r="Z129" s="145" t="n">
        <f aca="false">IFERROR('Price History'!E3+(INDEX('Price History'!E:E,MATCH(9.99E+307,'Price History'!$A:$A))-'Price History'!E3)*(ROW()-3)/(MATCH(9.99E+307,'Returns (Calc)'!$A:$A)-3),"")</f>
        <v>17.0188679245283</v>
      </c>
      <c r="AA129" s="145" t="n">
        <f aca="false">IFERROR('Price History'!F3+(INDEX('Price History'!F:F,MATCH(9.99E+307,'Price History'!$A:$A))-'Price History'!F3)*(ROW()-3)/(MATCH(9.99E+307,'Returns (Calc)'!$A:$A)-3),"")</f>
        <v>15.6303773584906</v>
      </c>
      <c r="AB129" s="145" t="n">
        <f aca="false">IFERROR('Price History'!G3+(INDEX('Price History'!G:G,MATCH(9.99E+307,'Price History'!$A:$A))-'Price History'!G3)*(ROW()-3)/(MATCH(9.99E+307,'Returns (Calc)'!$A:$A)-3),"")</f>
        <v>8.58415094339622</v>
      </c>
      <c r="AC129" s="145" t="n">
        <f aca="false">IFERROR('Price History'!H3+(INDEX('Price History'!H:H,MATCH(9.99E+307,'Price History'!$A:$A))-'Price History'!H3)*(ROW()-3)/(MATCH(9.99E+307,'Returns (Calc)'!$A:$A)-3),"")</f>
        <v>20.8771698113208</v>
      </c>
      <c r="AD129" s="145" t="n">
        <f aca="false">IFERROR('Price History'!I3+(INDEX('Price History'!I:I,MATCH(9.99E+307,'Price History'!$A:$A))-'Price History'!I3)*(ROW()-3)/(MATCH(9.99E+307,'Returns (Calc)'!$A:$A)-3),"")</f>
        <v>9.20471698113207</v>
      </c>
      <c r="AE129" s="145" t="n">
        <f aca="false">IFERROR('Price History'!J3+(INDEX('Price History'!J:J,MATCH(9.99E+307,'Price History'!$A:$A))-'Price History'!J3)*(ROW()-3)/(MATCH(9.99E+307,'Returns (Calc)'!$A:$A)-3),"")</f>
        <v>14.3435849056604</v>
      </c>
      <c r="AF129" s="145" t="n">
        <f aca="false">IFERROR('Price History'!K3+(INDEX('Price History'!K:K,MATCH(9.99E+307,'Price History'!$A:$A))-'Price History'!K3)*(ROW()-3)/(MATCH(9.99E+307,'Returns (Calc)'!$A:$A)-3),"")</f>
        <v>9.08433962264151</v>
      </c>
      <c r="AG129" s="145" t="n">
        <f aca="false">IFERROR('Price History'!L3+(INDEX('Price History'!L:L,MATCH(9.99E+307,'Price History'!$A:$A))-'Price History'!L3)*(ROW()-3)/(MATCH(9.99E+307,'Returns (Calc)'!$A:$A)-3),"")</f>
        <v>23.2120754716981</v>
      </c>
      <c r="AH129" s="145" t="n">
        <f aca="false">IFERROR('Price History'!M3+(INDEX('Price History'!M:M,MATCH(9.99E+307,'Price History'!$A:$A))-'Price History'!M3)*(ROW()-3)/(MATCH(9.99E+307,'Returns (Calc)'!$A:$A)-3),"")</f>
        <v>3.18169811320755</v>
      </c>
      <c r="AI129" s="145" t="n">
        <f aca="false">IFERROR('Price History'!N3+(INDEX('Price History'!N:N,MATCH(9.99E+307,'Price History'!$A:$A))-'Price History'!N3)*(ROW()-3)/(MATCH(9.99E+307,'Returns (Calc)'!$A:$A)-3),"")</f>
        <v>4.52452830188679</v>
      </c>
      <c r="AJ129" s="145" t="n">
        <f aca="false">IFERROR('Price History'!O3+(INDEX('Price History'!O:O,MATCH(9.99E+307,'Price History'!$A:$A))-'Price History'!O3)*(ROW()-3)/(MATCH(9.99E+307,'Returns (Calc)'!$A:$A)-3),"")</f>
        <v>11.9609433962264</v>
      </c>
      <c r="AK129" s="145" t="n">
        <f aca="false">IFERROR('Price History'!Q3+(INDEX('Price History'!Q:Q,MATCH(9.99E+307,'Price History'!$A:$A))-'Price History'!Q3)*(ROW()-3)/(MATCH(9.99E+307,'Returns (Calc)'!$A:$A)-3),"")</f>
        <v>48.9043396226415</v>
      </c>
      <c r="AL129" s="145" t="n">
        <f aca="false">IFERROR('Price History'!R3+(INDEX('Price History'!R:R,MATCH(9.99E+307,'Price History'!$A:$A))-'Price History'!R3)*(ROW()-3)/(MATCH(9.99E+307,'Returns (Calc)'!$A:$A)-3),"")</f>
        <v>9.92490566037736</v>
      </c>
      <c r="AM129" s="145" t="n">
        <f aca="false">IFERROR('Price History'!S3+(INDEX('Price History'!S:S,MATCH(9.99E+307,'Price History'!$A:$A))-'Price History'!S3)*(ROW()-3)/(MATCH(9.99E+307,'Returns (Calc)'!$A:$A)-3),"")</f>
        <v>12.1498113207547</v>
      </c>
      <c r="AN129" s="145" t="n">
        <f aca="false">IFERROR('Price History'!T3+(INDEX('Price History'!T:T,MATCH(9.99E+307,'Price History'!$A:$A))-'Price History'!T3)*(ROW()-3)/(MATCH(9.99E+307,'Returns (Calc)'!$A:$A)-3),"")</f>
        <v>5.58509433962264</v>
      </c>
      <c r="AO129" s="146" t="n">
        <f aca="false">IFERROR('Price History'!V3+(INDEX('Price History'!V:V,MATCH(9.99E+307,'Price History'!$A:$A))-'Price History'!V3)*(ROW()-3)/(MATCH(9.99E+307,'Returns (Calc)'!$A:$A)-3),"")</f>
        <v>0</v>
      </c>
    </row>
    <row r="130" customFormat="false" ht="15" hidden="false" customHeight="true" outlineLevel="0" collapsed="false">
      <c r="A130" s="142" t="n">
        <f aca="false">IF('Price History'!A131="","",'Price History'!A131)</f>
        <v>46080</v>
      </c>
      <c r="B130" s="143" t="n">
        <f aca="false">IFERROR(IF(OR(NOT(ISNUMBER('Price History'!B131)),NOT(ISNUMBER('Price History'!B130)),'Price History'!B130=0),"",'Price History'!B131/'Price History'!B130-1),"")</f>
        <v>0.0146939406828817</v>
      </c>
      <c r="C130" s="143" t="n">
        <f aca="false">IFERROR(IF(OR(NOT(ISNUMBER('Price History'!C131)),NOT(ISNUMBER('Price History'!C130)),'Price History'!C130=0),"",'Price History'!C131/'Price History'!C130-1),"")</f>
        <v>0.00534678816175926</v>
      </c>
      <c r="D130" s="143" t="n">
        <f aca="false">IFERROR(IF(OR(NOT(ISNUMBER('Price History'!D131)),NOT(ISNUMBER('Price History'!D130)),'Price History'!D130=0),"",'Price History'!D131/'Price History'!D130-1),"")</f>
        <v>-0.0129464864901775</v>
      </c>
      <c r="E130" s="143" t="n">
        <f aca="false">IFERROR(IF(OR(NOT(ISNUMBER('Price History'!E131)),NOT(ISNUMBER('Price History'!E130)),'Price History'!E130=0),"",'Price History'!E131/'Price History'!E130-1),"")</f>
        <v>-0.0393857872623401</v>
      </c>
      <c r="F130" s="143" t="n">
        <f aca="false">IFERROR(IF(OR(NOT(ISNUMBER('Price History'!F131)),NOT(ISNUMBER('Price History'!F130)),'Price History'!F130=0),"",'Price History'!F131/'Price History'!F130-1),"")</f>
        <v>-0.0221930974224552</v>
      </c>
      <c r="G130" s="143" t="n">
        <f aca="false">IFERROR(IF(OR(NOT(ISNUMBER('Price History'!G131)),NOT(ISNUMBER('Price History'!G130)),'Price History'!G130=0),"",'Price History'!G131/'Price History'!G130-1),"")</f>
        <v>-0.042717447246526</v>
      </c>
      <c r="H130" s="143" t="n">
        <f aca="false">IFERROR(IF(OR(NOT(ISNUMBER('Price History'!H131)),NOT(ISNUMBER('Price History'!H130)),'Price History'!H130=0),"",'Price History'!H131/'Price History'!H130-1),"")</f>
        <v>-0.0033305034937634</v>
      </c>
      <c r="I130" s="143" t="n">
        <f aca="false">IFERROR(IF(OR(NOT(ISNUMBER('Price History'!I131)),NOT(ISNUMBER('Price History'!I130)),'Price History'!I130=0),"",'Price History'!I131/'Price History'!I130-1),"")</f>
        <v>0.0190967569016349</v>
      </c>
      <c r="J130" s="143" t="n">
        <f aca="false">IFERROR(IF(OR(NOT(ISNUMBER('Price History'!J131)),NOT(ISNUMBER('Price History'!J130)),'Price History'!J130=0),"",'Price History'!J131/'Price History'!J130-1),"")</f>
        <v>-0.036899420452421</v>
      </c>
      <c r="K130" s="143" t="n">
        <f aca="false">IFERROR(IF(OR(NOT(ISNUMBER('Price History'!K131)),NOT(ISNUMBER('Price History'!K130)),'Price History'!K130=0),"",'Price History'!K131/'Price History'!K130-1),"")</f>
        <v>-0.066532896821206</v>
      </c>
      <c r="L130" s="143" t="n">
        <f aca="false">IFERROR(IF(OR(NOT(ISNUMBER('Price History'!L131)),NOT(ISNUMBER('Price History'!L130)),'Price History'!L130=0),"",'Price History'!L131/'Price History'!L130-1),"")</f>
        <v>0.00752151587473771</v>
      </c>
      <c r="M130" s="143" t="n">
        <f aca="false">IFERROR(IF(OR(NOT(ISNUMBER('Price History'!M131)),NOT(ISNUMBER('Price History'!M130)),'Price History'!M130=0),"",'Price History'!M131/'Price History'!M130-1),"")</f>
        <v>0.014418811002662</v>
      </c>
      <c r="N130" s="143" t="n">
        <f aca="false">IFERROR(IF(OR(NOT(ISNUMBER('Price History'!N131)),NOT(ISNUMBER('Price History'!N130)),'Price History'!N130=0),"",'Price History'!N131/'Price History'!N130-1),"")</f>
        <v>0.00518638573743924</v>
      </c>
      <c r="O130" s="143" t="n">
        <f aca="false">IFERROR(IF(OR(NOT(ISNUMBER('Price History'!O131)),NOT(ISNUMBER('Price History'!O130)),'Price History'!O130=0),"",'Price History'!O131/'Price History'!O130-1),"")</f>
        <v>-0.00402549480040249</v>
      </c>
      <c r="P130" s="143" t="n">
        <f aca="false">IFERROR(IF(OR(NOT(ISNUMBER('Price History'!P131)),NOT(ISNUMBER('Price History'!P130)),'Price History'!P130=0),"",'Price History'!P131/'Price History'!P130-1),"")</f>
        <v>0.0109071127430982</v>
      </c>
      <c r="Q130" s="143" t="n">
        <f aca="false">IFERROR(IF(OR(NOT(ISNUMBER('Price History'!Q131)),NOT(ISNUMBER('Price History'!Q130)),'Price History'!Q130=0),"",'Price History'!Q131/'Price History'!Q130-1),"")</f>
        <v>-0.00250242422346647</v>
      </c>
      <c r="R130" s="143" t="n">
        <f aca="false">IFERROR(IF(OR(NOT(ISNUMBER('Price History'!R131)),NOT(ISNUMBER('Price History'!R130)),'Price History'!R130=0),"",'Price History'!R131/'Price History'!R130-1),"")</f>
        <v>0.00509164969450104</v>
      </c>
      <c r="S130" s="143" t="n">
        <f aca="false">IFERROR(IF(OR(NOT(ISNUMBER('Price History'!S131)),NOT(ISNUMBER('Price History'!S130)),'Price History'!S130=0),"",'Price History'!S131/'Price History'!S130-1),"")</f>
        <v>-0.0173333333333333</v>
      </c>
      <c r="T130" s="143" t="n">
        <f aca="false">IFERROR(IF(OR(NOT(ISNUMBER('Price History'!T131)),NOT(ISNUMBER('Price History'!T130)),'Price History'!T130=0),"",'Price History'!T131/'Price History'!T130-1),"")</f>
        <v>0.0063115374905327</v>
      </c>
      <c r="U130" s="143" t="str">
        <f aca="false">IFERROR(IF(OR(NOT(ISNUMBER('Price History'!U131)),NOT(ISNUMBER('Price History'!U130)),'Price History'!U130=0),"",'Price History'!U131/'Price History'!U130-1),"")</f>
        <v/>
      </c>
      <c r="V130" s="144" t="n">
        <f aca="false">IFERROR(IF(OR(NOT(ISNUMBER('Price History'!V131)),NOT(ISNUMBER('Price History'!V130)),'Price History'!V130=0),"",'Price History'!V131/'Price History'!V130-1),"")</f>
        <v>-0.00646564932279203</v>
      </c>
      <c r="W130" s="145" t="str">
        <f aca="false">IFERROR('Price History'!B3+(INDEX('Price History'!B:B,MATCH(9.99E+307,'Price History'!$A:$A))-'Price History'!B3)*(ROW()-3)/(MATCH(9.99E+307,'Returns (Calc)'!$A:$A)-3),"")</f>
        <v/>
      </c>
      <c r="X130" s="145" t="n">
        <f aca="false">IFERROR('Price History'!C3+(INDEX('Price History'!C:C,MATCH(9.99E+307,'Price History'!$A:$A))-'Price History'!C3)*(ROW()-3)/(MATCH(9.99E+307,'Returns (Calc)'!$A:$A)-3),"")</f>
        <v>9.29408805031446</v>
      </c>
      <c r="Y130" s="145" t="n">
        <f aca="false">IFERROR('Price History'!D3+(INDEX('Price History'!D:D,MATCH(9.99E+307,'Price History'!$A:$A))-'Price History'!D3)*(ROW()-3)/(MATCH(9.99E+307,'Returns (Calc)'!$A:$A)-3),"")</f>
        <v>117.134088050314</v>
      </c>
      <c r="Z130" s="145" t="n">
        <f aca="false">IFERROR('Price History'!E3+(INDEX('Price History'!E:E,MATCH(9.99E+307,'Price History'!$A:$A))-'Price History'!E3)*(ROW()-3)/(MATCH(9.99E+307,'Returns (Calc)'!$A:$A)-3),"")</f>
        <v>16.503144654088</v>
      </c>
      <c r="AA130" s="145" t="n">
        <f aca="false">IFERROR('Price History'!F3+(INDEX('Price History'!F:F,MATCH(9.99E+307,'Price History'!$A:$A))-'Price History'!F3)*(ROW()-3)/(MATCH(9.99E+307,'Returns (Calc)'!$A:$A)-3),"")</f>
        <v>15.1567295597484</v>
      </c>
      <c r="AB130" s="145" t="n">
        <f aca="false">IFERROR('Price History'!G3+(INDEX('Price History'!G:G,MATCH(9.99E+307,'Price History'!$A:$A))-'Price History'!G3)*(ROW()-3)/(MATCH(9.99E+307,'Returns (Calc)'!$A:$A)-3),"")</f>
        <v>8.3240251572327</v>
      </c>
      <c r="AC130" s="145" t="n">
        <f aca="false">IFERROR('Price History'!H3+(INDEX('Price History'!H:H,MATCH(9.99E+307,'Price History'!$A:$A))-'Price History'!H3)*(ROW()-3)/(MATCH(9.99E+307,'Returns (Calc)'!$A:$A)-3),"")</f>
        <v>20.2445283018868</v>
      </c>
      <c r="AD130" s="145" t="n">
        <f aca="false">IFERROR('Price History'!I3+(INDEX('Price History'!I:I,MATCH(9.99E+307,'Price History'!$A:$A))-'Price History'!I3)*(ROW()-3)/(MATCH(9.99E+307,'Returns (Calc)'!$A:$A)-3),"")</f>
        <v>8.92578616352201</v>
      </c>
      <c r="AE130" s="145" t="n">
        <f aca="false">IFERROR('Price History'!J3+(INDEX('Price History'!J:J,MATCH(9.99E+307,'Price History'!$A:$A))-'Price History'!J3)*(ROW()-3)/(MATCH(9.99E+307,'Returns (Calc)'!$A:$A)-3),"")</f>
        <v>13.9089308176101</v>
      </c>
      <c r="AF130" s="145" t="n">
        <f aca="false">IFERROR('Price History'!K3+(INDEX('Price History'!K:K,MATCH(9.99E+307,'Price History'!$A:$A))-'Price History'!K3)*(ROW()-3)/(MATCH(9.99E+307,'Returns (Calc)'!$A:$A)-3),"")</f>
        <v>8.80905660377359</v>
      </c>
      <c r="AG130" s="145" t="n">
        <f aca="false">IFERROR('Price History'!L3+(INDEX('Price History'!L:L,MATCH(9.99E+307,'Price History'!$A:$A))-'Price History'!L3)*(ROW()-3)/(MATCH(9.99E+307,'Returns (Calc)'!$A:$A)-3),"")</f>
        <v>22.508679245283</v>
      </c>
      <c r="AH130" s="145" t="n">
        <f aca="false">IFERROR('Price History'!M3+(INDEX('Price History'!M:M,MATCH(9.99E+307,'Price History'!$A:$A))-'Price History'!M3)*(ROW()-3)/(MATCH(9.99E+307,'Returns (Calc)'!$A:$A)-3),"")</f>
        <v>3.08528301886792</v>
      </c>
      <c r="AI130" s="145" t="n">
        <f aca="false">IFERROR('Price History'!N3+(INDEX('Price History'!N:N,MATCH(9.99E+307,'Price History'!$A:$A))-'Price History'!N3)*(ROW()-3)/(MATCH(9.99E+307,'Returns (Calc)'!$A:$A)-3),"")</f>
        <v>4.3874213836478</v>
      </c>
      <c r="AJ130" s="145" t="n">
        <f aca="false">IFERROR('Price History'!O3+(INDEX('Price History'!O:O,MATCH(9.99E+307,'Price History'!$A:$A))-'Price History'!O3)*(ROW()-3)/(MATCH(9.99E+307,'Returns (Calc)'!$A:$A)-3),"")</f>
        <v>11.5984905660377</v>
      </c>
      <c r="AK130" s="145" t="n">
        <f aca="false">IFERROR('Price History'!Q3+(INDEX('Price History'!Q:Q,MATCH(9.99E+307,'Price History'!$A:$A))-'Price History'!Q3)*(ROW()-3)/(MATCH(9.99E+307,'Returns (Calc)'!$A:$A)-3),"")</f>
        <v>47.4223899371069</v>
      </c>
      <c r="AL130" s="145" t="n">
        <f aca="false">IFERROR('Price History'!R3+(INDEX('Price History'!R:R,MATCH(9.99E+307,'Price History'!$A:$A))-'Price History'!R3)*(ROW()-3)/(MATCH(9.99E+307,'Returns (Calc)'!$A:$A)-3),"")</f>
        <v>9.62415094339622</v>
      </c>
      <c r="AM130" s="145" t="n">
        <f aca="false">IFERROR('Price History'!S3+(INDEX('Price History'!S:S,MATCH(9.99E+307,'Price History'!$A:$A))-'Price History'!S3)*(ROW()-3)/(MATCH(9.99E+307,'Returns (Calc)'!$A:$A)-3),"")</f>
        <v>11.7816352201258</v>
      </c>
      <c r="AN130" s="145" t="n">
        <f aca="false">IFERROR('Price History'!T3+(INDEX('Price History'!T:T,MATCH(9.99E+307,'Price History'!$A:$A))-'Price History'!T3)*(ROW()-3)/(MATCH(9.99E+307,'Returns (Calc)'!$A:$A)-3),"")</f>
        <v>5.41584905660377</v>
      </c>
      <c r="AO130" s="146" t="n">
        <f aca="false">IFERROR('Price History'!V3+(INDEX('Price History'!V:V,MATCH(9.99E+307,'Price History'!$A:$A))-'Price History'!V3)*(ROW()-3)/(MATCH(9.99E+307,'Returns (Calc)'!$A:$A)-3),"")</f>
        <v>0</v>
      </c>
    </row>
    <row r="131" customFormat="false" ht="15" hidden="false" customHeight="true" outlineLevel="0" collapsed="false">
      <c r="A131" s="142" t="n">
        <f aca="false">IF('Price History'!A132="","",'Price History'!A132)</f>
        <v>46087</v>
      </c>
      <c r="B131" s="143" t="n">
        <f aca="false">IFERROR(IF(OR(NOT(ISNUMBER('Price History'!B132)),NOT(ISNUMBER('Price History'!B131)),'Price History'!B131=0),"",'Price History'!B132/'Price History'!B131-1),"")</f>
        <v>0.0808277123585228</v>
      </c>
      <c r="C131" s="143" t="n">
        <f aca="false">IFERROR(IF(OR(NOT(ISNUMBER('Price History'!C132)),NOT(ISNUMBER('Price History'!C131)),'Price History'!C131=0),"",'Price History'!C132/'Price History'!C131-1),"")</f>
        <v>-0.0045692883895132</v>
      </c>
      <c r="D131" s="143" t="n">
        <f aca="false">IFERROR(IF(OR(NOT(ISNUMBER('Price History'!D132)),NOT(ISNUMBER('Price History'!D131)),'Price History'!D131=0),"",'Price History'!D132/'Price History'!D131-1),"")</f>
        <v>-0.108755958022317</v>
      </c>
      <c r="E131" s="143" t="n">
        <f aca="false">IFERROR(IF(OR(NOT(ISNUMBER('Price History'!E132)),NOT(ISNUMBER('Price History'!E131)),'Price History'!E131=0),"",'Price History'!E132/'Price History'!E131-1),"")</f>
        <v>0.0342039018250473</v>
      </c>
      <c r="F131" s="143" t="n">
        <f aca="false">IFERROR(IF(OR(NOT(ISNUMBER('Price History'!F132)),NOT(ISNUMBER('Price History'!F131)),'Price History'!F131=0),"",'Price History'!F132/'Price History'!F131-1),"")</f>
        <v>-0.0383343758377267</v>
      </c>
      <c r="G131" s="143" t="n">
        <f aca="false">IFERROR(IF(OR(NOT(ISNUMBER('Price History'!G132)),NOT(ISNUMBER('Price History'!G131)),'Price History'!G131=0),"",'Price History'!G132/'Price History'!G131-1),"")</f>
        <v>0.153225806451613</v>
      </c>
      <c r="H131" s="143" t="n">
        <f aca="false">IFERROR(IF(OR(NOT(ISNUMBER('Price History'!H132)),NOT(ISNUMBER('Price History'!H131)),'Price History'!H131=0),"",'Price History'!H132/'Price History'!H131-1),"")</f>
        <v>-0.0247018739352641</v>
      </c>
      <c r="I131" s="143" t="n">
        <f aca="false">IFERROR(IF(OR(NOT(ISNUMBER('Price History'!I132)),NOT(ISNUMBER('Price History'!I131)),'Price History'!I131=0),"",'Price History'!I132/'Price History'!I131-1),"")</f>
        <v>-0.118087974225787</v>
      </c>
      <c r="J131" s="143" t="n">
        <f aca="false">IFERROR(IF(OR(NOT(ISNUMBER('Price History'!J132)),NOT(ISNUMBER('Price History'!J131)),'Price History'!J131=0),"",'Price History'!J132/'Price History'!J131-1),"")</f>
        <v>-0.102006648387645</v>
      </c>
      <c r="K131" s="143" t="n">
        <f aca="false">IFERROR(IF(OR(NOT(ISNUMBER('Price History'!K132)),NOT(ISNUMBER('Price History'!K131)),'Price History'!K131=0),"",'Price History'!K132/'Price History'!K131-1),"")</f>
        <v>0.00350718407059625</v>
      </c>
      <c r="L131" s="143" t="n">
        <f aca="false">IFERROR(IF(OR(NOT(ISNUMBER('Price History'!L132)),NOT(ISNUMBER('Price History'!L131)),'Price History'!L131=0),"",'Price History'!L132/'Price History'!L131-1),"")</f>
        <v>-0.0563491493790825</v>
      </c>
      <c r="M131" s="143" t="n">
        <f aca="false">IFERROR(IF(OR(NOT(ISNUMBER('Price History'!M132)),NOT(ISNUMBER('Price History'!M131)),'Price History'!M131=0),"",'Price History'!M132/'Price History'!M131-1),"")</f>
        <v>0.145564545520811</v>
      </c>
      <c r="N131" s="143" t="n">
        <f aca="false">IFERROR(IF(OR(NOT(ISNUMBER('Price History'!N132)),NOT(ISNUMBER('Price History'!N131)),'Price History'!N131=0),"",'Price History'!N132/'Price History'!N131-1),"")</f>
        <v>-0.0203160270880361</v>
      </c>
      <c r="O131" s="143" t="n">
        <f aca="false">IFERROR(IF(OR(NOT(ISNUMBER('Price History'!O132)),NOT(ISNUMBER('Price History'!O131)),'Price History'!O131=0),"",'Price History'!O132/'Price History'!O131-1),"")</f>
        <v>-0.0103570225665207</v>
      </c>
      <c r="P131" s="143" t="n">
        <f aca="false">IFERROR(IF(OR(NOT(ISNUMBER('Price History'!P132)),NOT(ISNUMBER('Price History'!P131)),'Price History'!P131=0),"",'Price History'!P132/'Price History'!P131-1),"")</f>
        <v>-0.0952752515740193</v>
      </c>
      <c r="Q131" s="143" t="n">
        <f aca="false">IFERROR(IF(OR(NOT(ISNUMBER('Price History'!Q132)),NOT(ISNUMBER('Price History'!Q131)),'Price History'!Q131=0),"",'Price History'!Q132/'Price History'!Q131-1),"")</f>
        <v>-0.00868638088369023</v>
      </c>
      <c r="R131" s="143" t="n">
        <f aca="false">IFERROR(IF(OR(NOT(ISNUMBER('Price History'!R132)),NOT(ISNUMBER('Price History'!R131)),'Price History'!R131=0),"",'Price History'!R132/'Price History'!R131-1),"")</f>
        <v>0.00354609929078009</v>
      </c>
      <c r="S131" s="143" t="n">
        <f aca="false">IFERROR(IF(OR(NOT(ISNUMBER('Price History'!S132)),NOT(ISNUMBER('Price History'!S131)),'Price History'!S131=0),"",'Price History'!S132/'Price History'!S131-1),"")</f>
        <v>0.0165366350067844</v>
      </c>
      <c r="T131" s="143" t="n">
        <f aca="false">IFERROR(IF(OR(NOT(ISNUMBER('Price History'!T132)),NOT(ISNUMBER('Price History'!T131)),'Price History'!T131=0),"",'Price History'!T132/'Price History'!T131-1),"")</f>
        <v>-0.00978424485699947</v>
      </c>
      <c r="U131" s="143" t="str">
        <f aca="false">IFERROR(IF(OR(NOT(ISNUMBER('Price History'!U132)),NOT(ISNUMBER('Price History'!U131)),'Price History'!U131=0),"",'Price History'!U132/'Price History'!U131-1),"")</f>
        <v/>
      </c>
      <c r="V131" s="144" t="n">
        <f aca="false">IFERROR(IF(OR(NOT(ISNUMBER('Price History'!V132)),NOT(ISNUMBER('Price History'!V131)),'Price History'!V131=0),"",'Price History'!V132/'Price History'!V131-1),"")</f>
        <v>-0.013323875026987</v>
      </c>
      <c r="W131" s="145" t="str">
        <f aca="false">IFERROR('Price History'!B3+(INDEX('Price History'!B:B,MATCH(9.99E+307,'Price History'!$A:$A))-'Price History'!B3)*(ROW()-3)/(MATCH(9.99E+307,'Returns (Calc)'!$A:$A)-3),"")</f>
        <v/>
      </c>
      <c r="X131" s="145" t="n">
        <f aca="false">IFERROR('Price History'!C3+(INDEX('Price History'!C:C,MATCH(9.99E+307,'Price History'!$A:$A))-'Price History'!C3)*(ROW()-3)/(MATCH(9.99E+307,'Returns (Calc)'!$A:$A)-3),"")</f>
        <v>9.00364779874214</v>
      </c>
      <c r="Y131" s="145" t="n">
        <f aca="false">IFERROR('Price History'!D3+(INDEX('Price History'!D:D,MATCH(9.99E+307,'Price History'!$A:$A))-'Price History'!D3)*(ROW()-3)/(MATCH(9.99E+307,'Returns (Calc)'!$A:$A)-3),"")</f>
        <v>113.473647798742</v>
      </c>
      <c r="Z131" s="145" t="n">
        <f aca="false">IFERROR('Price History'!E3+(INDEX('Price History'!E:E,MATCH(9.99E+307,'Price History'!$A:$A))-'Price History'!E3)*(ROW()-3)/(MATCH(9.99E+307,'Returns (Calc)'!$A:$A)-3),"")</f>
        <v>15.9874213836478</v>
      </c>
      <c r="AA131" s="145" t="n">
        <f aca="false">IFERROR('Price History'!F3+(INDEX('Price History'!F:F,MATCH(9.99E+307,'Price History'!$A:$A))-'Price History'!F3)*(ROW()-3)/(MATCH(9.99E+307,'Returns (Calc)'!$A:$A)-3),"")</f>
        <v>14.6830817610063</v>
      </c>
      <c r="AB131" s="145" t="n">
        <f aca="false">IFERROR('Price History'!G3+(INDEX('Price History'!G:G,MATCH(9.99E+307,'Price History'!$A:$A))-'Price History'!G3)*(ROW()-3)/(MATCH(9.99E+307,'Returns (Calc)'!$A:$A)-3),"")</f>
        <v>8.06389937106918</v>
      </c>
      <c r="AC131" s="145" t="n">
        <f aca="false">IFERROR('Price History'!H3+(INDEX('Price History'!H:H,MATCH(9.99E+307,'Price History'!$A:$A))-'Price History'!H3)*(ROW()-3)/(MATCH(9.99E+307,'Returns (Calc)'!$A:$A)-3),"")</f>
        <v>19.6118867924528</v>
      </c>
      <c r="AD131" s="145" t="n">
        <f aca="false">IFERROR('Price History'!I3+(INDEX('Price History'!I:I,MATCH(9.99E+307,'Price History'!$A:$A))-'Price History'!I3)*(ROW()-3)/(MATCH(9.99E+307,'Returns (Calc)'!$A:$A)-3),"")</f>
        <v>8.64685534591195</v>
      </c>
      <c r="AE131" s="145" t="n">
        <f aca="false">IFERROR('Price History'!J3+(INDEX('Price History'!J:J,MATCH(9.99E+307,'Price History'!$A:$A))-'Price History'!J3)*(ROW()-3)/(MATCH(9.99E+307,'Returns (Calc)'!$A:$A)-3),"")</f>
        <v>13.4742767295597</v>
      </c>
      <c r="AF131" s="145" t="n">
        <f aca="false">IFERROR('Price History'!K3+(INDEX('Price History'!K:K,MATCH(9.99E+307,'Price History'!$A:$A))-'Price History'!K3)*(ROW()-3)/(MATCH(9.99E+307,'Returns (Calc)'!$A:$A)-3),"")</f>
        <v>8.53377358490566</v>
      </c>
      <c r="AG131" s="145" t="n">
        <f aca="false">IFERROR('Price History'!L3+(INDEX('Price History'!L:L,MATCH(9.99E+307,'Price History'!$A:$A))-'Price History'!L3)*(ROW()-3)/(MATCH(9.99E+307,'Returns (Calc)'!$A:$A)-3),"")</f>
        <v>21.8052830188679</v>
      </c>
      <c r="AH131" s="145" t="n">
        <f aca="false">IFERROR('Price History'!M3+(INDEX('Price History'!M:M,MATCH(9.99E+307,'Price History'!$A:$A))-'Price History'!M3)*(ROW()-3)/(MATCH(9.99E+307,'Returns (Calc)'!$A:$A)-3),"")</f>
        <v>2.9888679245283</v>
      </c>
      <c r="AI131" s="145" t="n">
        <f aca="false">IFERROR('Price History'!N3+(INDEX('Price History'!N:N,MATCH(9.99E+307,'Price History'!$A:$A))-'Price History'!N3)*(ROW()-3)/(MATCH(9.99E+307,'Returns (Calc)'!$A:$A)-3),"")</f>
        <v>4.25031446540881</v>
      </c>
      <c r="AJ131" s="145" t="n">
        <f aca="false">IFERROR('Price History'!O3+(INDEX('Price History'!O:O,MATCH(9.99E+307,'Price History'!$A:$A))-'Price History'!O3)*(ROW()-3)/(MATCH(9.99E+307,'Returns (Calc)'!$A:$A)-3),"")</f>
        <v>11.2360377358491</v>
      </c>
      <c r="AK131" s="145" t="n">
        <f aca="false">IFERROR('Price History'!Q3+(INDEX('Price History'!Q:Q,MATCH(9.99E+307,'Price History'!$A:$A))-'Price History'!Q3)*(ROW()-3)/(MATCH(9.99E+307,'Returns (Calc)'!$A:$A)-3),"")</f>
        <v>45.9404402515723</v>
      </c>
      <c r="AL131" s="145" t="n">
        <f aca="false">IFERROR('Price History'!R3+(INDEX('Price History'!R:R,MATCH(9.99E+307,'Price History'!$A:$A))-'Price History'!R3)*(ROW()-3)/(MATCH(9.99E+307,'Returns (Calc)'!$A:$A)-3),"")</f>
        <v>9.32339622641509</v>
      </c>
      <c r="AM131" s="145" t="n">
        <f aca="false">IFERROR('Price History'!S3+(INDEX('Price History'!S:S,MATCH(9.99E+307,'Price History'!$A:$A))-'Price History'!S3)*(ROW()-3)/(MATCH(9.99E+307,'Returns (Calc)'!$A:$A)-3),"")</f>
        <v>11.4134591194969</v>
      </c>
      <c r="AN131" s="145" t="n">
        <f aca="false">IFERROR('Price History'!T3+(INDEX('Price History'!T:T,MATCH(9.99E+307,'Price History'!$A:$A))-'Price History'!T3)*(ROW()-3)/(MATCH(9.99E+307,'Returns (Calc)'!$A:$A)-3),"")</f>
        <v>5.24660377358491</v>
      </c>
      <c r="AO131" s="146" t="n">
        <f aca="false">IFERROR('Price History'!V3+(INDEX('Price History'!V:V,MATCH(9.99E+307,'Price History'!$A:$A))-'Price History'!V3)*(ROW()-3)/(MATCH(9.99E+307,'Returns (Calc)'!$A:$A)-3),"")</f>
        <v>0</v>
      </c>
    </row>
    <row r="132" customFormat="false" ht="15" hidden="false" customHeight="true" outlineLevel="0" collapsed="false">
      <c r="A132" s="142" t="n">
        <f aca="false">IF('Price History'!A133="","",'Price History'!A133)</f>
        <v>46094</v>
      </c>
      <c r="B132" s="143" t="n">
        <f aca="false">IFERROR(IF(OR(NOT(ISNUMBER('Price History'!B133)),NOT(ISNUMBER('Price History'!B132)),'Price History'!B132=0),"",'Price History'!B133/'Price History'!B132-1),"")</f>
        <v>-0.120936464283196</v>
      </c>
      <c r="C132" s="143" t="n">
        <f aca="false">IFERROR(IF(OR(NOT(ISNUMBER('Price History'!C133)),NOT(ISNUMBER('Price History'!C132)),'Price History'!C132=0),"",'Price History'!C133/'Price History'!C132-1),"")</f>
        <v>0.00511701407178866</v>
      </c>
      <c r="D132" s="143" t="n">
        <f aca="false">IFERROR(IF(OR(NOT(ISNUMBER('Price History'!D133)),NOT(ISNUMBER('Price History'!D132)),'Price History'!D132=0),"",'Price History'!D133/'Price History'!D132-1),"")</f>
        <v>0.0409059860904124</v>
      </c>
      <c r="E132" s="143" t="n">
        <f aca="false">IFERROR(IF(OR(NOT(ISNUMBER('Price History'!E133)),NOT(ISNUMBER('Price History'!E132)),'Price History'!E132=0),"",'Price History'!E133/'Price History'!E132-1),"")</f>
        <v>-0.0251924422673199</v>
      </c>
      <c r="F132" s="143" t="n">
        <f aca="false">IFERROR(IF(OR(NOT(ISNUMBER('Price History'!F133)),NOT(ISNUMBER('Price History'!F132)),'Price History'!F132=0),"",'Price History'!F133/'Price History'!F132-1),"")</f>
        <v>-0.0191414235272255</v>
      </c>
      <c r="G132" s="143" t="n">
        <f aca="false">IFERROR(IF(OR(NOT(ISNUMBER('Price History'!G133)),NOT(ISNUMBER('Price History'!G132)),'Price History'!G132=0),"",'Price History'!G133/'Price History'!G132-1),"")</f>
        <v>0.0297435897435898</v>
      </c>
      <c r="H132" s="143" t="n">
        <f aca="false">IFERROR(IF(OR(NOT(ISNUMBER('Price History'!H133)),NOT(ISNUMBER('Price History'!H132)),'Price History'!H132=0),"",'Price History'!H133/'Price History'!H132-1),"")</f>
        <v>-0.0121598925092375</v>
      </c>
      <c r="I132" s="143" t="n">
        <f aca="false">IFERROR(IF(OR(NOT(ISNUMBER('Price History'!I133)),NOT(ISNUMBER('Price History'!I132)),'Price History'!I132=0),"",'Price History'!I133/'Price History'!I132-1),"")</f>
        <v>0.0550958025795871</v>
      </c>
      <c r="J132" s="143" t="n">
        <f aca="false">IFERROR(IF(OR(NOT(ISNUMBER('Price History'!J133)),NOT(ISNUMBER('Price History'!J132)),'Price History'!J132=0),"",'Price History'!J133/'Price History'!J132-1),"")</f>
        <v>0.150774136020968</v>
      </c>
      <c r="K132" s="143" t="n">
        <f aca="false">IFERROR(IF(OR(NOT(ISNUMBER('Price History'!K133)),NOT(ISNUMBER('Price History'!K132)),'Price History'!K132=0),"",'Price History'!K133/'Price History'!K132-1),"")</f>
        <v>0.0137542277339346</v>
      </c>
      <c r="L132" s="143" t="n">
        <f aca="false">IFERROR(IF(OR(NOT(ISNUMBER('Price History'!L133)),NOT(ISNUMBER('Price History'!L132)),'Price History'!L132=0),"",'Price History'!L133/'Price History'!L132-1),"")</f>
        <v>-0.0207667731629394</v>
      </c>
      <c r="M132" s="143" t="n">
        <f aca="false">IFERROR(IF(OR(NOT(ISNUMBER('Price History'!M133)),NOT(ISNUMBER('Price History'!M132)),'Price History'!M132=0),"",'Price History'!M133/'Price History'!M132-1),"")</f>
        <v>-0.0395138712140495</v>
      </c>
      <c r="N132" s="143" t="n">
        <f aca="false">IFERROR(IF(OR(NOT(ISNUMBER('Price History'!N133)),NOT(ISNUMBER('Price History'!N132)),'Price History'!N132=0),"",'Price History'!N133/'Price History'!N132-1),"")</f>
        <v>-0.010533245556287</v>
      </c>
      <c r="O132" s="143" t="n">
        <f aca="false">IFERROR(IF(OR(NOT(ISNUMBER('Price History'!O133)),NOT(ISNUMBER('Price History'!O132)),'Price History'!O132=0),"",'Price History'!O133/'Price History'!O132-1),"")</f>
        <v>-0.0173572704841317</v>
      </c>
      <c r="P132" s="143" t="n">
        <f aca="false">IFERROR(IF(OR(NOT(ISNUMBER('Price History'!P133)),NOT(ISNUMBER('Price History'!P132)),'Price History'!P132=0),"",'Price History'!P133/'Price History'!P132-1),"")</f>
        <v>-0.00172490706319695</v>
      </c>
      <c r="Q132" s="143" t="n">
        <f aca="false">IFERROR(IF(OR(NOT(ISNUMBER('Price History'!Q133)),NOT(ISNUMBER('Price History'!Q132)),'Price History'!Q132=0),"",'Price History'!Q133/'Price History'!Q132-1),"")</f>
        <v>-0.0322029609009237</v>
      </c>
      <c r="R132" s="143" t="n">
        <f aca="false">IFERROR(IF(OR(NOT(ISNUMBER('Price History'!R133)),NOT(ISNUMBER('Price History'!R132)),'Price History'!R132=0),"",'Price History'!R133/'Price History'!R132-1),"")</f>
        <v>-0.0232205956587582</v>
      </c>
      <c r="S132" s="143" t="n">
        <f aca="false">IFERROR(IF(OR(NOT(ISNUMBER('Price History'!S133)),NOT(ISNUMBER('Price History'!S132)),'Price History'!S132=0),"",'Price History'!S133/'Price History'!S132-1),"")</f>
        <v>-0.000250271127054336</v>
      </c>
      <c r="T132" s="143" t="n">
        <f aca="false">IFERROR(IF(OR(NOT(ISNUMBER('Price History'!T133)),NOT(ISNUMBER('Price History'!T132)),'Price History'!T132=0),"",'Price History'!T133/'Price History'!T132-1),"")</f>
        <v>0.0243222700785406</v>
      </c>
      <c r="U132" s="143" t="str">
        <f aca="false">IFERROR(IF(OR(NOT(ISNUMBER('Price History'!U133)),NOT(ISNUMBER('Price History'!U132)),'Price History'!U132=0),"",'Price History'!U133/'Price History'!U132-1),"")</f>
        <v/>
      </c>
      <c r="V132" s="144" t="n">
        <f aca="false">IFERROR(IF(OR(NOT(ISNUMBER('Price History'!V133)),NOT(ISNUMBER('Price History'!V132)),'Price History'!V132=0),"",'Price History'!V133/'Price History'!V132-1),"")</f>
        <v>0.0302897689975306</v>
      </c>
      <c r="W132" s="145" t="str">
        <f aca="false">IFERROR('Price History'!B3+(INDEX('Price History'!B:B,MATCH(9.99E+307,'Price History'!$A:$A))-'Price History'!B3)*(ROW()-3)/(MATCH(9.99E+307,'Returns (Calc)'!$A:$A)-3),"")</f>
        <v/>
      </c>
      <c r="X132" s="145" t="n">
        <f aca="false">IFERROR('Price History'!C3+(INDEX('Price History'!C:C,MATCH(9.99E+307,'Price History'!$A:$A))-'Price History'!C3)*(ROW()-3)/(MATCH(9.99E+307,'Returns (Calc)'!$A:$A)-3),"")</f>
        <v>8.71320754716981</v>
      </c>
      <c r="Y132" s="145" t="n">
        <f aca="false">IFERROR('Price History'!D3+(INDEX('Price History'!D:D,MATCH(9.99E+307,'Price History'!$A:$A))-'Price History'!D3)*(ROW()-3)/(MATCH(9.99E+307,'Returns (Calc)'!$A:$A)-3),"")</f>
        <v>109.81320754717</v>
      </c>
      <c r="Z132" s="145" t="n">
        <f aca="false">IFERROR('Price History'!E3+(INDEX('Price History'!E:E,MATCH(9.99E+307,'Price History'!$A:$A))-'Price History'!E3)*(ROW()-3)/(MATCH(9.99E+307,'Returns (Calc)'!$A:$A)-3),"")</f>
        <v>15.4716981132076</v>
      </c>
      <c r="AA132" s="145" t="n">
        <f aca="false">IFERROR('Price History'!F3+(INDEX('Price History'!F:F,MATCH(9.99E+307,'Price History'!$A:$A))-'Price History'!F3)*(ROW()-3)/(MATCH(9.99E+307,'Returns (Calc)'!$A:$A)-3),"")</f>
        <v>14.2094339622642</v>
      </c>
      <c r="AB132" s="145" t="n">
        <f aca="false">IFERROR('Price History'!G3+(INDEX('Price History'!G:G,MATCH(9.99E+307,'Price History'!$A:$A))-'Price History'!G3)*(ROW()-3)/(MATCH(9.99E+307,'Returns (Calc)'!$A:$A)-3),"")</f>
        <v>7.80377358490566</v>
      </c>
      <c r="AC132" s="145" t="n">
        <f aca="false">IFERROR('Price History'!H3+(INDEX('Price History'!H:H,MATCH(9.99E+307,'Price History'!$A:$A))-'Price History'!H3)*(ROW()-3)/(MATCH(9.99E+307,'Returns (Calc)'!$A:$A)-3),"")</f>
        <v>18.9792452830189</v>
      </c>
      <c r="AD132" s="145" t="n">
        <f aca="false">IFERROR('Price History'!I3+(INDEX('Price History'!I:I,MATCH(9.99E+307,'Price History'!$A:$A))-'Price History'!I3)*(ROW()-3)/(MATCH(9.99E+307,'Returns (Calc)'!$A:$A)-3),"")</f>
        <v>8.36792452830188</v>
      </c>
      <c r="AE132" s="145" t="n">
        <f aca="false">IFERROR('Price History'!J3+(INDEX('Price History'!J:J,MATCH(9.99E+307,'Price History'!$A:$A))-'Price History'!J3)*(ROW()-3)/(MATCH(9.99E+307,'Returns (Calc)'!$A:$A)-3),"")</f>
        <v>13.0396226415094</v>
      </c>
      <c r="AF132" s="145" t="n">
        <f aca="false">IFERROR('Price History'!K3+(INDEX('Price History'!K:K,MATCH(9.99E+307,'Price History'!$A:$A))-'Price History'!K3)*(ROW()-3)/(MATCH(9.99E+307,'Returns (Calc)'!$A:$A)-3),"")</f>
        <v>8.25849056603774</v>
      </c>
      <c r="AG132" s="145" t="n">
        <f aca="false">IFERROR('Price History'!L3+(INDEX('Price History'!L:L,MATCH(9.99E+307,'Price History'!$A:$A))-'Price History'!L3)*(ROW()-3)/(MATCH(9.99E+307,'Returns (Calc)'!$A:$A)-3),"")</f>
        <v>21.1018867924528</v>
      </c>
      <c r="AH132" s="145" t="n">
        <f aca="false">IFERROR('Price History'!M3+(INDEX('Price History'!M:M,MATCH(9.99E+307,'Price History'!$A:$A))-'Price History'!M3)*(ROW()-3)/(MATCH(9.99E+307,'Returns (Calc)'!$A:$A)-3),"")</f>
        <v>2.89245283018868</v>
      </c>
      <c r="AI132" s="145" t="n">
        <f aca="false">IFERROR('Price History'!N3+(INDEX('Price History'!N:N,MATCH(9.99E+307,'Price History'!$A:$A))-'Price History'!N3)*(ROW()-3)/(MATCH(9.99E+307,'Returns (Calc)'!$A:$A)-3),"")</f>
        <v>4.11320754716981</v>
      </c>
      <c r="AJ132" s="145" t="n">
        <f aca="false">IFERROR('Price History'!O3+(INDEX('Price History'!O:O,MATCH(9.99E+307,'Price History'!$A:$A))-'Price History'!O3)*(ROW()-3)/(MATCH(9.99E+307,'Returns (Calc)'!$A:$A)-3),"")</f>
        <v>10.8735849056604</v>
      </c>
      <c r="AK132" s="145" t="n">
        <f aca="false">IFERROR('Price History'!Q3+(INDEX('Price History'!Q:Q,MATCH(9.99E+307,'Price History'!$A:$A))-'Price History'!Q3)*(ROW()-3)/(MATCH(9.99E+307,'Returns (Calc)'!$A:$A)-3),"")</f>
        <v>44.4584905660377</v>
      </c>
      <c r="AL132" s="145" t="n">
        <f aca="false">IFERROR('Price History'!R3+(INDEX('Price History'!R:R,MATCH(9.99E+307,'Price History'!$A:$A))-'Price History'!R3)*(ROW()-3)/(MATCH(9.99E+307,'Returns (Calc)'!$A:$A)-3),"")</f>
        <v>9.02264150943397</v>
      </c>
      <c r="AM132" s="145" t="n">
        <f aca="false">IFERROR('Price History'!S3+(INDEX('Price History'!S:S,MATCH(9.99E+307,'Price History'!$A:$A))-'Price History'!S3)*(ROW()-3)/(MATCH(9.99E+307,'Returns (Calc)'!$A:$A)-3),"")</f>
        <v>11.0452830188679</v>
      </c>
      <c r="AN132" s="145" t="n">
        <f aca="false">IFERROR('Price History'!T3+(INDEX('Price History'!T:T,MATCH(9.99E+307,'Price History'!$A:$A))-'Price History'!T3)*(ROW()-3)/(MATCH(9.99E+307,'Returns (Calc)'!$A:$A)-3),"")</f>
        <v>5.07735849056604</v>
      </c>
      <c r="AO132" s="146" t="n">
        <f aca="false">IFERROR('Price History'!V3+(INDEX('Price History'!V:V,MATCH(9.99E+307,'Price History'!$A:$A))-'Price History'!V3)*(ROW()-3)/(MATCH(9.99E+307,'Returns (Calc)'!$A:$A)-3),"")</f>
        <v>0</v>
      </c>
    </row>
    <row r="133" customFormat="false" ht="15" hidden="false" customHeight="true" outlineLevel="0" collapsed="false">
      <c r="A133" s="142" t="n">
        <f aca="false">IF('Price History'!A134="","",'Price History'!A134)</f>
        <v>46101</v>
      </c>
      <c r="B133" s="143" t="n">
        <f aca="false">IFERROR(IF(OR(NOT(ISNUMBER('Price History'!B134)),NOT(ISNUMBER('Price History'!B133)),'Price History'!B133=0),"",'Price History'!B134/'Price History'!B133-1),"")</f>
        <v>-0.0046927643189475</v>
      </c>
      <c r="C133" s="143" t="n">
        <f aca="false">IFERROR(IF(OR(NOT(ISNUMBER('Price History'!C134)),NOT(ISNUMBER('Price History'!C133)),'Price History'!C133=0),"",'Price History'!C134/'Price History'!C133-1),"")</f>
        <v>-0.0175937710563749</v>
      </c>
      <c r="D133" s="143" t="n">
        <f aca="false">IFERROR(IF(OR(NOT(ISNUMBER('Price History'!D134)),NOT(ISNUMBER('Price History'!D133)),'Price History'!D133=0),"",'Price History'!D134/'Price History'!D133-1),"")</f>
        <v>-0.0211331672905698</v>
      </c>
      <c r="E133" s="143" t="n">
        <f aca="false">IFERROR(IF(OR(NOT(ISNUMBER('Price History'!E134)),NOT(ISNUMBER('Price History'!E133)),'Price History'!E133=0),"",'Price History'!E134/'Price History'!E133-1),"")</f>
        <v>-0.0361434501701051</v>
      </c>
      <c r="F133" s="143" t="n">
        <f aca="false">IFERROR(IF(OR(NOT(ISNUMBER('Price History'!F134)),NOT(ISNUMBER('Price History'!F133)),'Price History'!F133=0),"",'Price History'!F134/'Price History'!F133-1),"")</f>
        <v>-0.00198938992042452</v>
      </c>
      <c r="G133" s="143" t="n">
        <f aca="false">IFERROR(IF(OR(NOT(ISNUMBER('Price History'!G134)),NOT(ISNUMBER('Price History'!G133)),'Price History'!G133=0),"",'Price History'!G134/'Price History'!G133-1),"")</f>
        <v>-0.074157913799348</v>
      </c>
      <c r="H133" s="143" t="n">
        <f aca="false">IFERROR(IF(OR(NOT(ISNUMBER('Price History'!H134)),NOT(ISNUMBER('Price History'!H133)),'Price History'!H133=0),"",'Price History'!H134/'Price History'!H133-1),"")</f>
        <v>-0.0233949945593036</v>
      </c>
      <c r="I133" s="143" t="n">
        <f aca="false">IFERROR(IF(OR(NOT(ISNUMBER('Price History'!I134)),NOT(ISNUMBER('Price History'!I133)),'Price History'!I133=0),"",'Price History'!I134/'Price History'!I133-1),"")</f>
        <v>0.0564584511023176</v>
      </c>
      <c r="J133" s="143" t="n">
        <f aca="false">IFERROR(IF(OR(NOT(ISNUMBER('Price History'!J134)),NOT(ISNUMBER('Price History'!J133)),'Price History'!J133=0),"",'Price History'!J134/'Price History'!J133-1),"")</f>
        <v>-0.00758411796473257</v>
      </c>
      <c r="K133" s="143" t="n">
        <f aca="false">IFERROR(IF(OR(NOT(ISNUMBER('Price History'!K134)),NOT(ISNUMBER('Price History'!K133)),'Price History'!K133=0),"",'Price History'!K134/'Price History'!K133-1),"")</f>
        <v>-0.0418705516014235</v>
      </c>
      <c r="L133" s="143" t="n">
        <f aca="false">IFERROR(IF(OR(NOT(ISNUMBER('Price History'!L134)),NOT(ISNUMBER('Price History'!L133)),'Price History'!L133=0),"",'Price History'!L134/'Price History'!L133-1),"")</f>
        <v>-0.0205080400838964</v>
      </c>
      <c r="M133" s="143" t="n">
        <f aca="false">IFERROR(IF(OR(NOT(ISNUMBER('Price History'!M134)),NOT(ISNUMBER('Price History'!M133)),'Price History'!M133=0),"",'Price History'!M134/'Price History'!M133-1),"")</f>
        <v>-0.00178867174561104</v>
      </c>
      <c r="N133" s="143" t="n">
        <f aca="false">IFERROR(IF(OR(NOT(ISNUMBER('Price History'!N134)),NOT(ISNUMBER('Price History'!N133)),'Price History'!N133=0),"",'Price History'!N134/'Price History'!N133-1),"")</f>
        <v>-0.0133067198935461</v>
      </c>
      <c r="O133" s="143" t="n">
        <f aca="false">IFERROR(IF(OR(NOT(ISNUMBER('Price History'!O134)),NOT(ISNUMBER('Price History'!O133)),'Price History'!O133=0),"",'Price History'!O134/'Price History'!O133-1),"")</f>
        <v>-0.0206944324183912</v>
      </c>
      <c r="P133" s="143" t="n">
        <f aca="false">IFERROR(IF(OR(NOT(ISNUMBER('Price History'!P134)),NOT(ISNUMBER('Price History'!P133)),'Price History'!P133=0),"",'Price History'!P134/'Price History'!P133-1),"")</f>
        <v>-0.0240712604641464</v>
      </c>
      <c r="Q133" s="143" t="n">
        <f aca="false">IFERROR(IF(OR(NOT(ISNUMBER('Price History'!Q134)),NOT(ISNUMBER('Price History'!Q133)),'Price History'!Q133=0),"",'Price History'!Q134/'Price History'!Q133-1),"")</f>
        <v>-0.0179773811858535</v>
      </c>
      <c r="R133" s="143" t="n">
        <f aca="false">IFERROR(IF(OR(NOT(ISNUMBER('Price History'!R134)),NOT(ISNUMBER('Price History'!R133)),'Price History'!R133=0),"",'Price History'!R134/'Price History'!R133-1),"")</f>
        <v>-0.00930232558139532</v>
      </c>
      <c r="S133" s="143" t="n">
        <f aca="false">IFERROR(IF(OR(NOT(ISNUMBER('Price History'!S134)),NOT(ISNUMBER('Price History'!S133)),'Price History'!S133=0),"",'Price History'!S134/'Price History'!S133-1),"")</f>
        <v>-0.0132676902536716</v>
      </c>
      <c r="T133" s="143" t="n">
        <f aca="false">IFERROR(IF(OR(NOT(ISNUMBER('Price History'!T134)),NOT(ISNUMBER('Price History'!T133)),'Price History'!T133=0),"",'Price History'!T134/'Price History'!T133-1),"")</f>
        <v>-0.00420479841701715</v>
      </c>
      <c r="U133" s="143" t="str">
        <f aca="false">IFERROR(IF(OR(NOT(ISNUMBER('Price History'!U134)),NOT(ISNUMBER('Price History'!U133)),'Price History'!U133=0),"",'Price History'!U134/'Price History'!U133-1),"")</f>
        <v/>
      </c>
      <c r="V133" s="144" t="n">
        <f aca="false">IFERROR(IF(OR(NOT(ISNUMBER('Price History'!V134)),NOT(ISNUMBER('Price History'!V133)),'Price History'!V133=0),"",'Price History'!V134/'Price History'!V133-1),"")</f>
        <v>-0.0508191747572816</v>
      </c>
      <c r="W133" s="145" t="str">
        <f aca="false">IFERROR('Price History'!B3+(INDEX('Price History'!B:B,MATCH(9.99E+307,'Price History'!$A:$A))-'Price History'!B3)*(ROW()-3)/(MATCH(9.99E+307,'Returns (Calc)'!$A:$A)-3),"")</f>
        <v/>
      </c>
      <c r="X133" s="145" t="n">
        <f aca="false">IFERROR('Price History'!C3+(INDEX('Price History'!C:C,MATCH(9.99E+307,'Price History'!$A:$A))-'Price History'!C3)*(ROW()-3)/(MATCH(9.99E+307,'Returns (Calc)'!$A:$A)-3),"")</f>
        <v>8.42276729559749</v>
      </c>
      <c r="Y133" s="145" t="n">
        <f aca="false">IFERROR('Price History'!D3+(INDEX('Price History'!D:D,MATCH(9.99E+307,'Price History'!$A:$A))-'Price History'!D3)*(ROW()-3)/(MATCH(9.99E+307,'Returns (Calc)'!$A:$A)-3),"")</f>
        <v>106.152767295597</v>
      </c>
      <c r="Z133" s="145" t="n">
        <f aca="false">IFERROR('Price History'!E3+(INDEX('Price History'!E:E,MATCH(9.99E+307,'Price History'!$A:$A))-'Price History'!E3)*(ROW()-3)/(MATCH(9.99E+307,'Returns (Calc)'!$A:$A)-3),"")</f>
        <v>14.9559748427673</v>
      </c>
      <c r="AA133" s="145" t="n">
        <f aca="false">IFERROR('Price History'!F3+(INDEX('Price History'!F:F,MATCH(9.99E+307,'Price History'!$A:$A))-'Price History'!F3)*(ROW()-3)/(MATCH(9.99E+307,'Returns (Calc)'!$A:$A)-3),"")</f>
        <v>13.735786163522</v>
      </c>
      <c r="AB133" s="145" t="n">
        <f aca="false">IFERROR('Price History'!G3+(INDEX('Price History'!G:G,MATCH(9.99E+307,'Price History'!$A:$A))-'Price History'!G3)*(ROW()-3)/(MATCH(9.99E+307,'Returns (Calc)'!$A:$A)-3),"")</f>
        <v>7.54364779874214</v>
      </c>
      <c r="AC133" s="145" t="n">
        <f aca="false">IFERROR('Price History'!H3+(INDEX('Price History'!H:H,MATCH(9.99E+307,'Price History'!$A:$A))-'Price History'!H3)*(ROW()-3)/(MATCH(9.99E+307,'Returns (Calc)'!$A:$A)-3),"")</f>
        <v>18.3466037735849</v>
      </c>
      <c r="AD133" s="145" t="n">
        <f aca="false">IFERROR('Price History'!I3+(INDEX('Price History'!I:I,MATCH(9.99E+307,'Price History'!$A:$A))-'Price History'!I3)*(ROW()-3)/(MATCH(9.99E+307,'Returns (Calc)'!$A:$A)-3),"")</f>
        <v>8.08899371069182</v>
      </c>
      <c r="AE133" s="145" t="n">
        <f aca="false">IFERROR('Price History'!J3+(INDEX('Price History'!J:J,MATCH(9.99E+307,'Price History'!$A:$A))-'Price History'!J3)*(ROW()-3)/(MATCH(9.99E+307,'Returns (Calc)'!$A:$A)-3),"")</f>
        <v>12.6049685534591</v>
      </c>
      <c r="AF133" s="145" t="n">
        <f aca="false">IFERROR('Price History'!K3+(INDEX('Price History'!K:K,MATCH(9.99E+307,'Price History'!$A:$A))-'Price History'!K3)*(ROW()-3)/(MATCH(9.99E+307,'Returns (Calc)'!$A:$A)-3),"")</f>
        <v>7.98320754716981</v>
      </c>
      <c r="AG133" s="145" t="n">
        <f aca="false">IFERROR('Price History'!L3+(INDEX('Price History'!L:L,MATCH(9.99E+307,'Price History'!$A:$A))-'Price History'!L3)*(ROW()-3)/(MATCH(9.99E+307,'Returns (Calc)'!$A:$A)-3),"")</f>
        <v>20.3984905660377</v>
      </c>
      <c r="AH133" s="145" t="n">
        <f aca="false">IFERROR('Price History'!M3+(INDEX('Price History'!M:M,MATCH(9.99E+307,'Price History'!$A:$A))-'Price History'!M3)*(ROW()-3)/(MATCH(9.99E+307,'Returns (Calc)'!$A:$A)-3),"")</f>
        <v>2.79603773584906</v>
      </c>
      <c r="AI133" s="145" t="n">
        <f aca="false">IFERROR('Price History'!N3+(INDEX('Price History'!N:N,MATCH(9.99E+307,'Price History'!$A:$A))-'Price History'!N3)*(ROW()-3)/(MATCH(9.99E+307,'Returns (Calc)'!$A:$A)-3),"")</f>
        <v>3.97610062893082</v>
      </c>
      <c r="AJ133" s="145" t="n">
        <f aca="false">IFERROR('Price History'!O3+(INDEX('Price History'!O:O,MATCH(9.99E+307,'Price History'!$A:$A))-'Price History'!O3)*(ROW()-3)/(MATCH(9.99E+307,'Returns (Calc)'!$A:$A)-3),"")</f>
        <v>10.5111320754717</v>
      </c>
      <c r="AK133" s="145" t="n">
        <f aca="false">IFERROR('Price History'!Q3+(INDEX('Price History'!Q:Q,MATCH(9.99E+307,'Price History'!$A:$A))-'Price History'!Q3)*(ROW()-3)/(MATCH(9.99E+307,'Returns (Calc)'!$A:$A)-3),"")</f>
        <v>42.9765408805032</v>
      </c>
      <c r="AL133" s="145" t="n">
        <f aca="false">IFERROR('Price History'!R3+(INDEX('Price History'!R:R,MATCH(9.99E+307,'Price History'!$A:$A))-'Price History'!R3)*(ROW()-3)/(MATCH(9.99E+307,'Returns (Calc)'!$A:$A)-3),"")</f>
        <v>8.72188679245283</v>
      </c>
      <c r="AM133" s="145" t="n">
        <f aca="false">IFERROR('Price History'!S3+(INDEX('Price History'!S:S,MATCH(9.99E+307,'Price History'!$A:$A))-'Price History'!S3)*(ROW()-3)/(MATCH(9.99E+307,'Returns (Calc)'!$A:$A)-3),"")</f>
        <v>10.677106918239</v>
      </c>
      <c r="AN133" s="145" t="n">
        <f aca="false">IFERROR('Price History'!T3+(INDEX('Price History'!T:T,MATCH(9.99E+307,'Price History'!$A:$A))-'Price History'!T3)*(ROW()-3)/(MATCH(9.99E+307,'Returns (Calc)'!$A:$A)-3),"")</f>
        <v>4.90811320754717</v>
      </c>
      <c r="AO133" s="146" t="n">
        <f aca="false">IFERROR('Price History'!V3+(INDEX('Price History'!V:V,MATCH(9.99E+307,'Price History'!$A:$A))-'Price History'!V3)*(ROW()-3)/(MATCH(9.99E+307,'Returns (Calc)'!$A:$A)-3),"")</f>
        <v>0</v>
      </c>
    </row>
    <row r="134" customFormat="false" ht="15" hidden="false" customHeight="true" outlineLevel="0" collapsed="false">
      <c r="A134" s="142" t="n">
        <f aca="false">IF('Price History'!A135="","",'Price History'!A135)</f>
        <v>46108</v>
      </c>
      <c r="B134" s="143" t="n">
        <f aca="false">IFERROR(IF(OR(NOT(ISNUMBER('Price History'!B135)),NOT(ISNUMBER('Price History'!B134)),'Price History'!B134=0),"",'Price History'!B135/'Price History'!B134-1),"")</f>
        <v>-0.0536369131573645</v>
      </c>
      <c r="C134" s="143" t="n">
        <f aca="false">IFERROR(IF(OR(NOT(ISNUMBER('Price History'!C135)),NOT(ISNUMBER('Price History'!C134)),'Price History'!C134=0),"",'Price History'!C135/'Price History'!C134-1),"")</f>
        <v>-0.0796372504191435</v>
      </c>
      <c r="D134" s="143" t="n">
        <f aca="false">IFERROR(IF(OR(NOT(ISNUMBER('Price History'!D135)),NOT(ISNUMBER('Price History'!D134)),'Price History'!D134=0),"",'Price History'!D135/'Price History'!D134-1),"")</f>
        <v>-0.0112213182192157</v>
      </c>
      <c r="E134" s="143" t="n">
        <f aca="false">IFERROR(IF(OR(NOT(ISNUMBER('Price History'!E135)),NOT(ISNUMBER('Price History'!E134)),'Price History'!E134=0),"",'Price History'!E135/'Price History'!E134-1),"")</f>
        <v>-0.0296298694990447</v>
      </c>
      <c r="F134" s="143" t="n">
        <f aca="false">IFERROR(IF(OR(NOT(ISNUMBER('Price History'!F135)),NOT(ISNUMBER('Price History'!F134)),'Price History'!F134=0),"",'Price History'!F135/'Price History'!F134-1),"")</f>
        <v>0.0296155671570955</v>
      </c>
      <c r="G134" s="143" t="n">
        <f aca="false">IFERROR(IF(OR(NOT(ISNUMBER('Price History'!G135)),NOT(ISNUMBER('Price History'!G134)),'Price History'!G134=0),"",'Price History'!G135/'Price History'!G134-1),"")</f>
        <v>-0.0964303178484107</v>
      </c>
      <c r="H134" s="143" t="n">
        <f aca="false">IFERROR(IF(OR(NOT(ISNUMBER('Price History'!H135)),NOT(ISNUMBER('Price History'!H134)),'Price History'!H134=0),"",'Price History'!H135/'Price History'!H134-1),"")</f>
        <v>0.0244428969359334</v>
      </c>
      <c r="I134" s="143" t="n">
        <f aca="false">IFERROR(IF(OR(NOT(ISNUMBER('Price History'!I135)),NOT(ISNUMBER('Price History'!I134)),'Price History'!I134=0),"",'Price History'!I135/'Price History'!I134-1),"")</f>
        <v>-0.0370543776336031</v>
      </c>
      <c r="J134" s="143" t="n">
        <f aca="false">IFERROR(IF(OR(NOT(ISNUMBER('Price History'!J135)),NOT(ISNUMBER('Price History'!J134)),'Price History'!J134=0),"",'Price History'!J135/'Price History'!J134-1),"")</f>
        <v>-0.155302134103062</v>
      </c>
      <c r="K134" s="143" t="n">
        <f aca="false">IFERROR(IF(OR(NOT(ISNUMBER('Price History'!K135)),NOT(ISNUMBER('Price History'!K134)),'Price History'!K134=0),"",'Price History'!K135/'Price History'!K134-1),"")</f>
        <v>-0.0300040624455923</v>
      </c>
      <c r="L134" s="143" t="n">
        <f aca="false">IFERROR(IF(OR(NOT(ISNUMBER('Price History'!L135)),NOT(ISNUMBER('Price History'!L134)),'Price History'!L134=0),"",'Price History'!L135/'Price History'!L134-1),"")</f>
        <v>0.00689983345229583</v>
      </c>
      <c r="M134" s="143" t="n">
        <f aca="false">IFERROR(IF(OR(NOT(ISNUMBER('Price History'!M135)),NOT(ISNUMBER('Price History'!M134)),'Price History'!M134=0),"",'Price History'!M135/'Price History'!M134-1),"")</f>
        <v>-0.0505707459516858</v>
      </c>
      <c r="N134" s="143" t="n">
        <f aca="false">IFERROR(IF(OR(NOT(ISNUMBER('Price History'!N135)),NOT(ISNUMBER('Price History'!N134)),'Price History'!N134=0),"",'Price History'!N135/'Price History'!N134-1),"")</f>
        <v>0.0101146325016859</v>
      </c>
      <c r="O134" s="143" t="n">
        <f aca="false">IFERROR(IF(OR(NOT(ISNUMBER('Price History'!O135)),NOT(ISNUMBER('Price History'!O134)),'Price History'!O134=0),"",'Price History'!O135/'Price History'!O134-1),"")</f>
        <v>-0.0277630415561451</v>
      </c>
      <c r="P134" s="143" t="n">
        <f aca="false">IFERROR(IF(OR(NOT(ISNUMBER('Price History'!P135)),NOT(ISNUMBER('Price History'!P134)),'Price History'!P134=0),"",'Price History'!P135/'Price History'!P134-1),"")</f>
        <v>-0.00760096462040949</v>
      </c>
      <c r="Q134" s="143" t="n">
        <f aca="false">IFERROR(IF(OR(NOT(ISNUMBER('Price History'!Q135)),NOT(ISNUMBER('Price History'!Q134)),'Price History'!Q134=0),"",'Price History'!Q135/'Price History'!Q134-1),"")</f>
        <v>-0.0202369857542271</v>
      </c>
      <c r="R134" s="143" t="n">
        <f aca="false">IFERROR(IF(OR(NOT(ISNUMBER('Price History'!R135)),NOT(ISNUMBER('Price History'!R134)),'Price History'!R134=0),"",'Price History'!R135/'Price History'!R134-1),"")</f>
        <v>0.0111284993914103</v>
      </c>
      <c r="S134" s="143" t="n">
        <f aca="false">IFERROR(IF(OR(NOT(ISNUMBER('Price History'!S135)),NOT(ISNUMBER('Price History'!S134)),'Price History'!S134=0),"",'Price History'!S135/'Price History'!S134-1),"")</f>
        <v>0.01446088794926</v>
      </c>
      <c r="T134" s="143" t="n">
        <f aca="false">IFERROR(IF(OR(NOT(ISNUMBER('Price History'!T135)),NOT(ISNUMBER('Price History'!T134)),'Price History'!T134=0),"",'Price History'!T135/'Price History'!T134-1),"")</f>
        <v>0.00198708395429725</v>
      </c>
      <c r="U134" s="143" t="str">
        <f aca="false">IFERROR(IF(OR(NOT(ISNUMBER('Price History'!U135)),NOT(ISNUMBER('Price History'!U134)),'Price History'!U134=0),"",'Price History'!U135/'Price History'!U134-1),"")</f>
        <v/>
      </c>
      <c r="V134" s="144" t="n">
        <f aca="false">IFERROR(IF(OR(NOT(ISNUMBER('Price History'!V135)),NOT(ISNUMBER('Price History'!V134)),'Price History'!V134=0),"",'Price History'!V135/'Price History'!V134-1),"")</f>
        <v>0.0218635128655904</v>
      </c>
      <c r="W134" s="145" t="str">
        <f aca="false">IFERROR('Price History'!B3+(INDEX('Price History'!B:B,MATCH(9.99E+307,'Price History'!$A:$A))-'Price History'!B3)*(ROW()-3)/(MATCH(9.99E+307,'Returns (Calc)'!$A:$A)-3),"")</f>
        <v/>
      </c>
      <c r="X134" s="145" t="n">
        <f aca="false">IFERROR('Price History'!C3+(INDEX('Price History'!C:C,MATCH(9.99E+307,'Price History'!$A:$A))-'Price History'!C3)*(ROW()-3)/(MATCH(9.99E+307,'Returns (Calc)'!$A:$A)-3),"")</f>
        <v>8.13232704402516</v>
      </c>
      <c r="Y134" s="145" t="n">
        <f aca="false">IFERROR('Price History'!D3+(INDEX('Price History'!D:D,MATCH(9.99E+307,'Price History'!$A:$A))-'Price History'!D3)*(ROW()-3)/(MATCH(9.99E+307,'Returns (Calc)'!$A:$A)-3),"")</f>
        <v>102.492327044025</v>
      </c>
      <c r="Z134" s="145" t="n">
        <f aca="false">IFERROR('Price History'!E3+(INDEX('Price History'!E:E,MATCH(9.99E+307,'Price History'!$A:$A))-'Price History'!E3)*(ROW()-3)/(MATCH(9.99E+307,'Returns (Calc)'!$A:$A)-3),"")</f>
        <v>14.440251572327</v>
      </c>
      <c r="AA134" s="145" t="n">
        <f aca="false">IFERROR('Price History'!F3+(INDEX('Price History'!F:F,MATCH(9.99E+307,'Price History'!$A:$A))-'Price History'!F3)*(ROW()-3)/(MATCH(9.99E+307,'Returns (Calc)'!$A:$A)-3),"")</f>
        <v>13.2621383647799</v>
      </c>
      <c r="AB134" s="145" t="n">
        <f aca="false">IFERROR('Price History'!G3+(INDEX('Price History'!G:G,MATCH(9.99E+307,'Price History'!$A:$A))-'Price History'!G3)*(ROW()-3)/(MATCH(9.99E+307,'Returns (Calc)'!$A:$A)-3),"")</f>
        <v>7.28352201257862</v>
      </c>
      <c r="AC134" s="145" t="n">
        <f aca="false">IFERROR('Price History'!H3+(INDEX('Price History'!H:H,MATCH(9.99E+307,'Price History'!$A:$A))-'Price History'!H3)*(ROW()-3)/(MATCH(9.99E+307,'Returns (Calc)'!$A:$A)-3),"")</f>
        <v>17.7139622641509</v>
      </c>
      <c r="AD134" s="145" t="n">
        <f aca="false">IFERROR('Price History'!I3+(INDEX('Price History'!I:I,MATCH(9.99E+307,'Price History'!$A:$A))-'Price History'!I3)*(ROW()-3)/(MATCH(9.99E+307,'Returns (Calc)'!$A:$A)-3),"")</f>
        <v>7.81006289308176</v>
      </c>
      <c r="AE134" s="145" t="n">
        <f aca="false">IFERROR('Price History'!J3+(INDEX('Price History'!J:J,MATCH(9.99E+307,'Price History'!$A:$A))-'Price History'!J3)*(ROW()-3)/(MATCH(9.99E+307,'Returns (Calc)'!$A:$A)-3),"")</f>
        <v>12.1703144654088</v>
      </c>
      <c r="AF134" s="145" t="n">
        <f aca="false">IFERROR('Price History'!K3+(INDEX('Price History'!K:K,MATCH(9.99E+307,'Price History'!$A:$A))-'Price History'!K3)*(ROW()-3)/(MATCH(9.99E+307,'Returns (Calc)'!$A:$A)-3),"")</f>
        <v>7.70792452830189</v>
      </c>
      <c r="AG134" s="145" t="n">
        <f aca="false">IFERROR('Price History'!L3+(INDEX('Price History'!L:L,MATCH(9.99E+307,'Price History'!$A:$A))-'Price History'!L3)*(ROW()-3)/(MATCH(9.99E+307,'Returns (Calc)'!$A:$A)-3),"")</f>
        <v>19.6950943396226</v>
      </c>
      <c r="AH134" s="145" t="n">
        <f aca="false">IFERROR('Price History'!M3+(INDEX('Price History'!M:M,MATCH(9.99E+307,'Price History'!$A:$A))-'Price History'!M3)*(ROW()-3)/(MATCH(9.99E+307,'Returns (Calc)'!$A:$A)-3),"")</f>
        <v>2.69962264150943</v>
      </c>
      <c r="AI134" s="145" t="n">
        <f aca="false">IFERROR('Price History'!N3+(INDEX('Price History'!N:N,MATCH(9.99E+307,'Price History'!$A:$A))-'Price History'!N3)*(ROW()-3)/(MATCH(9.99E+307,'Returns (Calc)'!$A:$A)-3),"")</f>
        <v>3.83899371069182</v>
      </c>
      <c r="AJ134" s="145" t="n">
        <f aca="false">IFERROR('Price History'!O3+(INDEX('Price History'!O:O,MATCH(9.99E+307,'Price History'!$A:$A))-'Price History'!O3)*(ROW()-3)/(MATCH(9.99E+307,'Returns (Calc)'!$A:$A)-3),"")</f>
        <v>10.148679245283</v>
      </c>
      <c r="AK134" s="145" t="n">
        <f aca="false">IFERROR('Price History'!Q3+(INDEX('Price History'!Q:Q,MATCH(9.99E+307,'Price History'!$A:$A))-'Price History'!Q3)*(ROW()-3)/(MATCH(9.99E+307,'Returns (Calc)'!$A:$A)-3),"")</f>
        <v>41.4945911949686</v>
      </c>
      <c r="AL134" s="145" t="n">
        <f aca="false">IFERROR('Price History'!R3+(INDEX('Price History'!R:R,MATCH(9.99E+307,'Price History'!$A:$A))-'Price History'!R3)*(ROW()-3)/(MATCH(9.99E+307,'Returns (Calc)'!$A:$A)-3),"")</f>
        <v>8.4211320754717</v>
      </c>
      <c r="AM134" s="145" t="n">
        <f aca="false">IFERROR('Price History'!S3+(INDEX('Price History'!S:S,MATCH(9.99E+307,'Price History'!$A:$A))-'Price History'!S3)*(ROW()-3)/(MATCH(9.99E+307,'Returns (Calc)'!$A:$A)-3),"")</f>
        <v>10.3089308176101</v>
      </c>
      <c r="AN134" s="145" t="n">
        <f aca="false">IFERROR('Price History'!T3+(INDEX('Price History'!T:T,MATCH(9.99E+307,'Price History'!$A:$A))-'Price History'!T3)*(ROW()-3)/(MATCH(9.99E+307,'Returns (Calc)'!$A:$A)-3),"")</f>
        <v>4.7388679245283</v>
      </c>
      <c r="AO134" s="146" t="n">
        <f aca="false">IFERROR('Price History'!V3+(INDEX('Price History'!V:V,MATCH(9.99E+307,'Price History'!$A:$A))-'Price History'!V3)*(ROW()-3)/(MATCH(9.99E+307,'Returns (Calc)'!$A:$A)-3),"")</f>
        <v>0</v>
      </c>
    </row>
    <row r="135" customFormat="false" ht="15" hidden="false" customHeight="true" outlineLevel="0" collapsed="false">
      <c r="A135" s="142" t="n">
        <f aca="false">IF('Price History'!A136="","",'Price History'!A136)</f>
        <v>46115</v>
      </c>
      <c r="B135" s="143" t="n">
        <f aca="false">IFERROR(IF(OR(NOT(ISNUMBER('Price History'!B136)),NOT(ISNUMBER('Price History'!B135)),'Price History'!B135=0),"",'Price History'!B136/'Price History'!B135-1),"")</f>
        <v>0.0344064043604155</v>
      </c>
      <c r="C135" s="143" t="n">
        <f aca="false">IFERROR(IF(OR(NOT(ISNUMBER('Price History'!C136)),NOT(ISNUMBER('Price History'!C135)),'Price History'!C135=0),"",'Price History'!C136/'Price History'!C135-1),"")</f>
        <v>0.0489359940382546</v>
      </c>
      <c r="D135" s="143" t="n">
        <f aca="false">IFERROR(IF(OR(NOT(ISNUMBER('Price History'!D136)),NOT(ISNUMBER('Price History'!D135)),'Price History'!D135=0),"",'Price History'!D136/'Price History'!D135-1),"")</f>
        <v>0.0113332562887631</v>
      </c>
      <c r="E135" s="143" t="n">
        <f aca="false">IFERROR(IF(OR(NOT(ISNUMBER('Price History'!E136)),NOT(ISNUMBER('Price History'!E135)),'Price History'!E135=0),"",'Price History'!E136/'Price History'!E135-1),"")</f>
        <v>0.0461189347927651</v>
      </c>
      <c r="F135" s="143" t="n">
        <f aca="false">IFERROR(IF(OR(NOT(ISNUMBER('Price History'!F136)),NOT(ISNUMBER('Price History'!F135)),'Price History'!F135=0),"",'Price History'!F136/'Price History'!F135-1),"")</f>
        <v>0.0200977228726837</v>
      </c>
      <c r="G135" s="143" t="n">
        <f aca="false">IFERROR(IF(OR(NOT(ISNUMBER('Price History'!G136)),NOT(ISNUMBER('Price History'!G135)),'Price History'!G135=0),"",'Price History'!G136/'Price History'!G135-1),"")</f>
        <v>0.0799870115813399</v>
      </c>
      <c r="H135" s="143" t="n">
        <f aca="false">IFERROR(IF(OR(NOT(ISNUMBER('Price History'!H136)),NOT(ISNUMBER('Price History'!H135)),'Price History'!H135=0),"",'Price History'!H136/'Price History'!H135-1),"")</f>
        <v>0.0144789613214602</v>
      </c>
      <c r="I135" s="143" t="n">
        <f aca="false">IFERROR(IF(OR(NOT(ISNUMBER('Price History'!I136)),NOT(ISNUMBER('Price History'!I135)),'Price History'!I135=0),"",'Price History'!I136/'Price History'!I135-1),"")</f>
        <v>0.0510523025630338</v>
      </c>
      <c r="J135" s="143" t="n">
        <f aca="false">IFERROR(IF(OR(NOT(ISNUMBER('Price History'!J136)),NOT(ISNUMBER('Price History'!J135)),'Price History'!J135=0),"",'Price History'!J136/'Price History'!J135-1),"")</f>
        <v>0.0256568259481262</v>
      </c>
      <c r="K135" s="143" t="n">
        <f aca="false">IFERROR(IF(OR(NOT(ISNUMBER('Price History'!K136)),NOT(ISNUMBER('Price History'!K135)),'Price History'!K135=0),"",'Price History'!K136/'Price History'!K135-1),"")</f>
        <v>0.0589326313270313</v>
      </c>
      <c r="L135" s="143" t="n">
        <f aca="false">IFERROR(IF(OR(NOT(ISNUMBER('Price History'!L136)),NOT(ISNUMBER('Price History'!L135)),'Price History'!L135=0),"",'Price History'!L136/'Price History'!L135-1),"")</f>
        <v>0.0378071833648392</v>
      </c>
      <c r="M135" s="143" t="n">
        <f aca="false">IFERROR(IF(OR(NOT(ISNUMBER('Price History'!M136)),NOT(ISNUMBER('Price History'!M135)),'Price History'!M135=0),"",'Price History'!M136/'Price History'!M135-1),"")</f>
        <v>0.0377464001118413</v>
      </c>
      <c r="N135" s="143" t="n">
        <f aca="false">IFERROR(IF(OR(NOT(ISNUMBER('Price History'!N136)),NOT(ISNUMBER('Price History'!N135)),'Price History'!N135=0),"",'Price History'!N136/'Price History'!N135-1),"")</f>
        <v>0.00400534045393841</v>
      </c>
      <c r="O135" s="143" t="n">
        <f aca="false">IFERROR(IF(OR(NOT(ISNUMBER('Price History'!O136)),NOT(ISNUMBER('Price History'!O135)),'Price History'!O135=0),"",'Price History'!O136/'Price History'!O135-1),"")</f>
        <v>0.0401964350672972</v>
      </c>
      <c r="P135" s="143" t="n">
        <f aca="false">IFERROR(IF(OR(NOT(ISNUMBER('Price History'!P136)),NOT(ISNUMBER('Price History'!P135)),'Price History'!P135=0),"",'Price History'!P136/'Price History'!P135-1),"")</f>
        <v>0.0376499538603505</v>
      </c>
      <c r="Q135" s="143" t="n">
        <f aca="false">IFERROR(IF(OR(NOT(ISNUMBER('Price History'!Q136)),NOT(ISNUMBER('Price History'!Q135)),'Price History'!Q135=0),"",'Price History'!Q136/'Price History'!Q135-1),"")</f>
        <v>0.0178692757168093</v>
      </c>
      <c r="R135" s="143" t="n">
        <f aca="false">IFERROR(IF(OR(NOT(ISNUMBER('Price History'!R136)),NOT(ISNUMBER('Price History'!R135)),'Price History'!R135=0),"",'Price History'!R136/'Price History'!R135-1),"")</f>
        <v>-0.00189165950128978</v>
      </c>
      <c r="S135" s="143" t="n">
        <f aca="false">IFERROR(IF(OR(NOT(ISNUMBER('Price History'!S136)),NOT(ISNUMBER('Price History'!S135)),'Price History'!S135=0),"",'Price History'!S136/'Price History'!S135-1),"")</f>
        <v>-0.00408469489829944</v>
      </c>
      <c r="T135" s="143" t="n">
        <f aca="false">IFERROR(IF(OR(NOT(ISNUMBER('Price History'!T136)),NOT(ISNUMBER('Price History'!T135)),'Price History'!T135=0),"",'Price History'!T136/'Price History'!T135-1),"")</f>
        <v>0.00347050074367861</v>
      </c>
      <c r="U135" s="143" t="str">
        <f aca="false">IFERROR(IF(OR(NOT(ISNUMBER('Price History'!U136)),NOT(ISNUMBER('Price History'!U135)),'Price History'!U135=0),"",'Price History'!U136/'Price History'!U135-1),"")</f>
        <v/>
      </c>
      <c r="V135" s="144" t="n">
        <f aca="false">IFERROR(IF(OR(NOT(ISNUMBER('Price History'!V136)),NOT(ISNUMBER('Price History'!V135)),'Price History'!V135=0),"",'Price History'!V136/'Price History'!V135-1),"")</f>
        <v>-0.00250242422346647</v>
      </c>
      <c r="W135" s="145" t="str">
        <f aca="false">IFERROR('Price History'!B3+(INDEX('Price History'!B:B,MATCH(9.99E+307,'Price History'!$A:$A))-'Price History'!B3)*(ROW()-3)/(MATCH(9.99E+307,'Returns (Calc)'!$A:$A)-3),"")</f>
        <v/>
      </c>
      <c r="X135" s="145" t="n">
        <f aca="false">IFERROR('Price History'!C3+(INDEX('Price History'!C:C,MATCH(9.99E+307,'Price History'!$A:$A))-'Price History'!C3)*(ROW()-3)/(MATCH(9.99E+307,'Returns (Calc)'!$A:$A)-3),"")</f>
        <v>7.84188679245283</v>
      </c>
      <c r="Y135" s="145" t="n">
        <f aca="false">IFERROR('Price History'!D3+(INDEX('Price History'!D:D,MATCH(9.99E+307,'Price History'!$A:$A))-'Price History'!D3)*(ROW()-3)/(MATCH(9.99E+307,'Returns (Calc)'!$A:$A)-3),"")</f>
        <v>98.8318867924529</v>
      </c>
      <c r="Z135" s="145" t="n">
        <f aca="false">IFERROR('Price History'!E3+(INDEX('Price History'!E:E,MATCH(9.99E+307,'Price History'!$A:$A))-'Price History'!E3)*(ROW()-3)/(MATCH(9.99E+307,'Returns (Calc)'!$A:$A)-3),"")</f>
        <v>13.9245283018868</v>
      </c>
      <c r="AA135" s="145" t="n">
        <f aca="false">IFERROR('Price History'!F3+(INDEX('Price History'!F:F,MATCH(9.99E+307,'Price History'!$A:$A))-'Price History'!F3)*(ROW()-3)/(MATCH(9.99E+307,'Returns (Calc)'!$A:$A)-3),"")</f>
        <v>12.7884905660377</v>
      </c>
      <c r="AB135" s="145" t="n">
        <f aca="false">IFERROR('Price History'!G3+(INDEX('Price History'!G:G,MATCH(9.99E+307,'Price History'!$A:$A))-'Price History'!G3)*(ROW()-3)/(MATCH(9.99E+307,'Returns (Calc)'!$A:$A)-3),"")</f>
        <v>7.0233962264151</v>
      </c>
      <c r="AC135" s="145" t="n">
        <f aca="false">IFERROR('Price History'!H3+(INDEX('Price History'!H:H,MATCH(9.99E+307,'Price History'!$A:$A))-'Price History'!H3)*(ROW()-3)/(MATCH(9.99E+307,'Returns (Calc)'!$A:$A)-3),"")</f>
        <v>17.081320754717</v>
      </c>
      <c r="AD135" s="145" t="n">
        <f aca="false">IFERROR('Price History'!I3+(INDEX('Price History'!I:I,MATCH(9.99E+307,'Price History'!$A:$A))-'Price History'!I3)*(ROW()-3)/(MATCH(9.99E+307,'Returns (Calc)'!$A:$A)-3),"")</f>
        <v>7.5311320754717</v>
      </c>
      <c r="AE135" s="145" t="n">
        <f aca="false">IFERROR('Price History'!J3+(INDEX('Price History'!J:J,MATCH(9.99E+307,'Price History'!$A:$A))-'Price History'!J3)*(ROW()-3)/(MATCH(9.99E+307,'Returns (Calc)'!$A:$A)-3),"")</f>
        <v>11.7356603773585</v>
      </c>
      <c r="AF135" s="145" t="n">
        <f aca="false">IFERROR('Price History'!K3+(INDEX('Price History'!K:K,MATCH(9.99E+307,'Price History'!$A:$A))-'Price History'!K3)*(ROW()-3)/(MATCH(9.99E+307,'Returns (Calc)'!$A:$A)-3),"")</f>
        <v>7.43264150943396</v>
      </c>
      <c r="AG135" s="145" t="n">
        <f aca="false">IFERROR('Price History'!L3+(INDEX('Price History'!L:L,MATCH(9.99E+307,'Price History'!$A:$A))-'Price History'!L3)*(ROW()-3)/(MATCH(9.99E+307,'Returns (Calc)'!$A:$A)-3),"")</f>
        <v>18.9916981132075</v>
      </c>
      <c r="AH135" s="145" t="n">
        <f aca="false">IFERROR('Price History'!M3+(INDEX('Price History'!M:M,MATCH(9.99E+307,'Price History'!$A:$A))-'Price History'!M3)*(ROW()-3)/(MATCH(9.99E+307,'Returns (Calc)'!$A:$A)-3),"")</f>
        <v>2.60320754716981</v>
      </c>
      <c r="AI135" s="145" t="n">
        <f aca="false">IFERROR('Price History'!N3+(INDEX('Price History'!N:N,MATCH(9.99E+307,'Price History'!$A:$A))-'Price History'!N3)*(ROW()-3)/(MATCH(9.99E+307,'Returns (Calc)'!$A:$A)-3),"")</f>
        <v>3.70188679245283</v>
      </c>
      <c r="AJ135" s="145" t="n">
        <f aca="false">IFERROR('Price History'!O3+(INDEX('Price History'!O:O,MATCH(9.99E+307,'Price History'!$A:$A))-'Price History'!O3)*(ROW()-3)/(MATCH(9.99E+307,'Returns (Calc)'!$A:$A)-3),"")</f>
        <v>9.78622641509434</v>
      </c>
      <c r="AK135" s="145" t="n">
        <f aca="false">IFERROR('Price History'!Q3+(INDEX('Price History'!Q:Q,MATCH(9.99E+307,'Price History'!$A:$A))-'Price History'!Q3)*(ROW()-3)/(MATCH(9.99E+307,'Returns (Calc)'!$A:$A)-3),"")</f>
        <v>40.012641509434</v>
      </c>
      <c r="AL135" s="145" t="n">
        <f aca="false">IFERROR('Price History'!R3+(INDEX('Price History'!R:R,MATCH(9.99E+307,'Price History'!$A:$A))-'Price History'!R3)*(ROW()-3)/(MATCH(9.99E+307,'Returns (Calc)'!$A:$A)-3),"")</f>
        <v>8.12037735849057</v>
      </c>
      <c r="AM135" s="145" t="n">
        <f aca="false">IFERROR('Price History'!S3+(INDEX('Price History'!S:S,MATCH(9.99E+307,'Price History'!$A:$A))-'Price History'!S3)*(ROW()-3)/(MATCH(9.99E+307,'Returns (Calc)'!$A:$A)-3),"")</f>
        <v>9.94075471698113</v>
      </c>
      <c r="AN135" s="145" t="n">
        <f aca="false">IFERROR('Price History'!T3+(INDEX('Price History'!T:T,MATCH(9.99E+307,'Price History'!$A:$A))-'Price History'!T3)*(ROW()-3)/(MATCH(9.99E+307,'Returns (Calc)'!$A:$A)-3),"")</f>
        <v>4.56962264150944</v>
      </c>
      <c r="AO135" s="146" t="n">
        <f aca="false">IFERROR('Price History'!V3+(INDEX('Price History'!V:V,MATCH(9.99E+307,'Price History'!$A:$A))-'Price History'!V3)*(ROW()-3)/(MATCH(9.99E+307,'Returns (Calc)'!$A:$A)-3),"")</f>
        <v>0</v>
      </c>
    </row>
    <row r="136" customFormat="false" ht="15" hidden="false" customHeight="true" outlineLevel="0" collapsed="false">
      <c r="A136" s="142" t="n">
        <f aca="false">IF('Price History'!A137="","",'Price History'!A137)</f>
        <v>46122</v>
      </c>
      <c r="B136" s="143" t="n">
        <f aca="false">IFERROR(IF(OR(NOT(ISNUMBER('Price History'!B137)),NOT(ISNUMBER('Price History'!B136)),'Price History'!B136=0),"",'Price History'!B137/'Price History'!B136-1),"")</f>
        <v>-0.07232833854767</v>
      </c>
      <c r="C136" s="143" t="n">
        <f aca="false">IFERROR(IF(OR(NOT(ISNUMBER('Price History'!C137)),NOT(ISNUMBER('Price History'!C136)),'Price History'!C136=0),"",'Price History'!C137/'Price History'!C136-1),"")</f>
        <v>0.163167035048942</v>
      </c>
      <c r="D136" s="143" t="n">
        <f aca="false">IFERROR(IF(OR(NOT(ISNUMBER('Price History'!D137)),NOT(ISNUMBER('Price History'!D136)),'Price History'!D136=0),"",'Price History'!D137/'Price History'!D136-1),"")</f>
        <v>0.122263190772934</v>
      </c>
      <c r="E136" s="143" t="n">
        <f aca="false">IFERROR(IF(OR(NOT(ISNUMBER('Price History'!E137)),NOT(ISNUMBER('Price History'!E136)),'Price History'!E136=0),"",'Price History'!E137/'Price History'!E136-1),"")</f>
        <v>0.181223682531581</v>
      </c>
      <c r="F136" s="143" t="n">
        <f aca="false">IFERROR(IF(OR(NOT(ISNUMBER('Price History'!F137)),NOT(ISNUMBER('Price History'!F136)),'Price History'!F136=0),"",'Price History'!F137/'Price History'!F136-1),"")</f>
        <v>0.029733393583371</v>
      </c>
      <c r="G136" s="143" t="n">
        <f aca="false">IFERROR(IF(OR(NOT(ISNUMBER('Price History'!G137)),NOT(ISNUMBER('Price History'!G136)),'Price History'!G136=0),"",'Price History'!G137/'Price History'!G136-1),"")</f>
        <v>-0.0504109039887753</v>
      </c>
      <c r="H136" s="143" t="n">
        <f aca="false">IFERROR(IF(OR(NOT(ISNUMBER('Price History'!H137)),NOT(ISNUMBER('Price History'!H136)),'Price History'!H136=0),"",'Price History'!H137/'Price History'!H136-1),"")</f>
        <v>0.00515947467166966</v>
      </c>
      <c r="I136" s="143" t="n">
        <f aca="false">IFERROR(IF(OR(NOT(ISNUMBER('Price History'!I137)),NOT(ISNUMBER('Price History'!I136)),'Price History'!I136=0),"",'Price History'!I137/'Price History'!I136-1),"")</f>
        <v>0.145321173671689</v>
      </c>
      <c r="J136" s="143" t="n">
        <f aca="false">IFERROR(IF(OR(NOT(ISNUMBER('Price History'!J137)),NOT(ISNUMBER('Price History'!J136)),'Price History'!J136=0),"",'Price History'!J137/'Price History'!J136-1),"")</f>
        <v>0.14842427221585</v>
      </c>
      <c r="K136" s="143" t="n">
        <f aca="false">IFERROR(IF(OR(NOT(ISNUMBER('Price History'!K137)),NOT(ISNUMBER('Price History'!K136)),'Price History'!K136=0),"",'Price History'!K137/'Price History'!K136-1),"")</f>
        <v>0.0633369116899258</v>
      </c>
      <c r="L136" s="143" t="n">
        <f aca="false">IFERROR(IF(OR(NOT(ISNUMBER('Price History'!L137)),NOT(ISNUMBER('Price History'!L136)),'Price History'!L136=0),"",'Price History'!L137/'Price History'!L136-1),"")</f>
        <v>0.0255768063145112</v>
      </c>
      <c r="M136" s="143" t="n">
        <f aca="false">IFERROR(IF(OR(NOT(ISNUMBER('Price History'!M137)),NOT(ISNUMBER('Price History'!M136)),'Price History'!M136=0),"",'Price History'!M137/'Price History'!M136-1),"")</f>
        <v>-0.13741075037047</v>
      </c>
      <c r="N136" s="143" t="n">
        <f aca="false">IFERROR(IF(OR(NOT(ISNUMBER('Price History'!N137)),NOT(ISNUMBER('Price History'!N136)),'Price History'!N136=0),"",'Price History'!N137/'Price History'!N136-1),"")</f>
        <v>0</v>
      </c>
      <c r="O136" s="143" t="n">
        <f aca="false">IFERROR(IF(OR(NOT(ISNUMBER('Price History'!O137)),NOT(ISNUMBER('Price History'!O136)),'Price History'!O136=0),"",'Price History'!O137/'Price History'!O136-1),"")</f>
        <v>0.0749256863087953</v>
      </c>
      <c r="P136" s="143" t="n">
        <f aca="false">IFERROR(IF(OR(NOT(ISNUMBER('Price History'!P137)),NOT(ISNUMBER('Price History'!P136)),'Price History'!P136=0),"",'Price History'!P137/'Price History'!P136-1),"")</f>
        <v>0.0930811644038656</v>
      </c>
      <c r="Q136" s="143" t="n">
        <f aca="false">IFERROR(IF(OR(NOT(ISNUMBER('Price History'!Q137)),NOT(ISNUMBER('Price History'!Q136)),'Price History'!Q136=0),"",'Price History'!Q137/'Price History'!Q136-1),"")</f>
        <v>0.0118483412322274</v>
      </c>
      <c r="R136" s="143" t="n">
        <f aca="false">IFERROR(IF(OR(NOT(ISNUMBER('Price History'!R137)),NOT(ISNUMBER('Price History'!R136)),'Price History'!R136=0),"",'Price History'!R137/'Price History'!R136-1),"")</f>
        <v>-0.0205031013094418</v>
      </c>
      <c r="S136" s="143" t="n">
        <f aca="false">IFERROR(IF(OR(NOT(ISNUMBER('Price History'!S137)),NOT(ISNUMBER('Price History'!S136)),'Price History'!S136=0),"",'Price History'!S137/'Price History'!S136-1),"")</f>
        <v>-0.0102954716665272</v>
      </c>
      <c r="T136" s="143" t="n">
        <f aca="false">IFERROR(IF(OR(NOT(ISNUMBER('Price History'!T137)),NOT(ISNUMBER('Price History'!T136)),'Price History'!T136=0),"",'Price History'!T137/'Price History'!T136-1),"")</f>
        <v>-0.00914031620553357</v>
      </c>
      <c r="U136" s="143" t="str">
        <f aca="false">IFERROR(IF(OR(NOT(ISNUMBER('Price History'!U137)),NOT(ISNUMBER('Price History'!U136)),'Price History'!U136=0),"",'Price History'!U137/'Price History'!U136-1),"")</f>
        <v/>
      </c>
      <c r="V136" s="144" t="n">
        <f aca="false">IFERROR(IF(OR(NOT(ISNUMBER('Price History'!V137)),NOT(ISNUMBER('Price History'!V136)),'Price History'!V136=0),"",'Price History'!V137/'Price History'!V136-1),"")</f>
        <v>-0.00868638088369023</v>
      </c>
      <c r="W136" s="145" t="str">
        <f aca="false">IFERROR('Price History'!B3+(INDEX('Price History'!B:B,MATCH(9.99E+307,'Price History'!$A:$A))-'Price History'!B3)*(ROW()-3)/(MATCH(9.99E+307,'Returns (Calc)'!$A:$A)-3),"")</f>
        <v/>
      </c>
      <c r="X136" s="145" t="n">
        <f aca="false">IFERROR('Price History'!C3+(INDEX('Price History'!C:C,MATCH(9.99E+307,'Price History'!$A:$A))-'Price History'!C3)*(ROW()-3)/(MATCH(9.99E+307,'Returns (Calc)'!$A:$A)-3),"")</f>
        <v>7.55144654088051</v>
      </c>
      <c r="Y136" s="145" t="n">
        <f aca="false">IFERROR('Price History'!D3+(INDEX('Price History'!D:D,MATCH(9.99E+307,'Price History'!$A:$A))-'Price History'!D3)*(ROW()-3)/(MATCH(9.99E+307,'Returns (Calc)'!$A:$A)-3),"")</f>
        <v>95.1714465408805</v>
      </c>
      <c r="Z136" s="145" t="n">
        <f aca="false">IFERROR('Price History'!E3+(INDEX('Price History'!E:E,MATCH(9.99E+307,'Price History'!$A:$A))-'Price History'!E3)*(ROW()-3)/(MATCH(9.99E+307,'Returns (Calc)'!$A:$A)-3),"")</f>
        <v>13.4088050314465</v>
      </c>
      <c r="AA136" s="145" t="n">
        <f aca="false">IFERROR('Price History'!F3+(INDEX('Price History'!F:F,MATCH(9.99E+307,'Price History'!$A:$A))-'Price History'!F3)*(ROW()-3)/(MATCH(9.99E+307,'Returns (Calc)'!$A:$A)-3),"")</f>
        <v>12.3148427672956</v>
      </c>
      <c r="AB136" s="145" t="n">
        <f aca="false">IFERROR('Price History'!G3+(INDEX('Price History'!G:G,MATCH(9.99E+307,'Price History'!$A:$A))-'Price History'!G3)*(ROW()-3)/(MATCH(9.99E+307,'Returns (Calc)'!$A:$A)-3),"")</f>
        <v>6.76327044025157</v>
      </c>
      <c r="AC136" s="145" t="n">
        <f aca="false">IFERROR('Price History'!H3+(INDEX('Price History'!H:H,MATCH(9.99E+307,'Price History'!$A:$A))-'Price History'!H3)*(ROW()-3)/(MATCH(9.99E+307,'Returns (Calc)'!$A:$A)-3),"")</f>
        <v>16.448679245283</v>
      </c>
      <c r="AD136" s="145" t="n">
        <f aca="false">IFERROR('Price History'!I3+(INDEX('Price History'!I:I,MATCH(9.99E+307,'Price History'!$A:$A))-'Price History'!I3)*(ROW()-3)/(MATCH(9.99E+307,'Returns (Calc)'!$A:$A)-3),"")</f>
        <v>7.25220125786164</v>
      </c>
      <c r="AE136" s="145" t="n">
        <f aca="false">IFERROR('Price History'!J3+(INDEX('Price History'!J:J,MATCH(9.99E+307,'Price History'!$A:$A))-'Price History'!J3)*(ROW()-3)/(MATCH(9.99E+307,'Returns (Calc)'!$A:$A)-3),"")</f>
        <v>11.3010062893082</v>
      </c>
      <c r="AF136" s="145" t="n">
        <f aca="false">IFERROR('Price History'!K3+(INDEX('Price History'!K:K,MATCH(9.99E+307,'Price History'!$A:$A))-'Price History'!K3)*(ROW()-3)/(MATCH(9.99E+307,'Returns (Calc)'!$A:$A)-3),"")</f>
        <v>7.15735849056603</v>
      </c>
      <c r="AG136" s="145" t="n">
        <f aca="false">IFERROR('Price History'!L3+(INDEX('Price History'!L:L,MATCH(9.99E+307,'Price History'!$A:$A))-'Price History'!L3)*(ROW()-3)/(MATCH(9.99E+307,'Returns (Calc)'!$A:$A)-3),"")</f>
        <v>18.2883018867925</v>
      </c>
      <c r="AH136" s="145" t="n">
        <f aca="false">IFERROR('Price History'!M3+(INDEX('Price History'!M:M,MATCH(9.99E+307,'Price History'!$A:$A))-'Price History'!M3)*(ROW()-3)/(MATCH(9.99E+307,'Returns (Calc)'!$A:$A)-3),"")</f>
        <v>2.50679245283019</v>
      </c>
      <c r="AI136" s="145" t="n">
        <f aca="false">IFERROR('Price History'!N3+(INDEX('Price History'!N:N,MATCH(9.99E+307,'Price History'!$A:$A))-'Price History'!N3)*(ROW()-3)/(MATCH(9.99E+307,'Returns (Calc)'!$A:$A)-3),"")</f>
        <v>3.56477987421384</v>
      </c>
      <c r="AJ136" s="145" t="n">
        <f aca="false">IFERROR('Price History'!O3+(INDEX('Price History'!O:O,MATCH(9.99E+307,'Price History'!$A:$A))-'Price History'!O3)*(ROW()-3)/(MATCH(9.99E+307,'Returns (Calc)'!$A:$A)-3),"")</f>
        <v>9.42377358490566</v>
      </c>
      <c r="AK136" s="145" t="n">
        <f aca="false">IFERROR('Price History'!Q3+(INDEX('Price History'!Q:Q,MATCH(9.99E+307,'Price History'!$A:$A))-'Price History'!Q3)*(ROW()-3)/(MATCH(9.99E+307,'Returns (Calc)'!$A:$A)-3),"")</f>
        <v>38.5306918238994</v>
      </c>
      <c r="AL136" s="145" t="n">
        <f aca="false">IFERROR('Price History'!R3+(INDEX('Price History'!R:R,MATCH(9.99E+307,'Price History'!$A:$A))-'Price History'!R3)*(ROW()-3)/(MATCH(9.99E+307,'Returns (Calc)'!$A:$A)-3),"")</f>
        <v>7.81962264150943</v>
      </c>
      <c r="AM136" s="145" t="n">
        <f aca="false">IFERROR('Price History'!S3+(INDEX('Price History'!S:S,MATCH(9.99E+307,'Price History'!$A:$A))-'Price History'!S3)*(ROW()-3)/(MATCH(9.99E+307,'Returns (Calc)'!$A:$A)-3),"")</f>
        <v>9.5725786163522</v>
      </c>
      <c r="AN136" s="145" t="n">
        <f aca="false">IFERROR('Price History'!T3+(INDEX('Price History'!T:T,MATCH(9.99E+307,'Price History'!$A:$A))-'Price History'!T3)*(ROW()-3)/(MATCH(9.99E+307,'Returns (Calc)'!$A:$A)-3),"")</f>
        <v>4.40037735849057</v>
      </c>
      <c r="AO136" s="146" t="n">
        <f aca="false">IFERROR('Price History'!V3+(INDEX('Price History'!V:V,MATCH(9.99E+307,'Price History'!$A:$A))-'Price History'!V3)*(ROW()-3)/(MATCH(9.99E+307,'Returns (Calc)'!$A:$A)-3),"")</f>
        <v>0</v>
      </c>
    </row>
    <row r="137" customFormat="false" ht="15" hidden="false" customHeight="true" outlineLevel="0" collapsed="false">
      <c r="A137" s="142" t="n">
        <f aca="false">IF('Price History'!A138="","",'Price History'!A138)</f>
        <v>46129</v>
      </c>
      <c r="B137" s="143" t="n">
        <f aca="false">IFERROR(IF(OR(NOT(ISNUMBER('Price History'!B138)),NOT(ISNUMBER('Price History'!B137)),'Price History'!B137=0),"",'Price History'!B138/'Price History'!B137-1),"")</f>
        <v>0.0847570445972932</v>
      </c>
      <c r="C137" s="143" t="n">
        <f aca="false">IFERROR(IF(OR(NOT(ISNUMBER('Price History'!C138)),NOT(ISNUMBER('Price History'!C137)),'Price History'!C137=0),"",'Price History'!C138/'Price History'!C137-1),"")</f>
        <v>0.114557176789956</v>
      </c>
      <c r="D137" s="143" t="n">
        <f aca="false">IFERROR(IF(OR(NOT(ISNUMBER('Price History'!D138)),NOT(ISNUMBER('Price History'!D137)),'Price History'!D137=0),"",'Price History'!D138/'Price History'!D137-1),"")</f>
        <v>-0.012497030173438</v>
      </c>
      <c r="E137" s="143" t="n">
        <f aca="false">IFERROR(IF(OR(NOT(ISNUMBER('Price History'!E138)),NOT(ISNUMBER('Price History'!E137)),'Price History'!E137=0),"",'Price History'!E138/'Price History'!E137-1),"")</f>
        <v>0.0941694347673445</v>
      </c>
      <c r="F137" s="143" t="n">
        <f aca="false">IFERROR(IF(OR(NOT(ISNUMBER('Price History'!F138)),NOT(ISNUMBER('Price History'!F137)),'Price History'!F137=0),"",'Price History'!F138/'Price History'!F137-1),"")</f>
        <v>0.0243110408987186</v>
      </c>
      <c r="G137" s="143" t="n">
        <f aca="false">IFERROR(IF(OR(NOT(ISNUMBER('Price History'!G138)),NOT(ISNUMBER('Price History'!G137)),'Price History'!G137=0),"",'Price History'!G138/'Price History'!G137-1),"")</f>
        <v>0.118627968337731</v>
      </c>
      <c r="H137" s="143" t="n">
        <f aca="false">IFERROR(IF(OR(NOT(ISNUMBER('Price History'!H138)),NOT(ISNUMBER('Price History'!H137)),'Price History'!H137=0),"",'Price History'!H138/'Price History'!H137-1),"")</f>
        <v>0.00459969335377641</v>
      </c>
      <c r="I137" s="143" t="n">
        <f aca="false">IFERROR(IF(OR(NOT(ISNUMBER('Price History'!I138)),NOT(ISNUMBER('Price History'!I137)),'Price History'!I137=0),"",'Price History'!I138/'Price History'!I137-1),"")</f>
        <v>0.0311580405054528</v>
      </c>
      <c r="J137" s="143" t="n">
        <f aca="false">IFERROR(IF(OR(NOT(ISNUMBER('Price History'!J138)),NOT(ISNUMBER('Price History'!J137)),'Price History'!J137=0),"",'Price History'!J138/'Price History'!J137-1),"")</f>
        <v>0.0819679927710271</v>
      </c>
      <c r="K137" s="143" t="n">
        <f aca="false">IFERROR(IF(OR(NOT(ISNUMBER('Price History'!K138)),NOT(ISNUMBER('Price History'!K137)),'Price History'!K137=0),"",'Price History'!K138/'Price History'!K137-1),"")</f>
        <v>0.069181721572795</v>
      </c>
      <c r="L137" s="143" t="n">
        <f aca="false">IFERROR(IF(OR(NOT(ISNUMBER('Price History'!L138)),NOT(ISNUMBER('Price History'!L137)),'Price History'!L137=0),"",'Price History'!L138/'Price History'!L137-1),"")</f>
        <v>0.0576481906312438</v>
      </c>
      <c r="M137" s="143" t="n">
        <f aca="false">IFERROR(IF(OR(NOT(ISNUMBER('Price History'!M138)),NOT(ISNUMBER('Price History'!M137)),'Price History'!M137=0),"",'Price History'!M138/'Price History'!M137-1),"")</f>
        <v>0.143136029985944</v>
      </c>
      <c r="N137" s="143" t="n">
        <f aca="false">IFERROR(IF(OR(NOT(ISNUMBER('Price History'!N138)),NOT(ISNUMBER('Price History'!N137)),'Price History'!N137=0),"",'Price History'!N138/'Price History'!N137-1),"")</f>
        <v>0.0159574468085106</v>
      </c>
      <c r="O137" s="143" t="n">
        <f aca="false">IFERROR(IF(OR(NOT(ISNUMBER('Price History'!O138)),NOT(ISNUMBER('Price History'!O137)),'Price History'!O137=0),"",'Price History'!O138/'Price History'!O137-1),"")</f>
        <v>0.0401789345262302</v>
      </c>
      <c r="P137" s="143" t="n">
        <f aca="false">IFERROR(IF(OR(NOT(ISNUMBER('Price History'!P138)),NOT(ISNUMBER('Price History'!P137)),'Price History'!P137=0),"",'Price History'!P138/'Price History'!P137-1),"")</f>
        <v>-0.0002440744155775</v>
      </c>
      <c r="Q137" s="143" t="n">
        <f aca="false">IFERROR(IF(OR(NOT(ISNUMBER('Price History'!Q138)),NOT(ISNUMBER('Price History'!Q137)),'Price History'!Q137=0),"",'Price History'!Q138/'Price History'!Q137-1),"")</f>
        <v>0.0415938252465613</v>
      </c>
      <c r="R137" s="143" t="n">
        <f aca="false">IFERROR(IF(OR(NOT(ISNUMBER('Price History'!R138)),NOT(ISNUMBER('Price History'!R137)),'Price History'!R137=0),"",'Price History'!R138/'Price History'!R137-1),"")</f>
        <v>-0.00510114335971856</v>
      </c>
      <c r="S137" s="143" t="n">
        <f aca="false">IFERROR(IF(OR(NOT(ISNUMBER('Price History'!S138)),NOT(ISNUMBER('Price History'!S137)),'Price History'!S137=0),"",'Price History'!S138/'Price History'!S137-1),"")</f>
        <v>-0.0174221921515561</v>
      </c>
      <c r="T137" s="143" t="n">
        <f aca="false">IFERROR(IF(OR(NOT(ISNUMBER('Price History'!T138)),NOT(ISNUMBER('Price History'!T137)),'Price History'!T137=0),"",'Price History'!T138/'Price History'!T137-1),"")</f>
        <v>-0.0226876090750435</v>
      </c>
      <c r="U137" s="143" t="str">
        <f aca="false">IFERROR(IF(OR(NOT(ISNUMBER('Price History'!U138)),NOT(ISNUMBER('Price History'!U137)),'Price History'!U137=0),"",'Price History'!U138/'Price History'!U137-1),"")</f>
        <v/>
      </c>
      <c r="V137" s="144" t="n">
        <f aca="false">IFERROR(IF(OR(NOT(ISNUMBER('Price History'!V138)),NOT(ISNUMBER('Price History'!V137)),'Price History'!V137=0),"",'Price History'!V138/'Price History'!V137-1),"")</f>
        <v>-0.0322029609009237</v>
      </c>
      <c r="W137" s="145" t="str">
        <f aca="false">IFERROR('Price History'!B3+(INDEX('Price History'!B:B,MATCH(9.99E+307,'Price History'!$A:$A))-'Price History'!B3)*(ROW()-3)/(MATCH(9.99E+307,'Returns (Calc)'!$A:$A)-3),"")</f>
        <v/>
      </c>
      <c r="X137" s="145" t="n">
        <f aca="false">IFERROR('Price History'!C3+(INDEX('Price History'!C:C,MATCH(9.99E+307,'Price History'!$A:$A))-'Price History'!C3)*(ROW()-3)/(MATCH(9.99E+307,'Returns (Calc)'!$A:$A)-3),"")</f>
        <v>7.26100628930818</v>
      </c>
      <c r="Y137" s="145" t="n">
        <f aca="false">IFERROR('Price History'!D3+(INDEX('Price History'!D:D,MATCH(9.99E+307,'Price History'!$A:$A))-'Price History'!D3)*(ROW()-3)/(MATCH(9.99E+307,'Returns (Calc)'!$A:$A)-3),"")</f>
        <v>91.5110062893082</v>
      </c>
      <c r="Z137" s="145" t="n">
        <f aca="false">IFERROR('Price History'!E3+(INDEX('Price History'!E:E,MATCH(9.99E+307,'Price History'!$A:$A))-'Price History'!E3)*(ROW()-3)/(MATCH(9.99E+307,'Returns (Calc)'!$A:$A)-3),"")</f>
        <v>12.8930817610063</v>
      </c>
      <c r="AA137" s="145" t="n">
        <f aca="false">IFERROR('Price History'!F3+(INDEX('Price History'!F:F,MATCH(9.99E+307,'Price History'!$A:$A))-'Price History'!F3)*(ROW()-3)/(MATCH(9.99E+307,'Returns (Calc)'!$A:$A)-3),"")</f>
        <v>11.8411949685535</v>
      </c>
      <c r="AB137" s="145" t="n">
        <f aca="false">IFERROR('Price History'!G3+(INDEX('Price History'!G:G,MATCH(9.99E+307,'Price History'!$A:$A))-'Price History'!G3)*(ROW()-3)/(MATCH(9.99E+307,'Returns (Calc)'!$A:$A)-3),"")</f>
        <v>6.50314465408805</v>
      </c>
      <c r="AC137" s="145" t="n">
        <f aca="false">IFERROR('Price History'!H3+(INDEX('Price History'!H:H,MATCH(9.99E+307,'Price History'!$A:$A))-'Price History'!H3)*(ROW()-3)/(MATCH(9.99E+307,'Returns (Calc)'!$A:$A)-3),"")</f>
        <v>15.8160377358491</v>
      </c>
      <c r="AD137" s="145" t="n">
        <f aca="false">IFERROR('Price History'!I3+(INDEX('Price History'!I:I,MATCH(9.99E+307,'Price History'!$A:$A))-'Price History'!I3)*(ROW()-3)/(MATCH(9.99E+307,'Returns (Calc)'!$A:$A)-3),"")</f>
        <v>6.97327044025157</v>
      </c>
      <c r="AE137" s="145" t="n">
        <f aca="false">IFERROR('Price History'!J3+(INDEX('Price History'!J:J,MATCH(9.99E+307,'Price History'!$A:$A))-'Price History'!J3)*(ROW()-3)/(MATCH(9.99E+307,'Returns (Calc)'!$A:$A)-3),"")</f>
        <v>10.8663522012579</v>
      </c>
      <c r="AF137" s="145" t="n">
        <f aca="false">IFERROR('Price History'!K3+(INDEX('Price History'!K:K,MATCH(9.99E+307,'Price History'!$A:$A))-'Price History'!K3)*(ROW()-3)/(MATCH(9.99E+307,'Returns (Calc)'!$A:$A)-3),"")</f>
        <v>6.88207547169812</v>
      </c>
      <c r="AG137" s="145" t="n">
        <f aca="false">IFERROR('Price History'!L3+(INDEX('Price History'!L:L,MATCH(9.99E+307,'Price History'!$A:$A))-'Price History'!L3)*(ROW()-3)/(MATCH(9.99E+307,'Returns (Calc)'!$A:$A)-3),"")</f>
        <v>17.5849056603774</v>
      </c>
      <c r="AH137" s="145" t="n">
        <f aca="false">IFERROR('Price History'!M3+(INDEX('Price History'!M:M,MATCH(9.99E+307,'Price History'!$A:$A))-'Price History'!M3)*(ROW()-3)/(MATCH(9.99E+307,'Returns (Calc)'!$A:$A)-3),"")</f>
        <v>2.41037735849057</v>
      </c>
      <c r="AI137" s="145" t="n">
        <f aca="false">IFERROR('Price History'!N3+(INDEX('Price History'!N:N,MATCH(9.99E+307,'Price History'!$A:$A))-'Price History'!N3)*(ROW()-3)/(MATCH(9.99E+307,'Returns (Calc)'!$A:$A)-3),"")</f>
        <v>3.42767295597484</v>
      </c>
      <c r="AJ137" s="145" t="n">
        <f aca="false">IFERROR('Price History'!O3+(INDEX('Price History'!O:O,MATCH(9.99E+307,'Price History'!$A:$A))-'Price History'!O3)*(ROW()-3)/(MATCH(9.99E+307,'Returns (Calc)'!$A:$A)-3),"")</f>
        <v>9.06132075471698</v>
      </c>
      <c r="AK137" s="145" t="n">
        <f aca="false">IFERROR('Price History'!Q3+(INDEX('Price History'!Q:Q,MATCH(9.99E+307,'Price History'!$A:$A))-'Price History'!Q3)*(ROW()-3)/(MATCH(9.99E+307,'Returns (Calc)'!$A:$A)-3),"")</f>
        <v>37.0487421383648</v>
      </c>
      <c r="AL137" s="145" t="n">
        <f aca="false">IFERROR('Price History'!R3+(INDEX('Price History'!R:R,MATCH(9.99E+307,'Price History'!$A:$A))-'Price History'!R3)*(ROW()-3)/(MATCH(9.99E+307,'Returns (Calc)'!$A:$A)-3),"")</f>
        <v>7.5188679245283</v>
      </c>
      <c r="AM137" s="145" t="n">
        <f aca="false">IFERROR('Price History'!S3+(INDEX('Price History'!S:S,MATCH(9.99E+307,'Price History'!$A:$A))-'Price History'!S3)*(ROW()-3)/(MATCH(9.99E+307,'Returns (Calc)'!$A:$A)-3),"")</f>
        <v>9.20440251572327</v>
      </c>
      <c r="AN137" s="145" t="n">
        <f aca="false">IFERROR('Price History'!T3+(INDEX('Price History'!T:T,MATCH(9.99E+307,'Price History'!$A:$A))-'Price History'!T3)*(ROW()-3)/(MATCH(9.99E+307,'Returns (Calc)'!$A:$A)-3),"")</f>
        <v>4.2311320754717</v>
      </c>
      <c r="AO137" s="146" t="n">
        <f aca="false">IFERROR('Price History'!V3+(INDEX('Price History'!V:V,MATCH(9.99E+307,'Price History'!$A:$A))-'Price History'!V3)*(ROW()-3)/(MATCH(9.99E+307,'Returns (Calc)'!$A:$A)-3),"")</f>
        <v>0</v>
      </c>
    </row>
    <row r="138" customFormat="false" ht="15" hidden="false" customHeight="true" outlineLevel="0" collapsed="false">
      <c r="A138" s="142" t="n">
        <f aca="false">IF('Price History'!A139="","",'Price History'!A139)</f>
        <v>46136</v>
      </c>
      <c r="B138" s="143" t="n">
        <f aca="false">IFERROR(IF(OR(NOT(ISNUMBER('Price History'!B139)),NOT(ISNUMBER('Price History'!B138)),'Price History'!B138=0),"",'Price History'!B139/'Price History'!B138-1),"")</f>
        <v>0.0040499079566374</v>
      </c>
      <c r="C138" s="143" t="n">
        <f aca="false">IFERROR(IF(OR(NOT(ISNUMBER('Price History'!C139)),NOT(ISNUMBER('Price History'!C138)),'Price History'!C138=0),"",'Price History'!C139/'Price History'!C138-1),"")</f>
        <v>0.0772087925470377</v>
      </c>
      <c r="D138" s="143" t="n">
        <f aca="false">IFERROR(IF(OR(NOT(ISNUMBER('Price History'!D139)),NOT(ISNUMBER('Price History'!D138)),'Price History'!D138=0),"",'Price History'!D139/'Price History'!D138-1),"")</f>
        <v>-0.00144355692426135</v>
      </c>
      <c r="E138" s="143" t="n">
        <f aca="false">IFERROR(IF(OR(NOT(ISNUMBER('Price History'!E139)),NOT(ISNUMBER('Price History'!E138)),'Price History'!E138=0),"",'Price History'!E139/'Price History'!E138-1),"")</f>
        <v>0.0398854773422845</v>
      </c>
      <c r="F138" s="143" t="n">
        <f aca="false">IFERROR(IF(OR(NOT(ISNUMBER('Price History'!F139)),NOT(ISNUMBER('Price History'!F138)),'Price History'!F138=0),"",'Price History'!F139/'Price History'!F138-1),"")</f>
        <v>0.0122525918944392</v>
      </c>
      <c r="G138" s="143" t="n">
        <f aca="false">IFERROR(IF(OR(NOT(ISNUMBER('Price History'!G139)),NOT(ISNUMBER('Price History'!G138)),'Price History'!G138=0),"",'Price History'!G139/'Price History'!G138-1),"")</f>
        <v>0.0569865081611474</v>
      </c>
      <c r="H138" s="143" t="n">
        <f aca="false">IFERROR(IF(OR(NOT(ISNUMBER('Price History'!H139)),NOT(ISNUMBER('Price History'!H138)),'Price History'!H138=0),"",'Price History'!H139/'Price History'!H138-1),"")</f>
        <v>-0.00809555408095553</v>
      </c>
      <c r="I138" s="143" t="n">
        <f aca="false">IFERROR(IF(OR(NOT(ISNUMBER('Price History'!I139)),NOT(ISNUMBER('Price History'!I138)),'Price History'!I138=0),"",'Price History'!I139/'Price History'!I138-1),"")</f>
        <v>0.0801857758379496</v>
      </c>
      <c r="J138" s="143" t="n">
        <f aca="false">IFERROR(IF(OR(NOT(ISNUMBER('Price History'!J139)),NOT(ISNUMBER('Price History'!J138)),'Price History'!J138=0),"",'Price History'!J139/'Price History'!J138-1),"")</f>
        <v>0.0915164835164835</v>
      </c>
      <c r="K138" s="143" t="n">
        <f aca="false">IFERROR(IF(OR(NOT(ISNUMBER('Price History'!K139)),NOT(ISNUMBER('Price History'!K138)),'Price History'!K138=0),"",'Price History'!K139/'Price History'!K138-1),"")</f>
        <v>0.0327005267866019</v>
      </c>
      <c r="L138" s="143" t="n">
        <f aca="false">IFERROR(IF(OR(NOT(ISNUMBER('Price History'!L139)),NOT(ISNUMBER('Price History'!L138)),'Price History'!L138=0),"",'Price History'!L139/'Price History'!L138-1),"")</f>
        <v>-0.0207108872096277</v>
      </c>
      <c r="M138" s="143" t="n">
        <f aca="false">IFERROR(IF(OR(NOT(ISNUMBER('Price History'!M139)),NOT(ISNUMBER('Price History'!M138)),'Price History'!M138=0),"",'Price History'!M139/'Price History'!M138-1),"")</f>
        <v>-0.0225425233964067</v>
      </c>
      <c r="N138" s="143" t="n">
        <f aca="false">IFERROR(IF(OR(NOT(ISNUMBER('Price History'!N139)),NOT(ISNUMBER('Price History'!N138)),'Price History'!N138=0),"",'Price History'!N139/'Price History'!N138-1),"")</f>
        <v>0.00490837696335089</v>
      </c>
      <c r="O138" s="143" t="n">
        <f aca="false">IFERROR(IF(OR(NOT(ISNUMBER('Price History'!O139)),NOT(ISNUMBER('Price History'!O138)),'Price History'!O138=0),"",'Price History'!O139/'Price History'!O138-1),"")</f>
        <v>0.0250996950504339</v>
      </c>
      <c r="P138" s="143" t="n">
        <f aca="false">IFERROR(IF(OR(NOT(ISNUMBER('Price History'!P139)),NOT(ISNUMBER('Price History'!P138)),'Price History'!P138=0),"",'Price History'!P139/'Price History'!P138-1),"")</f>
        <v>0.0862606808626067</v>
      </c>
      <c r="Q138" s="143" t="n">
        <f aca="false">IFERROR(IF(OR(NOT(ISNUMBER('Price History'!Q139)),NOT(ISNUMBER('Price History'!Q138)),'Price History'!Q138=0),"",'Price History'!Q139/'Price History'!Q138-1),"")</f>
        <v>-0.0239723858382418</v>
      </c>
      <c r="R138" s="143" t="n">
        <f aca="false">IFERROR(IF(OR(NOT(ISNUMBER('Price History'!R139)),NOT(ISNUMBER('Price History'!R138)),'Price History'!R138=0),"",'Price History'!R139/'Price History'!R138-1),"")</f>
        <v>-0.0141442715700142</v>
      </c>
      <c r="S138" s="143" t="n">
        <f aca="false">IFERROR(IF(OR(NOT(ISNUMBER('Price History'!S139)),NOT(ISNUMBER('Price History'!S138)),'Price History'!S138=0),"",'Price History'!S139/'Price History'!S138-1),"")</f>
        <v>-0.0206576002754347</v>
      </c>
      <c r="T138" s="143" t="n">
        <f aca="false">IFERROR(IF(OR(NOT(ISNUMBER('Price History'!T139)),NOT(ISNUMBER('Price History'!T138)),'Price History'!T138=0),"",'Price History'!T139/'Price History'!T138-1),"")</f>
        <v>0.00102040816326521</v>
      </c>
      <c r="U138" s="143" t="str">
        <f aca="false">IFERROR(IF(OR(NOT(ISNUMBER('Price History'!U139)),NOT(ISNUMBER('Price History'!U138)),'Price History'!U138=0),"",'Price History'!U139/'Price History'!U138-1),"")</f>
        <v/>
      </c>
      <c r="V138" s="144" t="n">
        <f aca="false">IFERROR(IF(OR(NOT(ISNUMBER('Price History'!V139)),NOT(ISNUMBER('Price History'!V138)),'Price History'!V138=0),"",'Price History'!V139/'Price History'!V138-1),"")</f>
        <v>-0.0179773811858535</v>
      </c>
      <c r="W138" s="145" t="str">
        <f aca="false">IFERROR('Price History'!B3+(INDEX('Price History'!B:B,MATCH(9.99E+307,'Price History'!$A:$A))-'Price History'!B3)*(ROW()-3)/(MATCH(9.99E+307,'Returns (Calc)'!$A:$A)-3),"")</f>
        <v/>
      </c>
      <c r="X138" s="145" t="n">
        <f aca="false">IFERROR('Price History'!C3+(INDEX('Price History'!C:C,MATCH(9.99E+307,'Price History'!$A:$A))-'Price History'!C3)*(ROW()-3)/(MATCH(9.99E+307,'Returns (Calc)'!$A:$A)-3),"")</f>
        <v>6.97056603773585</v>
      </c>
      <c r="Y138" s="145" t="n">
        <f aca="false">IFERROR('Price History'!D3+(INDEX('Price History'!D:D,MATCH(9.99E+307,'Price History'!$A:$A))-'Price History'!D3)*(ROW()-3)/(MATCH(9.99E+307,'Returns (Calc)'!$A:$A)-3),"")</f>
        <v>87.8505660377358</v>
      </c>
      <c r="Z138" s="145" t="n">
        <f aca="false">IFERROR('Price History'!E3+(INDEX('Price History'!E:E,MATCH(9.99E+307,'Price History'!$A:$A))-'Price History'!E3)*(ROW()-3)/(MATCH(9.99E+307,'Returns (Calc)'!$A:$A)-3),"")</f>
        <v>12.377358490566</v>
      </c>
      <c r="AA138" s="145" t="n">
        <f aca="false">IFERROR('Price History'!F3+(INDEX('Price History'!F:F,MATCH(9.99E+307,'Price History'!$A:$A))-'Price History'!F3)*(ROW()-3)/(MATCH(9.99E+307,'Returns (Calc)'!$A:$A)-3),"")</f>
        <v>11.3675471698113</v>
      </c>
      <c r="AB138" s="145" t="n">
        <f aca="false">IFERROR('Price History'!G3+(INDEX('Price History'!G:G,MATCH(9.99E+307,'Price History'!$A:$A))-'Price History'!G3)*(ROW()-3)/(MATCH(9.99E+307,'Returns (Calc)'!$A:$A)-3),"")</f>
        <v>6.24301886792453</v>
      </c>
      <c r="AC138" s="145" t="n">
        <f aca="false">IFERROR('Price History'!H3+(INDEX('Price History'!H:H,MATCH(9.99E+307,'Price History'!$A:$A))-'Price History'!H3)*(ROW()-3)/(MATCH(9.99E+307,'Returns (Calc)'!$A:$A)-3),"")</f>
        <v>15.1833962264151</v>
      </c>
      <c r="AD138" s="145" t="n">
        <f aca="false">IFERROR('Price History'!I3+(INDEX('Price History'!I:I,MATCH(9.99E+307,'Price History'!$A:$A))-'Price History'!I3)*(ROW()-3)/(MATCH(9.99E+307,'Returns (Calc)'!$A:$A)-3),"")</f>
        <v>6.69433962264151</v>
      </c>
      <c r="AE138" s="145" t="n">
        <f aca="false">IFERROR('Price History'!J3+(INDEX('Price History'!J:J,MATCH(9.99E+307,'Price History'!$A:$A))-'Price History'!J3)*(ROW()-3)/(MATCH(9.99E+307,'Returns (Calc)'!$A:$A)-3),"")</f>
        <v>10.4316981132075</v>
      </c>
      <c r="AF138" s="145" t="n">
        <f aca="false">IFERROR('Price History'!K3+(INDEX('Price History'!K:K,MATCH(9.99E+307,'Price History'!$A:$A))-'Price History'!K3)*(ROW()-3)/(MATCH(9.99E+307,'Returns (Calc)'!$A:$A)-3),"")</f>
        <v>6.60679245283018</v>
      </c>
      <c r="AG138" s="145" t="n">
        <f aca="false">IFERROR('Price History'!L3+(INDEX('Price History'!L:L,MATCH(9.99E+307,'Price History'!$A:$A))-'Price History'!L3)*(ROW()-3)/(MATCH(9.99E+307,'Returns (Calc)'!$A:$A)-3),"")</f>
        <v>16.8815094339623</v>
      </c>
      <c r="AH138" s="145" t="n">
        <f aca="false">IFERROR('Price History'!M3+(INDEX('Price History'!M:M,MATCH(9.99E+307,'Price History'!$A:$A))-'Price History'!M3)*(ROW()-3)/(MATCH(9.99E+307,'Returns (Calc)'!$A:$A)-3),"")</f>
        <v>2.31396226415094</v>
      </c>
      <c r="AI138" s="145" t="n">
        <f aca="false">IFERROR('Price History'!N3+(INDEX('Price History'!N:N,MATCH(9.99E+307,'Price History'!$A:$A))-'Price History'!N3)*(ROW()-3)/(MATCH(9.99E+307,'Returns (Calc)'!$A:$A)-3),"")</f>
        <v>3.29056603773585</v>
      </c>
      <c r="AJ138" s="145" t="n">
        <f aca="false">IFERROR('Price History'!O3+(INDEX('Price History'!O:O,MATCH(9.99E+307,'Price History'!$A:$A))-'Price History'!O3)*(ROW()-3)/(MATCH(9.99E+307,'Returns (Calc)'!$A:$A)-3),"")</f>
        <v>8.6988679245283</v>
      </c>
      <c r="AK138" s="145" t="n">
        <f aca="false">IFERROR('Price History'!Q3+(INDEX('Price History'!Q:Q,MATCH(9.99E+307,'Price History'!$A:$A))-'Price History'!Q3)*(ROW()-3)/(MATCH(9.99E+307,'Returns (Calc)'!$A:$A)-3),"")</f>
        <v>35.5667924528302</v>
      </c>
      <c r="AL138" s="145" t="n">
        <f aca="false">IFERROR('Price History'!R3+(INDEX('Price History'!R:R,MATCH(9.99E+307,'Price History'!$A:$A))-'Price History'!R3)*(ROW()-3)/(MATCH(9.99E+307,'Returns (Calc)'!$A:$A)-3),"")</f>
        <v>7.21811320754717</v>
      </c>
      <c r="AM138" s="145" t="n">
        <f aca="false">IFERROR('Price History'!S3+(INDEX('Price History'!S:S,MATCH(9.99E+307,'Price History'!$A:$A))-'Price History'!S3)*(ROW()-3)/(MATCH(9.99E+307,'Returns (Calc)'!$A:$A)-3),"")</f>
        <v>8.83622641509435</v>
      </c>
      <c r="AN138" s="145" t="n">
        <f aca="false">IFERROR('Price History'!T3+(INDEX('Price History'!T:T,MATCH(9.99E+307,'Price History'!$A:$A))-'Price History'!T3)*(ROW()-3)/(MATCH(9.99E+307,'Returns (Calc)'!$A:$A)-3),"")</f>
        <v>4.06188679245283</v>
      </c>
      <c r="AO138" s="146" t="n">
        <f aca="false">IFERROR('Price History'!V3+(INDEX('Price History'!V:V,MATCH(9.99E+307,'Price History'!$A:$A))-'Price History'!V3)*(ROW()-3)/(MATCH(9.99E+307,'Returns (Calc)'!$A:$A)-3),"")</f>
        <v>0</v>
      </c>
    </row>
    <row r="139" customFormat="false" ht="15" hidden="false" customHeight="true" outlineLevel="0" collapsed="false">
      <c r="A139" s="142" t="n">
        <f aca="false">IF('Price History'!A140="","",'Price History'!A140)</f>
        <v>46143</v>
      </c>
      <c r="B139" s="143" t="n">
        <f aca="false">IFERROR(IF(OR(NOT(ISNUMBER('Price History'!B140)),NOT(ISNUMBER('Price History'!B139)),'Price History'!B139=0),"",'Price History'!B140/'Price History'!B139-1),"")</f>
        <v>0.0214716427640156</v>
      </c>
      <c r="C139" s="143" t="n">
        <f aca="false">IFERROR(IF(OR(NOT(ISNUMBER('Price History'!C140)),NOT(ISNUMBER('Price History'!C139)),'Price History'!C139=0),"",'Price History'!C140/'Price History'!C139-1),"")</f>
        <v>-0.0237974111129954</v>
      </c>
      <c r="D139" s="143" t="n">
        <f aca="false">IFERROR(IF(OR(NOT(ISNUMBER('Price History'!D140)),NOT(ISNUMBER('Price History'!D139)),'Price History'!D139=0),"",'Price History'!D140/'Price History'!D139-1),"")</f>
        <v>-0.0189035136028197</v>
      </c>
      <c r="E139" s="143" t="n">
        <f aca="false">IFERROR(IF(OR(NOT(ISNUMBER('Price History'!E140)),NOT(ISNUMBER('Price History'!E139)),'Price History'!E139=0),"",'Price History'!E140/'Price History'!E139-1),"")</f>
        <v>-0.00348903446311588</v>
      </c>
      <c r="F139" s="143" t="n">
        <f aca="false">IFERROR(IF(OR(NOT(ISNUMBER('Price History'!F140)),NOT(ISNUMBER('Price History'!F139)),'Price History'!F139=0),"",'Price History'!F140/'Price History'!F139-1),"")</f>
        <v>0.00837988826815628</v>
      </c>
      <c r="G139" s="143" t="n">
        <f aca="false">IFERROR(IF(OR(NOT(ISNUMBER('Price History'!G140)),NOT(ISNUMBER('Price History'!G139)),'Price History'!G139=0),"",'Price History'!G140/'Price History'!G139-1),"")</f>
        <v>0.0167812193162544</v>
      </c>
      <c r="H139" s="143" t="n">
        <f aca="false">IFERROR(IF(OR(NOT(ISNUMBER('Price History'!H140)),NOT(ISNUMBER('Price History'!H139)),'Price History'!H139=0),"",'Price History'!H140/'Price History'!H139-1),"")</f>
        <v>0.017928819909018</v>
      </c>
      <c r="I139" s="143" t="n">
        <f aca="false">IFERROR(IF(OR(NOT(ISNUMBER('Price History'!I140)),NOT(ISNUMBER('Price History'!I139)),'Price History'!I139=0),"",'Price History'!I140/'Price History'!I139-1),"")</f>
        <v>-0.107905097389142</v>
      </c>
      <c r="J139" s="143" t="n">
        <f aca="false">IFERROR(IF(OR(NOT(ISNUMBER('Price History'!J140)),NOT(ISNUMBER('Price History'!J139)),'Price History'!J139=0),"",'Price History'!J140/'Price History'!J139-1),"")</f>
        <v>0.0915955219072164</v>
      </c>
      <c r="K139" s="143" t="n">
        <f aca="false">IFERROR(IF(OR(NOT(ISNUMBER('Price History'!K140)),NOT(ISNUMBER('Price History'!K139)),'Price History'!K139=0),"",'Price History'!K140/'Price History'!K139-1),"")</f>
        <v>-0.0471607314725698</v>
      </c>
      <c r="L139" s="143" t="n">
        <f aca="false">IFERROR(IF(OR(NOT(ISNUMBER('Price History'!L140)),NOT(ISNUMBER('Price History'!L139)),'Price History'!L139=0),"",'Price History'!L140/'Price History'!L139-1),"")</f>
        <v>-0.00478708202343536</v>
      </c>
      <c r="M139" s="143" t="n">
        <f aca="false">IFERROR(IF(OR(NOT(ISNUMBER('Price History'!M140)),NOT(ISNUMBER('Price History'!M139)),'Price History'!M139=0),"",'Price History'!M140/'Price History'!M139-1),"")</f>
        <v>0.00684883639667344</v>
      </c>
      <c r="N139" s="143" t="n">
        <f aca="false">IFERROR(IF(OR(NOT(ISNUMBER('Price History'!N140)),NOT(ISNUMBER('Price History'!N139)),'Price History'!N139=0),"",'Price History'!N140/'Price History'!N139-1),"")</f>
        <v>0.0211657440573103</v>
      </c>
      <c r="O139" s="143" t="n">
        <f aca="false">IFERROR(IF(OR(NOT(ISNUMBER('Price History'!O140)),NOT(ISNUMBER('Price History'!O139)),'Price History'!O139=0),"",'Price History'!O140/'Price History'!O139-1),"")</f>
        <v>0.0221205186880245</v>
      </c>
      <c r="P139" s="143" t="n">
        <f aca="false">IFERROR(IF(OR(NOT(ISNUMBER('Price History'!P140)),NOT(ISNUMBER('Price History'!P139)),'Price History'!P139=0),"",'Price History'!P140/'Price History'!P139-1),"")</f>
        <v>-0.011911599450618</v>
      </c>
      <c r="Q139" s="143" t="n">
        <f aca="false">IFERROR(IF(OR(NOT(ISNUMBER('Price History'!Q140)),NOT(ISNUMBER('Price History'!Q139)),'Price History'!Q139=0),"",'Price History'!Q140/'Price History'!Q139-1),"")</f>
        <v>0.0601213458356316</v>
      </c>
      <c r="R139" s="143" t="n">
        <f aca="false">IFERROR(IF(OR(NOT(ISNUMBER('Price History'!R140)),NOT(ISNUMBER('Price History'!R139)),'Price History'!R139=0),"",'Price History'!R140/'Price History'!R139-1),"")</f>
        <v>-0.0292324246771879</v>
      </c>
      <c r="S139" s="143" t="n">
        <f aca="false">IFERROR(IF(OR(NOT(ISNUMBER('Price History'!S140)),NOT(ISNUMBER('Price History'!S139)),'Price History'!S139=0),"",'Price History'!S140/'Price History'!S139-1),"")</f>
        <v>-0.0304974512216558</v>
      </c>
      <c r="T139" s="143" t="n">
        <f aca="false">IFERROR(IF(OR(NOT(ISNUMBER('Price History'!T140)),NOT(ISNUMBER('Price History'!T139)),'Price History'!T139=0),"",'Price History'!T140/'Price History'!T139-1),"")</f>
        <v>-0.012487257900102</v>
      </c>
      <c r="U139" s="143" t="str">
        <f aca="false">IFERROR(IF(OR(NOT(ISNUMBER('Price History'!U140)),NOT(ISNUMBER('Price History'!U139)),'Price History'!U139=0),"",'Price History'!U140/'Price History'!U139-1),"")</f>
        <v/>
      </c>
      <c r="V139" s="144" t="n">
        <f aca="false">IFERROR(IF(OR(NOT(ISNUMBER('Price History'!V140)),NOT(ISNUMBER('Price History'!V139)),'Price History'!V139=0),"",'Price History'!V140/'Price History'!V139-1),"")</f>
        <v>-0.0202369857542271</v>
      </c>
      <c r="W139" s="145" t="str">
        <f aca="false">IFERROR('Price History'!B3+(INDEX('Price History'!B:B,MATCH(9.99E+307,'Price History'!$A:$A))-'Price History'!B3)*(ROW()-3)/(MATCH(9.99E+307,'Returns (Calc)'!$A:$A)-3),"")</f>
        <v/>
      </c>
      <c r="X139" s="145" t="n">
        <f aca="false">IFERROR('Price History'!C3+(INDEX('Price History'!C:C,MATCH(9.99E+307,'Price History'!$A:$A))-'Price History'!C3)*(ROW()-3)/(MATCH(9.99E+307,'Returns (Calc)'!$A:$A)-3),"")</f>
        <v>6.68012578616352</v>
      </c>
      <c r="Y139" s="145" t="n">
        <f aca="false">IFERROR('Price History'!D3+(INDEX('Price History'!D:D,MATCH(9.99E+307,'Price History'!$A:$A))-'Price History'!D3)*(ROW()-3)/(MATCH(9.99E+307,'Returns (Calc)'!$A:$A)-3),"")</f>
        <v>84.1901257861635</v>
      </c>
      <c r="Z139" s="145" t="n">
        <f aca="false">IFERROR('Price History'!E3+(INDEX('Price History'!E:E,MATCH(9.99E+307,'Price History'!$A:$A))-'Price History'!E3)*(ROW()-3)/(MATCH(9.99E+307,'Returns (Calc)'!$A:$A)-3),"")</f>
        <v>11.8616352201258</v>
      </c>
      <c r="AA139" s="145" t="n">
        <f aca="false">IFERROR('Price History'!F3+(INDEX('Price History'!F:F,MATCH(9.99E+307,'Price History'!$A:$A))-'Price History'!F3)*(ROW()-3)/(MATCH(9.99E+307,'Returns (Calc)'!$A:$A)-3),"")</f>
        <v>10.8938993710692</v>
      </c>
      <c r="AB139" s="145" t="n">
        <f aca="false">IFERROR('Price History'!G3+(INDEX('Price History'!G:G,MATCH(9.99E+307,'Price History'!$A:$A))-'Price History'!G3)*(ROW()-3)/(MATCH(9.99E+307,'Returns (Calc)'!$A:$A)-3),"")</f>
        <v>5.98289308176101</v>
      </c>
      <c r="AC139" s="145" t="n">
        <f aca="false">IFERROR('Price History'!H3+(INDEX('Price History'!H:H,MATCH(9.99E+307,'Price History'!$A:$A))-'Price History'!H3)*(ROW()-3)/(MATCH(9.99E+307,'Returns (Calc)'!$A:$A)-3),"")</f>
        <v>14.5507547169811</v>
      </c>
      <c r="AD139" s="145" t="n">
        <f aca="false">IFERROR('Price History'!I3+(INDEX('Price History'!I:I,MATCH(9.99E+307,'Price History'!$A:$A))-'Price History'!I3)*(ROW()-3)/(MATCH(9.99E+307,'Returns (Calc)'!$A:$A)-3),"")</f>
        <v>6.41540880503145</v>
      </c>
      <c r="AE139" s="145" t="n">
        <f aca="false">IFERROR('Price History'!J3+(INDEX('Price History'!J:J,MATCH(9.99E+307,'Price History'!$A:$A))-'Price History'!J3)*(ROW()-3)/(MATCH(9.99E+307,'Returns (Calc)'!$A:$A)-3),"")</f>
        <v>9.99704402515724</v>
      </c>
      <c r="AF139" s="145" t="n">
        <f aca="false">IFERROR('Price History'!K3+(INDEX('Price History'!K:K,MATCH(9.99E+307,'Price History'!$A:$A))-'Price History'!K3)*(ROW()-3)/(MATCH(9.99E+307,'Returns (Calc)'!$A:$A)-3),"")</f>
        <v>6.33150943396227</v>
      </c>
      <c r="AG139" s="145" t="n">
        <f aca="false">IFERROR('Price History'!L3+(INDEX('Price History'!L:L,MATCH(9.99E+307,'Price History'!$A:$A))-'Price History'!L3)*(ROW()-3)/(MATCH(9.99E+307,'Returns (Calc)'!$A:$A)-3),"")</f>
        <v>16.1781132075472</v>
      </c>
      <c r="AH139" s="145" t="n">
        <f aca="false">IFERROR('Price History'!M3+(INDEX('Price History'!M:M,MATCH(9.99E+307,'Price History'!$A:$A))-'Price History'!M3)*(ROW()-3)/(MATCH(9.99E+307,'Returns (Calc)'!$A:$A)-3),"")</f>
        <v>2.21754716981132</v>
      </c>
      <c r="AI139" s="145" t="n">
        <f aca="false">IFERROR('Price History'!N3+(INDEX('Price History'!N:N,MATCH(9.99E+307,'Price History'!$A:$A))-'Price History'!N3)*(ROW()-3)/(MATCH(9.99E+307,'Returns (Calc)'!$A:$A)-3),"")</f>
        <v>3.15345911949686</v>
      </c>
      <c r="AJ139" s="145" t="n">
        <f aca="false">IFERROR('Price History'!O3+(INDEX('Price History'!O:O,MATCH(9.99E+307,'Price History'!$A:$A))-'Price History'!O3)*(ROW()-3)/(MATCH(9.99E+307,'Returns (Calc)'!$A:$A)-3),"")</f>
        <v>8.33641509433962</v>
      </c>
      <c r="AK139" s="145" t="n">
        <f aca="false">IFERROR('Price History'!Q3+(INDEX('Price History'!Q:Q,MATCH(9.99E+307,'Price History'!$A:$A))-'Price History'!Q3)*(ROW()-3)/(MATCH(9.99E+307,'Returns (Calc)'!$A:$A)-3),"")</f>
        <v>34.0848427672956</v>
      </c>
      <c r="AL139" s="145" t="n">
        <f aca="false">IFERROR('Price History'!R3+(INDEX('Price History'!R:R,MATCH(9.99E+307,'Price History'!$A:$A))-'Price History'!R3)*(ROW()-3)/(MATCH(9.99E+307,'Returns (Calc)'!$A:$A)-3),"")</f>
        <v>6.91735849056604</v>
      </c>
      <c r="AM139" s="145" t="n">
        <f aca="false">IFERROR('Price History'!S3+(INDEX('Price History'!S:S,MATCH(9.99E+307,'Price History'!$A:$A))-'Price History'!S3)*(ROW()-3)/(MATCH(9.99E+307,'Returns (Calc)'!$A:$A)-3),"")</f>
        <v>8.46805031446541</v>
      </c>
      <c r="AN139" s="145" t="n">
        <f aca="false">IFERROR('Price History'!T3+(INDEX('Price History'!T:T,MATCH(9.99E+307,'Price History'!$A:$A))-'Price History'!T3)*(ROW()-3)/(MATCH(9.99E+307,'Returns (Calc)'!$A:$A)-3),"")</f>
        <v>3.89264150943396</v>
      </c>
      <c r="AO139" s="146" t="n">
        <f aca="false">IFERROR('Price History'!V3+(INDEX('Price History'!V:V,MATCH(9.99E+307,'Price History'!$A:$A))-'Price History'!V3)*(ROW()-3)/(MATCH(9.99E+307,'Returns (Calc)'!$A:$A)-3),"")</f>
        <v>0</v>
      </c>
    </row>
    <row r="140" customFormat="false" ht="15" hidden="false" customHeight="true" outlineLevel="0" collapsed="false">
      <c r="A140" s="142" t="n">
        <f aca="false">IF('Price History'!A141="","",'Price History'!A141)</f>
        <v>46150</v>
      </c>
      <c r="B140" s="143" t="n">
        <f aca="false">IFERROR(IF(OR(NOT(ISNUMBER('Price History'!B141)),NOT(ISNUMBER('Price History'!B140)),'Price History'!B140=0),"",'Price History'!B141/'Price History'!B140-1),"")</f>
        <v>0.00929360615850983</v>
      </c>
      <c r="C140" s="143" t="n">
        <f aca="false">IFERROR(IF(OR(NOT(ISNUMBER('Price History'!C141)),NOT(ISNUMBER('Price History'!C140)),'Price History'!C140=0),"",'Price History'!C141/'Price History'!C140-1),"")</f>
        <v>-0.179096699478865</v>
      </c>
      <c r="D140" s="143" t="n">
        <f aca="false">IFERROR(IF(OR(NOT(ISNUMBER('Price History'!D141)),NOT(ISNUMBER('Price History'!D140)),'Price History'!D140=0),"",'Price History'!D141/'Price History'!D140-1),"")</f>
        <v>0.115620483026705</v>
      </c>
      <c r="E140" s="143" t="n">
        <f aca="false">IFERROR(IF(OR(NOT(ISNUMBER('Price History'!E141)),NOT(ISNUMBER('Price History'!E140)),'Price History'!E140=0),"",'Price History'!E141/'Price History'!E140-1),"")</f>
        <v>0.0206978682862926</v>
      </c>
      <c r="F140" s="143" t="n">
        <f aca="false">IFERROR(IF(OR(NOT(ISNUMBER('Price History'!F141)),NOT(ISNUMBER('Price History'!F140)),'Price History'!F140=0),"",'Price History'!F141/'Price History'!F140-1),"")</f>
        <v>-0.00100730294636109</v>
      </c>
      <c r="G140" s="143" t="n">
        <f aca="false">IFERROR(IF(OR(NOT(ISNUMBER('Price History'!G141)),NOT(ISNUMBER('Price History'!G140)),'Price History'!G140=0),"",'Price History'!G141/'Price History'!G140-1),"")</f>
        <v>0.158282854885436</v>
      </c>
      <c r="H140" s="143" t="n">
        <f aca="false">IFERROR(IF(OR(NOT(ISNUMBER('Price History'!H141)),NOT(ISNUMBER('Price History'!H140)),'Price History'!H140=0),"",'Price History'!H141/'Price History'!H140-1),"")</f>
        <v>-0.0151813880126183</v>
      </c>
      <c r="I140" s="143" t="n">
        <f aca="false">IFERROR(IF(OR(NOT(ISNUMBER('Price History'!I141)),NOT(ISNUMBER('Price History'!I140)),'Price History'!I140=0),"",'Price History'!I141/'Price History'!I140-1),"")</f>
        <v>0.0828058765460775</v>
      </c>
      <c r="J140" s="143" t="n">
        <f aca="false">IFERROR(IF(OR(NOT(ISNUMBER('Price History'!J141)),NOT(ISNUMBER('Price History'!J140)),'Price History'!J140=0),"",'Price History'!J141/'Price History'!J140-1),"")</f>
        <v>0.377344917270765</v>
      </c>
      <c r="K140" s="143" t="n">
        <f aca="false">IFERROR(IF(OR(NOT(ISNUMBER('Price History'!K141)),NOT(ISNUMBER('Price History'!K140)),'Price History'!K140=0),"",'Price History'!K141/'Price History'!K140-1),"")</f>
        <v>0.0843939393939395</v>
      </c>
      <c r="L140" s="143" t="n">
        <f aca="false">IFERROR(IF(OR(NOT(ISNUMBER('Price History'!L141)),NOT(ISNUMBER('Price History'!L140)),'Price History'!L140=0),"",'Price History'!L141/'Price History'!L140-1),"")</f>
        <v>0.0188814703137339</v>
      </c>
      <c r="M140" s="143" t="n">
        <f aca="false">IFERROR(IF(OR(NOT(ISNUMBER('Price History'!M141)),NOT(ISNUMBER('Price History'!M140)),'Price History'!M140=0),"",'Price History'!M141/'Price History'!M140-1),"")</f>
        <v>-0.0435205108627749</v>
      </c>
      <c r="N140" s="143" t="n">
        <f aca="false">IFERROR(IF(OR(NOT(ISNUMBER('Price History'!N141)),NOT(ISNUMBER('Price History'!N140)),'Price History'!N140=0),"",'Price History'!N141/'Price History'!N140-1),"")</f>
        <v>-0.00765306122448972</v>
      </c>
      <c r="O140" s="143" t="n">
        <f aca="false">IFERROR(IF(OR(NOT(ISNUMBER('Price History'!O141)),NOT(ISNUMBER('Price History'!O140)),'Price History'!O140=0),"",'Price History'!O141/'Price History'!O140-1),"")</f>
        <v>0.0698507462686568</v>
      </c>
      <c r="P140" s="143" t="n">
        <f aca="false">IFERROR(IF(OR(NOT(ISNUMBER('Price History'!P141)),NOT(ISNUMBER('Price History'!P140)),'Price History'!P140=0),"",'Price History'!P141/'Price History'!P140-1),"")</f>
        <v>0.0352304892842701</v>
      </c>
      <c r="Q140" s="143" t="n">
        <f aca="false">IFERROR(IF(OR(NOT(ISNUMBER('Price History'!Q141)),NOT(ISNUMBER('Price History'!Q140)),'Price History'!Q140=0),"",'Price History'!Q141/'Price History'!Q140-1),"")</f>
        <v>-0.0281569443594295</v>
      </c>
      <c r="R140" s="143" t="n">
        <f aca="false">IFERROR(IF(OR(NOT(ISNUMBER('Price History'!R141)),NOT(ISNUMBER('Price History'!R140)),'Price History'!R140=0),"",'Price History'!R141/'Price History'!R140-1),"")</f>
        <v>0.026972104193608</v>
      </c>
      <c r="S140" s="143" t="n">
        <f aca="false">IFERROR(IF(OR(NOT(ISNUMBER('Price History'!S141)),NOT(ISNUMBER('Price History'!S140)),'Price History'!S140=0),"",'Price History'!S141/'Price History'!S140-1),"")</f>
        <v>0.0401595503580816</v>
      </c>
      <c r="T140" s="143" t="n">
        <f aca="false">IFERROR(IF(OR(NOT(ISNUMBER('Price History'!T141)),NOT(ISNUMBER('Price History'!T140)),'Price History'!T140=0),"",'Price History'!T141/'Price History'!T140-1),"")</f>
        <v>0.0281290322580645</v>
      </c>
      <c r="U140" s="143" t="str">
        <f aca="false">IFERROR(IF(OR(NOT(ISNUMBER('Price History'!U141)),NOT(ISNUMBER('Price History'!U140)),'Price History'!U140=0),"",'Price History'!U141/'Price History'!U140-1),"")</f>
        <v/>
      </c>
      <c r="V140" s="144" t="str">
        <f aca="false">IFERROR(IF(OR(NOT(ISNUMBER('Price History'!V141)),NOT(ISNUMBER('Price History'!V140)),'Price History'!V140=0),"",'Price History'!V141/'Price History'!V140-1),"")</f>
        <v/>
      </c>
      <c r="W140" s="145" t="str">
        <f aca="false">IFERROR('Price History'!B3+(INDEX('Price History'!B:B,MATCH(9.99E+307,'Price History'!$A:$A))-'Price History'!B3)*(ROW()-3)/(MATCH(9.99E+307,'Returns (Calc)'!$A:$A)-3),"")</f>
        <v/>
      </c>
      <c r="X140" s="145" t="n">
        <f aca="false">IFERROR('Price History'!C3+(INDEX('Price History'!C:C,MATCH(9.99E+307,'Price History'!$A:$A))-'Price History'!C3)*(ROW()-3)/(MATCH(9.99E+307,'Returns (Calc)'!$A:$A)-3),"")</f>
        <v>6.38968553459119</v>
      </c>
      <c r="Y140" s="145" t="n">
        <f aca="false">IFERROR('Price History'!D3+(INDEX('Price History'!D:D,MATCH(9.99E+307,'Price History'!$A:$A))-'Price History'!D3)*(ROW()-3)/(MATCH(9.99E+307,'Returns (Calc)'!$A:$A)-3),"")</f>
        <v>80.5296855345912</v>
      </c>
      <c r="Z140" s="145" t="n">
        <f aca="false">IFERROR('Price History'!E3+(INDEX('Price History'!E:E,MATCH(9.99E+307,'Price History'!$A:$A))-'Price History'!E3)*(ROW()-3)/(MATCH(9.99E+307,'Returns (Calc)'!$A:$A)-3),"")</f>
        <v>11.3459119496855</v>
      </c>
      <c r="AA140" s="145" t="n">
        <f aca="false">IFERROR('Price History'!F3+(INDEX('Price History'!F:F,MATCH(9.99E+307,'Price History'!$A:$A))-'Price History'!F3)*(ROW()-3)/(MATCH(9.99E+307,'Returns (Calc)'!$A:$A)-3),"")</f>
        <v>10.420251572327</v>
      </c>
      <c r="AB140" s="145" t="n">
        <f aca="false">IFERROR('Price History'!G3+(INDEX('Price History'!G:G,MATCH(9.99E+307,'Price History'!$A:$A))-'Price History'!G3)*(ROW()-3)/(MATCH(9.99E+307,'Returns (Calc)'!$A:$A)-3),"")</f>
        <v>5.72276729559749</v>
      </c>
      <c r="AC140" s="145" t="n">
        <f aca="false">IFERROR('Price History'!H3+(INDEX('Price History'!H:H,MATCH(9.99E+307,'Price History'!$A:$A))-'Price History'!H3)*(ROW()-3)/(MATCH(9.99E+307,'Returns (Calc)'!$A:$A)-3),"")</f>
        <v>13.9181132075472</v>
      </c>
      <c r="AD140" s="145" t="n">
        <f aca="false">IFERROR('Price History'!I3+(INDEX('Price History'!I:I,MATCH(9.99E+307,'Price History'!$A:$A))-'Price History'!I3)*(ROW()-3)/(MATCH(9.99E+307,'Returns (Calc)'!$A:$A)-3),"")</f>
        <v>6.13647798742139</v>
      </c>
      <c r="AE140" s="145" t="n">
        <f aca="false">IFERROR('Price History'!J3+(INDEX('Price History'!J:J,MATCH(9.99E+307,'Price History'!$A:$A))-'Price History'!J3)*(ROW()-3)/(MATCH(9.99E+307,'Returns (Calc)'!$A:$A)-3),"")</f>
        <v>9.56238993710692</v>
      </c>
      <c r="AF140" s="145" t="n">
        <f aca="false">IFERROR('Price History'!K3+(INDEX('Price History'!K:K,MATCH(9.99E+307,'Price History'!$A:$A))-'Price History'!K3)*(ROW()-3)/(MATCH(9.99E+307,'Returns (Calc)'!$A:$A)-3),"")</f>
        <v>6.05622641509434</v>
      </c>
      <c r="AG140" s="145" t="n">
        <f aca="false">IFERROR('Price History'!L3+(INDEX('Price History'!L:L,MATCH(9.99E+307,'Price History'!$A:$A))-'Price History'!L3)*(ROW()-3)/(MATCH(9.99E+307,'Returns (Calc)'!$A:$A)-3),"")</f>
        <v>15.4747169811321</v>
      </c>
      <c r="AH140" s="145" t="n">
        <f aca="false">IFERROR('Price History'!M3+(INDEX('Price History'!M:M,MATCH(9.99E+307,'Price History'!$A:$A))-'Price History'!M3)*(ROW()-3)/(MATCH(9.99E+307,'Returns (Calc)'!$A:$A)-3),"")</f>
        <v>2.1211320754717</v>
      </c>
      <c r="AI140" s="145" t="n">
        <f aca="false">IFERROR('Price History'!N3+(INDEX('Price History'!N:N,MATCH(9.99E+307,'Price History'!$A:$A))-'Price History'!N3)*(ROW()-3)/(MATCH(9.99E+307,'Returns (Calc)'!$A:$A)-3),"")</f>
        <v>3.01635220125786</v>
      </c>
      <c r="AJ140" s="145" t="n">
        <f aca="false">IFERROR('Price History'!O3+(INDEX('Price History'!O:O,MATCH(9.99E+307,'Price History'!$A:$A))-'Price History'!O3)*(ROW()-3)/(MATCH(9.99E+307,'Returns (Calc)'!$A:$A)-3),"")</f>
        <v>7.97396226415094</v>
      </c>
      <c r="AK140" s="145" t="n">
        <f aca="false">IFERROR('Price History'!Q3+(INDEX('Price History'!Q:Q,MATCH(9.99E+307,'Price History'!$A:$A))-'Price History'!Q3)*(ROW()-3)/(MATCH(9.99E+307,'Returns (Calc)'!$A:$A)-3),"")</f>
        <v>32.602893081761</v>
      </c>
      <c r="AL140" s="145" t="n">
        <f aca="false">IFERROR('Price History'!R3+(INDEX('Price History'!R:R,MATCH(9.99E+307,'Price History'!$A:$A))-'Price History'!R3)*(ROW()-3)/(MATCH(9.99E+307,'Returns (Calc)'!$A:$A)-3),"")</f>
        <v>6.61660377358491</v>
      </c>
      <c r="AM140" s="145" t="n">
        <f aca="false">IFERROR('Price History'!S3+(INDEX('Price History'!S:S,MATCH(9.99E+307,'Price History'!$A:$A))-'Price History'!S3)*(ROW()-3)/(MATCH(9.99E+307,'Returns (Calc)'!$A:$A)-3),"")</f>
        <v>8.09987421383648</v>
      </c>
      <c r="AN140" s="145" t="n">
        <f aca="false">IFERROR('Price History'!T3+(INDEX('Price History'!T:T,MATCH(9.99E+307,'Price History'!$A:$A))-'Price History'!T3)*(ROW()-3)/(MATCH(9.99E+307,'Returns (Calc)'!$A:$A)-3),"")</f>
        <v>3.72339622641509</v>
      </c>
      <c r="AO140" s="146" t="n">
        <f aca="false">IFERROR('Price History'!V3+(INDEX('Price History'!V:V,MATCH(9.99E+307,'Price History'!$A:$A))-'Price History'!V3)*(ROW()-3)/(MATCH(9.99E+307,'Returns (Calc)'!$A:$A)-3),"")</f>
        <v>0</v>
      </c>
    </row>
    <row r="141" customFormat="false" ht="15" hidden="false" customHeight="true" outlineLevel="0" collapsed="false">
      <c r="A141" s="142" t="n">
        <f aca="false">IF('Price History'!A142="","",'Price History'!A142)</f>
        <v>46157</v>
      </c>
      <c r="B141" s="143" t="n">
        <f aca="false">IFERROR(IF(OR(NOT(ISNUMBER('Price History'!B142)),NOT(ISNUMBER('Price History'!B141)),'Price History'!B141=0),"",'Price History'!B142/'Price History'!B141-1),"")</f>
        <v>-0.0214985773000316</v>
      </c>
      <c r="C141" s="143" t="n">
        <f aca="false">IFERROR(IF(OR(NOT(ISNUMBER('Price History'!C142)),NOT(ISNUMBER('Price History'!C141)),'Price History'!C141=0),"",'Price History'!C142/'Price History'!C141-1),"")</f>
        <v>0.00141073569866679</v>
      </c>
      <c r="D141" s="143" t="n">
        <f aca="false">IFERROR(IF(OR(NOT(ISNUMBER('Price History'!D142)),NOT(ISNUMBER('Price History'!D141)),'Price History'!D141=0),"",'Price History'!D142/'Price History'!D141-1),"")</f>
        <v>-0.0566618028126494</v>
      </c>
      <c r="E141" s="143" t="n">
        <f aca="false">IFERROR(IF(OR(NOT(ISNUMBER('Price History'!E142)),NOT(ISNUMBER('Price History'!E141)),'Price History'!E141=0),"",'Price History'!E142/'Price History'!E141-1),"")</f>
        <v>-0.011177486348999</v>
      </c>
      <c r="F141" s="143" t="n">
        <f aca="false">IFERROR(IF(OR(NOT(ISNUMBER('Price History'!F142)),NOT(ISNUMBER('Price History'!F141)),'Price History'!F141=0),"",'Price History'!F142/'Price History'!F141-1),"")</f>
        <v>-0.0215948239643728</v>
      </c>
      <c r="G141" s="143" t="n">
        <f aca="false">IFERROR(IF(OR(NOT(ISNUMBER('Price History'!G142)),NOT(ISNUMBER('Price History'!G141)),'Price History'!G141=0),"",'Price History'!G142/'Price History'!G141-1),"")</f>
        <v>0.12566318023344</v>
      </c>
      <c r="H141" s="143" t="n">
        <f aca="false">IFERROR(IF(OR(NOT(ISNUMBER('Price History'!H142)),NOT(ISNUMBER('Price History'!H141)),'Price History'!H141=0),"",'Price History'!H142/'Price History'!H141-1),"")</f>
        <v>-0.00867534200867526</v>
      </c>
      <c r="I141" s="143" t="n">
        <f aca="false">IFERROR(IF(OR(NOT(ISNUMBER('Price History'!I142)),NOT(ISNUMBER('Price History'!I141)),'Price History'!I141=0),"",'Price History'!I142/'Price History'!I141-1),"")</f>
        <v>-0.0346972703383922</v>
      </c>
      <c r="J141" s="143" t="n">
        <f aca="false">IFERROR(IF(OR(NOT(ISNUMBER('Price History'!J142)),NOT(ISNUMBER('Price History'!J141)),'Price History'!J141=0),"",'Price History'!J142/'Price History'!J141-1),"")</f>
        <v>-0.0296638542922192</v>
      </c>
      <c r="K141" s="143" t="n">
        <f aca="false">IFERROR(IF(OR(NOT(ISNUMBER('Price History'!K142)),NOT(ISNUMBER('Price History'!K141)),'Price History'!K141=0),"",'Price History'!K142/'Price History'!K141-1),"")</f>
        <v>0.0470401937497089</v>
      </c>
      <c r="L141" s="143" t="n">
        <f aca="false">IFERROR(IF(OR(NOT(ISNUMBER('Price History'!L142)),NOT(ISNUMBER('Price History'!L141)),'Price History'!L141=0),"",'Price History'!L142/'Price History'!L141-1),"")</f>
        <v>-0.0246617812852311</v>
      </c>
      <c r="M141" s="143" t="n">
        <f aca="false">IFERROR(IF(OR(NOT(ISNUMBER('Price History'!M142)),NOT(ISNUMBER('Price History'!M141)),'Price History'!M141=0),"",'Price History'!M142/'Price History'!M141-1),"")</f>
        <v>-0.0276487663280116</v>
      </c>
      <c r="N141" s="143" t="n">
        <f aca="false">IFERROR(IF(OR(NOT(ISNUMBER('Price History'!N142)),NOT(ISNUMBER('Price History'!N141)),'Price History'!N141=0),"",'Price History'!N142/'Price History'!N141-1),"")</f>
        <v>0.0032133676092545</v>
      </c>
      <c r="O141" s="143" t="n">
        <f aca="false">IFERROR(IF(OR(NOT(ISNUMBER('Price History'!O142)),NOT(ISNUMBER('Price History'!O141)),'Price History'!O141=0),"",'Price History'!O142/'Price History'!O141-1),"")</f>
        <v>-0.0023018973214286</v>
      </c>
      <c r="P141" s="143" t="n">
        <f aca="false">IFERROR(IF(OR(NOT(ISNUMBER('Price History'!P142)),NOT(ISNUMBER('Price History'!P141)),'Price History'!P141=0),"",'Price History'!P142/'Price History'!P141-1),"")</f>
        <v>-0.0177969825692106</v>
      </c>
      <c r="Q141" s="143" t="n">
        <f aca="false">IFERROR(IF(OR(NOT(ISNUMBER('Price History'!Q142)),NOT(ISNUMBER('Price History'!Q141)),'Price History'!Q141=0),"",'Price History'!Q142/'Price History'!Q141-1),"")</f>
        <v>0.0239654846633495</v>
      </c>
      <c r="R141" s="143" t="n">
        <f aca="false">IFERROR(IF(OR(NOT(ISNUMBER('Price History'!R142)),NOT(ISNUMBER('Price History'!R141)),'Price History'!R141=0),"",'Price History'!R142/'Price History'!R141-1),"")</f>
        <v>0.0365173592372727</v>
      </c>
      <c r="S141" s="143" t="n">
        <f aca="false">IFERROR(IF(OR(NOT(ISNUMBER('Price History'!S142)),NOT(ISNUMBER('Price History'!S141)),'Price History'!S141=0),"",'Price History'!S142/'Price History'!S141-1),"")</f>
        <v>0.0749520655394806</v>
      </c>
      <c r="T141" s="143" t="n">
        <f aca="false">IFERROR(IF(OR(NOT(ISNUMBER('Price History'!T142)),NOT(ISNUMBER('Price History'!T141)),'Price History'!T141=0),"",'Price History'!T142/'Price History'!T141-1),"")</f>
        <v>-0.0050200803212852</v>
      </c>
      <c r="U141" s="143" t="str">
        <f aca="false">IFERROR(IF(OR(NOT(ISNUMBER('Price History'!U142)),NOT(ISNUMBER('Price History'!U141)),'Price History'!U141=0),"",'Price History'!U142/'Price History'!U141-1),"")</f>
        <v/>
      </c>
      <c r="V141" s="144" t="str">
        <f aca="false">IFERROR(IF(OR(NOT(ISNUMBER('Price History'!V142)),NOT(ISNUMBER('Price History'!V141)),'Price History'!V141=0),"",'Price History'!V142/'Price History'!V141-1),"")</f>
        <v/>
      </c>
      <c r="W141" s="145" t="str">
        <f aca="false">IFERROR('Price History'!B3+(INDEX('Price History'!B:B,MATCH(9.99E+307,'Price History'!$A:$A))-'Price History'!B3)*(ROW()-3)/(MATCH(9.99E+307,'Returns (Calc)'!$A:$A)-3),"")</f>
        <v/>
      </c>
      <c r="X141" s="145" t="n">
        <f aca="false">IFERROR('Price History'!C3+(INDEX('Price History'!C:C,MATCH(9.99E+307,'Price History'!$A:$A))-'Price History'!C3)*(ROW()-3)/(MATCH(9.99E+307,'Returns (Calc)'!$A:$A)-3),"")</f>
        <v>6.09924528301887</v>
      </c>
      <c r="Y141" s="145" t="n">
        <f aca="false">IFERROR('Price History'!D3+(INDEX('Price History'!D:D,MATCH(9.99E+307,'Price History'!$A:$A))-'Price History'!D3)*(ROW()-3)/(MATCH(9.99E+307,'Returns (Calc)'!$A:$A)-3),"")</f>
        <v>76.8692452830188</v>
      </c>
      <c r="Z141" s="145" t="n">
        <f aca="false">IFERROR('Price History'!E3+(INDEX('Price History'!E:E,MATCH(9.99E+307,'Price History'!$A:$A))-'Price History'!E3)*(ROW()-3)/(MATCH(9.99E+307,'Returns (Calc)'!$A:$A)-3),"")</f>
        <v>10.8301886792453</v>
      </c>
      <c r="AA141" s="145" t="n">
        <f aca="false">IFERROR('Price History'!F3+(INDEX('Price History'!F:F,MATCH(9.99E+307,'Price History'!$A:$A))-'Price History'!F3)*(ROW()-3)/(MATCH(9.99E+307,'Returns (Calc)'!$A:$A)-3),"")</f>
        <v>9.9466037735849</v>
      </c>
      <c r="AB141" s="145" t="n">
        <f aca="false">IFERROR('Price History'!G3+(INDEX('Price History'!G:G,MATCH(9.99E+307,'Price History'!$A:$A))-'Price History'!G3)*(ROW()-3)/(MATCH(9.99E+307,'Returns (Calc)'!$A:$A)-3),"")</f>
        <v>5.46264150943396</v>
      </c>
      <c r="AC141" s="145" t="n">
        <f aca="false">IFERROR('Price History'!H3+(INDEX('Price History'!H:H,MATCH(9.99E+307,'Price History'!$A:$A))-'Price History'!H3)*(ROW()-3)/(MATCH(9.99E+307,'Returns (Calc)'!$A:$A)-3),"")</f>
        <v>13.2854716981132</v>
      </c>
      <c r="AD141" s="145" t="n">
        <f aca="false">IFERROR('Price History'!I3+(INDEX('Price History'!I:I,MATCH(9.99E+307,'Price History'!$A:$A))-'Price History'!I3)*(ROW()-3)/(MATCH(9.99E+307,'Returns (Calc)'!$A:$A)-3),"")</f>
        <v>5.85754716981132</v>
      </c>
      <c r="AE141" s="145" t="n">
        <f aca="false">IFERROR('Price History'!J3+(INDEX('Price History'!J:J,MATCH(9.99E+307,'Price History'!$A:$A))-'Price History'!J3)*(ROW()-3)/(MATCH(9.99E+307,'Returns (Calc)'!$A:$A)-3),"")</f>
        <v>9.1277358490566</v>
      </c>
      <c r="AF141" s="145" t="n">
        <f aca="false">IFERROR('Price History'!K3+(INDEX('Price History'!K:K,MATCH(9.99E+307,'Price History'!$A:$A))-'Price History'!K3)*(ROW()-3)/(MATCH(9.99E+307,'Returns (Calc)'!$A:$A)-3),"")</f>
        <v>5.78094339622642</v>
      </c>
      <c r="AG141" s="145" t="n">
        <f aca="false">IFERROR('Price History'!L3+(INDEX('Price History'!L:L,MATCH(9.99E+307,'Price History'!$A:$A))-'Price History'!L3)*(ROW()-3)/(MATCH(9.99E+307,'Returns (Calc)'!$A:$A)-3),"")</f>
        <v>14.771320754717</v>
      </c>
      <c r="AH141" s="145" t="n">
        <f aca="false">IFERROR('Price History'!M3+(INDEX('Price History'!M:M,MATCH(9.99E+307,'Price History'!$A:$A))-'Price History'!M3)*(ROW()-3)/(MATCH(9.99E+307,'Returns (Calc)'!$A:$A)-3),"")</f>
        <v>2.02471698113208</v>
      </c>
      <c r="AI141" s="145" t="n">
        <f aca="false">IFERROR('Price History'!N3+(INDEX('Price History'!N:N,MATCH(9.99E+307,'Price History'!$A:$A))-'Price History'!N3)*(ROW()-3)/(MATCH(9.99E+307,'Returns (Calc)'!$A:$A)-3),"")</f>
        <v>2.87924528301887</v>
      </c>
      <c r="AJ141" s="145" t="n">
        <f aca="false">IFERROR('Price History'!O3+(INDEX('Price History'!O:O,MATCH(9.99E+307,'Price History'!$A:$A))-'Price History'!O3)*(ROW()-3)/(MATCH(9.99E+307,'Returns (Calc)'!$A:$A)-3),"")</f>
        <v>7.61150943396226</v>
      </c>
      <c r="AK141" s="145" t="n">
        <f aca="false">IFERROR('Price History'!Q3+(INDEX('Price History'!Q:Q,MATCH(9.99E+307,'Price History'!$A:$A))-'Price History'!Q3)*(ROW()-3)/(MATCH(9.99E+307,'Returns (Calc)'!$A:$A)-3),"")</f>
        <v>31.1209433962264</v>
      </c>
      <c r="AL141" s="145" t="n">
        <f aca="false">IFERROR('Price History'!R3+(INDEX('Price History'!R:R,MATCH(9.99E+307,'Price History'!$A:$A))-'Price History'!R3)*(ROW()-3)/(MATCH(9.99E+307,'Returns (Calc)'!$A:$A)-3),"")</f>
        <v>6.31584905660377</v>
      </c>
      <c r="AM141" s="145" t="n">
        <f aca="false">IFERROR('Price History'!S3+(INDEX('Price History'!S:S,MATCH(9.99E+307,'Price History'!$A:$A))-'Price History'!S3)*(ROW()-3)/(MATCH(9.99E+307,'Returns (Calc)'!$A:$A)-3),"")</f>
        <v>7.73169811320755</v>
      </c>
      <c r="AN141" s="145" t="n">
        <f aca="false">IFERROR('Price History'!T3+(INDEX('Price History'!T:T,MATCH(9.99E+307,'Price History'!$A:$A))-'Price History'!T3)*(ROW()-3)/(MATCH(9.99E+307,'Returns (Calc)'!$A:$A)-3),"")</f>
        <v>3.55415094339623</v>
      </c>
      <c r="AO141" s="146" t="n">
        <f aca="false">IFERROR('Price History'!V3+(INDEX('Price History'!V:V,MATCH(9.99E+307,'Price History'!$A:$A))-'Price History'!V3)*(ROW()-3)/(MATCH(9.99E+307,'Returns (Calc)'!$A:$A)-3),"")</f>
        <v>0</v>
      </c>
    </row>
    <row r="142" customFormat="false" ht="15" hidden="false" customHeight="true" outlineLevel="0" collapsed="false">
      <c r="A142" s="142" t="n">
        <f aca="false">IF('Price History'!A143="","",'Price History'!A143)</f>
        <v>46164</v>
      </c>
      <c r="B142" s="143" t="n">
        <f aca="false">IFERROR(IF(OR(NOT(ISNUMBER('Price History'!B143)),NOT(ISNUMBER('Price History'!B142)),'Price History'!B142=0),"",'Price History'!B143/'Price History'!B142-1),"")</f>
        <v>-0.011470113085622</v>
      </c>
      <c r="C142" s="143" t="n">
        <f aca="false">IFERROR(IF(OR(NOT(ISNUMBER('Price History'!C143)),NOT(ISNUMBER('Price History'!C142)),'Price History'!C142=0),"",'Price History'!C143/'Price History'!C142-1),"")</f>
        <v>0.0849475241248152</v>
      </c>
      <c r="D142" s="143" t="n">
        <f aca="false">IFERROR(IF(OR(NOT(ISNUMBER('Price History'!D143)),NOT(ISNUMBER('Price History'!D142)),'Price History'!D142=0),"",'Price History'!D143/'Price History'!D142-1),"")</f>
        <v>0.0872875649222933</v>
      </c>
      <c r="E142" s="143" t="n">
        <f aca="false">IFERROR(IF(OR(NOT(ISNUMBER('Price History'!E143)),NOT(ISNUMBER('Price History'!E142)),'Price History'!E142=0),"",'Price History'!E143/'Price History'!E142-1),"")</f>
        <v>-0.0260058997050147</v>
      </c>
      <c r="F142" s="143" t="n">
        <f aca="false">IFERROR(IF(OR(NOT(ISNUMBER('Price History'!F143)),NOT(ISNUMBER('Price History'!F142)),'Price History'!F142=0),"",'Price History'!F143/'Price History'!F142-1),"")</f>
        <v>0.0237031947784268</v>
      </c>
      <c r="G142" s="143" t="n">
        <f aca="false">IFERROR(IF(OR(NOT(ISNUMBER('Price History'!G143)),NOT(ISNUMBER('Price History'!G142)),'Price History'!G142=0),"",'Price History'!G143/'Price History'!G142-1),"")</f>
        <v>0.116819283598169</v>
      </c>
      <c r="H142" s="143" t="n">
        <f aca="false">IFERROR(IF(OR(NOT(ISNUMBER('Price History'!H143)),NOT(ISNUMBER('Price History'!H142)),'Price History'!H142=0),"",'Price History'!H143/'Price History'!H142-1),"")</f>
        <v>0.0317738135307977</v>
      </c>
      <c r="I142" s="143" t="n">
        <f aca="false">IFERROR(IF(OR(NOT(ISNUMBER('Price History'!I143)),NOT(ISNUMBER('Price History'!I142)),'Price History'!I142=0),"",'Price History'!I143/'Price History'!I142-1),"")</f>
        <v>0.0478888888888889</v>
      </c>
      <c r="J142" s="143" t="n">
        <f aca="false">IFERROR(IF(OR(NOT(ISNUMBER('Price History'!J143)),NOT(ISNUMBER('Price History'!J142)),'Price History'!J142=0),"",'Price History'!J143/'Price History'!J142-1),"")</f>
        <v>0.0363397971154511</v>
      </c>
      <c r="K142" s="143" t="n">
        <f aca="false">IFERROR(IF(OR(NOT(ISNUMBER('Price History'!K143)),NOT(ISNUMBER('Price History'!K142)),'Price History'!K142=0),"",'Price History'!K143/'Price History'!K142-1),"")</f>
        <v>-0.0443485610070726</v>
      </c>
      <c r="L142" s="143" t="n">
        <f aca="false">IFERROR(IF(OR(NOT(ISNUMBER('Price History'!L143)),NOT(ISNUMBER('Price History'!L142)),'Price History'!L142=0),"",'Price History'!L143/'Price History'!L142-1),"")</f>
        <v>0.0382170206617543</v>
      </c>
      <c r="M142" s="143" t="n">
        <f aca="false">IFERROR(IF(OR(NOT(ISNUMBER('Price History'!M143)),NOT(ISNUMBER('Price History'!M142)),'Price History'!M142=0),"",'Price History'!M143/'Price History'!M142-1),"")</f>
        <v>0.0215687737890886</v>
      </c>
      <c r="N142" s="143" t="n">
        <f aca="false">IFERROR(IF(OR(NOT(ISNUMBER('Price History'!N143)),NOT(ISNUMBER('Price History'!N142)),'Price History'!N142=0),"",'Price History'!N143/'Price History'!N142-1),"")</f>
        <v>0.0349135169762973</v>
      </c>
      <c r="O142" s="143" t="n">
        <f aca="false">IFERROR(IF(OR(NOT(ISNUMBER('Price History'!O143)),NOT(ISNUMBER('Price History'!O142)),'Price History'!O142=0),"",'Price History'!O143/'Price History'!O142-1),"")</f>
        <v>0.0101377333426553</v>
      </c>
      <c r="P142" s="143" t="n">
        <f aca="false">IFERROR(IF(OR(NOT(ISNUMBER('Price History'!P143)),NOT(ISNUMBER('Price History'!P142)),'Price History'!P142=0),"",'Price History'!P143/'Price History'!P142-1),"")</f>
        <v>0.000422538712002707</v>
      </c>
      <c r="Q142" s="143" t="n">
        <f aca="false">IFERROR(IF(OR(NOT(ISNUMBER('Price History'!Q143)),NOT(ISNUMBER('Price History'!Q142)),'Price History'!Q142=0),"",'Price History'!Q143/'Price History'!Q142-1),"")</f>
        <v>0.00959557127479616</v>
      </c>
      <c r="R142" s="143" t="n">
        <f aca="false">IFERROR(IF(OR(NOT(ISNUMBER('Price History'!R143)),NOT(ISNUMBER('Price History'!R142)),'Price History'!R142=0),"",'Price History'!R143/'Price History'!R142-1),"")</f>
        <v>0.0180492884415133</v>
      </c>
      <c r="S142" s="143" t="n">
        <f aca="false">IFERROR(IF(OR(NOT(ISNUMBER('Price History'!S143)),NOT(ISNUMBER('Price History'!S142)),'Price History'!S142=0),"",'Price History'!S143/'Price History'!S142-1),"")</f>
        <v>0.0402140424841901</v>
      </c>
      <c r="T142" s="143" t="n">
        <f aca="false">IFERROR(IF(OR(NOT(ISNUMBER('Price History'!T143)),NOT(ISNUMBER('Price History'!T142)),'Price History'!T142=0),"",'Price History'!T143/'Price History'!T142-1),"")</f>
        <v>0.0534813319878908</v>
      </c>
      <c r="U142" s="143" t="str">
        <f aca="false">IFERROR(IF(OR(NOT(ISNUMBER('Price History'!U143)),NOT(ISNUMBER('Price History'!U142)),'Price History'!U142=0),"",'Price History'!U143/'Price History'!U142-1),"")</f>
        <v/>
      </c>
      <c r="V142" s="144" t="n">
        <f aca="false">IFERROR(IF(OR(NOT(ISNUMBER('Price History'!V143)),NOT(ISNUMBER('Price History'!V142)),'Price History'!V142=0),"",'Price History'!V143/'Price History'!V142-1),"")</f>
        <v>0.0415938252465613</v>
      </c>
      <c r="W142" s="145" t="str">
        <f aca="false">IFERROR('Price History'!B3+(INDEX('Price History'!B:B,MATCH(9.99E+307,'Price History'!$A:$A))-'Price History'!B3)*(ROW()-3)/(MATCH(9.99E+307,'Returns (Calc)'!$A:$A)-3),"")</f>
        <v/>
      </c>
      <c r="X142" s="145" t="n">
        <f aca="false">IFERROR('Price History'!C3+(INDEX('Price History'!C:C,MATCH(9.99E+307,'Price History'!$A:$A))-'Price History'!C3)*(ROW()-3)/(MATCH(9.99E+307,'Returns (Calc)'!$A:$A)-3),"")</f>
        <v>5.80880503144655</v>
      </c>
      <c r="Y142" s="145" t="n">
        <f aca="false">IFERROR('Price History'!D3+(INDEX('Price History'!D:D,MATCH(9.99E+307,'Price History'!$A:$A))-'Price History'!D3)*(ROW()-3)/(MATCH(9.99E+307,'Returns (Calc)'!$A:$A)-3),"")</f>
        <v>73.2088050314466</v>
      </c>
      <c r="Z142" s="145" t="n">
        <f aca="false">IFERROR('Price History'!E3+(INDEX('Price History'!E:E,MATCH(9.99E+307,'Price History'!$A:$A))-'Price History'!E3)*(ROW()-3)/(MATCH(9.99E+307,'Returns (Calc)'!$A:$A)-3),"")</f>
        <v>10.314465408805</v>
      </c>
      <c r="AA142" s="145" t="n">
        <f aca="false">IFERROR('Price History'!F3+(INDEX('Price History'!F:F,MATCH(9.99E+307,'Price History'!$A:$A))-'Price History'!F3)*(ROW()-3)/(MATCH(9.99E+307,'Returns (Calc)'!$A:$A)-3),"")</f>
        <v>9.47295597484276</v>
      </c>
      <c r="AB142" s="145" t="n">
        <f aca="false">IFERROR('Price History'!G3+(INDEX('Price History'!G:G,MATCH(9.99E+307,'Price History'!$A:$A))-'Price History'!G3)*(ROW()-3)/(MATCH(9.99E+307,'Returns (Calc)'!$A:$A)-3),"")</f>
        <v>5.20251572327044</v>
      </c>
      <c r="AC142" s="145" t="n">
        <f aca="false">IFERROR('Price History'!H3+(INDEX('Price History'!H:H,MATCH(9.99E+307,'Price History'!$A:$A))-'Price History'!H3)*(ROW()-3)/(MATCH(9.99E+307,'Returns (Calc)'!$A:$A)-3),"")</f>
        <v>12.6528301886792</v>
      </c>
      <c r="AD142" s="145" t="n">
        <f aca="false">IFERROR('Price History'!I3+(INDEX('Price History'!I:I,MATCH(9.99E+307,'Price History'!$A:$A))-'Price History'!I3)*(ROW()-3)/(MATCH(9.99E+307,'Returns (Calc)'!$A:$A)-3),"")</f>
        <v>5.57861635220126</v>
      </c>
      <c r="AE142" s="145" t="n">
        <f aca="false">IFERROR('Price History'!J3+(INDEX('Price History'!J:J,MATCH(9.99E+307,'Price History'!$A:$A))-'Price History'!J3)*(ROW()-3)/(MATCH(9.99E+307,'Returns (Calc)'!$A:$A)-3),"")</f>
        <v>8.6930817610063</v>
      </c>
      <c r="AF142" s="145" t="n">
        <f aca="false">IFERROR('Price History'!K3+(INDEX('Price History'!K:K,MATCH(9.99E+307,'Price History'!$A:$A))-'Price History'!K3)*(ROW()-3)/(MATCH(9.99E+307,'Returns (Calc)'!$A:$A)-3),"")</f>
        <v>5.50566037735849</v>
      </c>
      <c r="AG142" s="145" t="n">
        <f aca="false">IFERROR('Price History'!L3+(INDEX('Price History'!L:L,MATCH(9.99E+307,'Price History'!$A:$A))-'Price History'!L3)*(ROW()-3)/(MATCH(9.99E+307,'Returns (Calc)'!$A:$A)-3),"")</f>
        <v>14.0679245283019</v>
      </c>
      <c r="AH142" s="145" t="n">
        <f aca="false">IFERROR('Price History'!M3+(INDEX('Price History'!M:M,MATCH(9.99E+307,'Price History'!$A:$A))-'Price History'!M3)*(ROW()-3)/(MATCH(9.99E+307,'Returns (Calc)'!$A:$A)-3),"")</f>
        <v>1.92830188679245</v>
      </c>
      <c r="AI142" s="145" t="n">
        <f aca="false">IFERROR('Price History'!N3+(INDEX('Price History'!N:N,MATCH(9.99E+307,'Price History'!$A:$A))-'Price History'!N3)*(ROW()-3)/(MATCH(9.99E+307,'Returns (Calc)'!$A:$A)-3),"")</f>
        <v>2.74213836477987</v>
      </c>
      <c r="AJ142" s="145" t="n">
        <f aca="false">IFERROR('Price History'!O3+(INDEX('Price History'!O:O,MATCH(9.99E+307,'Price History'!$A:$A))-'Price History'!O3)*(ROW()-3)/(MATCH(9.99E+307,'Returns (Calc)'!$A:$A)-3),"")</f>
        <v>7.24905660377358</v>
      </c>
      <c r="AK142" s="145" t="n">
        <f aca="false">IFERROR('Price History'!Q3+(INDEX('Price History'!Q:Q,MATCH(9.99E+307,'Price History'!$A:$A))-'Price History'!Q3)*(ROW()-3)/(MATCH(9.99E+307,'Returns (Calc)'!$A:$A)-3),"")</f>
        <v>29.6389937106918</v>
      </c>
      <c r="AL142" s="145" t="n">
        <f aca="false">IFERROR('Price History'!R3+(INDEX('Price History'!R:R,MATCH(9.99E+307,'Price History'!$A:$A))-'Price History'!R3)*(ROW()-3)/(MATCH(9.99E+307,'Returns (Calc)'!$A:$A)-3),"")</f>
        <v>6.01509433962264</v>
      </c>
      <c r="AM142" s="145" t="n">
        <f aca="false">IFERROR('Price History'!S3+(INDEX('Price History'!S:S,MATCH(9.99E+307,'Price History'!$A:$A))-'Price History'!S3)*(ROW()-3)/(MATCH(9.99E+307,'Returns (Calc)'!$A:$A)-3),"")</f>
        <v>7.36352201257862</v>
      </c>
      <c r="AN142" s="145" t="n">
        <f aca="false">IFERROR('Price History'!T3+(INDEX('Price History'!T:T,MATCH(9.99E+307,'Price History'!$A:$A))-'Price History'!T3)*(ROW()-3)/(MATCH(9.99E+307,'Returns (Calc)'!$A:$A)-3),"")</f>
        <v>3.38490566037736</v>
      </c>
      <c r="AO142" s="146" t="n">
        <f aca="false">IFERROR('Price History'!V3+(INDEX('Price History'!V:V,MATCH(9.99E+307,'Price History'!$A:$A))-'Price History'!V3)*(ROW()-3)/(MATCH(9.99E+307,'Returns (Calc)'!$A:$A)-3),"")</f>
        <v>0</v>
      </c>
    </row>
    <row r="143" customFormat="false" ht="15" hidden="false" customHeight="true" outlineLevel="0" collapsed="false">
      <c r="A143" s="142" t="n">
        <f aca="false">IF('Price History'!A144="","",'Price History'!A144)</f>
        <v>46171</v>
      </c>
      <c r="B143" s="143" t="n">
        <f aca="false">IFERROR(IF(OR(NOT(ISNUMBER('Price History'!B144)),NOT(ISNUMBER('Price History'!B143)),'Price History'!B143=0),"",'Price History'!B144/'Price History'!B143-1),"")</f>
        <v>0.0590374244157541</v>
      </c>
      <c r="C143" s="143" t="n">
        <f aca="false">IFERROR(IF(OR(NOT(ISNUMBER('Price History'!C144)),NOT(ISNUMBER('Price History'!C143)),'Price History'!C143=0),"",'Price History'!C144/'Price History'!C143-1),"")</f>
        <v>0.0353177952346946</v>
      </c>
      <c r="D143" s="143" t="n">
        <f aca="false">IFERROR(IF(OR(NOT(ISNUMBER('Price History'!D144)),NOT(ISNUMBER('Price History'!D143)),'Price History'!D143=0),"",'Price History'!D144/'Price History'!D143-1),"")</f>
        <v>-0.0123314467221407</v>
      </c>
      <c r="E143" s="143" t="n">
        <f aca="false">IFERROR(IF(OR(NOT(ISNUMBER('Price History'!E144)),NOT(ISNUMBER('Price History'!E143)),'Price History'!E143=0),"",'Price History'!E144/'Price History'!E143-1),"")</f>
        <v>0.0787924308870205</v>
      </c>
      <c r="F143" s="143" t="n">
        <f aca="false">IFERROR(IF(OR(NOT(ISNUMBER('Price History'!F144)),NOT(ISNUMBER('Price History'!F143)),'Price History'!F143=0),"",'Price History'!F144/'Price History'!F143-1),"")</f>
        <v>0.000167785234899354</v>
      </c>
      <c r="G143" s="143" t="n">
        <f aca="false">IFERROR(IF(OR(NOT(ISNUMBER('Price History'!G144)),NOT(ISNUMBER('Price History'!G143)),'Price History'!G143=0),"",'Price History'!G144/'Price History'!G143-1),"")</f>
        <v>0.10176644360041</v>
      </c>
      <c r="H143" s="143" t="n">
        <f aca="false">IFERROR(IF(OR(NOT(ISNUMBER('Price History'!H144)),NOT(ISNUMBER('Price History'!H143)),'Price History'!H143=0),"",'Price History'!H144/'Price History'!H143-1),"")</f>
        <v>-0.00508905852417307</v>
      </c>
      <c r="I143" s="143" t="n">
        <f aca="false">IFERROR(IF(OR(NOT(ISNUMBER('Price History'!I144)),NOT(ISNUMBER('Price History'!I143)),'Price History'!I143=0),"",'Price History'!I144/'Price History'!I143-1),"")</f>
        <v>0.0176545435266673</v>
      </c>
      <c r="J143" s="143" t="n">
        <f aca="false">IFERROR(IF(OR(NOT(ISNUMBER('Price History'!J144)),NOT(ISNUMBER('Price History'!J143)),'Price History'!J143=0),"",'Price History'!J144/'Price History'!J143-1),"")</f>
        <v>0.292949605795866</v>
      </c>
      <c r="K143" s="143" t="n">
        <f aca="false">IFERROR(IF(OR(NOT(ISNUMBER('Price History'!K144)),NOT(ISNUMBER('Price History'!K143)),'Price History'!K143=0),"",'Price History'!K144/'Price History'!K143-1),"")</f>
        <v>-0.019456339601564</v>
      </c>
      <c r="L143" s="143" t="n">
        <f aca="false">IFERROR(IF(OR(NOT(ISNUMBER('Price History'!L144)),NOT(ISNUMBER('Price History'!L143)),'Price History'!L143=0),"",'Price History'!L144/'Price History'!L143-1),"")</f>
        <v>-0.0167002992136943</v>
      </c>
      <c r="M143" s="143" t="n">
        <f aca="false">IFERROR(IF(OR(NOT(ISNUMBER('Price History'!M144)),NOT(ISNUMBER('Price History'!M143)),'Price History'!M143=0),"",'Price History'!M144/'Price History'!M143-1),"")</f>
        <v>0.143629456458211</v>
      </c>
      <c r="N143" s="143" t="n">
        <f aca="false">IFERROR(IF(OR(NOT(ISNUMBER('Price History'!N144)),NOT(ISNUMBER('Price History'!N143)),'Price History'!N143=0),"",'Price History'!N144/'Price History'!N143-1),"")</f>
        <v>-0.0099040544722997</v>
      </c>
      <c r="O143" s="143" t="n">
        <f aca="false">IFERROR(IF(OR(NOT(ISNUMBER('Price History'!O144)),NOT(ISNUMBER('Price History'!O143)),'Price History'!O143=0),"",'Price History'!O144/'Price History'!O143-1),"")</f>
        <v>0.0389673311184942</v>
      </c>
      <c r="P143" s="143" t="n">
        <f aca="false">IFERROR(IF(OR(NOT(ISNUMBER('Price History'!P144)),NOT(ISNUMBER('Price History'!P143)),'Price History'!P143=0),"",'Price History'!P144/'Price History'!P143-1),"")</f>
        <v>0.0344347826086957</v>
      </c>
      <c r="Q143" s="143" t="n">
        <f aca="false">IFERROR(IF(OR(NOT(ISNUMBER('Price History'!Q144)),NOT(ISNUMBER('Price History'!Q143)),'Price History'!Q143=0),"",'Price History'!Q144/'Price History'!Q143-1),"")</f>
        <v>-0.00767660767051503</v>
      </c>
      <c r="R143" s="143" t="n">
        <f aca="false">IFERROR(IF(OR(NOT(ISNUMBER('Price History'!R144)),NOT(ISNUMBER('Price History'!R143)),'Price History'!R143=0),"",'Price History'!R144/'Price History'!R143-1),"")</f>
        <v>0.00562563927719073</v>
      </c>
      <c r="S143" s="143" t="n">
        <f aca="false">IFERROR(IF(OR(NOT(ISNUMBER('Price History'!S144)),NOT(ISNUMBER('Price History'!S143)),'Price History'!S143=0),"",'Price History'!S144/'Price History'!S143-1),"")</f>
        <v>0.0250974279033516</v>
      </c>
      <c r="T143" s="143" t="n">
        <f aca="false">IFERROR(IF(OR(NOT(ISNUMBER('Price History'!T144)),NOT(ISNUMBER('Price History'!T143)),'Price History'!T143=0),"",'Price History'!T144/'Price History'!T143-1),"")</f>
        <v>-0.00574712643678144</v>
      </c>
      <c r="U143" s="143" t="str">
        <f aca="false">IFERROR(IF(OR(NOT(ISNUMBER('Price History'!U144)),NOT(ISNUMBER('Price History'!U143)),'Price History'!U143=0),"",'Price History'!U144/'Price History'!U143-1),"")</f>
        <v/>
      </c>
      <c r="V143" s="144" t="n">
        <f aca="false">IFERROR(IF(OR(NOT(ISNUMBER('Price History'!V144)),NOT(ISNUMBER('Price History'!V143)),'Price History'!V143=0),"",'Price History'!V144/'Price History'!V143-1),"")</f>
        <v>-0.0239723858382418</v>
      </c>
      <c r="W143" s="145" t="str">
        <f aca="false">IFERROR('Price History'!B3+(INDEX('Price History'!B:B,MATCH(9.99E+307,'Price History'!$A:$A))-'Price History'!B3)*(ROW()-3)/(MATCH(9.99E+307,'Returns (Calc)'!$A:$A)-3),"")</f>
        <v/>
      </c>
      <c r="X143" s="145" t="n">
        <f aca="false">IFERROR('Price History'!C3+(INDEX('Price History'!C:C,MATCH(9.99E+307,'Price History'!$A:$A))-'Price History'!C3)*(ROW()-3)/(MATCH(9.99E+307,'Returns (Calc)'!$A:$A)-3),"")</f>
        <v>5.51836477987421</v>
      </c>
      <c r="Y143" s="145" t="n">
        <f aca="false">IFERROR('Price History'!D3+(INDEX('Price History'!D:D,MATCH(9.99E+307,'Price History'!$A:$A))-'Price History'!D3)*(ROW()-3)/(MATCH(9.99E+307,'Returns (Calc)'!$A:$A)-3),"")</f>
        <v>69.5483647798742</v>
      </c>
      <c r="Z143" s="145" t="n">
        <f aca="false">IFERROR('Price History'!E3+(INDEX('Price History'!E:E,MATCH(9.99E+307,'Price History'!$A:$A))-'Price History'!E3)*(ROW()-3)/(MATCH(9.99E+307,'Returns (Calc)'!$A:$A)-3),"")</f>
        <v>9.79874213836477</v>
      </c>
      <c r="AA143" s="145" t="n">
        <f aca="false">IFERROR('Price History'!F3+(INDEX('Price History'!F:F,MATCH(9.99E+307,'Price History'!$A:$A))-'Price History'!F3)*(ROW()-3)/(MATCH(9.99E+307,'Returns (Calc)'!$A:$A)-3),"")</f>
        <v>8.99930817610063</v>
      </c>
      <c r="AB143" s="145" t="n">
        <f aca="false">IFERROR('Price History'!G3+(INDEX('Price History'!G:G,MATCH(9.99E+307,'Price History'!$A:$A))-'Price History'!G3)*(ROW()-3)/(MATCH(9.99E+307,'Returns (Calc)'!$A:$A)-3),"")</f>
        <v>4.94238993710692</v>
      </c>
      <c r="AC143" s="145" t="n">
        <f aca="false">IFERROR('Price History'!H3+(INDEX('Price History'!H:H,MATCH(9.99E+307,'Price History'!$A:$A))-'Price History'!H3)*(ROW()-3)/(MATCH(9.99E+307,'Returns (Calc)'!$A:$A)-3),"")</f>
        <v>12.0201886792453</v>
      </c>
      <c r="AD143" s="145" t="n">
        <f aca="false">IFERROR('Price History'!I3+(INDEX('Price History'!I:I,MATCH(9.99E+307,'Price History'!$A:$A))-'Price History'!I3)*(ROW()-3)/(MATCH(9.99E+307,'Returns (Calc)'!$A:$A)-3),"")</f>
        <v>5.2996855345912</v>
      </c>
      <c r="AE143" s="145" t="n">
        <f aca="false">IFERROR('Price History'!J3+(INDEX('Price History'!J:J,MATCH(9.99E+307,'Price History'!$A:$A))-'Price History'!J3)*(ROW()-3)/(MATCH(9.99E+307,'Returns (Calc)'!$A:$A)-3),"")</f>
        <v>8.25842767295598</v>
      </c>
      <c r="AF143" s="145" t="n">
        <f aca="false">IFERROR('Price History'!K3+(INDEX('Price History'!K:K,MATCH(9.99E+307,'Price History'!$A:$A))-'Price History'!K3)*(ROW()-3)/(MATCH(9.99E+307,'Returns (Calc)'!$A:$A)-3),"")</f>
        <v>5.23037735849057</v>
      </c>
      <c r="AG143" s="145" t="n">
        <f aca="false">IFERROR('Price History'!L3+(INDEX('Price History'!L:L,MATCH(9.99E+307,'Price History'!$A:$A))-'Price History'!L3)*(ROW()-3)/(MATCH(9.99E+307,'Returns (Calc)'!$A:$A)-3),"")</f>
        <v>13.3645283018868</v>
      </c>
      <c r="AH143" s="145" t="n">
        <f aca="false">IFERROR('Price History'!M3+(INDEX('Price History'!M:M,MATCH(9.99E+307,'Price History'!$A:$A))-'Price History'!M3)*(ROW()-3)/(MATCH(9.99E+307,'Returns (Calc)'!$A:$A)-3),"")</f>
        <v>1.83188679245283</v>
      </c>
      <c r="AI143" s="145" t="n">
        <f aca="false">IFERROR('Price History'!N3+(INDEX('Price History'!N:N,MATCH(9.99E+307,'Price History'!$A:$A))-'Price History'!N3)*(ROW()-3)/(MATCH(9.99E+307,'Returns (Calc)'!$A:$A)-3),"")</f>
        <v>2.60503144654088</v>
      </c>
      <c r="AJ143" s="145" t="n">
        <f aca="false">IFERROR('Price History'!O3+(INDEX('Price History'!O:O,MATCH(9.99E+307,'Price History'!$A:$A))-'Price History'!O3)*(ROW()-3)/(MATCH(9.99E+307,'Returns (Calc)'!$A:$A)-3),"")</f>
        <v>6.8866037735849</v>
      </c>
      <c r="AK143" s="145" t="n">
        <f aca="false">IFERROR('Price History'!Q3+(INDEX('Price History'!Q:Q,MATCH(9.99E+307,'Price History'!$A:$A))-'Price History'!Q3)*(ROW()-3)/(MATCH(9.99E+307,'Returns (Calc)'!$A:$A)-3),"")</f>
        <v>28.1570440251572</v>
      </c>
      <c r="AL143" s="145" t="n">
        <f aca="false">IFERROR('Price History'!R3+(INDEX('Price History'!R:R,MATCH(9.99E+307,'Price History'!$A:$A))-'Price History'!R3)*(ROW()-3)/(MATCH(9.99E+307,'Returns (Calc)'!$A:$A)-3),"")</f>
        <v>5.71433962264151</v>
      </c>
      <c r="AM143" s="145" t="n">
        <f aca="false">IFERROR('Price History'!S3+(INDEX('Price History'!S:S,MATCH(9.99E+307,'Price History'!$A:$A))-'Price History'!S3)*(ROW()-3)/(MATCH(9.99E+307,'Returns (Calc)'!$A:$A)-3),"")</f>
        <v>6.99534591194968</v>
      </c>
      <c r="AN143" s="145" t="n">
        <f aca="false">IFERROR('Price History'!T3+(INDEX('Price History'!T:T,MATCH(9.99E+307,'Price History'!$A:$A))-'Price History'!T3)*(ROW()-3)/(MATCH(9.99E+307,'Returns (Calc)'!$A:$A)-3),"")</f>
        <v>3.21566037735849</v>
      </c>
      <c r="AO143" s="146" t="n">
        <f aca="false">IFERROR('Price History'!V3+(INDEX('Price History'!V:V,MATCH(9.99E+307,'Price History'!$A:$A))-'Price History'!V3)*(ROW()-3)/(MATCH(9.99E+307,'Returns (Calc)'!$A:$A)-3),"")</f>
        <v>0</v>
      </c>
    </row>
    <row r="144" customFormat="false" ht="15" hidden="false" customHeight="true" outlineLevel="0" collapsed="false">
      <c r="A144" s="142" t="n">
        <f aca="false">IF('Price History'!A145="","",'Price History'!A145)</f>
        <v>46178</v>
      </c>
      <c r="B144" s="143" t="n">
        <f aca="false">IFERROR(IF(OR(NOT(ISNUMBER('Price History'!B145)),NOT(ISNUMBER('Price History'!B144)),'Price History'!B144=0),"",'Price History'!B145/'Price History'!B144-1),"")</f>
        <v>-0.0299756953821225</v>
      </c>
      <c r="C144" s="143" t="n">
        <f aca="false">IFERROR(IF(OR(NOT(ISNUMBER('Price History'!C145)),NOT(ISNUMBER('Price History'!C144)),'Price History'!C144=0),"",'Price History'!C145/'Price History'!C144-1),"")</f>
        <v>-0.032608014046529</v>
      </c>
      <c r="D144" s="143" t="n">
        <f aca="false">IFERROR(IF(OR(NOT(ISNUMBER('Price History'!D145)),NOT(ISNUMBER('Price History'!D144)),'Price History'!D144=0),"",'Price History'!D145/'Price History'!D144-1),"")</f>
        <v>0.0179675664936547</v>
      </c>
      <c r="E144" s="143" t="n">
        <f aca="false">IFERROR(IF(OR(NOT(ISNUMBER('Price History'!E145)),NOT(ISNUMBER('Price History'!E144)),'Price History'!E144=0),"",'Price History'!E145/'Price History'!E144-1),"")</f>
        <v>-0.136619876473891</v>
      </c>
      <c r="F144" s="143" t="n">
        <f aca="false">IFERROR(IF(OR(NOT(ISNUMBER('Price History'!F145)),NOT(ISNUMBER('Price History'!F144)),'Price History'!F144=0),"",'Price History'!F145/'Price History'!F144-1),"")</f>
        <v>-0.00293574903539673</v>
      </c>
      <c r="G144" s="143" t="n">
        <f aca="false">IFERROR(IF(OR(NOT(ISNUMBER('Price History'!G145)),NOT(ISNUMBER('Price History'!G144)),'Price History'!G144=0),"",'Price History'!G145/'Price History'!G144-1),"")</f>
        <v>-0.0820246238030097</v>
      </c>
      <c r="H144" s="143" t="n">
        <f aca="false">IFERROR(IF(OR(NOT(ISNUMBER('Price History'!H145)),NOT(ISNUMBER('Price History'!H144)),'Price History'!H144=0),"",'Price History'!H145/'Price History'!H144-1),"")</f>
        <v>0.0028198570398057</v>
      </c>
      <c r="I144" s="143" t="n">
        <f aca="false">IFERROR(IF(OR(NOT(ISNUMBER('Price History'!I145)),NOT(ISNUMBER('Price History'!I144)),'Price History'!I144=0),"",'Price History'!I145/'Price History'!I144-1),"")</f>
        <v>0.00390726751758264</v>
      </c>
      <c r="J144" s="143" t="n">
        <f aca="false">IFERROR(IF(OR(NOT(ISNUMBER('Price History'!J145)),NOT(ISNUMBER('Price History'!J144)),'Price History'!J144=0),"",'Price History'!J145/'Price History'!J144-1),"")</f>
        <v>-0.110181799454087</v>
      </c>
      <c r="K144" s="143" t="n">
        <f aca="false">IFERROR(IF(OR(NOT(ISNUMBER('Price History'!K145)),NOT(ISNUMBER('Price History'!K144)),'Price History'!K144=0),"",'Price History'!K145/'Price History'!K144-1),"")</f>
        <v>-0.0274850469951581</v>
      </c>
      <c r="L144" s="143" t="n">
        <f aca="false">IFERROR(IF(OR(NOT(ISNUMBER('Price History'!L145)),NOT(ISNUMBER('Price History'!L144)),'Price History'!L144=0),"",'Price History'!L145/'Price History'!L144-1),"")</f>
        <v>0.0075012384120019</v>
      </c>
      <c r="M144" s="143" t="n">
        <f aca="false">IFERROR(IF(OR(NOT(ISNUMBER('Price History'!M145)),NOT(ISNUMBER('Price History'!M144)),'Price History'!M144=0),"",'Price History'!M145/'Price History'!M144-1),"")</f>
        <v>-0.134214897150888</v>
      </c>
      <c r="N144" s="143" t="n">
        <f aca="false">IFERROR(IF(OR(NOT(ISNUMBER('Price History'!N145)),NOT(ISNUMBER('Price History'!N144)),'Price History'!N144=0),"",'Price History'!N145/'Price History'!N144-1),"")</f>
        <v>-0.00625195373554233</v>
      </c>
      <c r="O144" s="143" t="n">
        <f aca="false">IFERROR(IF(OR(NOT(ISNUMBER('Price History'!O145)),NOT(ISNUMBER('Price History'!O144)),'Price History'!O144=0),"",'Price History'!O145/'Price History'!O144-1),"")</f>
        <v>-0.041902604756512</v>
      </c>
      <c r="P144" s="143" t="n">
        <f aca="false">IFERROR(IF(OR(NOT(ISNUMBER('Price History'!P145)),NOT(ISNUMBER('Price History'!P144)),'Price History'!P144=0),"",'Price History'!P145/'Price History'!P144-1),"")</f>
        <v>-0.00785378038236151</v>
      </c>
      <c r="Q144" s="143" t="n">
        <f aca="false">IFERROR(IF(OR(NOT(ISNUMBER('Price History'!Q145)),NOT(ISNUMBER('Price History'!Q144)),'Price History'!Q144=0),"",'Price History'!Q145/'Price History'!Q144-1),"")</f>
        <v>-0.00853415195702212</v>
      </c>
      <c r="R144" s="143" t="n">
        <f aca="false">IFERROR(IF(OR(NOT(ISNUMBER('Price History'!R145)),NOT(ISNUMBER('Price History'!R144)),'Price History'!R144=0),"",'Price History'!R145/'Price History'!R144-1),"")</f>
        <v>-0.00220376334972039</v>
      </c>
      <c r="S144" s="143" t="n">
        <f aca="false">IFERROR(IF(OR(NOT(ISNUMBER('Price History'!S145)),NOT(ISNUMBER('Price History'!S144)),'Price History'!S144=0),"",'Price History'!S145/'Price History'!S144-1),"")</f>
        <v>0.0220498783454985</v>
      </c>
      <c r="T144" s="143" t="n">
        <f aca="false">IFERROR(IF(OR(NOT(ISNUMBER('Price History'!T145)),NOT(ISNUMBER('Price History'!T144)),'Price History'!T144=0),"",'Price History'!T145/'Price History'!T144-1),"")</f>
        <v>0.0257707129094413</v>
      </c>
      <c r="U144" s="143" t="str">
        <f aca="false">IFERROR(IF(OR(NOT(ISNUMBER('Price History'!U145)),NOT(ISNUMBER('Price History'!U144)),'Price History'!U144=0),"",'Price History'!U145/'Price History'!U144-1),"")</f>
        <v/>
      </c>
      <c r="V144" s="144" t="n">
        <f aca="false">IFERROR(IF(OR(NOT(ISNUMBER('Price History'!V145)),NOT(ISNUMBER('Price History'!V144)),'Price History'!V144=0),"",'Price History'!V145/'Price History'!V144-1),"")</f>
        <v>0.0601213458356316</v>
      </c>
      <c r="W144" s="145" t="str">
        <f aca="false">IFERROR('Price History'!B3+(INDEX('Price History'!B:B,MATCH(9.99E+307,'Price History'!$A:$A))-'Price History'!B3)*(ROW()-3)/(MATCH(9.99E+307,'Returns (Calc)'!$A:$A)-3),"")</f>
        <v/>
      </c>
      <c r="X144" s="145" t="n">
        <f aca="false">IFERROR('Price History'!C3+(INDEX('Price History'!C:C,MATCH(9.99E+307,'Price History'!$A:$A))-'Price History'!C3)*(ROW()-3)/(MATCH(9.99E+307,'Returns (Calc)'!$A:$A)-3),"")</f>
        <v>5.22792452830188</v>
      </c>
      <c r="Y144" s="145" t="n">
        <f aca="false">IFERROR('Price History'!D3+(INDEX('Price History'!D:D,MATCH(9.99E+307,'Price History'!$A:$A))-'Price History'!D3)*(ROW()-3)/(MATCH(9.99E+307,'Returns (Calc)'!$A:$A)-3),"")</f>
        <v>65.8879245283018</v>
      </c>
      <c r="Z144" s="145" t="n">
        <f aca="false">IFERROR('Price History'!E3+(INDEX('Price History'!E:E,MATCH(9.99E+307,'Price History'!$A:$A))-'Price History'!E3)*(ROW()-3)/(MATCH(9.99E+307,'Returns (Calc)'!$A:$A)-3),"")</f>
        <v>9.28301886792453</v>
      </c>
      <c r="AA144" s="145" t="n">
        <f aca="false">IFERROR('Price History'!F3+(INDEX('Price History'!F:F,MATCH(9.99E+307,'Price History'!$A:$A))-'Price History'!F3)*(ROW()-3)/(MATCH(9.99E+307,'Returns (Calc)'!$A:$A)-3),"")</f>
        <v>8.52566037735849</v>
      </c>
      <c r="AB144" s="145" t="n">
        <f aca="false">IFERROR('Price History'!G3+(INDEX('Price History'!G:G,MATCH(9.99E+307,'Price History'!$A:$A))-'Price History'!G3)*(ROW()-3)/(MATCH(9.99E+307,'Returns (Calc)'!$A:$A)-3),"")</f>
        <v>4.6822641509434</v>
      </c>
      <c r="AC144" s="145" t="n">
        <f aca="false">IFERROR('Price History'!H3+(INDEX('Price History'!H:H,MATCH(9.99E+307,'Price History'!$A:$A))-'Price History'!H3)*(ROW()-3)/(MATCH(9.99E+307,'Returns (Calc)'!$A:$A)-3),"")</f>
        <v>11.3875471698113</v>
      </c>
      <c r="AD144" s="145" t="n">
        <f aca="false">IFERROR('Price History'!I3+(INDEX('Price History'!I:I,MATCH(9.99E+307,'Price History'!$A:$A))-'Price History'!I3)*(ROW()-3)/(MATCH(9.99E+307,'Returns (Calc)'!$A:$A)-3),"")</f>
        <v>5.02075471698113</v>
      </c>
      <c r="AE144" s="145" t="n">
        <f aca="false">IFERROR('Price History'!J3+(INDEX('Price History'!J:J,MATCH(9.99E+307,'Price History'!$A:$A))-'Price History'!J3)*(ROW()-3)/(MATCH(9.99E+307,'Returns (Calc)'!$A:$A)-3),"")</f>
        <v>7.82377358490566</v>
      </c>
      <c r="AF144" s="145" t="n">
        <f aca="false">IFERROR('Price History'!K3+(INDEX('Price History'!K:K,MATCH(9.99E+307,'Price History'!$A:$A))-'Price History'!K3)*(ROW()-3)/(MATCH(9.99E+307,'Returns (Calc)'!$A:$A)-3),"")</f>
        <v>4.95509433962264</v>
      </c>
      <c r="AG144" s="145" t="n">
        <f aca="false">IFERROR('Price History'!L3+(INDEX('Price History'!L:L,MATCH(9.99E+307,'Price History'!$A:$A))-'Price History'!L3)*(ROW()-3)/(MATCH(9.99E+307,'Returns (Calc)'!$A:$A)-3),"")</f>
        <v>12.6611320754717</v>
      </c>
      <c r="AH144" s="145" t="n">
        <f aca="false">IFERROR('Price History'!M3+(INDEX('Price History'!M:M,MATCH(9.99E+307,'Price History'!$A:$A))-'Price History'!M3)*(ROW()-3)/(MATCH(9.99E+307,'Returns (Calc)'!$A:$A)-3),"")</f>
        <v>1.73547169811321</v>
      </c>
      <c r="AI144" s="145" t="n">
        <f aca="false">IFERROR('Price History'!N3+(INDEX('Price History'!N:N,MATCH(9.99E+307,'Price History'!$A:$A))-'Price History'!N3)*(ROW()-3)/(MATCH(9.99E+307,'Returns (Calc)'!$A:$A)-3),"")</f>
        <v>2.46792452830189</v>
      </c>
      <c r="AJ144" s="145" t="n">
        <f aca="false">IFERROR('Price History'!O3+(INDEX('Price History'!O:O,MATCH(9.99E+307,'Price History'!$A:$A))-'Price History'!O3)*(ROW()-3)/(MATCH(9.99E+307,'Returns (Calc)'!$A:$A)-3),"")</f>
        <v>6.52415094339623</v>
      </c>
      <c r="AK144" s="145" t="n">
        <f aca="false">IFERROR('Price History'!Q3+(INDEX('Price History'!Q:Q,MATCH(9.99E+307,'Price History'!$A:$A))-'Price History'!Q3)*(ROW()-3)/(MATCH(9.99E+307,'Returns (Calc)'!$A:$A)-3),"")</f>
        <v>26.6750943396226</v>
      </c>
      <c r="AL144" s="145" t="n">
        <f aca="false">IFERROR('Price History'!R3+(INDEX('Price History'!R:R,MATCH(9.99E+307,'Price History'!$A:$A))-'Price History'!R3)*(ROW()-3)/(MATCH(9.99E+307,'Returns (Calc)'!$A:$A)-3),"")</f>
        <v>5.41358490566038</v>
      </c>
      <c r="AM144" s="145" t="n">
        <f aca="false">IFERROR('Price History'!S3+(INDEX('Price History'!S:S,MATCH(9.99E+307,'Price History'!$A:$A))-'Price History'!S3)*(ROW()-3)/(MATCH(9.99E+307,'Returns (Calc)'!$A:$A)-3),"")</f>
        <v>6.62716981132076</v>
      </c>
      <c r="AN144" s="145" t="n">
        <f aca="false">IFERROR('Price History'!T3+(INDEX('Price History'!T:T,MATCH(9.99E+307,'Price History'!$A:$A))-'Price History'!T3)*(ROW()-3)/(MATCH(9.99E+307,'Returns (Calc)'!$A:$A)-3),"")</f>
        <v>3.04641509433962</v>
      </c>
      <c r="AO144" s="146" t="n">
        <f aca="false">IFERROR('Price History'!V3+(INDEX('Price History'!V:V,MATCH(9.99E+307,'Price History'!$A:$A))-'Price History'!V3)*(ROW()-3)/(MATCH(9.99E+307,'Returns (Calc)'!$A:$A)-3),"")</f>
        <v>0</v>
      </c>
    </row>
    <row r="145" customFormat="false" ht="15" hidden="false" customHeight="true" outlineLevel="0" collapsed="false">
      <c r="A145" s="142" t="n">
        <f aca="false">IF('Price History'!A146="","",'Price History'!A146)</f>
        <v>46185</v>
      </c>
      <c r="B145" s="143" t="n">
        <f aca="false">IFERROR(IF(OR(NOT(ISNUMBER('Price History'!B146)),NOT(ISNUMBER('Price History'!B145)),'Price History'!B145=0),"",'Price History'!B146/'Price History'!B145-1),"")</f>
        <v>-0.188593700286351</v>
      </c>
      <c r="C145" s="143" t="n">
        <f aca="false">IFERROR(IF(OR(NOT(ISNUMBER('Price History'!C146)),NOT(ISNUMBER('Price History'!C145)),'Price History'!C145=0),"",'Price History'!C146/'Price History'!C145-1),"")</f>
        <v>0.0581448110455693</v>
      </c>
      <c r="D145" s="143" t="n">
        <f aca="false">IFERROR(IF(OR(NOT(ISNUMBER('Price History'!D146)),NOT(ISNUMBER('Price History'!D145)),'Price History'!D145=0),"",'Price History'!D146/'Price History'!D145-1),"")</f>
        <v>0.135104475427233</v>
      </c>
      <c r="E145" s="143" t="n">
        <f aca="false">IFERROR(IF(OR(NOT(ISNUMBER('Price History'!E146)),NOT(ISNUMBER('Price History'!E145)),'Price History'!E145=0),"",'Price History'!E146/'Price History'!E145-1),"")</f>
        <v>-0.00949482337027219</v>
      </c>
      <c r="F145" s="143" t="n">
        <f aca="false">IFERROR(IF(OR(NOT(ISNUMBER('Price History'!F146)),NOT(ISNUMBER('Price History'!F145)),'Price History'!F145=0),"",'Price History'!F146/'Price History'!F145-1),"")</f>
        <v>0.0429040127870783</v>
      </c>
      <c r="G145" s="143" t="n">
        <f aca="false">IFERROR(IF(OR(NOT(ISNUMBER('Price History'!G146)),NOT(ISNUMBER('Price History'!G145)),'Price History'!G145=0),"",'Price History'!G146/'Price History'!G145-1),"")</f>
        <v>0.0175250357653791</v>
      </c>
      <c r="H145" s="143" t="n">
        <f aca="false">IFERROR(IF(OR(NOT(ISNUMBER('Price History'!H146)),NOT(ISNUMBER('Price History'!H145)),'Price History'!H145=0),"",'Price History'!H146/'Price History'!H145-1),"")</f>
        <v>0.0221030604237511</v>
      </c>
      <c r="I145" s="143" t="n">
        <f aca="false">IFERROR(IF(OR(NOT(ISNUMBER('Price History'!I146)),NOT(ISNUMBER('Price History'!I145)),'Price History'!I145=0),"",'Price History'!I146/'Price History'!I145-1),"")</f>
        <v>0.319408406850026</v>
      </c>
      <c r="J145" s="143" t="n">
        <f aca="false">IFERROR(IF(OR(NOT(ISNUMBER('Price History'!J146)),NOT(ISNUMBER('Price History'!J145)),'Price History'!J145=0),"",'Price History'!J146/'Price History'!J145-1),"")</f>
        <v>0.136106866694448</v>
      </c>
      <c r="K145" s="143" t="n">
        <f aca="false">IFERROR(IF(OR(NOT(ISNUMBER('Price History'!K146)),NOT(ISNUMBER('Price History'!K145)),'Price History'!K145=0),"",'Price History'!K146/'Price History'!K145-1),"")</f>
        <v>0.000439302972616851</v>
      </c>
      <c r="L145" s="143" t="n">
        <f aca="false">IFERROR(IF(OR(NOT(ISNUMBER('Price History'!L146)),NOT(ISNUMBER('Price History'!L145)),'Price History'!L145=0),"",'Price History'!L146/'Price History'!L145-1),"")</f>
        <v>0.0290791599353795</v>
      </c>
      <c r="M145" s="143" t="n">
        <f aca="false">IFERROR(IF(OR(NOT(ISNUMBER('Price History'!M146)),NOT(ISNUMBER('Price History'!M145)),'Price History'!M145=0),"",'Price History'!M146/'Price History'!M145-1),"")</f>
        <v>-0.0556334390909762</v>
      </c>
      <c r="N145" s="143" t="n">
        <f aca="false">IFERROR(IF(OR(NOT(ISNUMBER('Price History'!N146)),NOT(ISNUMBER('Price History'!N145)),'Price History'!N145=0),"",'Price History'!N146/'Price History'!N145-1),"")</f>
        <v>0.0160427807486629</v>
      </c>
      <c r="O145" s="143" t="n">
        <f aca="false">IFERROR(IF(OR(NOT(ISNUMBER('Price History'!O146)),NOT(ISNUMBER('Price History'!O145)),'Price History'!O145=0),"",'Price History'!O146/'Price History'!O145-1),"")</f>
        <v>0.0568766513697678</v>
      </c>
      <c r="P145" s="143" t="n">
        <f aca="false">IFERROR(IF(OR(NOT(ISNUMBER('Price History'!P146)),NOT(ISNUMBER('Price History'!P145)),'Price History'!P145=0),"",'Price History'!P146/'Price History'!P145-1),"")</f>
        <v>0.0235057735602413</v>
      </c>
      <c r="Q145" s="143" t="n">
        <f aca="false">IFERROR(IF(OR(NOT(ISNUMBER('Price History'!Q146)),NOT(ISNUMBER('Price History'!Q145)),'Price History'!Q145=0),"",'Price History'!Q146/'Price History'!Q145-1),"")</f>
        <v>-0.00365359011672917</v>
      </c>
      <c r="R145" s="143" t="n">
        <f aca="false">IFERROR(IF(OR(NOT(ISNUMBER('Price History'!R146)),NOT(ISNUMBER('Price History'!R145)),'Price History'!R145=0),"",'Price History'!R146/'Price History'!R145-1),"")</f>
        <v>0.0127420998980632</v>
      </c>
      <c r="S145" s="143" t="n">
        <f aca="false">IFERROR(IF(OR(NOT(ISNUMBER('Price History'!S146)),NOT(ISNUMBER('Price History'!S145)),'Price History'!S145=0),"",'Price History'!S146/'Price History'!S145-1),"")</f>
        <v>0.0698556762386551</v>
      </c>
      <c r="T145" s="143" t="n">
        <f aca="false">IFERROR(IF(OR(NOT(ISNUMBER('Price History'!T146)),NOT(ISNUMBER('Price History'!T145)),'Price History'!T145=0),"",'Price History'!T146/'Price History'!T145-1),"")</f>
        <v>0.0241840807701337</v>
      </c>
      <c r="U145" s="143" t="str">
        <f aca="false">IFERROR(IF(OR(NOT(ISNUMBER('Price History'!U146)),NOT(ISNUMBER('Price History'!U145)),'Price History'!U145=0),"",'Price History'!U146/'Price History'!U145-1),"")</f>
        <v/>
      </c>
      <c r="V145" s="144" t="n">
        <f aca="false">IFERROR(IF(OR(NOT(ISNUMBER('Price History'!V146)),NOT(ISNUMBER('Price History'!V145)),'Price History'!V145=0),"",'Price History'!V146/'Price History'!V145-1),"")</f>
        <v>-0.0281569443594295</v>
      </c>
      <c r="W145" s="145" t="str">
        <f aca="false">IFERROR('Price History'!B3+(INDEX('Price History'!B:B,MATCH(9.99E+307,'Price History'!$A:$A))-'Price History'!B3)*(ROW()-3)/(MATCH(9.99E+307,'Returns (Calc)'!$A:$A)-3),"")</f>
        <v/>
      </c>
      <c r="X145" s="145" t="n">
        <f aca="false">IFERROR('Price History'!C3+(INDEX('Price History'!C:C,MATCH(9.99E+307,'Price History'!$A:$A))-'Price History'!C3)*(ROW()-3)/(MATCH(9.99E+307,'Returns (Calc)'!$A:$A)-3),"")</f>
        <v>4.93748427672956</v>
      </c>
      <c r="Y145" s="145" t="n">
        <f aca="false">IFERROR('Price History'!D3+(INDEX('Price History'!D:D,MATCH(9.99E+307,'Price History'!$A:$A))-'Price History'!D3)*(ROW()-3)/(MATCH(9.99E+307,'Returns (Calc)'!$A:$A)-3),"")</f>
        <v>62.2274842767296</v>
      </c>
      <c r="Z145" s="145" t="n">
        <f aca="false">IFERROR('Price History'!E3+(INDEX('Price History'!E:E,MATCH(9.99E+307,'Price History'!$A:$A))-'Price History'!E3)*(ROW()-3)/(MATCH(9.99E+307,'Returns (Calc)'!$A:$A)-3),"")</f>
        <v>8.76729559748428</v>
      </c>
      <c r="AA145" s="145" t="n">
        <f aca="false">IFERROR('Price History'!F3+(INDEX('Price History'!F:F,MATCH(9.99E+307,'Price History'!$A:$A))-'Price History'!F3)*(ROW()-3)/(MATCH(9.99E+307,'Returns (Calc)'!$A:$A)-3),"")</f>
        <v>8.05201257861636</v>
      </c>
      <c r="AB145" s="145" t="n">
        <f aca="false">IFERROR('Price History'!G3+(INDEX('Price History'!G:G,MATCH(9.99E+307,'Price History'!$A:$A))-'Price History'!G3)*(ROW()-3)/(MATCH(9.99E+307,'Returns (Calc)'!$A:$A)-3),"")</f>
        <v>4.42213836477988</v>
      </c>
      <c r="AC145" s="145" t="n">
        <f aca="false">IFERROR('Price History'!H3+(INDEX('Price History'!H:H,MATCH(9.99E+307,'Price History'!$A:$A))-'Price History'!H3)*(ROW()-3)/(MATCH(9.99E+307,'Returns (Calc)'!$A:$A)-3),"")</f>
        <v>10.7549056603774</v>
      </c>
      <c r="AD145" s="145" t="n">
        <f aca="false">IFERROR('Price History'!I3+(INDEX('Price History'!I:I,MATCH(9.99E+307,'Price History'!$A:$A))-'Price History'!I3)*(ROW()-3)/(MATCH(9.99E+307,'Returns (Calc)'!$A:$A)-3),"")</f>
        <v>4.74182389937107</v>
      </c>
      <c r="AE145" s="145" t="n">
        <f aca="false">IFERROR('Price History'!J3+(INDEX('Price History'!J:J,MATCH(9.99E+307,'Price History'!$A:$A))-'Price History'!J3)*(ROW()-3)/(MATCH(9.99E+307,'Returns (Calc)'!$A:$A)-3),"")</f>
        <v>7.38911949685534</v>
      </c>
      <c r="AF145" s="145" t="n">
        <f aca="false">IFERROR('Price History'!K3+(INDEX('Price History'!K:K,MATCH(9.99E+307,'Price History'!$A:$A))-'Price History'!K3)*(ROW()-3)/(MATCH(9.99E+307,'Returns (Calc)'!$A:$A)-3),"")</f>
        <v>4.67981132075472</v>
      </c>
      <c r="AG145" s="145" t="n">
        <f aca="false">IFERROR('Price History'!L3+(INDEX('Price History'!L:L,MATCH(9.99E+307,'Price History'!$A:$A))-'Price History'!L3)*(ROW()-3)/(MATCH(9.99E+307,'Returns (Calc)'!$A:$A)-3),"")</f>
        <v>11.9577358490566</v>
      </c>
      <c r="AH145" s="145" t="n">
        <f aca="false">IFERROR('Price History'!M3+(INDEX('Price History'!M:M,MATCH(9.99E+307,'Price History'!$A:$A))-'Price History'!M3)*(ROW()-3)/(MATCH(9.99E+307,'Returns (Calc)'!$A:$A)-3),"")</f>
        <v>1.63905660377358</v>
      </c>
      <c r="AI145" s="145" t="n">
        <f aca="false">IFERROR('Price History'!N3+(INDEX('Price History'!N:N,MATCH(9.99E+307,'Price History'!$A:$A))-'Price History'!N3)*(ROW()-3)/(MATCH(9.99E+307,'Returns (Calc)'!$A:$A)-3),"")</f>
        <v>2.33081761006289</v>
      </c>
      <c r="AJ145" s="145" t="n">
        <f aca="false">IFERROR('Price History'!O3+(INDEX('Price History'!O:O,MATCH(9.99E+307,'Price History'!$A:$A))-'Price History'!O3)*(ROW()-3)/(MATCH(9.99E+307,'Returns (Calc)'!$A:$A)-3),"")</f>
        <v>6.16169811320755</v>
      </c>
      <c r="AK145" s="145" t="n">
        <f aca="false">IFERROR('Price History'!Q3+(INDEX('Price History'!Q:Q,MATCH(9.99E+307,'Price History'!$A:$A))-'Price History'!Q3)*(ROW()-3)/(MATCH(9.99E+307,'Returns (Calc)'!$A:$A)-3),"")</f>
        <v>25.1931446540881</v>
      </c>
      <c r="AL145" s="145" t="n">
        <f aca="false">IFERROR('Price History'!R3+(INDEX('Price History'!R:R,MATCH(9.99E+307,'Price History'!$A:$A))-'Price History'!R3)*(ROW()-3)/(MATCH(9.99E+307,'Returns (Calc)'!$A:$A)-3),"")</f>
        <v>5.11283018867925</v>
      </c>
      <c r="AM145" s="145" t="n">
        <f aca="false">IFERROR('Price History'!S3+(INDEX('Price History'!S:S,MATCH(9.99E+307,'Price History'!$A:$A))-'Price History'!S3)*(ROW()-3)/(MATCH(9.99E+307,'Returns (Calc)'!$A:$A)-3),"")</f>
        <v>6.25899371069182</v>
      </c>
      <c r="AN145" s="145" t="n">
        <f aca="false">IFERROR('Price History'!T3+(INDEX('Price History'!T:T,MATCH(9.99E+307,'Price History'!$A:$A))-'Price History'!T3)*(ROW()-3)/(MATCH(9.99E+307,'Returns (Calc)'!$A:$A)-3),"")</f>
        <v>2.87716981132076</v>
      </c>
      <c r="AO145" s="146" t="n">
        <f aca="false">IFERROR('Price History'!V3+(INDEX('Price History'!V:V,MATCH(9.99E+307,'Price History'!$A:$A))-'Price History'!V3)*(ROW()-3)/(MATCH(9.99E+307,'Returns (Calc)'!$A:$A)-3),"")</f>
        <v>0</v>
      </c>
    </row>
    <row r="146" customFormat="false" ht="15" hidden="false" customHeight="true" outlineLevel="0" collapsed="false">
      <c r="A146" s="142" t="n">
        <f aca="false">IF('Price History'!A147="","",'Price History'!A147)</f>
        <v>46192</v>
      </c>
      <c r="B146" s="143" t="n">
        <f aca="false">IFERROR(IF(OR(NOT(ISNUMBER('Price History'!B147)),NOT(ISNUMBER('Price History'!B146)),'Price History'!B146=0),"",'Price History'!B147/'Price History'!B146-1),"")</f>
        <v>-0.0434271149887266</v>
      </c>
      <c r="C146" s="143" t="n">
        <f aca="false">IFERROR(IF(OR(NOT(ISNUMBER('Price History'!C147)),NOT(ISNUMBER('Price History'!C146)),'Price History'!C146=0),"",'Price History'!C147/'Price History'!C146-1),"")</f>
        <v>0.0393898554275911</v>
      </c>
      <c r="D146" s="143" t="n">
        <f aca="false">IFERROR(IF(OR(NOT(ISNUMBER('Price History'!D147)),NOT(ISNUMBER('Price History'!D146)),'Price History'!D146=0),"",'Price History'!D147/'Price History'!D146-1),"")</f>
        <v>0.0354890013647549</v>
      </c>
      <c r="E146" s="143" t="n">
        <f aca="false">IFERROR(IF(OR(NOT(ISNUMBER('Price History'!E147)),NOT(ISNUMBER('Price History'!E146)),'Price History'!E146=0),"",'Price History'!E147/'Price History'!E146-1),"")</f>
        <v>0.0766341886178008</v>
      </c>
      <c r="F146" s="143" t="n">
        <f aca="false">IFERROR(IF(OR(NOT(ISNUMBER('Price History'!F147)),NOT(ISNUMBER('Price History'!F146)),'Price History'!F146=0),"",'Price History'!F147/'Price History'!F146-1),"")</f>
        <v>-0.0191175284342987</v>
      </c>
      <c r="G146" s="143" t="n">
        <f aca="false">IFERROR(IF(OR(NOT(ISNUMBER('Price History'!G147)),NOT(ISNUMBER('Price History'!G146)),'Price History'!G146=0),"",'Price History'!G147/'Price History'!G146-1),"")</f>
        <v>0.00298769771529006</v>
      </c>
      <c r="H146" s="143" t="n">
        <f aca="false">IFERROR(IF(OR(NOT(ISNUMBER('Price History'!H147)),NOT(ISNUMBER('Price History'!H146)),'Price History'!H146=0),"",'Price History'!H147/'Price History'!H146-1),"")</f>
        <v>-0.027191298784389</v>
      </c>
      <c r="I146" s="143" t="n">
        <f aca="false">IFERROR(IF(OR(NOT(ISNUMBER('Price History'!I147)),NOT(ISNUMBER('Price History'!I146)),'Price History'!I146=0),"",'Price History'!I147/'Price History'!I146-1),"")</f>
        <v>0.0197443461160274</v>
      </c>
      <c r="J146" s="143" t="n">
        <f aca="false">IFERROR(IF(OR(NOT(ISNUMBER('Price History'!J147)),NOT(ISNUMBER('Price History'!J146)),'Price History'!J146=0),"",'Price History'!J147/'Price History'!J146-1),"")</f>
        <v>0.155238114645528</v>
      </c>
      <c r="K146" s="143" t="n">
        <f aca="false">IFERROR(IF(OR(NOT(ISNUMBER('Price History'!K147)),NOT(ISNUMBER('Price History'!K146)),'Price History'!K146=0),"",'Price History'!K147/'Price History'!K146-1),"")</f>
        <v>0.0267857142857142</v>
      </c>
      <c r="L146" s="143" t="n">
        <f aca="false">IFERROR(IF(OR(NOT(ISNUMBER('Price History'!L147)),NOT(ISNUMBER('Price History'!L146)),'Price History'!L146=0),"",'Price History'!L147/'Price History'!L146-1),"")</f>
        <v>-0.0483243464609924</v>
      </c>
      <c r="M146" s="143" t="n">
        <f aca="false">IFERROR(IF(OR(NOT(ISNUMBER('Price History'!M147)),NOT(ISNUMBER('Price History'!M146)),'Price History'!M146=0),"",'Price History'!M147/'Price History'!M146-1),"")</f>
        <v>0.00375029299163998</v>
      </c>
      <c r="N146" s="143" t="n">
        <f aca="false">IFERROR(IF(OR(NOT(ISNUMBER('Price History'!N147)),NOT(ISNUMBER('Price History'!N146)),'Price History'!N146=0),"",'Price History'!N147/'Price History'!N146-1),"")</f>
        <v>-0.0291021671826625</v>
      </c>
      <c r="O146" s="143" t="n">
        <f aca="false">IFERROR(IF(OR(NOT(ISNUMBER('Price History'!O147)),NOT(ISNUMBER('Price History'!O146)),'Price History'!O146=0),"",'Price History'!O147/'Price History'!O146-1),"")</f>
        <v>0.0486184210526315</v>
      </c>
      <c r="P146" s="143" t="n">
        <f aca="false">IFERROR(IF(OR(NOT(ISNUMBER('Price History'!P147)),NOT(ISNUMBER('Price History'!P146)),'Price History'!P146=0),"",'Price History'!P147/'Price History'!P146-1),"")</f>
        <v>0.0900662251655628</v>
      </c>
      <c r="Q146" s="143" t="n">
        <f aca="false">IFERROR(IF(OR(NOT(ISNUMBER('Price History'!Q147)),NOT(ISNUMBER('Price History'!Q146)),'Price History'!Q146=0),"",'Price History'!Q147/'Price History'!Q146-1),"")</f>
        <v>0.0150408651605083</v>
      </c>
      <c r="R146" s="143" t="n">
        <f aca="false">IFERROR(IF(OR(NOT(ISNUMBER('Price History'!R147)),NOT(ISNUMBER('Price History'!R146)),'Price History'!R146=0),"",'Price History'!R147/'Price History'!R146-1),"")</f>
        <v>0.00268411340379138</v>
      </c>
      <c r="S146" s="143" t="n">
        <f aca="false">IFERROR(IF(OR(NOT(ISNUMBER('Price History'!S147)),NOT(ISNUMBER('Price History'!S146)),'Price History'!S146=0),"",'Price History'!S147/'Price History'!S146-1),"")</f>
        <v>-0.00229469438842922</v>
      </c>
      <c r="T146" s="143" t="n">
        <f aca="false">IFERROR(IF(OR(NOT(ISNUMBER('Price History'!T147)),NOT(ISNUMBER('Price History'!T146)),'Price History'!T146=0),"",'Price History'!T147/'Price History'!T146-1),"")</f>
        <v>-0.0256762952773957</v>
      </c>
      <c r="U146" s="143" t="str">
        <f aca="false">IFERROR(IF(OR(NOT(ISNUMBER('Price History'!U147)),NOT(ISNUMBER('Price History'!U146)),'Price History'!U146=0),"",'Price History'!U147/'Price History'!U146-1),"")</f>
        <v/>
      </c>
      <c r="V146" s="144" t="n">
        <f aca="false">IFERROR(IF(OR(NOT(ISNUMBER('Price History'!V147)),NOT(ISNUMBER('Price History'!V146)),'Price History'!V146=0),"",'Price History'!V147/'Price History'!V146-1),"")</f>
        <v>0.0239654846633495</v>
      </c>
      <c r="W146" s="145" t="str">
        <f aca="false">IFERROR('Price History'!B3+(INDEX('Price History'!B:B,MATCH(9.99E+307,'Price History'!$A:$A))-'Price History'!B3)*(ROW()-3)/(MATCH(9.99E+307,'Returns (Calc)'!$A:$A)-3),"")</f>
        <v/>
      </c>
      <c r="X146" s="145" t="n">
        <f aca="false">IFERROR('Price History'!C3+(INDEX('Price History'!C:C,MATCH(9.99E+307,'Price History'!$A:$A))-'Price History'!C3)*(ROW()-3)/(MATCH(9.99E+307,'Returns (Calc)'!$A:$A)-3),"")</f>
        <v>4.64704402515724</v>
      </c>
      <c r="Y146" s="145" t="n">
        <f aca="false">IFERROR('Price History'!D3+(INDEX('Price History'!D:D,MATCH(9.99E+307,'Price History'!$A:$A))-'Price History'!D3)*(ROW()-3)/(MATCH(9.99E+307,'Returns (Calc)'!$A:$A)-3),"")</f>
        <v>58.5670440251573</v>
      </c>
      <c r="Z146" s="145" t="n">
        <f aca="false">IFERROR('Price History'!E3+(INDEX('Price History'!E:E,MATCH(9.99E+307,'Price History'!$A:$A))-'Price History'!E3)*(ROW()-3)/(MATCH(9.99E+307,'Returns (Calc)'!$A:$A)-3),"")</f>
        <v>8.25157232704403</v>
      </c>
      <c r="AA146" s="145" t="n">
        <f aca="false">IFERROR('Price History'!F3+(INDEX('Price History'!F:F,MATCH(9.99E+307,'Price History'!$A:$A))-'Price History'!F3)*(ROW()-3)/(MATCH(9.99E+307,'Returns (Calc)'!$A:$A)-3),"")</f>
        <v>7.57836477987422</v>
      </c>
      <c r="AB146" s="145" t="n">
        <f aca="false">IFERROR('Price History'!G3+(INDEX('Price History'!G:G,MATCH(9.99E+307,'Price History'!$A:$A))-'Price History'!G3)*(ROW()-3)/(MATCH(9.99E+307,'Returns (Calc)'!$A:$A)-3),"")</f>
        <v>4.16201257861636</v>
      </c>
      <c r="AC146" s="145" t="n">
        <f aca="false">IFERROR('Price History'!H3+(INDEX('Price History'!H:H,MATCH(9.99E+307,'Price History'!$A:$A))-'Price History'!H3)*(ROW()-3)/(MATCH(9.99E+307,'Returns (Calc)'!$A:$A)-3),"")</f>
        <v>10.1222641509434</v>
      </c>
      <c r="AD146" s="145" t="n">
        <f aca="false">IFERROR('Price History'!I3+(INDEX('Price History'!I:I,MATCH(9.99E+307,'Price History'!$A:$A))-'Price History'!I3)*(ROW()-3)/(MATCH(9.99E+307,'Returns (Calc)'!$A:$A)-3),"")</f>
        <v>4.46289308176101</v>
      </c>
      <c r="AE146" s="145" t="n">
        <f aca="false">IFERROR('Price History'!J3+(INDEX('Price History'!J:J,MATCH(9.99E+307,'Price History'!$A:$A))-'Price History'!J3)*(ROW()-3)/(MATCH(9.99E+307,'Returns (Calc)'!$A:$A)-3),"")</f>
        <v>6.95446540880504</v>
      </c>
      <c r="AF146" s="145" t="n">
        <f aca="false">IFERROR('Price History'!K3+(INDEX('Price History'!K:K,MATCH(9.99E+307,'Price History'!$A:$A))-'Price History'!K3)*(ROW()-3)/(MATCH(9.99E+307,'Returns (Calc)'!$A:$A)-3),"")</f>
        <v>4.40452830188679</v>
      </c>
      <c r="AG146" s="145" t="n">
        <f aca="false">IFERROR('Price History'!L3+(INDEX('Price History'!L:L,MATCH(9.99E+307,'Price History'!$A:$A))-'Price History'!L3)*(ROW()-3)/(MATCH(9.99E+307,'Returns (Calc)'!$A:$A)-3),"")</f>
        <v>11.2543396226415</v>
      </c>
      <c r="AH146" s="145" t="n">
        <f aca="false">IFERROR('Price History'!M3+(INDEX('Price History'!M:M,MATCH(9.99E+307,'Price History'!$A:$A))-'Price History'!M3)*(ROW()-3)/(MATCH(9.99E+307,'Returns (Calc)'!$A:$A)-3),"")</f>
        <v>1.54264150943396</v>
      </c>
      <c r="AI146" s="145" t="n">
        <f aca="false">IFERROR('Price History'!N3+(INDEX('Price History'!N:N,MATCH(9.99E+307,'Price History'!$A:$A))-'Price History'!N3)*(ROW()-3)/(MATCH(9.99E+307,'Returns (Calc)'!$A:$A)-3),"")</f>
        <v>2.1937106918239</v>
      </c>
      <c r="AJ146" s="145" t="n">
        <f aca="false">IFERROR('Price History'!O3+(INDEX('Price History'!O:O,MATCH(9.99E+307,'Price History'!$A:$A))-'Price History'!O3)*(ROW()-3)/(MATCH(9.99E+307,'Returns (Calc)'!$A:$A)-3),"")</f>
        <v>5.79924528301887</v>
      </c>
      <c r="AK146" s="145" t="n">
        <f aca="false">IFERROR('Price History'!Q3+(INDEX('Price History'!Q:Q,MATCH(9.99E+307,'Price History'!$A:$A))-'Price History'!Q3)*(ROW()-3)/(MATCH(9.99E+307,'Returns (Calc)'!$A:$A)-3),"")</f>
        <v>23.7111949685535</v>
      </c>
      <c r="AL146" s="145" t="n">
        <f aca="false">IFERROR('Price History'!R3+(INDEX('Price History'!R:R,MATCH(9.99E+307,'Price History'!$A:$A))-'Price History'!R3)*(ROW()-3)/(MATCH(9.99E+307,'Returns (Calc)'!$A:$A)-3),"")</f>
        <v>4.81207547169812</v>
      </c>
      <c r="AM146" s="145" t="n">
        <f aca="false">IFERROR('Price History'!S3+(INDEX('Price History'!S:S,MATCH(9.99E+307,'Price History'!$A:$A))-'Price History'!S3)*(ROW()-3)/(MATCH(9.99E+307,'Returns (Calc)'!$A:$A)-3),"")</f>
        <v>5.8908176100629</v>
      </c>
      <c r="AN146" s="145" t="n">
        <f aca="false">IFERROR('Price History'!T3+(INDEX('Price History'!T:T,MATCH(9.99E+307,'Price History'!$A:$A))-'Price History'!T3)*(ROW()-3)/(MATCH(9.99E+307,'Returns (Calc)'!$A:$A)-3),"")</f>
        <v>2.70792452830189</v>
      </c>
      <c r="AO146" s="146" t="n">
        <f aca="false">IFERROR('Price History'!V3+(INDEX('Price History'!V:V,MATCH(9.99E+307,'Price History'!$A:$A))-'Price History'!V3)*(ROW()-3)/(MATCH(9.99E+307,'Returns (Calc)'!$A:$A)-3),"")</f>
        <v>0</v>
      </c>
    </row>
    <row r="147" customFormat="false" ht="15" hidden="false" customHeight="true" outlineLevel="0" collapsed="false">
      <c r="A147" s="142" t="n">
        <f aca="false">IF('Price History'!A148="","",'Price History'!A148)</f>
        <v>46199</v>
      </c>
      <c r="B147" s="143" t="n">
        <f aca="false">IFERROR(IF(OR(NOT(ISNUMBER('Price History'!B148)),NOT(ISNUMBER('Price History'!B147)),'Price History'!B147=0),"",'Price History'!B148/'Price History'!B147-1),"")</f>
        <v>0.0387886862061897</v>
      </c>
      <c r="C147" s="143" t="n">
        <f aca="false">IFERROR(IF(OR(NOT(ISNUMBER('Price History'!C148)),NOT(ISNUMBER('Price History'!C147)),'Price History'!C147=0),"",'Price History'!C148/'Price History'!C147-1),"")</f>
        <v>-0.0711380915895562</v>
      </c>
      <c r="D147" s="143" t="n">
        <f aca="false">IFERROR(IF(OR(NOT(ISNUMBER('Price History'!D148)),NOT(ISNUMBER('Price History'!D147)),'Price History'!D147=0),"",'Price History'!D148/'Price History'!D147-1),"")</f>
        <v>-0.0699930987603714</v>
      </c>
      <c r="E147" s="143" t="n">
        <f aca="false">IFERROR(IF(OR(NOT(ISNUMBER('Price History'!E148)),NOT(ISNUMBER('Price History'!E147)),'Price History'!E147=0),"",'Price History'!E148/'Price History'!E147-1),"")</f>
        <v>-0.111208683985852</v>
      </c>
      <c r="F147" s="143" t="n">
        <f aca="false">IFERROR(IF(OR(NOT(ISNUMBER('Price History'!F148)),NOT(ISNUMBER('Price History'!F147)),'Price History'!F147=0),"",'Price History'!F148/'Price History'!F147-1),"")</f>
        <v>0.0240953947368421</v>
      </c>
      <c r="G147" s="143" t="n">
        <f aca="false">IFERROR(IF(OR(NOT(ISNUMBER('Price History'!G148)),NOT(ISNUMBER('Price History'!G147)),'Price History'!G147=0),"",'Price History'!G148/'Price History'!G147-1),"")</f>
        <v>0.0237135681327025</v>
      </c>
      <c r="H147" s="143" t="n">
        <f aca="false">IFERROR(IF(OR(NOT(ISNUMBER('Price History'!H148)),NOT(ISNUMBER('Price History'!H147)),'Price History'!H147=0),"",'Price History'!H148/'Price History'!H147-1),"")</f>
        <v>0.0317000986517593</v>
      </c>
      <c r="I147" s="143" t="n">
        <f aca="false">IFERROR(IF(OR(NOT(ISNUMBER('Price History'!I148)),NOT(ISNUMBER('Price History'!I147)),'Price History'!I147=0),"",'Price History'!I148/'Price History'!I147-1),"")</f>
        <v>-0.0420796852701816</v>
      </c>
      <c r="J147" s="143" t="n">
        <f aca="false">IFERROR(IF(OR(NOT(ISNUMBER('Price History'!J148)),NOT(ISNUMBER('Price History'!J147)),'Price History'!J147=0),"",'Price History'!J148/'Price History'!J147-1),"")</f>
        <v>-0.00146407719038277</v>
      </c>
      <c r="K147" s="143" t="n">
        <f aca="false">IFERROR(IF(OR(NOT(ISNUMBER('Price History'!K148)),NOT(ISNUMBER('Price History'!K147)),'Price History'!K147=0),"",'Price History'!K148/'Price History'!K147-1),"")</f>
        <v>-0.0861962461392254</v>
      </c>
      <c r="L147" s="143" t="n">
        <f aca="false">IFERROR(IF(OR(NOT(ISNUMBER('Price History'!L148)),NOT(ISNUMBER('Price History'!L147)),'Price History'!L147=0),"",'Price History'!L148/'Price History'!L147-1),"")</f>
        <v>-0.00401635229147246</v>
      </c>
      <c r="M147" s="143" t="n">
        <f aca="false">IFERROR(IF(OR(NOT(ISNUMBER('Price History'!M148)),NOT(ISNUMBER('Price History'!M147)),'Price History'!M147=0),"",'Price History'!M148/'Price History'!M147-1),"")</f>
        <v>-0.120962092317273</v>
      </c>
      <c r="N147" s="143" t="n">
        <f aca="false">IFERROR(IF(OR(NOT(ISNUMBER('Price History'!N148)),NOT(ISNUMBER('Price History'!N147)),'Price History'!N147=0),"",'Price History'!N148/'Price History'!N147-1),"")</f>
        <v>0.0153061224489797</v>
      </c>
      <c r="O147" s="143" t="n">
        <f aca="false">IFERROR(IF(OR(NOT(ISNUMBER('Price History'!O148)),NOT(ISNUMBER('Price History'!O147)),'Price History'!O147=0),"",'Price History'!O148/'Price History'!O147-1),"")</f>
        <v>-0.0341301210866428</v>
      </c>
      <c r="P147" s="143" t="n">
        <f aca="false">IFERROR(IF(OR(NOT(ISNUMBER('Price History'!P148)),NOT(ISNUMBER('Price History'!P147)),'Price History'!P147=0),"",'Price History'!P148/'Price History'!P147-1),"")</f>
        <v>-0.0644202395417463</v>
      </c>
      <c r="Q147" s="143" t="n">
        <f aca="false">IFERROR(IF(OR(NOT(ISNUMBER('Price History'!Q148)),NOT(ISNUMBER('Price History'!Q147)),'Price History'!Q147=0),"",'Price History'!Q148/'Price History'!Q147-1),"")</f>
        <v>0.0274928818540858</v>
      </c>
      <c r="R147" s="143" t="n">
        <f aca="false">IFERROR(IF(OR(NOT(ISNUMBER('Price History'!R148)),NOT(ISNUMBER('Price History'!R147)),'Price History'!R147=0),"",'Price History'!R148/'Price History'!R147-1),"")</f>
        <v>0.00736155261837035</v>
      </c>
      <c r="S147" s="143" t="n">
        <f aca="false">IFERROR(IF(OR(NOT(ISNUMBER('Price History'!S148)),NOT(ISNUMBER('Price History'!S147)),'Price History'!S147=0),"",'Price History'!S148/'Price History'!S147-1),"")</f>
        <v>0.0101756342347366</v>
      </c>
      <c r="T147" s="143" t="n">
        <f aca="false">IFERROR(IF(OR(NOT(ISNUMBER('Price History'!T148)),NOT(ISNUMBER('Price History'!T147)),'Price History'!T147=0),"",'Price History'!T148/'Price History'!T147-1),"")</f>
        <v>0.0395294117647058</v>
      </c>
      <c r="U147" s="143" t="str">
        <f aca="false">IFERROR(IF(OR(NOT(ISNUMBER('Price History'!U148)),NOT(ISNUMBER('Price History'!U147)),'Price History'!U147=0),"",'Price History'!U148/'Price History'!U147-1),"")</f>
        <v/>
      </c>
      <c r="V147" s="144" t="n">
        <f aca="false">IFERROR(IF(OR(NOT(ISNUMBER('Price History'!V148)),NOT(ISNUMBER('Price History'!V147)),'Price History'!V147=0),"",'Price History'!V148/'Price History'!V147-1),"")</f>
        <v>0.00959557127479616</v>
      </c>
      <c r="W147" s="145" t="str">
        <f aca="false">IFERROR('Price History'!B3+(INDEX('Price History'!B:B,MATCH(9.99E+307,'Price History'!$A:$A))-'Price History'!B3)*(ROW()-3)/(MATCH(9.99E+307,'Returns (Calc)'!$A:$A)-3),"")</f>
        <v/>
      </c>
      <c r="X147" s="145" t="n">
        <f aca="false">IFERROR('Price History'!C3+(INDEX('Price History'!C:C,MATCH(9.99E+307,'Price History'!$A:$A))-'Price History'!C3)*(ROW()-3)/(MATCH(9.99E+307,'Returns (Calc)'!$A:$A)-3),"")</f>
        <v>4.35660377358491</v>
      </c>
      <c r="Y147" s="145" t="n">
        <f aca="false">IFERROR('Price History'!D3+(INDEX('Price History'!D:D,MATCH(9.99E+307,'Price History'!$A:$A))-'Price History'!D3)*(ROW()-3)/(MATCH(9.99E+307,'Returns (Calc)'!$A:$A)-3),"")</f>
        <v>54.9066037735848</v>
      </c>
      <c r="Z147" s="145" t="n">
        <f aca="false">IFERROR('Price History'!E3+(INDEX('Price History'!E:E,MATCH(9.99E+307,'Price History'!$A:$A))-'Price History'!E3)*(ROW()-3)/(MATCH(9.99E+307,'Returns (Calc)'!$A:$A)-3),"")</f>
        <v>7.73584905660377</v>
      </c>
      <c r="AA147" s="145" t="n">
        <f aca="false">IFERROR('Price History'!F3+(INDEX('Price History'!F:F,MATCH(9.99E+307,'Price History'!$A:$A))-'Price History'!F3)*(ROW()-3)/(MATCH(9.99E+307,'Returns (Calc)'!$A:$A)-3),"")</f>
        <v>7.10471698113209</v>
      </c>
      <c r="AB147" s="145" t="n">
        <f aca="false">IFERROR('Price History'!G3+(INDEX('Price History'!G:G,MATCH(9.99E+307,'Price History'!$A:$A))-'Price History'!G3)*(ROW()-3)/(MATCH(9.99E+307,'Returns (Calc)'!$A:$A)-3),"")</f>
        <v>3.90188679245283</v>
      </c>
      <c r="AC147" s="145" t="n">
        <f aca="false">IFERROR('Price History'!H3+(INDEX('Price History'!H:H,MATCH(9.99E+307,'Price History'!$A:$A))-'Price History'!H3)*(ROW()-3)/(MATCH(9.99E+307,'Returns (Calc)'!$A:$A)-3),"")</f>
        <v>9.48962264150943</v>
      </c>
      <c r="AD147" s="145" t="n">
        <f aca="false">IFERROR('Price History'!I3+(INDEX('Price History'!I:I,MATCH(9.99E+307,'Price History'!$A:$A))-'Price History'!I3)*(ROW()-3)/(MATCH(9.99E+307,'Returns (Calc)'!$A:$A)-3),"")</f>
        <v>4.18396226415094</v>
      </c>
      <c r="AE147" s="145" t="n">
        <f aca="false">IFERROR('Price History'!J3+(INDEX('Price History'!J:J,MATCH(9.99E+307,'Price History'!$A:$A))-'Price History'!J3)*(ROW()-3)/(MATCH(9.99E+307,'Returns (Calc)'!$A:$A)-3),"")</f>
        <v>6.51981132075471</v>
      </c>
      <c r="AF147" s="145" t="n">
        <f aca="false">IFERROR('Price History'!K3+(INDEX('Price History'!K:K,MATCH(9.99E+307,'Price History'!$A:$A))-'Price History'!K3)*(ROW()-3)/(MATCH(9.99E+307,'Returns (Calc)'!$A:$A)-3),"")</f>
        <v>4.12924528301887</v>
      </c>
      <c r="AG147" s="145" t="n">
        <f aca="false">IFERROR('Price History'!L3+(INDEX('Price History'!L:L,MATCH(9.99E+307,'Price History'!$A:$A))-'Price History'!L3)*(ROW()-3)/(MATCH(9.99E+307,'Returns (Calc)'!$A:$A)-3),"")</f>
        <v>10.5509433962264</v>
      </c>
      <c r="AH147" s="145" t="n">
        <f aca="false">IFERROR('Price History'!M3+(INDEX('Price History'!M:M,MATCH(9.99E+307,'Price History'!$A:$A))-'Price History'!M3)*(ROW()-3)/(MATCH(9.99E+307,'Returns (Calc)'!$A:$A)-3),"")</f>
        <v>1.44622641509434</v>
      </c>
      <c r="AI147" s="145" t="n">
        <f aca="false">IFERROR('Price History'!N3+(INDEX('Price History'!N:N,MATCH(9.99E+307,'Price History'!$A:$A))-'Price History'!N3)*(ROW()-3)/(MATCH(9.99E+307,'Returns (Calc)'!$A:$A)-3),"")</f>
        <v>2.0566037735849</v>
      </c>
      <c r="AJ147" s="145" t="n">
        <f aca="false">IFERROR('Price History'!O3+(INDEX('Price History'!O:O,MATCH(9.99E+307,'Price History'!$A:$A))-'Price History'!O3)*(ROW()-3)/(MATCH(9.99E+307,'Returns (Calc)'!$A:$A)-3),"")</f>
        <v>5.43679245283018</v>
      </c>
      <c r="AK147" s="145" t="n">
        <f aca="false">IFERROR('Price History'!Q3+(INDEX('Price History'!Q:Q,MATCH(9.99E+307,'Price History'!$A:$A))-'Price History'!Q3)*(ROW()-3)/(MATCH(9.99E+307,'Returns (Calc)'!$A:$A)-3),"")</f>
        <v>22.2292452830189</v>
      </c>
      <c r="AL147" s="145" t="n">
        <f aca="false">IFERROR('Price History'!R3+(INDEX('Price History'!R:R,MATCH(9.99E+307,'Price History'!$A:$A))-'Price History'!R3)*(ROW()-3)/(MATCH(9.99E+307,'Returns (Calc)'!$A:$A)-3),"")</f>
        <v>4.51132075471698</v>
      </c>
      <c r="AM147" s="145" t="n">
        <f aca="false">IFERROR('Price History'!S3+(INDEX('Price History'!S:S,MATCH(9.99E+307,'Price History'!$A:$A))-'Price History'!S3)*(ROW()-3)/(MATCH(9.99E+307,'Returns (Calc)'!$A:$A)-3),"")</f>
        <v>5.52264150943396</v>
      </c>
      <c r="AN147" s="145" t="n">
        <f aca="false">IFERROR('Price History'!T3+(INDEX('Price History'!T:T,MATCH(9.99E+307,'Price History'!$A:$A))-'Price History'!T3)*(ROW()-3)/(MATCH(9.99E+307,'Returns (Calc)'!$A:$A)-3),"")</f>
        <v>2.53867924528302</v>
      </c>
      <c r="AO147" s="146" t="n">
        <f aca="false">IFERROR('Price History'!V3+(INDEX('Price History'!V:V,MATCH(9.99E+307,'Price History'!$A:$A))-'Price History'!V3)*(ROW()-3)/(MATCH(9.99E+307,'Returns (Calc)'!$A:$A)-3),"")</f>
        <v>0</v>
      </c>
    </row>
    <row r="148" customFormat="false" ht="15" hidden="false" customHeight="true" outlineLevel="0" collapsed="false">
      <c r="A148" s="142" t="n">
        <f aca="false">IF('Price History'!A149="","",'Price History'!A149)</f>
        <v>46206</v>
      </c>
      <c r="B148" s="143" t="n">
        <f aca="false">IFERROR(IF(OR(NOT(ISNUMBER('Price History'!B149)),NOT(ISNUMBER('Price History'!B148)),'Price History'!B148=0),"",'Price History'!B149/'Price History'!B148-1),"")</f>
        <v>0.0838060474522764</v>
      </c>
      <c r="C148" s="143" t="n">
        <f aca="false">IFERROR(IF(OR(NOT(ISNUMBER('Price History'!C149)),NOT(ISNUMBER('Price History'!C148)),'Price History'!C148=0),"",'Price History'!C149/'Price History'!C148-1),"")</f>
        <v>0.0151649746192895</v>
      </c>
      <c r="D148" s="143" t="n">
        <f aca="false">IFERROR(IF(OR(NOT(ISNUMBER('Price History'!D149)),NOT(ISNUMBER('Price History'!D148)),'Price History'!D148=0),"",'Price History'!D149/'Price History'!D148-1),"")</f>
        <v>-0.0140992021424985</v>
      </c>
      <c r="E148" s="143" t="n">
        <f aca="false">IFERROR(IF(OR(NOT(ISNUMBER('Price History'!E149)),NOT(ISNUMBER('Price History'!E148)),'Price History'!E148=0),"",'Price History'!E149/'Price History'!E148-1),"")</f>
        <v>-0.012542540344714</v>
      </c>
      <c r="F148" s="143" t="n">
        <f aca="false">IFERROR(IF(OR(NOT(ISNUMBER('Price History'!F149)),NOT(ISNUMBER('Price History'!F148)),'Price History'!F148=0),"",'Price History'!F149/'Price History'!F148-1),"")</f>
        <v>-0.0114028748092829</v>
      </c>
      <c r="G148" s="143" t="n">
        <f aca="false">IFERROR(IF(OR(NOT(ISNUMBER('Price History'!G149)),NOT(ISNUMBER('Price History'!G148)),'Price History'!G148=0),"",'Price History'!G149/'Price History'!G148-1),"")</f>
        <v>0.106749586352485</v>
      </c>
      <c r="H148" s="143" t="n">
        <f aca="false">IFERROR(IF(OR(NOT(ISNUMBER('Price History'!H149)),NOT(ISNUMBER('Price History'!H148)),'Price History'!H148=0),"",'Price History'!H149/'Price History'!H148-1),"")</f>
        <v>0.00580098170459609</v>
      </c>
      <c r="I148" s="143" t="n">
        <f aca="false">IFERROR(IF(OR(NOT(ISNUMBER('Price History'!I149)),NOT(ISNUMBER('Price History'!I148)),'Price History'!I148=0),"",'Price History'!I149/'Price History'!I148-1),"")</f>
        <v>-0.0526654855854405</v>
      </c>
      <c r="J148" s="143" t="n">
        <f aca="false">IFERROR(IF(OR(NOT(ISNUMBER('Price History'!J149)),NOT(ISNUMBER('Price History'!J148)),'Price History'!J148=0),"",'Price History'!J149/'Price History'!J148-1),"")</f>
        <v>-0.138452162238553</v>
      </c>
      <c r="K148" s="143" t="n">
        <f aca="false">IFERROR(IF(OR(NOT(ISNUMBER('Price History'!K149)),NOT(ISNUMBER('Price History'!K148)),'Price History'!K148=0),"",'Price History'!K149/'Price History'!K148-1),"")</f>
        <v>0.0119598564817223</v>
      </c>
      <c r="L148" s="143" t="n">
        <f aca="false">IFERROR(IF(OR(NOT(ISNUMBER('Price History'!L149)),NOT(ISNUMBER('Price History'!L148)),'Price History'!L148=0),"",'Price History'!L149/'Price History'!L148-1),"")</f>
        <v>-0.00388852883992219</v>
      </c>
      <c r="M148" s="143" t="n">
        <f aca="false">IFERROR(IF(OR(NOT(ISNUMBER('Price History'!M149)),NOT(ISNUMBER('Price History'!M148)),'Price History'!M148=0),"",'Price History'!M149/'Price History'!M148-1),"")</f>
        <v>0.144957053041707</v>
      </c>
      <c r="N148" s="143" t="n">
        <f aca="false">IFERROR(IF(OR(NOT(ISNUMBER('Price History'!N149)),NOT(ISNUMBER('Price History'!N148)),'Price History'!N148=0),"",'Price History'!N149/'Price History'!N148-1),"")</f>
        <v>0.00910804020100509</v>
      </c>
      <c r="O148" s="143" t="n">
        <f aca="false">IFERROR(IF(OR(NOT(ISNUMBER('Price History'!O149)),NOT(ISNUMBER('Price History'!O148)),'Price History'!O148=0),"",'Price History'!O149/'Price History'!O148-1),"")</f>
        <v>-0.0218902240987332</v>
      </c>
      <c r="P148" s="143" t="n">
        <f aca="false">IFERROR(IF(OR(NOT(ISNUMBER('Price History'!P149)),NOT(ISNUMBER('Price History'!P148)),'Price History'!P148=0),"",'Price History'!P149/'Price History'!P148-1),"")</f>
        <v>0.0041976854750807</v>
      </c>
      <c r="Q148" s="143" t="n">
        <f aca="false">IFERROR(IF(OR(NOT(ISNUMBER('Price History'!Q149)),NOT(ISNUMBER('Price History'!Q148)),'Price History'!Q148=0),"",'Price History'!Q149/'Price History'!Q148-1),"")</f>
        <v>0.0770239265814485</v>
      </c>
      <c r="R148" s="143" t="n">
        <f aca="false">IFERROR(IF(OR(NOT(ISNUMBER('Price History'!R149)),NOT(ISNUMBER('Price History'!R148)),'Price History'!R148=0),"",'Price History'!R149/'Price History'!R148-1),"")</f>
        <v>0.0156120245806344</v>
      </c>
      <c r="S148" s="143" t="n">
        <f aca="false">IFERROR(IF(OR(NOT(ISNUMBER('Price History'!S149)),NOT(ISNUMBER('Price History'!S148)),'Price History'!S148=0),"",'Price History'!S149/'Price History'!S148-1),"")</f>
        <v>0.0389816475783082</v>
      </c>
      <c r="T148" s="143" t="n">
        <f aca="false">IFERROR(IF(OR(NOT(ISNUMBER('Price History'!T149)),NOT(ISNUMBER('Price History'!T148)),'Price History'!T148=0),"",'Price History'!T149/'Price History'!T148-1),"")</f>
        <v>0.0540968764146672</v>
      </c>
      <c r="U148" s="143" t="str">
        <f aca="false">IFERROR(IF(OR(NOT(ISNUMBER('Price History'!U149)),NOT(ISNUMBER('Price History'!U148)),'Price History'!U148=0),"",'Price History'!U149/'Price History'!U148-1),"")</f>
        <v/>
      </c>
      <c r="V148" s="144" t="n">
        <f aca="false">IFERROR(IF(OR(NOT(ISNUMBER('Price History'!V149)),NOT(ISNUMBER('Price History'!V148)),'Price History'!V148=0),"",'Price History'!V149/'Price History'!V148-1),"")</f>
        <v>-0.00767660767051503</v>
      </c>
      <c r="W148" s="145" t="str">
        <f aca="false">IFERROR('Price History'!B3+(INDEX('Price History'!B:B,MATCH(9.99E+307,'Price History'!$A:$A))-'Price History'!B3)*(ROW()-3)/(MATCH(9.99E+307,'Returns (Calc)'!$A:$A)-3),"")</f>
        <v/>
      </c>
      <c r="X148" s="145" t="n">
        <f aca="false">IFERROR('Price History'!C3+(INDEX('Price History'!C:C,MATCH(9.99E+307,'Price History'!$A:$A))-'Price History'!C3)*(ROW()-3)/(MATCH(9.99E+307,'Returns (Calc)'!$A:$A)-3),"")</f>
        <v>4.06616352201257</v>
      </c>
      <c r="Y148" s="145" t="n">
        <f aca="false">IFERROR('Price History'!D3+(INDEX('Price History'!D:D,MATCH(9.99E+307,'Price History'!$A:$A))-'Price History'!D3)*(ROW()-3)/(MATCH(9.99E+307,'Returns (Calc)'!$A:$A)-3),"")</f>
        <v>51.2461635220126</v>
      </c>
      <c r="Z148" s="145" t="n">
        <f aca="false">IFERROR('Price History'!E3+(INDEX('Price History'!E:E,MATCH(9.99E+307,'Price History'!$A:$A))-'Price History'!E3)*(ROW()-3)/(MATCH(9.99E+307,'Returns (Calc)'!$A:$A)-3),"")</f>
        <v>7.22012578616352</v>
      </c>
      <c r="AA148" s="145" t="n">
        <f aca="false">IFERROR('Price History'!F3+(INDEX('Price History'!F:F,MATCH(9.99E+307,'Price History'!$A:$A))-'Price History'!F3)*(ROW()-3)/(MATCH(9.99E+307,'Returns (Calc)'!$A:$A)-3),"")</f>
        <v>6.63106918238994</v>
      </c>
      <c r="AB148" s="145" t="n">
        <f aca="false">IFERROR('Price History'!G3+(INDEX('Price History'!G:G,MATCH(9.99E+307,'Price History'!$A:$A))-'Price History'!G3)*(ROW()-3)/(MATCH(9.99E+307,'Returns (Calc)'!$A:$A)-3),"")</f>
        <v>3.64176100628931</v>
      </c>
      <c r="AC148" s="145" t="n">
        <f aca="false">IFERROR('Price History'!H3+(INDEX('Price History'!H:H,MATCH(9.99E+307,'Price History'!$A:$A))-'Price History'!H3)*(ROW()-3)/(MATCH(9.99E+307,'Returns (Calc)'!$A:$A)-3),"")</f>
        <v>8.85698113207548</v>
      </c>
      <c r="AD148" s="145" t="n">
        <f aca="false">IFERROR('Price History'!I3+(INDEX('Price History'!I:I,MATCH(9.99E+307,'Price History'!$A:$A))-'Price History'!I3)*(ROW()-3)/(MATCH(9.99E+307,'Returns (Calc)'!$A:$A)-3),"")</f>
        <v>3.90503144654088</v>
      </c>
      <c r="AE148" s="145" t="n">
        <f aca="false">IFERROR('Price History'!J3+(INDEX('Price History'!J:J,MATCH(9.99E+307,'Price History'!$A:$A))-'Price History'!J3)*(ROW()-3)/(MATCH(9.99E+307,'Returns (Calc)'!$A:$A)-3),"")</f>
        <v>6.0851572327044</v>
      </c>
      <c r="AF148" s="145" t="n">
        <f aca="false">IFERROR('Price History'!K3+(INDEX('Price History'!K:K,MATCH(9.99E+307,'Price History'!$A:$A))-'Price History'!K3)*(ROW()-3)/(MATCH(9.99E+307,'Returns (Calc)'!$A:$A)-3),"")</f>
        <v>3.85396226415094</v>
      </c>
      <c r="AG148" s="145" t="n">
        <f aca="false">IFERROR('Price History'!L3+(INDEX('Price History'!L:L,MATCH(9.99E+307,'Price History'!$A:$A))-'Price History'!L3)*(ROW()-3)/(MATCH(9.99E+307,'Returns (Calc)'!$A:$A)-3),"")</f>
        <v>9.84754716981132</v>
      </c>
      <c r="AH148" s="145" t="n">
        <f aca="false">IFERROR('Price History'!M3+(INDEX('Price History'!M:M,MATCH(9.99E+307,'Price History'!$A:$A))-'Price History'!M3)*(ROW()-3)/(MATCH(9.99E+307,'Returns (Calc)'!$A:$A)-3),"")</f>
        <v>1.34981132075472</v>
      </c>
      <c r="AI148" s="145" t="n">
        <f aca="false">IFERROR('Price History'!N3+(INDEX('Price History'!N:N,MATCH(9.99E+307,'Price History'!$A:$A))-'Price History'!N3)*(ROW()-3)/(MATCH(9.99E+307,'Returns (Calc)'!$A:$A)-3),"")</f>
        <v>1.91949685534591</v>
      </c>
      <c r="AJ148" s="145" t="n">
        <f aca="false">IFERROR('Price History'!O3+(INDEX('Price History'!O:O,MATCH(9.99E+307,'Price History'!$A:$A))-'Price History'!O3)*(ROW()-3)/(MATCH(9.99E+307,'Returns (Calc)'!$A:$A)-3),"")</f>
        <v>5.07433962264151</v>
      </c>
      <c r="AK148" s="145" t="n">
        <f aca="false">IFERROR('Price History'!Q3+(INDEX('Price History'!Q:Q,MATCH(9.99E+307,'Price History'!$A:$A))-'Price History'!Q3)*(ROW()-3)/(MATCH(9.99E+307,'Returns (Calc)'!$A:$A)-3),"")</f>
        <v>20.7472955974843</v>
      </c>
      <c r="AL148" s="145" t="n">
        <f aca="false">IFERROR('Price History'!R3+(INDEX('Price History'!R:R,MATCH(9.99E+307,'Price History'!$A:$A))-'Price History'!R3)*(ROW()-3)/(MATCH(9.99E+307,'Returns (Calc)'!$A:$A)-3),"")</f>
        <v>4.21056603773585</v>
      </c>
      <c r="AM148" s="145" t="n">
        <f aca="false">IFERROR('Price History'!S3+(INDEX('Price History'!S:S,MATCH(9.99E+307,'Price History'!$A:$A))-'Price History'!S3)*(ROW()-3)/(MATCH(9.99E+307,'Returns (Calc)'!$A:$A)-3),"")</f>
        <v>5.15446540880504</v>
      </c>
      <c r="AN148" s="145" t="n">
        <f aca="false">IFERROR('Price History'!T3+(INDEX('Price History'!T:T,MATCH(9.99E+307,'Price History'!$A:$A))-'Price History'!T3)*(ROW()-3)/(MATCH(9.99E+307,'Returns (Calc)'!$A:$A)-3),"")</f>
        <v>2.36943396226415</v>
      </c>
      <c r="AO148" s="146" t="n">
        <f aca="false">IFERROR('Price History'!V3+(INDEX('Price History'!V:V,MATCH(9.99E+307,'Price History'!$A:$A))-'Price History'!V3)*(ROW()-3)/(MATCH(9.99E+307,'Returns (Calc)'!$A:$A)-3),"")</f>
        <v>0</v>
      </c>
    </row>
    <row r="149" customFormat="false" ht="15" hidden="false" customHeight="true" outlineLevel="0" collapsed="false">
      <c r="A149" s="142" t="n">
        <f aca="false">IF('Price History'!A150="","",'Price History'!A150)</f>
        <v>46213</v>
      </c>
      <c r="B149" s="143" t="n">
        <f aca="false">IFERROR(IF(OR(NOT(ISNUMBER('Price History'!B150)),NOT(ISNUMBER('Price History'!B149)),'Price History'!B149=0),"",'Price History'!B150/'Price History'!B149-1),"")</f>
        <v>0.0178408884034225</v>
      </c>
      <c r="C149" s="143" t="n">
        <f aca="false">IFERROR(IF(OR(NOT(ISNUMBER('Price History'!C150)),NOT(ISNUMBER('Price History'!C149)),'Price History'!C149=0),"",'Price History'!C150/'Price History'!C149-1),"")</f>
        <v>0.168573035814738</v>
      </c>
      <c r="D149" s="143" t="n">
        <f aca="false">IFERROR(IF(OR(NOT(ISNUMBER('Price History'!D150)),NOT(ISNUMBER('Price History'!D149)),'Price History'!D149=0),"",'Price History'!D150/'Price History'!D149-1),"")</f>
        <v>0.015828820110581</v>
      </c>
      <c r="E149" s="143" t="n">
        <f aca="false">IFERROR(IF(OR(NOT(ISNUMBER('Price History'!E150)),NOT(ISNUMBER('Price History'!E149)),'Price History'!E149=0),"",'Price History'!E150/'Price History'!E149-1),"")</f>
        <v>0.109647294254982</v>
      </c>
      <c r="F149" s="143" t="n">
        <f aca="false">IFERROR(IF(OR(NOT(ISNUMBER('Price History'!F150)),NOT(ISNUMBER('Price History'!F149)),'Price History'!F149=0),"",'Price History'!F150/'Price History'!F149-1),"")</f>
        <v>0.00357403947689061</v>
      </c>
      <c r="G149" s="143" t="n">
        <f aca="false">IFERROR(IF(OR(NOT(ISNUMBER('Price History'!G150)),NOT(ISNUMBER('Price History'!G149)),'Price History'!G149=0),"",'Price History'!G150/'Price History'!G149-1),"")</f>
        <v>-0.0350551603258067</v>
      </c>
      <c r="H149" s="143" t="n">
        <f aca="false">IFERROR(IF(OR(NOT(ISNUMBER('Price History'!H150)),NOT(ISNUMBER('Price History'!H149)),'Price History'!H149=0),"",'Price History'!H150/'Price History'!H149-1),"")</f>
        <v>0.00234503739383962</v>
      </c>
      <c r="I149" s="143" t="n">
        <f aca="false">IFERROR(IF(OR(NOT(ISNUMBER('Price History'!I150)),NOT(ISNUMBER('Price History'!I149)),'Price History'!I149=0),"",'Price History'!I150/'Price History'!I149-1),"")</f>
        <v>-0.0170860251615097</v>
      </c>
      <c r="J149" s="143" t="n">
        <f aca="false">IFERROR(IF(OR(NOT(ISNUMBER('Price History'!J150)),NOT(ISNUMBER('Price History'!J149)),'Price History'!J149=0),"",'Price History'!J150/'Price History'!J149-1),"")</f>
        <v>0.00398806655662742</v>
      </c>
      <c r="K149" s="143" t="n">
        <f aca="false">IFERROR(IF(OR(NOT(ISNUMBER('Price History'!K150)),NOT(ISNUMBER('Price History'!K149)),'Price History'!K149=0),"",'Price History'!K150/'Price History'!K149-1),"")</f>
        <v>0.0827809465084013</v>
      </c>
      <c r="L149" s="143" t="n">
        <f aca="false">IFERROR(IF(OR(NOT(ISNUMBER('Price History'!L150)),NOT(ISNUMBER('Price History'!L149)),'Price History'!L149=0),"",'Price History'!L150/'Price History'!L149-1),"")</f>
        <v>0.0103375984963492</v>
      </c>
      <c r="M149" s="143" t="n">
        <f aca="false">IFERROR(IF(OR(NOT(ISNUMBER('Price History'!M150)),NOT(ISNUMBER('Price History'!M149)),'Price History'!M149=0),"",'Price History'!M150/'Price History'!M149-1),"")</f>
        <v>-0.0194122196442382</v>
      </c>
      <c r="N149" s="143" t="n">
        <f aca="false">IFERROR(IF(OR(NOT(ISNUMBER('Price History'!N150)),NOT(ISNUMBER('Price History'!N149)),'Price History'!N149=0),"",'Price History'!N150/'Price History'!N149-1),"")</f>
        <v>0.000311235605353177</v>
      </c>
      <c r="O149" s="143" t="n">
        <f aca="false">IFERROR(IF(OR(NOT(ISNUMBER('Price History'!O150)),NOT(ISNUMBER('Price History'!O149)),'Price History'!O149=0),"",'Price History'!O150/'Price History'!O149-1),"")</f>
        <v>0.0193916854827998</v>
      </c>
      <c r="P149" s="143" t="n">
        <f aca="false">IFERROR(IF(OR(NOT(ISNUMBER('Price History'!P150)),NOT(ISNUMBER('Price History'!P149)),'Price History'!P149=0),"",'Price History'!P150/'Price History'!P149-1),"")</f>
        <v>-0.000115473441108627</v>
      </c>
      <c r="Q149" s="143" t="n">
        <f aca="false">IFERROR(IF(OR(NOT(ISNUMBER('Price History'!Q150)),NOT(ISNUMBER('Price History'!Q149)),'Price History'!Q149=0),"",'Price History'!Q150/'Price History'!Q149-1),"")</f>
        <v>-0.0363525701322415</v>
      </c>
      <c r="R149" s="143" t="n">
        <f aca="false">IFERROR(IF(OR(NOT(ISNUMBER('Price History'!R150)),NOT(ISNUMBER('Price History'!R149)),'Price History'!R149=0),"",'Price History'!R150/'Price History'!R149-1),"")</f>
        <v>-0.0367947669664759</v>
      </c>
      <c r="S149" s="143" t="n">
        <f aca="false">IFERROR(IF(OR(NOT(ISNUMBER('Price History'!S150)),NOT(ISNUMBER('Price History'!S149)),'Price History'!S149=0),"",'Price History'!S150/'Price History'!S149-1),"")</f>
        <v>-0.0419018527126636</v>
      </c>
      <c r="T149" s="143" t="n">
        <f aca="false">IFERROR(IF(OR(NOT(ISNUMBER('Price History'!T150)),NOT(ISNUMBER('Price History'!T149)),'Price History'!T149=0),"",'Price History'!T150/'Price History'!T149-1),"")</f>
        <v>-0.0111659866867082</v>
      </c>
      <c r="U149" s="143" t="str">
        <f aca="false">IFERROR(IF(OR(NOT(ISNUMBER('Price History'!U150)),NOT(ISNUMBER('Price History'!U149)),'Price History'!U149=0),"",'Price History'!U150/'Price History'!U149-1),"")</f>
        <v/>
      </c>
      <c r="V149" s="144" t="n">
        <f aca="false">IFERROR(IF(OR(NOT(ISNUMBER('Price History'!V150)),NOT(ISNUMBER('Price History'!V149)),'Price History'!V149=0),"",'Price History'!V150/'Price History'!V149-1),"")</f>
        <v>-0.00853415195702212</v>
      </c>
      <c r="W149" s="145" t="str">
        <f aca="false">IFERROR('Price History'!B3+(INDEX('Price History'!B:B,MATCH(9.99E+307,'Price History'!$A:$A))-'Price History'!B3)*(ROW()-3)/(MATCH(9.99E+307,'Returns (Calc)'!$A:$A)-3),"")</f>
        <v/>
      </c>
      <c r="X149" s="145" t="n">
        <f aca="false">IFERROR('Price History'!C3+(INDEX('Price History'!C:C,MATCH(9.99E+307,'Price History'!$A:$A))-'Price History'!C3)*(ROW()-3)/(MATCH(9.99E+307,'Returns (Calc)'!$A:$A)-3),"")</f>
        <v>3.77572327044025</v>
      </c>
      <c r="Y149" s="145" t="n">
        <f aca="false">IFERROR('Price History'!D3+(INDEX('Price History'!D:D,MATCH(9.99E+307,'Price History'!$A:$A))-'Price History'!D3)*(ROW()-3)/(MATCH(9.99E+307,'Returns (Calc)'!$A:$A)-3),"")</f>
        <v>47.5857232704403</v>
      </c>
      <c r="Z149" s="145" t="n">
        <f aca="false">IFERROR('Price History'!E3+(INDEX('Price History'!E:E,MATCH(9.99E+307,'Price History'!$A:$A))-'Price History'!E3)*(ROW()-3)/(MATCH(9.99E+307,'Returns (Calc)'!$A:$A)-3),"")</f>
        <v>6.70440251572327</v>
      </c>
      <c r="AA149" s="145" t="n">
        <f aca="false">IFERROR('Price History'!F3+(INDEX('Price History'!F:F,MATCH(9.99E+307,'Price History'!$A:$A))-'Price History'!F3)*(ROW()-3)/(MATCH(9.99E+307,'Returns (Calc)'!$A:$A)-3),"")</f>
        <v>6.1574213836478</v>
      </c>
      <c r="AB149" s="145" t="n">
        <f aca="false">IFERROR('Price History'!G3+(INDEX('Price History'!G:G,MATCH(9.99E+307,'Price History'!$A:$A))-'Price History'!G3)*(ROW()-3)/(MATCH(9.99E+307,'Returns (Calc)'!$A:$A)-3),"")</f>
        <v>3.38163522012579</v>
      </c>
      <c r="AC149" s="145" t="n">
        <f aca="false">IFERROR('Price History'!H3+(INDEX('Price History'!H:H,MATCH(9.99E+307,'Price History'!$A:$A))-'Price History'!H3)*(ROW()-3)/(MATCH(9.99E+307,'Returns (Calc)'!$A:$A)-3),"")</f>
        <v>8.22433962264151</v>
      </c>
      <c r="AD149" s="145" t="n">
        <f aca="false">IFERROR('Price History'!I3+(INDEX('Price History'!I:I,MATCH(9.99E+307,'Price History'!$A:$A))-'Price History'!I3)*(ROW()-3)/(MATCH(9.99E+307,'Returns (Calc)'!$A:$A)-3),"")</f>
        <v>3.62610062893081</v>
      </c>
      <c r="AE149" s="145" t="n">
        <f aca="false">IFERROR('Price History'!J3+(INDEX('Price History'!J:J,MATCH(9.99E+307,'Price History'!$A:$A))-'Price History'!J3)*(ROW()-3)/(MATCH(9.99E+307,'Returns (Calc)'!$A:$A)-3),"")</f>
        <v>5.65050314465409</v>
      </c>
      <c r="AF149" s="145" t="n">
        <f aca="false">IFERROR('Price History'!K3+(INDEX('Price History'!K:K,MATCH(9.99E+307,'Price History'!$A:$A))-'Price History'!K3)*(ROW()-3)/(MATCH(9.99E+307,'Returns (Calc)'!$A:$A)-3),"")</f>
        <v>3.57867924528302</v>
      </c>
      <c r="AG149" s="145" t="n">
        <f aca="false">IFERROR('Price History'!L3+(INDEX('Price History'!L:L,MATCH(9.99E+307,'Price History'!$A:$A))-'Price History'!L3)*(ROW()-3)/(MATCH(9.99E+307,'Returns (Calc)'!$A:$A)-3),"")</f>
        <v>9.14415094339623</v>
      </c>
      <c r="AH149" s="145" t="n">
        <f aca="false">IFERROR('Price History'!M3+(INDEX('Price History'!M:M,MATCH(9.99E+307,'Price History'!$A:$A))-'Price History'!M3)*(ROW()-3)/(MATCH(9.99E+307,'Returns (Calc)'!$A:$A)-3),"")</f>
        <v>1.2533962264151</v>
      </c>
      <c r="AI149" s="145" t="n">
        <f aca="false">IFERROR('Price History'!N3+(INDEX('Price History'!N:N,MATCH(9.99E+307,'Price History'!$A:$A))-'Price History'!N3)*(ROW()-3)/(MATCH(9.99E+307,'Returns (Calc)'!$A:$A)-3),"")</f>
        <v>1.78238993710692</v>
      </c>
      <c r="AJ149" s="145" t="n">
        <f aca="false">IFERROR('Price History'!O3+(INDEX('Price History'!O:O,MATCH(9.99E+307,'Price History'!$A:$A))-'Price History'!O3)*(ROW()-3)/(MATCH(9.99E+307,'Returns (Calc)'!$A:$A)-3),"")</f>
        <v>4.71188679245284</v>
      </c>
      <c r="AK149" s="145" t="n">
        <f aca="false">IFERROR('Price History'!Q3+(INDEX('Price History'!Q:Q,MATCH(9.99E+307,'Price History'!$A:$A))-'Price History'!Q3)*(ROW()-3)/(MATCH(9.99E+307,'Returns (Calc)'!$A:$A)-3),"")</f>
        <v>19.2653459119497</v>
      </c>
      <c r="AL149" s="145" t="n">
        <f aca="false">IFERROR('Price History'!R3+(INDEX('Price History'!R:R,MATCH(9.99E+307,'Price History'!$A:$A))-'Price History'!R3)*(ROW()-3)/(MATCH(9.99E+307,'Returns (Calc)'!$A:$A)-3),"")</f>
        <v>3.90981132075471</v>
      </c>
      <c r="AM149" s="145" t="n">
        <f aca="false">IFERROR('Price History'!S3+(INDEX('Price History'!S:S,MATCH(9.99E+307,'Price History'!$A:$A))-'Price History'!S3)*(ROW()-3)/(MATCH(9.99E+307,'Returns (Calc)'!$A:$A)-3),"")</f>
        <v>4.7862893081761</v>
      </c>
      <c r="AN149" s="145" t="n">
        <f aca="false">IFERROR('Price History'!T3+(INDEX('Price History'!T:T,MATCH(9.99E+307,'Price History'!$A:$A))-'Price History'!T3)*(ROW()-3)/(MATCH(9.99E+307,'Returns (Calc)'!$A:$A)-3),"")</f>
        <v>2.20018867924528</v>
      </c>
      <c r="AO149" s="146" t="n">
        <f aca="false">IFERROR('Price History'!V3+(INDEX('Price History'!V:V,MATCH(9.99E+307,'Price History'!$A:$A))-'Price History'!V3)*(ROW()-3)/(MATCH(9.99E+307,'Returns (Calc)'!$A:$A)-3),"")</f>
        <v>0</v>
      </c>
    </row>
    <row r="150" customFormat="false" ht="15" hidden="false" customHeight="true" outlineLevel="0" collapsed="false">
      <c r="A150" s="142" t="n">
        <f aca="false">IF('Price History'!A151="","",'Price History'!A151)</f>
        <v>46220</v>
      </c>
      <c r="B150" s="143" t="n">
        <f aca="false">IFERROR(IF(OR(NOT(ISNUMBER('Price History'!B151)),NOT(ISNUMBER('Price History'!B150)),'Price History'!B150=0),"",'Price History'!B151/'Price History'!B150-1),"")</f>
        <v>0.0608567340368449</v>
      </c>
      <c r="C150" s="143" t="n">
        <f aca="false">IFERROR(IF(OR(NOT(ISNUMBER('Price History'!C151)),NOT(ISNUMBER('Price History'!C150)),'Price History'!C150=0),"",'Price History'!C151/'Price History'!C150-1),"")</f>
        <v>-0.0981493367565254</v>
      </c>
      <c r="D150" s="143" t="n">
        <f aca="false">IFERROR(IF(OR(NOT(ISNUMBER('Price History'!D151)),NOT(ISNUMBER('Price History'!D150)),'Price History'!D150=0),"",'Price History'!D151/'Price History'!D150-1),"")</f>
        <v>-0.0276768802228413</v>
      </c>
      <c r="E150" s="143" t="n">
        <f aca="false">IFERROR(IF(OR(NOT(ISNUMBER('Price History'!E151)),NOT(ISNUMBER('Price History'!E150)),'Price History'!E150=0),"",'Price History'!E151/'Price History'!E150-1),"")</f>
        <v>-0.0728383929465984</v>
      </c>
      <c r="F150" s="143" t="n">
        <f aca="false">IFERROR(IF(OR(NOT(ISNUMBER('Price History'!F151)),NOT(ISNUMBER('Price History'!F150)),'Price History'!F150=0),"",'Price History'!F151/'Price History'!F150-1),"")</f>
        <v>0.0112505058680696</v>
      </c>
      <c r="G150" s="143" t="n">
        <f aca="false">IFERROR(IF(OR(NOT(ISNUMBER('Price History'!G151)),NOT(ISNUMBER('Price History'!G150)),'Price History'!G150=0),"",'Price History'!G151/'Price History'!G150-1),"")</f>
        <v>0.0849449727534994</v>
      </c>
      <c r="H150" s="143" t="n">
        <f aca="false">IFERROR(IF(OR(NOT(ISNUMBER('Price History'!H151)),NOT(ISNUMBER('Price History'!H150)),'Price History'!H150=0),"",'Price History'!H151/'Price History'!H150-1),"")</f>
        <v>0.01492254189061</v>
      </c>
      <c r="I150" s="143" t="n">
        <f aca="false">IFERROR(IF(OR(NOT(ISNUMBER('Price History'!I151)),NOT(ISNUMBER('Price History'!I150)),'Price History'!I150=0),"",'Price History'!I151/'Price History'!I150-1),"")</f>
        <v>-0.0810775750237828</v>
      </c>
      <c r="J150" s="143" t="n">
        <f aca="false">IFERROR(IF(OR(NOT(ISNUMBER('Price History'!J151)),NOT(ISNUMBER('Price History'!J150)),'Price History'!J150=0),"",'Price History'!J151/'Price History'!J150-1),"")</f>
        <v>-0.133105279281119</v>
      </c>
      <c r="K150" s="143" t="n">
        <f aca="false">IFERROR(IF(OR(NOT(ISNUMBER('Price History'!K151)),NOT(ISNUMBER('Price History'!K150)),'Price History'!K150=0),"",'Price History'!K151/'Price History'!K150-1),"")</f>
        <v>-0.0386294608959756</v>
      </c>
      <c r="L150" s="143" t="n">
        <f aca="false">IFERROR(IF(OR(NOT(ISNUMBER('Price History'!L151)),NOT(ISNUMBER('Price History'!L150)),'Price History'!L150=0),"",'Price History'!L151/'Price History'!L150-1),"")</f>
        <v>0.0633228391528335</v>
      </c>
      <c r="M150" s="143" t="n">
        <f aca="false">IFERROR(IF(OR(NOT(ISNUMBER('Price History'!M151)),NOT(ISNUMBER('Price History'!M150)),'Price History'!M150=0),"",'Price History'!M151/'Price History'!M150-1),"")</f>
        <v>0.0440886505244893</v>
      </c>
      <c r="N150" s="143" t="n">
        <f aca="false">IFERROR(IF(OR(NOT(ISNUMBER('Price History'!N151)),NOT(ISNUMBER('Price History'!N150)),'Price History'!N150=0),"",'Price History'!N151/'Price History'!N150-1),"")</f>
        <v>0.0158680771624145</v>
      </c>
      <c r="O150" s="143" t="n">
        <f aca="false">IFERROR(IF(OR(NOT(ISNUMBER('Price History'!O151)),NOT(ISNUMBER('Price History'!O150)),'Price History'!O150=0),"",'Price History'!O151/'Price History'!O150-1),"")</f>
        <v>-0.0641042345276873</v>
      </c>
      <c r="P150" s="143" t="n">
        <f aca="false">IFERROR(IF(OR(NOT(ISNUMBER('Price History'!P151)),NOT(ISNUMBER('Price History'!P150)),'Price History'!P150=0),"",'Price History'!P151/'Price History'!P150-1),"")</f>
        <v>-0.0823420718327751</v>
      </c>
      <c r="Q150" s="143" t="n">
        <f aca="false">IFERROR(IF(OR(NOT(ISNUMBER('Price History'!Q151)),NOT(ISNUMBER('Price History'!Q150)),'Price History'!Q150=0),"",'Price History'!Q151/'Price History'!Q150-1),"")</f>
        <v>0.0275034451079468</v>
      </c>
      <c r="R150" s="143" t="n">
        <f aca="false">IFERROR(IF(OR(NOT(ISNUMBER('Price History'!R151)),NOT(ISNUMBER('Price History'!R150)),'Price History'!R150=0),"",'Price History'!R151/'Price History'!R150-1),"")</f>
        <v>0.0162988115449916</v>
      </c>
      <c r="S150" s="143" t="n">
        <f aca="false">IFERROR(IF(OR(NOT(ISNUMBER('Price History'!S151)),NOT(ISNUMBER('Price History'!S150)),'Price History'!S150=0),"",'Price History'!S151/'Price History'!S150-1),"")</f>
        <v>0.0568339340171886</v>
      </c>
      <c r="T150" s="143" t="n">
        <f aca="false">IFERROR(IF(OR(NOT(ISNUMBER('Price History'!T151)),NOT(ISNUMBER('Price History'!T150)),'Price History'!T150=0),"",'Price History'!T151/'Price History'!T150-1),"")</f>
        <v>0.00521172638436496</v>
      </c>
      <c r="U150" s="143" t="str">
        <f aca="false">IFERROR(IF(OR(NOT(ISNUMBER('Price History'!U151)),NOT(ISNUMBER('Price History'!U150)),'Price History'!U150=0),"",'Price History'!U151/'Price History'!U150-1),"")</f>
        <v/>
      </c>
      <c r="V150" s="144" t="n">
        <f aca="false">IFERROR(IF(OR(NOT(ISNUMBER('Price History'!V151)),NOT(ISNUMBER('Price History'!V150)),'Price History'!V150=0),"",'Price History'!V151/'Price History'!V150-1),"")</f>
        <v>-0.00365359011672917</v>
      </c>
      <c r="W150" s="145" t="str">
        <f aca="false">IFERROR('Price History'!B3+(INDEX('Price History'!B:B,MATCH(9.99E+307,'Price History'!$A:$A))-'Price History'!B3)*(ROW()-3)/(MATCH(9.99E+307,'Returns (Calc)'!$A:$A)-3),"")</f>
        <v/>
      </c>
      <c r="X150" s="145" t="n">
        <f aca="false">IFERROR('Price History'!C3+(INDEX('Price History'!C:C,MATCH(9.99E+307,'Price History'!$A:$A))-'Price History'!C3)*(ROW()-3)/(MATCH(9.99E+307,'Returns (Calc)'!$A:$A)-3),"")</f>
        <v>3.48528301886793</v>
      </c>
      <c r="Y150" s="145" t="n">
        <f aca="false">IFERROR('Price History'!D3+(INDEX('Price History'!D:D,MATCH(9.99E+307,'Price History'!$A:$A))-'Price History'!D3)*(ROW()-3)/(MATCH(9.99E+307,'Returns (Calc)'!$A:$A)-3),"")</f>
        <v>43.925283018868</v>
      </c>
      <c r="Z150" s="145" t="n">
        <f aca="false">IFERROR('Price History'!E3+(INDEX('Price History'!E:E,MATCH(9.99E+307,'Price History'!$A:$A))-'Price History'!E3)*(ROW()-3)/(MATCH(9.99E+307,'Returns (Calc)'!$A:$A)-3),"")</f>
        <v>6.18867924528301</v>
      </c>
      <c r="AA150" s="145" t="n">
        <f aca="false">IFERROR('Price History'!F3+(INDEX('Price History'!F:F,MATCH(9.99E+307,'Price History'!$A:$A))-'Price History'!F3)*(ROW()-3)/(MATCH(9.99E+307,'Returns (Calc)'!$A:$A)-3),"")</f>
        <v>5.68377358490567</v>
      </c>
      <c r="AB150" s="145" t="n">
        <f aca="false">IFERROR('Price History'!G3+(INDEX('Price History'!G:G,MATCH(9.99E+307,'Price History'!$A:$A))-'Price History'!G3)*(ROW()-3)/(MATCH(9.99E+307,'Returns (Calc)'!$A:$A)-3),"")</f>
        <v>3.12150943396227</v>
      </c>
      <c r="AC150" s="145" t="n">
        <f aca="false">IFERROR('Price History'!H3+(INDEX('Price History'!H:H,MATCH(9.99E+307,'Price History'!$A:$A))-'Price History'!H3)*(ROW()-3)/(MATCH(9.99E+307,'Returns (Calc)'!$A:$A)-3),"")</f>
        <v>7.59169811320754</v>
      </c>
      <c r="AD150" s="145" t="n">
        <f aca="false">IFERROR('Price History'!I3+(INDEX('Price History'!I:I,MATCH(9.99E+307,'Price History'!$A:$A))-'Price History'!I3)*(ROW()-3)/(MATCH(9.99E+307,'Returns (Calc)'!$A:$A)-3),"")</f>
        <v>3.34716981132075</v>
      </c>
      <c r="AE150" s="145" t="n">
        <f aca="false">IFERROR('Price History'!J3+(INDEX('Price History'!J:J,MATCH(9.99E+307,'Price History'!$A:$A))-'Price History'!J3)*(ROW()-3)/(MATCH(9.99E+307,'Returns (Calc)'!$A:$A)-3),"")</f>
        <v>5.21584905660377</v>
      </c>
      <c r="AF150" s="145" t="n">
        <f aca="false">IFERROR('Price History'!K3+(INDEX('Price History'!K:K,MATCH(9.99E+307,'Price History'!$A:$A))-'Price History'!K3)*(ROW()-3)/(MATCH(9.99E+307,'Returns (Calc)'!$A:$A)-3),"")</f>
        <v>3.3033962264151</v>
      </c>
      <c r="AG150" s="145" t="n">
        <f aca="false">IFERROR('Price History'!L3+(INDEX('Price History'!L:L,MATCH(9.99E+307,'Price History'!$A:$A))-'Price History'!L3)*(ROW()-3)/(MATCH(9.99E+307,'Returns (Calc)'!$A:$A)-3),"")</f>
        <v>8.44075471698113</v>
      </c>
      <c r="AH150" s="145" t="n">
        <f aca="false">IFERROR('Price History'!M3+(INDEX('Price History'!M:M,MATCH(9.99E+307,'Price History'!$A:$A))-'Price History'!M3)*(ROW()-3)/(MATCH(9.99E+307,'Returns (Calc)'!$A:$A)-3),"")</f>
        <v>1.15698113207547</v>
      </c>
      <c r="AI150" s="145" t="n">
        <f aca="false">IFERROR('Price History'!N3+(INDEX('Price History'!N:N,MATCH(9.99E+307,'Price History'!$A:$A))-'Price History'!N3)*(ROW()-3)/(MATCH(9.99E+307,'Returns (Calc)'!$A:$A)-3),"")</f>
        <v>1.64528301886793</v>
      </c>
      <c r="AJ150" s="145" t="n">
        <f aca="false">IFERROR('Price History'!O3+(INDEX('Price History'!O:O,MATCH(9.99E+307,'Price History'!$A:$A))-'Price History'!O3)*(ROW()-3)/(MATCH(9.99E+307,'Returns (Calc)'!$A:$A)-3),"")</f>
        <v>4.34943396226415</v>
      </c>
      <c r="AK150" s="145" t="n">
        <f aca="false">IFERROR('Price History'!Q3+(INDEX('Price History'!Q:Q,MATCH(9.99E+307,'Price History'!$A:$A))-'Price History'!Q3)*(ROW()-3)/(MATCH(9.99E+307,'Returns (Calc)'!$A:$A)-3),"")</f>
        <v>17.7833962264151</v>
      </c>
      <c r="AL150" s="145" t="n">
        <f aca="false">IFERROR('Price History'!R3+(INDEX('Price History'!R:R,MATCH(9.99E+307,'Price History'!$A:$A))-'Price History'!R3)*(ROW()-3)/(MATCH(9.99E+307,'Returns (Calc)'!$A:$A)-3),"")</f>
        <v>3.60905660377359</v>
      </c>
      <c r="AM150" s="145" t="n">
        <f aca="false">IFERROR('Price History'!S3+(INDEX('Price History'!S:S,MATCH(9.99E+307,'Price History'!$A:$A))-'Price History'!S3)*(ROW()-3)/(MATCH(9.99E+307,'Returns (Calc)'!$A:$A)-3),"")</f>
        <v>4.41811320754717</v>
      </c>
      <c r="AN150" s="145" t="n">
        <f aca="false">IFERROR('Price History'!T3+(INDEX('Price History'!T:T,MATCH(9.99E+307,'Price History'!$A:$A))-'Price History'!T3)*(ROW()-3)/(MATCH(9.99E+307,'Returns (Calc)'!$A:$A)-3),"")</f>
        <v>2.03094339622642</v>
      </c>
      <c r="AO150" s="146" t="n">
        <f aca="false">IFERROR('Price History'!V3+(INDEX('Price History'!V:V,MATCH(9.99E+307,'Price History'!$A:$A))-'Price History'!V3)*(ROW()-3)/(MATCH(9.99E+307,'Returns (Calc)'!$A:$A)-3),"")</f>
        <v>0</v>
      </c>
    </row>
    <row r="151" customFormat="false" ht="15" hidden="false" customHeight="true" outlineLevel="0" collapsed="false">
      <c r="A151" s="142" t="n">
        <f aca="false">IF('Price History'!A152="","",'Price History'!A152)</f>
        <v>46227</v>
      </c>
      <c r="B151" s="143" t="n">
        <f aca="false">IFERROR(IF(OR(NOT(ISNUMBER('Price History'!B152)),NOT(ISNUMBER('Price History'!B151)),'Price History'!B151=0),"",'Price History'!B152/'Price History'!B151-1),"")</f>
        <v>-0.0511696522655426</v>
      </c>
      <c r="C151" s="143" t="n">
        <f aca="false">IFERROR(IF(OR(NOT(ISNUMBER('Price History'!C152)),NOT(ISNUMBER('Price History'!C151)),'Price History'!C151=0),"",'Price History'!C152/'Price History'!C151-1),"")</f>
        <v>0.0319079532649309</v>
      </c>
      <c r="D151" s="143" t="n">
        <f aca="false">IFERROR(IF(OR(NOT(ISNUMBER('Price History'!D152)),NOT(ISNUMBER('Price History'!D151)),'Price History'!D151=0),"",'Price History'!D152/'Price History'!D151-1),"")</f>
        <v>0.00544312790777624</v>
      </c>
      <c r="E151" s="143" t="n">
        <f aca="false">IFERROR(IF(OR(NOT(ISNUMBER('Price History'!E152)),NOT(ISNUMBER('Price History'!E151)),'Price History'!E151=0),"",'Price History'!E152/'Price History'!E151-1),"")</f>
        <v>0.029905986600389</v>
      </c>
      <c r="F151" s="143" t="n">
        <f aca="false">IFERROR(IF(OR(NOT(ISNUMBER('Price History'!F152)),NOT(ISNUMBER('Price History'!F151)),'Price History'!F151=0),"",'Price History'!F152/'Price History'!F151-1),"")</f>
        <v>-0.000560268929085894</v>
      </c>
      <c r="G151" s="143" t="n">
        <f aca="false">IFERROR(IF(OR(NOT(ISNUMBER('Price History'!G152)),NOT(ISNUMBER('Price History'!G151)),'Price History'!G151=0),"",'Price History'!G152/'Price History'!G151-1),"")</f>
        <v>-0.0974985227496553</v>
      </c>
      <c r="H151" s="143" t="n">
        <f aca="false">IFERROR(IF(OR(NOT(ISNUMBER('Price History'!H152)),NOT(ISNUMBER('Price History'!H151)),'Price History'!H151=0),"",'Price History'!H152/'Price History'!H151-1),"")</f>
        <v>0.00716466263784188</v>
      </c>
      <c r="I151" s="143" t="n">
        <f aca="false">IFERROR(IF(OR(NOT(ISNUMBER('Price History'!I152)),NOT(ISNUMBER('Price History'!I151)),'Price History'!I151=0),"",'Price History'!I152/'Price History'!I151-1),"")</f>
        <v>-0.0104936238294668</v>
      </c>
      <c r="J151" s="143" t="n">
        <f aca="false">IFERROR(IF(OR(NOT(ISNUMBER('Price History'!J152)),NOT(ISNUMBER('Price History'!J151)),'Price History'!J151=0),"",'Price History'!J152/'Price History'!J151-1),"")</f>
        <v>0.0848106484480828</v>
      </c>
      <c r="K151" s="143" t="n">
        <f aca="false">IFERROR(IF(OR(NOT(ISNUMBER('Price History'!K152)),NOT(ISNUMBER('Price History'!K151)),'Price History'!K151=0),"",'Price History'!K152/'Price History'!K151-1),"")</f>
        <v>0.0198933754566097</v>
      </c>
      <c r="L151" s="143" t="n">
        <f aca="false">IFERROR(IF(OR(NOT(ISNUMBER('Price History'!L152)),NOT(ISNUMBER('Price History'!L151)),'Price History'!L151=0),"",'Price History'!L152/'Price History'!L151-1),"")</f>
        <v>-0.0144001076643565</v>
      </c>
      <c r="M151" s="143" t="n">
        <f aca="false">IFERROR(IF(OR(NOT(ISNUMBER('Price History'!M152)),NOT(ISNUMBER('Price History'!M151)),'Price History'!M151=0),"",'Price History'!M152/'Price History'!M151-1),"")</f>
        <v>-0.0714609457621996</v>
      </c>
      <c r="N151" s="143" t="n">
        <f aca="false">IFERROR(IF(OR(NOT(ISNUMBER('Price History'!N152)),NOT(ISNUMBER('Price History'!N151)),'Price History'!N151=0),"",'Price History'!N152/'Price History'!N151-1),"")</f>
        <v>0.0116385911179173</v>
      </c>
      <c r="O151" s="143" t="n">
        <f aca="false">IFERROR(IF(OR(NOT(ISNUMBER('Price History'!O152)),NOT(ISNUMBER('Price History'!O151)),'Price History'!O151=0),"",'Price History'!O152/'Price History'!O151-1),"")</f>
        <v>0.0181678964221079</v>
      </c>
      <c r="P151" s="143" t="n">
        <f aca="false">IFERROR(IF(OR(NOT(ISNUMBER('Price History'!P152)),NOT(ISNUMBER('Price History'!P151)),'Price History'!P151=0),"",'Price History'!P152/'Price History'!P151-1),"")</f>
        <v>0.0126604580921217</v>
      </c>
      <c r="Q151" s="143" t="n">
        <f aca="false">IFERROR(IF(OR(NOT(ISNUMBER('Price History'!Q152)),NOT(ISNUMBER('Price History'!Q151)),'Price History'!Q151=0),"",'Price History'!Q152/'Price History'!Q151-1),"")</f>
        <v>-0.00787929589270742</v>
      </c>
      <c r="R151" s="143" t="n">
        <f aca="false">IFERROR(IF(OR(NOT(ISNUMBER('Price History'!R152)),NOT(ISNUMBER('Price History'!R151)),'Price History'!R151=0),"",'Price History'!R152/'Price History'!R151-1),"")</f>
        <v>0.0247243568326094</v>
      </c>
      <c r="S151" s="143" t="n">
        <f aca="false">IFERROR(IF(OR(NOT(ISNUMBER('Price History'!S152)),NOT(ISNUMBER('Price History'!S151)),'Price History'!S151=0),"",'Price History'!S152/'Price History'!S151-1),"")</f>
        <v>0.0486621196222457</v>
      </c>
      <c r="T151" s="143" t="n">
        <f aca="false">IFERROR(IF(OR(NOT(ISNUMBER('Price History'!T152)),NOT(ISNUMBER('Price History'!T151)),'Price History'!T151=0),"",'Price History'!T152/'Price History'!T151-1),"")</f>
        <v>-0.0224670555195506</v>
      </c>
      <c r="U151" s="143" t="str">
        <f aca="false">IFERROR(IF(OR(NOT(ISNUMBER('Price History'!U152)),NOT(ISNUMBER('Price History'!U151)),'Price History'!U151=0),"",'Price History'!U152/'Price History'!U151-1),"")</f>
        <v/>
      </c>
      <c r="V151" s="144" t="str">
        <f aca="false">IFERROR(IF(OR(NOT(ISNUMBER('Price History'!V152)),NOT(ISNUMBER('Price History'!V151)),'Price History'!V151=0),"",'Price History'!V152/'Price History'!V151-1),"")</f>
        <v/>
      </c>
      <c r="W151" s="145" t="str">
        <f aca="false">IFERROR('Price History'!B3+(INDEX('Price History'!B:B,MATCH(9.99E+307,'Price History'!$A:$A))-'Price History'!B3)*(ROW()-3)/(MATCH(9.99E+307,'Returns (Calc)'!$A:$A)-3),"")</f>
        <v/>
      </c>
      <c r="X151" s="145" t="n">
        <f aca="false">IFERROR('Price History'!C3+(INDEX('Price History'!C:C,MATCH(9.99E+307,'Price History'!$A:$A))-'Price History'!C3)*(ROW()-3)/(MATCH(9.99E+307,'Returns (Calc)'!$A:$A)-3),"")</f>
        <v>3.1948427672956</v>
      </c>
      <c r="Y151" s="145" t="n">
        <f aca="false">IFERROR('Price History'!D3+(INDEX('Price History'!D:D,MATCH(9.99E+307,'Price History'!$A:$A))-'Price History'!D3)*(ROW()-3)/(MATCH(9.99E+307,'Returns (Calc)'!$A:$A)-3),"")</f>
        <v>40.2648427672956</v>
      </c>
      <c r="Z151" s="145" t="n">
        <f aca="false">IFERROR('Price History'!E3+(INDEX('Price History'!E:E,MATCH(9.99E+307,'Price History'!$A:$A))-'Price History'!E3)*(ROW()-3)/(MATCH(9.99E+307,'Returns (Calc)'!$A:$A)-3),"")</f>
        <v>5.67295597484277</v>
      </c>
      <c r="AA151" s="145" t="n">
        <f aca="false">IFERROR('Price History'!F3+(INDEX('Price History'!F:F,MATCH(9.99E+307,'Price History'!$A:$A))-'Price History'!F3)*(ROW()-3)/(MATCH(9.99E+307,'Returns (Calc)'!$A:$A)-3),"")</f>
        <v>5.21012578616352</v>
      </c>
      <c r="AB151" s="145" t="n">
        <f aca="false">IFERROR('Price History'!G3+(INDEX('Price History'!G:G,MATCH(9.99E+307,'Price History'!$A:$A))-'Price History'!G3)*(ROW()-3)/(MATCH(9.99E+307,'Returns (Calc)'!$A:$A)-3),"")</f>
        <v>2.86138364779875</v>
      </c>
      <c r="AC151" s="145" t="n">
        <f aca="false">IFERROR('Price History'!H3+(INDEX('Price History'!H:H,MATCH(9.99E+307,'Price History'!$A:$A))-'Price History'!H3)*(ROW()-3)/(MATCH(9.99E+307,'Returns (Calc)'!$A:$A)-3),"")</f>
        <v>6.95905660377359</v>
      </c>
      <c r="AD151" s="145" t="n">
        <f aca="false">IFERROR('Price History'!I3+(INDEX('Price History'!I:I,MATCH(9.99E+307,'Price History'!$A:$A))-'Price History'!I3)*(ROW()-3)/(MATCH(9.99E+307,'Returns (Calc)'!$A:$A)-3),"")</f>
        <v>3.06823899371069</v>
      </c>
      <c r="AE151" s="145" t="n">
        <f aca="false">IFERROR('Price History'!J3+(INDEX('Price History'!J:J,MATCH(9.99E+307,'Price History'!$A:$A))-'Price History'!J3)*(ROW()-3)/(MATCH(9.99E+307,'Returns (Calc)'!$A:$A)-3),"")</f>
        <v>4.78119496855345</v>
      </c>
      <c r="AF151" s="145" t="n">
        <f aca="false">IFERROR('Price History'!K3+(INDEX('Price History'!K:K,MATCH(9.99E+307,'Price History'!$A:$A))-'Price History'!K3)*(ROW()-3)/(MATCH(9.99E+307,'Returns (Calc)'!$A:$A)-3),"")</f>
        <v>3.02811320754717</v>
      </c>
      <c r="AG151" s="145" t="n">
        <f aca="false">IFERROR('Price History'!L3+(INDEX('Price History'!L:L,MATCH(9.99E+307,'Price History'!$A:$A))-'Price History'!L3)*(ROW()-3)/(MATCH(9.99E+307,'Returns (Calc)'!$A:$A)-3),"")</f>
        <v>7.73735849056604</v>
      </c>
      <c r="AH151" s="145" t="n">
        <f aca="false">IFERROR('Price History'!M3+(INDEX('Price History'!M:M,MATCH(9.99E+307,'Price History'!$A:$A))-'Price History'!M3)*(ROW()-3)/(MATCH(9.99E+307,'Returns (Calc)'!$A:$A)-3),"")</f>
        <v>1.06056603773585</v>
      </c>
      <c r="AI151" s="145" t="n">
        <f aca="false">IFERROR('Price History'!N3+(INDEX('Price History'!N:N,MATCH(9.99E+307,'Price History'!$A:$A))-'Price History'!N3)*(ROW()-3)/(MATCH(9.99E+307,'Returns (Calc)'!$A:$A)-3),"")</f>
        <v>1.50817610062893</v>
      </c>
      <c r="AJ151" s="145" t="n">
        <f aca="false">IFERROR('Price History'!O3+(INDEX('Price History'!O:O,MATCH(9.99E+307,'Price History'!$A:$A))-'Price History'!O3)*(ROW()-3)/(MATCH(9.99E+307,'Returns (Calc)'!$A:$A)-3),"")</f>
        <v>3.98698113207548</v>
      </c>
      <c r="AK151" s="145" t="n">
        <f aca="false">IFERROR('Price History'!Q3+(INDEX('Price History'!Q:Q,MATCH(9.99E+307,'Price History'!$A:$A))-'Price History'!Q3)*(ROW()-3)/(MATCH(9.99E+307,'Returns (Calc)'!$A:$A)-3),"")</f>
        <v>16.3014465408805</v>
      </c>
      <c r="AL151" s="145" t="n">
        <f aca="false">IFERROR('Price History'!R3+(INDEX('Price History'!R:R,MATCH(9.99E+307,'Price History'!$A:$A))-'Price History'!R3)*(ROW()-3)/(MATCH(9.99E+307,'Returns (Calc)'!$A:$A)-3),"")</f>
        <v>3.30830188679246</v>
      </c>
      <c r="AM151" s="145" t="n">
        <f aca="false">IFERROR('Price History'!S3+(INDEX('Price History'!S:S,MATCH(9.99E+307,'Price History'!$A:$A))-'Price History'!S3)*(ROW()-3)/(MATCH(9.99E+307,'Returns (Calc)'!$A:$A)-3),"")</f>
        <v>4.04993710691824</v>
      </c>
      <c r="AN151" s="145" t="n">
        <f aca="false">IFERROR('Price History'!T3+(INDEX('Price History'!T:T,MATCH(9.99E+307,'Price History'!$A:$A))-'Price History'!T3)*(ROW()-3)/(MATCH(9.99E+307,'Returns (Calc)'!$A:$A)-3),"")</f>
        <v>1.86169811320755</v>
      </c>
      <c r="AO151" s="146" t="n">
        <f aca="false">IFERROR('Price History'!V3+(INDEX('Price History'!V:V,MATCH(9.99E+307,'Price History'!$A:$A))-'Price History'!V3)*(ROW()-3)/(MATCH(9.99E+307,'Returns (Calc)'!$A:$A)-3),"")</f>
        <v>0</v>
      </c>
    </row>
    <row r="152" customFormat="false" ht="15" hidden="false" customHeight="true" outlineLevel="0" collapsed="false">
      <c r="A152" s="142" t="n">
        <f aca="false">IF('Price History'!A153="","",'Price History'!A153)</f>
        <v>46234</v>
      </c>
      <c r="B152" s="143" t="n">
        <f aca="false">IFERROR(IF(OR(NOT(ISNUMBER('Price History'!B153)),NOT(ISNUMBER('Price History'!B152)),'Price History'!B152=0),"",'Price History'!B153/'Price History'!B152-1),"")</f>
        <v>0.112389498467416</v>
      </c>
      <c r="C152" s="143" t="n">
        <f aca="false">IFERROR(IF(OR(NOT(ISNUMBER('Price History'!C153)),NOT(ISNUMBER('Price History'!C152)),'Price History'!C152=0),"",'Price History'!C153/'Price History'!C152-1),"")</f>
        <v>0.0365538249324673</v>
      </c>
      <c r="D152" s="143" t="n">
        <f aca="false">IFERROR(IF(OR(NOT(ISNUMBER('Price History'!D153)),NOT(ISNUMBER('Price History'!D152)),'Price History'!D152=0),"",'Price History'!D153/'Price History'!D152-1),"")</f>
        <v>-0.071699661503744</v>
      </c>
      <c r="E152" s="143" t="n">
        <f aca="false">IFERROR(IF(OR(NOT(ISNUMBER('Price History'!E153)),NOT(ISNUMBER('Price History'!E152)),'Price History'!E152=0),"",'Price History'!E153/'Price History'!E152-1),"")</f>
        <v>0.019253469034441</v>
      </c>
      <c r="F152" s="143" t="n">
        <f aca="false">IFERROR(IF(OR(NOT(ISNUMBER('Price History'!F153)),NOT(ISNUMBER('Price History'!F152)),'Price History'!F152=0),"",'Price History'!F153/'Price History'!F152-1),"")</f>
        <v>0</v>
      </c>
      <c r="G152" s="143" t="n">
        <f aca="false">IFERROR(IF(OR(NOT(ISNUMBER('Price History'!G153)),NOT(ISNUMBER('Price History'!G152)),'Price History'!G152=0),"",'Price History'!G153/'Price History'!G152-1),"")</f>
        <v>0.0413574858140551</v>
      </c>
      <c r="H152" s="143" t="n">
        <f aca="false">IFERROR(IF(OR(NOT(ISNUMBER('Price History'!H153)),NOT(ISNUMBER('Price History'!H152)),'Price History'!H152=0),"",'Price History'!H153/'Price History'!H152-1),"")</f>
        <v>-0.0109489051094891</v>
      </c>
      <c r="I152" s="143" t="n">
        <f aca="false">IFERROR(IF(OR(NOT(ISNUMBER('Price History'!I153)),NOT(ISNUMBER('Price History'!I152)),'Price History'!I152=0),"",'Price History'!I153/'Price History'!I152-1),"")</f>
        <v>-0.1315864561537</v>
      </c>
      <c r="J152" s="143" t="n">
        <f aca="false">IFERROR(IF(OR(NOT(ISNUMBER('Price History'!J153)),NOT(ISNUMBER('Price History'!J152)),'Price History'!J152=0),"",'Price History'!J153/'Price History'!J152-1),"")</f>
        <v>-0.106324990498941</v>
      </c>
      <c r="K152" s="143" t="n">
        <f aca="false">IFERROR(IF(OR(NOT(ISNUMBER('Price History'!K153)),NOT(ISNUMBER('Price History'!K152)),'Price History'!K152=0),"",'Price History'!K153/'Price History'!K152-1),"")</f>
        <v>-0.0294274236484198</v>
      </c>
      <c r="L152" s="143" t="n">
        <f aca="false">IFERROR(IF(OR(NOT(ISNUMBER('Price History'!L153)),NOT(ISNUMBER('Price History'!L152)),'Price History'!L152=0),"",'Price History'!L153/'Price History'!L152-1),"")</f>
        <v>-0.0204820099679115</v>
      </c>
      <c r="M152" s="143" t="n">
        <f aca="false">IFERROR(IF(OR(NOT(ISNUMBER('Price History'!M153)),NOT(ISNUMBER('Price History'!M152)),'Price History'!M152=0),"",'Price History'!M153/'Price History'!M152-1),"")</f>
        <v>0.00113895216400906</v>
      </c>
      <c r="N152" s="143" t="n">
        <f aca="false">IFERROR(IF(OR(NOT(ISNUMBER('Price History'!N153)),NOT(ISNUMBER('Price History'!N152)),'Price History'!N152=0),"",'Price History'!N153/'Price History'!N152-1),"")</f>
        <v>0.00544959128065403</v>
      </c>
      <c r="O152" s="143" t="n">
        <f aca="false">IFERROR(IF(OR(NOT(ISNUMBER('Price History'!O153)),NOT(ISNUMBER('Price History'!O152)),'Price History'!O152=0),"",'Price History'!O153/'Price History'!O152-1),"")</f>
        <v>-0.0182539139946675</v>
      </c>
      <c r="P152" s="143" t="n">
        <f aca="false">IFERROR(IF(OR(NOT(ISNUMBER('Price History'!P153)),NOT(ISNUMBER('Price History'!P152)),'Price History'!P152=0),"",'Price History'!P153/'Price History'!P152-1),"")</f>
        <v>0.00208783834165982</v>
      </c>
      <c r="Q152" s="143" t="n">
        <f aca="false">IFERROR(IF(OR(NOT(ISNUMBER('Price History'!Q153)),NOT(ISNUMBER('Price History'!Q152)),'Price History'!Q152=0),"",'Price History'!Q153/'Price History'!Q152-1),"")</f>
        <v>0.0292046862678834</v>
      </c>
      <c r="R152" s="143" t="n">
        <f aca="false">IFERROR(IF(OR(NOT(ISNUMBER('Price History'!R153)),NOT(ISNUMBER('Price History'!R152)),'Price History'!R152=0),"",'Price History'!R153/'Price History'!R152-1),"")</f>
        <v>-0.0313009455493969</v>
      </c>
      <c r="S152" s="143" t="n">
        <f aca="false">IFERROR(IF(OR(NOT(ISNUMBER('Price History'!S153)),NOT(ISNUMBER('Price History'!S152)),'Price History'!S152=0),"",'Price History'!S153/'Price History'!S152-1),"")</f>
        <v>-0.0356472795497187</v>
      </c>
      <c r="T152" s="143" t="n">
        <f aca="false">IFERROR(IF(OR(NOT(ISNUMBER('Price History'!T153)),NOT(ISNUMBER('Price History'!T152)),'Price History'!T152=0),"",'Price History'!T153/'Price History'!T152-1),"")</f>
        <v>0.0207734806629833</v>
      </c>
      <c r="U152" s="143" t="str">
        <f aca="false">IFERROR(IF(OR(NOT(ISNUMBER('Price History'!U153)),NOT(ISNUMBER('Price History'!U152)),'Price History'!U152=0),"",'Price History'!U153/'Price History'!U152-1),"")</f>
        <v/>
      </c>
      <c r="V152" s="144" t="str">
        <f aca="false">IFERROR(IF(OR(NOT(ISNUMBER('Price History'!V153)),NOT(ISNUMBER('Price History'!V152)),'Price History'!V152=0),"",'Price History'!V153/'Price History'!V152-1),"")</f>
        <v/>
      </c>
      <c r="W152" s="145" t="str">
        <f aca="false">IFERROR('Price History'!B3+(INDEX('Price History'!B:B,MATCH(9.99E+307,'Price History'!$A:$A))-'Price History'!B3)*(ROW()-3)/(MATCH(9.99E+307,'Returns (Calc)'!$A:$A)-3),"")</f>
        <v/>
      </c>
      <c r="X152" s="145" t="n">
        <f aca="false">IFERROR('Price History'!C3+(INDEX('Price History'!C:C,MATCH(9.99E+307,'Price History'!$A:$A))-'Price History'!C3)*(ROW()-3)/(MATCH(9.99E+307,'Returns (Calc)'!$A:$A)-3),"")</f>
        <v>2.90440251572327</v>
      </c>
      <c r="Y152" s="145" t="n">
        <f aca="false">IFERROR('Price History'!D3+(INDEX('Price History'!D:D,MATCH(9.99E+307,'Price History'!$A:$A))-'Price History'!D3)*(ROW()-3)/(MATCH(9.99E+307,'Returns (Calc)'!$A:$A)-3),"")</f>
        <v>36.6044025157232</v>
      </c>
      <c r="Z152" s="145" t="n">
        <f aca="false">IFERROR('Price History'!E3+(INDEX('Price History'!E:E,MATCH(9.99E+307,'Price History'!$A:$A))-'Price History'!E3)*(ROW()-3)/(MATCH(9.99E+307,'Returns (Calc)'!$A:$A)-3),"")</f>
        <v>5.15723270440252</v>
      </c>
      <c r="AA152" s="145" t="n">
        <f aca="false">IFERROR('Price History'!F3+(INDEX('Price History'!F:F,MATCH(9.99E+307,'Price History'!$A:$A))-'Price History'!F3)*(ROW()-3)/(MATCH(9.99E+307,'Returns (Calc)'!$A:$A)-3),"")</f>
        <v>4.73647798742138</v>
      </c>
      <c r="AB152" s="145" t="n">
        <f aca="false">IFERROR('Price History'!G3+(INDEX('Price History'!G:G,MATCH(9.99E+307,'Price History'!$A:$A))-'Price History'!G3)*(ROW()-3)/(MATCH(9.99E+307,'Returns (Calc)'!$A:$A)-3),"")</f>
        <v>2.60125786163522</v>
      </c>
      <c r="AC152" s="145" t="n">
        <f aca="false">IFERROR('Price History'!H3+(INDEX('Price History'!H:H,MATCH(9.99E+307,'Price History'!$A:$A))-'Price History'!H3)*(ROW()-3)/(MATCH(9.99E+307,'Returns (Calc)'!$A:$A)-3),"")</f>
        <v>6.32641509433962</v>
      </c>
      <c r="AD152" s="145" t="n">
        <f aca="false">IFERROR('Price History'!I3+(INDEX('Price History'!I:I,MATCH(9.99E+307,'Price History'!$A:$A))-'Price History'!I3)*(ROW()-3)/(MATCH(9.99E+307,'Returns (Calc)'!$A:$A)-3),"")</f>
        <v>2.78930817610063</v>
      </c>
      <c r="AE152" s="145" t="n">
        <f aca="false">IFERROR('Price History'!J3+(INDEX('Price History'!J:J,MATCH(9.99E+307,'Price History'!$A:$A))-'Price History'!J3)*(ROW()-3)/(MATCH(9.99E+307,'Returns (Calc)'!$A:$A)-3),"")</f>
        <v>4.34654088050314</v>
      </c>
      <c r="AF152" s="145" t="n">
        <f aca="false">IFERROR('Price History'!K3+(INDEX('Price History'!K:K,MATCH(9.99E+307,'Price History'!$A:$A))-'Price History'!K3)*(ROW()-3)/(MATCH(9.99E+307,'Returns (Calc)'!$A:$A)-3),"")</f>
        <v>2.75283018867925</v>
      </c>
      <c r="AG152" s="145" t="n">
        <f aca="false">IFERROR('Price History'!L3+(INDEX('Price History'!L:L,MATCH(9.99E+307,'Price History'!$A:$A))-'Price History'!L3)*(ROW()-3)/(MATCH(9.99E+307,'Returns (Calc)'!$A:$A)-3),"")</f>
        <v>7.03396226415094</v>
      </c>
      <c r="AH152" s="145" t="n">
        <f aca="false">IFERROR('Price History'!M3+(INDEX('Price History'!M:M,MATCH(9.99E+307,'Price History'!$A:$A))-'Price History'!M3)*(ROW()-3)/(MATCH(9.99E+307,'Returns (Calc)'!$A:$A)-3),"")</f>
        <v>0.964150943396225</v>
      </c>
      <c r="AI152" s="145" t="n">
        <f aca="false">IFERROR('Price History'!N3+(INDEX('Price History'!N:N,MATCH(9.99E+307,'Price History'!$A:$A))-'Price History'!N3)*(ROW()-3)/(MATCH(9.99E+307,'Returns (Calc)'!$A:$A)-3),"")</f>
        <v>1.37106918238993</v>
      </c>
      <c r="AJ152" s="145" t="n">
        <f aca="false">IFERROR('Price History'!O3+(INDEX('Price History'!O:O,MATCH(9.99E+307,'Price History'!$A:$A))-'Price History'!O3)*(ROW()-3)/(MATCH(9.99E+307,'Returns (Calc)'!$A:$A)-3),"")</f>
        <v>3.62452830188679</v>
      </c>
      <c r="AK152" s="145" t="n">
        <f aca="false">IFERROR('Price History'!Q3+(INDEX('Price History'!Q:Q,MATCH(9.99E+307,'Price History'!$A:$A))-'Price History'!Q3)*(ROW()-3)/(MATCH(9.99E+307,'Returns (Calc)'!$A:$A)-3),"")</f>
        <v>14.8194968553459</v>
      </c>
      <c r="AL152" s="145" t="n">
        <f aca="false">IFERROR('Price History'!R3+(INDEX('Price History'!R:R,MATCH(9.99E+307,'Price History'!$A:$A))-'Price History'!R3)*(ROW()-3)/(MATCH(9.99E+307,'Returns (Calc)'!$A:$A)-3),"")</f>
        <v>3.00754716981132</v>
      </c>
      <c r="AM152" s="145" t="n">
        <f aca="false">IFERROR('Price History'!S3+(INDEX('Price History'!S:S,MATCH(9.99E+307,'Price History'!$A:$A))-'Price History'!S3)*(ROW()-3)/(MATCH(9.99E+307,'Returns (Calc)'!$A:$A)-3),"")</f>
        <v>3.68176100628931</v>
      </c>
      <c r="AN152" s="145" t="n">
        <f aca="false">IFERROR('Price History'!T3+(INDEX('Price History'!T:T,MATCH(9.99E+307,'Price History'!$A:$A))-'Price History'!T3)*(ROW()-3)/(MATCH(9.99E+307,'Returns (Calc)'!$A:$A)-3),"")</f>
        <v>1.69245283018868</v>
      </c>
      <c r="AO152" s="146" t="n">
        <f aca="false">IFERROR('Price History'!V3+(INDEX('Price History'!V:V,MATCH(9.99E+307,'Price History'!$A:$A))-'Price History'!V3)*(ROW()-3)/(MATCH(9.99E+307,'Returns (Calc)'!$A:$A)-3),"")</f>
        <v>0</v>
      </c>
    </row>
    <row r="153" customFormat="false" ht="15" hidden="false" customHeight="true" outlineLevel="0" collapsed="false">
      <c r="A153" s="142" t="n">
        <f aca="false">IF('Price History'!A154="","",'Price History'!A154)</f>
        <v>46241</v>
      </c>
      <c r="B153" s="143" t="n">
        <f aca="false">IFERROR(IF(OR(NOT(ISNUMBER('Price History'!B154)),NOT(ISNUMBER('Price History'!B153)),'Price History'!B153=0),"",'Price History'!B154/'Price History'!B153-1),"")</f>
        <v>0.0591030709636196</v>
      </c>
      <c r="C153" s="143" t="n">
        <f aca="false">IFERROR(IF(OR(NOT(ISNUMBER('Price History'!C154)),NOT(ISNUMBER('Price History'!C153)),'Price History'!C153=0),"",'Price History'!C154/'Price History'!C153-1),"")</f>
        <v>0.046132520099806</v>
      </c>
      <c r="D153" s="143" t="n">
        <f aca="false">IFERROR(IF(OR(NOT(ISNUMBER('Price History'!D154)),NOT(ISNUMBER('Price History'!D153)),'Price History'!D153=0),"",'Price History'!D154/'Price History'!D153-1),"")</f>
        <v>0.0687476979742174</v>
      </c>
      <c r="E153" s="143" t="n">
        <f aca="false">IFERROR(IF(OR(NOT(ISNUMBER('Price History'!E154)),NOT(ISNUMBER('Price History'!E153)),'Price History'!E153=0),"",'Price History'!E154/'Price History'!E153-1),"")</f>
        <v>0.0988496281236329</v>
      </c>
      <c r="F153" s="143" t="n">
        <f aca="false">IFERROR(IF(OR(NOT(ISNUMBER('Price History'!F154)),NOT(ISNUMBER('Price History'!F153)),'Price History'!F153=0),"",'Price History'!F154/'Price History'!F153-1),"")</f>
        <v>0.0128133258588932</v>
      </c>
      <c r="G153" s="143" t="n">
        <f aca="false">IFERROR(IF(OR(NOT(ISNUMBER('Price History'!G154)),NOT(ISNUMBER('Price History'!G153)),'Price History'!G153=0),"",'Price History'!G154/'Price History'!G153-1),"")</f>
        <v>0.123441265849314</v>
      </c>
      <c r="H153" s="143" t="n">
        <f aca="false">IFERROR(IF(OR(NOT(ISNUMBER('Price History'!H154)),NOT(ISNUMBER('Price History'!H153)),'Price History'!H153=0),"",'Price History'!H154/'Price History'!H153-1),"")</f>
        <v>0.00431546688348261</v>
      </c>
      <c r="I153" s="143" t="n">
        <f aca="false">IFERROR(IF(OR(NOT(ISNUMBER('Price History'!I154)),NOT(ISNUMBER('Price History'!I153)),'Price History'!I153=0),"",'Price History'!I154/'Price History'!I153-1),"")</f>
        <v>0.0836755927933846</v>
      </c>
      <c r="J153" s="143" t="n">
        <f aca="false">IFERROR(IF(OR(NOT(ISNUMBER('Price History'!J154)),NOT(ISNUMBER('Price History'!J153)),'Price History'!J153=0),"",'Price History'!J154/'Price History'!J153-1),"")</f>
        <v>0.066267329258958</v>
      </c>
      <c r="K153" s="143" t="n">
        <f aca="false">IFERROR(IF(OR(NOT(ISNUMBER('Price History'!K154)),NOT(ISNUMBER('Price History'!K153)),'Price History'!K153=0),"",'Price History'!K154/'Price History'!K153-1),"")</f>
        <v>0.115593676756595</v>
      </c>
      <c r="L153" s="143" t="n">
        <f aca="false">IFERROR(IF(OR(NOT(ISNUMBER('Price History'!L154)),NOT(ISNUMBER('Price History'!L153)),'Price History'!L153=0),"",'Price History'!L154/'Price History'!L153-1),"")</f>
        <v>-0.0307381334076811</v>
      </c>
      <c r="M153" s="143" t="n">
        <f aca="false">IFERROR(IF(OR(NOT(ISNUMBER('Price History'!M154)),NOT(ISNUMBER('Price History'!M153)),'Price History'!M153=0),"",'Price History'!M154/'Price History'!M153-1),"")</f>
        <v>0.397773443848529</v>
      </c>
      <c r="N153" s="143" t="n">
        <f aca="false">IFERROR(IF(OR(NOT(ISNUMBER('Price History'!N154)),NOT(ISNUMBER('Price History'!N153)),'Price History'!N153=0),"",'Price History'!N154/'Price History'!N153-1),"")</f>
        <v>0.0126467931345982</v>
      </c>
      <c r="O153" s="143" t="n">
        <f aca="false">IFERROR(IF(OR(NOT(ISNUMBER('Price History'!O154)),NOT(ISNUMBER('Price History'!O153)),'Price History'!O153=0),"",'Price History'!O154/'Price History'!O153-1),"")</f>
        <v>0.0407381615598885</v>
      </c>
      <c r="P153" s="143" t="n">
        <f aca="false">IFERROR(IF(OR(NOT(ISNUMBER('Price History'!P154)),NOT(ISNUMBER('Price History'!P153)),'Price History'!P153=0),"",'Price History'!P154/'Price History'!P153-1),"")</f>
        <v>0.0390654066522806</v>
      </c>
      <c r="Q153" s="143" t="n">
        <f aca="false">IFERROR(IF(OR(NOT(ISNUMBER('Price History'!Q154)),NOT(ISNUMBER('Price History'!Q153)),'Price History'!Q153=0),"",'Price History'!Q154/'Price History'!Q153-1),"")</f>
        <v>-0.00990559584074435</v>
      </c>
      <c r="R153" s="143" t="n">
        <f aca="false">IFERROR(IF(OR(NOT(ISNUMBER('Price History'!R154)),NOT(ISNUMBER('Price History'!R153)),'Price History'!R153=0),"",'Price History'!R154/'Price History'!R153-1),"")</f>
        <v>-0.000504880511612238</v>
      </c>
      <c r="S153" s="143" t="n">
        <f aca="false">IFERROR(IF(OR(NOT(ISNUMBER('Price History'!S154)),NOT(ISNUMBER('Price History'!S153)),'Price History'!S153=0),"",'Price History'!S154/'Price History'!S153-1),"")</f>
        <v>-0.0218547341115433</v>
      </c>
      <c r="T153" s="143" t="n">
        <f aca="false">IFERROR(IF(OR(NOT(ISNUMBER('Price History'!T154)),NOT(ISNUMBER('Price History'!T153)),'Price History'!T153=0),"",'Price History'!T154/'Price History'!T153-1),"")</f>
        <v>0.0175362632604461</v>
      </c>
      <c r="U153" s="143" t="str">
        <f aca="false">IFERROR(IF(OR(NOT(ISNUMBER('Price History'!U154)),NOT(ISNUMBER('Price History'!U153)),'Price History'!U153=0),"",'Price History'!U154/'Price History'!U153-1),"")</f>
        <v/>
      </c>
      <c r="V153" s="144" t="str">
        <f aca="false">IFERROR(IF(OR(NOT(ISNUMBER('Price History'!V154)),NOT(ISNUMBER('Price History'!V153)),'Price History'!V153=0),"",'Price History'!V154/'Price History'!V153-1),"")</f>
        <v/>
      </c>
      <c r="W153" s="145" t="str">
        <f aca="false">IFERROR('Price History'!B3+(INDEX('Price History'!B:B,MATCH(9.99E+307,'Price History'!$A:$A))-'Price History'!B3)*(ROW()-3)/(MATCH(9.99E+307,'Returns (Calc)'!$A:$A)-3),"")</f>
        <v/>
      </c>
      <c r="X153" s="145" t="n">
        <f aca="false">IFERROR('Price History'!C3+(INDEX('Price History'!C:C,MATCH(9.99E+307,'Price History'!$A:$A))-'Price History'!C3)*(ROW()-3)/(MATCH(9.99E+307,'Returns (Calc)'!$A:$A)-3),"")</f>
        <v>2.61396226415094</v>
      </c>
      <c r="Y153" s="145" t="n">
        <f aca="false">IFERROR('Price History'!D3+(INDEX('Price History'!D:D,MATCH(9.99E+307,'Price History'!$A:$A))-'Price History'!D3)*(ROW()-3)/(MATCH(9.99E+307,'Returns (Calc)'!$A:$A)-3),"")</f>
        <v>32.943962264151</v>
      </c>
      <c r="Z153" s="145" t="n">
        <f aca="false">IFERROR('Price History'!E3+(INDEX('Price History'!E:E,MATCH(9.99E+307,'Price History'!$A:$A))-'Price History'!E3)*(ROW()-3)/(MATCH(9.99E+307,'Returns (Calc)'!$A:$A)-3),"")</f>
        <v>4.64150943396227</v>
      </c>
      <c r="AA153" s="145" t="n">
        <f aca="false">IFERROR('Price History'!F3+(INDEX('Price History'!F:F,MATCH(9.99E+307,'Price History'!$A:$A))-'Price History'!F3)*(ROW()-3)/(MATCH(9.99E+307,'Returns (Calc)'!$A:$A)-3),"")</f>
        <v>4.26283018867925</v>
      </c>
      <c r="AB153" s="145" t="n">
        <f aca="false">IFERROR('Price History'!G3+(INDEX('Price History'!G:G,MATCH(9.99E+307,'Price History'!$A:$A))-'Price History'!G3)*(ROW()-3)/(MATCH(9.99E+307,'Returns (Calc)'!$A:$A)-3),"")</f>
        <v>2.3411320754717</v>
      </c>
      <c r="AC153" s="145" t="n">
        <f aca="false">IFERROR('Price History'!H3+(INDEX('Price History'!H:H,MATCH(9.99E+307,'Price History'!$A:$A))-'Price History'!H3)*(ROW()-3)/(MATCH(9.99E+307,'Returns (Calc)'!$A:$A)-3),"")</f>
        <v>5.69377358490567</v>
      </c>
      <c r="AD153" s="145" t="n">
        <f aca="false">IFERROR('Price History'!I3+(INDEX('Price History'!I:I,MATCH(9.99E+307,'Price History'!$A:$A))-'Price History'!I3)*(ROW()-3)/(MATCH(9.99E+307,'Returns (Calc)'!$A:$A)-3),"")</f>
        <v>2.51037735849057</v>
      </c>
      <c r="AE153" s="145" t="n">
        <f aca="false">IFERROR('Price History'!J3+(INDEX('Price History'!J:J,MATCH(9.99E+307,'Price History'!$A:$A))-'Price History'!J3)*(ROW()-3)/(MATCH(9.99E+307,'Returns (Calc)'!$A:$A)-3),"")</f>
        <v>3.91188679245283</v>
      </c>
      <c r="AF153" s="145" t="n">
        <f aca="false">IFERROR('Price History'!K3+(INDEX('Price History'!K:K,MATCH(9.99E+307,'Price History'!$A:$A))-'Price History'!K3)*(ROW()-3)/(MATCH(9.99E+307,'Returns (Calc)'!$A:$A)-3),"")</f>
        <v>2.47754716981132</v>
      </c>
      <c r="AG153" s="145" t="n">
        <f aca="false">IFERROR('Price History'!L3+(INDEX('Price History'!L:L,MATCH(9.99E+307,'Price History'!$A:$A))-'Price History'!L3)*(ROW()-3)/(MATCH(9.99E+307,'Returns (Calc)'!$A:$A)-3),"")</f>
        <v>6.33056603773585</v>
      </c>
      <c r="AH153" s="145" t="n">
        <f aca="false">IFERROR('Price History'!M3+(INDEX('Price History'!M:M,MATCH(9.99E+307,'Price History'!$A:$A))-'Price History'!M3)*(ROW()-3)/(MATCH(9.99E+307,'Returns (Calc)'!$A:$A)-3),"")</f>
        <v>0.867735849056604</v>
      </c>
      <c r="AI153" s="145" t="n">
        <f aca="false">IFERROR('Price History'!N3+(INDEX('Price History'!N:N,MATCH(9.99E+307,'Price History'!$A:$A))-'Price History'!N3)*(ROW()-3)/(MATCH(9.99E+307,'Returns (Calc)'!$A:$A)-3),"")</f>
        <v>1.23396226415094</v>
      </c>
      <c r="AJ153" s="145" t="n">
        <f aca="false">IFERROR('Price History'!O3+(INDEX('Price History'!O:O,MATCH(9.99E+307,'Price History'!$A:$A))-'Price History'!O3)*(ROW()-3)/(MATCH(9.99E+307,'Returns (Calc)'!$A:$A)-3),"")</f>
        <v>3.26207547169812</v>
      </c>
      <c r="AK153" s="145" t="n">
        <f aca="false">IFERROR('Price History'!Q3+(INDEX('Price History'!Q:Q,MATCH(9.99E+307,'Price History'!$A:$A))-'Price History'!Q3)*(ROW()-3)/(MATCH(9.99E+307,'Returns (Calc)'!$A:$A)-3),"")</f>
        <v>13.3375471698113</v>
      </c>
      <c r="AL153" s="145" t="n">
        <f aca="false">IFERROR('Price History'!R3+(INDEX('Price History'!R:R,MATCH(9.99E+307,'Price History'!$A:$A))-'Price History'!R3)*(ROW()-3)/(MATCH(9.99E+307,'Returns (Calc)'!$A:$A)-3),"")</f>
        <v>2.70679245283019</v>
      </c>
      <c r="AM153" s="145" t="n">
        <f aca="false">IFERROR('Price History'!S3+(INDEX('Price History'!S:S,MATCH(9.99E+307,'Price History'!$A:$A))-'Price History'!S3)*(ROW()-3)/(MATCH(9.99E+307,'Returns (Calc)'!$A:$A)-3),"")</f>
        <v>3.31358490566038</v>
      </c>
      <c r="AN153" s="145" t="n">
        <f aca="false">IFERROR('Price History'!T3+(INDEX('Price History'!T:T,MATCH(9.99E+307,'Price History'!$A:$A))-'Price History'!T3)*(ROW()-3)/(MATCH(9.99E+307,'Returns (Calc)'!$A:$A)-3),"")</f>
        <v>1.52320754716981</v>
      </c>
      <c r="AO153" s="146" t="n">
        <f aca="false">IFERROR('Price History'!V3+(INDEX('Price History'!V:V,MATCH(9.99E+307,'Price History'!$A:$A))-'Price History'!V3)*(ROW()-3)/(MATCH(9.99E+307,'Returns (Calc)'!$A:$A)-3),"")</f>
        <v>0</v>
      </c>
    </row>
    <row r="154" customFormat="false" ht="15" hidden="false" customHeight="true" outlineLevel="0" collapsed="false">
      <c r="A154" s="142" t="n">
        <f aca="false">IF('Price History'!A155="","",'Price History'!A155)</f>
        <v>46248</v>
      </c>
      <c r="B154" s="143" t="n">
        <f aca="false">IFERROR(IF(OR(NOT(ISNUMBER('Price History'!B155)),NOT(ISNUMBER('Price History'!B154)),'Price History'!B154=0),"",'Price History'!B155/'Price History'!B154-1),"")</f>
        <v>-0.00448701029372944</v>
      </c>
      <c r="C154" s="143" t="n">
        <f aca="false">IFERROR(IF(OR(NOT(ISNUMBER('Price History'!C155)),NOT(ISNUMBER('Price History'!C154)),'Price History'!C154=0),"",'Price History'!C155/'Price History'!C154-1),"")</f>
        <v>0.0537976360841681</v>
      </c>
      <c r="D154" s="143" t="n">
        <f aca="false">IFERROR(IF(OR(NOT(ISNUMBER('Price History'!D155)),NOT(ISNUMBER('Price History'!D154)),'Price History'!D154=0),"",'Price History'!D155/'Price History'!D154-1),"")</f>
        <v>0.059213436033521</v>
      </c>
      <c r="E154" s="143" t="n">
        <f aca="false">IFERROR(IF(OR(NOT(ISNUMBER('Price History'!E155)),NOT(ISNUMBER('Price History'!E154)),'Price History'!E154=0),"",'Price History'!E155/'Price History'!E154-1),"")</f>
        <v>-0.0812684434868145</v>
      </c>
      <c r="F154" s="143" t="n">
        <f aca="false">IFERROR(IF(OR(NOT(ISNUMBER('Price History'!F155)),NOT(ISNUMBER('Price History'!F154)),'Price History'!F154=0),"",'Price History'!F155/'Price History'!F154-1),"")</f>
        <v>0.0145489048786274</v>
      </c>
      <c r="G154" s="143" t="n">
        <f aca="false">IFERROR(IF(OR(NOT(ISNUMBER('Price History'!G155)),NOT(ISNUMBER('Price History'!G154)),'Price History'!G154=0),"",'Price History'!G155/'Price History'!G154-1),"")</f>
        <v>0.0117992724559277</v>
      </c>
      <c r="H154" s="143" t="n">
        <f aca="false">IFERROR(IF(OR(NOT(ISNUMBER('Price History'!H155)),NOT(ISNUMBER('Price History'!H154)),'Price History'!H154=0),"",'Price History'!H155/'Price History'!H154-1),"")</f>
        <v>0.0222319093286836</v>
      </c>
      <c r="I154" s="143" t="n">
        <f aca="false">IFERROR(IF(OR(NOT(ISNUMBER('Price History'!I155)),NOT(ISNUMBER('Price History'!I154)),'Price History'!I154=0),"",'Price History'!I155/'Price History'!I154-1),"")</f>
        <v>0.028298549699328</v>
      </c>
      <c r="J154" s="143" t="n">
        <f aca="false">IFERROR(IF(OR(NOT(ISNUMBER('Price History'!J155)),NOT(ISNUMBER('Price History'!J154)),'Price History'!J154=0),"",'Price History'!J155/'Price History'!J154-1),"")</f>
        <v>0.107216518340417</v>
      </c>
      <c r="K154" s="143" t="n">
        <f aca="false">IFERROR(IF(OR(NOT(ISNUMBER('Price History'!K155)),NOT(ISNUMBER('Price History'!K154)),'Price History'!K154=0),"",'Price History'!K155/'Price History'!K154-1),"")</f>
        <v>0.00536408743462524</v>
      </c>
      <c r="L154" s="143" t="n">
        <f aca="false">IFERROR(IF(OR(NOT(ISNUMBER('Price History'!L155)),NOT(ISNUMBER('Price History'!L154)),'Price History'!L154=0),"",'Price History'!L155/'Price History'!L154-1),"")</f>
        <v>0.00618438084280149</v>
      </c>
      <c r="M154" s="143" t="n">
        <f aca="false">IFERROR(IF(OR(NOT(ISNUMBER('Price History'!M155)),NOT(ISNUMBER('Price History'!M154)),'Price History'!M154=0),"",'Price History'!M155/'Price History'!M154-1),"")</f>
        <v>0.0118016394395675</v>
      </c>
      <c r="N154" s="143" t="n">
        <f aca="false">IFERROR(IF(OR(NOT(ISNUMBER('Price History'!N155)),NOT(ISNUMBER('Price History'!N154)),'Price History'!N154=0),"",'Price History'!N155/'Price History'!N154-1),"")</f>
        <v>0.0184359203092477</v>
      </c>
      <c r="O154" s="143" t="n">
        <f aca="false">IFERROR(IF(OR(NOT(ISNUMBER('Price History'!O155)),NOT(ISNUMBER('Price History'!O154)),'Price History'!O154=0),"",'Price History'!O155/'Price History'!O154-1),"")</f>
        <v>0.0241552358648378</v>
      </c>
      <c r="P154" s="143" t="n">
        <f aca="false">IFERROR(IF(OR(NOT(ISNUMBER('Price History'!P155)),NOT(ISNUMBER('Price History'!P154)),'Price History'!P154=0),"",'Price History'!P155/'Price History'!P154-1),"")</f>
        <v>0.0150147999618064</v>
      </c>
      <c r="Q154" s="143" t="n">
        <f aca="false">IFERROR(IF(OR(NOT(ISNUMBER('Price History'!Q155)),NOT(ISNUMBER('Price History'!Q154)),'Price History'!Q154=0),"",'Price History'!Q155/'Price History'!Q154-1),"")</f>
        <v>0.0064118508691926</v>
      </c>
      <c r="R154" s="143" t="n">
        <f aca="false">IFERROR(IF(OR(NOT(ISNUMBER('Price History'!R155)),NOT(ISNUMBER('Price History'!R154)),'Price History'!R154=0),"",'Price History'!R155/'Price History'!R154-1),"")</f>
        <v>0.0188583936689677</v>
      </c>
      <c r="S154" s="143" t="n">
        <f aca="false">IFERROR(IF(OR(NOT(ISNUMBER('Price History'!S155)),NOT(ISNUMBER('Price History'!S154)),'Price History'!S154=0),"",'Price History'!S155/'Price History'!S154-1),"")</f>
        <v>0.0193595438573226</v>
      </c>
      <c r="T154" s="143" t="n">
        <f aca="false">IFERROR(IF(OR(NOT(ISNUMBER('Price History'!T155)),NOT(ISNUMBER('Price History'!T154)),'Price History'!T154=0),"",'Price History'!T155/'Price History'!T154-1),"")</f>
        <v>0.00829787234042545</v>
      </c>
      <c r="U154" s="143" t="str">
        <f aca="false">IFERROR(IF(OR(NOT(ISNUMBER('Price History'!U155)),NOT(ISNUMBER('Price History'!U154)),'Price History'!U154=0),"",'Price History'!U155/'Price History'!U154-1),"")</f>
        <v/>
      </c>
      <c r="V154" s="144" t="str">
        <f aca="false">IFERROR(IF(OR(NOT(ISNUMBER('Price History'!V155)),NOT(ISNUMBER('Price History'!V154)),'Price History'!V154=0),"",'Price History'!V155/'Price History'!V154-1),"")</f>
        <v/>
      </c>
      <c r="W154" s="145" t="str">
        <f aca="false">IFERROR('Price History'!B3+(INDEX('Price History'!B:B,MATCH(9.99E+307,'Price History'!$A:$A))-'Price History'!B3)*(ROW()-3)/(MATCH(9.99E+307,'Returns (Calc)'!$A:$A)-3),"")</f>
        <v/>
      </c>
      <c r="X154" s="145" t="n">
        <f aca="false">IFERROR('Price History'!C3+(INDEX('Price History'!C:C,MATCH(9.99E+307,'Price History'!$A:$A))-'Price History'!C3)*(ROW()-3)/(MATCH(9.99E+307,'Returns (Calc)'!$A:$A)-3),"")</f>
        <v>2.32352201257861</v>
      </c>
      <c r="Y154" s="145" t="n">
        <f aca="false">IFERROR('Price History'!D3+(INDEX('Price History'!D:D,MATCH(9.99E+307,'Price History'!$A:$A))-'Price History'!D3)*(ROW()-3)/(MATCH(9.99E+307,'Returns (Calc)'!$A:$A)-3),"")</f>
        <v>29.2835220125786</v>
      </c>
      <c r="Z154" s="145" t="n">
        <f aca="false">IFERROR('Price History'!E3+(INDEX('Price History'!E:E,MATCH(9.99E+307,'Price History'!$A:$A))-'Price History'!E3)*(ROW()-3)/(MATCH(9.99E+307,'Returns (Calc)'!$A:$A)-3),"")</f>
        <v>4.12578616352201</v>
      </c>
      <c r="AA154" s="145" t="n">
        <f aca="false">IFERROR('Price History'!F3+(INDEX('Price History'!F:F,MATCH(9.99E+307,'Price History'!$A:$A))-'Price History'!F3)*(ROW()-3)/(MATCH(9.99E+307,'Returns (Calc)'!$A:$A)-3),"")</f>
        <v>3.78918238993711</v>
      </c>
      <c r="AB154" s="145" t="n">
        <f aca="false">IFERROR('Price History'!G3+(INDEX('Price History'!G:G,MATCH(9.99E+307,'Price History'!$A:$A))-'Price History'!G3)*(ROW()-3)/(MATCH(9.99E+307,'Returns (Calc)'!$A:$A)-3),"")</f>
        <v>2.08100628930818</v>
      </c>
      <c r="AC154" s="145" t="n">
        <f aca="false">IFERROR('Price History'!H3+(INDEX('Price History'!H:H,MATCH(9.99E+307,'Price History'!$A:$A))-'Price History'!H3)*(ROW()-3)/(MATCH(9.99E+307,'Returns (Calc)'!$A:$A)-3),"")</f>
        <v>5.0611320754717</v>
      </c>
      <c r="AD154" s="145" t="n">
        <f aca="false">IFERROR('Price History'!I3+(INDEX('Price History'!I:I,MATCH(9.99E+307,'Price History'!$A:$A))-'Price History'!I3)*(ROW()-3)/(MATCH(9.99E+307,'Returns (Calc)'!$A:$A)-3),"")</f>
        <v>2.23144654088051</v>
      </c>
      <c r="AE154" s="145" t="n">
        <f aca="false">IFERROR('Price History'!J3+(INDEX('Price History'!J:J,MATCH(9.99E+307,'Price History'!$A:$A))-'Price History'!J3)*(ROW()-3)/(MATCH(9.99E+307,'Returns (Calc)'!$A:$A)-3),"")</f>
        <v>3.47723270440251</v>
      </c>
      <c r="AF154" s="145" t="n">
        <f aca="false">IFERROR('Price History'!K3+(INDEX('Price History'!K:K,MATCH(9.99E+307,'Price History'!$A:$A))-'Price History'!K3)*(ROW()-3)/(MATCH(9.99E+307,'Returns (Calc)'!$A:$A)-3),"")</f>
        <v>2.2022641509434</v>
      </c>
      <c r="AG154" s="145" t="n">
        <f aca="false">IFERROR('Price History'!L3+(INDEX('Price History'!L:L,MATCH(9.99E+307,'Price History'!$A:$A))-'Price History'!L3)*(ROW()-3)/(MATCH(9.99E+307,'Returns (Calc)'!$A:$A)-3),"")</f>
        <v>5.62716981132076</v>
      </c>
      <c r="AH154" s="145" t="n">
        <f aca="false">IFERROR('Price History'!M3+(INDEX('Price History'!M:M,MATCH(9.99E+307,'Price History'!$A:$A))-'Price History'!M3)*(ROW()-3)/(MATCH(9.99E+307,'Returns (Calc)'!$A:$A)-3),"")</f>
        <v>0.771320754716982</v>
      </c>
      <c r="AI154" s="145" t="n">
        <f aca="false">IFERROR('Price History'!N3+(INDEX('Price History'!N:N,MATCH(9.99E+307,'Price History'!$A:$A))-'Price History'!N3)*(ROW()-3)/(MATCH(9.99E+307,'Returns (Calc)'!$A:$A)-3),"")</f>
        <v>1.09685534591195</v>
      </c>
      <c r="AJ154" s="145" t="n">
        <f aca="false">IFERROR('Price History'!O3+(INDEX('Price History'!O:O,MATCH(9.99E+307,'Price History'!$A:$A))-'Price History'!O3)*(ROW()-3)/(MATCH(9.99E+307,'Returns (Calc)'!$A:$A)-3),"")</f>
        <v>2.89962264150943</v>
      </c>
      <c r="AK154" s="145" t="n">
        <f aca="false">IFERROR('Price History'!Q3+(INDEX('Price History'!Q:Q,MATCH(9.99E+307,'Price History'!$A:$A))-'Price History'!Q3)*(ROW()-3)/(MATCH(9.99E+307,'Returns (Calc)'!$A:$A)-3),"")</f>
        <v>11.8555974842767</v>
      </c>
      <c r="AL154" s="145" t="n">
        <f aca="false">IFERROR('Price History'!R3+(INDEX('Price History'!R:R,MATCH(9.99E+307,'Price History'!$A:$A))-'Price History'!R3)*(ROW()-3)/(MATCH(9.99E+307,'Returns (Calc)'!$A:$A)-3),"")</f>
        <v>2.40603773584906</v>
      </c>
      <c r="AM154" s="145" t="n">
        <f aca="false">IFERROR('Price History'!S3+(INDEX('Price History'!S:S,MATCH(9.99E+307,'Price History'!$A:$A))-'Price History'!S3)*(ROW()-3)/(MATCH(9.99E+307,'Returns (Calc)'!$A:$A)-3),"")</f>
        <v>2.94540880503145</v>
      </c>
      <c r="AN154" s="145" t="n">
        <f aca="false">IFERROR('Price History'!T3+(INDEX('Price History'!T:T,MATCH(9.99E+307,'Price History'!$A:$A))-'Price History'!T3)*(ROW()-3)/(MATCH(9.99E+307,'Returns (Calc)'!$A:$A)-3),"")</f>
        <v>1.35396226415094</v>
      </c>
      <c r="AO154" s="146" t="n">
        <f aca="false">IFERROR('Price History'!V3+(INDEX('Price History'!V:V,MATCH(9.99E+307,'Price History'!$A:$A))-'Price History'!V3)*(ROW()-3)/(MATCH(9.99E+307,'Returns (Calc)'!$A:$A)-3),"")</f>
        <v>0</v>
      </c>
    </row>
    <row r="155" customFormat="false" ht="15" hidden="false" customHeight="true" outlineLevel="0" collapsed="false">
      <c r="A155" s="142" t="n">
        <f aca="false">IF('Price History'!A156="","",'Price History'!A156)</f>
        <v>46255</v>
      </c>
      <c r="B155" s="143" t="n">
        <f aca="false">IFERROR(IF(OR(NOT(ISNUMBER('Price History'!B156)),NOT(ISNUMBER('Price History'!B155)),'Price History'!B155=0),"",'Price History'!B156/'Price History'!B155-1),"")</f>
        <v>0.0427240360578745</v>
      </c>
      <c r="C155" s="143" t="n">
        <f aca="false">IFERROR(IF(OR(NOT(ISNUMBER('Price History'!C156)),NOT(ISNUMBER('Price History'!C155)),'Price History'!C155=0),"",'Price History'!C156/'Price History'!C155-1),"")</f>
        <v>-0.0511517955940045</v>
      </c>
      <c r="D155" s="143" t="n">
        <f aca="false">IFERROR(IF(OR(NOT(ISNUMBER('Price History'!D156)),NOT(ISNUMBER('Price History'!D155)),'Price History'!D155=0),"",'Price History'!D156/'Price History'!D155-1),"")</f>
        <v>-0.0435555941173919</v>
      </c>
      <c r="E155" s="143" t="n">
        <f aca="false">IFERROR(IF(OR(NOT(ISNUMBER('Price History'!E156)),NOT(ISNUMBER('Price History'!E155)),'Price History'!E155=0),"",'Price History'!E156/'Price History'!E155-1),"")</f>
        <v>-0.0624553890078515</v>
      </c>
      <c r="F155" s="143" t="n">
        <f aca="false">IFERROR(IF(OR(NOT(ISNUMBER('Price History'!F156)),NOT(ISNUMBER('Price History'!F155)),'Price History'!F155=0),"",'Price History'!F156/'Price History'!F155-1),"")</f>
        <v>-0.0176915283298261</v>
      </c>
      <c r="G155" s="143" t="n">
        <f aca="false">IFERROR(IF(OR(NOT(ISNUMBER('Price History'!G156)),NOT(ISNUMBER('Price History'!G155)),'Price History'!G155=0),"",'Price History'!G156/'Price History'!G155-1),"")</f>
        <v>-0.115233924867481</v>
      </c>
      <c r="H155" s="143" t="n">
        <f aca="false">IFERROR(IF(OR(NOT(ISNUMBER('Price History'!H156)),NOT(ISNUMBER('Price History'!H155)),'Price History'!H155=0),"",'Price History'!H156/'Price History'!H155-1),"")</f>
        <v>-0.00852878464818763</v>
      </c>
      <c r="I155" s="143" t="n">
        <f aca="false">IFERROR(IF(OR(NOT(ISNUMBER('Price History'!I156)),NOT(ISNUMBER('Price History'!I155)),'Price History'!I155=0),"",'Price History'!I156/'Price History'!I155-1),"")</f>
        <v>-0.095827804806133</v>
      </c>
      <c r="J155" s="143" t="n">
        <f aca="false">IFERROR(IF(OR(NOT(ISNUMBER('Price History'!J156)),NOT(ISNUMBER('Price History'!J155)),'Price History'!J155=0),"",'Price History'!J156/'Price History'!J155-1),"")</f>
        <v>-0.00502233291480558</v>
      </c>
      <c r="K155" s="143" t="n">
        <f aca="false">IFERROR(IF(OR(NOT(ISNUMBER('Price History'!K156)),NOT(ISNUMBER('Price History'!K155)),'Price History'!K155=0),"",'Price History'!K156/'Price History'!K155-1),"")</f>
        <v>-0.0463741051976346</v>
      </c>
      <c r="L155" s="143" t="n">
        <f aca="false">IFERROR(IF(OR(NOT(ISNUMBER('Price History'!L156)),NOT(ISNUMBER('Price History'!L155)),'Price History'!L155=0),"",'Price History'!L156/'Price History'!L155-1),"")</f>
        <v>0.00543167524299615</v>
      </c>
      <c r="M155" s="143" t="n">
        <f aca="false">IFERROR(IF(OR(NOT(ISNUMBER('Price History'!M156)),NOT(ISNUMBER('Price History'!M155)),'Price History'!M155=0),"",'Price History'!M156/'Price History'!M155-1),"")</f>
        <v>0.0339002528154448</v>
      </c>
      <c r="N155" s="143" t="n">
        <f aca="false">IFERROR(IF(OR(NOT(ISNUMBER('Price History'!N156)),NOT(ISNUMBER('Price History'!N155)),'Price History'!N155=0),"",'Price History'!N156/'Price History'!N155-1),"")</f>
        <v>0.016934306569343</v>
      </c>
      <c r="O155" s="143" t="n">
        <f aca="false">IFERROR(IF(OR(NOT(ISNUMBER('Price History'!O156)),NOT(ISNUMBER('Price History'!O155)),'Price History'!O155=0),"",'Price History'!O156/'Price History'!O155-1),"")</f>
        <v>-0.0298575721939108</v>
      </c>
      <c r="P155" s="143" t="n">
        <f aca="false">IFERROR(IF(OR(NOT(ISNUMBER('Price History'!P156)),NOT(ISNUMBER('Price History'!P155)),'Price History'!P155=0),"",'Price History'!P156/'Price History'!P155-1),"")</f>
        <v>-0.0173561299122786</v>
      </c>
      <c r="Q155" s="143" t="n">
        <f aca="false">IFERROR(IF(OR(NOT(ISNUMBER('Price History'!Q156)),NOT(ISNUMBER('Price History'!Q155)),'Price History'!Q155=0),"",'Price History'!Q156/'Price History'!Q155-1),"")</f>
        <v>0.0189207744061515</v>
      </c>
      <c r="R155" s="143" t="n">
        <f aca="false">IFERROR(IF(OR(NOT(ISNUMBER('Price History'!R156)),NOT(ISNUMBER('Price History'!R155)),'Price History'!R155=0),"",'Price History'!R156/'Price History'!R155-1),"")</f>
        <v>-0.0330523880350355</v>
      </c>
      <c r="S155" s="143" t="n">
        <f aca="false">IFERROR(IF(OR(NOT(ISNUMBER('Price History'!S156)),NOT(ISNUMBER('Price History'!S155)),'Price History'!S155=0),"",'Price History'!S156/'Price History'!S155-1),"")</f>
        <v>-0.0641300813008131</v>
      </c>
      <c r="T155" s="143" t="n">
        <f aca="false">IFERROR(IF(OR(NOT(ISNUMBER('Price History'!T156)),NOT(ISNUMBER('Price History'!T155)),'Price History'!T155=0),"",'Price History'!T156/'Price History'!T155-1),"")</f>
        <v>0.0086516142646127</v>
      </c>
      <c r="U155" s="143" t="str">
        <f aca="false">IFERROR(IF(OR(NOT(ISNUMBER('Price History'!U156)),NOT(ISNUMBER('Price History'!U155)),'Price History'!U155=0),"",'Price History'!U156/'Price History'!U155-1),"")</f>
        <v/>
      </c>
      <c r="V155" s="144" t="n">
        <f aca="false">IFERROR(IF(OR(NOT(ISNUMBER('Price History'!V156)),NOT(ISNUMBER('Price History'!V155)),'Price History'!V155=0),"",'Price History'!V156/'Price History'!V155-1),"")</f>
        <v>0.0275034451079468</v>
      </c>
      <c r="W155" s="145" t="str">
        <f aca="false">IFERROR('Price History'!B3+(INDEX('Price History'!B:B,MATCH(9.99E+307,'Price History'!$A:$A))-'Price History'!B3)*(ROW()-3)/(MATCH(9.99E+307,'Returns (Calc)'!$A:$A)-3),"")</f>
        <v/>
      </c>
      <c r="X155" s="145" t="n">
        <f aca="false">IFERROR('Price History'!C3+(INDEX('Price History'!C:C,MATCH(9.99E+307,'Price History'!$A:$A))-'Price History'!C3)*(ROW()-3)/(MATCH(9.99E+307,'Returns (Calc)'!$A:$A)-3),"")</f>
        <v>2.03308176100629</v>
      </c>
      <c r="Y155" s="145" t="n">
        <f aca="false">IFERROR('Price History'!D3+(INDEX('Price History'!D:D,MATCH(9.99E+307,'Price History'!$A:$A))-'Price History'!D3)*(ROW()-3)/(MATCH(9.99E+307,'Returns (Calc)'!$A:$A)-3),"")</f>
        <v>25.6230817610062</v>
      </c>
      <c r="Z155" s="145" t="n">
        <f aca="false">IFERROR('Price History'!E3+(INDEX('Price History'!E:E,MATCH(9.99E+307,'Price History'!$A:$A))-'Price History'!E3)*(ROW()-3)/(MATCH(9.99E+307,'Returns (Calc)'!$A:$A)-3),"")</f>
        <v>3.61006289308176</v>
      </c>
      <c r="AA155" s="145" t="n">
        <f aca="false">IFERROR('Price History'!F3+(INDEX('Price History'!F:F,MATCH(9.99E+307,'Price History'!$A:$A))-'Price History'!F3)*(ROW()-3)/(MATCH(9.99E+307,'Returns (Calc)'!$A:$A)-3),"")</f>
        <v>3.31553459119496</v>
      </c>
      <c r="AB155" s="145" t="n">
        <f aca="false">IFERROR('Price History'!G3+(INDEX('Price History'!G:G,MATCH(9.99E+307,'Price History'!$A:$A))-'Price History'!G3)*(ROW()-3)/(MATCH(9.99E+307,'Returns (Calc)'!$A:$A)-3),"")</f>
        <v>1.82088050314465</v>
      </c>
      <c r="AC155" s="145" t="n">
        <f aca="false">IFERROR('Price History'!H3+(INDEX('Price History'!H:H,MATCH(9.99E+307,'Price History'!$A:$A))-'Price History'!H3)*(ROW()-3)/(MATCH(9.99E+307,'Returns (Calc)'!$A:$A)-3),"")</f>
        <v>4.42849056603774</v>
      </c>
      <c r="AD155" s="145" t="n">
        <f aca="false">IFERROR('Price History'!I3+(INDEX('Price History'!I:I,MATCH(9.99E+307,'Price History'!$A:$A))-'Price History'!I3)*(ROW()-3)/(MATCH(9.99E+307,'Returns (Calc)'!$A:$A)-3),"")</f>
        <v>1.95251572327044</v>
      </c>
      <c r="AE155" s="145" t="n">
        <f aca="false">IFERROR('Price History'!J3+(INDEX('Price History'!J:J,MATCH(9.99E+307,'Price History'!$A:$A))-'Price History'!J3)*(ROW()-3)/(MATCH(9.99E+307,'Returns (Calc)'!$A:$A)-3),"")</f>
        <v>3.0425786163522</v>
      </c>
      <c r="AF155" s="145" t="n">
        <f aca="false">IFERROR('Price History'!K3+(INDEX('Price History'!K:K,MATCH(9.99E+307,'Price History'!$A:$A))-'Price History'!K3)*(ROW()-3)/(MATCH(9.99E+307,'Returns (Calc)'!$A:$A)-3),"")</f>
        <v>1.92698113207547</v>
      </c>
      <c r="AG155" s="145" t="n">
        <f aca="false">IFERROR('Price History'!L3+(INDEX('Price History'!L:L,MATCH(9.99E+307,'Price History'!$A:$A))-'Price History'!L3)*(ROW()-3)/(MATCH(9.99E+307,'Returns (Calc)'!$A:$A)-3),"")</f>
        <v>4.92377358490566</v>
      </c>
      <c r="AH155" s="145" t="n">
        <f aca="false">IFERROR('Price History'!M3+(INDEX('Price History'!M:M,MATCH(9.99E+307,'Price History'!$A:$A))-'Price History'!M3)*(ROW()-3)/(MATCH(9.99E+307,'Returns (Calc)'!$A:$A)-3),"")</f>
        <v>0.674905660377359</v>
      </c>
      <c r="AI155" s="145" t="n">
        <f aca="false">IFERROR('Price History'!N3+(INDEX('Price History'!N:N,MATCH(9.99E+307,'Price History'!$A:$A))-'Price History'!N3)*(ROW()-3)/(MATCH(9.99E+307,'Returns (Calc)'!$A:$A)-3),"")</f>
        <v>0.959748427672956</v>
      </c>
      <c r="AJ155" s="145" t="n">
        <f aca="false">IFERROR('Price History'!O3+(INDEX('Price History'!O:O,MATCH(9.99E+307,'Price History'!$A:$A))-'Price History'!O3)*(ROW()-3)/(MATCH(9.99E+307,'Returns (Calc)'!$A:$A)-3),"")</f>
        <v>2.53716981132076</v>
      </c>
      <c r="AK155" s="145" t="n">
        <f aca="false">IFERROR('Price History'!Q3+(INDEX('Price History'!Q:Q,MATCH(9.99E+307,'Price History'!$A:$A))-'Price History'!Q3)*(ROW()-3)/(MATCH(9.99E+307,'Returns (Calc)'!$A:$A)-3),"")</f>
        <v>10.3736477987421</v>
      </c>
      <c r="AL155" s="145" t="n">
        <f aca="false">IFERROR('Price History'!R3+(INDEX('Price History'!R:R,MATCH(9.99E+307,'Price History'!$A:$A))-'Price History'!R3)*(ROW()-3)/(MATCH(9.99E+307,'Returns (Calc)'!$A:$A)-3),"")</f>
        <v>2.10528301886792</v>
      </c>
      <c r="AM155" s="145" t="n">
        <f aca="false">IFERROR('Price History'!S3+(INDEX('Price History'!S:S,MATCH(9.99E+307,'Price History'!$A:$A))-'Price History'!S3)*(ROW()-3)/(MATCH(9.99E+307,'Returns (Calc)'!$A:$A)-3),"")</f>
        <v>2.57723270440251</v>
      </c>
      <c r="AN155" s="145" t="n">
        <f aca="false">IFERROR('Price History'!T3+(INDEX('Price History'!T:T,MATCH(9.99E+307,'Price History'!$A:$A))-'Price History'!T3)*(ROW()-3)/(MATCH(9.99E+307,'Returns (Calc)'!$A:$A)-3),"")</f>
        <v>1.18471698113207</v>
      </c>
      <c r="AO155" s="146" t="n">
        <f aca="false">IFERROR('Price History'!V3+(INDEX('Price History'!V:V,MATCH(9.99E+307,'Price History'!$A:$A))-'Price History'!V3)*(ROW()-3)/(MATCH(9.99E+307,'Returns (Calc)'!$A:$A)-3),"")</f>
        <v>0</v>
      </c>
    </row>
    <row r="156" customFormat="false" ht="15" hidden="false" customHeight="true" outlineLevel="0" collapsed="false">
      <c r="A156" s="142" t="n">
        <f aca="false">IF('Price History'!A157="","",'Price History'!A157)</f>
        <v>46262</v>
      </c>
      <c r="B156" s="143" t="n">
        <f aca="false">IFERROR(IF(OR(NOT(ISNUMBER('Price History'!B157)),NOT(ISNUMBER('Price History'!B156)),'Price History'!B156=0),"",'Price History'!B157/'Price History'!B156-1),"")</f>
        <v>0.0589175444969123</v>
      </c>
      <c r="C156" s="143" t="n">
        <f aca="false">IFERROR(IF(OR(NOT(ISNUMBER('Price History'!C157)),NOT(ISNUMBER('Price History'!C156)),'Price History'!C156=0),"",'Price History'!C157/'Price History'!C156-1),"")</f>
        <v>0.0356745295520806</v>
      </c>
      <c r="D156" s="143" t="n">
        <f aca="false">IFERROR(IF(OR(NOT(ISNUMBER('Price History'!D157)),NOT(ISNUMBER('Price History'!D156)),'Price History'!D156=0),"",'Price History'!D157/'Price History'!D156-1),"")</f>
        <v>-0.0383272100512541</v>
      </c>
      <c r="E156" s="143" t="n">
        <f aca="false">IFERROR(IF(OR(NOT(ISNUMBER('Price History'!E157)),NOT(ISNUMBER('Price History'!E156)),'Price History'!E156=0),"",'Price History'!E157/'Price History'!E156-1),"")</f>
        <v>0.000924465713198153</v>
      </c>
      <c r="F156" s="143" t="n">
        <f aca="false">IFERROR(IF(OR(NOT(ISNUMBER('Price History'!F157)),NOT(ISNUMBER('Price History'!F156)),'Price History'!F156=0),"",'Price History'!F157/'Price History'!F156-1),"")</f>
        <v>-0.00698191050460184</v>
      </c>
      <c r="G156" s="143" t="n">
        <f aca="false">IFERROR(IF(OR(NOT(ISNUMBER('Price History'!G157)),NOT(ISNUMBER('Price History'!G156)),'Price History'!G156=0),"",'Price History'!G157/'Price History'!G156-1),"")</f>
        <v>0.137796301120083</v>
      </c>
      <c r="H156" s="143" t="n">
        <f aca="false">IFERROR(IF(OR(NOT(ISNUMBER('Price History'!H157)),NOT(ISNUMBER('Price History'!H156)),'Price History'!H156=0),"",'Price History'!H157/'Price History'!H156-1),"")</f>
        <v>-0.00178187403993846</v>
      </c>
      <c r="I156" s="143" t="n">
        <f aca="false">IFERROR(IF(OR(NOT(ISNUMBER('Price History'!I157)),NOT(ISNUMBER('Price History'!I156)),'Price History'!I156=0),"",'Price History'!I157/'Price History'!I156-1),"")</f>
        <v>-0.0459264090439698</v>
      </c>
      <c r="J156" s="143" t="n">
        <f aca="false">IFERROR(IF(OR(NOT(ISNUMBER('Price History'!J157)),NOT(ISNUMBER('Price History'!J156)),'Price History'!J156=0),"",'Price History'!J157/'Price History'!J156-1),"")</f>
        <v>-0.0350855416951116</v>
      </c>
      <c r="K156" s="143" t="n">
        <f aca="false">IFERROR(IF(OR(NOT(ISNUMBER('Price History'!K157)),NOT(ISNUMBER('Price History'!K156)),'Price History'!K156=0),"",'Price History'!K157/'Price History'!K156-1),"")</f>
        <v>0.0131947034688549</v>
      </c>
      <c r="L156" s="143" t="n">
        <f aca="false">IFERROR(IF(OR(NOT(ISNUMBER('Price History'!L157)),NOT(ISNUMBER('Price History'!L156)),'Price History'!L156=0),"",'Price History'!L157/'Price History'!L156-1),"")</f>
        <v>-0.00774808075063982</v>
      </c>
      <c r="M156" s="143" t="n">
        <f aca="false">IFERROR(IF(OR(NOT(ISNUMBER('Price History'!M157)),NOT(ISNUMBER('Price History'!M156)),'Price History'!M156=0),"",'Price History'!M157/'Price History'!M156-1),"")</f>
        <v>0.0352895409580971</v>
      </c>
      <c r="N156" s="143" t="n">
        <f aca="false">IFERROR(IF(OR(NOT(ISNUMBER('Price History'!N157)),NOT(ISNUMBER('Price History'!N156)),'Price History'!N156=0),"",'Price History'!N157/'Price History'!N156-1),"")</f>
        <v>-0.00602928509905254</v>
      </c>
      <c r="O156" s="143" t="n">
        <f aca="false">IFERROR(IF(OR(NOT(ISNUMBER('Price History'!O157)),NOT(ISNUMBER('Price History'!O156)),'Price History'!O156=0),"",'Price History'!O157/'Price History'!O156-1),"")</f>
        <v>-0.0131321974543741</v>
      </c>
      <c r="P156" s="143" t="n">
        <f aca="false">IFERROR(IF(OR(NOT(ISNUMBER('Price History'!P157)),NOT(ISNUMBER('Price History'!P156)),'Price History'!P156=0),"",'Price History'!P157/'Price History'!P156-1),"")</f>
        <v>-0.00342244453485874</v>
      </c>
      <c r="Q156" s="143" t="n">
        <f aca="false">IFERROR(IF(OR(NOT(ISNUMBER('Price History'!Q157)),NOT(ISNUMBER('Price History'!Q156)),'Price History'!Q156=0),"",'Price History'!Q157/'Price History'!Q156-1),"")</f>
        <v>0.0284605433376455</v>
      </c>
      <c r="R156" s="143" t="n">
        <f aca="false">IFERROR(IF(OR(NOT(ISNUMBER('Price History'!R157)),NOT(ISNUMBER('Price History'!R156)),'Price History'!R156=0),"",'Price History'!R157/'Price History'!R156-1),"")</f>
        <v>-0.0094001025465732</v>
      </c>
      <c r="S156" s="143" t="n">
        <f aca="false">IFERROR(IF(OR(NOT(ISNUMBER('Price History'!S157)),NOT(ISNUMBER('Price History'!S156)),'Price History'!S156=0),"",'Price History'!S157/'Price History'!S156-1),"")</f>
        <v>0.0182083536034472</v>
      </c>
      <c r="T156" s="143" t="n">
        <f aca="false">IFERROR(IF(OR(NOT(ISNUMBER('Price History'!T157)),NOT(ISNUMBER('Price History'!T156)),'Price History'!T156=0),"",'Price History'!T157/'Price History'!T156-1),"")</f>
        <v>0.00711297071129713</v>
      </c>
      <c r="U156" s="143" t="str">
        <f aca="false">IFERROR(IF(OR(NOT(ISNUMBER('Price History'!U157)),NOT(ISNUMBER('Price History'!U156)),'Price History'!U156=0),"",'Price History'!U157/'Price History'!U156-1),"")</f>
        <v/>
      </c>
      <c r="V156" s="144" t="n">
        <f aca="false">IFERROR(IF(OR(NOT(ISNUMBER('Price History'!V157)),NOT(ISNUMBER('Price History'!V156)),'Price History'!V156=0),"",'Price History'!V157/'Price History'!V156-1),"")</f>
        <v>-0.00787929589270742</v>
      </c>
      <c r="W156" s="145" t="str">
        <f aca="false">IFERROR('Price History'!B3+(INDEX('Price History'!B:B,MATCH(9.99E+307,'Price History'!$A:$A))-'Price History'!B3)*(ROW()-3)/(MATCH(9.99E+307,'Returns (Calc)'!$A:$A)-3),"")</f>
        <v/>
      </c>
      <c r="X156" s="145" t="n">
        <f aca="false">IFERROR('Price History'!C3+(INDEX('Price History'!C:C,MATCH(9.99E+307,'Price History'!$A:$A))-'Price History'!C3)*(ROW()-3)/(MATCH(9.99E+307,'Returns (Calc)'!$A:$A)-3),"")</f>
        <v>1.74264150943396</v>
      </c>
      <c r="Y156" s="145" t="n">
        <f aca="false">IFERROR('Price History'!D3+(INDEX('Price History'!D:D,MATCH(9.99E+307,'Price History'!$A:$A))-'Price History'!D3)*(ROW()-3)/(MATCH(9.99E+307,'Returns (Calc)'!$A:$A)-3),"")</f>
        <v>21.962641509434</v>
      </c>
      <c r="Z156" s="145" t="n">
        <f aca="false">IFERROR('Price History'!E3+(INDEX('Price History'!E:E,MATCH(9.99E+307,'Price History'!$A:$A))-'Price History'!E3)*(ROW()-3)/(MATCH(9.99E+307,'Returns (Calc)'!$A:$A)-3),"")</f>
        <v>3.09433962264151</v>
      </c>
      <c r="AA156" s="145" t="n">
        <f aca="false">IFERROR('Price History'!F3+(INDEX('Price History'!F:F,MATCH(9.99E+307,'Price History'!$A:$A))-'Price History'!F3)*(ROW()-3)/(MATCH(9.99E+307,'Returns (Calc)'!$A:$A)-3),"")</f>
        <v>2.84188679245283</v>
      </c>
      <c r="AB156" s="145" t="n">
        <f aca="false">IFERROR('Price History'!G3+(INDEX('Price History'!G:G,MATCH(9.99E+307,'Price History'!$A:$A))-'Price History'!G3)*(ROW()-3)/(MATCH(9.99E+307,'Returns (Calc)'!$A:$A)-3),"")</f>
        <v>1.56075471698113</v>
      </c>
      <c r="AC156" s="145" t="n">
        <f aca="false">IFERROR('Price History'!H3+(INDEX('Price History'!H:H,MATCH(9.99E+307,'Price History'!$A:$A))-'Price History'!H3)*(ROW()-3)/(MATCH(9.99E+307,'Returns (Calc)'!$A:$A)-3),"")</f>
        <v>3.79584905660377</v>
      </c>
      <c r="AD156" s="145" t="n">
        <f aca="false">IFERROR('Price History'!I3+(INDEX('Price History'!I:I,MATCH(9.99E+307,'Price History'!$A:$A))-'Price History'!I3)*(ROW()-3)/(MATCH(9.99E+307,'Returns (Calc)'!$A:$A)-3),"")</f>
        <v>1.67358490566038</v>
      </c>
      <c r="AE156" s="145" t="n">
        <f aca="false">IFERROR('Price History'!J3+(INDEX('Price History'!J:J,MATCH(9.99E+307,'Price History'!$A:$A))-'Price History'!J3)*(ROW()-3)/(MATCH(9.99E+307,'Returns (Calc)'!$A:$A)-3),"")</f>
        <v>2.60792452830189</v>
      </c>
      <c r="AF156" s="145" t="n">
        <f aca="false">IFERROR('Price History'!K3+(INDEX('Price History'!K:K,MATCH(9.99E+307,'Price History'!$A:$A))-'Price History'!K3)*(ROW()-3)/(MATCH(9.99E+307,'Returns (Calc)'!$A:$A)-3),"")</f>
        <v>1.65169811320754</v>
      </c>
      <c r="AG156" s="145" t="n">
        <f aca="false">IFERROR('Price History'!L3+(INDEX('Price History'!L:L,MATCH(9.99E+307,'Price History'!$A:$A))-'Price History'!L3)*(ROW()-3)/(MATCH(9.99E+307,'Returns (Calc)'!$A:$A)-3),"")</f>
        <v>4.22037735849057</v>
      </c>
      <c r="AH156" s="145" t="n">
        <f aca="false">IFERROR('Price History'!M3+(INDEX('Price History'!M:M,MATCH(9.99E+307,'Price History'!$A:$A))-'Price History'!M3)*(ROW()-3)/(MATCH(9.99E+307,'Returns (Calc)'!$A:$A)-3),"")</f>
        <v>0.578490566037734</v>
      </c>
      <c r="AI156" s="145" t="n">
        <f aca="false">IFERROR('Price History'!N3+(INDEX('Price History'!N:N,MATCH(9.99E+307,'Price History'!$A:$A))-'Price History'!N3)*(ROW()-3)/(MATCH(9.99E+307,'Returns (Calc)'!$A:$A)-3),"")</f>
        <v>0.822641509433961</v>
      </c>
      <c r="AJ156" s="145" t="n">
        <f aca="false">IFERROR('Price History'!O3+(INDEX('Price History'!O:O,MATCH(9.99E+307,'Price History'!$A:$A))-'Price History'!O3)*(ROW()-3)/(MATCH(9.99E+307,'Returns (Calc)'!$A:$A)-3),"")</f>
        <v>2.17471698113207</v>
      </c>
      <c r="AK156" s="145" t="n">
        <f aca="false">IFERROR('Price History'!Q3+(INDEX('Price History'!Q:Q,MATCH(9.99E+307,'Price History'!$A:$A))-'Price History'!Q3)*(ROW()-3)/(MATCH(9.99E+307,'Returns (Calc)'!$A:$A)-3),"")</f>
        <v>8.89169811320755</v>
      </c>
      <c r="AL156" s="145" t="n">
        <f aca="false">IFERROR('Price History'!R3+(INDEX('Price History'!R:R,MATCH(9.99E+307,'Price History'!$A:$A))-'Price History'!R3)*(ROW()-3)/(MATCH(9.99E+307,'Returns (Calc)'!$A:$A)-3),"")</f>
        <v>1.80452830188679</v>
      </c>
      <c r="AM156" s="145" t="n">
        <f aca="false">IFERROR('Price History'!S3+(INDEX('Price History'!S:S,MATCH(9.99E+307,'Price History'!$A:$A))-'Price History'!S3)*(ROW()-3)/(MATCH(9.99E+307,'Returns (Calc)'!$A:$A)-3),"")</f>
        <v>2.20905660377359</v>
      </c>
      <c r="AN156" s="145" t="n">
        <f aca="false">IFERROR('Price History'!T3+(INDEX('Price History'!T:T,MATCH(9.99E+307,'Price History'!$A:$A))-'Price History'!T3)*(ROW()-3)/(MATCH(9.99E+307,'Returns (Calc)'!$A:$A)-3),"")</f>
        <v>1.01547169811321</v>
      </c>
      <c r="AO156" s="146" t="n">
        <f aca="false">IFERROR('Price History'!V3+(INDEX('Price History'!V:V,MATCH(9.99E+307,'Price History'!$A:$A))-'Price History'!V3)*(ROW()-3)/(MATCH(9.99E+307,'Returns (Calc)'!$A:$A)-3),"")</f>
        <v>0</v>
      </c>
    </row>
    <row r="157" customFormat="false" ht="15" hidden="false" customHeight="true" outlineLevel="0" collapsed="false">
      <c r="A157" s="142" t="n">
        <f aca="false">IF('Price History'!A158="","",'Price History'!A158)</f>
        <v>46269</v>
      </c>
      <c r="B157" s="143" t="n">
        <f aca="false">IFERROR(IF(OR(NOT(ISNUMBER('Price History'!B158)),NOT(ISNUMBER('Price History'!B157)),'Price History'!B157=0),"",'Price History'!B158/'Price History'!B157-1),"")</f>
        <v>-0.0857917124039517</v>
      </c>
      <c r="C157" s="143" t="n">
        <f aca="false">IFERROR(IF(OR(NOT(ISNUMBER('Price History'!C158)),NOT(ISNUMBER('Price History'!C157)),'Price History'!C157=0),"",'Price History'!C158/'Price History'!C157-1),"")</f>
        <v>-0.00818916982290918</v>
      </c>
      <c r="D157" s="143" t="n">
        <f aca="false">IFERROR(IF(OR(NOT(ISNUMBER('Price History'!D158)),NOT(ISNUMBER('Price History'!D157)),'Price History'!D157=0),"",'Price History'!D158/'Price History'!D157-1),"")</f>
        <v>0.011036694651448</v>
      </c>
      <c r="E157" s="143" t="n">
        <f aca="false">IFERROR(IF(OR(NOT(ISNUMBER('Price History'!E158)),NOT(ISNUMBER('Price History'!E157)),'Price History'!E157=0),"",'Price History'!E158/'Price History'!E157-1),"")</f>
        <v>-0.0295284146473976</v>
      </c>
      <c r="F157" s="143" t="n">
        <f aca="false">IFERROR(IF(OR(NOT(ISNUMBER('Price History'!F158)),NOT(ISNUMBER('Price History'!F157)),'Price History'!F157=0),"",'Price History'!F158/'Price History'!F157-1),"")</f>
        <v>0.0108660914030041</v>
      </c>
      <c r="G157" s="143" t="n">
        <f aca="false">IFERROR(IF(OR(NOT(ISNUMBER('Price History'!G158)),NOT(ISNUMBER('Price History'!G157)),'Price History'!G157=0),"",'Price History'!G158/'Price History'!G157-1),"")</f>
        <v>-0.0242673992673993</v>
      </c>
      <c r="H157" s="143" t="n">
        <f aca="false">IFERROR(IF(OR(NOT(ISNUMBER('Price History'!H158)),NOT(ISNUMBER('Price History'!H157)),'Price History'!H157=0),"",'Price History'!H158/'Price History'!H157-1),"")</f>
        <v>0.00276991259386916</v>
      </c>
      <c r="I157" s="143" t="n">
        <f aca="false">IFERROR(IF(OR(NOT(ISNUMBER('Price History'!I158)),NOT(ISNUMBER('Price History'!I157)),'Price History'!I157=0),"",'Price History'!I158/'Price History'!I157-1),"")</f>
        <v>0.0573088754699784</v>
      </c>
      <c r="J157" s="143" t="n">
        <f aca="false">IFERROR(IF(OR(NOT(ISNUMBER('Price History'!J158)),NOT(ISNUMBER('Price History'!J157)),'Price History'!J157=0),"",'Price History'!J158/'Price History'!J157-1),"")</f>
        <v>0.0897562335184272</v>
      </c>
      <c r="K157" s="143" t="n">
        <f aca="false">IFERROR(IF(OR(NOT(ISNUMBER('Price History'!K158)),NOT(ISNUMBER('Price History'!K157)),'Price History'!K157=0),"",'Price History'!K158/'Price History'!K157-1),"")</f>
        <v>0.0588560121485435</v>
      </c>
      <c r="L157" s="143" t="n">
        <f aca="false">IFERROR(IF(OR(NOT(ISNUMBER('Price History'!L158)),NOT(ISNUMBER('Price History'!L157)),'Price History'!L157=0),"",'Price History'!L158/'Price History'!L157-1),"")</f>
        <v>-0.0238555770470665</v>
      </c>
      <c r="M157" s="143" t="n">
        <f aca="false">IFERROR(IF(OR(NOT(ISNUMBER('Price History'!M158)),NOT(ISNUMBER('Price History'!M157)),'Price History'!M157=0),"",'Price History'!M158/'Price History'!M157-1),"")</f>
        <v>-0.0642009769713886</v>
      </c>
      <c r="N157" s="143" t="n">
        <f aca="false">IFERROR(IF(OR(NOT(ISNUMBER('Price History'!N158)),NOT(ISNUMBER('Price History'!N157)),'Price History'!N157=0),"",'Price History'!N158/'Price History'!N157-1),"")</f>
        <v>-0.00288850375505467</v>
      </c>
      <c r="O157" s="143" t="n">
        <f aca="false">IFERROR(IF(OR(NOT(ISNUMBER('Price History'!O158)),NOT(ISNUMBER('Price History'!O157)),'Price History'!O157=0),"",'Price History'!O158/'Price History'!O157-1),"")</f>
        <v>0.0200627814931076</v>
      </c>
      <c r="P157" s="143" t="n">
        <f aca="false">IFERROR(IF(OR(NOT(ISNUMBER('Price History'!P158)),NOT(ISNUMBER('Price History'!P157)),'Price History'!P157=0),"",'Price History'!P158/'Price History'!P157-1),"")</f>
        <v>0.0272814601344862</v>
      </c>
      <c r="Q157" s="143" t="n">
        <f aca="false">IFERROR(IF(OR(NOT(ISNUMBER('Price History'!Q158)),NOT(ISNUMBER('Price History'!Q157)),'Price History'!Q157=0),"",'Price History'!Q158/'Price History'!Q157-1),"")</f>
        <v>-0.0171121593291406</v>
      </c>
      <c r="R157" s="143" t="n">
        <f aca="false">IFERROR(IF(OR(NOT(ISNUMBER('Price History'!R158)),NOT(ISNUMBER('Price History'!R157)),'Price History'!R157=0),"",'Price History'!R158/'Price History'!R157-1),"")</f>
        <v>0.00500345065562446</v>
      </c>
      <c r="S157" s="143" t="n">
        <f aca="false">IFERROR(IF(OR(NOT(ISNUMBER('Price History'!S158)),NOT(ISNUMBER('Price History'!S157)),'Price History'!S157=0),"",'Price History'!S158/'Price History'!S157-1),"")</f>
        <v>-0.0182922667394716</v>
      </c>
      <c r="T157" s="143" t="n">
        <f aca="false">IFERROR(IF(OR(NOT(ISNUMBER('Price History'!T158)),NOT(ISNUMBER('Price History'!T157)),'Price History'!T157=0),"",'Price History'!T158/'Price History'!T157-1),"")</f>
        <v>0.0332363938512672</v>
      </c>
      <c r="U157" s="143" t="str">
        <f aca="false">IFERROR(IF(OR(NOT(ISNUMBER('Price History'!U158)),NOT(ISNUMBER('Price History'!U157)),'Price History'!U157=0),"",'Price History'!U158/'Price History'!U157-1),"")</f>
        <v/>
      </c>
      <c r="V157" s="144" t="n">
        <f aca="false">IFERROR(IF(OR(NOT(ISNUMBER('Price History'!V158)),NOT(ISNUMBER('Price History'!V157)),'Price History'!V157=0),"",'Price History'!V158/'Price History'!V157-1),"")</f>
        <v>0.0292046862678834</v>
      </c>
      <c r="W157" s="145" t="str">
        <f aca="false">IFERROR('Price History'!B3+(INDEX('Price History'!B:B,MATCH(9.99E+307,'Price History'!$A:$A))-'Price History'!B3)*(ROW()-3)/(MATCH(9.99E+307,'Returns (Calc)'!$A:$A)-3),"")</f>
        <v/>
      </c>
      <c r="X157" s="145" t="n">
        <f aca="false">IFERROR('Price History'!C3+(INDEX('Price History'!C:C,MATCH(9.99E+307,'Price History'!$A:$A))-'Price History'!C3)*(ROW()-3)/(MATCH(9.99E+307,'Returns (Calc)'!$A:$A)-3),"")</f>
        <v>1.45220125786163</v>
      </c>
      <c r="Y157" s="145" t="n">
        <f aca="false">IFERROR('Price History'!D3+(INDEX('Price History'!D:D,MATCH(9.99E+307,'Price History'!$A:$A))-'Price History'!D3)*(ROW()-3)/(MATCH(9.99E+307,'Returns (Calc)'!$A:$A)-3),"")</f>
        <v>18.3022012578616</v>
      </c>
      <c r="Z157" s="145" t="n">
        <f aca="false">IFERROR('Price History'!E3+(INDEX('Price History'!E:E,MATCH(9.99E+307,'Price History'!$A:$A))-'Price History'!E3)*(ROW()-3)/(MATCH(9.99E+307,'Returns (Calc)'!$A:$A)-3),"")</f>
        <v>2.57861635220125</v>
      </c>
      <c r="AA157" s="145" t="n">
        <f aca="false">IFERROR('Price History'!F3+(INDEX('Price History'!F:F,MATCH(9.99E+307,'Price History'!$A:$A))-'Price History'!F3)*(ROW()-3)/(MATCH(9.99E+307,'Returns (Calc)'!$A:$A)-3),"")</f>
        <v>2.36823899371069</v>
      </c>
      <c r="AB157" s="145" t="n">
        <f aca="false">IFERROR('Price History'!G3+(INDEX('Price History'!G:G,MATCH(9.99E+307,'Price History'!$A:$A))-'Price History'!G3)*(ROW()-3)/(MATCH(9.99E+307,'Returns (Calc)'!$A:$A)-3),"")</f>
        <v>1.30062893081761</v>
      </c>
      <c r="AC157" s="145" t="n">
        <f aca="false">IFERROR('Price History'!H3+(INDEX('Price History'!H:H,MATCH(9.99E+307,'Price History'!$A:$A))-'Price History'!H3)*(ROW()-3)/(MATCH(9.99E+307,'Returns (Calc)'!$A:$A)-3),"")</f>
        <v>3.1632075471698</v>
      </c>
      <c r="AD157" s="145" t="n">
        <f aca="false">IFERROR('Price History'!I3+(INDEX('Price History'!I:I,MATCH(9.99E+307,'Price History'!$A:$A))-'Price History'!I3)*(ROW()-3)/(MATCH(9.99E+307,'Returns (Calc)'!$A:$A)-3),"")</f>
        <v>1.39465408805031</v>
      </c>
      <c r="AE157" s="145" t="n">
        <f aca="false">IFERROR('Price History'!J3+(INDEX('Price History'!J:J,MATCH(9.99E+307,'Price History'!$A:$A))-'Price History'!J3)*(ROW()-3)/(MATCH(9.99E+307,'Returns (Calc)'!$A:$A)-3),"")</f>
        <v>2.17327044025157</v>
      </c>
      <c r="AF157" s="145" t="n">
        <f aca="false">IFERROR('Price History'!K3+(INDEX('Price History'!K:K,MATCH(9.99E+307,'Price History'!$A:$A))-'Price History'!K3)*(ROW()-3)/(MATCH(9.99E+307,'Returns (Calc)'!$A:$A)-3),"")</f>
        <v>1.37641509433962</v>
      </c>
      <c r="AG157" s="145" t="n">
        <f aca="false">IFERROR('Price History'!L3+(INDEX('Price History'!L:L,MATCH(9.99E+307,'Price History'!$A:$A))-'Price History'!L3)*(ROW()-3)/(MATCH(9.99E+307,'Returns (Calc)'!$A:$A)-3),"")</f>
        <v>3.51698113207547</v>
      </c>
      <c r="AH157" s="145" t="n">
        <f aca="false">IFERROR('Price History'!M3+(INDEX('Price History'!M:M,MATCH(9.99E+307,'Price History'!$A:$A))-'Price History'!M3)*(ROW()-3)/(MATCH(9.99E+307,'Returns (Calc)'!$A:$A)-3),"")</f>
        <v>0.482075471698112</v>
      </c>
      <c r="AI157" s="145" t="n">
        <f aca="false">IFERROR('Price History'!N3+(INDEX('Price History'!N:N,MATCH(9.99E+307,'Price History'!$A:$A))-'Price History'!N3)*(ROW()-3)/(MATCH(9.99E+307,'Returns (Calc)'!$A:$A)-3),"")</f>
        <v>0.685534591194969</v>
      </c>
      <c r="AJ157" s="145" t="n">
        <f aca="false">IFERROR('Price History'!O3+(INDEX('Price History'!O:O,MATCH(9.99E+307,'Price History'!$A:$A))-'Price History'!O3)*(ROW()-3)/(MATCH(9.99E+307,'Returns (Calc)'!$A:$A)-3),"")</f>
        <v>1.8122641509434</v>
      </c>
      <c r="AK157" s="145" t="n">
        <f aca="false">IFERROR('Price History'!Q3+(INDEX('Price History'!Q:Q,MATCH(9.99E+307,'Price History'!$A:$A))-'Price History'!Q3)*(ROW()-3)/(MATCH(9.99E+307,'Returns (Calc)'!$A:$A)-3),"")</f>
        <v>7.40974842767298</v>
      </c>
      <c r="AL157" s="145" t="n">
        <f aca="false">IFERROR('Price History'!R3+(INDEX('Price History'!R:R,MATCH(9.99E+307,'Price History'!$A:$A))-'Price History'!R3)*(ROW()-3)/(MATCH(9.99E+307,'Returns (Calc)'!$A:$A)-3),"")</f>
        <v>1.50377358490566</v>
      </c>
      <c r="AM157" s="145" t="n">
        <f aca="false">IFERROR('Price History'!S3+(INDEX('Price History'!S:S,MATCH(9.99E+307,'Price History'!$A:$A))-'Price History'!S3)*(ROW()-3)/(MATCH(9.99E+307,'Returns (Calc)'!$A:$A)-3),"")</f>
        <v>1.84088050314465</v>
      </c>
      <c r="AN157" s="145" t="n">
        <f aca="false">IFERROR('Price History'!T3+(INDEX('Price History'!T:T,MATCH(9.99E+307,'Price History'!$A:$A))-'Price History'!T3)*(ROW()-3)/(MATCH(9.99E+307,'Returns (Calc)'!$A:$A)-3),"")</f>
        <v>0.846226415094339</v>
      </c>
      <c r="AO157" s="146" t="n">
        <f aca="false">IFERROR('Price History'!V3+(INDEX('Price History'!V:V,MATCH(9.99E+307,'Price History'!$A:$A))-'Price History'!V3)*(ROW()-3)/(MATCH(9.99E+307,'Returns (Calc)'!$A:$A)-3),"")</f>
        <v>0</v>
      </c>
    </row>
    <row r="158" customFormat="false" ht="15" hidden="false" customHeight="true" outlineLevel="0" collapsed="false">
      <c r="A158" s="142" t="n">
        <f aca="false">IF('Price History'!A159="","",'Price History'!A159)</f>
        <v>46276</v>
      </c>
      <c r="B158" s="143" t="n">
        <f aca="false">IFERROR(IF(OR(NOT(ISNUMBER('Price History'!B159)),NOT(ISNUMBER('Price History'!B158)),'Price History'!B158=0),"",'Price History'!B159/'Price History'!B158-1),"")</f>
        <v>-0.0535814791189824</v>
      </c>
      <c r="C158" s="143" t="n">
        <f aca="false">IFERROR(IF(OR(NOT(ISNUMBER('Price History'!C159)),NOT(ISNUMBER('Price History'!C158)),'Price History'!C158=0),"",'Price History'!C159/'Price History'!C158-1),"")</f>
        <v>0.0299824543296523</v>
      </c>
      <c r="D158" s="143" t="n">
        <f aca="false">IFERROR(IF(OR(NOT(ISNUMBER('Price History'!D159)),NOT(ISNUMBER('Price History'!D158)),'Price History'!D158=0),"",'Price History'!D159/'Price History'!D158-1),"")</f>
        <v>-0.00966831498413889</v>
      </c>
      <c r="E158" s="143" t="n">
        <f aca="false">IFERROR(IF(OR(NOT(ISNUMBER('Price History'!E159)),NOT(ISNUMBER('Price History'!E158)),'Price History'!E158=0),"",'Price History'!E159/'Price History'!E158-1),"")</f>
        <v>0.0114205738278517</v>
      </c>
      <c r="F158" s="143" t="n">
        <f aca="false">IFERROR(IF(OR(NOT(ISNUMBER('Price History'!F159)),NOT(ISNUMBER('Price History'!F158)),'Price History'!F158=0),"",'Price History'!F159/'Price History'!F158-1),"")</f>
        <v>-0.0159658552007588</v>
      </c>
      <c r="G158" s="143" t="n">
        <f aca="false">IFERROR(IF(OR(NOT(ISNUMBER('Price History'!G159)),NOT(ISNUMBER('Price History'!G158)),'Price History'!G158=0),"",'Price History'!G159/'Price History'!G158-1),"")</f>
        <v>-0.0298451431252932</v>
      </c>
      <c r="H158" s="143" t="n">
        <f aca="false">IFERROR(IF(OR(NOT(ISNUMBER('Price History'!H159)),NOT(ISNUMBER('Price History'!H158)),'Price History'!H158=0),"",'Price History'!H159/'Price History'!H158-1),"")</f>
        <v>-0.01154011417347</v>
      </c>
      <c r="I158" s="143" t="n">
        <f aca="false">IFERROR(IF(OR(NOT(ISNUMBER('Price History'!I159)),NOT(ISNUMBER('Price History'!I158)),'Price History'!I158=0),"",'Price History'!I159/'Price History'!I158-1),"")</f>
        <v>-0.0267241379310346</v>
      </c>
      <c r="J158" s="143" t="n">
        <f aca="false">IFERROR(IF(OR(NOT(ISNUMBER('Price History'!J159)),NOT(ISNUMBER('Price History'!J158)),'Price History'!J158=0),"",'Price History'!J159/'Price History'!J158-1),"")</f>
        <v>-0.0406555248428571</v>
      </c>
      <c r="K158" s="143" t="n">
        <f aca="false">IFERROR(IF(OR(NOT(ISNUMBER('Price History'!K159)),NOT(ISNUMBER('Price History'!K158)),'Price History'!K158=0),"",'Price History'!K159/'Price History'!K158-1),"")</f>
        <v>-0.0513255106475445</v>
      </c>
      <c r="L158" s="143" t="n">
        <f aca="false">IFERROR(IF(OR(NOT(ISNUMBER('Price History'!L159)),NOT(ISNUMBER('Price History'!L158)),'Price History'!L158=0),"",'Price History'!L159/'Price History'!L158-1),"")</f>
        <v>-0.011595479230882</v>
      </c>
      <c r="M158" s="143" t="n">
        <f aca="false">IFERROR(IF(OR(NOT(ISNUMBER('Price History'!M159)),NOT(ISNUMBER('Price History'!M158)),'Price History'!M158=0),"",'Price History'!M159/'Price History'!M158-1),"")</f>
        <v>-0.0407273561635979</v>
      </c>
      <c r="N158" s="143" t="n">
        <f aca="false">IFERROR(IF(OR(NOT(ISNUMBER('Price History'!N159)),NOT(ISNUMBER('Price History'!N158)),'Price History'!N158=0),"",'Price History'!N159/'Price History'!N158-1),"")</f>
        <v>-0.0194090382387022</v>
      </c>
      <c r="O158" s="143" t="n">
        <f aca="false">IFERROR(IF(OR(NOT(ISNUMBER('Price History'!O159)),NOT(ISNUMBER('Price History'!O158)),'Price History'!O158=0),"",'Price History'!O159/'Price History'!O158-1),"")</f>
        <v>-0.00943270002675944</v>
      </c>
      <c r="P158" s="143" t="n">
        <f aca="false">IFERROR(IF(OR(NOT(ISNUMBER('Price History'!P159)),NOT(ISNUMBER('Price History'!P158)),'Price History'!P158=0),"",'Price History'!P159/'Price History'!P158-1),"")</f>
        <v>0.0100991210024313</v>
      </c>
      <c r="Q158" s="143" t="n">
        <f aca="false">IFERROR(IF(OR(NOT(ISNUMBER('Price History'!Q159)),NOT(ISNUMBER('Price History'!Q158)),'Price History'!Q158=0),"",'Price History'!Q159/'Price History'!Q158-1),"")</f>
        <v>-0.0123177006958701</v>
      </c>
      <c r="R158" s="143" t="n">
        <f aca="false">IFERROR(IF(OR(NOT(ISNUMBER('Price History'!R159)),NOT(ISNUMBER('Price History'!R158)),'Price History'!R158=0),"",'Price History'!R159/'Price History'!R158-1),"")</f>
        <v>0.0255793991416309</v>
      </c>
      <c r="S158" s="143" t="n">
        <f aca="false">IFERROR(IF(OR(NOT(ISNUMBER('Price History'!S159)),NOT(ISNUMBER('Price History'!S158)),'Price History'!S158=0),"",'Price History'!S159/'Price History'!S158-1),"")</f>
        <v>0.0407425432802613</v>
      </c>
      <c r="T158" s="143" t="n">
        <f aca="false">IFERROR(IF(OR(NOT(ISNUMBER('Price History'!T159)),NOT(ISNUMBER('Price History'!T158)),'Price History'!T158=0),"",'Price History'!T159/'Price History'!T158-1),"")</f>
        <v>0.0345798150381986</v>
      </c>
      <c r="U158" s="143" t="str">
        <f aca="false">IFERROR(IF(OR(NOT(ISNUMBER('Price History'!U159)),NOT(ISNUMBER('Price History'!U158)),'Price History'!U158=0),"",'Price History'!U159/'Price History'!U158-1),"")</f>
        <v/>
      </c>
      <c r="V158" s="144" t="n">
        <f aca="false">IFERROR(IF(OR(NOT(ISNUMBER('Price History'!V159)),NOT(ISNUMBER('Price History'!V158)),'Price History'!V158=0),"",'Price History'!V159/'Price History'!V158-1),"")</f>
        <v>-0.00990559584074435</v>
      </c>
      <c r="W158" s="146" t="str">
        <f aca="false">IFERROR('Price History'!B3+(INDEX('Price History'!B:B,MATCH(9.99E+307,'Price History'!$A:$A))-'Price History'!B3)*(ROW()-3)/(MATCH(9.99E+307,'Returns (Calc)'!$A:$A)-3),"")</f>
        <v/>
      </c>
      <c r="X158" s="146" t="n">
        <f aca="false">IFERROR('Price History'!C3+(INDEX('Price History'!C:C,MATCH(9.99E+307,'Price History'!$A:$A))-'Price History'!C3)*(ROW()-3)/(MATCH(9.99E+307,'Returns (Calc)'!$A:$A)-3),"")</f>
        <v>1.16176100628931</v>
      </c>
      <c r="Y158" s="146" t="n">
        <f aca="false">IFERROR('Price History'!D3+(INDEX('Price History'!D:D,MATCH(9.99E+307,'Price History'!$A:$A))-'Price History'!D3)*(ROW()-3)/(MATCH(9.99E+307,'Returns (Calc)'!$A:$A)-3),"")</f>
        <v>14.6417610062892</v>
      </c>
      <c r="Z158" s="146" t="n">
        <f aca="false">IFERROR('Price History'!E3+(INDEX('Price History'!E:E,MATCH(9.99E+307,'Price History'!$A:$A))-'Price History'!E3)*(ROW()-3)/(MATCH(9.99E+307,'Returns (Calc)'!$A:$A)-3),"")</f>
        <v>2.062893081761</v>
      </c>
      <c r="AA158" s="146" t="n">
        <f aca="false">IFERROR('Price History'!F3+(INDEX('Price History'!F:F,MATCH(9.99E+307,'Price History'!$A:$A))-'Price History'!F3)*(ROW()-3)/(MATCH(9.99E+307,'Returns (Calc)'!$A:$A)-3),"")</f>
        <v>1.89459119496856</v>
      </c>
      <c r="AB158" s="146" t="n">
        <f aca="false">IFERROR('Price History'!G3+(INDEX('Price History'!G:G,MATCH(9.99E+307,'Price History'!$A:$A))-'Price History'!G3)*(ROW()-3)/(MATCH(9.99E+307,'Returns (Calc)'!$A:$A)-3),"")</f>
        <v>1.04050314465409</v>
      </c>
      <c r="AC158" s="146" t="n">
        <f aca="false">IFERROR('Price History'!H3+(INDEX('Price History'!H:H,MATCH(9.99E+307,'Price History'!$A:$A))-'Price History'!H3)*(ROW()-3)/(MATCH(9.99E+307,'Returns (Calc)'!$A:$A)-3),"")</f>
        <v>2.53056603773585</v>
      </c>
      <c r="AD158" s="146" t="n">
        <f aca="false">IFERROR('Price History'!I3+(INDEX('Price History'!I:I,MATCH(9.99E+307,'Price History'!$A:$A))-'Price History'!I3)*(ROW()-3)/(MATCH(9.99E+307,'Returns (Calc)'!$A:$A)-3),"")</f>
        <v>1.11572327044026</v>
      </c>
      <c r="AE158" s="146" t="n">
        <f aca="false">IFERROR('Price History'!J3+(INDEX('Price History'!J:J,MATCH(9.99E+307,'Price History'!$A:$A))-'Price History'!J3)*(ROW()-3)/(MATCH(9.99E+307,'Returns (Calc)'!$A:$A)-3),"")</f>
        <v>1.73861635220126</v>
      </c>
      <c r="AF158" s="146" t="n">
        <f aca="false">IFERROR('Price History'!K3+(INDEX('Price History'!K:K,MATCH(9.99E+307,'Price History'!$A:$A))-'Price History'!K3)*(ROW()-3)/(MATCH(9.99E+307,'Returns (Calc)'!$A:$A)-3),"")</f>
        <v>1.1011320754717</v>
      </c>
      <c r="AG158" s="146" t="n">
        <f aca="false">IFERROR('Price History'!L3+(INDEX('Price History'!L:L,MATCH(9.99E+307,'Price History'!$A:$A))-'Price History'!L3)*(ROW()-3)/(MATCH(9.99E+307,'Returns (Calc)'!$A:$A)-3),"")</f>
        <v>2.81358490566038</v>
      </c>
      <c r="AH158" s="146" t="n">
        <f aca="false">IFERROR('Price History'!M3+(INDEX('Price History'!M:M,MATCH(9.99E+307,'Price History'!$A:$A))-'Price History'!M3)*(ROW()-3)/(MATCH(9.99E+307,'Returns (Calc)'!$A:$A)-3),"")</f>
        <v>0.385660377358491</v>
      </c>
      <c r="AI158" s="146" t="n">
        <f aca="false">IFERROR('Price History'!N3+(INDEX('Price History'!N:N,MATCH(9.99E+307,'Price History'!$A:$A))-'Price History'!N3)*(ROW()-3)/(MATCH(9.99E+307,'Returns (Calc)'!$A:$A)-3),"")</f>
        <v>0.548427672955974</v>
      </c>
      <c r="AJ158" s="146" t="n">
        <f aca="false">IFERROR('Price History'!O3+(INDEX('Price History'!O:O,MATCH(9.99E+307,'Price History'!$A:$A))-'Price History'!O3)*(ROW()-3)/(MATCH(9.99E+307,'Returns (Calc)'!$A:$A)-3),"")</f>
        <v>1.44981132075472</v>
      </c>
      <c r="AK158" s="146" t="n">
        <f aca="false">IFERROR('Price History'!Q3+(INDEX('Price History'!Q:Q,MATCH(9.99E+307,'Price History'!$A:$A))-'Price History'!Q3)*(ROW()-3)/(MATCH(9.99E+307,'Returns (Calc)'!$A:$A)-3),"")</f>
        <v>5.92779874213835</v>
      </c>
      <c r="AL158" s="146" t="n">
        <f aca="false">IFERROR('Price History'!R3+(INDEX('Price History'!R:R,MATCH(9.99E+307,'Price History'!$A:$A))-'Price History'!R3)*(ROW()-3)/(MATCH(9.99E+307,'Returns (Calc)'!$A:$A)-3),"")</f>
        <v>1.20301886792453</v>
      </c>
      <c r="AM158" s="146" t="n">
        <f aca="false">IFERROR('Price History'!S3+(INDEX('Price History'!S:S,MATCH(9.99E+307,'Price History'!$A:$A))-'Price History'!S3)*(ROW()-3)/(MATCH(9.99E+307,'Returns (Calc)'!$A:$A)-3),"")</f>
        <v>1.47270440251572</v>
      </c>
      <c r="AN158" s="146" t="n">
        <f aca="false">IFERROR('Price History'!T3+(INDEX('Price History'!T:T,MATCH(9.99E+307,'Price History'!$A:$A))-'Price History'!T3)*(ROW()-3)/(MATCH(9.99E+307,'Returns (Calc)'!$A:$A)-3),"")</f>
        <v>0.676981132075472</v>
      </c>
      <c r="AO158" s="146" t="n">
        <f aca="false">IFERROR('Price History'!V3+(INDEX('Price History'!V:V,MATCH(9.99E+307,'Price History'!$A:$A))-'Price History'!V3)*(ROW()-3)/(MATCH(9.99E+307,'Returns (Calc)'!$A:$A)-3),"")</f>
        <v>0</v>
      </c>
    </row>
    <row r="159" customFormat="false" ht="15" hidden="false" customHeight="true" outlineLevel="0" collapsed="false">
      <c r="A159" s="142" t="n">
        <f aca="false">IF('Price History'!A160="","",'Price History'!A160)</f>
        <v>46283</v>
      </c>
      <c r="B159" s="143" t="n">
        <f aca="false">IFERROR(IF(OR(NOT(ISNUMBER('Price History'!B160)),NOT(ISNUMBER('Price History'!B159)),'Price History'!B159=0),"",'Price History'!B160/'Price History'!B159-1),"")</f>
        <v>-0.0131229433453594</v>
      </c>
      <c r="C159" s="143" t="n">
        <f aca="false">IFERROR(IF(OR(NOT(ISNUMBER('Price History'!C160)),NOT(ISNUMBER('Price History'!C159)),'Price History'!C159=0),"",'Price History'!C160/'Price History'!C159-1),"")</f>
        <v>-0.00100205421113286</v>
      </c>
      <c r="D159" s="143" t="n">
        <f aca="false">IFERROR(IF(OR(NOT(ISNUMBER('Price History'!D160)),NOT(ISNUMBER('Price History'!D159)),'Price History'!D159=0),"",'Price History'!D160/'Price History'!D159-1),"")</f>
        <v>-0.0108225872931754</v>
      </c>
      <c r="E159" s="143" t="n">
        <f aca="false">IFERROR(IF(OR(NOT(ISNUMBER('Price History'!E160)),NOT(ISNUMBER('Price History'!E159)),'Price History'!E159=0),"",'Price History'!E160/'Price History'!E159-1),"")</f>
        <v>-0.0120942075111394</v>
      </c>
      <c r="F159" s="143" t="n">
        <f aca="false">IFERROR(IF(OR(NOT(ISNUMBER('Price History'!F160)),NOT(ISNUMBER('Price History'!F159)),'Price History'!F159=0),"",'Price History'!F160/'Price History'!F159-1),"")</f>
        <v>-0.0204016064257029</v>
      </c>
      <c r="G159" s="143" t="n">
        <f aca="false">IFERROR(IF(OR(NOT(ISNUMBER('Price History'!G160)),NOT(ISNUMBER('Price History'!G159)),'Price History'!G159=0),"",'Price History'!G160/'Price History'!G159-1),"")</f>
        <v>0.14951146367418</v>
      </c>
      <c r="H159" s="143" t="n">
        <f aca="false">IFERROR(IF(OR(NOT(ISNUMBER('Price History'!H160)),NOT(ISNUMBER('Price History'!H159)),'Price History'!H159=0),"",'Price History'!H160/'Price History'!H159-1),"")</f>
        <v>-0.0173259641060671</v>
      </c>
      <c r="I159" s="143" t="n">
        <f aca="false">IFERROR(IF(OR(NOT(ISNUMBER('Price History'!I160)),NOT(ISNUMBER('Price History'!I159)),'Price History'!I159=0),"",'Price History'!I160/'Price History'!I159-1),"")</f>
        <v>-0.0202059344552701</v>
      </c>
      <c r="J159" s="143" t="n">
        <f aca="false">IFERROR(IF(OR(NOT(ISNUMBER('Price History'!J160)),NOT(ISNUMBER('Price History'!J159)),'Price History'!J159=0),"",'Price History'!J160/'Price History'!J159-1),"")</f>
        <v>0.0415684022722145</v>
      </c>
      <c r="K159" s="143" t="n">
        <f aca="false">IFERROR(IF(OR(NOT(ISNUMBER('Price History'!K160)),NOT(ISNUMBER('Price History'!K159)),'Price History'!K159=0),"",'Price History'!K160/'Price History'!K159-1),"")</f>
        <v>0.0182326263227817</v>
      </c>
      <c r="L159" s="143" t="n">
        <f aca="false">IFERROR(IF(OR(NOT(ISNUMBER('Price History'!L160)),NOT(ISNUMBER('Price History'!L159)),'Price History'!L159=0),"",'Price History'!L160/'Price History'!L159-1),"")</f>
        <v>0.00118800118800122</v>
      </c>
      <c r="M159" s="143" t="n">
        <f aca="false">IFERROR(IF(OR(NOT(ISNUMBER('Price History'!M160)),NOT(ISNUMBER('Price History'!M159)),'Price History'!M159=0),"",'Price History'!M160/'Price History'!M159-1),"")</f>
        <v>0.0622495963642886</v>
      </c>
      <c r="N159" s="143" t="n">
        <f aca="false">IFERROR(IF(OR(NOT(ISNUMBER('Price History'!N160)),NOT(ISNUMBER('Price History'!N159)),'Price History'!N159=0),"",'Price History'!N160/'Price History'!N159-1),"")</f>
        <v>-0.0129985228951257</v>
      </c>
      <c r="O159" s="143" t="n">
        <f aca="false">IFERROR(IF(OR(NOT(ISNUMBER('Price History'!O160)),NOT(ISNUMBER('Price History'!O159)),'Price History'!O159=0),"",'Price History'!O160/'Price History'!O159-1),"")</f>
        <v>0.00607820625379896</v>
      </c>
      <c r="P159" s="143" t="n">
        <f aca="false">IFERROR(IF(OR(NOT(ISNUMBER('Price History'!P160)),NOT(ISNUMBER('Price History'!P159)),'Price History'!P159=0),"",'Price History'!P160/'Price History'!P159-1),"")</f>
        <v>0.00599426032216255</v>
      </c>
      <c r="Q159" s="143" t="n">
        <f aca="false">IFERROR(IF(OR(NOT(ISNUMBER('Price History'!Q160)),NOT(ISNUMBER('Price History'!Q159)),'Price History'!Q159=0),"",'Price History'!Q160/'Price History'!Q159-1),"")</f>
        <v>-0.00583074638952619</v>
      </c>
      <c r="R159" s="143" t="n">
        <f aca="false">IFERROR(IF(OR(NOT(ISNUMBER('Price History'!R160)),NOT(ISNUMBER('Price History'!R159)),'Price History'!R159=0),"",'Price History'!R160/'Price History'!R159-1),"")</f>
        <v>0.0132239705390023</v>
      </c>
      <c r="S159" s="143" t="n">
        <f aca="false">IFERROR(IF(OR(NOT(ISNUMBER('Price History'!S160)),NOT(ISNUMBER('Price History'!S159)),'Price History'!S159=0),"",'Price History'!S160/'Price History'!S159-1),"")</f>
        <v>0.0241833121785022</v>
      </c>
      <c r="T159" s="143" t="n">
        <f aca="false">IFERROR(IF(OR(NOT(ISNUMBER('Price History'!T160)),NOT(ISNUMBER('Price History'!T159)),'Price History'!T159=0),"",'Price History'!T160/'Price History'!T159-1),"")</f>
        <v>0.0437232802176448</v>
      </c>
      <c r="U159" s="143" t="str">
        <f aca="false">IFERROR(IF(OR(NOT(ISNUMBER('Price History'!U160)),NOT(ISNUMBER('Price History'!U159)),'Price History'!U159=0),"",'Price History'!U160/'Price History'!U159-1),"")</f>
        <v/>
      </c>
      <c r="V159" s="144" t="n">
        <f aca="false">IFERROR(IF(OR(NOT(ISNUMBER('Price History'!V160)),NOT(ISNUMBER('Price History'!V159)),'Price History'!V159=0),"",'Price History'!V160/'Price History'!V159-1),"")</f>
        <v>0.0064118508691926</v>
      </c>
      <c r="W159" s="146" t="str">
        <f aca="false">IFERROR('Price History'!B3+(INDEX('Price History'!B:B,MATCH(9.99E+307,'Price History'!$A:$A))-'Price History'!B3)*(ROW()-3)/(MATCH(9.99E+307,'Returns (Calc)'!$A:$A)-3),"")</f>
        <v/>
      </c>
      <c r="X159" s="146" t="n">
        <f aca="false">IFERROR('Price History'!C3+(INDEX('Price History'!C:C,MATCH(9.99E+307,'Price History'!$A:$A))-'Price History'!C3)*(ROW()-3)/(MATCH(9.99E+307,'Returns (Calc)'!$A:$A)-3),"")</f>
        <v>0.871320754716983</v>
      </c>
      <c r="Y159" s="146" t="n">
        <f aca="false">IFERROR('Price History'!D3+(INDEX('Price History'!D:D,MATCH(9.99E+307,'Price History'!$A:$A))-'Price History'!D3)*(ROW()-3)/(MATCH(9.99E+307,'Returns (Calc)'!$A:$A)-3),"")</f>
        <v>10.981320754717</v>
      </c>
      <c r="Z159" s="146" t="n">
        <f aca="false">IFERROR('Price History'!E3+(INDEX('Price History'!E:E,MATCH(9.99E+307,'Price History'!$A:$A))-'Price History'!E3)*(ROW()-3)/(MATCH(9.99E+307,'Returns (Calc)'!$A:$A)-3),"")</f>
        <v>1.54716981132076</v>
      </c>
      <c r="AA159" s="146" t="n">
        <f aca="false">IFERROR('Price History'!F3+(INDEX('Price History'!F:F,MATCH(9.99E+307,'Price History'!$A:$A))-'Price History'!F3)*(ROW()-3)/(MATCH(9.99E+307,'Returns (Calc)'!$A:$A)-3),"")</f>
        <v>1.42094339622642</v>
      </c>
      <c r="AB159" s="146" t="n">
        <f aca="false">IFERROR('Price History'!G3+(INDEX('Price History'!G:G,MATCH(9.99E+307,'Price History'!$A:$A))-'Price History'!G3)*(ROW()-3)/(MATCH(9.99E+307,'Returns (Calc)'!$A:$A)-3),"")</f>
        <v>0.780377358490568</v>
      </c>
      <c r="AC159" s="146" t="n">
        <f aca="false">IFERROR('Price History'!H3+(INDEX('Price History'!H:H,MATCH(9.99E+307,'Price History'!$A:$A))-'Price History'!H3)*(ROW()-3)/(MATCH(9.99E+307,'Returns (Calc)'!$A:$A)-3),"")</f>
        <v>1.89792452830189</v>
      </c>
      <c r="AD159" s="146" t="n">
        <f aca="false">IFERROR('Price History'!I3+(INDEX('Price History'!I:I,MATCH(9.99E+307,'Price History'!$A:$A))-'Price History'!I3)*(ROW()-3)/(MATCH(9.99E+307,'Returns (Calc)'!$A:$A)-3),"")</f>
        <v>0.836792452830188</v>
      </c>
      <c r="AE159" s="146" t="n">
        <f aca="false">IFERROR('Price History'!J3+(INDEX('Price History'!J:J,MATCH(9.99E+307,'Price History'!$A:$A))-'Price History'!J3)*(ROW()-3)/(MATCH(9.99E+307,'Returns (Calc)'!$A:$A)-3),"")</f>
        <v>1.30396226415094</v>
      </c>
      <c r="AF159" s="146" t="n">
        <f aca="false">IFERROR('Price History'!K3+(INDEX('Price History'!K:K,MATCH(9.99E+307,'Price History'!$A:$A))-'Price History'!K3)*(ROW()-3)/(MATCH(9.99E+307,'Returns (Calc)'!$A:$A)-3),"")</f>
        <v>0.825849056603772</v>
      </c>
      <c r="AG159" s="146" t="n">
        <f aca="false">IFERROR('Price History'!L3+(INDEX('Price History'!L:L,MATCH(9.99E+307,'Price History'!$A:$A))-'Price History'!L3)*(ROW()-3)/(MATCH(9.99E+307,'Returns (Calc)'!$A:$A)-3),"")</f>
        <v>2.11018867924528</v>
      </c>
      <c r="AH159" s="146" t="n">
        <f aca="false">IFERROR('Price History'!M3+(INDEX('Price History'!M:M,MATCH(9.99E+307,'Price History'!$A:$A))-'Price History'!M3)*(ROW()-3)/(MATCH(9.99E+307,'Returns (Calc)'!$A:$A)-3),"")</f>
        <v>0.289245283018868</v>
      </c>
      <c r="AI159" s="146" t="n">
        <f aca="false">IFERROR('Price History'!N3+(INDEX('Price History'!N:N,MATCH(9.99E+307,'Price History'!$A:$A))-'Price History'!N3)*(ROW()-3)/(MATCH(9.99E+307,'Returns (Calc)'!$A:$A)-3),"")</f>
        <v>0.411320754716982</v>
      </c>
      <c r="AJ159" s="146" t="n">
        <f aca="false">IFERROR('Price History'!O3+(INDEX('Price History'!O:O,MATCH(9.99E+307,'Price History'!$A:$A))-'Price History'!O3)*(ROW()-3)/(MATCH(9.99E+307,'Returns (Calc)'!$A:$A)-3),"")</f>
        <v>1.08735849056604</v>
      </c>
      <c r="AK159" s="146" t="n">
        <f aca="false">IFERROR('Price History'!Q3+(INDEX('Price History'!Q:Q,MATCH(9.99E+307,'Price History'!$A:$A))-'Price History'!Q3)*(ROW()-3)/(MATCH(9.99E+307,'Returns (Calc)'!$A:$A)-3),"")</f>
        <v>4.44584905660378</v>
      </c>
      <c r="AL159" s="146" t="n">
        <f aca="false">IFERROR('Price History'!R3+(INDEX('Price History'!R:R,MATCH(9.99E+307,'Price History'!$A:$A))-'Price History'!R3)*(ROW()-3)/(MATCH(9.99E+307,'Returns (Calc)'!$A:$A)-3),"")</f>
        <v>0.902264150943395</v>
      </c>
      <c r="AM159" s="146" t="n">
        <f aca="false">IFERROR('Price History'!S3+(INDEX('Price History'!S:S,MATCH(9.99E+307,'Price History'!$A:$A))-'Price History'!S3)*(ROW()-3)/(MATCH(9.99E+307,'Returns (Calc)'!$A:$A)-3),"")</f>
        <v>1.10452830188679</v>
      </c>
      <c r="AN159" s="146" t="n">
        <f aca="false">IFERROR('Price History'!T3+(INDEX('Price History'!T:T,MATCH(9.99E+307,'Price History'!$A:$A))-'Price History'!T3)*(ROW()-3)/(MATCH(9.99E+307,'Returns (Calc)'!$A:$A)-3),"")</f>
        <v>0.507735849056605</v>
      </c>
      <c r="AO159" s="146" t="n">
        <f aca="false">IFERROR('Price History'!V3+(INDEX('Price History'!V:V,MATCH(9.99E+307,'Price History'!$A:$A))-'Price History'!V3)*(ROW()-3)/(MATCH(9.99E+307,'Returns (Calc)'!$A:$A)-3),"")</f>
        <v>0</v>
      </c>
    </row>
    <row r="160" customFormat="false" ht="15" hidden="false" customHeight="true" outlineLevel="0" collapsed="false">
      <c r="A160" s="142" t="n">
        <f aca="false">IF('Price History'!A161="","",'Price History'!A161)</f>
        <v>46290</v>
      </c>
      <c r="B160" s="143" t="n">
        <f aca="false">IFERROR(IF(OR(NOT(ISNUMBER('Price History'!B161)),NOT(ISNUMBER('Price History'!B160)),'Price History'!B160=0),"",'Price History'!B161/'Price History'!B160-1),"")</f>
        <v>-0.0540334243933793</v>
      </c>
      <c r="C160" s="143" t="n">
        <f aca="false">IFERROR(IF(OR(NOT(ISNUMBER('Price History'!C161)),NOT(ISNUMBER('Price History'!C160)),'Price History'!C160=0),"",'Price History'!C161/'Price History'!C160-1),"")</f>
        <v>0.0359095240483476</v>
      </c>
      <c r="D160" s="143" t="n">
        <f aca="false">IFERROR(IF(OR(NOT(ISNUMBER('Price History'!D161)),NOT(ISNUMBER('Price History'!D160)),'Price History'!D160=0),"",'Price History'!D161/'Price History'!D160-1),"")</f>
        <v>0.038108957569408</v>
      </c>
      <c r="E160" s="143" t="n">
        <f aca="false">IFERROR(IF(OR(NOT(ISNUMBER('Price History'!E161)),NOT(ISNUMBER('Price History'!E160)),'Price History'!E160=0),"",'Price History'!E161/'Price History'!E160-1),"")</f>
        <v>-0.0116259524876736</v>
      </c>
      <c r="F160" s="143" t="n">
        <f aca="false">IFERROR(IF(OR(NOT(ISNUMBER('Price History'!F161)),NOT(ISNUMBER('Price History'!F160)),'Price History'!F160=0),"",'Price History'!F161/'Price History'!F160-1),"")</f>
        <v>-0.0127090849458839</v>
      </c>
      <c r="G160" s="143" t="n">
        <f aca="false">IFERROR(IF(OR(NOT(ISNUMBER('Price History'!G161)),NOT(ISNUMBER('Price History'!G160)),'Price History'!G160=0),"",'Price History'!G161/'Price History'!G160-1),"")</f>
        <v>0.0609299389859035</v>
      </c>
      <c r="H160" s="143" t="n">
        <f aca="false">IFERROR(IF(OR(NOT(ISNUMBER('Price History'!H161)),NOT(ISNUMBER('Price History'!H160)),'Price History'!H160=0),"",'Price History'!H161/'Price History'!H160-1),"")</f>
        <v>-0.0221814964610719</v>
      </c>
      <c r="I160" s="143" t="n">
        <f aca="false">IFERROR(IF(OR(NOT(ISNUMBER('Price History'!I161)),NOT(ISNUMBER('Price History'!I160)),'Price History'!I160=0),"",'Price History'!I161/'Price History'!I160-1),"")</f>
        <v>0.061754901406859</v>
      </c>
      <c r="J160" s="143" t="n">
        <f aca="false">IFERROR(IF(OR(NOT(ISNUMBER('Price History'!J161)),NOT(ISNUMBER('Price History'!J160)),'Price History'!J160=0),"",'Price History'!J161/'Price History'!J160-1),"")</f>
        <v>0.0654459539279386</v>
      </c>
      <c r="K160" s="143" t="n">
        <f aca="false">IFERROR(IF(OR(NOT(ISNUMBER('Price History'!K161)),NOT(ISNUMBER('Price History'!K160)),'Price History'!K160=0),"",'Price History'!K161/'Price History'!K160-1),"")</f>
        <v>0.0125972915823098</v>
      </c>
      <c r="L160" s="143" t="n">
        <f aca="false">IFERROR(IF(OR(NOT(ISNUMBER('Price History'!L161)),NOT(ISNUMBER('Price History'!L160)),'Price History'!L160=0),"",'Price History'!L161/'Price History'!L160-1),"")</f>
        <v>-0.0132749925838029</v>
      </c>
      <c r="M160" s="143" t="n">
        <f aca="false">IFERROR(IF(OR(NOT(ISNUMBER('Price History'!M161)),NOT(ISNUMBER('Price History'!M160)),'Price History'!M160=0),"",'Price History'!M161/'Price History'!M160-1),"")</f>
        <v>0.0677212339563162</v>
      </c>
      <c r="N160" s="143" t="n">
        <f aca="false">IFERROR(IF(OR(NOT(ISNUMBER('Price History'!N161)),NOT(ISNUMBER('Price History'!N160)),'Price History'!N160=0),"",'Price History'!N161/'Price History'!N160-1),"")</f>
        <v>-0.00598623166716539</v>
      </c>
      <c r="O160" s="143" t="n">
        <f aca="false">IFERROR(IF(OR(NOT(ISNUMBER('Price History'!O161)),NOT(ISNUMBER('Price History'!O160)),'Price History'!O160=0),"",'Price History'!O161/'Price History'!O160-1),"")</f>
        <v>0.0265154057863999</v>
      </c>
      <c r="P160" s="143" t="n">
        <f aca="false">IFERROR(IF(OR(NOT(ISNUMBER('Price History'!P161)),NOT(ISNUMBER('Price History'!P160)),'Price History'!P160=0),"",'Price History'!P161/'Price History'!P160-1),"")</f>
        <v>0.0366714979179608</v>
      </c>
      <c r="Q160" s="143" t="n">
        <f aca="false">IFERROR(IF(OR(NOT(ISNUMBER('Price History'!Q161)),NOT(ISNUMBER('Price History'!Q160)),'Price History'!Q160=0),"",'Price History'!Q161/'Price History'!Q160-1),"")</f>
        <v>-0.00247087892693265</v>
      </c>
      <c r="R160" s="143" t="n">
        <f aca="false">IFERROR(IF(OR(NOT(ISNUMBER('Price History'!R161)),NOT(ISNUMBER('Price History'!R160)),'Price History'!R160=0),"",'Price History'!R161/'Price History'!R160-1),"")</f>
        <v>-0.011399306129192</v>
      </c>
      <c r="S160" s="143" t="n">
        <f aca="false">IFERROR(IF(OR(NOT(ISNUMBER('Price History'!S161)),NOT(ISNUMBER('Price History'!S160)),'Price History'!S160=0),"",'Price History'!S161/'Price History'!S160-1),"")</f>
        <v>-0.0298741112778033</v>
      </c>
      <c r="T160" s="143" t="n">
        <f aca="false">IFERROR(IF(OR(NOT(ISNUMBER('Price History'!T161)),NOT(ISNUMBER('Price History'!T160)),'Price History'!T160=0),"",'Price History'!T161/'Price History'!T160-1),"")</f>
        <v>0.0323962018246138</v>
      </c>
      <c r="U160" s="143" t="str">
        <f aca="false">IFERROR(IF(OR(NOT(ISNUMBER('Price History'!U161)),NOT(ISNUMBER('Price History'!U160)),'Price History'!U160=0),"",'Price History'!U161/'Price History'!U160-1),"")</f>
        <v/>
      </c>
      <c r="V160" s="144" t="n">
        <f aca="false">IFERROR(IF(OR(NOT(ISNUMBER('Price History'!V161)),NOT(ISNUMBER('Price History'!V160)),'Price History'!V160=0),"",'Price History'!V161/'Price History'!V160-1),"")</f>
        <v>0.0189207744061515</v>
      </c>
      <c r="W160" s="146" t="str">
        <f aca="false">IFERROR('Price History'!B3+(INDEX('Price History'!B:B,MATCH(9.99E+307,'Price History'!$A:$A))-'Price History'!B3)*(ROW()-3)/(MATCH(9.99E+307,'Returns (Calc)'!$A:$A)-3),"")</f>
        <v/>
      </c>
      <c r="X160" s="146" t="n">
        <f aca="false">IFERROR('Price History'!C3+(INDEX('Price History'!C:C,MATCH(9.99E+307,'Price History'!$A:$A))-'Price History'!C3)*(ROW()-3)/(MATCH(9.99E+307,'Returns (Calc)'!$A:$A)-3),"")</f>
        <v>0.580880503144655</v>
      </c>
      <c r="Y160" s="146" t="n">
        <f aca="false">IFERROR('Price History'!D3+(INDEX('Price History'!D:D,MATCH(9.99E+307,'Price History'!$A:$A))-'Price History'!D3)*(ROW()-3)/(MATCH(9.99E+307,'Returns (Calc)'!$A:$A)-3),"")</f>
        <v>7.32088050314474</v>
      </c>
      <c r="Z160" s="146" t="n">
        <f aca="false">IFERROR('Price History'!E3+(INDEX('Price History'!E:E,MATCH(9.99E+307,'Price History'!$A:$A))-'Price History'!E3)*(ROW()-3)/(MATCH(9.99E+307,'Returns (Calc)'!$A:$A)-3),"")</f>
        <v>1.03144654088051</v>
      </c>
      <c r="AA160" s="146" t="n">
        <f aca="false">IFERROR('Price History'!F3+(INDEX('Price History'!F:F,MATCH(9.99E+307,'Price History'!$A:$A))-'Price History'!F3)*(ROW()-3)/(MATCH(9.99E+307,'Returns (Calc)'!$A:$A)-3),"")</f>
        <v>0.947295597484285</v>
      </c>
      <c r="AB160" s="146" t="n">
        <f aca="false">IFERROR('Price History'!G3+(INDEX('Price History'!G:G,MATCH(9.99E+307,'Price History'!$A:$A))-'Price History'!G3)*(ROW()-3)/(MATCH(9.99E+307,'Returns (Calc)'!$A:$A)-3),"")</f>
        <v>0.520251572327048</v>
      </c>
      <c r="AC160" s="146" t="n">
        <f aca="false">IFERROR('Price History'!H3+(INDEX('Price History'!H:H,MATCH(9.99E+307,'Price History'!$A:$A))-'Price History'!H3)*(ROW()-3)/(MATCH(9.99E+307,'Returns (Calc)'!$A:$A)-3),"")</f>
        <v>1.26528301886792</v>
      </c>
      <c r="AD160" s="146" t="n">
        <f aca="false">IFERROR('Price History'!I3+(INDEX('Price History'!I:I,MATCH(9.99E+307,'Price History'!$A:$A))-'Price History'!I3)*(ROW()-3)/(MATCH(9.99E+307,'Returns (Calc)'!$A:$A)-3),"")</f>
        <v>0.557861635220128</v>
      </c>
      <c r="AE160" s="146" t="n">
        <f aca="false">IFERROR('Price History'!J3+(INDEX('Price History'!J:J,MATCH(9.99E+307,'Price History'!$A:$A))-'Price History'!J3)*(ROW()-3)/(MATCH(9.99E+307,'Returns (Calc)'!$A:$A)-3),"")</f>
        <v>0.869308176100631</v>
      </c>
      <c r="AF160" s="146" t="n">
        <f aca="false">IFERROR('Price History'!K3+(INDEX('Price History'!K:K,MATCH(9.99E+307,'Price History'!$A:$A))-'Price History'!K3)*(ROW()-3)/(MATCH(9.99E+307,'Returns (Calc)'!$A:$A)-3),"")</f>
        <v>0.550566037735848</v>
      </c>
      <c r="AG160" s="146" t="n">
        <f aca="false">IFERROR('Price History'!L3+(INDEX('Price History'!L:L,MATCH(9.99E+307,'Price History'!$A:$A))-'Price History'!L3)*(ROW()-3)/(MATCH(9.99E+307,'Returns (Calc)'!$A:$A)-3),"")</f>
        <v>1.40679245283019</v>
      </c>
      <c r="AH160" s="146" t="n">
        <f aca="false">IFERROR('Price History'!M3+(INDEX('Price History'!M:M,MATCH(9.99E+307,'Price History'!$A:$A))-'Price History'!M3)*(ROW()-3)/(MATCH(9.99E+307,'Returns (Calc)'!$A:$A)-3),"")</f>
        <v>0.192830188679245</v>
      </c>
      <c r="AI160" s="146" t="n">
        <f aca="false">IFERROR('Price History'!N3+(INDEX('Price History'!N:N,MATCH(9.99E+307,'Price History'!$A:$A))-'Price History'!N3)*(ROW()-3)/(MATCH(9.99E+307,'Returns (Calc)'!$A:$A)-3),"")</f>
        <v>0.27421383647799</v>
      </c>
      <c r="AJ160" s="146" t="n">
        <f aca="false">IFERROR('Price History'!O3+(INDEX('Price History'!O:O,MATCH(9.99E+307,'Price History'!$A:$A))-'Price History'!O3)*(ROW()-3)/(MATCH(9.99E+307,'Returns (Calc)'!$A:$A)-3),"")</f>
        <v>0.72490566037736</v>
      </c>
      <c r="AK160" s="146" t="n">
        <f aca="false">IFERROR('Price History'!Q3+(INDEX('Price History'!Q:Q,MATCH(9.99E+307,'Price History'!$A:$A))-'Price History'!Q3)*(ROW()-3)/(MATCH(9.99E+307,'Returns (Calc)'!$A:$A)-3),"")</f>
        <v>2.9638993710692</v>
      </c>
      <c r="AL160" s="146" t="n">
        <f aca="false">IFERROR('Price History'!R3+(INDEX('Price History'!R:R,MATCH(9.99E+307,'Price History'!$A:$A))-'Price History'!R3)*(ROW()-3)/(MATCH(9.99E+307,'Returns (Calc)'!$A:$A)-3),"")</f>
        <v>0.601509433962264</v>
      </c>
      <c r="AM160" s="146" t="n">
        <f aca="false">IFERROR('Price History'!S3+(INDEX('Price History'!S:S,MATCH(9.99E+307,'Price History'!$A:$A))-'Price History'!S3)*(ROW()-3)/(MATCH(9.99E+307,'Returns (Calc)'!$A:$A)-3),"")</f>
        <v>0.736352201257859</v>
      </c>
      <c r="AN160" s="146" t="n">
        <f aca="false">IFERROR('Price History'!T3+(INDEX('Price History'!T:T,MATCH(9.99E+307,'Price History'!$A:$A))-'Price History'!T3)*(ROW()-3)/(MATCH(9.99E+307,'Returns (Calc)'!$A:$A)-3),"")</f>
        <v>0.338490566037738</v>
      </c>
      <c r="AO160" s="146" t="n">
        <f aca="false">IFERROR('Price History'!V3+(INDEX('Price History'!V:V,MATCH(9.99E+307,'Price History'!$A:$A))-'Price History'!V3)*(ROW()-3)/(MATCH(9.99E+307,'Returns (Calc)'!$A:$A)-3),"")</f>
        <v>0</v>
      </c>
    </row>
    <row r="161" customFormat="false" ht="15" hidden="false" customHeight="true" outlineLevel="0" collapsed="false">
      <c r="A161" s="142" t="n">
        <f aca="false">IF('Price History'!A162="","",'Price History'!A162)</f>
        <v>46297</v>
      </c>
      <c r="B161" s="143" t="n">
        <f aca="false">IFERROR(IF(OR(NOT(ISNUMBER('Price History'!B162)),NOT(ISNUMBER('Price History'!B161)),'Price History'!B161=0),"",'Price History'!B162/'Price History'!B161-1),"")</f>
        <v>-0.0189408417208137</v>
      </c>
      <c r="C161" s="143" t="n">
        <f aca="false">IFERROR(IF(OR(NOT(ISNUMBER('Price History'!C162)),NOT(ISNUMBER('Price History'!C161)),'Price History'!C161=0),"",'Price History'!C162/'Price History'!C161-1),"")</f>
        <v>-0.00789155168240152</v>
      </c>
      <c r="D161" s="143" t="n">
        <f aca="false">IFERROR(IF(OR(NOT(ISNUMBER('Price History'!D162)),NOT(ISNUMBER('Price History'!D161)),'Price History'!D161=0),"",'Price History'!D162/'Price History'!D161-1),"")</f>
        <v>0.0157516887048867</v>
      </c>
      <c r="E161" s="143" t="n">
        <f aca="false">IFERROR(IF(OR(NOT(ISNUMBER('Price History'!E162)),NOT(ISNUMBER('Price History'!E161)),'Price History'!E161=0),"",'Price History'!E162/'Price History'!E161-1),"")</f>
        <v>-0.00918341316856097</v>
      </c>
      <c r="F161" s="143" t="n">
        <f aca="false">IFERROR(IF(OR(NOT(ISNUMBER('Price History'!F162)),NOT(ISNUMBER('Price History'!F161)),'Price History'!F161=0),"",'Price History'!F162/'Price History'!F161-1),"")</f>
        <v>-0.00714226393156714</v>
      </c>
      <c r="G161" s="143" t="n">
        <f aca="false">IFERROR(IF(OR(NOT(ISNUMBER('Price History'!G162)),NOT(ISNUMBER('Price History'!G161)),'Price History'!G161=0),"",'Price History'!G162/'Price History'!G161-1),"")</f>
        <v>0.0282394003093642</v>
      </c>
      <c r="H161" s="143" t="n">
        <f aca="false">IFERROR(IF(OR(NOT(ISNUMBER('Price History'!H162)),NOT(ISNUMBER('Price History'!H161)),'Price History'!H161=0),"",'Price History'!H162/'Price History'!H161-1),"")</f>
        <v>-0.00697990047178942</v>
      </c>
      <c r="I161" s="143" t="n">
        <f aca="false">IFERROR(IF(OR(NOT(ISNUMBER('Price History'!I162)),NOT(ISNUMBER('Price History'!I161)),'Price History'!I161=0),"",'Price History'!I162/'Price History'!I161-1),"")</f>
        <v>0.00665176670923806</v>
      </c>
      <c r="J161" s="143" t="n">
        <f aca="false">IFERROR(IF(OR(NOT(ISNUMBER('Price History'!J162)),NOT(ISNUMBER('Price History'!J161)),'Price History'!J161=0),"",'Price History'!J162/'Price History'!J161-1),"")</f>
        <v>-0.0261485013120449</v>
      </c>
      <c r="K161" s="143" t="n">
        <f aca="false">IFERROR(IF(OR(NOT(ISNUMBER('Price History'!K162)),NOT(ISNUMBER('Price History'!K161)),'Price History'!K161=0),"",'Price History'!K162/'Price History'!K161-1),"")</f>
        <v>0.0168392055804862</v>
      </c>
      <c r="L161" s="143" t="n">
        <f aca="false">IFERROR(IF(OR(NOT(ISNUMBER('Price History'!L162)),NOT(ISNUMBER('Price History'!L161)),'Price History'!L161=0),"",'Price History'!L162/'Price History'!L161-1),"")</f>
        <v>-0.00458474257797825</v>
      </c>
      <c r="M161" s="143" t="n">
        <f aca="false">IFERROR(IF(OR(NOT(ISNUMBER('Price History'!M162)),NOT(ISNUMBER('Price History'!M161)),'Price History'!M161=0),"",'Price History'!M162/'Price History'!M161-1),"")</f>
        <v>-0.0115463700110718</v>
      </c>
      <c r="N161" s="143" t="n">
        <f aca="false">IFERROR(IF(OR(NOT(ISNUMBER('Price History'!N162)),NOT(ISNUMBER('Price History'!N161)),'Price History'!N161=0),"",'Price History'!N162/'Price History'!N161-1),"")</f>
        <v>-0.00602228244504677</v>
      </c>
      <c r="O161" s="143" t="n">
        <f aca="false">IFERROR(IF(OR(NOT(ISNUMBER('Price History'!O162)),NOT(ISNUMBER('Price History'!O161)),'Price History'!O161=0),"",'Price History'!O162/'Price History'!O161-1),"")</f>
        <v>-0.0113784985613391</v>
      </c>
      <c r="P161" s="143" t="n">
        <f aca="false">IFERROR(IF(OR(NOT(ISNUMBER('Price History'!P162)),NOT(ISNUMBER('Price History'!P161)),'Price History'!P161=0),"",'Price History'!P162/'Price History'!P161-1),"")</f>
        <v>0.00503761567652727</v>
      </c>
      <c r="Q161" s="143" t="n">
        <f aca="false">IFERROR(IF(OR(NOT(ISNUMBER('Price History'!Q162)),NOT(ISNUMBER('Price History'!Q161)),'Price History'!Q161=0),"",'Price History'!Q162/'Price History'!Q161-1),"")</f>
        <v>0.000979911807937217</v>
      </c>
      <c r="R161" s="143" t="n">
        <f aca="false">IFERROR(IF(OR(NOT(ISNUMBER('Price History'!R162)),NOT(ISNUMBER('Price History'!R161)),'Price History'!R161=0),"",'Price History'!R162/'Price History'!R161-1),"")</f>
        <v>-0.00618315508021394</v>
      </c>
      <c r="S161" s="143" t="n">
        <f aca="false">IFERROR(IF(OR(NOT(ISNUMBER('Price History'!S162)),NOT(ISNUMBER('Price History'!S161)),'Price History'!S161=0),"",'Price History'!S162/'Price History'!S161-1),"")</f>
        <v>-0.0131110065218852</v>
      </c>
      <c r="T161" s="143" t="n">
        <f aca="false">IFERROR(IF(OR(NOT(ISNUMBER('Price History'!T162)),NOT(ISNUMBER('Price History'!T161)),'Price History'!T161=0),"",'Price History'!T162/'Price History'!T161-1),"")</f>
        <v>0.00378719567177632</v>
      </c>
      <c r="U161" s="143" t="str">
        <f aca="false">IFERROR(IF(OR(NOT(ISNUMBER('Price History'!U162)),NOT(ISNUMBER('Price History'!U161)),'Price History'!U161=0),"",'Price History'!U162/'Price History'!U161-1),"")</f>
        <v/>
      </c>
      <c r="V161" s="144" t="n">
        <f aca="false">IFERROR(IF(OR(NOT(ISNUMBER('Price History'!V162)),NOT(ISNUMBER('Price History'!V161)),'Price History'!V161=0),"",'Price History'!V162/'Price History'!V161-1),"")</f>
        <v>0.0284605433376455</v>
      </c>
      <c r="W161" s="146" t="str">
        <f aca="false">IFERROR('Price History'!B3+(INDEX('Price History'!B:B,MATCH(9.99E+307,'Price History'!$A:$A))-'Price History'!B3)*(ROW()-3)/(MATCH(9.99E+307,'Returns (Calc)'!$A:$A)-3),"")</f>
        <v/>
      </c>
      <c r="X161" s="146" t="n">
        <f aca="false">IFERROR('Price History'!C3+(INDEX('Price History'!C:C,MATCH(9.99E+307,'Price History'!$A:$A))-'Price History'!C3)*(ROW()-3)/(MATCH(9.99E+307,'Returns (Calc)'!$A:$A)-3),"")</f>
        <v>0.290440251572328</v>
      </c>
      <c r="Y161" s="146" t="n">
        <f aca="false">IFERROR('Price History'!D3+(INDEX('Price History'!D:D,MATCH(9.99E+307,'Price History'!$A:$A))-'Price History'!D3)*(ROW()-3)/(MATCH(9.99E+307,'Returns (Calc)'!$A:$A)-3),"")</f>
        <v>3.66044025157225</v>
      </c>
      <c r="Z161" s="146" t="n">
        <f aca="false">IFERROR('Price History'!E3+(INDEX('Price History'!E:E,MATCH(9.99E+307,'Price History'!$A:$A))-'Price History'!E3)*(ROW()-3)/(MATCH(9.99E+307,'Returns (Calc)'!$A:$A)-3),"")</f>
        <v>0.515723270440248</v>
      </c>
      <c r="AA161" s="146" t="n">
        <f aca="false">IFERROR('Price History'!F3+(INDEX('Price History'!F:F,MATCH(9.99E+307,'Price History'!$A:$A))-'Price History'!F3)*(ROW()-3)/(MATCH(9.99E+307,'Returns (Calc)'!$A:$A)-3),"")</f>
        <v>0.473647798742149</v>
      </c>
      <c r="AB161" s="146" t="n">
        <f aca="false">IFERROR('Price History'!G3+(INDEX('Price History'!G:G,MATCH(9.99E+307,'Price History'!$A:$A))-'Price History'!G3)*(ROW()-3)/(MATCH(9.99E+307,'Returns (Calc)'!$A:$A)-3),"")</f>
        <v>0.26012578616352</v>
      </c>
      <c r="AC161" s="146" t="n">
        <f aca="false">IFERROR('Price History'!H3+(INDEX('Price History'!H:H,MATCH(9.99E+307,'Price History'!$A:$A))-'Price History'!H3)*(ROW()-3)/(MATCH(9.99E+307,'Returns (Calc)'!$A:$A)-3),"")</f>
        <v>0.632641509433952</v>
      </c>
      <c r="AD161" s="146" t="n">
        <f aca="false">IFERROR('Price History'!I3+(INDEX('Price History'!I:I,MATCH(9.99E+307,'Price History'!$A:$A))-'Price History'!I3)*(ROW()-3)/(MATCH(9.99E+307,'Returns (Calc)'!$A:$A)-3),"")</f>
        <v>0.27893081761006</v>
      </c>
      <c r="AE161" s="146" t="n">
        <f aca="false">IFERROR('Price History'!J3+(INDEX('Price History'!J:J,MATCH(9.99E+307,'Price History'!$A:$A))-'Price History'!J3)*(ROW()-3)/(MATCH(9.99E+307,'Returns (Calc)'!$A:$A)-3),"")</f>
        <v>0.434654088050323</v>
      </c>
      <c r="AF161" s="146" t="n">
        <f aca="false">IFERROR('Price History'!K3+(INDEX('Price History'!K:K,MATCH(9.99E+307,'Price History'!$A:$A))-'Price History'!K3)*(ROW()-3)/(MATCH(9.99E+307,'Returns (Calc)'!$A:$A)-3),"")</f>
        <v>0.275283018867924</v>
      </c>
      <c r="AG161" s="146" t="n">
        <f aca="false">IFERROR('Price History'!L3+(INDEX('Price History'!L:L,MATCH(9.99E+307,'Price History'!$A:$A))-'Price History'!L3)*(ROW()-3)/(MATCH(9.99E+307,'Returns (Calc)'!$A:$A)-3),"")</f>
        <v>0.703396226415094</v>
      </c>
      <c r="AH161" s="146" t="n">
        <f aca="false">IFERROR('Price History'!M3+(INDEX('Price History'!M:M,MATCH(9.99E+307,'Price History'!$A:$A))-'Price History'!M3)*(ROW()-3)/(MATCH(9.99E+307,'Returns (Calc)'!$A:$A)-3),"")</f>
        <v>0.0964150943396227</v>
      </c>
      <c r="AI161" s="146" t="n">
        <f aca="false">IFERROR('Price History'!N3+(INDEX('Price History'!N:N,MATCH(9.99E+307,'Price History'!$A:$A))-'Price History'!N3)*(ROW()-3)/(MATCH(9.99E+307,'Returns (Calc)'!$A:$A)-3),"")</f>
        <v>0.137106918238995</v>
      </c>
      <c r="AJ161" s="146" t="n">
        <f aca="false">IFERROR('Price History'!O3+(INDEX('Price History'!O:O,MATCH(9.99E+307,'Price History'!$A:$A))-'Price History'!O3)*(ROW()-3)/(MATCH(9.99E+307,'Returns (Calc)'!$A:$A)-3),"")</f>
        <v>0.36245283018868</v>
      </c>
      <c r="AK161" s="146" t="n">
        <f aca="false">IFERROR('Price History'!Q3+(INDEX('Price History'!Q:Q,MATCH(9.99E+307,'Price History'!$A:$A))-'Price History'!Q3)*(ROW()-3)/(MATCH(9.99E+307,'Returns (Calc)'!$A:$A)-3),"")</f>
        <v>1.48194968553457</v>
      </c>
      <c r="AL161" s="146" t="n">
        <f aca="false">IFERROR('Price History'!R3+(INDEX('Price History'!R:R,MATCH(9.99E+307,'Price History'!$A:$A))-'Price History'!R3)*(ROW()-3)/(MATCH(9.99E+307,'Returns (Calc)'!$A:$A)-3),"")</f>
        <v>0.300754716981132</v>
      </c>
      <c r="AM161" s="146" t="n">
        <f aca="false">IFERROR('Price History'!S3+(INDEX('Price History'!S:S,MATCH(9.99E+307,'Price History'!$A:$A))-'Price History'!S3)*(ROW()-3)/(MATCH(9.99E+307,'Returns (Calc)'!$A:$A)-3),"")</f>
        <v>0.368176100628929</v>
      </c>
      <c r="AN161" s="146" t="n">
        <f aca="false">IFERROR('Price History'!T3+(INDEX('Price History'!T:T,MATCH(9.99E+307,'Price History'!$A:$A))-'Price History'!T3)*(ROW()-3)/(MATCH(9.99E+307,'Returns (Calc)'!$A:$A)-3),"")</f>
        <v>0.169245283018871</v>
      </c>
      <c r="AO161" s="146" t="n">
        <f aca="false">IFERROR('Price History'!V3+(INDEX('Price History'!V:V,MATCH(9.99E+307,'Price History'!$A:$A))-'Price History'!V3)*(ROW()-3)/(MATCH(9.99E+307,'Returns (Calc)'!$A:$A)-3),"")</f>
        <v>0</v>
      </c>
    </row>
    <row r="162" customFormat="false" ht="15" hidden="false" customHeight="true" outlineLevel="0" collapsed="false">
      <c r="A162" s="142" t="n">
        <f aca="false">IF('Price History'!A163="","",'Price History'!A163)</f>
        <v>46269</v>
      </c>
      <c r="B162" s="143" t="n">
        <f aca="false">IFERROR(IF(OR(NOT(ISNUMBER('Price History'!B163)),NOT(ISNUMBER('Price History'!B162)),'Price History'!B162=0),"",'Price History'!B163/'Price History'!B162-1),"")</f>
        <v>0.153673001168781</v>
      </c>
      <c r="C162" s="143" t="n">
        <f aca="false">IFERROR(IF(OR(NOT(ISNUMBER('Price History'!C163)),NOT(ISNUMBER('Price History'!C162)),'Price History'!C162=0),"",'Price History'!C163/'Price History'!C162-1),"")</f>
        <v>-0.05436267811829</v>
      </c>
      <c r="D162" s="143" t="n">
        <f aca="false">IFERROR(IF(OR(NOT(ISNUMBER('Price History'!D163)),NOT(ISNUMBER('Price History'!D162)),'Price History'!D162=0),"",'Price History'!D163/'Price History'!D162-1),"")</f>
        <v>-0.031912431340006</v>
      </c>
      <c r="E162" s="143" t="n">
        <f aca="false">IFERROR(IF(OR(NOT(ISNUMBER('Price History'!E163)),NOT(ISNUMBER('Price History'!E162)),'Price History'!E162=0),"",'Price History'!E163/'Price History'!E162-1),"")</f>
        <v>0.0238292759676173</v>
      </c>
      <c r="F162" s="143" t="n">
        <f aca="false">IFERROR(IF(OR(NOT(ISNUMBER('Price History'!F163)),NOT(ISNUMBER('Price History'!F162)),'Price History'!F162=0),"",'Price History'!F163/'Price History'!F162-1),"")</f>
        <v>0.782517774989544</v>
      </c>
      <c r="G162" s="143" t="n">
        <f aca="false">IFERROR(IF(OR(NOT(ISNUMBER('Price History'!G163)),NOT(ISNUMBER('Price History'!G162)),'Price History'!G162=0),"",'Price History'!G163/'Price History'!G162-1),"")</f>
        <v>-0.284088717454195</v>
      </c>
      <c r="H162" s="143" t="n">
        <f aca="false">IFERROR(IF(OR(NOT(ISNUMBER('Price History'!H163)),NOT(ISNUMBER('Price History'!H162)),'Price History'!H162=0),"",'Price History'!H163/'Price History'!H162-1),"")</f>
        <v>5.61627074520013</v>
      </c>
      <c r="I162" s="143" t="n">
        <f aca="false">IFERROR(IF(OR(NOT(ISNUMBER('Price History'!I163)),NOT(ISNUMBER('Price History'!I162)),'Price History'!I162=0),"",'Price History'!I163/'Price History'!I162-1),"")</f>
        <v>0.217740656552308</v>
      </c>
      <c r="J162" s="143" t="n">
        <f aca="false">IFERROR(IF(OR(NOT(ISNUMBER('Price History'!J163)),NOT(ISNUMBER('Price History'!J162)),'Price History'!J162=0),"",'Price History'!J163/'Price History'!J162-1),"")</f>
        <v>-0.869693922085808</v>
      </c>
      <c r="K162" s="143" t="n">
        <f aca="false">IFERROR(IF(OR(NOT(ISNUMBER('Price History'!K163)),NOT(ISNUMBER('Price History'!K162)),'Price History'!K162=0),"",'Price History'!K163/'Price History'!K162-1),"")</f>
        <v>-0.238267936729879</v>
      </c>
      <c r="L162" s="143" t="n">
        <f aca="false">IFERROR(IF(OR(NOT(ISNUMBER('Price History'!L163)),NOT(ISNUMBER('Price History'!L162)),'Price History'!L162=0),"",'Price History'!L163/'Price History'!L162-1),"")</f>
        <v>2.23852310480217</v>
      </c>
      <c r="M162" s="143" t="n">
        <f aca="false">IFERROR(IF(OR(NOT(ISNUMBER('Price History'!M163)),NOT(ISNUMBER('Price History'!M162)),'Price History'!M162=0),"",'Price History'!M163/'Price History'!M162-1),"")</f>
        <v>0.496319607424792</v>
      </c>
      <c r="N162" s="143" t="n">
        <f aca="false">IFERROR(IF(OR(NOT(ISNUMBER('Price History'!N163)),NOT(ISNUMBER('Price History'!N162)),'Price History'!N162=0),"",'Price History'!N163/'Price History'!N162-1),"")</f>
        <v>15.5440775522569</v>
      </c>
      <c r="O162" s="143" t="n">
        <f aca="false">IFERROR(IF(OR(NOT(ISNUMBER('Price History'!O163)),NOT(ISNUMBER('Price History'!O162)),'Price History'!O162=0),"",'Price History'!O163/'Price History'!O162-1),"")</f>
        <v>-0.160404815451779</v>
      </c>
      <c r="P162" s="143" t="str">
        <f aca="false">IFERROR(IF(OR(NOT(ISNUMBER('Price History'!P163)),NOT(ISNUMBER('Price History'!P162)),'Price History'!P162=0),"",'Price History'!P163/'Price History'!P162-1),"")</f>
        <v/>
      </c>
      <c r="Q162" s="143" t="n">
        <f aca="false">IFERROR(IF(OR(NOT(ISNUMBER('Price History'!Q163)),NOT(ISNUMBER('Price History'!Q162)),'Price History'!Q162=0),"",'Price History'!Q163/'Price History'!Q162-1),"")</f>
        <v>-0.810409528471203</v>
      </c>
      <c r="R162" s="143" t="n">
        <f aca="false">IFERROR(IF(OR(NOT(ISNUMBER('Price History'!R163)),NOT(ISNUMBER('Price History'!R162)),'Price History'!R162=0),"",'Price History'!R163/'Price History'!R162-1),"")</f>
        <v>0.00672608037666045</v>
      </c>
      <c r="S162" s="143" t="n">
        <f aca="false">IFERROR(IF(OR(NOT(ISNUMBER('Price History'!S163)),NOT(ISNUMBER('Price History'!S162)),'Price History'!S162=0),"",'Price History'!S163/'Price History'!S162-1),"")</f>
        <v>0.0200299768360812</v>
      </c>
      <c r="T162" s="143" t="n">
        <f aca="false">IFERROR(IF(OR(NOT(ISNUMBER('Price History'!T163)),NOT(ISNUMBER('Price History'!T162)),'Price History'!T162=0),"",'Price History'!T163/'Price History'!T162-1),"")</f>
        <v>-0.00664750269493353</v>
      </c>
      <c r="U162" s="143" t="str">
        <f aca="false">IFERROR(IF(OR(NOT(ISNUMBER('Price History'!U163)),NOT(ISNUMBER('Price History'!U162)),'Price History'!U162=0),"",'Price History'!U163/'Price History'!U162-1),"")</f>
        <v/>
      </c>
      <c r="V162" s="144" t="n">
        <f aca="false">IFERROR(IF(OR(NOT(ISNUMBER('Price History'!V163)),NOT(ISNUMBER('Price History'!V162)),'Price History'!V162=0),"",'Price History'!V163/'Price History'!V162-1),"")</f>
        <v>-0.0171121593291406</v>
      </c>
      <c r="W162" s="146" t="str">
        <f aca="false">IFERROR('Price History'!B3+(INDEX('Price History'!B:B,MATCH(9.99E+307,'Price History'!$A:$A))-'Price History'!B3)*(ROW()-3)/(MATCH(9.99E+307,'Returns (Calc)'!$A:$A)-3),"")</f>
        <v/>
      </c>
      <c r="X162" s="146" t="n">
        <f aca="false">IFERROR('Price History'!C3+(INDEX('Price History'!C:C,MATCH(9.99E+307,'Price History'!$A:$A))-'Price History'!C3)*(ROW()-3)/(MATCH(9.99E+307,'Returns (Calc)'!$A:$A)-3),"")</f>
        <v>0</v>
      </c>
      <c r="Y162" s="146" t="n">
        <f aca="false">IFERROR('Price History'!D3+(INDEX('Price History'!D:D,MATCH(9.99E+307,'Price History'!$A:$A))-'Price History'!D3)*(ROW()-3)/(MATCH(9.99E+307,'Returns (Calc)'!$A:$A)-3),"")</f>
        <v>0</v>
      </c>
      <c r="Z162" s="146" t="n">
        <f aca="false">IFERROR('Price History'!E3+(INDEX('Price History'!E:E,MATCH(9.99E+307,'Price History'!$A:$A))-'Price History'!E3)*(ROW()-3)/(MATCH(9.99E+307,'Returns (Calc)'!$A:$A)-3),"")</f>
        <v>0</v>
      </c>
      <c r="AA162" s="146" t="n">
        <f aca="false">IFERROR('Price History'!F3+(INDEX('Price History'!F:F,MATCH(9.99E+307,'Price History'!$A:$A))-'Price History'!F3)*(ROW()-3)/(MATCH(9.99E+307,'Returns (Calc)'!$A:$A)-3),"")</f>
        <v>0</v>
      </c>
      <c r="AB162" s="146" t="n">
        <f aca="false">IFERROR('Price History'!G3+(INDEX('Price History'!G:G,MATCH(9.99E+307,'Price History'!$A:$A))-'Price History'!G3)*(ROW()-3)/(MATCH(9.99E+307,'Returns (Calc)'!$A:$A)-3),"")</f>
        <v>0</v>
      </c>
      <c r="AC162" s="146" t="n">
        <f aca="false">IFERROR('Price History'!H3+(INDEX('Price History'!H:H,MATCH(9.99E+307,'Price History'!$A:$A))-'Price History'!H3)*(ROW()-3)/(MATCH(9.99E+307,'Returns (Calc)'!$A:$A)-3),"")</f>
        <v>0</v>
      </c>
      <c r="AD162" s="146" t="n">
        <f aca="false">IFERROR('Price History'!I3+(INDEX('Price History'!I:I,MATCH(9.99E+307,'Price History'!$A:$A))-'Price History'!I3)*(ROW()-3)/(MATCH(9.99E+307,'Returns (Calc)'!$A:$A)-3),"")</f>
        <v>0</v>
      </c>
      <c r="AE162" s="146" t="n">
        <f aca="false">IFERROR('Price History'!J3+(INDEX('Price History'!J:J,MATCH(9.99E+307,'Price History'!$A:$A))-'Price History'!J3)*(ROW()-3)/(MATCH(9.99E+307,'Returns (Calc)'!$A:$A)-3),"")</f>
        <v>0</v>
      </c>
      <c r="AF162" s="146" t="n">
        <f aca="false">IFERROR('Price History'!K3+(INDEX('Price History'!K:K,MATCH(9.99E+307,'Price History'!$A:$A))-'Price History'!K3)*(ROW()-3)/(MATCH(9.99E+307,'Returns (Calc)'!$A:$A)-3),"")</f>
        <v>0</v>
      </c>
      <c r="AG162" s="146" t="n">
        <f aca="false">IFERROR('Price History'!L3+(INDEX('Price History'!L:L,MATCH(9.99E+307,'Price History'!$A:$A))-'Price History'!L3)*(ROW()-3)/(MATCH(9.99E+307,'Returns (Calc)'!$A:$A)-3),"")</f>
        <v>0</v>
      </c>
      <c r="AH162" s="146" t="n">
        <f aca="false">IFERROR('Price History'!M3+(INDEX('Price History'!M:M,MATCH(9.99E+307,'Price History'!$A:$A))-'Price History'!M3)*(ROW()-3)/(MATCH(9.99E+307,'Returns (Calc)'!$A:$A)-3),"")</f>
        <v>0</v>
      </c>
      <c r="AI162" s="146" t="n">
        <f aca="false">IFERROR('Price History'!N3+(INDEX('Price History'!N:N,MATCH(9.99E+307,'Price History'!$A:$A))-'Price History'!N3)*(ROW()-3)/(MATCH(9.99E+307,'Returns (Calc)'!$A:$A)-3),"")</f>
        <v>0</v>
      </c>
      <c r="AJ162" s="146" t="n">
        <f aca="false">IFERROR('Price History'!O3+(INDEX('Price History'!O:O,MATCH(9.99E+307,'Price History'!$A:$A))-'Price History'!O3)*(ROW()-3)/(MATCH(9.99E+307,'Returns (Calc)'!$A:$A)-3),"")</f>
        <v>0</v>
      </c>
      <c r="AK162" s="146" t="n">
        <f aca="false">IFERROR('Price History'!Q3+(INDEX('Price History'!Q:Q,MATCH(9.99E+307,'Price History'!$A:$A))-'Price History'!Q3)*(ROW()-3)/(MATCH(9.99E+307,'Returns (Calc)'!$A:$A)-3),"")</f>
        <v>0</v>
      </c>
      <c r="AL162" s="146" t="n">
        <f aca="false">IFERROR('Price History'!R3+(INDEX('Price History'!R:R,MATCH(9.99E+307,'Price History'!$A:$A))-'Price History'!R3)*(ROW()-3)/(MATCH(9.99E+307,'Returns (Calc)'!$A:$A)-3),"")</f>
        <v>0</v>
      </c>
      <c r="AM162" s="146" t="n">
        <f aca="false">IFERROR('Price History'!S3+(INDEX('Price History'!S:S,MATCH(9.99E+307,'Price History'!$A:$A))-'Price History'!S3)*(ROW()-3)/(MATCH(9.99E+307,'Returns (Calc)'!$A:$A)-3),"")</f>
        <v>0</v>
      </c>
      <c r="AN162" s="146" t="n">
        <f aca="false">IFERROR('Price History'!T3+(INDEX('Price History'!T:T,MATCH(9.99E+307,'Price History'!$A:$A))-'Price History'!T3)*(ROW()-3)/(MATCH(9.99E+307,'Returns (Calc)'!$A:$A)-3),"")</f>
        <v>0</v>
      </c>
      <c r="AO162" s="146" t="n">
        <f aca="false">IFERROR('Price History'!V3+(INDEX('Price History'!V:V,MATCH(9.99E+307,'Price History'!$A:$A))-'Price History'!V3)*(ROW()-3)/(MATCH(9.99E+307,'Returns (Calc)'!$A:$A)-3),"")</f>
        <v>0</v>
      </c>
    </row>
  </sheetData>
  <mergeCells count="1">
    <mergeCell ref="A1:U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F17" activePane="bottomRight" state="frozen"/>
      <selection pane="topLeft" activeCell="A1" activeCellId="0" sqref="A1"/>
      <selection pane="topRight" activeCell="F1" activeCellId="0" sqref="F1"/>
      <selection pane="bottomLeft" activeCell="A17" activeCellId="0" sqref="A17"/>
      <selection pane="bottomRight" activeCell="S33" activeCellId="0" sqref="S33"/>
    </sheetView>
  </sheetViews>
  <sheetFormatPr defaultColWidth="8.66796875" defaultRowHeight="14.25" customHeight="false" zeroHeight="false" outlineLevelRow="0" outlineLevelCol="0"/>
  <cols>
    <col collapsed="false" customWidth="true" hidden="false" outlineLevel="0" max="1" min="1" style="1" width="10"/>
    <col collapsed="false" customWidth="true" hidden="false" outlineLevel="0" max="2" min="2" style="23" width="6.77"/>
    <col collapsed="false" customWidth="false" hidden="false" outlineLevel="0" max="21" min="3" style="23" width="8.67"/>
    <col collapsed="false" customWidth="true" hidden="false" outlineLevel="0" max="22" min="22" style="23" width="9"/>
    <col collapsed="false" customWidth="true" hidden="false" outlineLevel="0" max="33" min="23" style="1" width="13"/>
  </cols>
  <sheetData>
    <row r="1" customFormat="false" ht="15" hidden="false" customHeight="true" outlineLevel="0" collapsed="false">
      <c r="A1" s="147" t="s">
        <v>452</v>
      </c>
      <c r="B1" s="147"/>
      <c r="C1" s="147"/>
      <c r="D1" s="147"/>
      <c r="E1" s="147"/>
      <c r="F1" s="147"/>
      <c r="G1" s="147"/>
      <c r="H1" s="147"/>
      <c r="I1" s="147"/>
      <c r="J1" s="147"/>
      <c r="K1" s="147"/>
      <c r="L1" s="147"/>
      <c r="M1" s="147"/>
      <c r="N1" s="147"/>
      <c r="O1" s="147"/>
      <c r="P1" s="147"/>
      <c r="Q1" s="147"/>
      <c r="R1" s="147"/>
      <c r="S1" s="147"/>
      <c r="T1" s="147"/>
      <c r="U1" s="147"/>
      <c r="V1" s="147"/>
      <c r="W1" s="147"/>
      <c r="X1" s="147"/>
      <c r="Y1" s="147"/>
      <c r="Z1" s="147"/>
      <c r="AA1" s="147"/>
      <c r="AB1" s="147"/>
      <c r="AC1" s="147"/>
      <c r="AD1" s="147"/>
      <c r="AE1" s="147"/>
      <c r="AF1" s="147"/>
      <c r="AG1" s="147"/>
    </row>
    <row r="2" customFormat="false" ht="15" hidden="false" customHeight="true" outlineLevel="0" collapsed="false">
      <c r="A2" s="148" t="s">
        <v>453</v>
      </c>
      <c r="J2" s="149" t="n">
        <f aca="false">COUNTIF(AG6:AG26,"&gt;1")</f>
        <v>5</v>
      </c>
    </row>
    <row r="3" customFormat="false" ht="15" hidden="false" customHeight="true" outlineLevel="0" collapsed="false">
      <c r="A3" s="148" t="s">
        <v>454</v>
      </c>
      <c r="J3" s="149" t="str">
        <f aca="false">IF(J2&gt;0,"REVIEW REQUIRED","OK")</f>
        <v>REVIEW REQUIRED</v>
      </c>
    </row>
    <row r="5" customFormat="false" ht="27.75" hidden="false" customHeight="true" outlineLevel="0" collapsed="false">
      <c r="A5" s="150" t="s">
        <v>81</v>
      </c>
      <c r="B5" s="150" t="str">
        <f aca="false">'Returns (Calc)'!B2</f>
        <v>ADBE</v>
      </c>
      <c r="C5" s="150" t="str">
        <f aca="false">'Returns (Calc)'!C2</f>
        <v>ANET</v>
      </c>
      <c r="D5" s="150" t="str">
        <f aca="false">'Returns (Calc)'!D2</f>
        <v>ASML</v>
      </c>
      <c r="E5" s="150" t="str">
        <f aca="false">'Returns (Calc)'!E2</f>
        <v>AVGO</v>
      </c>
      <c r="F5" s="150" t="str">
        <f aca="false">'Returns (Calc)'!F2</f>
        <v>AVUV</v>
      </c>
      <c r="G5" s="150" t="str">
        <f aca="false">'Returns (Calc)'!G2</f>
        <v>CRWD</v>
      </c>
      <c r="H5" s="150" t="str">
        <f aca="false">'Returns (Calc)'!H2</f>
        <v>DVY</v>
      </c>
      <c r="I5" s="150" t="str">
        <f aca="false">'Returns (Calc)'!I2</f>
        <v>KLAC</v>
      </c>
      <c r="J5" s="150" t="str">
        <f aca="false">'Returns (Calc)'!J2</f>
        <v>MU</v>
      </c>
      <c r="K5" s="150" t="str">
        <f aca="false">'Returns (Calc)'!K2</f>
        <v>NVDA</v>
      </c>
      <c r="L5" s="150" t="str">
        <f aca="false">'Returns (Calc)'!L2</f>
        <v>PLD</v>
      </c>
      <c r="M5" s="150" t="str">
        <f aca="false">'Returns (Calc)'!M2</f>
        <v>PLTR</v>
      </c>
      <c r="N5" s="150" t="str">
        <f aca="false">'Returns (Calc)'!N2</f>
        <v>SCHD</v>
      </c>
      <c r="O5" s="150" t="str">
        <f aca="false">'Returns (Calc)'!O2</f>
        <v>SPMO</v>
      </c>
      <c r="P5" s="150" t="str">
        <f aca="false">'Returns (Calc)'!P2</f>
        <v>TSM</v>
      </c>
      <c r="Q5" s="150" t="str">
        <f aca="false">'Returns (Calc)'!Q2</f>
        <v>V</v>
      </c>
      <c r="R5" s="150" t="str">
        <f aca="false">'Returns (Calc)'!R2</f>
        <v>JEPQ</v>
      </c>
      <c r="S5" s="150" t="str">
        <f aca="false">'Returns (Calc)'!S2</f>
        <v>SPMO</v>
      </c>
      <c r="T5" s="150" t="str">
        <f aca="false">'Returns (Calc)'!T2</f>
        <v>VFLO</v>
      </c>
      <c r="U5" s="150" t="n">
        <f aca="false">'Returns (Calc)'!U2</f>
        <v>0</v>
      </c>
      <c r="V5" s="150" t="str">
        <f aca="false">'Returns (Calc)'!V2</f>
        <v>V</v>
      </c>
      <c r="W5" s="151"/>
      <c r="X5" s="151"/>
      <c r="Y5" s="151"/>
      <c r="Z5" s="151"/>
      <c r="AA5" s="151"/>
      <c r="AB5" s="151"/>
      <c r="AC5" s="151"/>
      <c r="AD5" s="151"/>
      <c r="AE5" s="151"/>
      <c r="AF5" s="151"/>
      <c r="AG5" s="150" t="s">
        <v>455</v>
      </c>
    </row>
    <row r="6" customFormat="false" ht="15" hidden="false" customHeight="true" outlineLevel="0" collapsed="false">
      <c r="A6" s="152" t="str">
        <f aca="false">'Returns (Calc)'!B2</f>
        <v>ADBE</v>
      </c>
      <c r="B6" s="153" t="n">
        <v>1</v>
      </c>
      <c r="C6" s="153" t="n">
        <f aca="false">IFERROR(ROUND(CORREL('Returns (Calc)'!$B$3:$B$500,'Returns (Calc)'!$C$3:$C$500),2),"")</f>
        <v>0.17</v>
      </c>
      <c r="D6" s="153" t="n">
        <f aca="false">IFERROR(ROUND(CORREL('Returns (Calc)'!$B$3:$B$500,'Returns (Calc)'!$D$3:$D$500),2),"")</f>
        <v>-0</v>
      </c>
      <c r="E6" s="153" t="n">
        <f aca="false">IFERROR(ROUND(CORREL('Returns (Calc)'!$B$3:$B$500,'Returns (Calc)'!$E$3:$E$500),2),"")</f>
        <v>0.16</v>
      </c>
      <c r="F6" s="153" t="n">
        <f aca="false">IFERROR(ROUND(CORREL('Returns (Calc)'!$B$3:$B$500,'Returns (Calc)'!$F$3:$F$500),2),"")</f>
        <v>0.29</v>
      </c>
      <c r="G6" s="153" t="n">
        <f aca="false">IFERROR(ROUND(CORREL('Returns (Calc)'!$B$3:$B$500,'Returns (Calc)'!$G$3:$G$500),2),"")</f>
        <v>0.29</v>
      </c>
      <c r="H6" s="153" t="n">
        <f aca="false">IFERROR(ROUND(CORREL('Returns (Calc)'!$B$3:$B$500,'Returns (Calc)'!$H$3:$H$500),2),"")</f>
        <v>0.25</v>
      </c>
      <c r="I6" s="153" t="n">
        <f aca="false">IFERROR(ROUND(CORREL('Returns (Calc)'!$B$3:$B$500,'Returns (Calc)'!$I$3:$I$500),2),"")</f>
        <v>0</v>
      </c>
      <c r="J6" s="153" t="n">
        <f aca="false">IFERROR(ROUND(CORREL('Returns (Calc)'!$B$3:$B$500,'Returns (Calc)'!$J$3:$J$500),2),"")</f>
        <v>-0.12</v>
      </c>
      <c r="K6" s="153" t="n">
        <f aca="false">IFERROR(ROUND(CORREL('Returns (Calc)'!$B$3:$B$500,'Returns (Calc)'!$K$3:$K$500),2),"")</f>
        <v>0.12</v>
      </c>
      <c r="L6" s="153" t="n">
        <f aca="false">IFERROR(ROUND(CORREL('Returns (Calc)'!$B$3:$B$500,'Returns (Calc)'!$L$3:$L$500),2),"")</f>
        <v>0.28</v>
      </c>
      <c r="M6" s="153" t="n">
        <f aca="false">IFERROR(ROUND(CORREL('Returns (Calc)'!$B$3:$B$500,'Returns (Calc)'!$M$3:$M$500),2),"")</f>
        <v>0.43</v>
      </c>
      <c r="N6" s="153" t="n">
        <f aca="false">IFERROR(ROUND(CORREL('Returns (Calc)'!$B$3:$B$500,'Returns (Calc)'!$N$3:$N$500),2),"")</f>
        <v>0.25</v>
      </c>
      <c r="O6" s="153" t="n">
        <f aca="false">IFERROR(ROUND(CORREL('Returns (Calc)'!$B$3:$B$500,'Returns (Calc)'!$O$3:$O$500),2),"")</f>
        <v>0.1</v>
      </c>
      <c r="P6" s="153" t="n">
        <f aca="false">IFERROR(ROUND(CORREL('Returns (Calc)'!$B$3:$B$500,'Returns (Calc)'!$P$3:$P$500),2),"")</f>
        <v>0.15</v>
      </c>
      <c r="Q6" s="153" t="n">
        <f aca="false">IFERROR(ROUND(CORREL('Returns (Calc)'!$B$3:$B$500,'Returns (Calc)'!$Q$3:$Q$500),2),"")</f>
        <v>-0.08</v>
      </c>
      <c r="R6" s="153" t="n">
        <f aca="false">IFERROR(ROUND(CORREL('Returns (Calc)'!$B$3:$B$500,'Returns (Calc)'!$R$3:$R$500),2),"")</f>
        <v>-0.06</v>
      </c>
      <c r="S6" s="153" t="n">
        <f aca="false">IFERROR(ROUND(CORREL('Returns (Calc)'!$B$3:$B$500,'Returns (Calc)'!$S$3:$S$500),2),"")</f>
        <v>-0.14</v>
      </c>
      <c r="T6" s="153" t="n">
        <f aca="false">IFERROR(ROUND(CORREL('Returns (Calc)'!$B$3:$B$500,'Returns (Calc)'!$T$3:$T$500),2),"")</f>
        <v>-0.1</v>
      </c>
      <c r="U6" s="153" t="str">
        <f aca="false">IFERROR(ROUND(CORREL('Returns (Calc)'!$B$3:$B$500,'Returns (Calc)'!$U$3:$U$500),2),"")</f>
        <v/>
      </c>
      <c r="V6" s="153" t="n">
        <f aca="false">IFERROR(ROUND(CORREL('Returns (Calc)'!$B$3:$B$500,'Returns (Calc)'!$V$3:$V$500),2),"")</f>
        <v>-0.16</v>
      </c>
      <c r="AG6" s="154" t="n">
        <f aca="false">COUNTIF(B6:V6,"&gt;0.7")-1</f>
        <v>0</v>
      </c>
    </row>
    <row r="7" customFormat="false" ht="15" hidden="false" customHeight="true" outlineLevel="0" collapsed="false">
      <c r="A7" s="152" t="str">
        <f aca="false">'Returns (Calc)'!C2</f>
        <v>ANET</v>
      </c>
      <c r="B7" s="153" t="n">
        <f aca="false">IFERROR(ROUND(CORREL('Returns (Calc)'!$C$3:$C$500,'Returns (Calc)'!$B$3:$B$500),2),"")</f>
        <v>0.17</v>
      </c>
      <c r="C7" s="153" t="n">
        <v>1</v>
      </c>
      <c r="D7" s="153" t="n">
        <f aca="false">IFERROR(ROUND(CORREL('Returns (Calc)'!$C$3:$C$500,'Returns (Calc)'!$D$3:$D$500),2),"")</f>
        <v>0.39</v>
      </c>
      <c r="E7" s="153" t="n">
        <f aca="false">IFERROR(ROUND(CORREL('Returns (Calc)'!$C$3:$C$500,'Returns (Calc)'!$E$3:$E$500),2),"")</f>
        <v>0.58</v>
      </c>
      <c r="F7" s="153" t="n">
        <f aca="false">IFERROR(ROUND(CORREL('Returns (Calc)'!$C$3:$C$500,'Returns (Calc)'!$F$3:$F$500),2),"")</f>
        <v>0.07</v>
      </c>
      <c r="G7" s="153" t="n">
        <f aca="false">IFERROR(ROUND(CORREL('Returns (Calc)'!$C$3:$C$500,'Returns (Calc)'!$G$3:$G$500),2),"")</f>
        <v>0.38</v>
      </c>
      <c r="H7" s="153" t="n">
        <f aca="false">IFERROR(ROUND(CORREL('Returns (Calc)'!$C$3:$C$500,'Returns (Calc)'!$H$3:$H$500),2),"")</f>
        <v>-0.07</v>
      </c>
      <c r="I7" s="153" t="n">
        <f aca="false">IFERROR(ROUND(CORREL('Returns (Calc)'!$C$3:$C$500,'Returns (Calc)'!$I$3:$I$500),2),"")</f>
        <v>0.4</v>
      </c>
      <c r="J7" s="153" t="n">
        <f aca="false">IFERROR(ROUND(CORREL('Returns (Calc)'!$C$3:$C$500,'Returns (Calc)'!$J$3:$J$500),2),"")</f>
        <v>0.32</v>
      </c>
      <c r="K7" s="153" t="n">
        <f aca="false">IFERROR(ROUND(CORREL('Returns (Calc)'!$C$3:$C$500,'Returns (Calc)'!$K$3:$K$500),2),"")</f>
        <v>0.52</v>
      </c>
      <c r="L7" s="153" t="n">
        <f aca="false">IFERROR(ROUND(CORREL('Returns (Calc)'!$C$3:$C$500,'Returns (Calc)'!$L$3:$L$500),2),"")</f>
        <v>-0.04</v>
      </c>
      <c r="M7" s="153" t="n">
        <f aca="false">IFERROR(ROUND(CORREL('Returns (Calc)'!$C$3:$C$500,'Returns (Calc)'!$M$3:$M$500),2),"")</f>
        <v>0.28</v>
      </c>
      <c r="N7" s="153" t="n">
        <f aca="false">IFERROR(ROUND(CORREL('Returns (Calc)'!$C$3:$C$500,'Returns (Calc)'!$N$3:$N$500),2),"")</f>
        <v>-0.07</v>
      </c>
      <c r="O7" s="153" t="n">
        <f aca="false">IFERROR(ROUND(CORREL('Returns (Calc)'!$C$3:$C$500,'Returns (Calc)'!$O$3:$O$500),2),"")</f>
        <v>0.61</v>
      </c>
      <c r="P7" s="153" t="n">
        <f aca="false">IFERROR(ROUND(CORREL('Returns (Calc)'!$C$3:$C$500,'Returns (Calc)'!$P$3:$P$500),2),"")</f>
        <v>0.55</v>
      </c>
      <c r="Q7" s="153" t="n">
        <f aca="false">IFERROR(ROUND(CORREL('Returns (Calc)'!$C$3:$C$500,'Returns (Calc)'!$Q$3:$Q$500),2),"")</f>
        <v>0.17</v>
      </c>
      <c r="R7" s="153" t="n">
        <f aca="false">IFERROR(ROUND(CORREL('Returns (Calc)'!$C$3:$C$500,'Returns (Calc)'!$R$3:$R$500),2),"")</f>
        <v>0.01</v>
      </c>
      <c r="S7" s="153" t="n">
        <f aca="false">IFERROR(ROUND(CORREL('Returns (Calc)'!$C$3:$C$500,'Returns (Calc)'!$S$3:$S$500),2),"")</f>
        <v>-0.04</v>
      </c>
      <c r="T7" s="153" t="n">
        <f aca="false">IFERROR(ROUND(CORREL('Returns (Calc)'!$C$3:$C$500,'Returns (Calc)'!$T$3:$T$500),2),"")</f>
        <v>0</v>
      </c>
      <c r="U7" s="153" t="str">
        <f aca="false">IFERROR(ROUND(CORREL('Returns (Calc)'!$C$3:$C$500,'Returns (Calc)'!$U$3:$U$500),2),"")</f>
        <v/>
      </c>
      <c r="V7" s="153" t="n">
        <f aca="false">IFERROR(ROUND(CORREL('Returns (Calc)'!$C$3:$C$500,'Returns (Calc)'!$V$3:$V$500),2),"")</f>
        <v>-0.01</v>
      </c>
      <c r="AG7" s="154" t="n">
        <f aca="false">COUNTIF(B7:V7,"&gt;0.7")-1</f>
        <v>0</v>
      </c>
    </row>
    <row r="8" customFormat="false" ht="15" hidden="false" customHeight="true" outlineLevel="0" collapsed="false">
      <c r="A8" s="152" t="str">
        <f aca="false">'Returns (Calc)'!D2</f>
        <v>ASML</v>
      </c>
      <c r="B8" s="153" t="n">
        <f aca="false">IFERROR(ROUND(CORREL('Returns (Calc)'!$D$3:$D$500,'Returns (Calc)'!$B$3:$B$500),2),"")</f>
        <v>-0</v>
      </c>
      <c r="C8" s="153" t="n">
        <f aca="false">IFERROR(ROUND(CORREL('Returns (Calc)'!$D$3:$D$500,'Returns (Calc)'!$C$3:$C$500),2),"")</f>
        <v>0.39</v>
      </c>
      <c r="D8" s="153" t="n">
        <v>1</v>
      </c>
      <c r="E8" s="153" t="n">
        <f aca="false">IFERROR(ROUND(CORREL('Returns (Calc)'!$D$3:$D$500,'Returns (Calc)'!$E$3:$E$500),2),"")</f>
        <v>0.49</v>
      </c>
      <c r="F8" s="153" t="n">
        <f aca="false">IFERROR(ROUND(CORREL('Returns (Calc)'!$D$3:$D$500,'Returns (Calc)'!$F$3:$F$500),2),"")</f>
        <v>0.1</v>
      </c>
      <c r="G8" s="153" t="n">
        <f aca="false">IFERROR(ROUND(CORREL('Returns (Calc)'!$D$3:$D$500,'Returns (Calc)'!$G$3:$G$500),2),"")</f>
        <v>0.32</v>
      </c>
      <c r="H8" s="153" t="n">
        <f aca="false">IFERROR(ROUND(CORREL('Returns (Calc)'!$D$3:$D$500,'Returns (Calc)'!$H$3:$H$500),2),"")</f>
        <v>-0.05</v>
      </c>
      <c r="I8" s="153" t="n">
        <f aca="false">IFERROR(ROUND(CORREL('Returns (Calc)'!$D$3:$D$500,'Returns (Calc)'!$I$3:$I$500),2),"")</f>
        <v>0.73</v>
      </c>
      <c r="J8" s="153" t="n">
        <f aca="false">IFERROR(ROUND(CORREL('Returns (Calc)'!$D$3:$D$500,'Returns (Calc)'!$J$3:$J$500),2),"")</f>
        <v>0.51</v>
      </c>
      <c r="K8" s="153" t="n">
        <f aca="false">IFERROR(ROUND(CORREL('Returns (Calc)'!$D$3:$D$500,'Returns (Calc)'!$K$3:$K$500),2),"")</f>
        <v>0.48</v>
      </c>
      <c r="L8" s="153" t="n">
        <f aca="false">IFERROR(ROUND(CORREL('Returns (Calc)'!$D$3:$D$500,'Returns (Calc)'!$L$3:$L$500),2),"")</f>
        <v>-0</v>
      </c>
      <c r="M8" s="153" t="n">
        <f aca="false">IFERROR(ROUND(CORREL('Returns (Calc)'!$D$3:$D$500,'Returns (Calc)'!$M$3:$M$500),2),"")</f>
        <v>0.17</v>
      </c>
      <c r="N8" s="153" t="n">
        <f aca="false">IFERROR(ROUND(CORREL('Returns (Calc)'!$D$3:$D$500,'Returns (Calc)'!$N$3:$N$500),2),"")</f>
        <v>-0.06</v>
      </c>
      <c r="O8" s="153" t="n">
        <f aca="false">IFERROR(ROUND(CORREL('Returns (Calc)'!$D$3:$D$500,'Returns (Calc)'!$O$3:$O$500),2),"")</f>
        <v>0.58</v>
      </c>
      <c r="P8" s="153" t="n">
        <f aca="false">IFERROR(ROUND(CORREL('Returns (Calc)'!$D$3:$D$500,'Returns (Calc)'!$P$3:$P$500),2),"")</f>
        <v>0.63</v>
      </c>
      <c r="Q8" s="153" t="n">
        <f aca="false">IFERROR(ROUND(CORREL('Returns (Calc)'!$D$3:$D$500,'Returns (Calc)'!$Q$3:$Q$500),2),"")</f>
        <v>0.07</v>
      </c>
      <c r="R8" s="153" t="n">
        <f aca="false">IFERROR(ROUND(CORREL('Returns (Calc)'!$D$3:$D$500,'Returns (Calc)'!$R$3:$R$500),2),"")</f>
        <v>0.05</v>
      </c>
      <c r="S8" s="153" t="n">
        <f aca="false">IFERROR(ROUND(CORREL('Returns (Calc)'!$D$3:$D$500,'Returns (Calc)'!$S$3:$S$500),2),"")</f>
        <v>0.02</v>
      </c>
      <c r="T8" s="153" t="n">
        <f aca="false">IFERROR(ROUND(CORREL('Returns (Calc)'!$D$3:$D$500,'Returns (Calc)'!$T$3:$T$500),2),"")</f>
        <v>0.09</v>
      </c>
      <c r="U8" s="153" t="str">
        <f aca="false">IFERROR(ROUND(CORREL('Returns (Calc)'!$D$3:$D$500,'Returns (Calc)'!$U$3:$U$500),2),"")</f>
        <v/>
      </c>
      <c r="V8" s="153" t="n">
        <f aca="false">IFERROR(ROUND(CORREL('Returns (Calc)'!$D$3:$D$500,'Returns (Calc)'!$V$3:$V$500),2),"")</f>
        <v>0.02</v>
      </c>
      <c r="AG8" s="154" t="n">
        <f aca="false">COUNTIF(B8:V8,"&gt;0.7")-1</f>
        <v>1</v>
      </c>
    </row>
    <row r="9" customFormat="false" ht="15" hidden="false" customHeight="true" outlineLevel="0" collapsed="false">
      <c r="A9" s="152" t="str">
        <f aca="false">'Returns (Calc)'!E2</f>
        <v>AVGO</v>
      </c>
      <c r="B9" s="153" t="n">
        <f aca="false">IFERROR(ROUND(CORREL('Returns (Calc)'!$E$3:$E$500,'Returns (Calc)'!$B$3:$B$500),2),"")</f>
        <v>0.16</v>
      </c>
      <c r="C9" s="153" t="n">
        <f aca="false">IFERROR(ROUND(CORREL('Returns (Calc)'!$E$3:$E$500,'Returns (Calc)'!$C$3:$C$500),2),"")</f>
        <v>0.58</v>
      </c>
      <c r="D9" s="153" t="n">
        <f aca="false">IFERROR(ROUND(CORREL('Returns (Calc)'!$E$3:$E$500,'Returns (Calc)'!$D$3:$D$500),2),"")</f>
        <v>0.49</v>
      </c>
      <c r="E9" s="153" t="n">
        <v>1</v>
      </c>
      <c r="F9" s="153" t="n">
        <f aca="false">IFERROR(ROUND(CORREL('Returns (Calc)'!$E$3:$E$500,'Returns (Calc)'!$F$3:$F$500),2),"")</f>
        <v>0.13</v>
      </c>
      <c r="G9" s="153" t="n">
        <f aca="false">IFERROR(ROUND(CORREL('Returns (Calc)'!$E$3:$E$500,'Returns (Calc)'!$G$3:$G$500),2),"")</f>
        <v>0.37</v>
      </c>
      <c r="H9" s="153" t="n">
        <f aca="false">IFERROR(ROUND(CORREL('Returns (Calc)'!$E$3:$E$500,'Returns (Calc)'!$H$3:$H$500),2),"")</f>
        <v>0.02</v>
      </c>
      <c r="I9" s="153" t="n">
        <f aca="false">IFERROR(ROUND(CORREL('Returns (Calc)'!$E$3:$E$500,'Returns (Calc)'!$I$3:$I$500),2),"")</f>
        <v>0.52</v>
      </c>
      <c r="J9" s="153" t="n">
        <f aca="false">IFERROR(ROUND(CORREL('Returns (Calc)'!$E$3:$E$500,'Returns (Calc)'!$J$3:$J$500),2),"")</f>
        <v>0.36</v>
      </c>
      <c r="K9" s="153" t="n">
        <f aca="false">IFERROR(ROUND(CORREL('Returns (Calc)'!$E$3:$E$500,'Returns (Calc)'!$K$3:$K$500),2),"")</f>
        <v>0.59</v>
      </c>
      <c r="L9" s="153" t="n">
        <f aca="false">IFERROR(ROUND(CORREL('Returns (Calc)'!$E$3:$E$500,'Returns (Calc)'!$L$3:$L$500),2),"")</f>
        <v>0.06</v>
      </c>
      <c r="M9" s="153" t="n">
        <f aca="false">IFERROR(ROUND(CORREL('Returns (Calc)'!$E$3:$E$500,'Returns (Calc)'!$M$3:$M$500),2),"")</f>
        <v>0.36</v>
      </c>
      <c r="N9" s="153" t="n">
        <f aca="false">IFERROR(ROUND(CORREL('Returns (Calc)'!$E$3:$E$500,'Returns (Calc)'!$N$3:$N$500),2),"")</f>
        <v>0.02</v>
      </c>
      <c r="O9" s="153" t="n">
        <f aca="false">IFERROR(ROUND(CORREL('Returns (Calc)'!$E$3:$E$500,'Returns (Calc)'!$O$3:$O$500),2),"")</f>
        <v>0.66</v>
      </c>
      <c r="P9" s="153" t="n">
        <f aca="false">IFERROR(ROUND(CORREL('Returns (Calc)'!$E$3:$E$500,'Returns (Calc)'!$P$3:$P$500),2),"")</f>
        <v>0.63</v>
      </c>
      <c r="Q9" s="153" t="n">
        <f aca="false">IFERROR(ROUND(CORREL('Returns (Calc)'!$E$3:$E$500,'Returns (Calc)'!$Q$3:$Q$500),2),"")</f>
        <v>0.06</v>
      </c>
      <c r="R9" s="153" t="n">
        <f aca="false">IFERROR(ROUND(CORREL('Returns (Calc)'!$E$3:$E$500,'Returns (Calc)'!$R$3:$R$500),2),"")</f>
        <v>0.04</v>
      </c>
      <c r="S9" s="153" t="n">
        <f aca="false">IFERROR(ROUND(CORREL('Returns (Calc)'!$E$3:$E$500,'Returns (Calc)'!$S$3:$S$500),2),"")</f>
        <v>0.03</v>
      </c>
      <c r="T9" s="153" t="n">
        <f aca="false">IFERROR(ROUND(CORREL('Returns (Calc)'!$E$3:$E$500,'Returns (Calc)'!$T$3:$T$500),2),"")</f>
        <v>0.01</v>
      </c>
      <c r="U9" s="153" t="str">
        <f aca="false">IFERROR(ROUND(CORREL('Returns (Calc)'!$E$3:$E$500,'Returns (Calc)'!$U$3:$U$500),2),"")</f>
        <v/>
      </c>
      <c r="V9" s="153" t="n">
        <f aca="false">IFERROR(ROUND(CORREL('Returns (Calc)'!$E$3:$E$500,'Returns (Calc)'!$V$3:$V$500),2),"")</f>
        <v>-0.07</v>
      </c>
      <c r="AG9" s="154" t="n">
        <f aca="false">COUNTIF(B9:V9,"&gt;0.7")-1</f>
        <v>0</v>
      </c>
    </row>
    <row r="10" customFormat="false" ht="15" hidden="false" customHeight="true" outlineLevel="0" collapsed="false">
      <c r="A10" s="152" t="str">
        <f aca="false">'Returns (Calc)'!F2</f>
        <v>AVUV</v>
      </c>
      <c r="B10" s="153" t="n">
        <f aca="false">IFERROR(ROUND(CORREL('Returns (Calc)'!$F$3:$F$500,'Returns (Calc)'!$B$3:$B$500),2),"")</f>
        <v>0.29</v>
      </c>
      <c r="C10" s="153" t="n">
        <f aca="false">IFERROR(ROUND(CORREL('Returns (Calc)'!$F$3:$F$500,'Returns (Calc)'!$C$3:$C$500),2),"")</f>
        <v>0.07</v>
      </c>
      <c r="D10" s="153" t="n">
        <f aca="false">IFERROR(ROUND(CORREL('Returns (Calc)'!$F$3:$F$500,'Returns (Calc)'!$D$3:$D$500),2),"")</f>
        <v>0.1</v>
      </c>
      <c r="E10" s="153" t="n">
        <f aca="false">IFERROR(ROUND(CORREL('Returns (Calc)'!$F$3:$F$500,'Returns (Calc)'!$E$3:$E$500),2),"")</f>
        <v>0.13</v>
      </c>
      <c r="F10" s="153" t="n">
        <v>1</v>
      </c>
      <c r="G10" s="153" t="n">
        <f aca="false">IFERROR(ROUND(CORREL('Returns (Calc)'!$F$3:$F$500,'Returns (Calc)'!$G$3:$G$500),2),"")</f>
        <v>-0.22</v>
      </c>
      <c r="H10" s="153" t="n">
        <f aca="false">IFERROR(ROUND(CORREL('Returns (Calc)'!$F$3:$F$500,'Returns (Calc)'!$H$3:$H$500),2),"")</f>
        <v>0.93</v>
      </c>
      <c r="I10" s="153" t="n">
        <f aca="false">IFERROR(ROUND(CORREL('Returns (Calc)'!$F$3:$F$500,'Returns (Calc)'!$I$3:$I$500),2),"")</f>
        <v>0.4</v>
      </c>
      <c r="J10" s="153" t="n">
        <f aca="false">IFERROR(ROUND(CORREL('Returns (Calc)'!$F$3:$F$500,'Returns (Calc)'!$J$3:$J$500),2),"")</f>
        <v>-0.47</v>
      </c>
      <c r="K10" s="153" t="n">
        <f aca="false">IFERROR(ROUND(CORREL('Returns (Calc)'!$F$3:$F$500,'Returns (Calc)'!$K$3:$K$500),2),"")</f>
        <v>-0.18</v>
      </c>
      <c r="L10" s="153" t="n">
        <f aca="false">IFERROR(ROUND(CORREL('Returns (Calc)'!$F$3:$F$500,'Returns (Calc)'!$L$3:$L$500),2),"")</f>
        <v>0.95</v>
      </c>
      <c r="M10" s="153" t="n">
        <f aca="false">IFERROR(ROUND(CORREL('Returns (Calc)'!$F$3:$F$500,'Returns (Calc)'!$M$3:$M$500),2),"")</f>
        <v>0.41</v>
      </c>
      <c r="N10" s="153" t="n">
        <f aca="false">IFERROR(ROUND(CORREL('Returns (Calc)'!$F$3:$F$500,'Returns (Calc)'!$N$3:$N$500),2),"")</f>
        <v>0.92</v>
      </c>
      <c r="O10" s="153" t="n">
        <f aca="false">IFERROR(ROUND(CORREL('Returns (Calc)'!$F$3:$F$500,'Returns (Calc)'!$O$3:$O$500),2),"")</f>
        <v>-0.21</v>
      </c>
      <c r="P10" s="153" t="n">
        <f aca="false">IFERROR(ROUND(CORREL('Returns (Calc)'!$F$3:$F$500,'Returns (Calc)'!$P$3:$P$500),2),"")</f>
        <v>0.33</v>
      </c>
      <c r="Q10" s="153" t="n">
        <f aca="false">IFERROR(ROUND(CORREL('Returns (Calc)'!$F$3:$F$500,'Returns (Calc)'!$Q$3:$Q$500),2),"")</f>
        <v>-0.8</v>
      </c>
      <c r="R10" s="153" t="n">
        <f aca="false">IFERROR(ROUND(CORREL('Returns (Calc)'!$F$3:$F$500,'Returns (Calc)'!$R$3:$R$500),2),"")</f>
        <v>0.05</v>
      </c>
      <c r="S10" s="153" t="n">
        <f aca="false">IFERROR(ROUND(CORREL('Returns (Calc)'!$F$3:$F$500,'Returns (Calc)'!$S$3:$S$500),2),"")</f>
        <v>0.07</v>
      </c>
      <c r="T10" s="153" t="n">
        <f aca="false">IFERROR(ROUND(CORREL('Returns (Calc)'!$F$3:$F$500,'Returns (Calc)'!$T$3:$T$500),2),"")</f>
        <v>-0.04</v>
      </c>
      <c r="U10" s="153" t="str">
        <f aca="false">IFERROR(ROUND(CORREL('Returns (Calc)'!$F$3:$F$500,'Returns (Calc)'!$U$3:$U$500),2),"")</f>
        <v/>
      </c>
      <c r="V10" s="153" t="n">
        <f aca="false">IFERROR(ROUND(CORREL('Returns (Calc)'!$F$3:$F$500,'Returns (Calc)'!$V$3:$V$500),2),"")</f>
        <v>-0.07</v>
      </c>
      <c r="AG10" s="154" t="n">
        <f aca="false">COUNTIF(B10:V10,"&gt;0.7")-1</f>
        <v>3</v>
      </c>
    </row>
    <row r="11" customFormat="false" ht="15" hidden="false" customHeight="true" outlineLevel="0" collapsed="false">
      <c r="A11" s="152" t="str">
        <f aca="false">'Returns (Calc)'!G2</f>
        <v>CRWD</v>
      </c>
      <c r="B11" s="153" t="n">
        <f aca="false">IFERROR(ROUND(CORREL('Returns (Calc)'!$G$3:$G$500,'Returns (Calc)'!$B$3:$B$500),2),"")</f>
        <v>0.29</v>
      </c>
      <c r="C11" s="153" t="n">
        <f aca="false">IFERROR(ROUND(CORREL('Returns (Calc)'!$G$3:$G$500,'Returns (Calc)'!$C$3:$C$500),2),"")</f>
        <v>0.38</v>
      </c>
      <c r="D11" s="153" t="n">
        <f aca="false">IFERROR(ROUND(CORREL('Returns (Calc)'!$G$3:$G$500,'Returns (Calc)'!$D$3:$D$500),2),"")</f>
        <v>0.32</v>
      </c>
      <c r="E11" s="153" t="n">
        <f aca="false">IFERROR(ROUND(CORREL('Returns (Calc)'!$G$3:$G$500,'Returns (Calc)'!$E$3:$E$500),2),"")</f>
        <v>0.37</v>
      </c>
      <c r="F11" s="153" t="n">
        <f aca="false">IFERROR(ROUND(CORREL('Returns (Calc)'!$G$3:$G$500,'Returns (Calc)'!$F$3:$F$500),2),"")</f>
        <v>-0.22</v>
      </c>
      <c r="G11" s="153" t="n">
        <v>1</v>
      </c>
      <c r="H11" s="153" t="n">
        <f aca="false">IFERROR(ROUND(CORREL('Returns (Calc)'!$G$3:$G$500,'Returns (Calc)'!$H$3:$H$500),2),"")</f>
        <v>-0.32</v>
      </c>
      <c r="I11" s="153" t="n">
        <f aca="false">IFERROR(ROUND(CORREL('Returns (Calc)'!$G$3:$G$500,'Returns (Calc)'!$I$3:$I$500),2),"")</f>
        <v>0.22</v>
      </c>
      <c r="J11" s="153" t="n">
        <f aca="false">IFERROR(ROUND(CORREL('Returns (Calc)'!$G$3:$G$500,'Returns (Calc)'!$J$3:$J$500),2),"")</f>
        <v>0.44</v>
      </c>
      <c r="K11" s="153" t="n">
        <f aca="false">IFERROR(ROUND(CORREL('Returns (Calc)'!$G$3:$G$500,'Returns (Calc)'!$K$3:$K$500),2),"")</f>
        <v>0.51</v>
      </c>
      <c r="L11" s="153" t="n">
        <f aca="false">IFERROR(ROUND(CORREL('Returns (Calc)'!$G$3:$G$500,'Returns (Calc)'!$L$3:$L$500),2),"")</f>
        <v>-0.3</v>
      </c>
      <c r="M11" s="153" t="n">
        <f aca="false">IFERROR(ROUND(CORREL('Returns (Calc)'!$G$3:$G$500,'Returns (Calc)'!$M$3:$M$500),2),"")</f>
        <v>0.33</v>
      </c>
      <c r="N11" s="153" t="n">
        <f aca="false">IFERROR(ROUND(CORREL('Returns (Calc)'!$G$3:$G$500,'Returns (Calc)'!$N$3:$N$500),2),"")</f>
        <v>-0.32</v>
      </c>
      <c r="O11" s="153" t="n">
        <f aca="false">IFERROR(ROUND(CORREL('Returns (Calc)'!$G$3:$G$500,'Returns (Calc)'!$O$3:$O$500),2),"")</f>
        <v>0.58</v>
      </c>
      <c r="P11" s="153" t="n">
        <f aca="false">IFERROR(ROUND(CORREL('Returns (Calc)'!$G$3:$G$500,'Returns (Calc)'!$P$3:$P$500),2),"")</f>
        <v>0.38</v>
      </c>
      <c r="Q11" s="153" t="n">
        <f aca="false">IFERROR(ROUND(CORREL('Returns (Calc)'!$G$3:$G$500,'Returns (Calc)'!$Q$3:$Q$500),2),"")</f>
        <v>0.4</v>
      </c>
      <c r="R11" s="153" t="n">
        <f aca="false">IFERROR(ROUND(CORREL('Returns (Calc)'!$G$3:$G$500,'Returns (Calc)'!$R$3:$R$500),2),"")</f>
        <v>0.07</v>
      </c>
      <c r="S11" s="153" t="n">
        <f aca="false">IFERROR(ROUND(CORREL('Returns (Calc)'!$G$3:$G$500,'Returns (Calc)'!$S$3:$S$500),2),"")</f>
        <v>0.06</v>
      </c>
      <c r="T11" s="153" t="n">
        <f aca="false">IFERROR(ROUND(CORREL('Returns (Calc)'!$G$3:$G$500,'Returns (Calc)'!$T$3:$T$500),2),"")</f>
        <v>0.12</v>
      </c>
      <c r="U11" s="153" t="str">
        <f aca="false">IFERROR(ROUND(CORREL('Returns (Calc)'!$G$3:$G$500,'Returns (Calc)'!$U$3:$U$500),2),"")</f>
        <v/>
      </c>
      <c r="V11" s="153" t="n">
        <f aca="false">IFERROR(ROUND(CORREL('Returns (Calc)'!$G$3:$G$500,'Returns (Calc)'!$V$3:$V$500),2),"")</f>
        <v>0.04</v>
      </c>
      <c r="AG11" s="154" t="n">
        <f aca="false">COUNTIF(B11:V11,"&gt;0.7")-1</f>
        <v>0</v>
      </c>
    </row>
    <row r="12" customFormat="false" ht="15" hidden="false" customHeight="true" outlineLevel="0" collapsed="false">
      <c r="A12" s="152" t="str">
        <f aca="false">'Returns (Calc)'!H2</f>
        <v>DVY</v>
      </c>
      <c r="B12" s="153" t="n">
        <f aca="false">IFERROR(ROUND(CORREL('Returns (Calc)'!$H$3:$H$500,'Returns (Calc)'!$B$3:$B$500),2),"")</f>
        <v>0.25</v>
      </c>
      <c r="C12" s="153" t="n">
        <f aca="false">IFERROR(ROUND(CORREL('Returns (Calc)'!$H$3:$H$500,'Returns (Calc)'!$C$3:$C$500),2),"")</f>
        <v>-0.07</v>
      </c>
      <c r="D12" s="153" t="n">
        <f aca="false">IFERROR(ROUND(CORREL('Returns (Calc)'!$H$3:$H$500,'Returns (Calc)'!$D$3:$D$500),2),"")</f>
        <v>-0.05</v>
      </c>
      <c r="E12" s="153" t="n">
        <f aca="false">IFERROR(ROUND(CORREL('Returns (Calc)'!$H$3:$H$500,'Returns (Calc)'!$E$3:$E$500),2),"")</f>
        <v>0.02</v>
      </c>
      <c r="F12" s="153" t="n">
        <f aca="false">IFERROR(ROUND(CORREL('Returns (Calc)'!$H$3:$H$500,'Returns (Calc)'!$F$3:$F$500),2),"")</f>
        <v>0.93</v>
      </c>
      <c r="G12" s="153" t="n">
        <f aca="false">IFERROR(ROUND(CORREL('Returns (Calc)'!$H$3:$H$500,'Returns (Calc)'!$G$3:$G$500),2),"")</f>
        <v>-0.32</v>
      </c>
      <c r="H12" s="153" t="n">
        <v>1</v>
      </c>
      <c r="I12" s="153" t="n">
        <f aca="false">IFERROR(ROUND(CORREL('Returns (Calc)'!$H$3:$H$500,'Returns (Calc)'!$I$3:$I$500),2),"")</f>
        <v>0.26</v>
      </c>
      <c r="J12" s="153" t="n">
        <f aca="false">IFERROR(ROUND(CORREL('Returns (Calc)'!$H$3:$H$500,'Returns (Calc)'!$J$3:$J$500),2),"")</f>
        <v>-0.62</v>
      </c>
      <c r="K12" s="153" t="n">
        <f aca="false">IFERROR(ROUND(CORREL('Returns (Calc)'!$H$3:$H$500,'Returns (Calc)'!$K$3:$K$500),2),"")</f>
        <v>-0.3</v>
      </c>
      <c r="L12" s="153" t="n">
        <f aca="false">IFERROR(ROUND(CORREL('Returns (Calc)'!$H$3:$H$500,'Returns (Calc)'!$L$3:$L$500),2),"")</f>
        <v>0.99</v>
      </c>
      <c r="M12" s="153" t="n">
        <f aca="false">IFERROR(ROUND(CORREL('Returns (Calc)'!$H$3:$H$500,'Returns (Calc)'!$M$3:$M$500),2),"")</f>
        <v>0.36</v>
      </c>
      <c r="N12" s="153" t="n">
        <f aca="false">IFERROR(ROUND(CORREL('Returns (Calc)'!$H$3:$H$500,'Returns (Calc)'!$N$3:$N$500),2),"")</f>
        <v>1</v>
      </c>
      <c r="O12" s="153" t="n">
        <f aca="false">IFERROR(ROUND(CORREL('Returns (Calc)'!$H$3:$H$500,'Returns (Calc)'!$O$3:$O$500),2),"")</f>
        <v>-0.41</v>
      </c>
      <c r="P12" s="153" t="n">
        <f aca="false">IFERROR(ROUND(CORREL('Returns (Calc)'!$H$3:$H$500,'Returns (Calc)'!$P$3:$P$500),2),"")</f>
        <v>0.16</v>
      </c>
      <c r="Q12" s="153" t="n">
        <f aca="false">IFERROR(ROUND(CORREL('Returns (Calc)'!$H$3:$H$500,'Returns (Calc)'!$Q$3:$Q$500),2),"")</f>
        <v>-0.92</v>
      </c>
      <c r="R12" s="153" t="n">
        <f aca="false">IFERROR(ROUND(CORREL('Returns (Calc)'!$H$3:$H$500,'Returns (Calc)'!$R$3:$R$500),2),"")</f>
        <v>0.03</v>
      </c>
      <c r="S12" s="153" t="n">
        <f aca="false">IFERROR(ROUND(CORREL('Returns (Calc)'!$H$3:$H$500,'Returns (Calc)'!$S$3:$S$500),2),"")</f>
        <v>0.04</v>
      </c>
      <c r="T12" s="153" t="n">
        <f aca="false">IFERROR(ROUND(CORREL('Returns (Calc)'!$H$3:$H$500,'Returns (Calc)'!$T$3:$T$500),2),"")</f>
        <v>-0.04</v>
      </c>
      <c r="U12" s="153" t="str">
        <f aca="false">IFERROR(ROUND(CORREL('Returns (Calc)'!$H$3:$H$500,'Returns (Calc)'!$U$3:$U$500),2),"")</f>
        <v/>
      </c>
      <c r="V12" s="153" t="n">
        <f aca="false">IFERROR(ROUND(CORREL('Returns (Calc)'!$H$3:$H$500,'Returns (Calc)'!$V$3:$V$500),2),"")</f>
        <v>-0.06</v>
      </c>
      <c r="AG12" s="154" t="n">
        <f aca="false">COUNTIF(B12:V12,"&gt;0.7")-1</f>
        <v>3</v>
      </c>
    </row>
    <row r="13" customFormat="false" ht="15" hidden="false" customHeight="true" outlineLevel="0" collapsed="false">
      <c r="A13" s="152" t="str">
        <f aca="false">'Returns (Calc)'!I2</f>
        <v>KLAC</v>
      </c>
      <c r="B13" s="153" t="n">
        <f aca="false">IFERROR(ROUND(CORREL('Returns (Calc)'!$I$3:$I$500,'Returns (Calc)'!$B$3:$B$500),2),"")</f>
        <v>0</v>
      </c>
      <c r="C13" s="153" t="n">
        <f aca="false">IFERROR(ROUND(CORREL('Returns (Calc)'!$I$3:$I$500,'Returns (Calc)'!$C$3:$C$500),2),"")</f>
        <v>0.4</v>
      </c>
      <c r="D13" s="153" t="n">
        <f aca="false">IFERROR(ROUND(CORREL('Returns (Calc)'!$I$3:$I$500,'Returns (Calc)'!$D$3:$D$500),2),"")</f>
        <v>0.73</v>
      </c>
      <c r="E13" s="153" t="n">
        <f aca="false">IFERROR(ROUND(CORREL('Returns (Calc)'!$I$3:$I$500,'Returns (Calc)'!$E$3:$E$500),2),"")</f>
        <v>0.52</v>
      </c>
      <c r="F13" s="153" t="n">
        <f aca="false">IFERROR(ROUND(CORREL('Returns (Calc)'!$I$3:$I$500,'Returns (Calc)'!$F$3:$F$500),2),"")</f>
        <v>0.4</v>
      </c>
      <c r="G13" s="153" t="n">
        <f aca="false">IFERROR(ROUND(CORREL('Returns (Calc)'!$I$3:$I$500,'Returns (Calc)'!$G$3:$G$500),2),"")</f>
        <v>0.22</v>
      </c>
      <c r="H13" s="153" t="n">
        <f aca="false">IFERROR(ROUND(CORREL('Returns (Calc)'!$I$3:$I$500,'Returns (Calc)'!$H$3:$H$500),2),"")</f>
        <v>0.26</v>
      </c>
      <c r="I13" s="153" t="n">
        <v>1</v>
      </c>
      <c r="J13" s="153" t="n">
        <f aca="false">IFERROR(ROUND(CORREL('Returns (Calc)'!$I$3:$I$500,'Returns (Calc)'!$J$3:$J$500),2),"")</f>
        <v>0.29</v>
      </c>
      <c r="K13" s="153" t="n">
        <f aca="false">IFERROR(ROUND(CORREL('Returns (Calc)'!$I$3:$I$500,'Returns (Calc)'!$K$3:$K$500),2),"")</f>
        <v>0.4</v>
      </c>
      <c r="L13" s="153" t="n">
        <f aca="false">IFERROR(ROUND(CORREL('Returns (Calc)'!$I$3:$I$500,'Returns (Calc)'!$L$3:$L$500),2),"")</f>
        <v>0.3</v>
      </c>
      <c r="M13" s="153" t="n">
        <f aca="false">IFERROR(ROUND(CORREL('Returns (Calc)'!$I$3:$I$500,'Returns (Calc)'!$M$3:$M$500),2),"")</f>
        <v>0.32</v>
      </c>
      <c r="N13" s="153" t="n">
        <f aca="false">IFERROR(ROUND(CORREL('Returns (Calc)'!$I$3:$I$500,'Returns (Calc)'!$N$3:$N$500),2),"")</f>
        <v>0.26</v>
      </c>
      <c r="O13" s="153" t="n">
        <f aca="false">IFERROR(ROUND(CORREL('Returns (Calc)'!$I$3:$I$500,'Returns (Calc)'!$O$3:$O$500),2),"")</f>
        <v>0.48</v>
      </c>
      <c r="P13" s="153" t="n">
        <f aca="false">IFERROR(ROUND(CORREL('Returns (Calc)'!$I$3:$I$500,'Returns (Calc)'!$P$3:$P$500),2),"")</f>
        <v>0.62</v>
      </c>
      <c r="Q13" s="153" t="n">
        <f aca="false">IFERROR(ROUND(CORREL('Returns (Calc)'!$I$3:$I$500,'Returns (Calc)'!$Q$3:$Q$500),2),"")</f>
        <v>-0.23</v>
      </c>
      <c r="R13" s="153" t="n">
        <f aca="false">IFERROR(ROUND(CORREL('Returns (Calc)'!$I$3:$I$500,'Returns (Calc)'!$R$3:$R$500),2),"")</f>
        <v>0.08</v>
      </c>
      <c r="S13" s="153" t="n">
        <f aca="false">IFERROR(ROUND(CORREL('Returns (Calc)'!$I$3:$I$500,'Returns (Calc)'!$S$3:$S$500),2),"")</f>
        <v>0.06</v>
      </c>
      <c r="T13" s="153" t="n">
        <f aca="false">IFERROR(ROUND(CORREL('Returns (Calc)'!$I$3:$I$500,'Returns (Calc)'!$T$3:$T$500),2),"")</f>
        <v>0.04</v>
      </c>
      <c r="U13" s="153" t="str">
        <f aca="false">IFERROR(ROUND(CORREL('Returns (Calc)'!$I$3:$I$500,'Returns (Calc)'!$U$3:$U$500),2),"")</f>
        <v/>
      </c>
      <c r="V13" s="153" t="n">
        <f aca="false">IFERROR(ROUND(CORREL('Returns (Calc)'!$I$3:$I$500,'Returns (Calc)'!$V$3:$V$500),2),"")</f>
        <v>-0.04</v>
      </c>
      <c r="AG13" s="154" t="n">
        <f aca="false">COUNTIF(B13:V13,"&gt;0.7")-1</f>
        <v>1</v>
      </c>
    </row>
    <row r="14" customFormat="false" ht="15" hidden="false" customHeight="true" outlineLevel="0" collapsed="false">
      <c r="A14" s="152" t="str">
        <f aca="false">'Returns (Calc)'!J2</f>
        <v>MU</v>
      </c>
      <c r="B14" s="153" t="n">
        <f aca="false">IFERROR(ROUND(CORREL('Returns (Calc)'!$J$3:$J$500,'Returns (Calc)'!$B$3:$B$500),2),"")</f>
        <v>-0.12</v>
      </c>
      <c r="C14" s="153" t="n">
        <f aca="false">IFERROR(ROUND(CORREL('Returns (Calc)'!$J$3:$J$500,'Returns (Calc)'!$C$3:$C$500),2),"")</f>
        <v>0.32</v>
      </c>
      <c r="D14" s="153" t="n">
        <f aca="false">IFERROR(ROUND(CORREL('Returns (Calc)'!$J$3:$J$500,'Returns (Calc)'!$D$3:$D$500),2),"")</f>
        <v>0.51</v>
      </c>
      <c r="E14" s="153" t="n">
        <f aca="false">IFERROR(ROUND(CORREL('Returns (Calc)'!$J$3:$J$500,'Returns (Calc)'!$E$3:$E$500),2),"")</f>
        <v>0.36</v>
      </c>
      <c r="F14" s="153" t="n">
        <f aca="false">IFERROR(ROUND(CORREL('Returns (Calc)'!$J$3:$J$500,'Returns (Calc)'!$F$3:$F$500),2),"")</f>
        <v>-0.47</v>
      </c>
      <c r="G14" s="153" t="n">
        <f aca="false">IFERROR(ROUND(CORREL('Returns (Calc)'!$J$3:$J$500,'Returns (Calc)'!$G$3:$G$500),2),"")</f>
        <v>0.44</v>
      </c>
      <c r="H14" s="153" t="n">
        <f aca="false">IFERROR(ROUND(CORREL('Returns (Calc)'!$J$3:$J$500,'Returns (Calc)'!$H$3:$H$500),2),"")</f>
        <v>-0.62</v>
      </c>
      <c r="I14" s="153" t="n">
        <f aca="false">IFERROR(ROUND(CORREL('Returns (Calc)'!$J$3:$J$500,'Returns (Calc)'!$I$3:$I$500),2),"")</f>
        <v>0.29</v>
      </c>
      <c r="J14" s="153" t="n">
        <v>1</v>
      </c>
      <c r="K14" s="153" t="n">
        <f aca="false">IFERROR(ROUND(CORREL('Returns (Calc)'!$J$3:$J$500,'Returns (Calc)'!$K$3:$K$500),2),"")</f>
        <v>0.57</v>
      </c>
      <c r="L14" s="153" t="n">
        <f aca="false">IFERROR(ROUND(CORREL('Returns (Calc)'!$J$3:$J$500,'Returns (Calc)'!$L$3:$L$500),2),"")</f>
        <v>-0.59</v>
      </c>
      <c r="M14" s="153" t="n">
        <f aca="false">IFERROR(ROUND(CORREL('Returns (Calc)'!$J$3:$J$500,'Returns (Calc)'!$M$3:$M$500),2),"")</f>
        <v>-0.1</v>
      </c>
      <c r="N14" s="153" t="n">
        <f aca="false">IFERROR(ROUND(CORREL('Returns (Calc)'!$J$3:$J$500,'Returns (Calc)'!$N$3:$N$500),2),"")</f>
        <v>-0.63</v>
      </c>
      <c r="O14" s="153" t="n">
        <f aca="false">IFERROR(ROUND(CORREL('Returns (Calc)'!$J$3:$J$500,'Returns (Calc)'!$O$3:$O$500),2),"")</f>
        <v>0.73</v>
      </c>
      <c r="P14" s="153" t="n">
        <f aca="false">IFERROR(ROUND(CORREL('Returns (Calc)'!$J$3:$J$500,'Returns (Calc)'!$P$3:$P$500),2),"")</f>
        <v>0.56</v>
      </c>
      <c r="Q14" s="153" t="n">
        <f aca="false">IFERROR(ROUND(CORREL('Returns (Calc)'!$J$3:$J$500,'Returns (Calc)'!$Q$3:$Q$500),2),"")</f>
        <v>0.59</v>
      </c>
      <c r="R14" s="153" t="n">
        <f aca="false">IFERROR(ROUND(CORREL('Returns (Calc)'!$J$3:$J$500,'Returns (Calc)'!$R$3:$R$500),2),"")</f>
        <v>0.05</v>
      </c>
      <c r="S14" s="153" t="n">
        <f aca="false">IFERROR(ROUND(CORREL('Returns (Calc)'!$J$3:$J$500,'Returns (Calc)'!$S$3:$S$500),2),"")</f>
        <v>0.04</v>
      </c>
      <c r="T14" s="153" t="n">
        <f aca="false">IFERROR(ROUND(CORREL('Returns (Calc)'!$J$3:$J$500,'Returns (Calc)'!$T$3:$T$500),2),"")</f>
        <v>0.07</v>
      </c>
      <c r="U14" s="153" t="str">
        <f aca="false">IFERROR(ROUND(CORREL('Returns (Calc)'!$J$3:$J$500,'Returns (Calc)'!$U$3:$U$500),2),"")</f>
        <v/>
      </c>
      <c r="V14" s="153" t="n">
        <f aca="false">IFERROR(ROUND(CORREL('Returns (Calc)'!$J$3:$J$500,'Returns (Calc)'!$V$3:$V$500),2),"")</f>
        <v>0.05</v>
      </c>
      <c r="AG14" s="154" t="n">
        <f aca="false">COUNTIF(B14:V14,"&gt;0.7")-1</f>
        <v>1</v>
      </c>
    </row>
    <row r="15" customFormat="false" ht="15" hidden="false" customHeight="true" outlineLevel="0" collapsed="false">
      <c r="A15" s="152" t="str">
        <f aca="false">'Returns (Calc)'!K2</f>
        <v>NVDA</v>
      </c>
      <c r="B15" s="153" t="n">
        <f aca="false">IFERROR(ROUND(CORREL('Returns (Calc)'!$K$3:$K$500,'Returns (Calc)'!$B$3:$B$500),2),"")</f>
        <v>0.12</v>
      </c>
      <c r="C15" s="153" t="n">
        <f aca="false">IFERROR(ROUND(CORREL('Returns (Calc)'!$K$3:$K$500,'Returns (Calc)'!$C$3:$C$500),2),"")</f>
        <v>0.52</v>
      </c>
      <c r="D15" s="153" t="n">
        <f aca="false">IFERROR(ROUND(CORREL('Returns (Calc)'!$K$3:$K$500,'Returns (Calc)'!$D$3:$D$500),2),"")</f>
        <v>0.48</v>
      </c>
      <c r="E15" s="153" t="n">
        <f aca="false">IFERROR(ROUND(CORREL('Returns (Calc)'!$K$3:$K$500,'Returns (Calc)'!$E$3:$E$500),2),"")</f>
        <v>0.59</v>
      </c>
      <c r="F15" s="153" t="n">
        <f aca="false">IFERROR(ROUND(CORREL('Returns (Calc)'!$K$3:$K$500,'Returns (Calc)'!$F$3:$F$500),2),"")</f>
        <v>-0.18</v>
      </c>
      <c r="G15" s="153" t="n">
        <f aca="false">IFERROR(ROUND(CORREL('Returns (Calc)'!$K$3:$K$500,'Returns (Calc)'!$G$3:$G$500),2),"")</f>
        <v>0.51</v>
      </c>
      <c r="H15" s="153" t="n">
        <f aca="false">IFERROR(ROUND(CORREL('Returns (Calc)'!$K$3:$K$500,'Returns (Calc)'!$H$3:$H$500),2),"")</f>
        <v>-0.3</v>
      </c>
      <c r="I15" s="153" t="n">
        <f aca="false">IFERROR(ROUND(CORREL('Returns (Calc)'!$K$3:$K$500,'Returns (Calc)'!$I$3:$I$500),2),"")</f>
        <v>0.4</v>
      </c>
      <c r="J15" s="153" t="n">
        <f aca="false">IFERROR(ROUND(CORREL('Returns (Calc)'!$K$3:$K$500,'Returns (Calc)'!$J$3:$J$500),2),"")</f>
        <v>0.57</v>
      </c>
      <c r="K15" s="153" t="n">
        <v>1</v>
      </c>
      <c r="L15" s="153" t="n">
        <f aca="false">IFERROR(ROUND(CORREL('Returns (Calc)'!$K$3:$K$500,'Returns (Calc)'!$L$3:$L$500),2),"")</f>
        <v>-0.27</v>
      </c>
      <c r="M15" s="153" t="n">
        <f aca="false">IFERROR(ROUND(CORREL('Returns (Calc)'!$K$3:$K$500,'Returns (Calc)'!$M$3:$M$500),2),"")</f>
        <v>0.3</v>
      </c>
      <c r="N15" s="153" t="n">
        <f aca="false">IFERROR(ROUND(CORREL('Returns (Calc)'!$K$3:$K$500,'Returns (Calc)'!$N$3:$N$500),2),"")</f>
        <v>-0.31</v>
      </c>
      <c r="O15" s="153" t="n">
        <f aca="false">IFERROR(ROUND(CORREL('Returns (Calc)'!$K$3:$K$500,'Returns (Calc)'!$O$3:$O$500),2),"")</f>
        <v>0.77</v>
      </c>
      <c r="P15" s="153" t="n">
        <f aca="false">IFERROR(ROUND(CORREL('Returns (Calc)'!$K$3:$K$500,'Returns (Calc)'!$P$3:$P$500),2),"")</f>
        <v>0.64</v>
      </c>
      <c r="Q15" s="153" t="n">
        <f aca="false">IFERROR(ROUND(CORREL('Returns (Calc)'!$K$3:$K$500,'Returns (Calc)'!$Q$3:$Q$500),2),"")</f>
        <v>0.36</v>
      </c>
      <c r="R15" s="153" t="n">
        <f aca="false">IFERROR(ROUND(CORREL('Returns (Calc)'!$K$3:$K$500,'Returns (Calc)'!$R$3:$R$500),2),"")</f>
        <v>0.02</v>
      </c>
      <c r="S15" s="153" t="n">
        <f aca="false">IFERROR(ROUND(CORREL('Returns (Calc)'!$K$3:$K$500,'Returns (Calc)'!$S$3:$S$500),2),"")</f>
        <v>-0.01</v>
      </c>
      <c r="T15" s="153" t="n">
        <f aca="false">IFERROR(ROUND(CORREL('Returns (Calc)'!$K$3:$K$500,'Returns (Calc)'!$T$3:$T$500),2),"")</f>
        <v>0.01</v>
      </c>
      <c r="U15" s="153" t="str">
        <f aca="false">IFERROR(ROUND(CORREL('Returns (Calc)'!$K$3:$K$500,'Returns (Calc)'!$U$3:$U$500),2),"")</f>
        <v/>
      </c>
      <c r="V15" s="153" t="n">
        <f aca="false">IFERROR(ROUND(CORREL('Returns (Calc)'!$K$3:$K$500,'Returns (Calc)'!$V$3:$V$500),2),"")</f>
        <v>-0.04</v>
      </c>
      <c r="AG15" s="154" t="n">
        <f aca="false">COUNTIF(B15:V15,"&gt;0.7")-1</f>
        <v>1</v>
      </c>
    </row>
    <row r="16" customFormat="false" ht="15" hidden="false" customHeight="true" outlineLevel="0" collapsed="false">
      <c r="A16" s="152" t="str">
        <f aca="false">'Returns (Calc)'!L2</f>
        <v>PLD</v>
      </c>
      <c r="B16" s="153" t="n">
        <f aca="false">IFERROR(ROUND(CORREL('Returns (Calc)'!$L$3:$L$500,'Returns (Calc)'!$B$3:$B$500),2),"")</f>
        <v>0.28</v>
      </c>
      <c r="C16" s="153" t="n">
        <f aca="false">IFERROR(ROUND(CORREL('Returns (Calc)'!$L$3:$L$500,'Returns (Calc)'!$C$3:$C$500),2),"")</f>
        <v>-0.04</v>
      </c>
      <c r="D16" s="153" t="n">
        <f aca="false">IFERROR(ROUND(CORREL('Returns (Calc)'!$L$3:$L$500,'Returns (Calc)'!$D$3:$D$500),2),"")</f>
        <v>-0</v>
      </c>
      <c r="E16" s="153" t="n">
        <f aca="false">IFERROR(ROUND(CORREL('Returns (Calc)'!$L$3:$L$500,'Returns (Calc)'!$E$3:$E$500),2),"")</f>
        <v>0.06</v>
      </c>
      <c r="F16" s="153" t="n">
        <f aca="false">IFERROR(ROUND(CORREL('Returns (Calc)'!$L$3:$L$500,'Returns (Calc)'!$F$3:$F$500),2),"")</f>
        <v>0.95</v>
      </c>
      <c r="G16" s="153" t="n">
        <f aca="false">IFERROR(ROUND(CORREL('Returns (Calc)'!$L$3:$L$500,'Returns (Calc)'!$G$3:$G$500),2),"")</f>
        <v>-0.3</v>
      </c>
      <c r="H16" s="153" t="n">
        <f aca="false">IFERROR(ROUND(CORREL('Returns (Calc)'!$L$3:$L$500,'Returns (Calc)'!$H$3:$H$500),2),"")</f>
        <v>0.99</v>
      </c>
      <c r="I16" s="153" t="n">
        <f aca="false">IFERROR(ROUND(CORREL('Returns (Calc)'!$L$3:$L$500,'Returns (Calc)'!$I$3:$I$500),2),"")</f>
        <v>0.3</v>
      </c>
      <c r="J16" s="153" t="n">
        <f aca="false">IFERROR(ROUND(CORREL('Returns (Calc)'!$L$3:$L$500,'Returns (Calc)'!$J$3:$J$500),2),"")</f>
        <v>-0.59</v>
      </c>
      <c r="K16" s="153" t="n">
        <f aca="false">IFERROR(ROUND(CORREL('Returns (Calc)'!$L$3:$L$500,'Returns (Calc)'!$K$3:$K$500),2),"")</f>
        <v>-0.27</v>
      </c>
      <c r="L16" s="153" t="n">
        <v>1</v>
      </c>
      <c r="M16" s="153" t="n">
        <f aca="false">IFERROR(ROUND(CORREL('Returns (Calc)'!$L$3:$L$500,'Returns (Calc)'!$M$3:$M$500),2),"")</f>
        <v>0.37</v>
      </c>
      <c r="N16" s="153" t="n">
        <f aca="false">IFERROR(ROUND(CORREL('Returns (Calc)'!$L$3:$L$500,'Returns (Calc)'!$N$3:$N$500),2),"")</f>
        <v>0.98</v>
      </c>
      <c r="O16" s="153" t="n">
        <f aca="false">IFERROR(ROUND(CORREL('Returns (Calc)'!$L$3:$L$500,'Returns (Calc)'!$O$3:$O$500),2),"")</f>
        <v>-0.35</v>
      </c>
      <c r="P16" s="153" t="n">
        <f aca="false">IFERROR(ROUND(CORREL('Returns (Calc)'!$L$3:$L$500,'Returns (Calc)'!$P$3:$P$500),2),"")</f>
        <v>0.21</v>
      </c>
      <c r="Q16" s="153" t="n">
        <f aca="false">IFERROR(ROUND(CORREL('Returns (Calc)'!$L$3:$L$500,'Returns (Calc)'!$Q$3:$Q$500),2),"")</f>
        <v>-0.88</v>
      </c>
      <c r="R16" s="153" t="n">
        <f aca="false">IFERROR(ROUND(CORREL('Returns (Calc)'!$L$3:$L$500,'Returns (Calc)'!$R$3:$R$500),2),"")</f>
        <v>0.05</v>
      </c>
      <c r="S16" s="153" t="n">
        <f aca="false">IFERROR(ROUND(CORREL('Returns (Calc)'!$L$3:$L$500,'Returns (Calc)'!$S$3:$S$500),2),"")</f>
        <v>0.06</v>
      </c>
      <c r="T16" s="153" t="n">
        <f aca="false">IFERROR(ROUND(CORREL('Returns (Calc)'!$L$3:$L$500,'Returns (Calc)'!$T$3:$T$500),2),"")</f>
        <v>-0.05</v>
      </c>
      <c r="U16" s="153" t="str">
        <f aca="false">IFERROR(ROUND(CORREL('Returns (Calc)'!$L$3:$L$500,'Returns (Calc)'!$U$3:$U$500),2),"")</f>
        <v/>
      </c>
      <c r="V16" s="153" t="n">
        <f aca="false">IFERROR(ROUND(CORREL('Returns (Calc)'!$L$3:$L$500,'Returns (Calc)'!$V$3:$V$500),2),"")</f>
        <v>-0.07</v>
      </c>
      <c r="AG16" s="154" t="n">
        <f aca="false">COUNTIF(B16:V16,"&gt;0.7")-1</f>
        <v>3</v>
      </c>
    </row>
    <row r="17" customFormat="false" ht="15" hidden="false" customHeight="true" outlineLevel="0" collapsed="false">
      <c r="A17" s="152" t="str">
        <f aca="false">'Returns (Calc)'!M2</f>
        <v>PLTR</v>
      </c>
      <c r="B17" s="153" t="n">
        <f aca="false">IFERROR(ROUND(CORREL('Returns (Calc)'!$M$3:$M$500,'Returns (Calc)'!$B$3:$B$500),2),"")</f>
        <v>0.43</v>
      </c>
      <c r="C17" s="153" t="n">
        <f aca="false">IFERROR(ROUND(CORREL('Returns (Calc)'!$M$3:$M$500,'Returns (Calc)'!$C$3:$C$500),2),"")</f>
        <v>0.28</v>
      </c>
      <c r="D17" s="153" t="n">
        <f aca="false">IFERROR(ROUND(CORREL('Returns (Calc)'!$M$3:$M$500,'Returns (Calc)'!$D$3:$D$500),2),"")</f>
        <v>0.17</v>
      </c>
      <c r="E17" s="153" t="n">
        <f aca="false">IFERROR(ROUND(CORREL('Returns (Calc)'!$M$3:$M$500,'Returns (Calc)'!$E$3:$E$500),2),"")</f>
        <v>0.36</v>
      </c>
      <c r="F17" s="153" t="n">
        <f aca="false">IFERROR(ROUND(CORREL('Returns (Calc)'!$M$3:$M$500,'Returns (Calc)'!$F$3:$F$500),2),"")</f>
        <v>0.41</v>
      </c>
      <c r="G17" s="153" t="n">
        <f aca="false">IFERROR(ROUND(CORREL('Returns (Calc)'!$M$3:$M$500,'Returns (Calc)'!$G$3:$G$500),2),"")</f>
        <v>0.33</v>
      </c>
      <c r="H17" s="153" t="n">
        <f aca="false">IFERROR(ROUND(CORREL('Returns (Calc)'!$M$3:$M$500,'Returns (Calc)'!$H$3:$H$500),2),"")</f>
        <v>0.36</v>
      </c>
      <c r="I17" s="153" t="n">
        <f aca="false">IFERROR(ROUND(CORREL('Returns (Calc)'!$M$3:$M$500,'Returns (Calc)'!$I$3:$I$500),2),"")</f>
        <v>0.32</v>
      </c>
      <c r="J17" s="153" t="n">
        <f aca="false">IFERROR(ROUND(CORREL('Returns (Calc)'!$M$3:$M$500,'Returns (Calc)'!$J$3:$J$500),2),"")</f>
        <v>-0.1</v>
      </c>
      <c r="K17" s="153" t="n">
        <f aca="false">IFERROR(ROUND(CORREL('Returns (Calc)'!$M$3:$M$500,'Returns (Calc)'!$K$3:$K$500),2),"")</f>
        <v>0.3</v>
      </c>
      <c r="L17" s="153" t="n">
        <f aca="false">IFERROR(ROUND(CORREL('Returns (Calc)'!$M$3:$M$500,'Returns (Calc)'!$L$3:$L$500),2),"")</f>
        <v>0.37</v>
      </c>
      <c r="M17" s="153" t="n">
        <v>1</v>
      </c>
      <c r="N17" s="153" t="n">
        <f aca="false">IFERROR(ROUND(CORREL('Returns (Calc)'!$M$3:$M$500,'Returns (Calc)'!$N$3:$N$500),2),"")</f>
        <v>0.36</v>
      </c>
      <c r="O17" s="153" t="n">
        <f aca="false">IFERROR(ROUND(CORREL('Returns (Calc)'!$M$3:$M$500,'Returns (Calc)'!$O$3:$O$500),2),"")</f>
        <v>0.22</v>
      </c>
      <c r="P17" s="153" t="n">
        <f aca="false">IFERROR(ROUND(CORREL('Returns (Calc)'!$M$3:$M$500,'Returns (Calc)'!$P$3:$P$500),2),"")</f>
        <v>0.38</v>
      </c>
      <c r="Q17" s="153" t="n">
        <f aca="false">IFERROR(ROUND(CORREL('Returns (Calc)'!$M$3:$M$500,'Returns (Calc)'!$Q$3:$Q$500),2),"")</f>
        <v>-0.25</v>
      </c>
      <c r="R17" s="153" t="n">
        <f aca="false">IFERROR(ROUND(CORREL('Returns (Calc)'!$M$3:$M$500,'Returns (Calc)'!$R$3:$R$500),2),"")</f>
        <v>-0.03</v>
      </c>
      <c r="S17" s="153" t="n">
        <f aca="false">IFERROR(ROUND(CORREL('Returns (Calc)'!$M$3:$M$500,'Returns (Calc)'!$S$3:$S$500),2),"")</f>
        <v>-0.04</v>
      </c>
      <c r="T17" s="153" t="n">
        <f aca="false">IFERROR(ROUND(CORREL('Returns (Calc)'!$M$3:$M$500,'Returns (Calc)'!$T$3:$T$500),2),"")</f>
        <v>-0.04</v>
      </c>
      <c r="U17" s="153" t="str">
        <f aca="false">IFERROR(ROUND(CORREL('Returns (Calc)'!$M$3:$M$500,'Returns (Calc)'!$U$3:$U$500),2),"")</f>
        <v/>
      </c>
      <c r="V17" s="153" t="n">
        <f aca="false">IFERROR(ROUND(CORREL('Returns (Calc)'!$M$3:$M$500,'Returns (Calc)'!$V$3:$V$500),2),"")</f>
        <v>-0.16</v>
      </c>
      <c r="AG17" s="154" t="n">
        <f aca="false">COUNTIF(B17:V17,"&gt;0.7")-1</f>
        <v>0</v>
      </c>
    </row>
    <row r="18" customFormat="false" ht="15" hidden="false" customHeight="true" outlineLevel="0" collapsed="false">
      <c r="A18" s="152" t="str">
        <f aca="false">'Returns (Calc)'!N2</f>
        <v>SCHD</v>
      </c>
      <c r="B18" s="153" t="n">
        <f aca="false">IFERROR(ROUND(CORREL('Returns (Calc)'!$N$3:$N$500,'Returns (Calc)'!$B$3:$B$500),2),"")</f>
        <v>0.25</v>
      </c>
      <c r="C18" s="153" t="n">
        <f aca="false">IFERROR(ROUND(CORREL('Returns (Calc)'!$N$3:$N$500,'Returns (Calc)'!$C$3:$C$500),2),"")</f>
        <v>-0.07</v>
      </c>
      <c r="D18" s="153" t="n">
        <f aca="false">IFERROR(ROUND(CORREL('Returns (Calc)'!$N$3:$N$500,'Returns (Calc)'!$D$3:$D$500),2),"")</f>
        <v>-0.06</v>
      </c>
      <c r="E18" s="153" t="n">
        <f aca="false">IFERROR(ROUND(CORREL('Returns (Calc)'!$N$3:$N$500,'Returns (Calc)'!$E$3:$E$500),2),"")</f>
        <v>0.02</v>
      </c>
      <c r="F18" s="153" t="n">
        <f aca="false">IFERROR(ROUND(CORREL('Returns (Calc)'!$N$3:$N$500,'Returns (Calc)'!$F$3:$F$500),2),"")</f>
        <v>0.92</v>
      </c>
      <c r="G18" s="153" t="n">
        <f aca="false">IFERROR(ROUND(CORREL('Returns (Calc)'!$N$3:$N$500,'Returns (Calc)'!$G$3:$G$500),2),"")</f>
        <v>-0.32</v>
      </c>
      <c r="H18" s="153" t="n">
        <f aca="false">IFERROR(ROUND(CORREL('Returns (Calc)'!$N$3:$N$500,'Returns (Calc)'!$H$3:$H$500),2),"")</f>
        <v>1</v>
      </c>
      <c r="I18" s="153" t="n">
        <f aca="false">IFERROR(ROUND(CORREL('Returns (Calc)'!$N$3:$N$500,'Returns (Calc)'!$I$3:$I$500),2),"")</f>
        <v>0.26</v>
      </c>
      <c r="J18" s="153" t="n">
        <f aca="false">IFERROR(ROUND(CORREL('Returns (Calc)'!$N$3:$N$500,'Returns (Calc)'!$J$3:$J$500),2),"")</f>
        <v>-0.63</v>
      </c>
      <c r="K18" s="153" t="n">
        <f aca="false">IFERROR(ROUND(CORREL('Returns (Calc)'!$N$3:$N$500,'Returns (Calc)'!$K$3:$K$500),2),"")</f>
        <v>-0.31</v>
      </c>
      <c r="L18" s="153" t="n">
        <f aca="false">IFERROR(ROUND(CORREL('Returns (Calc)'!$N$3:$N$500,'Returns (Calc)'!$L$3:$L$500),2),"")</f>
        <v>0.98</v>
      </c>
      <c r="M18" s="153" t="n">
        <f aca="false">IFERROR(ROUND(CORREL('Returns (Calc)'!$N$3:$N$500,'Returns (Calc)'!$M$3:$M$500),2),"")</f>
        <v>0.36</v>
      </c>
      <c r="N18" s="153" t="n">
        <v>1</v>
      </c>
      <c r="O18" s="153" t="n">
        <f aca="false">IFERROR(ROUND(CORREL('Returns (Calc)'!$N$3:$N$500,'Returns (Calc)'!$O$3:$O$500),2),"")</f>
        <v>-0.42</v>
      </c>
      <c r="P18" s="153" t="n">
        <f aca="false">IFERROR(ROUND(CORREL('Returns (Calc)'!$N$3:$N$500,'Returns (Calc)'!$P$3:$P$500),2),"")</f>
        <v>0.22</v>
      </c>
      <c r="Q18" s="153" t="n">
        <f aca="false">IFERROR(ROUND(CORREL('Returns (Calc)'!$N$3:$N$500,'Returns (Calc)'!$Q$3:$Q$500),2),"")</f>
        <v>-0.92</v>
      </c>
      <c r="R18" s="153" t="n">
        <f aca="false">IFERROR(ROUND(CORREL('Returns (Calc)'!$N$3:$N$500,'Returns (Calc)'!$R$3:$R$500),2),"")</f>
        <v>0.02</v>
      </c>
      <c r="S18" s="153" t="n">
        <f aca="false">IFERROR(ROUND(CORREL('Returns (Calc)'!$N$3:$N$500,'Returns (Calc)'!$S$3:$S$500),2),"")</f>
        <v>0.04</v>
      </c>
      <c r="T18" s="153" t="n">
        <f aca="false">IFERROR(ROUND(CORREL('Returns (Calc)'!$N$3:$N$500,'Returns (Calc)'!$T$3:$T$500),2),"")</f>
        <v>-0.04</v>
      </c>
      <c r="U18" s="153" t="str">
        <f aca="false">IFERROR(ROUND(CORREL('Returns (Calc)'!$N$3:$N$500,'Returns (Calc)'!$U$3:$U$500),2),"")</f>
        <v/>
      </c>
      <c r="V18" s="153" t="n">
        <f aca="false">IFERROR(ROUND(CORREL('Returns (Calc)'!$N$3:$N$500,'Returns (Calc)'!$V$3:$V$500),2),"")</f>
        <v>-0.06</v>
      </c>
      <c r="AG18" s="154" t="n">
        <f aca="false">COUNTIF(B18:V18,"&gt;0.7")-1</f>
        <v>3</v>
      </c>
    </row>
    <row r="19" customFormat="false" ht="15" hidden="false" customHeight="true" outlineLevel="0" collapsed="false">
      <c r="A19" s="152" t="str">
        <f aca="false">'Returns (Calc)'!O2</f>
        <v>SPMO</v>
      </c>
      <c r="B19" s="153" t="n">
        <f aca="false">IFERROR(ROUND(CORREL('Returns (Calc)'!$O$3:$O$500,'Returns (Calc)'!$B$3:$B$500),2),"")</f>
        <v>0.1</v>
      </c>
      <c r="C19" s="153" t="n">
        <f aca="false">IFERROR(ROUND(CORREL('Returns (Calc)'!$O$3:$O$500,'Returns (Calc)'!$C$3:$C$500),2),"")</f>
        <v>0.61</v>
      </c>
      <c r="D19" s="153" t="n">
        <f aca="false">IFERROR(ROUND(CORREL('Returns (Calc)'!$O$3:$O$500,'Returns (Calc)'!$D$3:$D$500),2),"")</f>
        <v>0.58</v>
      </c>
      <c r="E19" s="153" t="n">
        <f aca="false">IFERROR(ROUND(CORREL('Returns (Calc)'!$O$3:$O$500,'Returns (Calc)'!$E$3:$E$500),2),"")</f>
        <v>0.66</v>
      </c>
      <c r="F19" s="153" t="n">
        <f aca="false">IFERROR(ROUND(CORREL('Returns (Calc)'!$O$3:$O$500,'Returns (Calc)'!$F$3:$F$500),2),"")</f>
        <v>-0.21</v>
      </c>
      <c r="G19" s="153" t="n">
        <f aca="false">IFERROR(ROUND(CORREL('Returns (Calc)'!$O$3:$O$500,'Returns (Calc)'!$G$3:$G$500),2),"")</f>
        <v>0.58</v>
      </c>
      <c r="H19" s="153" t="n">
        <f aca="false">IFERROR(ROUND(CORREL('Returns (Calc)'!$O$3:$O$500,'Returns (Calc)'!$H$3:$H$500),2),"")</f>
        <v>-0.41</v>
      </c>
      <c r="I19" s="153" t="n">
        <f aca="false">IFERROR(ROUND(CORREL('Returns (Calc)'!$O$3:$O$500,'Returns (Calc)'!$I$3:$I$500),2),"")</f>
        <v>0.48</v>
      </c>
      <c r="J19" s="153" t="n">
        <f aca="false">IFERROR(ROUND(CORREL('Returns (Calc)'!$O$3:$O$500,'Returns (Calc)'!$J$3:$J$500),2),"")</f>
        <v>0.73</v>
      </c>
      <c r="K19" s="153" t="n">
        <f aca="false">IFERROR(ROUND(CORREL('Returns (Calc)'!$O$3:$O$500,'Returns (Calc)'!$K$3:$K$500),2),"")</f>
        <v>0.77</v>
      </c>
      <c r="L19" s="153" t="n">
        <f aca="false">IFERROR(ROUND(CORREL('Returns (Calc)'!$O$3:$O$500,'Returns (Calc)'!$L$3:$L$500),2),"")</f>
        <v>-0.35</v>
      </c>
      <c r="M19" s="153" t="n">
        <f aca="false">IFERROR(ROUND(CORREL('Returns (Calc)'!$O$3:$O$500,'Returns (Calc)'!$M$3:$M$500),2),"")</f>
        <v>0.22</v>
      </c>
      <c r="N19" s="153" t="n">
        <f aca="false">IFERROR(ROUND(CORREL('Returns (Calc)'!$O$3:$O$500,'Returns (Calc)'!$N$3:$N$500),2),"")</f>
        <v>-0.42</v>
      </c>
      <c r="O19" s="153" t="n">
        <v>1</v>
      </c>
      <c r="P19" s="153" t="n">
        <f aca="false">IFERROR(ROUND(CORREL('Returns (Calc)'!$O$3:$O$500,'Returns (Calc)'!$P$3:$P$500),2),"")</f>
        <v>0.7</v>
      </c>
      <c r="Q19" s="153" t="n">
        <f aca="false">IFERROR(ROUND(CORREL('Returns (Calc)'!$O$3:$O$500,'Returns (Calc)'!$Q$3:$Q$500),2),"")</f>
        <v>0.52</v>
      </c>
      <c r="R19" s="153" t="n">
        <f aca="false">IFERROR(ROUND(CORREL('Returns (Calc)'!$O$3:$O$500,'Returns (Calc)'!$R$3:$R$500),2),"")</f>
        <v>0.05</v>
      </c>
      <c r="S19" s="153" t="n">
        <f aca="false">IFERROR(ROUND(CORREL('Returns (Calc)'!$O$3:$O$500,'Returns (Calc)'!$S$3:$S$500),2),"")</f>
        <v>-0.01</v>
      </c>
      <c r="T19" s="153" t="n">
        <f aca="false">IFERROR(ROUND(CORREL('Returns (Calc)'!$O$3:$O$500,'Returns (Calc)'!$T$3:$T$500),2),"")</f>
        <v>-0.01</v>
      </c>
      <c r="U19" s="153" t="str">
        <f aca="false">IFERROR(ROUND(CORREL('Returns (Calc)'!$O$3:$O$500,'Returns (Calc)'!$U$3:$U$500),2),"")</f>
        <v/>
      </c>
      <c r="V19" s="153" t="n">
        <f aca="false">IFERROR(ROUND(CORREL('Returns (Calc)'!$O$3:$O$500,'Returns (Calc)'!$V$3:$V$500),2),"")</f>
        <v>-0.08</v>
      </c>
      <c r="AG19" s="154" t="n">
        <f aca="false">COUNTIF(B19:V19,"&gt;0.7")-1</f>
        <v>2</v>
      </c>
    </row>
    <row r="20" customFormat="false" ht="15" hidden="false" customHeight="true" outlineLevel="0" collapsed="false">
      <c r="A20" s="152" t="str">
        <f aca="false">'Returns (Calc)'!P2</f>
        <v>TSM</v>
      </c>
      <c r="B20" s="153" t="n">
        <f aca="false">IFERROR(ROUND(CORREL('Returns (Calc)'!$P$3:$P$500,'Returns (Calc)'!$B$3:$B$500),2),"")</f>
        <v>0.15</v>
      </c>
      <c r="C20" s="153" t="n">
        <f aca="false">IFERROR(ROUND(CORREL('Returns (Calc)'!$P$3:$P$500,'Returns (Calc)'!$C$3:$C$500),2),"")</f>
        <v>0.55</v>
      </c>
      <c r="D20" s="153" t="n">
        <f aca="false">IFERROR(ROUND(CORREL('Returns (Calc)'!$P$3:$P$500,'Returns (Calc)'!$D$3:$D$500),2),"")</f>
        <v>0.63</v>
      </c>
      <c r="E20" s="153" t="n">
        <f aca="false">IFERROR(ROUND(CORREL('Returns (Calc)'!$P$3:$P$500,'Returns (Calc)'!$E$3:$E$500),2),"")</f>
        <v>0.63</v>
      </c>
      <c r="F20" s="153" t="n">
        <f aca="false">IFERROR(ROUND(CORREL('Returns (Calc)'!$P$3:$P$500,'Returns (Calc)'!$F$3:$F$500),2),"")</f>
        <v>0.33</v>
      </c>
      <c r="G20" s="153" t="n">
        <f aca="false">IFERROR(ROUND(CORREL('Returns (Calc)'!$P$3:$P$500,'Returns (Calc)'!$G$3:$G$500),2),"")</f>
        <v>0.38</v>
      </c>
      <c r="H20" s="153" t="n">
        <f aca="false">IFERROR(ROUND(CORREL('Returns (Calc)'!$P$3:$P$500,'Returns (Calc)'!$H$3:$H$500),2),"")</f>
        <v>0.16</v>
      </c>
      <c r="I20" s="153" t="n">
        <f aca="false">IFERROR(ROUND(CORREL('Returns (Calc)'!$P$3:$P$500,'Returns (Calc)'!$I$3:$I$500),2),"")</f>
        <v>0.62</v>
      </c>
      <c r="J20" s="153" t="n">
        <f aca="false">IFERROR(ROUND(CORREL('Returns (Calc)'!$P$3:$P$500,'Returns (Calc)'!$J$3:$J$500),2),"")</f>
        <v>0.56</v>
      </c>
      <c r="K20" s="153" t="n">
        <f aca="false">IFERROR(ROUND(CORREL('Returns (Calc)'!$P$3:$P$500,'Returns (Calc)'!$K$3:$K$500),2),"")</f>
        <v>0.64</v>
      </c>
      <c r="L20" s="153" t="n">
        <f aca="false">IFERROR(ROUND(CORREL('Returns (Calc)'!$P$3:$P$500,'Returns (Calc)'!$L$3:$L$500),2),"")</f>
        <v>0.21</v>
      </c>
      <c r="M20" s="153" t="n">
        <f aca="false">IFERROR(ROUND(CORREL('Returns (Calc)'!$P$3:$P$500,'Returns (Calc)'!$M$3:$M$500),2),"")</f>
        <v>0.38</v>
      </c>
      <c r="N20" s="153" t="n">
        <f aca="false">IFERROR(ROUND(CORREL('Returns (Calc)'!$P$3:$P$500,'Returns (Calc)'!$N$3:$N$500),2),"")</f>
        <v>0.22</v>
      </c>
      <c r="O20" s="153" t="n">
        <f aca="false">IFERROR(ROUND(CORREL('Returns (Calc)'!$P$3:$P$500,'Returns (Calc)'!$O$3:$O$500),2),"")</f>
        <v>0.7</v>
      </c>
      <c r="P20" s="153" t="n">
        <v>1</v>
      </c>
      <c r="Q20" s="153" t="n">
        <f aca="false">IFERROR(ROUND(CORREL('Returns (Calc)'!$P$3:$P$500,'Returns (Calc)'!$Q$3:$Q$500),2),"")</f>
        <v>0.14</v>
      </c>
      <c r="R20" s="153" t="n">
        <f aca="false">IFERROR(ROUND(CORREL('Returns (Calc)'!$P$3:$P$500,'Returns (Calc)'!$R$3:$R$500),2),"")</f>
        <v>0.03</v>
      </c>
      <c r="S20" s="153" t="n">
        <f aca="false">IFERROR(ROUND(CORREL('Returns (Calc)'!$P$3:$P$500,'Returns (Calc)'!$S$3:$S$500),2),"")</f>
        <v>0.01</v>
      </c>
      <c r="T20" s="153" t="n">
        <f aca="false">IFERROR(ROUND(CORREL('Returns (Calc)'!$P$3:$P$500,'Returns (Calc)'!$T$3:$T$500),2),"")</f>
        <v>0.02</v>
      </c>
      <c r="U20" s="153" t="str">
        <f aca="false">IFERROR(ROUND(CORREL('Returns (Calc)'!$P$3:$P$500,'Returns (Calc)'!$U$3:$U$500),2),"")</f>
        <v/>
      </c>
      <c r="V20" s="153" t="n">
        <f aca="false">IFERROR(ROUND(CORREL('Returns (Calc)'!$P$3:$P$500,'Returns (Calc)'!$V$3:$V$500),2),"")</f>
        <v>0.05</v>
      </c>
      <c r="AG20" s="154" t="n">
        <f aca="false">COUNTIF(B20:V20,"&gt;0.7")-1</f>
        <v>0</v>
      </c>
    </row>
    <row r="21" customFormat="false" ht="15" hidden="false" customHeight="true" outlineLevel="0" collapsed="false">
      <c r="A21" s="152" t="str">
        <f aca="false">'Returns (Calc)'!Q2</f>
        <v>V</v>
      </c>
      <c r="B21" s="153" t="n">
        <f aca="false">IFERROR(ROUND(CORREL('Returns (Calc)'!$Q$3:$Q$500,'Returns (Calc)'!$B$3:$B$500),2),"")</f>
        <v>-0.08</v>
      </c>
      <c r="C21" s="153" t="n">
        <f aca="false">IFERROR(ROUND(CORREL('Returns (Calc)'!$Q$3:$Q$500,'Returns (Calc)'!$C$3:$C$500),2),"")</f>
        <v>0.17</v>
      </c>
      <c r="D21" s="153" t="n">
        <f aca="false">IFERROR(ROUND(CORREL('Returns (Calc)'!$Q$3:$Q$500,'Returns (Calc)'!$D$3:$D$500),2),"")</f>
        <v>0.07</v>
      </c>
      <c r="E21" s="153" t="n">
        <f aca="false">IFERROR(ROUND(CORREL('Returns (Calc)'!$Q$3:$Q$500,'Returns (Calc)'!$E$3:$E$500),2),"")</f>
        <v>0.06</v>
      </c>
      <c r="F21" s="153" t="n">
        <f aca="false">IFERROR(ROUND(CORREL('Returns (Calc)'!$Q$3:$Q$500,'Returns (Calc)'!$F$3:$F$500),2),"")</f>
        <v>-0.8</v>
      </c>
      <c r="G21" s="153" t="n">
        <f aca="false">IFERROR(ROUND(CORREL('Returns (Calc)'!$Q$3:$Q$500,'Returns (Calc)'!$G$3:$G$500),2),"")</f>
        <v>0.4</v>
      </c>
      <c r="H21" s="153" t="n">
        <f aca="false">IFERROR(ROUND(CORREL('Returns (Calc)'!$Q$3:$Q$500,'Returns (Calc)'!$H$3:$H$500),2),"")</f>
        <v>-0.92</v>
      </c>
      <c r="I21" s="153" t="n">
        <f aca="false">IFERROR(ROUND(CORREL('Returns (Calc)'!$Q$3:$Q$500,'Returns (Calc)'!$I$3:$I$500),2),"")</f>
        <v>-0.23</v>
      </c>
      <c r="J21" s="153" t="n">
        <f aca="false">IFERROR(ROUND(CORREL('Returns (Calc)'!$Q$3:$Q$500,'Returns (Calc)'!$J$3:$J$500),2),"")</f>
        <v>0.59</v>
      </c>
      <c r="K21" s="153" t="n">
        <f aca="false">IFERROR(ROUND(CORREL('Returns (Calc)'!$Q$3:$Q$500,'Returns (Calc)'!$K$3:$K$500),2),"")</f>
        <v>0.36</v>
      </c>
      <c r="L21" s="153" t="n">
        <f aca="false">IFERROR(ROUND(CORREL('Returns (Calc)'!$Q$3:$Q$500,'Returns (Calc)'!$L$3:$L$500),2),"")</f>
        <v>-0.88</v>
      </c>
      <c r="M21" s="153" t="n">
        <f aca="false">IFERROR(ROUND(CORREL('Returns (Calc)'!$Q$3:$Q$500,'Returns (Calc)'!$M$3:$M$500),2),"")</f>
        <v>-0.25</v>
      </c>
      <c r="N21" s="153" t="n">
        <f aca="false">IFERROR(ROUND(CORREL('Returns (Calc)'!$Q$3:$Q$500,'Returns (Calc)'!$N$3:$N$500),2),"")</f>
        <v>-0.92</v>
      </c>
      <c r="O21" s="153" t="n">
        <f aca="false">IFERROR(ROUND(CORREL('Returns (Calc)'!$Q$3:$Q$500,'Returns (Calc)'!$O$3:$O$500),2),"")</f>
        <v>0.52</v>
      </c>
      <c r="P21" s="153" t="n">
        <f aca="false">IFERROR(ROUND(CORREL('Returns (Calc)'!$Q$3:$Q$500,'Returns (Calc)'!$P$3:$P$500),2),"")</f>
        <v>0.14</v>
      </c>
      <c r="Q21" s="153" t="n">
        <v>1</v>
      </c>
      <c r="R21" s="153" t="n">
        <f aca="false">IFERROR(ROUND(CORREL('Returns (Calc)'!$Q$3:$Q$500,'Returns (Calc)'!$R$3:$R$500),2),"")</f>
        <v>-0.02</v>
      </c>
      <c r="S21" s="153" t="n">
        <f aca="false">IFERROR(ROUND(CORREL('Returns (Calc)'!$Q$3:$Q$500,'Returns (Calc)'!$S$3:$S$500),2),"")</f>
        <v>-0.06</v>
      </c>
      <c r="T21" s="153" t="n">
        <f aca="false">IFERROR(ROUND(CORREL('Returns (Calc)'!$Q$3:$Q$500,'Returns (Calc)'!$T$3:$T$500),2),"")</f>
        <v>0.02</v>
      </c>
      <c r="U21" s="153" t="str">
        <f aca="false">IFERROR(ROUND(CORREL('Returns (Calc)'!$Q$3:$Q$500,'Returns (Calc)'!$U$3:$U$500),2),"")</f>
        <v/>
      </c>
      <c r="V21" s="153" t="n">
        <f aca="false">IFERROR(ROUND(CORREL('Returns (Calc)'!$Q$3:$Q$500,'Returns (Calc)'!$V$3:$V$500),2),"")</f>
        <v>-0.02</v>
      </c>
      <c r="AG21" s="154" t="n">
        <f aca="false">COUNTIF(B21:V21,"&gt;0.7")-1</f>
        <v>0</v>
      </c>
    </row>
    <row r="22" customFormat="false" ht="15" hidden="false" customHeight="true" outlineLevel="0" collapsed="false">
      <c r="A22" s="152" t="str">
        <f aca="false">'Returns (Calc)'!R2</f>
        <v>JEPQ</v>
      </c>
      <c r="B22" s="153" t="n">
        <f aca="false">IFERROR(ROUND(CORREL('Returns (Calc)'!$R$3:$R$500,'Returns (Calc)'!$B$3:$B$500),2),"")</f>
        <v>-0.06</v>
      </c>
      <c r="C22" s="153" t="n">
        <f aca="false">IFERROR(ROUND(CORREL('Returns (Calc)'!$R$3:$R$500,'Returns (Calc)'!$C$3:$C$500),2),"")</f>
        <v>0.01</v>
      </c>
      <c r="D22" s="153" t="n">
        <f aca="false">IFERROR(ROUND(CORREL('Returns (Calc)'!$R$3:$R$500,'Returns (Calc)'!$D$3:$D$500),2),"")</f>
        <v>0.05</v>
      </c>
      <c r="E22" s="153" t="n">
        <f aca="false">IFERROR(ROUND(CORREL('Returns (Calc)'!$R$3:$R$500,'Returns (Calc)'!$E$3:$E$500),2),"")</f>
        <v>0.04</v>
      </c>
      <c r="F22" s="153" t="n">
        <f aca="false">IFERROR(ROUND(CORREL('Returns (Calc)'!$R$3:$R$500,'Returns (Calc)'!$F$3:$F$500),2),"")</f>
        <v>0.05</v>
      </c>
      <c r="G22" s="153" t="n">
        <f aca="false">IFERROR(ROUND(CORREL('Returns (Calc)'!$R$3:$R$500,'Returns (Calc)'!$G$3:$G$500),2),"")</f>
        <v>0.07</v>
      </c>
      <c r="H22" s="153" t="n">
        <f aca="false">IFERROR(ROUND(CORREL('Returns (Calc)'!$R$3:$R$500,'Returns (Calc)'!$H$3:$H$500),2),"")</f>
        <v>0.03</v>
      </c>
      <c r="I22" s="153" t="n">
        <f aca="false">IFERROR(ROUND(CORREL('Returns (Calc)'!$R$3:$R$500,'Returns (Calc)'!$I$3:$I$500),2),"")</f>
        <v>0.08</v>
      </c>
      <c r="J22" s="153" t="n">
        <f aca="false">IFERROR(ROUND(CORREL('Returns (Calc)'!$R$3:$R$500,'Returns (Calc)'!$J$3:$J$500),2),"")</f>
        <v>0.05</v>
      </c>
      <c r="K22" s="153" t="n">
        <f aca="false">IFERROR(ROUND(CORREL('Returns (Calc)'!$R$3:$R$500,'Returns (Calc)'!$K$3:$K$500),2),"")</f>
        <v>0.02</v>
      </c>
      <c r="L22" s="153" t="n">
        <f aca="false">IFERROR(ROUND(CORREL('Returns (Calc)'!$R$3:$R$500,'Returns (Calc)'!$L$3:$L$500),2),"")</f>
        <v>0.05</v>
      </c>
      <c r="M22" s="153" t="n">
        <f aca="false">IFERROR(ROUND(CORREL('Returns (Calc)'!$R$3:$R$500,'Returns (Calc)'!$M$3:$M$500),2),"")</f>
        <v>-0.03</v>
      </c>
      <c r="N22" s="153" t="n">
        <f aca="false">IFERROR(ROUND(CORREL('Returns (Calc)'!$R$3:$R$500,'Returns (Calc)'!$N$3:$N$500),2),"")</f>
        <v>0.02</v>
      </c>
      <c r="O22" s="153" t="n">
        <f aca="false">IFERROR(ROUND(CORREL('Returns (Calc)'!$R$3:$R$500,'Returns (Calc)'!$O$3:$O$500),2),"")</f>
        <v>0.05</v>
      </c>
      <c r="P22" s="153" t="n">
        <f aca="false">IFERROR(ROUND(CORREL('Returns (Calc)'!$R$3:$R$500,'Returns (Calc)'!$P$3:$P$500),2),"")</f>
        <v>0.03</v>
      </c>
      <c r="Q22" s="153" t="n">
        <f aca="false">IFERROR(ROUND(CORREL('Returns (Calc)'!$R$3:$R$500,'Returns (Calc)'!$Q$3:$Q$500),2),"")</f>
        <v>-0.02</v>
      </c>
      <c r="R22" s="153" t="n">
        <v>1</v>
      </c>
      <c r="S22" s="153" t="n">
        <f aca="false">IFERROR(ROUND(CORREL('Returns (Calc)'!$R$3:$R$500,'Returns (Calc)'!$S$3:$S$500),2),"")</f>
        <v>0.88</v>
      </c>
      <c r="T22" s="153" t="n">
        <f aca="false">IFERROR(ROUND(CORREL('Returns (Calc)'!$R$3:$R$500,'Returns (Calc)'!$T$3:$T$500),2),"")</f>
        <v>0.57</v>
      </c>
      <c r="U22" s="153" t="str">
        <f aca="false">IFERROR(ROUND(CORREL('Returns (Calc)'!$R$3:$R$500,'Returns (Calc)'!$U$3:$U$500),2),"")</f>
        <v/>
      </c>
      <c r="V22" s="153" t="n">
        <f aca="false">IFERROR(ROUND(CORREL('Returns (Calc)'!$R$3:$R$500,'Returns (Calc)'!$V$3:$V$500),2),"")</f>
        <v>0.44</v>
      </c>
      <c r="AG22" s="154" t="n">
        <f aca="false">COUNTIF(B22:V22,"&gt;0.7")-1</f>
        <v>1</v>
      </c>
    </row>
    <row r="23" customFormat="false" ht="15" hidden="false" customHeight="true" outlineLevel="0" collapsed="false">
      <c r="A23" s="152" t="str">
        <f aca="false">'Returns (Calc)'!S2</f>
        <v>SPMO</v>
      </c>
      <c r="B23" s="153" t="n">
        <f aca="false">IFERROR(ROUND(CORREL('Returns (Calc)'!$S$3:$S$500,'Returns (Calc)'!$B$3:$B$500),2),"")</f>
        <v>-0.14</v>
      </c>
      <c r="C23" s="153" t="n">
        <f aca="false">IFERROR(ROUND(CORREL('Returns (Calc)'!$S$3:$S$500,'Returns (Calc)'!$C$3:$C$500),2),"")</f>
        <v>-0.04</v>
      </c>
      <c r="D23" s="153" t="n">
        <f aca="false">IFERROR(ROUND(CORREL('Returns (Calc)'!$S$3:$S$500,'Returns (Calc)'!$D$3:$D$500),2),"")</f>
        <v>0.02</v>
      </c>
      <c r="E23" s="153" t="n">
        <f aca="false">IFERROR(ROUND(CORREL('Returns (Calc)'!$S$3:$S$500,'Returns (Calc)'!$E$3:$E$500),2),"")</f>
        <v>0.03</v>
      </c>
      <c r="F23" s="153" t="n">
        <f aca="false">IFERROR(ROUND(CORREL('Returns (Calc)'!$S$3:$S$500,'Returns (Calc)'!$F$3:$F$500),2),"")</f>
        <v>0.07</v>
      </c>
      <c r="G23" s="153" t="n">
        <f aca="false">IFERROR(ROUND(CORREL('Returns (Calc)'!$S$3:$S$500,'Returns (Calc)'!$G$3:$G$500),2),"")</f>
        <v>0.06</v>
      </c>
      <c r="H23" s="153" t="n">
        <f aca="false">IFERROR(ROUND(CORREL('Returns (Calc)'!$S$3:$S$500,'Returns (Calc)'!$H$3:$H$500),2),"")</f>
        <v>0.04</v>
      </c>
      <c r="I23" s="153" t="n">
        <f aca="false">IFERROR(ROUND(CORREL('Returns (Calc)'!$S$3:$S$500,'Returns (Calc)'!$I$3:$I$500),2),"")</f>
        <v>0.06</v>
      </c>
      <c r="J23" s="153" t="n">
        <f aca="false">IFERROR(ROUND(CORREL('Returns (Calc)'!$S$3:$S$500,'Returns (Calc)'!$J$3:$J$500),2),"")</f>
        <v>0.04</v>
      </c>
      <c r="K23" s="153" t="n">
        <f aca="false">IFERROR(ROUND(CORREL('Returns (Calc)'!$S$3:$S$500,'Returns (Calc)'!$K$3:$K$500),2),"")</f>
        <v>-0.01</v>
      </c>
      <c r="L23" s="153" t="n">
        <f aca="false">IFERROR(ROUND(CORREL('Returns (Calc)'!$S$3:$S$500,'Returns (Calc)'!$L$3:$L$500),2),"")</f>
        <v>0.06</v>
      </c>
      <c r="M23" s="153" t="n">
        <f aca="false">IFERROR(ROUND(CORREL('Returns (Calc)'!$S$3:$S$500,'Returns (Calc)'!$M$3:$M$500),2),"")</f>
        <v>-0.04</v>
      </c>
      <c r="N23" s="153" t="n">
        <f aca="false">IFERROR(ROUND(CORREL('Returns (Calc)'!$S$3:$S$500,'Returns (Calc)'!$N$3:$N$500),2),"")</f>
        <v>0.04</v>
      </c>
      <c r="O23" s="153" t="n">
        <f aca="false">IFERROR(ROUND(CORREL('Returns (Calc)'!$S$3:$S$500,'Returns (Calc)'!$O$3:$O$500),2),"")</f>
        <v>-0.01</v>
      </c>
      <c r="P23" s="153" t="n">
        <f aca="false">IFERROR(ROUND(CORREL('Returns (Calc)'!$S$3:$S$500,'Returns (Calc)'!$P$3:$P$500),2),"")</f>
        <v>0.01</v>
      </c>
      <c r="Q23" s="153" t="n">
        <f aca="false">IFERROR(ROUND(CORREL('Returns (Calc)'!$S$3:$S$500,'Returns (Calc)'!$Q$3:$Q$500),2),"")</f>
        <v>-0.06</v>
      </c>
      <c r="R23" s="153" t="n">
        <f aca="false">IFERROR(ROUND(CORREL('Returns (Calc)'!$S$3:$S$500,'Returns (Calc)'!$R$3:$R$500),2),"")</f>
        <v>0.88</v>
      </c>
      <c r="S23" s="153" t="n">
        <v>1</v>
      </c>
      <c r="T23" s="153" t="n">
        <f aca="false">IFERROR(ROUND(CORREL('Returns (Calc)'!$S$3:$S$500,'Returns (Calc)'!$T$3:$T$500),2),"")</f>
        <v>0.52</v>
      </c>
      <c r="U23" s="153" t="str">
        <f aca="false">IFERROR(ROUND(CORREL('Returns (Calc)'!$S$3:$S$500,'Returns (Calc)'!$U$3:$U$500),2),"")</f>
        <v/>
      </c>
      <c r="V23" s="153" t="n">
        <f aca="false">IFERROR(ROUND(CORREL('Returns (Calc)'!$S$3:$S$500,'Returns (Calc)'!$V$3:$V$500),2),"")</f>
        <v>0.42</v>
      </c>
      <c r="AG23" s="154" t="n">
        <f aca="false">COUNTIF(B23:V23,"&gt;0.7")-1</f>
        <v>1</v>
      </c>
    </row>
    <row r="24" customFormat="false" ht="15" hidden="false" customHeight="true" outlineLevel="0" collapsed="false">
      <c r="A24" s="152" t="str">
        <f aca="false">'Returns (Calc)'!T2</f>
        <v>VFLO</v>
      </c>
      <c r="B24" s="153" t="n">
        <f aca="false">IFERROR(ROUND(CORREL('Returns (Calc)'!$T$3:$T$500,'Returns (Calc)'!$B$3:$B$500),2),"")</f>
        <v>-0.1</v>
      </c>
      <c r="C24" s="153" t="n">
        <f aca="false">IFERROR(ROUND(CORREL('Returns (Calc)'!$T$3:$T$500,'Returns (Calc)'!$C$3:$C$500),2),"")</f>
        <v>0</v>
      </c>
      <c r="D24" s="153" t="n">
        <f aca="false">IFERROR(ROUND(CORREL('Returns (Calc)'!$T$3:$T$500,'Returns (Calc)'!$D$3:$D$500),2),"")</f>
        <v>0.09</v>
      </c>
      <c r="E24" s="153" t="n">
        <f aca="false">IFERROR(ROUND(CORREL('Returns (Calc)'!$T$3:$T$500,'Returns (Calc)'!$E$3:$E$500),2),"")</f>
        <v>0.01</v>
      </c>
      <c r="F24" s="153" t="n">
        <f aca="false">IFERROR(ROUND(CORREL('Returns (Calc)'!$T$3:$T$500,'Returns (Calc)'!$F$3:$F$500),2),"")</f>
        <v>-0.04</v>
      </c>
      <c r="G24" s="153" t="n">
        <f aca="false">IFERROR(ROUND(CORREL('Returns (Calc)'!$T$3:$T$500,'Returns (Calc)'!$G$3:$G$500),2),"")</f>
        <v>0.12</v>
      </c>
      <c r="H24" s="153" t="n">
        <f aca="false">IFERROR(ROUND(CORREL('Returns (Calc)'!$T$3:$T$500,'Returns (Calc)'!$H$3:$H$500),2),"")</f>
        <v>-0.04</v>
      </c>
      <c r="I24" s="153" t="n">
        <f aca="false">IFERROR(ROUND(CORREL('Returns (Calc)'!$T$3:$T$500,'Returns (Calc)'!$I$3:$I$500),2),"")</f>
        <v>0.04</v>
      </c>
      <c r="J24" s="153" t="n">
        <f aca="false">IFERROR(ROUND(CORREL('Returns (Calc)'!$T$3:$T$500,'Returns (Calc)'!$J$3:$J$500),2),"")</f>
        <v>0.07</v>
      </c>
      <c r="K24" s="153" t="n">
        <f aca="false">IFERROR(ROUND(CORREL('Returns (Calc)'!$T$3:$T$500,'Returns (Calc)'!$K$3:$K$500),2),"")</f>
        <v>0.01</v>
      </c>
      <c r="L24" s="153" t="n">
        <f aca="false">IFERROR(ROUND(CORREL('Returns (Calc)'!$T$3:$T$500,'Returns (Calc)'!$L$3:$L$500),2),"")</f>
        <v>-0.05</v>
      </c>
      <c r="M24" s="153" t="n">
        <f aca="false">IFERROR(ROUND(CORREL('Returns (Calc)'!$T$3:$T$500,'Returns (Calc)'!$M$3:$M$500),2),"")</f>
        <v>-0.04</v>
      </c>
      <c r="N24" s="153" t="n">
        <f aca="false">IFERROR(ROUND(CORREL('Returns (Calc)'!$T$3:$T$500,'Returns (Calc)'!$N$3:$N$500),2),"")</f>
        <v>-0.04</v>
      </c>
      <c r="O24" s="153" t="n">
        <f aca="false">IFERROR(ROUND(CORREL('Returns (Calc)'!$T$3:$T$500,'Returns (Calc)'!$O$3:$O$500),2),"")</f>
        <v>-0.01</v>
      </c>
      <c r="P24" s="153" t="n">
        <f aca="false">IFERROR(ROUND(CORREL('Returns (Calc)'!$T$3:$T$500,'Returns (Calc)'!$P$3:$P$500),2),"")</f>
        <v>0.02</v>
      </c>
      <c r="Q24" s="153" t="n">
        <f aca="false">IFERROR(ROUND(CORREL('Returns (Calc)'!$T$3:$T$500,'Returns (Calc)'!$Q$3:$Q$500),2),"")</f>
        <v>0.02</v>
      </c>
      <c r="R24" s="153" t="n">
        <f aca="false">IFERROR(ROUND(CORREL('Returns (Calc)'!$T$3:$T$500,'Returns (Calc)'!$R$3:$R$500),2),"")</f>
        <v>0.57</v>
      </c>
      <c r="S24" s="153" t="n">
        <f aca="false">IFERROR(ROUND(CORREL('Returns (Calc)'!$T$3:$T$500,'Returns (Calc)'!$S$3:$S$500),2),"")</f>
        <v>0.52</v>
      </c>
      <c r="T24" s="153" t="n">
        <v>1</v>
      </c>
      <c r="U24" s="153" t="str">
        <f aca="false">IFERROR(ROUND(CORREL('Returns (Calc)'!$T$3:$T$500,'Returns (Calc)'!$U$3:$U$500),2),"")</f>
        <v/>
      </c>
      <c r="V24" s="153" t="n">
        <f aca="false">IFERROR(ROUND(CORREL('Returns (Calc)'!$T$3:$T$500,'Returns (Calc)'!$V$3:$V$500),2),"")</f>
        <v>0.46</v>
      </c>
      <c r="AG24" s="154" t="n">
        <f aca="false">COUNTIF(B24:V24,"&gt;0.7")-1</f>
        <v>0</v>
      </c>
    </row>
    <row r="25" customFormat="false" ht="15" hidden="false" customHeight="true" outlineLevel="0" collapsed="false">
      <c r="A25" s="152" t="n">
        <f aca="false">'Returns (Calc)'!U2</f>
        <v>0</v>
      </c>
      <c r="B25" s="153" t="str">
        <f aca="false">IFERROR(ROUND(CORREL('Returns (Calc)'!$U$3:$U$500,'Returns (Calc)'!$B$3:$B$500),2),"")</f>
        <v/>
      </c>
      <c r="C25" s="153" t="str">
        <f aca="false">IFERROR(ROUND(CORREL('Returns (Calc)'!$U$3:$U$500,'Returns (Calc)'!$C$3:$C$500),2),"")</f>
        <v/>
      </c>
      <c r="D25" s="153" t="str">
        <f aca="false">IFERROR(ROUND(CORREL('Returns (Calc)'!$U$3:$U$500,'Returns (Calc)'!$D$3:$D$500),2),"")</f>
        <v/>
      </c>
      <c r="E25" s="153" t="str">
        <f aca="false">IFERROR(ROUND(CORREL('Returns (Calc)'!$U$3:$U$500,'Returns (Calc)'!$E$3:$E$500),2),"")</f>
        <v/>
      </c>
      <c r="F25" s="153" t="str">
        <f aca="false">IFERROR(ROUND(CORREL('Returns (Calc)'!$U$3:$U$500,'Returns (Calc)'!$F$3:$F$500),2),"")</f>
        <v/>
      </c>
      <c r="G25" s="153" t="str">
        <f aca="false">IFERROR(ROUND(CORREL('Returns (Calc)'!$U$3:$U$500,'Returns (Calc)'!$G$3:$G$500),2),"")</f>
        <v/>
      </c>
      <c r="H25" s="153" t="str">
        <f aca="false">IFERROR(ROUND(CORREL('Returns (Calc)'!$U$3:$U$500,'Returns (Calc)'!$H$3:$H$500),2),"")</f>
        <v/>
      </c>
      <c r="I25" s="153" t="str">
        <f aca="false">IFERROR(ROUND(CORREL('Returns (Calc)'!$U$3:$U$500,'Returns (Calc)'!$I$3:$I$500),2),"")</f>
        <v/>
      </c>
      <c r="J25" s="153" t="str">
        <f aca="false">IFERROR(ROUND(CORREL('Returns (Calc)'!$U$3:$U$500,'Returns (Calc)'!$J$3:$J$500),2),"")</f>
        <v/>
      </c>
      <c r="K25" s="153" t="str">
        <f aca="false">IFERROR(ROUND(CORREL('Returns (Calc)'!$U$3:$U$500,'Returns (Calc)'!$K$3:$K$500),2),"")</f>
        <v/>
      </c>
      <c r="L25" s="153" t="str">
        <f aca="false">IFERROR(ROUND(CORREL('Returns (Calc)'!$U$3:$U$500,'Returns (Calc)'!$L$3:$L$500),2),"")</f>
        <v/>
      </c>
      <c r="M25" s="153" t="str">
        <f aca="false">IFERROR(ROUND(CORREL('Returns (Calc)'!$U$3:$U$500,'Returns (Calc)'!$M$3:$M$500),2),"")</f>
        <v/>
      </c>
      <c r="N25" s="153" t="str">
        <f aca="false">IFERROR(ROUND(CORREL('Returns (Calc)'!$U$3:$U$500,'Returns (Calc)'!$N$3:$N$500),2),"")</f>
        <v/>
      </c>
      <c r="O25" s="153" t="str">
        <f aca="false">IFERROR(ROUND(CORREL('Returns (Calc)'!$U$3:$U$500,'Returns (Calc)'!$O$3:$O$500),2),"")</f>
        <v/>
      </c>
      <c r="P25" s="153" t="str">
        <f aca="false">IFERROR(ROUND(CORREL('Returns (Calc)'!$U$3:$U$500,'Returns (Calc)'!$P$3:$P$500),2),"")</f>
        <v/>
      </c>
      <c r="Q25" s="153" t="str">
        <f aca="false">IFERROR(ROUND(CORREL('Returns (Calc)'!$U$3:$U$500,'Returns (Calc)'!$Q$3:$Q$500),2),"")</f>
        <v/>
      </c>
      <c r="R25" s="153" t="str">
        <f aca="false">IFERROR(ROUND(CORREL('Returns (Calc)'!$U$3:$U$500,'Returns (Calc)'!$R$3:$R$500),2),"")</f>
        <v/>
      </c>
      <c r="S25" s="153" t="str">
        <f aca="false">IFERROR(ROUND(CORREL('Returns (Calc)'!$U$3:$U$500,'Returns (Calc)'!$S$3:$S$500),2),"")</f>
        <v/>
      </c>
      <c r="T25" s="153" t="str">
        <f aca="false">IFERROR(ROUND(CORREL('Returns (Calc)'!$U$3:$U$500,'Returns (Calc)'!$T$3:$T$500),2),"")</f>
        <v/>
      </c>
      <c r="U25" s="153" t="n">
        <v>1</v>
      </c>
      <c r="V25" s="153" t="str">
        <f aca="false">IFERROR(ROUND(CORREL('Returns (Calc)'!$U$3:$U$500,'Returns (Calc)'!$V$3:$V$500),2),"")</f>
        <v/>
      </c>
      <c r="AG25" s="154" t="n">
        <f aca="false">COUNTIF(B25:V25,"&gt;0.7")-1</f>
        <v>0</v>
      </c>
    </row>
    <row r="26" customFormat="false" ht="15" hidden="false" customHeight="true" outlineLevel="0" collapsed="false">
      <c r="A26" s="152" t="str">
        <f aca="false">'Returns (Calc)'!V2</f>
        <v>V</v>
      </c>
      <c r="B26" s="153" t="n">
        <f aca="false">IFERROR(ROUND(CORREL('Returns (Calc)'!$V$3:$V$500,'Returns (Calc)'!$B$3:$B$500),2),"")</f>
        <v>-0.16</v>
      </c>
      <c r="C26" s="153" t="n">
        <f aca="false">IFERROR(ROUND(CORREL('Returns (Calc)'!$V$3:$V$500,'Returns (Calc)'!$C$3:$C$500),2),"")</f>
        <v>-0.01</v>
      </c>
      <c r="D26" s="153" t="n">
        <f aca="false">IFERROR(ROUND(CORREL('Returns (Calc)'!$V$3:$V$500,'Returns (Calc)'!$D$3:$D$500),2),"")</f>
        <v>0.02</v>
      </c>
      <c r="E26" s="153" t="n">
        <f aca="false">IFERROR(ROUND(CORREL('Returns (Calc)'!$V$3:$V$500,'Returns (Calc)'!$E$3:$E$500),2),"")</f>
        <v>-0.07</v>
      </c>
      <c r="F26" s="153" t="n">
        <f aca="false">IFERROR(ROUND(CORREL('Returns (Calc)'!$V$3:$V$500,'Returns (Calc)'!$F$3:$F$500),2),"")</f>
        <v>-0.07</v>
      </c>
      <c r="G26" s="153" t="n">
        <f aca="false">IFERROR(ROUND(CORREL('Returns (Calc)'!$V$3:$V$500,'Returns (Calc)'!$G$3:$G$500),2),"")</f>
        <v>0.04</v>
      </c>
      <c r="H26" s="153" t="n">
        <f aca="false">IFERROR(ROUND(CORREL('Returns (Calc)'!$V$3:$V$500,'Returns (Calc)'!$H$3:$H$500),2),"")</f>
        <v>-0.06</v>
      </c>
      <c r="I26" s="153" t="n">
        <f aca="false">IFERROR(ROUND(CORREL('Returns (Calc)'!$V$3:$V$500,'Returns (Calc)'!$I$3:$I$500),2),"")</f>
        <v>-0.04</v>
      </c>
      <c r="J26" s="153" t="n">
        <f aca="false">IFERROR(ROUND(CORREL('Returns (Calc)'!$V$3:$V$500,'Returns (Calc)'!$J$3:$J$500),2),"")</f>
        <v>0.05</v>
      </c>
      <c r="K26" s="153" t="n">
        <f aca="false">IFERROR(ROUND(CORREL('Returns (Calc)'!$V$3:$V$500,'Returns (Calc)'!$K$3:$K$500),2),"")</f>
        <v>-0.04</v>
      </c>
      <c r="L26" s="153" t="n">
        <f aca="false">IFERROR(ROUND(CORREL('Returns (Calc)'!$V$3:$V$500,'Returns (Calc)'!$L$3:$L$500),2),"")</f>
        <v>-0.07</v>
      </c>
      <c r="M26" s="153" t="n">
        <f aca="false">IFERROR(ROUND(CORREL('Returns (Calc)'!$V$3:$V$500,'Returns (Calc)'!$M$3:$M$500),2),"")</f>
        <v>-0.16</v>
      </c>
      <c r="N26" s="153" t="n">
        <f aca="false">IFERROR(ROUND(CORREL('Returns (Calc)'!$V$3:$V$500,'Returns (Calc)'!$N$3:$N$500),2),"")</f>
        <v>-0.06</v>
      </c>
      <c r="O26" s="153" t="n">
        <f aca="false">IFERROR(ROUND(CORREL('Returns (Calc)'!$V$3:$V$500,'Returns (Calc)'!$O$3:$O$500),2),"")</f>
        <v>-0.08</v>
      </c>
      <c r="P26" s="153" t="n">
        <f aca="false">IFERROR(ROUND(CORREL('Returns (Calc)'!$V$3:$V$500,'Returns (Calc)'!$P$3:$P$500),2),"")</f>
        <v>0.05</v>
      </c>
      <c r="Q26" s="153" t="n">
        <f aca="false">IFERROR(ROUND(CORREL('Returns (Calc)'!$V$3:$V$500,'Returns (Calc)'!$Q$3:$Q$500),2),"")</f>
        <v>-0.02</v>
      </c>
      <c r="R26" s="153" t="n">
        <f aca="false">IFERROR(ROUND(CORREL('Returns (Calc)'!$V$3:$V$500,'Returns (Calc)'!$R$3:$R$500),2),"")</f>
        <v>0.44</v>
      </c>
      <c r="S26" s="153" t="n">
        <f aca="false">IFERROR(ROUND(CORREL('Returns (Calc)'!$V$3:$V$500,'Returns (Calc)'!$S$3:$S$500),2),"")</f>
        <v>0.42</v>
      </c>
      <c r="T26" s="153" t="n">
        <f aca="false">IFERROR(ROUND(CORREL('Returns (Calc)'!$V$3:$V$500,'Returns (Calc)'!$T$3:$T$500),2),"")</f>
        <v>0.46</v>
      </c>
      <c r="U26" s="153" t="str">
        <f aca="false">IFERROR(ROUND(CORREL('Returns (Calc)'!$V$3:$V$500,'Returns (Calc)'!$U$3:$U$500),2),"")</f>
        <v/>
      </c>
      <c r="V26" s="153" t="n">
        <v>1</v>
      </c>
      <c r="AG26" s="154" t="n">
        <f aca="false">COUNTIF(B26:V26,"&gt;0.7")-1</f>
        <v>0</v>
      </c>
    </row>
  </sheetData>
  <mergeCells count="1">
    <mergeCell ref="A1:AG1"/>
  </mergeCells>
  <conditionalFormatting sqref="B6:V26">
    <cfRule type="expression" priority="2" aboveAverage="0" equalAverage="0" bottom="0" percent="0" rank="0" text="" dxfId="26">
      <formula>AND(B6&lt;&gt;1,ABS(B6)&gt;0.7)</formula>
    </cfRule>
  </conditionalFormatting>
  <conditionalFormatting sqref="AG6:AG26">
    <cfRule type="cellIs" priority="3" operator="greaterThan" aboveAverage="0" equalAverage="0" bottom="0" percent="0" rank="0" text="" dxfId="26">
      <formula>1</formula>
    </cfRule>
  </conditionalFormatting>
  <conditionalFormatting sqref="J3">
    <cfRule type="cellIs" priority="4" operator="equal" aboveAverage="0" equalAverage="0" bottom="0" percent="0" rank="0" text="" dxfId="26">
      <formula>"REVIEW REQUIRED"</formula>
    </cfRule>
    <cfRule type="cellIs" priority="5" operator="equal" aboveAverage="0" equalAverage="0" bottom="0" percent="0" rank="0" text="" dxfId="21">
      <formula>"OK"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12" activeCellId="0" sqref="H12"/>
    </sheetView>
  </sheetViews>
  <sheetFormatPr defaultColWidth="8.66796875" defaultRowHeight="14.2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34" width="30"/>
  </cols>
  <sheetData>
    <row r="1" customFormat="false" ht="24" hidden="false" customHeight="true" outlineLevel="0" collapsed="false">
      <c r="A1" s="155" t="s">
        <v>456</v>
      </c>
      <c r="B1" s="155"/>
      <c r="C1" s="155"/>
      <c r="D1" s="155"/>
      <c r="E1" s="155"/>
      <c r="F1" s="155"/>
      <c r="G1" s="155"/>
      <c r="H1" s="155"/>
    </row>
    <row r="2" customFormat="false" ht="27.75" hidden="false" customHeight="true" outlineLevel="0" collapsed="false">
      <c r="A2" s="111" t="s">
        <v>457</v>
      </c>
      <c r="B2" s="111" t="s">
        <v>458</v>
      </c>
      <c r="C2" s="111" t="s">
        <v>459</v>
      </c>
      <c r="D2" s="111" t="s">
        <v>460</v>
      </c>
      <c r="E2" s="111" t="s">
        <v>461</v>
      </c>
      <c r="F2" s="111" t="s">
        <v>462</v>
      </c>
      <c r="G2" s="111" t="s">
        <v>463</v>
      </c>
      <c r="H2" s="111" t="s">
        <v>209</v>
      </c>
    </row>
    <row r="3" customFormat="false" ht="15" hidden="false" customHeight="true" outlineLevel="0" collapsed="false">
      <c r="A3" s="114" t="n">
        <v>46245</v>
      </c>
      <c r="B3" s="137" t="n">
        <v>700739.19</v>
      </c>
      <c r="C3" s="156" t="n">
        <f aca="false">IF(B3="","",B3)</f>
        <v>700739.19</v>
      </c>
      <c r="D3" s="157" t="n">
        <f aca="false">IF(OR(B3="",C3=""),"",B3/C3-1)</f>
        <v>0</v>
      </c>
      <c r="E3" s="93" t="str">
        <f aca="false">IF(D3="","",IF(D3&gt;=-0.1,"Normal",IF(D3&gt;=-0.2,"Elevated",IF(D3&gt;=-0.3,"Severe","Critical"))))</f>
        <v>Normal</v>
      </c>
      <c r="F3" s="65" t="str">
        <f aca="false">IF(E3="","",IF(E3="Normal","5-15%",IF(E3="Elevated","15%",IF(E3="Severe","20%","25%"))))</f>
        <v>5-15%</v>
      </c>
      <c r="G3" s="65" t="str">
        <f aca="false">IF(E3="","",IF(E3="Normal","Standard (score &gt;=65)",IF(E3="Elevated","Restricted (score &gt;=80 only)","Suspended")))</f>
        <v>Standard (score &gt;=65)</v>
      </c>
      <c r="H3" s="113"/>
    </row>
    <row r="4" customFormat="false" ht="15" hidden="false" customHeight="true" outlineLevel="0" collapsed="false">
      <c r="A4" s="114" t="n">
        <v>46269</v>
      </c>
      <c r="B4" s="137" t="n">
        <v>751223.12</v>
      </c>
      <c r="C4" s="156" t="n">
        <f aca="false">IF(B4="","",MAX(C3,B4))</f>
        <v>751223.12</v>
      </c>
      <c r="D4" s="157" t="n">
        <f aca="false">IF(OR(B4="",C4=""),"",B4/C4-1)</f>
        <v>0</v>
      </c>
      <c r="E4" s="93" t="str">
        <f aca="false">IF(D4="","",IF(D4&gt;=-0.1,"Normal",IF(D4&gt;=-0.2,"Elevated",IF(D4&gt;=-0.3,"Severe","Critical"))))</f>
        <v>Normal</v>
      </c>
      <c r="F4" s="65" t="str">
        <f aca="false">IF(E4="","",IF(E4="Normal","5-15%",IF(E4="Elevated","15%",IF(E4="Severe","20%","25%"))))</f>
        <v>5-15%</v>
      </c>
      <c r="G4" s="65" t="str">
        <f aca="false">IF(E4="","",IF(E4="Normal","Standard (score &gt;=65)",IF(E4="Elevated","Restricted (score &gt;=80 only)","Suspended")))</f>
        <v>Standard (score &gt;=65)</v>
      </c>
      <c r="H4" s="113" t="s">
        <v>464</v>
      </c>
    </row>
    <row r="5" customFormat="false" ht="15" hidden="false" customHeight="true" outlineLevel="0" collapsed="false">
      <c r="A5" s="114" t="n">
        <v>46295</v>
      </c>
      <c r="B5" s="137" t="n">
        <v>776662.72</v>
      </c>
      <c r="C5" s="156" t="n">
        <f aca="false">IF(B5="","",MAX(C4,B5))</f>
        <v>776662.72</v>
      </c>
      <c r="D5" s="157" t="n">
        <f aca="false">IF(OR(B5="",C5=""),"",B5/C5-1)</f>
        <v>0</v>
      </c>
      <c r="E5" s="93" t="str">
        <f aca="false">IF(D5="","",IF(D5&gt;=-0.1,"Normal",IF(D5&gt;=-0.2,"Elevated",IF(D5&gt;=-0.3,"Severe","Critical"))))</f>
        <v>Normal</v>
      </c>
      <c r="F5" s="65" t="str">
        <f aca="false">IF(E5="","",IF(E5="Normal","5-15%",IF(E5="Elevated","15%",IF(E5="Severe","20%","25%"))))</f>
        <v>5-15%</v>
      </c>
      <c r="G5" s="65" t="str">
        <f aca="false">IF(E5="","",IF(E5="Normal","Standard (score &gt;=65)",IF(E5="Elevated","Restricted (score &gt;=80 only)","Suspended")))</f>
        <v>Standard (score &gt;=65)</v>
      </c>
      <c r="H5" s="113"/>
    </row>
    <row r="6" customFormat="false" ht="15" hidden="false" customHeight="true" outlineLevel="0" collapsed="false">
      <c r="A6" s="114"/>
      <c r="B6" s="137"/>
      <c r="C6" s="156" t="str">
        <f aca="false">IF(B6="","",MAX(C5,B6))</f>
        <v/>
      </c>
      <c r="D6" s="157" t="str">
        <f aca="false">IF(OR(B6="",C6=""),"",B6/C6-1)</f>
        <v/>
      </c>
      <c r="E6" s="93" t="str">
        <f aca="false">IF(D6="","",IF(D6&gt;=-0.1,"Normal",IF(D6&gt;=-0.2,"Elevated",IF(D6&gt;=-0.3,"Severe","Critical"))))</f>
        <v/>
      </c>
      <c r="F6" s="65" t="str">
        <f aca="false">IF(E6="","",IF(E6="Normal","5-15%",IF(E6="Elevated","15%",IF(E6="Severe","20%","25%"))))</f>
        <v/>
      </c>
      <c r="G6" s="65" t="str">
        <f aca="false">IF(E6="","",IF(E6="Normal","Standard (score &gt;=65)",IF(E6="Elevated","Restricted (score &gt;=80 only)","Suspended")))</f>
        <v/>
      </c>
      <c r="H6" s="113"/>
    </row>
    <row r="7" customFormat="false" ht="15" hidden="false" customHeight="true" outlineLevel="0" collapsed="false">
      <c r="A7" s="114"/>
      <c r="B7" s="137"/>
      <c r="C7" s="156" t="str">
        <f aca="false">IF(B7="","",MAX(C6,B7))</f>
        <v/>
      </c>
      <c r="D7" s="157" t="str">
        <f aca="false">IF(OR(B7="",C7=""),"",B7/C7-1)</f>
        <v/>
      </c>
      <c r="E7" s="93" t="str">
        <f aca="false">IF(D7="","",IF(D7&gt;=-0.1,"Normal",IF(D7&gt;=-0.2,"Elevated",IF(D7&gt;=-0.3,"Severe","Critical"))))</f>
        <v/>
      </c>
      <c r="F7" s="65" t="str">
        <f aca="false">IF(E7="","",IF(E7="Normal","5-15%",IF(E7="Elevated","15%",IF(E7="Severe","20%","25%"))))</f>
        <v/>
      </c>
      <c r="G7" s="65" t="str">
        <f aca="false">IF(E7="","",IF(E7="Normal","Standard (score &gt;=65)",IF(E7="Elevated","Restricted (score &gt;=80 only)","Suspended")))</f>
        <v/>
      </c>
      <c r="H7" s="113"/>
    </row>
    <row r="8" customFormat="false" ht="15" hidden="false" customHeight="true" outlineLevel="0" collapsed="false">
      <c r="A8" s="114"/>
      <c r="B8" s="137"/>
      <c r="C8" s="156" t="str">
        <f aca="false">IF(B8="","",MAX(C7,B8))</f>
        <v/>
      </c>
      <c r="D8" s="157" t="str">
        <f aca="false">IF(OR(B8="",C8=""),"",B8/C8-1)</f>
        <v/>
      </c>
      <c r="E8" s="93" t="str">
        <f aca="false">IF(D8="","",IF(D8&gt;=-0.1,"Normal",IF(D8&gt;=-0.2,"Elevated",IF(D8&gt;=-0.3,"Severe","Critical"))))</f>
        <v/>
      </c>
      <c r="F8" s="65" t="str">
        <f aca="false">IF(E8="","",IF(E8="Normal","5-15%",IF(E8="Elevated","15%",IF(E8="Severe","20%","25%"))))</f>
        <v/>
      </c>
      <c r="G8" s="65" t="str">
        <f aca="false">IF(E8="","",IF(E8="Normal","Standard (score &gt;=65)",IF(E8="Elevated","Restricted (score &gt;=80 only)","Suspended")))</f>
        <v/>
      </c>
      <c r="H8" s="113"/>
    </row>
    <row r="9" customFormat="false" ht="15" hidden="false" customHeight="true" outlineLevel="0" collapsed="false">
      <c r="A9" s="114"/>
      <c r="B9" s="137"/>
      <c r="C9" s="156" t="str">
        <f aca="false">IF(B9="","",MAX(C8,B9))</f>
        <v/>
      </c>
      <c r="D9" s="157" t="str">
        <f aca="false">IF(OR(B9="",C9=""),"",B9/C9-1)</f>
        <v/>
      </c>
      <c r="E9" s="93" t="str">
        <f aca="false">IF(D9="","",IF(D9&gt;=-0.1,"Normal",IF(D9&gt;=-0.2,"Elevated",IF(D9&gt;=-0.3,"Severe","Critical"))))</f>
        <v/>
      </c>
      <c r="F9" s="65" t="str">
        <f aca="false">IF(E9="","",IF(E9="Normal","5-15%",IF(E9="Elevated","15%",IF(E9="Severe","20%","25%"))))</f>
        <v/>
      </c>
      <c r="G9" s="65" t="str">
        <f aca="false">IF(E9="","",IF(E9="Normal","Standard (score &gt;=65)",IF(E9="Elevated","Restricted (score &gt;=80 only)","Suspended")))</f>
        <v/>
      </c>
      <c r="H9" s="113"/>
    </row>
    <row r="10" customFormat="false" ht="15" hidden="false" customHeight="true" outlineLevel="0" collapsed="false">
      <c r="A10" s="114"/>
      <c r="B10" s="137"/>
      <c r="C10" s="156" t="str">
        <f aca="false">IF(B10="","",MAX(C9,B10))</f>
        <v/>
      </c>
      <c r="D10" s="157" t="str">
        <f aca="false">IF(OR(B10="",C10=""),"",B10/C10-1)</f>
        <v/>
      </c>
      <c r="E10" s="93" t="str">
        <f aca="false">IF(D10="","",IF(D10&gt;=-0.1,"Normal",IF(D10&gt;=-0.2,"Elevated",IF(D10&gt;=-0.3,"Severe","Critical"))))</f>
        <v/>
      </c>
      <c r="F10" s="65" t="str">
        <f aca="false">IF(E10="","",IF(E10="Normal","5-15%",IF(E10="Elevated","15%",IF(E10="Severe","20%","25%"))))</f>
        <v/>
      </c>
      <c r="G10" s="65" t="str">
        <f aca="false">IF(E10="","",IF(E10="Normal","Standard (score &gt;=65)",IF(E10="Elevated","Restricted (score &gt;=80 only)","Suspended")))</f>
        <v/>
      </c>
      <c r="H10" s="113"/>
    </row>
    <row r="11" customFormat="false" ht="15" hidden="false" customHeight="true" outlineLevel="0" collapsed="false">
      <c r="A11" s="114"/>
      <c r="B11" s="137"/>
      <c r="C11" s="156" t="str">
        <f aca="false">IF(B11="","",MAX(C10,B11))</f>
        <v/>
      </c>
      <c r="D11" s="157" t="str">
        <f aca="false">IF(OR(B11="",C11=""),"",B11/C11-1)</f>
        <v/>
      </c>
      <c r="E11" s="93" t="str">
        <f aca="false">IF(D11="","",IF(D11&gt;=-0.1,"Normal",IF(D11&gt;=-0.2,"Elevated",IF(D11&gt;=-0.3,"Severe","Critical"))))</f>
        <v/>
      </c>
      <c r="F11" s="65" t="str">
        <f aca="false">IF(E11="","",IF(E11="Normal","5-15%",IF(E11="Elevated","15%",IF(E11="Severe","20%","25%"))))</f>
        <v/>
      </c>
      <c r="G11" s="65" t="str">
        <f aca="false">IF(E11="","",IF(E11="Normal","Standard (score &gt;=65)",IF(E11="Elevated","Restricted (score &gt;=80 only)","Suspended")))</f>
        <v/>
      </c>
      <c r="H11" s="113"/>
    </row>
    <row r="12" customFormat="false" ht="15" hidden="false" customHeight="true" outlineLevel="0" collapsed="false">
      <c r="A12" s="114"/>
      <c r="B12" s="137"/>
      <c r="C12" s="156" t="str">
        <f aca="false">IF(B12="","",MAX(C11,B12))</f>
        <v/>
      </c>
      <c r="D12" s="157" t="str">
        <f aca="false">IF(OR(B12="",C12=""),"",B12/C12-1)</f>
        <v/>
      </c>
      <c r="E12" s="93" t="str">
        <f aca="false">IF(D12="","",IF(D12&gt;=-0.1,"Normal",IF(D12&gt;=-0.2,"Elevated",IF(D12&gt;=-0.3,"Severe","Critical"))))</f>
        <v/>
      </c>
      <c r="F12" s="65" t="str">
        <f aca="false">IF(E12="","",IF(E12="Normal","5-15%",IF(E12="Elevated","15%",IF(E12="Severe","20%","25%"))))</f>
        <v/>
      </c>
      <c r="G12" s="65" t="str">
        <f aca="false">IF(E12="","",IF(E12="Normal","Standard (score &gt;=65)",IF(E12="Elevated","Restricted (score &gt;=80 only)","Suspended")))</f>
        <v/>
      </c>
      <c r="H12" s="113"/>
    </row>
    <row r="13" customFormat="false" ht="15" hidden="false" customHeight="true" outlineLevel="0" collapsed="false">
      <c r="A13" s="114"/>
      <c r="B13" s="137"/>
      <c r="C13" s="156" t="str">
        <f aca="false">IF(B13="","",MAX(C12,B13))</f>
        <v/>
      </c>
      <c r="D13" s="157" t="str">
        <f aca="false">IF(OR(B13="",C13=""),"",B13/C13-1)</f>
        <v/>
      </c>
      <c r="E13" s="93" t="str">
        <f aca="false">IF(D13="","",IF(D13&gt;=-0.1,"Normal",IF(D13&gt;=-0.2,"Elevated",IF(D13&gt;=-0.3,"Severe","Critical"))))</f>
        <v/>
      </c>
      <c r="F13" s="65" t="str">
        <f aca="false">IF(E13="","",IF(E13="Normal","5-15%",IF(E13="Elevated","15%",IF(E13="Severe","20%","25%"))))</f>
        <v/>
      </c>
      <c r="G13" s="65" t="str">
        <f aca="false">IF(E13="","",IF(E13="Normal","Standard (score &gt;=65)",IF(E13="Elevated","Restricted (score &gt;=80 only)","Suspended")))</f>
        <v/>
      </c>
      <c r="H13" s="113"/>
    </row>
    <row r="14" customFormat="false" ht="15" hidden="false" customHeight="true" outlineLevel="0" collapsed="false">
      <c r="A14" s="114"/>
      <c r="B14" s="137"/>
      <c r="C14" s="156" t="str">
        <f aca="false">IF(B14="","",MAX(C13,B14))</f>
        <v/>
      </c>
      <c r="D14" s="157" t="str">
        <f aca="false">IF(OR(B14="",C14=""),"",B14/C14-1)</f>
        <v/>
      </c>
      <c r="E14" s="93" t="str">
        <f aca="false">IF(D14="","",IF(D14&gt;=-0.1,"Normal",IF(D14&gt;=-0.2,"Elevated",IF(D14&gt;=-0.3,"Severe","Critical"))))</f>
        <v/>
      </c>
      <c r="F14" s="65" t="str">
        <f aca="false">IF(E14="","",IF(E14="Normal","5-15%",IF(E14="Elevated","15%",IF(E14="Severe","20%","25%"))))</f>
        <v/>
      </c>
      <c r="G14" s="65" t="str">
        <f aca="false">IF(E14="","",IF(E14="Normal","Standard (score &gt;=65)",IF(E14="Elevated","Restricted (score &gt;=80 only)","Suspended")))</f>
        <v/>
      </c>
      <c r="H14" s="113"/>
    </row>
    <row r="15" customFormat="false" ht="15" hidden="false" customHeight="true" outlineLevel="0" collapsed="false">
      <c r="A15" s="114"/>
      <c r="B15" s="137"/>
      <c r="C15" s="156" t="str">
        <f aca="false">IF(B15="","",MAX(C14,B15))</f>
        <v/>
      </c>
      <c r="D15" s="157" t="str">
        <f aca="false">IF(OR(B15="",C15=""),"",B15/C15-1)</f>
        <v/>
      </c>
      <c r="E15" s="93" t="str">
        <f aca="false">IF(D15="","",IF(D15&gt;=-0.1,"Normal",IF(D15&gt;=-0.2,"Elevated",IF(D15&gt;=-0.3,"Severe","Critical"))))</f>
        <v/>
      </c>
      <c r="F15" s="65" t="str">
        <f aca="false">IF(E15="","",IF(E15="Normal","5-15%",IF(E15="Elevated","15%",IF(E15="Severe","20%","25%"))))</f>
        <v/>
      </c>
      <c r="G15" s="65" t="str">
        <f aca="false">IF(E15="","",IF(E15="Normal","Standard (score &gt;=65)",IF(E15="Elevated","Restricted (score &gt;=80 only)","Suspended")))</f>
        <v/>
      </c>
      <c r="H15" s="113"/>
    </row>
    <row r="16" customFormat="false" ht="15" hidden="false" customHeight="true" outlineLevel="0" collapsed="false">
      <c r="A16" s="114"/>
      <c r="B16" s="137"/>
      <c r="C16" s="156" t="str">
        <f aca="false">IF(B16="","",MAX(C15,B16))</f>
        <v/>
      </c>
      <c r="D16" s="157" t="str">
        <f aca="false">IF(OR(B16="",C16=""),"",B16/C16-1)</f>
        <v/>
      </c>
      <c r="E16" s="93" t="str">
        <f aca="false">IF(D16="","",IF(D16&gt;=-0.1,"Normal",IF(D16&gt;=-0.2,"Elevated",IF(D16&gt;=-0.3,"Severe","Critical"))))</f>
        <v/>
      </c>
      <c r="F16" s="65" t="str">
        <f aca="false">IF(E16="","",IF(E16="Normal","5-15%",IF(E16="Elevated","15%",IF(E16="Severe","20%","25%"))))</f>
        <v/>
      </c>
      <c r="G16" s="65" t="str">
        <f aca="false">IF(E16="","",IF(E16="Normal","Standard (score &gt;=65)",IF(E16="Elevated","Restricted (score &gt;=80 only)","Suspended")))</f>
        <v/>
      </c>
      <c r="H16" s="113"/>
    </row>
    <row r="17" customFormat="false" ht="15" hidden="false" customHeight="true" outlineLevel="0" collapsed="false">
      <c r="A17" s="114"/>
      <c r="B17" s="137"/>
      <c r="C17" s="156" t="str">
        <f aca="false">IF(B17="","",MAX(C16,B17))</f>
        <v/>
      </c>
      <c r="D17" s="157" t="str">
        <f aca="false">IF(OR(B17="",C17=""),"",B17/C17-1)</f>
        <v/>
      </c>
      <c r="E17" s="93" t="str">
        <f aca="false">IF(D17="","",IF(D17&gt;=-0.1,"Normal",IF(D17&gt;=-0.2,"Elevated",IF(D17&gt;=-0.3,"Severe","Critical"))))</f>
        <v/>
      </c>
      <c r="F17" s="65" t="str">
        <f aca="false">IF(E17="","",IF(E17="Normal","5-15%",IF(E17="Elevated","15%",IF(E17="Severe","20%","25%"))))</f>
        <v/>
      </c>
      <c r="G17" s="65" t="str">
        <f aca="false">IF(E17="","",IF(E17="Normal","Standard (score &gt;=65)",IF(E17="Elevated","Restricted (score &gt;=80 only)","Suspended")))</f>
        <v/>
      </c>
      <c r="H17" s="113"/>
    </row>
    <row r="18" customFormat="false" ht="15" hidden="false" customHeight="true" outlineLevel="0" collapsed="false">
      <c r="A18" s="114"/>
      <c r="B18" s="137"/>
      <c r="C18" s="156" t="str">
        <f aca="false">IF(B18="","",MAX(C17,B18))</f>
        <v/>
      </c>
      <c r="D18" s="157" t="str">
        <f aca="false">IF(OR(B18="",C18=""),"",B18/C18-1)</f>
        <v/>
      </c>
      <c r="E18" s="93" t="str">
        <f aca="false">IF(D18="","",IF(D18&gt;=-0.1,"Normal",IF(D18&gt;=-0.2,"Elevated",IF(D18&gt;=-0.3,"Severe","Critical"))))</f>
        <v/>
      </c>
      <c r="F18" s="65" t="str">
        <f aca="false">IF(E18="","",IF(E18="Normal","5-15%",IF(E18="Elevated","15%",IF(E18="Severe","20%","25%"))))</f>
        <v/>
      </c>
      <c r="G18" s="65" t="str">
        <f aca="false">IF(E18="","",IF(E18="Normal","Standard (score &gt;=65)",IF(E18="Elevated","Restricted (score &gt;=80 only)","Suspended")))</f>
        <v/>
      </c>
      <c r="H18" s="113"/>
    </row>
    <row r="19" customFormat="false" ht="15" hidden="false" customHeight="true" outlineLevel="0" collapsed="false">
      <c r="A19" s="114"/>
      <c r="B19" s="137"/>
      <c r="C19" s="156" t="str">
        <f aca="false">IF(B19="","",MAX(C18,B19))</f>
        <v/>
      </c>
      <c r="D19" s="157" t="str">
        <f aca="false">IF(OR(B19="",C19=""),"",B19/C19-1)</f>
        <v/>
      </c>
      <c r="E19" s="93" t="str">
        <f aca="false">IF(D19="","",IF(D19&gt;=-0.1,"Normal",IF(D19&gt;=-0.2,"Elevated",IF(D19&gt;=-0.3,"Severe","Critical"))))</f>
        <v/>
      </c>
      <c r="F19" s="65" t="str">
        <f aca="false">IF(E19="","",IF(E19="Normal","5-15%",IF(E19="Elevated","15%",IF(E19="Severe","20%","25%"))))</f>
        <v/>
      </c>
      <c r="G19" s="65" t="str">
        <f aca="false">IF(E19="","",IF(E19="Normal","Standard (score &gt;=65)",IF(E19="Elevated","Restricted (score &gt;=80 only)","Suspended")))</f>
        <v/>
      </c>
      <c r="H19" s="113"/>
    </row>
    <row r="20" customFormat="false" ht="15" hidden="false" customHeight="true" outlineLevel="0" collapsed="false">
      <c r="A20" s="114"/>
      <c r="B20" s="137"/>
      <c r="C20" s="156" t="str">
        <f aca="false">IF(B20="","",MAX(C19,B20))</f>
        <v/>
      </c>
      <c r="D20" s="157" t="str">
        <f aca="false">IF(OR(B20="",C20=""),"",B20/C20-1)</f>
        <v/>
      </c>
      <c r="E20" s="93" t="str">
        <f aca="false">IF(D20="","",IF(D20&gt;=-0.1,"Normal",IF(D20&gt;=-0.2,"Elevated",IF(D20&gt;=-0.3,"Severe","Critical"))))</f>
        <v/>
      </c>
      <c r="F20" s="65" t="str">
        <f aca="false">IF(E20="","",IF(E20="Normal","5-15%",IF(E20="Elevated","15%",IF(E20="Severe","20%","25%"))))</f>
        <v/>
      </c>
      <c r="G20" s="65" t="str">
        <f aca="false">IF(E20="","",IF(E20="Normal","Standard (score &gt;=65)",IF(E20="Elevated","Restricted (score &gt;=80 only)","Suspended")))</f>
        <v/>
      </c>
      <c r="H20" s="113"/>
    </row>
    <row r="21" customFormat="false" ht="15" hidden="false" customHeight="true" outlineLevel="0" collapsed="false">
      <c r="A21" s="114"/>
      <c r="B21" s="137"/>
      <c r="C21" s="156" t="str">
        <f aca="false">IF(B21="","",MAX(C20,B21))</f>
        <v/>
      </c>
      <c r="D21" s="157" t="str">
        <f aca="false">IF(OR(B21="",C21=""),"",B21/C21-1)</f>
        <v/>
      </c>
      <c r="E21" s="93" t="str">
        <f aca="false">IF(D21="","",IF(D21&gt;=-0.1,"Normal",IF(D21&gt;=-0.2,"Elevated",IF(D21&gt;=-0.3,"Severe","Critical"))))</f>
        <v/>
      </c>
      <c r="F21" s="65" t="str">
        <f aca="false">IF(E21="","",IF(E21="Normal","5-15%",IF(E21="Elevated","15%",IF(E21="Severe","20%","25%"))))</f>
        <v/>
      </c>
      <c r="G21" s="65" t="str">
        <f aca="false">IF(E21="","",IF(E21="Normal","Standard (score &gt;=65)",IF(E21="Elevated","Restricted (score &gt;=80 only)","Suspended")))</f>
        <v/>
      </c>
      <c r="H21" s="113"/>
    </row>
    <row r="22" customFormat="false" ht="15" hidden="false" customHeight="true" outlineLevel="0" collapsed="false">
      <c r="A22" s="114"/>
      <c r="B22" s="137"/>
      <c r="C22" s="156" t="str">
        <f aca="false">IF(B22="","",MAX(C21,B22))</f>
        <v/>
      </c>
      <c r="D22" s="157" t="str">
        <f aca="false">IF(OR(B22="",C22=""),"",B22/C22-1)</f>
        <v/>
      </c>
      <c r="E22" s="93" t="str">
        <f aca="false">IF(D22="","",IF(D22&gt;=-0.1,"Normal",IF(D22&gt;=-0.2,"Elevated",IF(D22&gt;=-0.3,"Severe","Critical"))))</f>
        <v/>
      </c>
      <c r="F22" s="65" t="str">
        <f aca="false">IF(E22="","",IF(E22="Normal","5-15%",IF(E22="Elevated","15%",IF(E22="Severe","20%","25%"))))</f>
        <v/>
      </c>
      <c r="G22" s="65" t="str">
        <f aca="false">IF(E22="","",IF(E22="Normal","Standard (score &gt;=65)",IF(E22="Elevated","Restricted (score &gt;=80 only)","Suspended")))</f>
        <v/>
      </c>
      <c r="H22" s="113"/>
    </row>
    <row r="23" customFormat="false" ht="15" hidden="false" customHeight="true" outlineLevel="0" collapsed="false">
      <c r="A23" s="114"/>
      <c r="B23" s="137"/>
      <c r="C23" s="156" t="str">
        <f aca="false">IF(B23="","",MAX(C22,B23))</f>
        <v/>
      </c>
      <c r="D23" s="157" t="str">
        <f aca="false">IF(OR(B23="",C23=""),"",B23/C23-1)</f>
        <v/>
      </c>
      <c r="E23" s="93" t="str">
        <f aca="false">IF(D23="","",IF(D23&gt;=-0.1,"Normal",IF(D23&gt;=-0.2,"Elevated",IF(D23&gt;=-0.3,"Severe","Critical"))))</f>
        <v/>
      </c>
      <c r="F23" s="65" t="str">
        <f aca="false">IF(E23="","",IF(E23="Normal","5-15%",IF(E23="Elevated","15%",IF(E23="Severe","20%","25%"))))</f>
        <v/>
      </c>
      <c r="G23" s="65" t="str">
        <f aca="false">IF(E23="","",IF(E23="Normal","Standard (score &gt;=65)",IF(E23="Elevated","Restricted (score &gt;=80 only)","Suspended")))</f>
        <v/>
      </c>
      <c r="H23" s="113"/>
    </row>
    <row r="24" customFormat="false" ht="15" hidden="false" customHeight="true" outlineLevel="0" collapsed="false">
      <c r="A24" s="114"/>
      <c r="B24" s="137"/>
      <c r="C24" s="156" t="str">
        <f aca="false">IF(B24="","",MAX(C23,B24))</f>
        <v/>
      </c>
      <c r="D24" s="157" t="str">
        <f aca="false">IF(OR(B24="",C24=""),"",B24/C24-1)</f>
        <v/>
      </c>
      <c r="E24" s="93" t="str">
        <f aca="false">IF(D24="","",IF(D24&gt;=-0.1,"Normal",IF(D24&gt;=-0.2,"Elevated",IF(D24&gt;=-0.3,"Severe","Critical"))))</f>
        <v/>
      </c>
      <c r="F24" s="65" t="str">
        <f aca="false">IF(E24="","",IF(E24="Normal","5-15%",IF(E24="Elevated","15%",IF(E24="Severe","20%","25%"))))</f>
        <v/>
      </c>
      <c r="G24" s="65" t="str">
        <f aca="false">IF(E24="","",IF(E24="Normal","Standard (score &gt;=65)",IF(E24="Elevated","Restricted (score &gt;=80 only)","Suspended")))</f>
        <v/>
      </c>
      <c r="H24" s="113"/>
    </row>
    <row r="25" customFormat="false" ht="15" hidden="false" customHeight="true" outlineLevel="0" collapsed="false">
      <c r="A25" s="114"/>
      <c r="B25" s="137"/>
      <c r="C25" s="156" t="str">
        <f aca="false">IF(B25="","",MAX(C24,B25))</f>
        <v/>
      </c>
      <c r="D25" s="157" t="str">
        <f aca="false">IF(OR(B25="",C25=""),"",B25/C25-1)</f>
        <v/>
      </c>
      <c r="E25" s="93" t="str">
        <f aca="false">IF(D25="","",IF(D25&gt;=-0.1,"Normal",IF(D25&gt;=-0.2,"Elevated",IF(D25&gt;=-0.3,"Severe","Critical"))))</f>
        <v/>
      </c>
      <c r="F25" s="65" t="str">
        <f aca="false">IF(E25="","",IF(E25="Normal","5-15%",IF(E25="Elevated","15%",IF(E25="Severe","20%","25%"))))</f>
        <v/>
      </c>
      <c r="G25" s="65" t="str">
        <f aca="false">IF(E25="","",IF(E25="Normal","Standard (score &gt;=65)",IF(E25="Elevated","Restricted (score &gt;=80 only)","Suspended")))</f>
        <v/>
      </c>
      <c r="H25" s="113"/>
    </row>
    <row r="26" customFormat="false" ht="15" hidden="false" customHeight="true" outlineLevel="0" collapsed="false">
      <c r="A26" s="114"/>
      <c r="B26" s="137"/>
      <c r="C26" s="156" t="str">
        <f aca="false">IF(B26="","",MAX(C25,B26))</f>
        <v/>
      </c>
      <c r="D26" s="157" t="str">
        <f aca="false">IF(OR(B26="",C26=""),"",B26/C26-1)</f>
        <v/>
      </c>
      <c r="E26" s="93" t="str">
        <f aca="false">IF(D26="","",IF(D26&gt;=-0.1,"Normal",IF(D26&gt;=-0.2,"Elevated",IF(D26&gt;=-0.3,"Severe","Critical"))))</f>
        <v/>
      </c>
      <c r="F26" s="65" t="str">
        <f aca="false">IF(E26="","",IF(E26="Normal","5-15%",IF(E26="Elevated","15%",IF(E26="Severe","20%","25%"))))</f>
        <v/>
      </c>
      <c r="G26" s="65" t="str">
        <f aca="false">IF(E26="","",IF(E26="Normal","Standard (score &gt;=65)",IF(E26="Elevated","Restricted (score &gt;=80 only)","Suspended")))</f>
        <v/>
      </c>
      <c r="H26" s="113"/>
    </row>
    <row r="27" customFormat="false" ht="15" hidden="false" customHeight="true" outlineLevel="0" collapsed="false">
      <c r="A27" s="114"/>
      <c r="B27" s="137"/>
      <c r="C27" s="156" t="str">
        <f aca="false">IF(B27="","",MAX(C26,B27))</f>
        <v/>
      </c>
      <c r="D27" s="157" t="str">
        <f aca="false">IF(OR(B27="",C27=""),"",B27/C27-1)</f>
        <v/>
      </c>
      <c r="E27" s="93" t="str">
        <f aca="false">IF(D27="","",IF(D27&gt;=-0.1,"Normal",IF(D27&gt;=-0.2,"Elevated",IF(D27&gt;=-0.3,"Severe","Critical"))))</f>
        <v/>
      </c>
      <c r="F27" s="65" t="str">
        <f aca="false">IF(E27="","",IF(E27="Normal","5-15%",IF(E27="Elevated","15%",IF(E27="Severe","20%","25%"))))</f>
        <v/>
      </c>
      <c r="G27" s="65" t="str">
        <f aca="false">IF(E27="","",IF(E27="Normal","Standard (score &gt;=65)",IF(E27="Elevated","Restricted (score &gt;=80 only)","Suspended")))</f>
        <v/>
      </c>
      <c r="H27" s="113"/>
    </row>
    <row r="28" customFormat="false" ht="15" hidden="false" customHeight="true" outlineLevel="0" collapsed="false">
      <c r="A28" s="114"/>
      <c r="B28" s="137"/>
      <c r="C28" s="156" t="str">
        <f aca="false">IF(B28="","",MAX(C27,B28))</f>
        <v/>
      </c>
      <c r="D28" s="157" t="str">
        <f aca="false">IF(OR(B28="",C28=""),"",B28/C28-1)</f>
        <v/>
      </c>
      <c r="E28" s="93" t="str">
        <f aca="false">IF(D28="","",IF(D28&gt;=-0.1,"Normal",IF(D28&gt;=-0.2,"Elevated",IF(D28&gt;=-0.3,"Severe","Critical"))))</f>
        <v/>
      </c>
      <c r="F28" s="65" t="str">
        <f aca="false">IF(E28="","",IF(E28="Normal","5-15%",IF(E28="Elevated","15%",IF(E28="Severe","20%","25%"))))</f>
        <v/>
      </c>
      <c r="G28" s="65" t="str">
        <f aca="false">IF(E28="","",IF(E28="Normal","Standard (score &gt;=65)",IF(E28="Elevated","Restricted (score &gt;=80 only)","Suspended")))</f>
        <v/>
      </c>
      <c r="H28" s="113"/>
    </row>
    <row r="29" customFormat="false" ht="15" hidden="false" customHeight="true" outlineLevel="0" collapsed="false">
      <c r="A29" s="114"/>
      <c r="B29" s="137"/>
      <c r="C29" s="156" t="str">
        <f aca="false">IF(B29="","",MAX(C28,B29))</f>
        <v/>
      </c>
      <c r="D29" s="157" t="str">
        <f aca="false">IF(OR(B29="",C29=""),"",B29/C29-1)</f>
        <v/>
      </c>
      <c r="E29" s="93" t="str">
        <f aca="false">IF(D29="","",IF(D29&gt;=-0.1,"Normal",IF(D29&gt;=-0.2,"Elevated",IF(D29&gt;=-0.3,"Severe","Critical"))))</f>
        <v/>
      </c>
      <c r="F29" s="65" t="str">
        <f aca="false">IF(E29="","",IF(E29="Normal","5-15%",IF(E29="Elevated","15%",IF(E29="Severe","20%","25%"))))</f>
        <v/>
      </c>
      <c r="G29" s="65" t="str">
        <f aca="false">IF(E29="","",IF(E29="Normal","Standard (score &gt;=65)",IF(E29="Elevated","Restricted (score &gt;=80 only)","Suspended")))</f>
        <v/>
      </c>
      <c r="H29" s="113"/>
    </row>
    <row r="30" customFormat="false" ht="15" hidden="false" customHeight="true" outlineLevel="0" collapsed="false">
      <c r="A30" s="114"/>
      <c r="B30" s="137"/>
      <c r="C30" s="156" t="str">
        <f aca="false">IF(B30="","",MAX(C29,B30))</f>
        <v/>
      </c>
      <c r="D30" s="157" t="str">
        <f aca="false">IF(OR(B30="",C30=""),"",B30/C30-1)</f>
        <v/>
      </c>
      <c r="E30" s="93" t="str">
        <f aca="false">IF(D30="","",IF(D30&gt;=-0.1,"Normal",IF(D30&gt;=-0.2,"Elevated",IF(D30&gt;=-0.3,"Severe","Critical"))))</f>
        <v/>
      </c>
      <c r="F30" s="65" t="str">
        <f aca="false">IF(E30="","",IF(E30="Normal","5-15%",IF(E30="Elevated","15%",IF(E30="Severe","20%","25%"))))</f>
        <v/>
      </c>
      <c r="G30" s="65" t="str">
        <f aca="false">IF(E30="","",IF(E30="Normal","Standard (score &gt;=65)",IF(E30="Elevated","Restricted (score &gt;=80 only)","Suspended")))</f>
        <v/>
      </c>
      <c r="H30" s="113"/>
    </row>
    <row r="31" customFormat="false" ht="15" hidden="false" customHeight="true" outlineLevel="0" collapsed="false">
      <c r="A31" s="114"/>
      <c r="B31" s="137"/>
      <c r="C31" s="156" t="str">
        <f aca="false">IF(B31="","",MAX(C30,B31))</f>
        <v/>
      </c>
      <c r="D31" s="157" t="str">
        <f aca="false">IF(OR(B31="",C31=""),"",B31/C31-1)</f>
        <v/>
      </c>
      <c r="E31" s="93" t="str">
        <f aca="false">IF(D31="","",IF(D31&gt;=-0.1,"Normal",IF(D31&gt;=-0.2,"Elevated",IF(D31&gt;=-0.3,"Severe","Critical"))))</f>
        <v/>
      </c>
      <c r="F31" s="65" t="str">
        <f aca="false">IF(E31="","",IF(E31="Normal","5-15%",IF(E31="Elevated","15%",IF(E31="Severe","20%","25%"))))</f>
        <v/>
      </c>
      <c r="G31" s="65" t="str">
        <f aca="false">IF(E31="","",IF(E31="Normal","Standard (score &gt;=65)",IF(E31="Elevated","Restricted (score &gt;=80 only)","Suspended")))</f>
        <v/>
      </c>
      <c r="H31" s="113"/>
    </row>
    <row r="32" customFormat="false" ht="15" hidden="false" customHeight="true" outlineLevel="0" collapsed="false">
      <c r="A32" s="114"/>
      <c r="B32" s="137"/>
      <c r="C32" s="156" t="str">
        <f aca="false">IF(B32="","",MAX(C31,B32))</f>
        <v/>
      </c>
      <c r="D32" s="157" t="str">
        <f aca="false">IF(OR(B32="",C32=""),"",B32/C32-1)</f>
        <v/>
      </c>
      <c r="E32" s="93" t="str">
        <f aca="false">IF(D32="","",IF(D32&gt;=-0.1,"Normal",IF(D32&gt;=-0.2,"Elevated",IF(D32&gt;=-0.3,"Severe","Critical"))))</f>
        <v/>
      </c>
      <c r="F32" s="65" t="str">
        <f aca="false">IF(E32="","",IF(E32="Normal","5-15%",IF(E32="Elevated","15%",IF(E32="Severe","20%","25%"))))</f>
        <v/>
      </c>
      <c r="G32" s="65" t="str">
        <f aca="false">IF(E32="","",IF(E32="Normal","Standard (score &gt;=65)",IF(E32="Elevated","Restricted (score &gt;=80 only)","Suspended")))</f>
        <v/>
      </c>
      <c r="H32" s="113"/>
    </row>
    <row r="33" customFormat="false" ht="15" hidden="false" customHeight="true" outlineLevel="0" collapsed="false">
      <c r="A33" s="114"/>
      <c r="B33" s="137"/>
      <c r="C33" s="156" t="str">
        <f aca="false">IF(B33="","",MAX(C32,B33))</f>
        <v/>
      </c>
      <c r="D33" s="157" t="str">
        <f aca="false">IF(OR(B33="",C33=""),"",B33/C33-1)</f>
        <v/>
      </c>
      <c r="E33" s="93" t="str">
        <f aca="false">IF(D33="","",IF(D33&gt;=-0.1,"Normal",IF(D33&gt;=-0.2,"Elevated",IF(D33&gt;=-0.3,"Severe","Critical"))))</f>
        <v/>
      </c>
      <c r="F33" s="65" t="str">
        <f aca="false">IF(E33="","",IF(E33="Normal","5-15%",IF(E33="Elevated","15%",IF(E33="Severe","20%","25%"))))</f>
        <v/>
      </c>
      <c r="G33" s="65" t="str">
        <f aca="false">IF(E33="","",IF(E33="Normal","Standard (score &gt;=65)",IF(E33="Elevated","Restricted (score &gt;=80 only)","Suspended")))</f>
        <v/>
      </c>
      <c r="H33" s="113"/>
    </row>
    <row r="34" customFormat="false" ht="15" hidden="false" customHeight="true" outlineLevel="0" collapsed="false">
      <c r="A34" s="114"/>
      <c r="B34" s="137"/>
      <c r="C34" s="156" t="str">
        <f aca="false">IF(B34="","",MAX(C33,B34))</f>
        <v/>
      </c>
      <c r="D34" s="157" t="str">
        <f aca="false">IF(OR(B34="",C34=""),"",B34/C34-1)</f>
        <v/>
      </c>
      <c r="E34" s="93" t="str">
        <f aca="false">IF(D34="","",IF(D34&gt;=-0.1,"Normal",IF(D34&gt;=-0.2,"Elevated",IF(D34&gt;=-0.3,"Severe","Critical"))))</f>
        <v/>
      </c>
      <c r="F34" s="65" t="str">
        <f aca="false">IF(E34="","",IF(E34="Normal","5-15%",IF(E34="Elevated","15%",IF(E34="Severe","20%","25%"))))</f>
        <v/>
      </c>
      <c r="G34" s="65" t="str">
        <f aca="false">IF(E34="","",IF(E34="Normal","Standard (score &gt;=65)",IF(E34="Elevated","Restricted (score &gt;=80 only)","Suspended")))</f>
        <v/>
      </c>
      <c r="H34" s="113"/>
    </row>
    <row r="35" customFormat="false" ht="15" hidden="false" customHeight="true" outlineLevel="0" collapsed="false">
      <c r="A35" s="114"/>
      <c r="B35" s="137"/>
      <c r="C35" s="156" t="str">
        <f aca="false">IF(B35="","",MAX(C34,B35))</f>
        <v/>
      </c>
      <c r="D35" s="157" t="str">
        <f aca="false">IF(OR(B35="",C35=""),"",B35/C35-1)</f>
        <v/>
      </c>
      <c r="E35" s="93" t="str">
        <f aca="false">IF(D35="","",IF(D35&gt;=-0.1,"Normal",IF(D35&gt;=-0.2,"Elevated",IF(D35&gt;=-0.3,"Severe","Critical"))))</f>
        <v/>
      </c>
      <c r="F35" s="65" t="str">
        <f aca="false">IF(E35="","",IF(E35="Normal","5-15%",IF(E35="Elevated","15%",IF(E35="Severe","20%","25%"))))</f>
        <v/>
      </c>
      <c r="G35" s="65" t="str">
        <f aca="false">IF(E35="","",IF(E35="Normal","Standard (score &gt;=65)",IF(E35="Elevated","Restricted (score &gt;=80 only)","Suspended")))</f>
        <v/>
      </c>
      <c r="H35" s="113"/>
    </row>
    <row r="36" customFormat="false" ht="15" hidden="false" customHeight="true" outlineLevel="0" collapsed="false">
      <c r="A36" s="114"/>
      <c r="B36" s="137"/>
      <c r="C36" s="156" t="str">
        <f aca="false">IF(B36="","",MAX(C35,B36))</f>
        <v/>
      </c>
      <c r="D36" s="157" t="str">
        <f aca="false">IF(OR(B36="",C36=""),"",B36/C36-1)</f>
        <v/>
      </c>
      <c r="E36" s="93" t="str">
        <f aca="false">IF(D36="","",IF(D36&gt;=-0.1,"Normal",IF(D36&gt;=-0.2,"Elevated",IF(D36&gt;=-0.3,"Severe","Critical"))))</f>
        <v/>
      </c>
      <c r="F36" s="65" t="str">
        <f aca="false">IF(E36="","",IF(E36="Normal","5-15%",IF(E36="Elevated","15%",IF(E36="Severe","20%","25%"))))</f>
        <v/>
      </c>
      <c r="G36" s="65" t="str">
        <f aca="false">IF(E36="","",IF(E36="Normal","Standard (score &gt;=65)",IF(E36="Elevated","Restricted (score &gt;=80 only)","Suspended")))</f>
        <v/>
      </c>
      <c r="H36" s="113"/>
    </row>
    <row r="37" customFormat="false" ht="15" hidden="false" customHeight="true" outlineLevel="0" collapsed="false">
      <c r="A37" s="114"/>
      <c r="B37" s="137"/>
      <c r="C37" s="156" t="str">
        <f aca="false">IF(B37="","",MAX(C36,B37))</f>
        <v/>
      </c>
      <c r="D37" s="157" t="str">
        <f aca="false">IF(OR(B37="",C37=""),"",B37/C37-1)</f>
        <v/>
      </c>
      <c r="E37" s="93" t="str">
        <f aca="false">IF(D37="","",IF(D37&gt;=-0.1,"Normal",IF(D37&gt;=-0.2,"Elevated",IF(D37&gt;=-0.3,"Severe","Critical"))))</f>
        <v/>
      </c>
      <c r="F37" s="65" t="str">
        <f aca="false">IF(E37="","",IF(E37="Normal","5-15%",IF(E37="Elevated","15%",IF(E37="Severe","20%","25%"))))</f>
        <v/>
      </c>
      <c r="G37" s="65" t="str">
        <f aca="false">IF(E37="","",IF(E37="Normal","Standard (score &gt;=65)",IF(E37="Elevated","Restricted (score &gt;=80 only)","Suspended")))</f>
        <v/>
      </c>
      <c r="H37" s="113"/>
    </row>
    <row r="38" customFormat="false" ht="15" hidden="false" customHeight="true" outlineLevel="0" collapsed="false">
      <c r="A38" s="114"/>
      <c r="B38" s="137"/>
      <c r="C38" s="156" t="str">
        <f aca="false">IF(B38="","",MAX(C37,B38))</f>
        <v/>
      </c>
      <c r="D38" s="157" t="str">
        <f aca="false">IF(OR(B38="",C38=""),"",B38/C38-1)</f>
        <v/>
      </c>
      <c r="E38" s="93" t="str">
        <f aca="false">IF(D38="","",IF(D38&gt;=-0.1,"Normal",IF(D38&gt;=-0.2,"Elevated",IF(D38&gt;=-0.3,"Severe","Critical"))))</f>
        <v/>
      </c>
      <c r="F38" s="65" t="str">
        <f aca="false">IF(E38="","",IF(E38="Normal","5-15%",IF(E38="Elevated","15%",IF(E38="Severe","20%","25%"))))</f>
        <v/>
      </c>
      <c r="G38" s="65" t="str">
        <f aca="false">IF(E38="","",IF(E38="Normal","Standard (score &gt;=65)",IF(E38="Elevated","Restricted (score &gt;=80 only)","Suspended")))</f>
        <v/>
      </c>
      <c r="H38" s="113"/>
    </row>
    <row r="39" customFormat="false" ht="15" hidden="false" customHeight="true" outlineLevel="0" collapsed="false">
      <c r="A39" s="114"/>
      <c r="B39" s="137"/>
      <c r="C39" s="156" t="str">
        <f aca="false">IF(B39="","",MAX(C38,B39))</f>
        <v/>
      </c>
      <c r="D39" s="157" t="str">
        <f aca="false">IF(OR(B39="",C39=""),"",B39/C39-1)</f>
        <v/>
      </c>
      <c r="E39" s="93" t="str">
        <f aca="false">IF(D39="","",IF(D39&gt;=-0.1,"Normal",IF(D39&gt;=-0.2,"Elevated",IF(D39&gt;=-0.3,"Severe","Critical"))))</f>
        <v/>
      </c>
      <c r="F39" s="65" t="str">
        <f aca="false">IF(E39="","",IF(E39="Normal","5-15%",IF(E39="Elevated","15%",IF(E39="Severe","20%","25%"))))</f>
        <v/>
      </c>
      <c r="G39" s="65" t="str">
        <f aca="false">IF(E39="","",IF(E39="Normal","Standard (score &gt;=65)",IF(E39="Elevated","Restricted (score &gt;=80 only)","Suspended")))</f>
        <v/>
      </c>
      <c r="H39" s="113"/>
    </row>
    <row r="40" customFormat="false" ht="15" hidden="false" customHeight="true" outlineLevel="0" collapsed="false">
      <c r="A40" s="114"/>
      <c r="B40" s="137"/>
      <c r="C40" s="156" t="str">
        <f aca="false">IF(B40="","",MAX(C39,B40))</f>
        <v/>
      </c>
      <c r="D40" s="157" t="str">
        <f aca="false">IF(OR(B40="",C40=""),"",B40/C40-1)</f>
        <v/>
      </c>
      <c r="E40" s="93" t="str">
        <f aca="false">IF(D40="","",IF(D40&gt;=-0.1,"Normal",IF(D40&gt;=-0.2,"Elevated",IF(D40&gt;=-0.3,"Severe","Critical"))))</f>
        <v/>
      </c>
      <c r="F40" s="65" t="str">
        <f aca="false">IF(E40="","",IF(E40="Normal","5-15%",IF(E40="Elevated","15%",IF(E40="Severe","20%","25%"))))</f>
        <v/>
      </c>
      <c r="G40" s="65" t="str">
        <f aca="false">IF(E40="","",IF(E40="Normal","Standard (score &gt;=65)",IF(E40="Elevated","Restricted (score &gt;=80 only)","Suspended")))</f>
        <v/>
      </c>
      <c r="H40" s="113"/>
    </row>
    <row r="41" customFormat="false" ht="15" hidden="false" customHeight="true" outlineLevel="0" collapsed="false">
      <c r="A41" s="114"/>
      <c r="B41" s="137"/>
      <c r="C41" s="156" t="str">
        <f aca="false">IF(B41="","",MAX(C40,B41))</f>
        <v/>
      </c>
      <c r="D41" s="157" t="str">
        <f aca="false">IF(OR(B41="",C41=""),"",B41/C41-1)</f>
        <v/>
      </c>
      <c r="E41" s="93" t="str">
        <f aca="false">IF(D41="","",IF(D41&gt;=-0.1,"Normal",IF(D41&gt;=-0.2,"Elevated",IF(D41&gt;=-0.3,"Severe","Critical"))))</f>
        <v/>
      </c>
      <c r="F41" s="65" t="str">
        <f aca="false">IF(E41="","",IF(E41="Normal","5-15%",IF(E41="Elevated","15%",IF(E41="Severe","20%","25%"))))</f>
        <v/>
      </c>
      <c r="G41" s="65" t="str">
        <f aca="false">IF(E41="","",IF(E41="Normal","Standard (score &gt;=65)",IF(E41="Elevated","Restricted (score &gt;=80 only)","Suspended")))</f>
        <v/>
      </c>
      <c r="H41" s="113"/>
    </row>
    <row r="42" customFormat="false" ht="15" hidden="false" customHeight="true" outlineLevel="0" collapsed="false">
      <c r="A42" s="114"/>
      <c r="B42" s="137"/>
      <c r="C42" s="156" t="str">
        <f aca="false">IF(B42="","",MAX(C41,B42))</f>
        <v/>
      </c>
      <c r="D42" s="157" t="str">
        <f aca="false">IF(OR(B42="",C42=""),"",B42/C42-1)</f>
        <v/>
      </c>
      <c r="E42" s="93" t="str">
        <f aca="false">IF(D42="","",IF(D42&gt;=-0.1,"Normal",IF(D42&gt;=-0.2,"Elevated",IF(D42&gt;=-0.3,"Severe","Critical"))))</f>
        <v/>
      </c>
      <c r="F42" s="65" t="str">
        <f aca="false">IF(E42="","",IF(E42="Normal","5-15%",IF(E42="Elevated","15%",IF(E42="Severe","20%","25%"))))</f>
        <v/>
      </c>
      <c r="G42" s="65" t="str">
        <f aca="false">IF(E42="","",IF(E42="Normal","Standard (score &gt;=65)",IF(E42="Elevated","Restricted (score &gt;=80 only)","Suspended")))</f>
        <v/>
      </c>
      <c r="H42" s="113"/>
    </row>
  </sheetData>
  <mergeCells count="1">
    <mergeCell ref="A1:H1"/>
  </mergeCells>
  <conditionalFormatting sqref="E3:E42">
    <cfRule type="cellIs" priority="2" operator="equal" aboveAverage="0" equalAverage="0" bottom="0" percent="0" rank="0" text="" dxfId="17">
      <formula>"Normal"</formula>
    </cfRule>
    <cfRule type="cellIs" priority="3" operator="equal" aboveAverage="0" equalAverage="0" bottom="0" percent="0" rank="0" text="" dxfId="27">
      <formula>"Elevated"</formula>
    </cfRule>
    <cfRule type="cellIs" priority="4" operator="equal" aboveAverage="0" equalAverage="0" bottom="0" percent="0" rank="0" text="" dxfId="20">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C10" activeCellId="0" sqref="C10"/>
    </sheetView>
  </sheetViews>
  <sheetFormatPr defaultColWidth="8.66796875" defaultRowHeight="14.2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 collapsed="false" customWidth="true" hidden="false" outlineLevel="0" max="13" min="13" style="1" width="14"/>
  </cols>
  <sheetData>
    <row r="1" s="1" customFormat="true" ht="21" hidden="false" customHeight="true" outlineLevel="0" collapsed="false">
      <c r="A1" s="158" t="s">
        <v>465</v>
      </c>
      <c r="B1" s="158"/>
      <c r="C1" s="158"/>
      <c r="D1" s="158"/>
      <c r="E1" s="158"/>
      <c r="F1" s="158"/>
      <c r="G1" s="158"/>
      <c r="H1" s="158"/>
      <c r="I1" s="158"/>
      <c r="J1" s="158"/>
      <c r="K1" s="158"/>
      <c r="L1" s="158"/>
      <c r="M1" s="158"/>
    </row>
    <row r="2" customFormat="false" ht="45.75" hidden="false" customHeight="true" outlineLevel="0" collapsed="false">
      <c r="A2" s="59" t="s">
        <v>81</v>
      </c>
      <c r="B2" s="59" t="s">
        <v>279</v>
      </c>
      <c r="C2" s="59" t="s">
        <v>466</v>
      </c>
      <c r="D2" s="59" t="s">
        <v>467</v>
      </c>
      <c r="E2" s="59" t="s">
        <v>468</v>
      </c>
      <c r="F2" s="59" t="s">
        <v>469</v>
      </c>
      <c r="G2" s="59" t="s">
        <v>470</v>
      </c>
      <c r="H2" s="59" t="s">
        <v>471</v>
      </c>
      <c r="I2" s="59" t="s">
        <v>472</v>
      </c>
      <c r="J2" s="59" t="s">
        <v>473</v>
      </c>
      <c r="K2" s="59" t="s">
        <v>474</v>
      </c>
      <c r="L2" s="59" t="s">
        <v>475</v>
      </c>
      <c r="M2" s="27" t="s">
        <v>476</v>
      </c>
    </row>
    <row r="3" customFormat="false" ht="15" hidden="false" customHeight="true" outlineLevel="0" collapsed="false">
      <c r="A3" s="119" t="s">
        <v>104</v>
      </c>
      <c r="B3" s="119" t="s">
        <v>105</v>
      </c>
      <c r="C3" s="119" t="s">
        <v>477</v>
      </c>
      <c r="D3" s="159" t="n">
        <v>46278</v>
      </c>
      <c r="E3" s="119" t="n">
        <v>63.4</v>
      </c>
      <c r="F3" s="119" t="n">
        <v>63.4</v>
      </c>
      <c r="G3" s="159" t="n">
        <v>46278</v>
      </c>
      <c r="H3" s="119"/>
      <c r="I3" s="142" t="n">
        <f aca="false">IF(D3="","",D3+90)</f>
        <v>46368</v>
      </c>
      <c r="J3" s="160" t="n">
        <f aca="true">IF(I3="","",I3-TODAY())</f>
        <v>73</v>
      </c>
      <c r="K3" s="125"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ON TRACK</v>
      </c>
      <c r="L3" s="119" t="s">
        <v>478</v>
      </c>
      <c r="M3" s="161" t="n">
        <v>0</v>
      </c>
    </row>
    <row r="4" customFormat="false" ht="15" hidden="false" customHeight="true" outlineLevel="0" collapsed="false">
      <c r="A4" s="119"/>
      <c r="B4" s="119"/>
      <c r="C4" s="119"/>
      <c r="D4" s="159"/>
      <c r="E4" s="119"/>
      <c r="F4" s="119"/>
      <c r="G4" s="159"/>
      <c r="H4" s="119"/>
      <c r="I4" s="142" t="str">
        <f aca="false">IF(D4="","",D4+90)</f>
        <v/>
      </c>
      <c r="J4" s="160" t="str">
        <f aca="true">IF(I4="","",I4-TODAY())</f>
        <v/>
      </c>
      <c r="K4" s="125"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119"/>
    </row>
    <row r="5" customFormat="false" ht="15" hidden="false" customHeight="true" outlineLevel="0" collapsed="false">
      <c r="A5" s="119"/>
      <c r="B5" s="119"/>
      <c r="C5" s="119"/>
      <c r="D5" s="159"/>
      <c r="E5" s="119"/>
      <c r="F5" s="119"/>
      <c r="G5" s="159"/>
      <c r="H5" s="119"/>
      <c r="I5" s="142" t="str">
        <f aca="false">IF(D5="","",D5+90)</f>
        <v/>
      </c>
      <c r="J5" s="160" t="str">
        <f aca="true">IF(I5="","",I5-TODAY())</f>
        <v/>
      </c>
      <c r="K5" s="125"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119"/>
    </row>
    <row r="6" customFormat="false" ht="15" hidden="false" customHeight="true" outlineLevel="0" collapsed="false">
      <c r="A6" s="119"/>
      <c r="B6" s="119"/>
      <c r="C6" s="119"/>
      <c r="D6" s="159"/>
      <c r="E6" s="119"/>
      <c r="F6" s="119"/>
      <c r="G6" s="159"/>
      <c r="H6" s="119"/>
      <c r="I6" s="142" t="str">
        <f aca="false">IF(D6="","",D6+90)</f>
        <v/>
      </c>
      <c r="J6" s="160" t="str">
        <f aca="true">IF(I6="","",I6-TODAY())</f>
        <v/>
      </c>
      <c r="K6" s="125"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119"/>
    </row>
    <row r="7" customFormat="false" ht="15" hidden="false" customHeight="true" outlineLevel="0" collapsed="false">
      <c r="A7" s="119"/>
      <c r="B7" s="119"/>
      <c r="C7" s="119"/>
      <c r="D7" s="159"/>
      <c r="E7" s="119"/>
      <c r="F7" s="119"/>
      <c r="G7" s="159"/>
      <c r="H7" s="119"/>
      <c r="I7" s="142" t="str">
        <f aca="false">IF(D7="","",D7+90)</f>
        <v/>
      </c>
      <c r="J7" s="160" t="str">
        <f aca="true">IF(I7="","",I7-TODAY())</f>
        <v/>
      </c>
      <c r="K7" s="125"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119"/>
    </row>
    <row r="8" customFormat="false" ht="15" hidden="false" customHeight="true" outlineLevel="0" collapsed="false">
      <c r="A8" s="119"/>
      <c r="B8" s="119"/>
      <c r="C8" s="119"/>
      <c r="D8" s="159"/>
      <c r="E8" s="119"/>
      <c r="F8" s="119"/>
      <c r="G8" s="159"/>
      <c r="H8" s="119"/>
      <c r="I8" s="142" t="str">
        <f aca="false">IF(D8="","",D8+90)</f>
        <v/>
      </c>
      <c r="J8" s="160" t="str">
        <f aca="true">IF(I8="","",I8-TODAY())</f>
        <v/>
      </c>
      <c r="K8" s="125"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119"/>
    </row>
    <row r="9" customFormat="false" ht="15" hidden="false" customHeight="true" outlineLevel="0" collapsed="false">
      <c r="A9" s="119"/>
      <c r="B9" s="119"/>
      <c r="C9" s="119"/>
      <c r="D9" s="159"/>
      <c r="E9" s="119"/>
      <c r="F9" s="119"/>
      <c r="G9" s="159"/>
      <c r="H9" s="119"/>
      <c r="I9" s="142" t="str">
        <f aca="false">IF(D9="","",D9+90)</f>
        <v/>
      </c>
      <c r="J9" s="160" t="str">
        <f aca="true">IF(I9="","",I9-TODAY())</f>
        <v/>
      </c>
      <c r="K9" s="125"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119"/>
    </row>
    <row r="10" customFormat="false" ht="15" hidden="false" customHeight="true" outlineLevel="0" collapsed="false">
      <c r="A10" s="119"/>
      <c r="B10" s="119"/>
      <c r="C10" s="119"/>
      <c r="D10" s="159"/>
      <c r="E10" s="119"/>
      <c r="F10" s="119"/>
      <c r="G10" s="159"/>
      <c r="H10" s="119"/>
      <c r="I10" s="142" t="str">
        <f aca="false">IF(D10="","",D10+90)</f>
        <v/>
      </c>
      <c r="J10" s="160" t="str">
        <f aca="true">IF(I10="","",I10-TODAY())</f>
        <v/>
      </c>
      <c r="K10" s="125"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119"/>
    </row>
    <row r="11" customFormat="false" ht="15" hidden="false" customHeight="true" outlineLevel="0" collapsed="false">
      <c r="A11" s="119"/>
      <c r="B11" s="119"/>
      <c r="C11" s="119"/>
      <c r="D11" s="159"/>
      <c r="E11" s="119"/>
      <c r="F11" s="119"/>
      <c r="G11" s="159"/>
      <c r="H11" s="119"/>
      <c r="I11" s="142" t="str">
        <f aca="false">IF(D11="","",D11+90)</f>
        <v/>
      </c>
      <c r="J11" s="160" t="str">
        <f aca="true">IF(I11="","",I11-TODAY())</f>
        <v/>
      </c>
      <c r="K11" s="125"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119"/>
    </row>
    <row r="12" customFormat="false" ht="15" hidden="false" customHeight="true" outlineLevel="0" collapsed="false">
      <c r="A12" s="119"/>
      <c r="B12" s="119"/>
      <c r="C12" s="119"/>
      <c r="D12" s="159"/>
      <c r="E12" s="119"/>
      <c r="F12" s="119"/>
      <c r="G12" s="159"/>
      <c r="H12" s="119"/>
      <c r="I12" s="142" t="str">
        <f aca="false">IF(D12="","",D12+90)</f>
        <v/>
      </c>
      <c r="J12" s="160" t="str">
        <f aca="true">IF(I12="","",I12-TODAY())</f>
        <v/>
      </c>
      <c r="K12" s="125"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119"/>
    </row>
    <row r="13" customFormat="false" ht="15" hidden="false" customHeight="true" outlineLevel="0" collapsed="false">
      <c r="A13" s="119"/>
      <c r="B13" s="119"/>
      <c r="C13" s="119"/>
      <c r="D13" s="159"/>
      <c r="E13" s="119"/>
      <c r="F13" s="119"/>
      <c r="G13" s="159"/>
      <c r="H13" s="119"/>
      <c r="I13" s="142" t="str">
        <f aca="false">IF(D13="","",D13+90)</f>
        <v/>
      </c>
      <c r="J13" s="160" t="str">
        <f aca="true">IF(I13="","",I13-TODAY())</f>
        <v/>
      </c>
      <c r="K13" s="125"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119"/>
    </row>
    <row r="14" customFormat="false" ht="15" hidden="false" customHeight="true" outlineLevel="0" collapsed="false">
      <c r="A14" s="119"/>
      <c r="B14" s="119"/>
      <c r="C14" s="119"/>
      <c r="D14" s="159"/>
      <c r="E14" s="119"/>
      <c r="F14" s="119"/>
      <c r="G14" s="159"/>
      <c r="H14" s="119"/>
      <c r="I14" s="142" t="str">
        <f aca="false">IF(D14="","",D14+90)</f>
        <v/>
      </c>
      <c r="J14" s="160" t="str">
        <f aca="true">IF(I14="","",I14-TODAY())</f>
        <v/>
      </c>
      <c r="K14" s="125"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119"/>
    </row>
    <row r="15" customFormat="false" ht="15" hidden="false" customHeight="true" outlineLevel="0" collapsed="false">
      <c r="A15" s="119"/>
      <c r="B15" s="119"/>
      <c r="C15" s="119"/>
      <c r="D15" s="159"/>
      <c r="E15" s="119"/>
      <c r="F15" s="119"/>
      <c r="G15" s="159"/>
      <c r="H15" s="119"/>
      <c r="I15" s="142" t="str">
        <f aca="false">IF(D15="","",D15+90)</f>
        <v/>
      </c>
      <c r="J15" s="160" t="str">
        <f aca="true">IF(I15="","",I15-TODAY())</f>
        <v/>
      </c>
      <c r="K15" s="125"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119"/>
    </row>
    <row r="16" customFormat="false" ht="15" hidden="false" customHeight="true" outlineLevel="0" collapsed="false">
      <c r="A16" s="119"/>
      <c r="B16" s="119"/>
      <c r="C16" s="119"/>
      <c r="D16" s="159"/>
      <c r="E16" s="119"/>
      <c r="F16" s="119"/>
      <c r="G16" s="159"/>
      <c r="H16" s="119"/>
      <c r="I16" s="142" t="str">
        <f aca="false">IF(D16="","",D16+90)</f>
        <v/>
      </c>
      <c r="J16" s="160" t="str">
        <f aca="true">IF(I16="","",I16-TODAY())</f>
        <v/>
      </c>
      <c r="K16" s="125"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119"/>
    </row>
    <row r="17" customFormat="false" ht="15" hidden="false" customHeight="true" outlineLevel="0" collapsed="false">
      <c r="A17" s="119"/>
      <c r="B17" s="119"/>
      <c r="C17" s="119"/>
      <c r="D17" s="159"/>
      <c r="E17" s="119"/>
      <c r="F17" s="119"/>
      <c r="G17" s="159"/>
      <c r="H17" s="119"/>
      <c r="I17" s="142" t="str">
        <f aca="false">IF(D17="","",D17+90)</f>
        <v/>
      </c>
      <c r="J17" s="160" t="str">
        <f aca="true">IF(I17="","",I17-TODAY())</f>
        <v/>
      </c>
      <c r="K17" s="125"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119"/>
    </row>
    <row r="18" customFormat="false" ht="15" hidden="false" customHeight="true" outlineLevel="0" collapsed="false">
      <c r="A18" s="119"/>
      <c r="B18" s="119"/>
      <c r="C18" s="119"/>
      <c r="D18" s="159"/>
      <c r="E18" s="119"/>
      <c r="F18" s="119"/>
      <c r="G18" s="159"/>
      <c r="H18" s="119"/>
      <c r="I18" s="142" t="str">
        <f aca="false">IF(D18="","",D18+90)</f>
        <v/>
      </c>
      <c r="J18" s="160" t="str">
        <f aca="true">IF(I18="","",I18-TODAY())</f>
        <v/>
      </c>
      <c r="K18" s="125"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119"/>
    </row>
    <row r="19" customFormat="false" ht="15" hidden="false" customHeight="true" outlineLevel="0" collapsed="false">
      <c r="A19" s="119"/>
      <c r="B19" s="119"/>
      <c r="C19" s="119"/>
      <c r="D19" s="159"/>
      <c r="E19" s="119"/>
      <c r="F19" s="119"/>
      <c r="G19" s="159"/>
      <c r="H19" s="119"/>
      <c r="I19" s="142" t="str">
        <f aca="false">IF(D19="","",D19+90)</f>
        <v/>
      </c>
      <c r="J19" s="160" t="str">
        <f aca="true">IF(I19="","",I19-TODAY())</f>
        <v/>
      </c>
      <c r="K19" s="125"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119"/>
    </row>
    <row r="20" customFormat="false" ht="15" hidden="false" customHeight="true" outlineLevel="0" collapsed="false">
      <c r="A20" s="119"/>
      <c r="B20" s="119"/>
      <c r="C20" s="119"/>
      <c r="D20" s="159"/>
      <c r="E20" s="119"/>
      <c r="F20" s="119"/>
      <c r="G20" s="159"/>
      <c r="H20" s="119"/>
      <c r="I20" s="142" t="str">
        <f aca="false">IF(D20="","",D20+90)</f>
        <v/>
      </c>
      <c r="J20" s="160" t="str">
        <f aca="true">IF(I20="","",I20-TODAY())</f>
        <v/>
      </c>
      <c r="K20" s="125"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119"/>
    </row>
    <row r="21" customFormat="false" ht="15" hidden="false" customHeight="true" outlineLevel="0" collapsed="false">
      <c r="A21" s="119"/>
      <c r="B21" s="119"/>
      <c r="C21" s="119"/>
      <c r="D21" s="159"/>
      <c r="E21" s="119"/>
      <c r="F21" s="119"/>
      <c r="G21" s="159"/>
      <c r="H21" s="119"/>
      <c r="I21" s="142" t="str">
        <f aca="false">IF(D21="","",D21+90)</f>
        <v/>
      </c>
      <c r="J21" s="160" t="str">
        <f aca="true">IF(I21="","",I21-TODAY())</f>
        <v/>
      </c>
      <c r="K21" s="125"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119"/>
    </row>
    <row r="22" customFormat="false" ht="15" hidden="false" customHeight="true" outlineLevel="0" collapsed="false">
      <c r="A22" s="119"/>
      <c r="B22" s="119"/>
      <c r="C22" s="119"/>
      <c r="D22" s="159"/>
      <c r="E22" s="119"/>
      <c r="F22" s="119"/>
      <c r="G22" s="159"/>
      <c r="H22" s="119"/>
      <c r="I22" s="142" t="str">
        <f aca="false">IF(D22="","",D22+90)</f>
        <v/>
      </c>
      <c r="J22" s="160" t="str">
        <f aca="true">IF(I22="","",I22-TODAY())</f>
        <v/>
      </c>
      <c r="K22" s="125"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119"/>
    </row>
  </sheetData>
  <conditionalFormatting sqref="K3:K22">
    <cfRule type="expression" priority="2" aboveAverage="0" equalAverage="0" bottom="0" percent="0" rank="0" text="" dxfId="17">
      <formula>ISNUMBER(SEARCH("RECOVERED",K3))</formula>
    </cfRule>
    <cfRule type="expression" priority="3" aboveAverage="0" equalAverage="0" bottom="0" percent="0" rank="0" text="" dxfId="17">
      <formula>ISNUMBER(SEARCH("ON TRACK",K3))</formula>
    </cfRule>
    <cfRule type="expression" priority="4" aboveAverage="0" equalAverage="0" bottom="0" percent="0" rank="0" text="" dxfId="19">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F42" activeCellId="0" sqref="F42"/>
    </sheetView>
  </sheetViews>
  <sheetFormatPr defaultColWidth="8.66796875" defaultRowHeight="14.25" customHeight="false" zeroHeight="false" outlineLevelRow="0" outlineLevelCol="0"/>
  <cols>
    <col collapsed="false" customWidth="true" hidden="false" outlineLevel="0" max="1" min="1" style="162" width="8"/>
    <col collapsed="false" customWidth="true" hidden="false" outlineLevel="0" max="2" min="2" style="1" width="14"/>
    <col collapsed="false" customWidth="true" hidden="false" outlineLevel="0" max="21" min="3" style="1" width="9.56"/>
  </cols>
  <sheetData>
    <row r="1" customFormat="false" ht="25.5" hidden="false" customHeight="true" outlineLevel="0" collapsed="false">
      <c r="A1" s="163" t="s">
        <v>479</v>
      </c>
      <c r="B1" s="158"/>
      <c r="C1" s="158"/>
      <c r="D1" s="158"/>
      <c r="E1" s="158"/>
      <c r="F1" s="158"/>
      <c r="G1" s="158"/>
      <c r="H1" s="158"/>
      <c r="I1" s="158"/>
      <c r="J1" s="158"/>
      <c r="K1" s="158"/>
      <c r="L1" s="158"/>
      <c r="M1" s="158"/>
      <c r="N1" s="158"/>
      <c r="O1" s="158"/>
      <c r="P1" s="158"/>
      <c r="Q1" s="158"/>
      <c r="R1" s="158"/>
      <c r="S1" s="158"/>
      <c r="T1" s="158"/>
    </row>
    <row r="2" customFormat="false" ht="15.75" hidden="false" customHeight="true" outlineLevel="0" collapsed="false">
      <c r="D2" s="164" t="s">
        <v>480</v>
      </c>
      <c r="E2" s="164"/>
      <c r="F2" s="164"/>
      <c r="G2" s="164"/>
      <c r="H2" s="164"/>
      <c r="I2" s="165" t="s">
        <v>481</v>
      </c>
      <c r="J2" s="165"/>
      <c r="K2" s="165"/>
      <c r="L2" s="165"/>
      <c r="M2" s="165"/>
      <c r="N2" s="166" t="s">
        <v>482</v>
      </c>
      <c r="O2" s="166"/>
      <c r="P2" s="166"/>
      <c r="Q2" s="166"/>
      <c r="R2" s="166"/>
      <c r="S2" s="167" t="s">
        <v>483</v>
      </c>
      <c r="T2" s="167"/>
      <c r="U2" s="167"/>
    </row>
    <row r="3" customFormat="false" ht="42.75" hidden="false" customHeight="true" outlineLevel="0" collapsed="false">
      <c r="A3" s="111" t="s">
        <v>81</v>
      </c>
      <c r="B3" s="111" t="s">
        <v>279</v>
      </c>
      <c r="C3" s="111" t="s">
        <v>484</v>
      </c>
      <c r="D3" s="111" t="s">
        <v>485</v>
      </c>
      <c r="E3" s="111" t="s">
        <v>486</v>
      </c>
      <c r="F3" s="111" t="s">
        <v>487</v>
      </c>
      <c r="G3" s="111" t="s">
        <v>488</v>
      </c>
      <c r="H3" s="111" t="s">
        <v>489</v>
      </c>
      <c r="I3" s="111" t="s">
        <v>485</v>
      </c>
      <c r="J3" s="111" t="s">
        <v>486</v>
      </c>
      <c r="K3" s="111" t="s">
        <v>487</v>
      </c>
      <c r="L3" s="111" t="s">
        <v>488</v>
      </c>
      <c r="M3" s="111" t="s">
        <v>489</v>
      </c>
      <c r="N3" s="111" t="s">
        <v>485</v>
      </c>
      <c r="O3" s="111" t="s">
        <v>486</v>
      </c>
      <c r="P3" s="111" t="s">
        <v>487</v>
      </c>
      <c r="Q3" s="111" t="s">
        <v>488</v>
      </c>
      <c r="R3" s="111" t="s">
        <v>489</v>
      </c>
      <c r="S3" s="111" t="s">
        <v>490</v>
      </c>
      <c r="T3" s="111" t="s">
        <v>491</v>
      </c>
      <c r="U3" s="111" t="s">
        <v>492</v>
      </c>
    </row>
    <row r="4" customFormat="false" ht="15" hidden="false" customHeight="true" outlineLevel="0" collapsed="false">
      <c r="A4" s="62"/>
      <c r="B4" s="63"/>
      <c r="C4" s="67"/>
      <c r="D4" s="67"/>
      <c r="E4" s="168"/>
      <c r="F4" s="67"/>
      <c r="G4" s="68" t="str">
        <f aca="false">IF(OR(C4="",D4="",E4="",F4=""),"",IFERROR(((D4*E4+F4)/C4)^(1/5)-1,"n/a"))</f>
        <v/>
      </c>
      <c r="H4" s="63"/>
      <c r="I4" s="67"/>
      <c r="J4" s="168"/>
      <c r="K4" s="67"/>
      <c r="L4" s="68" t="str">
        <f aca="false">IF(OR(C4="",I4="",J4="",K4=""),"",IFERROR(((I4*J4+K4)/C4)^(1/5)-1,"n/a"))</f>
        <v/>
      </c>
      <c r="M4" s="63"/>
      <c r="N4" s="67"/>
      <c r="O4" s="168"/>
      <c r="P4" s="67"/>
      <c r="Q4" s="68" t="str">
        <f aca="false">IF(OR(C4="",N4="",O4="",P4=""),"",IFERROR(((N4*O4+P4)/C4)^(1/5)-1,"n/a"))</f>
        <v/>
      </c>
      <c r="R4" s="63"/>
      <c r="S4" s="72" t="str">
        <f aca="false">IF(G4="","",IF(G4&gt;0.1,"PASS","FAIL"))</f>
        <v/>
      </c>
      <c r="T4" s="72" t="str">
        <f aca="false">IF(L4="","",IF(L4&gt;=0,"PASS","FAIL"))</f>
        <v/>
      </c>
      <c r="U4" s="72" t="str">
        <f aca="false">IF(COUNTA(H4,M4,R4)=0,"",IF((COUNTIF(H4,"Likely")+COUNTIF(M4,"Likely")+COUNTIF(R4,"Likely"))=1,"OK","CHECK TAGS"))</f>
        <v/>
      </c>
    </row>
    <row r="5" customFormat="false" ht="15" hidden="false" customHeight="true" outlineLevel="0" collapsed="false">
      <c r="A5" s="62"/>
      <c r="B5" s="63"/>
      <c r="C5" s="67"/>
      <c r="D5" s="67"/>
      <c r="E5" s="168"/>
      <c r="F5" s="67"/>
      <c r="G5" s="68" t="str">
        <f aca="false">IF(OR(C5="",D5="",E5="",F5=""),"",IFERROR(((D5*E5+F5)/C5)^(1/5)-1,"n/a"))</f>
        <v/>
      </c>
      <c r="H5" s="63"/>
      <c r="I5" s="67"/>
      <c r="J5" s="168"/>
      <c r="K5" s="67"/>
      <c r="L5" s="68" t="str">
        <f aca="false">IF(OR(C5="",I5="",J5="",K5=""),"",IFERROR(((I5*J5+K5)/C5)^(1/5)-1,"n/a"))</f>
        <v/>
      </c>
      <c r="M5" s="63"/>
      <c r="N5" s="67"/>
      <c r="O5" s="168"/>
      <c r="P5" s="67"/>
      <c r="Q5" s="68" t="str">
        <f aca="false">IF(OR(C5="",N5="",O5="",P5=""),"",IFERROR(((N5*O5+P5)/C5)^(1/5)-1,"n/a"))</f>
        <v/>
      </c>
      <c r="R5" s="63"/>
      <c r="S5" s="72" t="str">
        <f aca="false">IF(G5="","",IF(G5&gt;0.1,"PASS","FAIL"))</f>
        <v/>
      </c>
      <c r="T5" s="72" t="str">
        <f aca="false">IF(L5="","",IF(L5&gt;=0,"PASS","FAIL"))</f>
        <v/>
      </c>
      <c r="U5" s="72" t="str">
        <f aca="false">IF(COUNTA(H5,M5,R5)=0,"",IF((COUNTIF(H5,"Likely")+COUNTIF(M5,"Likely")+COUNTIF(R5,"Likely"))=1,"OK","CHECK TAGS"))</f>
        <v/>
      </c>
    </row>
    <row r="6" customFormat="false" ht="15" hidden="false" customHeight="true" outlineLevel="0" collapsed="false">
      <c r="A6" s="62"/>
      <c r="B6" s="63"/>
      <c r="C6" s="67"/>
      <c r="D6" s="67"/>
      <c r="E6" s="168"/>
      <c r="F6" s="67"/>
      <c r="G6" s="68" t="str">
        <f aca="false">IF(OR(C6="",D6="",E6="",F6=""),"",IFERROR(((D6*E6+F6)/C6)^(1/5)-1,"n/a"))</f>
        <v/>
      </c>
      <c r="H6" s="63"/>
      <c r="I6" s="67"/>
      <c r="J6" s="168"/>
      <c r="K6" s="67"/>
      <c r="L6" s="68" t="str">
        <f aca="false">IF(OR(C6="",I6="",J6="",K6=""),"",IFERROR(((I6*J6+K6)/C6)^(1/5)-1,"n/a"))</f>
        <v/>
      </c>
      <c r="M6" s="63"/>
      <c r="N6" s="67"/>
      <c r="O6" s="168"/>
      <c r="P6" s="67"/>
      <c r="Q6" s="68" t="str">
        <f aca="false">IF(OR(C6="",N6="",O6="",P6=""),"",IFERROR(((N6*O6+P6)/C6)^(1/5)-1,"n/a"))</f>
        <v/>
      </c>
      <c r="R6" s="63"/>
      <c r="S6" s="72" t="str">
        <f aca="false">IF(G6="","",IF(G6&gt;0.1,"PASS","FAIL"))</f>
        <v/>
      </c>
      <c r="T6" s="72" t="str">
        <f aca="false">IF(L6="","",IF(L6&gt;=0,"PASS","FAIL"))</f>
        <v/>
      </c>
      <c r="U6" s="72" t="str">
        <f aca="false">IF(COUNTA(H6,M6,R6)=0,"",IF((COUNTIF(H6,"Likely")+COUNTIF(M6,"Likely")+COUNTIF(R6,"Likely"))=1,"OK","CHECK TAGS"))</f>
        <v/>
      </c>
    </row>
    <row r="7" customFormat="false" ht="15" hidden="false" customHeight="true" outlineLevel="0" collapsed="false">
      <c r="A7" s="62"/>
      <c r="B7" s="70"/>
      <c r="C7" s="67"/>
      <c r="D7" s="67"/>
      <c r="E7" s="168"/>
      <c r="F7" s="67"/>
      <c r="G7" s="68" t="str">
        <f aca="false">IF(OR(C7="",D7="",E7="",F7=""),"",IFERROR(((D7*E7+F7)/C7)^(1/5)-1,"n/a"))</f>
        <v/>
      </c>
      <c r="H7" s="63"/>
      <c r="I7" s="67"/>
      <c r="J7" s="168"/>
      <c r="K7" s="67"/>
      <c r="L7" s="68" t="str">
        <f aca="false">IF(OR(C7="",I7="",J7="",K7=""),"",IFERROR(((I7*J7+K7)/C7)^(1/5)-1,"n/a"))</f>
        <v/>
      </c>
      <c r="M7" s="63"/>
      <c r="N7" s="67"/>
      <c r="O7" s="168"/>
      <c r="P7" s="67"/>
      <c r="Q7" s="68" t="str">
        <f aca="false">IF(OR(C7="",N7="",O7="",P7=""),"",IFERROR(((N7*O7+P7)/C7)^(1/5)-1,"n/a"))</f>
        <v/>
      </c>
      <c r="R7" s="63"/>
      <c r="S7" s="72" t="str">
        <f aca="false">IF(G7="","",IF(G7&gt;0.1,"PASS","FAIL"))</f>
        <v/>
      </c>
      <c r="T7" s="72" t="str">
        <f aca="false">IF(L7="","",IF(L7&gt;=0,"PASS","FAIL"))</f>
        <v/>
      </c>
      <c r="U7" s="72" t="str">
        <f aca="false">IF(COUNTA(H7,M7,R7)=0,"",IF((COUNTIF(H7,"Likely")+COUNTIF(M7,"Likely")+COUNTIF(R7,"Likely"))=1,"OK","CHECK TAGS"))</f>
        <v/>
      </c>
    </row>
    <row r="8" customFormat="false" ht="15" hidden="false" customHeight="true" outlineLevel="0" collapsed="false">
      <c r="A8" s="62"/>
      <c r="B8" s="70"/>
      <c r="C8" s="67"/>
      <c r="D8" s="67"/>
      <c r="E8" s="168"/>
      <c r="F8" s="67"/>
      <c r="G8" s="68" t="str">
        <f aca="false">IF(OR(C8="",D8="",E8="",F8=""),"",IFERROR(((D8*E8+F8)/C8)^(1/5)-1,"n/a"))</f>
        <v/>
      </c>
      <c r="H8" s="63"/>
      <c r="I8" s="67"/>
      <c r="J8" s="168"/>
      <c r="K8" s="67"/>
      <c r="L8" s="68" t="str">
        <f aca="false">IF(OR(C8="",I8="",J8="",K8=""),"",IFERROR(((I8*J8+K8)/C8)^(1/5)-1,"n/a"))</f>
        <v/>
      </c>
      <c r="M8" s="63"/>
      <c r="N8" s="67"/>
      <c r="O8" s="168"/>
      <c r="P8" s="67"/>
      <c r="Q8" s="68" t="str">
        <f aca="false">IF(OR(C8="",N8="",O8="",P8=""),"",IFERROR(((N8*O8+P8)/C8)^(1/5)-1,"n/a"))</f>
        <v/>
      </c>
      <c r="R8" s="63"/>
      <c r="S8" s="72" t="str">
        <f aca="false">IF(G8="","",IF(G8&gt;0.1,"PASS","FAIL"))</f>
        <v/>
      </c>
      <c r="T8" s="72" t="str">
        <f aca="false">IF(L8="","",IF(L8&gt;=0,"PASS","FAIL"))</f>
        <v/>
      </c>
      <c r="U8" s="72" t="str">
        <f aca="false">IF(COUNTA(H8,M8,R8)=0,"",IF((COUNTIF(H8,"Likely")+COUNTIF(M8,"Likely")+COUNTIF(R8,"Likely"))=1,"OK","CHECK TAGS"))</f>
        <v/>
      </c>
    </row>
    <row r="9" customFormat="false" ht="15" hidden="false" customHeight="true" outlineLevel="0" collapsed="false">
      <c r="A9" s="62"/>
      <c r="B9" s="70"/>
      <c r="C9" s="67"/>
      <c r="D9" s="67"/>
      <c r="E9" s="168"/>
      <c r="F9" s="67"/>
      <c r="G9" s="68" t="str">
        <f aca="false">IF(OR(C9="",D9="",E9="",F9=""),"",IFERROR(((D9*E9+F9)/C9)^(1/5)-1,"n/a"))</f>
        <v/>
      </c>
      <c r="H9" s="63"/>
      <c r="I9" s="67"/>
      <c r="J9" s="168"/>
      <c r="K9" s="67"/>
      <c r="L9" s="68" t="str">
        <f aca="false">IF(OR(C9="",I9="",J9="",K9=""),"",IFERROR(((I9*J9+K9)/C9)^(1/5)-1,"n/a"))</f>
        <v/>
      </c>
      <c r="M9" s="63"/>
      <c r="N9" s="67"/>
      <c r="O9" s="168"/>
      <c r="P9" s="67"/>
      <c r="Q9" s="68" t="str">
        <f aca="false">IF(OR(C9="",N9="",O9="",P9=""),"",IFERROR(((N9*O9+P9)/C9)^(1/5)-1,"n/a"))</f>
        <v/>
      </c>
      <c r="R9" s="63"/>
      <c r="S9" s="72" t="str">
        <f aca="false">IF(G9="","",IF(G9&gt;0.1,"PASS","FAIL"))</f>
        <v/>
      </c>
      <c r="T9" s="72" t="str">
        <f aca="false">IF(L9="","",IF(L9&gt;=0,"PASS","FAIL"))</f>
        <v/>
      </c>
      <c r="U9" s="72" t="str">
        <f aca="false">IF(COUNTA(H9,M9,R9)=0,"",IF((COUNTIF(H9,"Likely")+COUNTIF(M9,"Likely")+COUNTIF(R9,"Likely"))=1,"OK","CHECK TAGS"))</f>
        <v/>
      </c>
    </row>
    <row r="10" customFormat="false" ht="15" hidden="false" customHeight="true" outlineLevel="0" collapsed="false">
      <c r="A10" s="62"/>
      <c r="B10" s="70"/>
      <c r="C10" s="67"/>
      <c r="D10" s="67"/>
      <c r="E10" s="168"/>
      <c r="F10" s="67"/>
      <c r="G10" s="68" t="str">
        <f aca="false">IF(OR(C10="",D10="",E10="",F10=""),"",IFERROR(((D10*E10+F10)/C10)^(1/5)-1,"n/a"))</f>
        <v/>
      </c>
      <c r="H10" s="63"/>
      <c r="I10" s="67"/>
      <c r="J10" s="168"/>
      <c r="K10" s="67"/>
      <c r="L10" s="68" t="str">
        <f aca="false">IF(OR(C10="",I10="",J10="",K10=""),"",IFERROR(((I10*J10+K10)/C10)^(1/5)-1,"n/a"))</f>
        <v/>
      </c>
      <c r="M10" s="63"/>
      <c r="N10" s="67"/>
      <c r="O10" s="168"/>
      <c r="P10" s="67"/>
      <c r="Q10" s="68" t="str">
        <f aca="false">IF(OR(C10="",N10="",O10="",P10=""),"",IFERROR(((N10*O10+P10)/C10)^(1/5)-1,"n/a"))</f>
        <v/>
      </c>
      <c r="R10" s="63"/>
      <c r="S10" s="72" t="str">
        <f aca="false">IF(G10="","",IF(G10&gt;0.1,"PASS","FAIL"))</f>
        <v/>
      </c>
      <c r="T10" s="72" t="str">
        <f aca="false">IF(L10="","",IF(L10&gt;=0,"PASS","FAIL"))</f>
        <v/>
      </c>
      <c r="U10" s="72" t="str">
        <f aca="false">IF(COUNTA(H10,M10,R10)=0,"",IF((COUNTIF(H10,"Likely")+COUNTIF(M10,"Likely")+COUNTIF(R10,"Likely"))=1,"OK","CHECK TAGS"))</f>
        <v/>
      </c>
    </row>
    <row r="11" customFormat="false" ht="15" hidden="false" customHeight="true" outlineLevel="0" collapsed="false">
      <c r="A11" s="62"/>
      <c r="B11" s="70"/>
      <c r="C11" s="67"/>
      <c r="D11" s="67"/>
      <c r="E11" s="168"/>
      <c r="F11" s="67"/>
      <c r="G11" s="68" t="str">
        <f aca="false">IF(OR(C11="",D11="",E11="",F11=""),"",IFERROR(((D11*E11+F11)/C11)^(1/5)-1,"n/a"))</f>
        <v/>
      </c>
      <c r="H11" s="63"/>
      <c r="I11" s="67"/>
      <c r="J11" s="168"/>
      <c r="K11" s="67"/>
      <c r="L11" s="68" t="str">
        <f aca="false">IF(OR(C11="",I11="",J11="",K11=""),"",IFERROR(((I11*J11+K11)/C11)^(1/5)-1,"n/a"))</f>
        <v/>
      </c>
      <c r="M11" s="63"/>
      <c r="N11" s="67"/>
      <c r="O11" s="168"/>
      <c r="P11" s="67"/>
      <c r="Q11" s="68" t="str">
        <f aca="false">IF(OR(C11="",N11="",O11="",P11=""),"",IFERROR(((N11*O11+P11)/C11)^(1/5)-1,"n/a"))</f>
        <v/>
      </c>
      <c r="R11" s="63"/>
      <c r="S11" s="72" t="str">
        <f aca="false">IF(G11="","",IF(G11&gt;0.1,"PASS","FAIL"))</f>
        <v/>
      </c>
      <c r="T11" s="72" t="str">
        <f aca="false">IF(L11="","",IF(L11&gt;=0,"PASS","FAIL"))</f>
        <v/>
      </c>
      <c r="U11" s="72" t="str">
        <f aca="false">IF(COUNTA(H11,M11,R11)=0,"",IF((COUNTIF(H11,"Likely")+COUNTIF(M11,"Likely")+COUNTIF(R11,"Likely"))=1,"OK","CHECK TAGS"))</f>
        <v/>
      </c>
    </row>
    <row r="12" customFormat="false" ht="15" hidden="false" customHeight="true" outlineLevel="0" collapsed="false">
      <c r="A12" s="62"/>
      <c r="B12" s="70"/>
      <c r="C12" s="67"/>
      <c r="D12" s="67"/>
      <c r="E12" s="168"/>
      <c r="F12" s="67"/>
      <c r="G12" s="68" t="str">
        <f aca="false">IF(OR(C12="",D12="",E12="",F12=""),"",IFERROR(((D12*E12+F12)/C12)^(1/5)-1,"n/a"))</f>
        <v/>
      </c>
      <c r="H12" s="63"/>
      <c r="I12" s="67"/>
      <c r="J12" s="168"/>
      <c r="K12" s="67"/>
      <c r="L12" s="68" t="str">
        <f aca="false">IF(OR(C12="",I12="",J12="",K12=""),"",IFERROR(((I12*J12+K12)/C12)^(1/5)-1,"n/a"))</f>
        <v/>
      </c>
      <c r="M12" s="63"/>
      <c r="N12" s="67"/>
      <c r="O12" s="168"/>
      <c r="P12" s="67"/>
      <c r="Q12" s="68" t="str">
        <f aca="false">IF(OR(C12="",N12="",O12="",P12=""),"",IFERROR(((N12*O12+P12)/C12)^(1/5)-1,"n/a"))</f>
        <v/>
      </c>
      <c r="R12" s="63"/>
      <c r="S12" s="72" t="str">
        <f aca="false">IF(G12="","",IF(G12&gt;0.1,"PASS","FAIL"))</f>
        <v/>
      </c>
      <c r="T12" s="72" t="str">
        <f aca="false">IF(L12="","",IF(L12&gt;=0,"PASS","FAIL"))</f>
        <v/>
      </c>
      <c r="U12" s="72" t="str">
        <f aca="false">IF(COUNTA(H12,M12,R12)=0,"",IF((COUNTIF(H12,"Likely")+COUNTIF(M12,"Likely")+COUNTIF(R12,"Likely"))=1,"OK","CHECK TAGS"))</f>
        <v/>
      </c>
    </row>
    <row r="13" customFormat="false" ht="15" hidden="false" customHeight="true" outlineLevel="0" collapsed="false">
      <c r="A13" s="62"/>
      <c r="B13" s="70"/>
      <c r="C13" s="67"/>
      <c r="D13" s="67"/>
      <c r="E13" s="168"/>
      <c r="F13" s="67"/>
      <c r="G13" s="68" t="str">
        <f aca="false">IF(OR(C13="",D13="",E13="",F13=""),"",IFERROR(((D13*E13+F13)/C13)^(1/5)-1,"n/a"))</f>
        <v/>
      </c>
      <c r="H13" s="63"/>
      <c r="I13" s="67"/>
      <c r="J13" s="168"/>
      <c r="K13" s="67"/>
      <c r="L13" s="68" t="str">
        <f aca="false">IF(OR(C13="",I13="",J13="",K13=""),"",IFERROR(((I13*J13+K13)/C13)^(1/5)-1,"n/a"))</f>
        <v/>
      </c>
      <c r="M13" s="63"/>
      <c r="N13" s="67"/>
      <c r="O13" s="168"/>
      <c r="P13" s="67"/>
      <c r="Q13" s="68" t="str">
        <f aca="false">IF(OR(C13="",N13="",O13="",P13=""),"",IFERROR(((N13*O13+P13)/C13)^(1/5)-1,"n/a"))</f>
        <v/>
      </c>
      <c r="R13" s="63"/>
      <c r="S13" s="72" t="str">
        <f aca="false">IF(G13="","",IF(G13&gt;0.1,"PASS","FAIL"))</f>
        <v/>
      </c>
      <c r="T13" s="72" t="str">
        <f aca="false">IF(L13="","",IF(L13&gt;=0,"PASS","FAIL"))</f>
        <v/>
      </c>
      <c r="U13" s="72" t="str">
        <f aca="false">IF(COUNTA(H13,M13,R13)=0,"",IF((COUNTIF(H13,"Likely")+COUNTIF(M13,"Likely")+COUNTIF(R13,"Likely"))=1,"OK","CHECK TAGS"))</f>
        <v/>
      </c>
    </row>
    <row r="14" customFormat="false" ht="15" hidden="false" customHeight="true" outlineLevel="0" collapsed="false">
      <c r="A14" s="62"/>
      <c r="B14" s="70"/>
      <c r="C14" s="67"/>
      <c r="D14" s="67"/>
      <c r="E14" s="168"/>
      <c r="F14" s="67"/>
      <c r="G14" s="68" t="str">
        <f aca="false">IF(OR(C14="",D14="",E14="",F14=""),"",IFERROR(((D14*E14+F14)/C14)^(1/5)-1,"n/a"))</f>
        <v/>
      </c>
      <c r="H14" s="63"/>
      <c r="I14" s="67"/>
      <c r="J14" s="168"/>
      <c r="K14" s="67"/>
      <c r="L14" s="68" t="str">
        <f aca="false">IF(OR(C14="",I14="",J14="",K14=""),"",IFERROR(((I14*J14+K14)/C14)^(1/5)-1,"n/a"))</f>
        <v/>
      </c>
      <c r="M14" s="63"/>
      <c r="N14" s="67"/>
      <c r="O14" s="168"/>
      <c r="P14" s="67"/>
      <c r="Q14" s="68" t="str">
        <f aca="false">IF(OR(C14="",N14="",O14="",P14=""),"",IFERROR(((N14*O14+P14)/C14)^(1/5)-1,"n/a"))</f>
        <v/>
      </c>
      <c r="R14" s="63"/>
      <c r="S14" s="72" t="str">
        <f aca="false">IF(G14="","",IF(G14&gt;0.1,"PASS","FAIL"))</f>
        <v/>
      </c>
      <c r="T14" s="72" t="str">
        <f aca="false">IF(L14="","",IF(L14&gt;=0,"PASS","FAIL"))</f>
        <v/>
      </c>
      <c r="U14" s="72" t="str">
        <f aca="false">IF(COUNTA(H14,M14,R14)=0,"",IF((COUNTIF(H14,"Likely")+COUNTIF(M14,"Likely")+COUNTIF(R14,"Likely"))=1,"OK","CHECK TAGS"))</f>
        <v/>
      </c>
    </row>
    <row r="15" customFormat="false" ht="15" hidden="false" customHeight="true" outlineLevel="0" collapsed="false">
      <c r="A15" s="62"/>
      <c r="B15" s="70"/>
      <c r="C15" s="67"/>
      <c r="D15" s="67"/>
      <c r="E15" s="168"/>
      <c r="F15" s="67"/>
      <c r="G15" s="68" t="str">
        <f aca="false">IF(OR(C15="",D15="",E15="",F15=""),"",IFERROR(((D15*E15+F15)/C15)^(1/5)-1,"n/a"))</f>
        <v/>
      </c>
      <c r="H15" s="63"/>
      <c r="I15" s="67"/>
      <c r="J15" s="168"/>
      <c r="K15" s="67"/>
      <c r="L15" s="68" t="str">
        <f aca="false">IF(OR(C15="",I15="",J15="",K15=""),"",IFERROR(((I15*J15+K15)/C15)^(1/5)-1,"n/a"))</f>
        <v/>
      </c>
      <c r="M15" s="63"/>
      <c r="N15" s="67"/>
      <c r="O15" s="168"/>
      <c r="P15" s="67"/>
      <c r="Q15" s="68" t="str">
        <f aca="false">IF(OR(C15="",N15="",O15="",P15=""),"",IFERROR(((N15*O15+P15)/C15)^(1/5)-1,"n/a"))</f>
        <v/>
      </c>
      <c r="R15" s="63"/>
      <c r="S15" s="72" t="str">
        <f aca="false">IF(G15="","",IF(G15&gt;0.1,"PASS","FAIL"))</f>
        <v/>
      </c>
      <c r="T15" s="72" t="str">
        <f aca="false">IF(L15="","",IF(L15&gt;=0,"PASS","FAIL"))</f>
        <v/>
      </c>
      <c r="U15" s="72" t="str">
        <f aca="false">IF(COUNTA(H15,M15,R15)=0,"",IF((COUNTIF(H15,"Likely")+COUNTIF(M15,"Likely")+COUNTIF(R15,"Likely"))=1,"OK","CHECK TAGS"))</f>
        <v/>
      </c>
    </row>
    <row r="16" customFormat="false" ht="15" hidden="false" customHeight="true" outlineLevel="0" collapsed="false">
      <c r="A16" s="62"/>
      <c r="B16" s="70"/>
      <c r="C16" s="67"/>
      <c r="D16" s="67"/>
      <c r="E16" s="168"/>
      <c r="F16" s="67"/>
      <c r="G16" s="68" t="str">
        <f aca="false">IF(OR(C16="",D16="",E16="",F16=""),"",IFERROR(((D16*E16+F16)/C16)^(1/5)-1,"n/a"))</f>
        <v/>
      </c>
      <c r="H16" s="63"/>
      <c r="I16" s="67"/>
      <c r="J16" s="168"/>
      <c r="K16" s="67"/>
      <c r="L16" s="68" t="str">
        <f aca="false">IF(OR(C16="",I16="",J16="",K16=""),"",IFERROR(((I16*J16+K16)/C16)^(1/5)-1,"n/a"))</f>
        <v/>
      </c>
      <c r="M16" s="63"/>
      <c r="N16" s="67"/>
      <c r="O16" s="168"/>
      <c r="P16" s="67"/>
      <c r="Q16" s="68" t="str">
        <f aca="false">IF(OR(C16="",N16="",O16="",P16=""),"",IFERROR(((N16*O16+P16)/C16)^(1/5)-1,"n/a"))</f>
        <v/>
      </c>
      <c r="R16" s="63"/>
      <c r="S16" s="72" t="str">
        <f aca="false">IF(G16="","",IF(G16&gt;0.1,"PASS","FAIL"))</f>
        <v/>
      </c>
      <c r="T16" s="72" t="str">
        <f aca="false">IF(L16="","",IF(L16&gt;=0,"PASS","FAIL"))</f>
        <v/>
      </c>
      <c r="U16" s="72" t="str">
        <f aca="false">IF(COUNTA(H16,M16,R16)=0,"",IF((COUNTIF(H16,"Likely")+COUNTIF(M16,"Likely")+COUNTIF(R16,"Likely"))=1,"OK","CHECK TAGS"))</f>
        <v/>
      </c>
    </row>
    <row r="17" customFormat="false" ht="15" hidden="false" customHeight="true" outlineLevel="0" collapsed="false">
      <c r="A17" s="62"/>
      <c r="B17" s="70"/>
      <c r="C17" s="67"/>
      <c r="D17" s="67"/>
      <c r="E17" s="168"/>
      <c r="F17" s="67"/>
      <c r="G17" s="68" t="str">
        <f aca="false">IF(OR(C17="",D17="",E17="",F17=""),"",IFERROR(((D17*E17+F17)/C17)^(1/5)-1,"n/a"))</f>
        <v/>
      </c>
      <c r="H17" s="63"/>
      <c r="I17" s="67"/>
      <c r="J17" s="168"/>
      <c r="K17" s="67"/>
      <c r="L17" s="68" t="str">
        <f aca="false">IF(OR(C17="",I17="",J17="",K17=""),"",IFERROR(((I17*J17+K17)/C17)^(1/5)-1,"n/a"))</f>
        <v/>
      </c>
      <c r="M17" s="63"/>
      <c r="N17" s="67"/>
      <c r="O17" s="168"/>
      <c r="P17" s="67"/>
      <c r="Q17" s="68" t="str">
        <f aca="false">IF(OR(C17="",N17="",O17="",P17=""),"",IFERROR(((N17*O17+P17)/C17)^(1/5)-1,"n/a"))</f>
        <v/>
      </c>
      <c r="R17" s="63"/>
      <c r="S17" s="72" t="str">
        <f aca="false">IF(G17="","",IF(G17&gt;0.1,"PASS","FAIL"))</f>
        <v/>
      </c>
      <c r="T17" s="72" t="str">
        <f aca="false">IF(L17="","",IF(L17&gt;=0,"PASS","FAIL"))</f>
        <v/>
      </c>
      <c r="U17" s="72" t="str">
        <f aca="false">IF(COUNTA(H17,M17,R17)=0,"",IF((COUNTIF(H17,"Likely")+COUNTIF(M17,"Likely")+COUNTIF(R17,"Likely"))=1,"OK","CHECK TAGS"))</f>
        <v/>
      </c>
    </row>
    <row r="18" customFormat="false" ht="15" hidden="false" customHeight="true" outlineLevel="0" collapsed="false">
      <c r="A18" s="62"/>
      <c r="B18" s="70"/>
      <c r="C18" s="67"/>
      <c r="D18" s="67"/>
      <c r="E18" s="168"/>
      <c r="F18" s="67"/>
      <c r="G18" s="68" t="str">
        <f aca="false">IF(OR(C18="",D18="",E18="",F18=""),"",IFERROR(((D18*E18+F18)/C18)^(1/5)-1,"n/a"))</f>
        <v/>
      </c>
      <c r="H18" s="63"/>
      <c r="I18" s="67"/>
      <c r="J18" s="168"/>
      <c r="K18" s="67"/>
      <c r="L18" s="68" t="str">
        <f aca="false">IF(OR(C18="",I18="",J18="",K18=""),"",IFERROR(((I18*J18+K18)/C18)^(1/5)-1,"n/a"))</f>
        <v/>
      </c>
      <c r="M18" s="63"/>
      <c r="N18" s="67"/>
      <c r="O18" s="168"/>
      <c r="P18" s="67"/>
      <c r="Q18" s="68" t="str">
        <f aca="false">IF(OR(C18="",N18="",O18="",P18=""),"",IFERROR(((N18*O18+P18)/C18)^(1/5)-1,"n/a"))</f>
        <v/>
      </c>
      <c r="R18" s="63"/>
      <c r="S18" s="72" t="str">
        <f aca="false">IF(G18="","",IF(G18&gt;0.1,"PASS","FAIL"))</f>
        <v/>
      </c>
      <c r="T18" s="72" t="str">
        <f aca="false">IF(L18="","",IF(L18&gt;=0,"PASS","FAIL"))</f>
        <v/>
      </c>
      <c r="U18" s="72" t="str">
        <f aca="false">IF(COUNTA(H18,M18,R18)=0,"",IF((COUNTIF(H18,"Likely")+COUNTIF(M18,"Likely")+COUNTIF(R18,"Likely"))=1,"OK","CHECK TAGS"))</f>
        <v/>
      </c>
    </row>
    <row r="19" customFormat="false" ht="15" hidden="false" customHeight="true" outlineLevel="0" collapsed="false">
      <c r="A19" s="62"/>
      <c r="B19" s="70"/>
      <c r="C19" s="67"/>
      <c r="D19" s="67"/>
      <c r="E19" s="168"/>
      <c r="F19" s="67"/>
      <c r="G19" s="68" t="str">
        <f aca="false">IF(OR(C19="",D19="",E19="",F19=""),"",IFERROR(((D19*E19+F19)/C19)^(1/5)-1,"n/a"))</f>
        <v/>
      </c>
      <c r="H19" s="63"/>
      <c r="I19" s="67"/>
      <c r="J19" s="168"/>
      <c r="K19" s="67"/>
      <c r="L19" s="68" t="str">
        <f aca="false">IF(OR(C19="",I19="",J19="",K19=""),"",IFERROR(((I19*J19+K19)/C19)^(1/5)-1,"n/a"))</f>
        <v/>
      </c>
      <c r="M19" s="63"/>
      <c r="N19" s="67"/>
      <c r="O19" s="168"/>
      <c r="P19" s="67"/>
      <c r="Q19" s="68" t="str">
        <f aca="false">IF(OR(C19="",N19="",O19="",P19=""),"",IFERROR(((N19*O19+P19)/C19)^(1/5)-1,"n/a"))</f>
        <v/>
      </c>
      <c r="R19" s="63"/>
      <c r="S19" s="72" t="str">
        <f aca="false">IF(G19="","",IF(G19&gt;0.1,"PASS","FAIL"))</f>
        <v/>
      </c>
      <c r="T19" s="72" t="str">
        <f aca="false">IF(L19="","",IF(L19&gt;=0,"PASS","FAIL"))</f>
        <v/>
      </c>
      <c r="U19" s="72" t="str">
        <f aca="false">IF(COUNTA(H19,M19,R19)=0,"",IF((COUNTIF(H19,"Likely")+COUNTIF(M19,"Likely")+COUNTIF(R19,"Likely"))=1,"OK","CHECK TAGS"))</f>
        <v/>
      </c>
    </row>
    <row r="20" customFormat="false" ht="15" hidden="false" customHeight="true" outlineLevel="0" collapsed="false">
      <c r="A20" s="62" t="s">
        <v>232</v>
      </c>
      <c r="B20" s="70" t="s">
        <v>493</v>
      </c>
      <c r="C20" s="67" t="n">
        <v>967.17</v>
      </c>
      <c r="D20" s="67" t="n">
        <v>23.11</v>
      </c>
      <c r="E20" s="168" t="n">
        <v>61.48</v>
      </c>
      <c r="F20" s="67" t="n">
        <v>32</v>
      </c>
      <c r="G20" s="68" t="n">
        <f aca="false">IF(OR(C20="",D20="",E20="",F20=""),"",IFERROR(((D20*E20+F20)/C20)^(1/5)-1,"n/a"))</f>
        <v>0.0847777537329333</v>
      </c>
      <c r="H20" s="63" t="s">
        <v>494</v>
      </c>
      <c r="I20" s="67" t="n">
        <v>19.14</v>
      </c>
      <c r="J20" s="168" t="n">
        <v>50</v>
      </c>
      <c r="K20" s="67" t="n">
        <v>28</v>
      </c>
      <c r="L20" s="68" t="n">
        <f aca="false">IF(OR(C20="",I20="",J20="",K20=""),"",IFERROR(((I20*J20+K20)/C20)^(1/5)-1,"n/a"))</f>
        <v>0.00366015400817998</v>
      </c>
      <c r="M20" s="63" t="s">
        <v>494</v>
      </c>
      <c r="N20" s="67" t="n">
        <v>26.51</v>
      </c>
      <c r="O20" s="168" t="n">
        <v>61.48</v>
      </c>
      <c r="P20" s="67" t="n">
        <v>35</v>
      </c>
      <c r="Q20" s="68" t="n">
        <f aca="false">IF(OR(C20="",N20="",O20="",P20=""),"",IFERROR(((N20*O20+P20)/C20)^(1/5)-1,"n/a"))</f>
        <v>0.114740206784953</v>
      </c>
      <c r="R20" s="63" t="s">
        <v>495</v>
      </c>
      <c r="S20" s="72" t="str">
        <f aca="false">IF(G20="","",IF(G20&gt;0.1,"PASS","FAIL"))</f>
        <v>FAIL</v>
      </c>
      <c r="T20" s="72" t="str">
        <f aca="false">IF(L20="","",IF(L20&gt;=0,"PASS","FAIL"))</f>
        <v>PASS</v>
      </c>
      <c r="U20" s="72" t="str">
        <f aca="false">IF(COUNTA(H20,M20,R20)=0,"",IF((COUNTIF(H20,"Likely")+COUNTIF(M20,"Likely")+COUNTIF(R20,"Likely"))=1,"OK","CHECK TAGS"))</f>
        <v>OK</v>
      </c>
    </row>
    <row r="21" customFormat="false" ht="15" hidden="false" customHeight="true" outlineLevel="0" collapsed="false">
      <c r="A21" s="62" t="s">
        <v>118</v>
      </c>
      <c r="B21" s="70" t="s">
        <v>119</v>
      </c>
      <c r="C21" s="67" t="n">
        <v>380.63</v>
      </c>
      <c r="D21" s="67" t="n">
        <v>17.84</v>
      </c>
      <c r="E21" s="168" t="n">
        <v>34.36</v>
      </c>
      <c r="F21" s="67" t="n">
        <v>16</v>
      </c>
      <c r="G21" s="68" t="n">
        <f aca="false">IF(OR(C21="",D21="",E21="",F21=""),"",IFERROR(((D21*E21+F21)/C21)^(1/5)-1,"n/a"))</f>
        <v>0.105673995986338</v>
      </c>
      <c r="H21" s="63" t="s">
        <v>495</v>
      </c>
      <c r="I21" s="67" t="n">
        <v>14.14</v>
      </c>
      <c r="J21" s="168" t="n">
        <v>28</v>
      </c>
      <c r="K21" s="67" t="n">
        <v>14</v>
      </c>
      <c r="L21" s="68" t="n">
        <f aca="false">IF(OR(C21="",I21="",J21="",K21=""),"",IFERROR(((I21*J21+K21)/C21)^(1/5)-1,"n/a"))</f>
        <v>0.0149373117952127</v>
      </c>
      <c r="M21" s="63" t="s">
        <v>494</v>
      </c>
      <c r="N21" s="67" t="n">
        <v>21.33</v>
      </c>
      <c r="O21" s="168" t="n">
        <v>38</v>
      </c>
      <c r="P21" s="67" t="n">
        <v>18</v>
      </c>
      <c r="Q21" s="68" t="n">
        <f aca="false">IF(OR(C21="",N21="",O21="",P21=""),"",IFERROR(((N21*O21+P21)/C21)^(1/5)-1,"n/a"))</f>
        <v>0.168320757920451</v>
      </c>
      <c r="R21" s="63" t="s">
        <v>494</v>
      </c>
      <c r="S21" s="72" t="str">
        <f aca="false">IF(G21="","",IF(G21&gt;0.1,"PASS","FAIL"))</f>
        <v>PASS</v>
      </c>
      <c r="T21" s="72" t="str">
        <f aca="false">IF(L21="","",IF(L21&gt;=0,"PASS","FAIL"))</f>
        <v>PASS</v>
      </c>
      <c r="U21" s="72" t="str">
        <f aca="false">IF(COUNTA(H21,M21,R21)=0,"",IF((COUNTIF(H21,"Likely")+COUNTIF(M21,"Likely")+COUNTIF(R21,"Likely"))=1,"OK","CHECK TAGS"))</f>
        <v>OK</v>
      </c>
    </row>
    <row r="22" customFormat="false" ht="15" hidden="false" customHeight="true" outlineLevel="0" collapsed="false">
      <c r="A22" s="62"/>
      <c r="B22" s="70"/>
      <c r="C22" s="67"/>
      <c r="D22" s="67"/>
      <c r="E22" s="168"/>
      <c r="F22" s="67"/>
      <c r="G22" s="68" t="str">
        <f aca="false">IF(OR(C22="",D22="",E22="",F22=""),"",IFERROR(((D22*E22+F22)/C22)^(1/5)-1,"n/a"))</f>
        <v/>
      </c>
      <c r="H22" s="63"/>
      <c r="I22" s="67"/>
      <c r="J22" s="168"/>
      <c r="K22" s="67"/>
      <c r="L22" s="68" t="str">
        <f aca="false">IF(OR(C22="",I22="",J22="",K22=""),"",IFERROR(((I22*J22+K22)/C22)^(1/5)-1,"n/a"))</f>
        <v/>
      </c>
      <c r="M22" s="63"/>
      <c r="N22" s="67"/>
      <c r="O22" s="168"/>
      <c r="P22" s="67"/>
      <c r="Q22" s="68" t="str">
        <f aca="false">IF(OR(C22="",N22="",O22="",P22=""),"",IFERROR(((N22*O22+P22)/C22)^(1/5)-1,"n/a"))</f>
        <v/>
      </c>
      <c r="R22" s="63"/>
      <c r="S22" s="72" t="str">
        <f aca="false">IF(G22="","",IF(G22&gt;0.1,"PASS","FAIL"))</f>
        <v/>
      </c>
      <c r="T22" s="72" t="str">
        <f aca="false">IF(L22="","",IF(L22&gt;=0,"PASS","FAIL"))</f>
        <v/>
      </c>
      <c r="U22" s="72" t="str">
        <f aca="false">IF(COUNTA(H22,M22,R22)=0,"",IF((COUNTIF(H22,"Likely")+COUNTIF(M22,"Likely")+COUNTIF(R22,"Likely"))=1,"OK","CHECK TAGS"))</f>
        <v/>
      </c>
    </row>
    <row r="23" customFormat="false" ht="15" hidden="false" customHeight="true" outlineLevel="0" collapsed="false">
      <c r="A23" s="62"/>
      <c r="B23" s="70"/>
      <c r="C23" s="67"/>
      <c r="D23" s="67"/>
      <c r="E23" s="168"/>
      <c r="F23" s="67"/>
      <c r="G23" s="68" t="str">
        <f aca="false">IF(OR(C23="",D23="",E23="",F23=""),"",IFERROR(((D23*E23+F23)/C23)^(1/5)-1,"n/a"))</f>
        <v/>
      </c>
      <c r="H23" s="63"/>
      <c r="I23" s="67"/>
      <c r="J23" s="168"/>
      <c r="K23" s="67"/>
      <c r="L23" s="68" t="str">
        <f aca="false">IF(OR(C23="",I23="",J23="",K23=""),"",IFERROR(((I23*J23+K23)/C23)^(1/5)-1,"n/a"))</f>
        <v/>
      </c>
      <c r="M23" s="63"/>
      <c r="N23" s="67"/>
      <c r="O23" s="168"/>
      <c r="P23" s="67"/>
      <c r="Q23" s="68" t="str">
        <f aca="false">IF(OR(C23="",N23="",O23="",P23=""),"",IFERROR(((N23*O23+P23)/C23)^(1/5)-1,"n/a"))</f>
        <v/>
      </c>
      <c r="R23" s="63"/>
      <c r="S23" s="72" t="str">
        <f aca="false">IF(G23="","",IF(G23&gt;0.1,"PASS","FAIL"))</f>
        <v/>
      </c>
      <c r="T23" s="72" t="str">
        <f aca="false">IF(L23="","",IF(L23&gt;=0,"PASS","FAIL"))</f>
        <v/>
      </c>
      <c r="U23" s="72" t="str">
        <f aca="false">IF(COUNTA(H23,M23,R23)=0,"",IF((COUNTIF(H23,"Likely")+COUNTIF(M23,"Likely")+COUNTIF(R23,"Likely"))=1,"OK","CHECK TAGS"))</f>
        <v/>
      </c>
    </row>
    <row r="24" customFormat="false" ht="15" hidden="false" customHeight="true" outlineLevel="0" collapsed="false">
      <c r="A24" s="169"/>
      <c r="B24" s="170"/>
      <c r="C24" s="171"/>
      <c r="D24" s="171"/>
      <c r="E24" s="172"/>
      <c r="F24" s="171"/>
      <c r="G24" s="173" t="str">
        <f aca="false">IF(OR(C24="",D24="",E24="",F24=""),"",IFERROR(((D24*E24+F24)/C24)^(1/5)-1,"n/a"))</f>
        <v/>
      </c>
      <c r="H24" s="174"/>
      <c r="I24" s="171"/>
      <c r="J24" s="172"/>
      <c r="K24" s="171"/>
      <c r="L24" s="173" t="str">
        <f aca="false">IF(OR(C24="",I24="",J24="",K24=""),"",IFERROR(((I24*J24+K24)/C24)^(1/5)-1,"n/a"))</f>
        <v/>
      </c>
      <c r="M24" s="174"/>
      <c r="N24" s="171"/>
      <c r="O24" s="172"/>
      <c r="P24" s="171"/>
      <c r="Q24" s="173" t="str">
        <f aca="false">IF(OR(C24="",N24="",O24="",P24=""),"",IFERROR(((N24*O24+P24)/C24)^(1/5)-1,"n/a"))</f>
        <v/>
      </c>
      <c r="R24" s="174"/>
      <c r="S24" s="1" t="str">
        <f aca="false">IF(G24="","",IF(G24&gt;0.1,"PASS","FAIL"))</f>
        <v/>
      </c>
      <c r="T24" s="1" t="str">
        <f aca="false">IF(L24="","",IF(L24&gt;=0,"PASS","FAIL"))</f>
        <v/>
      </c>
      <c r="U24" s="1" t="str">
        <f aca="false">IF(COUNTA(H24,M24,R24)=0,"",IF((COUNTIF(H24,"Likely")+COUNTIF(M24,"Likely")+COUNTIF(R24,"Likely"))=1,"OK","CHECK TAGS"))</f>
        <v/>
      </c>
    </row>
    <row r="25" customFormat="false" ht="15" hidden="false" customHeight="true" outlineLevel="0" collapsed="false">
      <c r="A25" s="169"/>
      <c r="B25" s="170"/>
      <c r="C25" s="171"/>
      <c r="D25" s="171"/>
      <c r="E25" s="172"/>
      <c r="F25" s="171"/>
      <c r="G25" s="173" t="str">
        <f aca="false">IF(OR(C25="",D25="",E25="",F25=""),"",IFERROR(((D25*E25+F25)/C25)^(1/5)-1,"n/a"))</f>
        <v/>
      </c>
      <c r="H25" s="174"/>
      <c r="I25" s="171"/>
      <c r="J25" s="172"/>
      <c r="K25" s="171"/>
      <c r="L25" s="173" t="str">
        <f aca="false">IF(OR(C25="",I25="",J25="",K25=""),"",IFERROR(((I25*J25+K25)/C25)^(1/5)-1,"n/a"))</f>
        <v/>
      </c>
      <c r="M25" s="174"/>
      <c r="N25" s="171"/>
      <c r="O25" s="172"/>
      <c r="P25" s="171"/>
      <c r="Q25" s="173" t="str">
        <f aca="false">IF(OR(C25="",N25="",O25="",P25=""),"",IFERROR(((N25*O25+P25)/C25)^(1/5)-1,"n/a"))</f>
        <v/>
      </c>
      <c r="R25" s="174"/>
      <c r="S25" s="1" t="str">
        <f aca="false">IF(G25="","",IF(G25&gt;0.1,"PASS","FAIL"))</f>
        <v/>
      </c>
      <c r="T25" s="1" t="str">
        <f aca="false">IF(L25="","",IF(L25&gt;=0,"PASS","FAIL"))</f>
        <v/>
      </c>
      <c r="U25" s="1" t="str">
        <f aca="false">IF(COUNTA(H25,M25,R25)=0,"",IF((COUNTIF(H25,"Likely")+COUNTIF(M25,"Likely")+COUNTIF(R25,"Likely"))=1,"OK","CHECK TAGS"))</f>
        <v/>
      </c>
    </row>
    <row r="26" customFormat="false" ht="15" hidden="false" customHeight="true" outlineLevel="0" collapsed="false">
      <c r="A26" s="169"/>
      <c r="B26" s="170"/>
      <c r="C26" s="171"/>
      <c r="D26" s="171"/>
      <c r="E26" s="172"/>
      <c r="F26" s="171"/>
      <c r="G26" s="173" t="str">
        <f aca="false">IF(OR(C26="",D26="",E26="",F26=""),"",IFERROR(((D26*E26+F26)/C26)^(1/5)-1,"n/a"))</f>
        <v/>
      </c>
      <c r="H26" s="174"/>
      <c r="I26" s="171"/>
      <c r="J26" s="172"/>
      <c r="K26" s="171"/>
      <c r="L26" s="173" t="str">
        <f aca="false">IF(OR(C26="",I26="",J26="",K26=""),"",IFERROR(((I26*J26+K26)/C26)^(1/5)-1,"n/a"))</f>
        <v/>
      </c>
      <c r="M26" s="174"/>
      <c r="N26" s="171"/>
      <c r="O26" s="172"/>
      <c r="P26" s="171"/>
      <c r="Q26" s="173" t="str">
        <f aca="false">IF(OR(C26="",N26="",O26="",P26=""),"",IFERROR(((N26*O26+P26)/C26)^(1/5)-1,"n/a"))</f>
        <v/>
      </c>
      <c r="R26" s="174"/>
      <c r="S26" s="1" t="str">
        <f aca="false">IF(G26="","",IF(G26&gt;0.1,"PASS","FAIL"))</f>
        <v/>
      </c>
      <c r="T26" s="1" t="str">
        <f aca="false">IF(L26="","",IF(L26&gt;=0,"PASS","FAIL"))</f>
        <v/>
      </c>
      <c r="U26" s="1" t="str">
        <f aca="false">IF(COUNTA(H26,M26,R26)=0,"",IF((COUNTIF(H26,"Likely")+COUNTIF(M26,"Likely")+COUNTIF(R26,"Likely"))=1,"OK","CHECK TAGS"))</f>
        <v/>
      </c>
    </row>
    <row r="27" customFormat="false" ht="15" hidden="false" customHeight="true" outlineLevel="0" collapsed="false">
      <c r="A27" s="169"/>
      <c r="B27" s="170"/>
      <c r="C27" s="171"/>
      <c r="D27" s="171"/>
      <c r="E27" s="172"/>
      <c r="F27" s="171"/>
      <c r="G27" s="173" t="str">
        <f aca="false">IF(OR(C27="",D27="",E27="",F27=""),"",IFERROR(((D27*E27+F27)/C27)^(1/5)-1,"n/a"))</f>
        <v/>
      </c>
      <c r="H27" s="174"/>
      <c r="I27" s="171"/>
      <c r="J27" s="172"/>
      <c r="K27" s="171"/>
      <c r="L27" s="173" t="str">
        <f aca="false">IF(OR(C27="",I27="",J27="",K27=""),"",IFERROR(((I27*J27+K27)/C27)^(1/5)-1,"n/a"))</f>
        <v/>
      </c>
      <c r="M27" s="174"/>
      <c r="N27" s="171"/>
      <c r="O27" s="172"/>
      <c r="P27" s="171"/>
      <c r="Q27" s="173" t="str">
        <f aca="false">IF(OR(C27="",N27="",O27="",P27=""),"",IFERROR(((N27*O27+P27)/C27)^(1/5)-1,"n/a"))</f>
        <v/>
      </c>
      <c r="R27" s="174"/>
      <c r="S27" s="1" t="str">
        <f aca="false">IF(G27="","",IF(G27&gt;0.1,"PASS","FAIL"))</f>
        <v/>
      </c>
      <c r="T27" s="1" t="str">
        <f aca="false">IF(L27="","",IF(L27&gt;=0,"PASS","FAIL"))</f>
        <v/>
      </c>
      <c r="U27" s="1" t="str">
        <f aca="false">IF(COUNTA(H27,M27,R27)=0,"",IF((COUNTIF(H27,"Likely")+COUNTIF(M27,"Likely")+COUNTIF(R27,"Likely"))=1,"OK","CHECK TAGS"))</f>
        <v/>
      </c>
    </row>
    <row r="28" customFormat="false" ht="15" hidden="false" customHeight="true" outlineLevel="0" collapsed="false">
      <c r="A28" s="169"/>
      <c r="B28" s="170"/>
      <c r="C28" s="171"/>
      <c r="D28" s="171"/>
      <c r="E28" s="172"/>
      <c r="F28" s="171"/>
      <c r="G28" s="173" t="str">
        <f aca="false">IF(OR(C28="",D28="",E28="",F28=""),"",IFERROR(((D28*E28+F28)/C28)^(1/5)-1,"n/a"))</f>
        <v/>
      </c>
      <c r="H28" s="174"/>
      <c r="I28" s="171"/>
      <c r="J28" s="172"/>
      <c r="K28" s="171"/>
      <c r="L28" s="173" t="str">
        <f aca="false">IF(OR(C28="",I28="",J28="",K28=""),"",IFERROR(((I28*J28+K28)/C28)^(1/5)-1,"n/a"))</f>
        <v/>
      </c>
      <c r="M28" s="174"/>
      <c r="N28" s="171"/>
      <c r="O28" s="172"/>
      <c r="P28" s="171"/>
      <c r="Q28" s="173" t="str">
        <f aca="false">IF(OR(C28="",N28="",O28="",P28=""),"",IFERROR(((N28*O28+P28)/C28)^(1/5)-1,"n/a"))</f>
        <v/>
      </c>
      <c r="R28" s="174"/>
      <c r="S28" s="1" t="str">
        <f aca="false">IF(G28="","",IF(G28&gt;0.1,"PASS","FAIL"))</f>
        <v/>
      </c>
      <c r="T28" s="1" t="str">
        <f aca="false">IF(L28="","",IF(L28&gt;=0,"PASS","FAIL"))</f>
        <v/>
      </c>
      <c r="U28" s="1" t="str">
        <f aca="false">IF(COUNTA(H28,M28,R28)=0,"",IF((COUNTIF(H28,"Likely")+COUNTIF(M28,"Likely")+COUNTIF(R28,"Likely"))=1,"OK","CHECK TAGS"))</f>
        <v/>
      </c>
    </row>
    <row r="29" customFormat="false" ht="15" hidden="false" customHeight="true" outlineLevel="0" collapsed="false">
      <c r="A29" s="169"/>
      <c r="B29" s="170"/>
      <c r="C29" s="171"/>
      <c r="D29" s="171"/>
      <c r="E29" s="172"/>
      <c r="F29" s="171"/>
      <c r="G29" s="173" t="str">
        <f aca="false">IF(OR(C29="",D29="",E29="",F29=""),"",IFERROR(((D29*E29+F29)/C29)^(1/5)-1,"n/a"))</f>
        <v/>
      </c>
      <c r="H29" s="174"/>
      <c r="I29" s="171"/>
      <c r="J29" s="172"/>
      <c r="K29" s="171"/>
      <c r="L29" s="173" t="str">
        <f aca="false">IF(OR(C29="",I29="",J29="",K29=""),"",IFERROR(((I29*J29+K29)/C29)^(1/5)-1,"n/a"))</f>
        <v/>
      </c>
      <c r="M29" s="174"/>
      <c r="N29" s="171"/>
      <c r="O29" s="172"/>
      <c r="P29" s="171"/>
      <c r="Q29" s="173" t="str">
        <f aca="false">IF(OR(C29="",N29="",O29="",P29=""),"",IFERROR(((N29*O29+P29)/C29)^(1/5)-1,"n/a"))</f>
        <v/>
      </c>
      <c r="R29" s="174"/>
      <c r="S29" s="1" t="str">
        <f aca="false">IF(G29="","",IF(G29&gt;0.1,"PASS","FAIL"))</f>
        <v/>
      </c>
      <c r="T29" s="1" t="str">
        <f aca="false">IF(L29="","",IF(L29&gt;=0,"PASS","FAIL"))</f>
        <v/>
      </c>
      <c r="U29" s="1" t="str">
        <f aca="false">IF(COUNTA(H29,M29,R29)=0,"",IF((COUNTIF(H29,"Likely")+COUNTIF(M29,"Likely")+COUNTIF(R29,"Likely"))=1,"OK","CHECK TAGS"))</f>
        <v/>
      </c>
    </row>
    <row r="30" customFormat="false" ht="15" hidden="false" customHeight="true" outlineLevel="0" collapsed="false">
      <c r="A30" s="169"/>
      <c r="B30" s="170"/>
      <c r="C30" s="171"/>
      <c r="D30" s="171"/>
      <c r="E30" s="172"/>
      <c r="F30" s="171"/>
      <c r="G30" s="173" t="str">
        <f aca="false">IF(OR(C30="",D30="",E30="",F30=""),"",IFERROR(((D30*E30+F30)/C30)^(1/5)-1,"n/a"))</f>
        <v/>
      </c>
      <c r="H30" s="174"/>
      <c r="I30" s="171"/>
      <c r="J30" s="172"/>
      <c r="K30" s="171"/>
      <c r="L30" s="173" t="str">
        <f aca="false">IF(OR(C30="",I30="",J30="",K30=""),"",IFERROR(((I30*J30+K30)/C30)^(1/5)-1,"n/a"))</f>
        <v/>
      </c>
      <c r="M30" s="174"/>
      <c r="N30" s="171"/>
      <c r="O30" s="172"/>
      <c r="P30" s="171"/>
      <c r="Q30" s="173" t="str">
        <f aca="false">IF(OR(C30="",N30="",O30="",P30=""),"",IFERROR(((N30*O30+P30)/C30)^(1/5)-1,"n/a"))</f>
        <v/>
      </c>
      <c r="R30" s="174"/>
      <c r="S30" s="1" t="str">
        <f aca="false">IF(G30="","",IF(G30&gt;0.1,"PASS","FAIL"))</f>
        <v/>
      </c>
      <c r="T30" s="1" t="str">
        <f aca="false">IF(L30="","",IF(L30&gt;=0,"PASS","FAIL"))</f>
        <v/>
      </c>
      <c r="U30" s="1" t="str">
        <f aca="false">IF(COUNTA(H30,M30,R30)=0,"",IF((COUNTIF(H30,"Likely")+COUNTIF(M30,"Likely")+COUNTIF(R30,"Likely"))=1,"OK","CHECK TAGS"))</f>
        <v/>
      </c>
    </row>
    <row r="31" customFormat="false" ht="15" hidden="false" customHeight="true" outlineLevel="0" collapsed="false">
      <c r="A31" s="169"/>
      <c r="B31" s="170"/>
      <c r="C31" s="171"/>
      <c r="D31" s="171"/>
      <c r="E31" s="172"/>
      <c r="F31" s="171"/>
      <c r="G31" s="173" t="str">
        <f aca="false">IF(OR(C31="",D31="",E31="",F31=""),"",IFERROR(((D31*E31+F31)/C31)^(1/5)-1,"n/a"))</f>
        <v/>
      </c>
      <c r="H31" s="174"/>
      <c r="I31" s="171"/>
      <c r="J31" s="172"/>
      <c r="K31" s="171"/>
      <c r="L31" s="173" t="str">
        <f aca="false">IF(OR(C31="",I31="",J31="",K31=""),"",IFERROR(((I31*J31+K31)/C31)^(1/5)-1,"n/a"))</f>
        <v/>
      </c>
      <c r="M31" s="174"/>
      <c r="N31" s="171"/>
      <c r="O31" s="172"/>
      <c r="P31" s="171"/>
      <c r="Q31" s="173" t="str">
        <f aca="false">IF(OR(C31="",N31="",O31="",P31=""),"",IFERROR(((N31*O31+P31)/C31)^(1/5)-1,"n/a"))</f>
        <v/>
      </c>
      <c r="R31" s="174"/>
      <c r="S31" s="1" t="str">
        <f aca="false">IF(G31="","",IF(G31&gt;0.1,"PASS","FAIL"))</f>
        <v/>
      </c>
      <c r="T31" s="1" t="str">
        <f aca="false">IF(L31="","",IF(L31&gt;=0,"PASS","FAIL"))</f>
        <v/>
      </c>
      <c r="U31" s="1" t="str">
        <f aca="false">IF(COUNTA(H31,M31,R31)=0,"",IF((COUNTIF(H31,"Likely")+COUNTIF(M31,"Likely")+COUNTIF(R31,"Likely"))=1,"OK","CHECK TAGS"))</f>
        <v/>
      </c>
    </row>
    <row r="32" customFormat="false" ht="15" hidden="false" customHeight="true" outlineLevel="0" collapsed="false">
      <c r="A32" s="169"/>
      <c r="B32" s="170"/>
      <c r="C32" s="171"/>
      <c r="D32" s="171"/>
      <c r="E32" s="172"/>
      <c r="F32" s="171"/>
      <c r="G32" s="173" t="str">
        <f aca="false">IF(OR(C32="",D32="",E32="",F32=""),"",IFERROR(((D32*E32+F32)/C32)^(1/5)-1,"n/a"))</f>
        <v/>
      </c>
      <c r="H32" s="174"/>
      <c r="I32" s="171"/>
      <c r="J32" s="172"/>
      <c r="K32" s="171"/>
      <c r="L32" s="173" t="str">
        <f aca="false">IF(OR(C32="",I32="",J32="",K32=""),"",IFERROR(((I32*J32+K32)/C32)^(1/5)-1,"n/a"))</f>
        <v/>
      </c>
      <c r="M32" s="174"/>
      <c r="N32" s="171"/>
      <c r="O32" s="172"/>
      <c r="P32" s="171"/>
      <c r="Q32" s="173" t="str">
        <f aca="false">IF(OR(C32="",N32="",O32="",P32=""),"",IFERROR(((N32*O32+P32)/C32)^(1/5)-1,"n/a"))</f>
        <v/>
      </c>
      <c r="R32" s="174"/>
      <c r="S32" s="1" t="str">
        <f aca="false">IF(G32="","",IF(G32&gt;0.1,"PASS","FAIL"))</f>
        <v/>
      </c>
      <c r="T32" s="1" t="str">
        <f aca="false">IF(L32="","",IF(L32&gt;=0,"PASS","FAIL"))</f>
        <v/>
      </c>
      <c r="U32" s="1" t="str">
        <f aca="false">IF(COUNTA(H32,M32,R32)=0,"",IF((COUNTIF(H32,"Likely")+COUNTIF(M32,"Likely")+COUNTIF(R32,"Likely"))=1,"OK","CHECK TAGS"))</f>
        <v/>
      </c>
    </row>
    <row r="33" customFormat="false" ht="15" hidden="false" customHeight="true" outlineLevel="0" collapsed="false">
      <c r="A33" s="169"/>
      <c r="B33" s="170"/>
      <c r="C33" s="171"/>
      <c r="D33" s="171"/>
      <c r="E33" s="172"/>
      <c r="F33" s="171"/>
      <c r="G33" s="173" t="str">
        <f aca="false">IF(OR(C33="",D33="",E33="",F33=""),"",IFERROR(((D33*E33+F33)/C33)^(1/5)-1,"n/a"))</f>
        <v/>
      </c>
      <c r="H33" s="174"/>
      <c r="I33" s="171"/>
      <c r="J33" s="172"/>
      <c r="K33" s="171"/>
      <c r="L33" s="173" t="str">
        <f aca="false">IF(OR(C33="",I33="",J33="",K33=""),"",IFERROR(((I33*J33+K33)/C33)^(1/5)-1,"n/a"))</f>
        <v/>
      </c>
      <c r="M33" s="174"/>
      <c r="N33" s="171"/>
      <c r="O33" s="172"/>
      <c r="P33" s="171"/>
      <c r="Q33" s="173" t="str">
        <f aca="false">IF(OR(C33="",N33="",O33="",P33=""),"",IFERROR(((N33*O33+P33)/C33)^(1/5)-1,"n/a"))</f>
        <v/>
      </c>
      <c r="R33" s="174"/>
      <c r="S33" s="1" t="str">
        <f aca="false">IF(G33="","",IF(G33&gt;0.1,"PASS","FAIL"))</f>
        <v/>
      </c>
      <c r="T33" s="1" t="str">
        <f aca="false">IF(L33="","",IF(L33&gt;=0,"PASS","FAIL"))</f>
        <v/>
      </c>
      <c r="U33" s="1" t="str">
        <f aca="false">IF(COUNTA(H33,M33,R33)=0,"",IF((COUNTIF(H33,"Likely")+COUNTIF(M33,"Likely")+COUNTIF(R33,"Likely"))=1,"OK","CHECK TAGS"))</f>
        <v/>
      </c>
    </row>
    <row r="34" customFormat="false" ht="15" hidden="false" customHeight="true" outlineLevel="0" collapsed="false">
      <c r="A34" s="169"/>
      <c r="B34" s="170"/>
      <c r="C34" s="171"/>
      <c r="D34" s="171"/>
      <c r="E34" s="172"/>
      <c r="F34" s="171"/>
      <c r="G34" s="173" t="str">
        <f aca="false">IF(OR(C34="",D34="",E34="",F34=""),"",IFERROR(((D34*E34+F34)/C34)^(1/5)-1,"n/a"))</f>
        <v/>
      </c>
      <c r="H34" s="174"/>
      <c r="I34" s="171"/>
      <c r="J34" s="172"/>
      <c r="K34" s="171"/>
      <c r="L34" s="173" t="str">
        <f aca="false">IF(OR(C34="",I34="",J34="",K34=""),"",IFERROR(((I34*J34+K34)/C34)^(1/5)-1,"n/a"))</f>
        <v/>
      </c>
      <c r="M34" s="174"/>
      <c r="N34" s="171"/>
      <c r="O34" s="172"/>
      <c r="P34" s="171"/>
      <c r="Q34" s="173" t="str">
        <f aca="false">IF(OR(C34="",N34="",O34="",P34=""),"",IFERROR(((N34*O34+P34)/C34)^(1/5)-1,"n/a"))</f>
        <v/>
      </c>
      <c r="R34" s="174"/>
      <c r="S34" s="1" t="str">
        <f aca="false">IF(G34="","",IF(G34&gt;0.1,"PASS","FAIL"))</f>
        <v/>
      </c>
      <c r="T34" s="1" t="str">
        <f aca="false">IF(L34="","",IF(L34&gt;=0,"PASS","FAIL"))</f>
        <v/>
      </c>
      <c r="U34" s="1" t="str">
        <f aca="false">IF(COUNTA(H34,M34,R34)=0,"",IF((COUNTIF(H34,"Likely")+COUNTIF(M34,"Likely")+COUNTIF(R34,"Likely"))=1,"OK","CHECK TAGS"))</f>
        <v/>
      </c>
    </row>
    <row r="35" customFormat="false" ht="15" hidden="false" customHeight="true" outlineLevel="0" collapsed="false">
      <c r="A35" s="169"/>
      <c r="B35" s="170"/>
      <c r="C35" s="171"/>
      <c r="D35" s="171"/>
      <c r="E35" s="172"/>
      <c r="F35" s="171"/>
      <c r="G35" s="173" t="str">
        <f aca="false">IF(OR(C35="",D35="",E35="",F35=""),"",IFERROR(((D35*E35+F35)/C35)^(1/5)-1,"n/a"))</f>
        <v/>
      </c>
      <c r="H35" s="174"/>
      <c r="I35" s="171"/>
      <c r="J35" s="172"/>
      <c r="K35" s="171"/>
      <c r="L35" s="173" t="str">
        <f aca="false">IF(OR(C35="",I35="",J35="",K35=""),"",IFERROR(((I35*J35+K35)/C35)^(1/5)-1,"n/a"))</f>
        <v/>
      </c>
      <c r="M35" s="174"/>
      <c r="N35" s="171"/>
      <c r="O35" s="172"/>
      <c r="P35" s="171"/>
      <c r="Q35" s="173" t="str">
        <f aca="false">IF(OR(C35="",N35="",O35="",P35=""),"",IFERROR(((N35*O35+P35)/C35)^(1/5)-1,"n/a"))</f>
        <v/>
      </c>
      <c r="R35" s="174"/>
      <c r="S35" s="1" t="str">
        <f aca="false">IF(G35="","",IF(G35&gt;0.1,"PASS","FAIL"))</f>
        <v/>
      </c>
      <c r="T35" s="1" t="str">
        <f aca="false">IF(L35="","",IF(L35&gt;=0,"PASS","FAIL"))</f>
        <v/>
      </c>
      <c r="U35" s="1" t="str">
        <f aca="false">IF(COUNTA(H35,M35,R35)=0,"",IF((COUNTIF(H35,"Likely")+COUNTIF(M35,"Likely")+COUNTIF(R35,"Likely"))=1,"OK","CHECK TAGS"))</f>
        <v/>
      </c>
    </row>
    <row r="36" customFormat="false" ht="15" hidden="false" customHeight="true" outlineLevel="0" collapsed="false">
      <c r="A36" s="169"/>
      <c r="B36" s="170"/>
      <c r="C36" s="171"/>
      <c r="D36" s="171"/>
      <c r="E36" s="172"/>
      <c r="F36" s="171"/>
      <c r="G36" s="173" t="str">
        <f aca="false">IF(OR(C36="",D36="",E36="",F36=""),"",IFERROR(((D36*E36+F36)/C36)^(1/5)-1,"n/a"))</f>
        <v/>
      </c>
      <c r="H36" s="174"/>
      <c r="I36" s="171"/>
      <c r="J36" s="172"/>
      <c r="K36" s="171"/>
      <c r="L36" s="173" t="str">
        <f aca="false">IF(OR(C36="",I36="",J36="",K36=""),"",IFERROR(((I36*J36+K36)/C36)^(1/5)-1,"n/a"))</f>
        <v/>
      </c>
      <c r="M36" s="174"/>
      <c r="N36" s="171"/>
      <c r="O36" s="172"/>
      <c r="P36" s="171"/>
      <c r="Q36" s="173" t="str">
        <f aca="false">IF(OR(C36="",N36="",O36="",P36=""),"",IFERROR(((N36*O36+P36)/C36)^(1/5)-1,"n/a"))</f>
        <v/>
      </c>
      <c r="R36" s="174"/>
      <c r="S36" s="1" t="str">
        <f aca="false">IF(G36="","",IF(G36&gt;0.1,"PASS","FAIL"))</f>
        <v/>
      </c>
      <c r="T36" s="1" t="str">
        <f aca="false">IF(L36="","",IF(L36&gt;=0,"PASS","FAIL"))</f>
        <v/>
      </c>
      <c r="U36" s="1" t="str">
        <f aca="false">IF(COUNTA(H36,M36,R36)=0,"",IF((COUNTIF(H36,"Likely")+COUNTIF(M36,"Likely")+COUNTIF(R36,"Likely"))=1,"OK","CHECK TAGS"))</f>
        <v/>
      </c>
    </row>
    <row r="37" customFormat="false" ht="15" hidden="false" customHeight="true" outlineLevel="0" collapsed="false">
      <c r="A37" s="169"/>
      <c r="B37" s="170"/>
      <c r="C37" s="171"/>
      <c r="D37" s="171"/>
      <c r="E37" s="172"/>
      <c r="F37" s="171"/>
      <c r="G37" s="173" t="str">
        <f aca="false">IF(OR(C37="",D37="",E37="",F37=""),"",IFERROR(((D37*E37+F37)/C37)^(1/5)-1,"n/a"))</f>
        <v/>
      </c>
      <c r="H37" s="174"/>
      <c r="I37" s="171"/>
      <c r="J37" s="172"/>
      <c r="K37" s="171"/>
      <c r="L37" s="173" t="str">
        <f aca="false">IF(OR(C37="",I37="",J37="",K37=""),"",IFERROR(((I37*J37+K37)/C37)^(1/5)-1,"n/a"))</f>
        <v/>
      </c>
      <c r="M37" s="174"/>
      <c r="N37" s="171"/>
      <c r="O37" s="172"/>
      <c r="P37" s="171"/>
      <c r="Q37" s="173" t="str">
        <f aca="false">IF(OR(C37="",N37="",O37="",P37=""),"",IFERROR(((N37*O37+P37)/C37)^(1/5)-1,"n/a"))</f>
        <v/>
      </c>
      <c r="R37" s="174"/>
      <c r="S37" s="1" t="str">
        <f aca="false">IF(G37="","",IF(G37&gt;0.1,"PASS","FAIL"))</f>
        <v/>
      </c>
      <c r="T37" s="1" t="str">
        <f aca="false">IF(L37="","",IF(L37&gt;=0,"PASS","FAIL"))</f>
        <v/>
      </c>
      <c r="U37" s="1" t="str">
        <f aca="false">IF(COUNTA(H37,M37,R37)=0,"",IF((COUNTIF(H37,"Likely")+COUNTIF(M37,"Likely")+COUNTIF(R37,"Likely"))=1,"OK","CHECK TAGS"))</f>
        <v/>
      </c>
    </row>
    <row r="38" customFormat="false" ht="15" hidden="false" customHeight="true" outlineLevel="0" collapsed="false">
      <c r="A38" s="169"/>
      <c r="B38" s="170"/>
      <c r="C38" s="171"/>
      <c r="D38" s="171"/>
      <c r="E38" s="172"/>
      <c r="F38" s="171"/>
      <c r="G38" s="173" t="str">
        <f aca="false">IF(OR(C38="",D38="",E38="",F38=""),"",IFERROR(((D38*E38+F38)/C38)^(1/5)-1,"n/a"))</f>
        <v/>
      </c>
      <c r="H38" s="174"/>
      <c r="I38" s="171"/>
      <c r="J38" s="172"/>
      <c r="K38" s="171"/>
      <c r="L38" s="173" t="str">
        <f aca="false">IF(OR(C38="",I38="",J38="",K38=""),"",IFERROR(((I38*J38+K38)/C38)^(1/5)-1,"n/a"))</f>
        <v/>
      </c>
      <c r="M38" s="174"/>
      <c r="N38" s="171"/>
      <c r="O38" s="172"/>
      <c r="P38" s="171"/>
      <c r="Q38" s="173" t="str">
        <f aca="false">IF(OR(C38="",N38="",O38="",P38=""),"",IFERROR(((N38*O38+P38)/C38)^(1/5)-1,"n/a"))</f>
        <v/>
      </c>
      <c r="R38" s="174"/>
      <c r="S38" s="1" t="str">
        <f aca="false">IF(G38="","",IF(G38&gt;0.1,"PASS","FAIL"))</f>
        <v/>
      </c>
      <c r="T38" s="1" t="str">
        <f aca="false">IF(L38="","",IF(L38&gt;=0,"PASS","FAIL"))</f>
        <v/>
      </c>
      <c r="U38" s="1" t="str">
        <f aca="false">IF(COUNTA(H38,M38,R38)=0,"",IF((COUNTIF(H38,"Likely")+COUNTIF(M38,"Likely")+COUNTIF(R38,"Likely"))=1,"OK","CHECK TAGS"))</f>
        <v/>
      </c>
    </row>
    <row r="39" customFormat="false" ht="15" hidden="false" customHeight="true" outlineLevel="0" collapsed="false">
      <c r="A39" s="169"/>
      <c r="B39" s="170"/>
      <c r="C39" s="171"/>
      <c r="D39" s="171"/>
      <c r="E39" s="172"/>
      <c r="F39" s="171"/>
      <c r="G39" s="173" t="str">
        <f aca="false">IF(OR(C39="",D39="",E39="",F39=""),"",IFERROR(((D39*E39+F39)/C39)^(1/5)-1,"n/a"))</f>
        <v/>
      </c>
      <c r="H39" s="174"/>
      <c r="I39" s="171"/>
      <c r="J39" s="172"/>
      <c r="K39" s="171"/>
      <c r="L39" s="173" t="str">
        <f aca="false">IF(OR(C39="",I39="",J39="",K39=""),"",IFERROR(((I39*J39+K39)/C39)^(1/5)-1,"n/a"))</f>
        <v/>
      </c>
      <c r="M39" s="174"/>
      <c r="N39" s="171"/>
      <c r="O39" s="172"/>
      <c r="P39" s="171"/>
      <c r="Q39" s="173" t="str">
        <f aca="false">IF(OR(C39="",N39="",O39="",P39=""),"",IFERROR(((N39*O39+P39)/C39)^(1/5)-1,"n/a"))</f>
        <v/>
      </c>
      <c r="R39" s="174"/>
      <c r="S39" s="1" t="str">
        <f aca="false">IF(G39="","",IF(G39&gt;0.1,"PASS","FAIL"))</f>
        <v/>
      </c>
      <c r="T39" s="1" t="str">
        <f aca="false">IF(L39="","",IF(L39&gt;=0,"PASS","FAIL"))</f>
        <v/>
      </c>
      <c r="U39" s="1" t="str">
        <f aca="false">IF(COUNTA(H39,M39,R39)=0,"",IF((COUNTIF(H39,"Likely")+COUNTIF(M39,"Likely")+COUNTIF(R39,"Likely"))=1,"OK","CHECK TAGS"))</f>
        <v/>
      </c>
    </row>
    <row r="40" customFormat="false" ht="15" hidden="false" customHeight="true" outlineLevel="0" collapsed="false">
      <c r="A40" s="169"/>
      <c r="B40" s="170"/>
      <c r="C40" s="171"/>
      <c r="D40" s="171"/>
      <c r="E40" s="172"/>
      <c r="F40" s="171"/>
      <c r="G40" s="173" t="str">
        <f aca="false">IF(OR(C40="",D40="",E40="",F40=""),"",IFERROR(((D40*E40+F40)/C40)^(1/5)-1,"n/a"))</f>
        <v/>
      </c>
      <c r="H40" s="174"/>
      <c r="I40" s="171"/>
      <c r="J40" s="172"/>
      <c r="K40" s="171"/>
      <c r="L40" s="173" t="str">
        <f aca="false">IF(OR(C40="",I40="",J40="",K40=""),"",IFERROR(((I40*J40+K40)/C40)^(1/5)-1,"n/a"))</f>
        <v/>
      </c>
      <c r="M40" s="174"/>
      <c r="N40" s="171"/>
      <c r="O40" s="172"/>
      <c r="P40" s="171"/>
      <c r="Q40" s="173" t="str">
        <f aca="false">IF(OR(C40="",N40="",O40="",P40=""),"",IFERROR(((N40*O40+P40)/C40)^(1/5)-1,"n/a"))</f>
        <v/>
      </c>
      <c r="R40" s="174"/>
      <c r="S40" s="1" t="str">
        <f aca="false">IF(G40="","",IF(G40&gt;0.1,"PASS","FAIL"))</f>
        <v/>
      </c>
      <c r="T40" s="1" t="str">
        <f aca="false">IF(L40="","",IF(L40&gt;=0,"PASS","FAIL"))</f>
        <v/>
      </c>
      <c r="U40" s="1" t="str">
        <f aca="false">IF(COUNTA(H40,M40,R40)=0,"",IF((COUNTIF(H40,"Likely")+COUNTIF(M40,"Likely")+COUNTIF(R40,"Likely"))=1,"OK","CHECK TAGS"))</f>
        <v/>
      </c>
    </row>
    <row r="41" customFormat="false" ht="15" hidden="false" customHeight="true" outlineLevel="0" collapsed="false">
      <c r="A41" s="169"/>
      <c r="B41" s="170"/>
      <c r="C41" s="171"/>
      <c r="D41" s="171"/>
      <c r="E41" s="172"/>
      <c r="F41" s="171"/>
      <c r="G41" s="173" t="str">
        <f aca="false">IF(OR(C41="",D41="",E41="",F41=""),"",IFERROR(((D41*E41+F41)/C41)^(1/5)-1,"n/a"))</f>
        <v/>
      </c>
      <c r="H41" s="174"/>
      <c r="I41" s="171"/>
      <c r="J41" s="172"/>
      <c r="K41" s="171"/>
      <c r="L41" s="173" t="str">
        <f aca="false">IF(OR(C41="",I41="",J41="",K41=""),"",IFERROR(((I41*J41+K41)/C41)^(1/5)-1,"n/a"))</f>
        <v/>
      </c>
      <c r="M41" s="174"/>
      <c r="N41" s="171"/>
      <c r="O41" s="172"/>
      <c r="P41" s="171"/>
      <c r="Q41" s="173" t="str">
        <f aca="false">IF(OR(C41="",N41="",O41="",P41=""),"",IFERROR(((N41*O41+P41)/C41)^(1/5)-1,"n/a"))</f>
        <v/>
      </c>
      <c r="R41" s="174"/>
      <c r="S41" s="1" t="str">
        <f aca="false">IF(G41="","",IF(G41&gt;0.1,"PASS","FAIL"))</f>
        <v/>
      </c>
      <c r="T41" s="1" t="str">
        <f aca="false">IF(L41="","",IF(L41&gt;=0,"PASS","FAIL"))</f>
        <v/>
      </c>
      <c r="U41" s="1" t="str">
        <f aca="false">IF(COUNTA(H41,M41,R41)=0,"",IF((COUNTIF(H41,"Likely")+COUNTIF(M41,"Likely")+COUNTIF(R41,"Likely"))=1,"OK","CHECK TAGS"))</f>
        <v/>
      </c>
    </row>
    <row r="42" customFormat="false" ht="15" hidden="false" customHeight="true" outlineLevel="0" collapsed="false">
      <c r="A42" s="169"/>
      <c r="B42" s="170"/>
      <c r="C42" s="171"/>
      <c r="D42" s="171"/>
      <c r="E42" s="172"/>
      <c r="F42" s="171"/>
      <c r="G42" s="173" t="str">
        <f aca="false">IF(OR(C42="",D42="",E42="",F42=""),"",IFERROR(((D42*E42+F42)/C42)^(1/5)-1,"n/a"))</f>
        <v/>
      </c>
      <c r="H42" s="174"/>
      <c r="I42" s="171"/>
      <c r="J42" s="172"/>
      <c r="K42" s="171"/>
      <c r="L42" s="173" t="str">
        <f aca="false">IF(OR(C42="",I42="",J42="",K42=""),"",IFERROR(((I42*J42+K42)/C42)^(1/5)-1,"n/a"))</f>
        <v/>
      </c>
      <c r="M42" s="174"/>
      <c r="N42" s="171"/>
      <c r="O42" s="172"/>
      <c r="P42" s="171"/>
      <c r="Q42" s="173" t="str">
        <f aca="false">IF(OR(C42="",N42="",O42="",P42=""),"",IFERROR(((N42*O42+P42)/C42)^(1/5)-1,"n/a"))</f>
        <v/>
      </c>
      <c r="R42" s="174"/>
      <c r="S42" s="1" t="str">
        <f aca="false">IF(G42="","",IF(G42&gt;0.1,"PASS","FAIL"))</f>
        <v/>
      </c>
      <c r="T42" s="1" t="str">
        <f aca="false">IF(L42="","",IF(L42&gt;=0,"PASS","FAIL"))</f>
        <v/>
      </c>
      <c r="U42" s="1" t="str">
        <f aca="false">IF(COUNTA(H42,M42,R42)=0,"",IF((COUNTIF(H42,"Likely")+COUNTIF(M42,"Likely")+COUNTIF(R42,"Likely"))=1,"OK","CHECK TAGS"))</f>
        <v/>
      </c>
    </row>
    <row r="43" customFormat="false" ht="15" hidden="false" customHeight="true" outlineLevel="0" collapsed="false">
      <c r="A43" s="169"/>
      <c r="B43" s="170"/>
      <c r="C43" s="171"/>
      <c r="D43" s="171"/>
      <c r="E43" s="172"/>
      <c r="F43" s="171"/>
      <c r="G43" s="173" t="str">
        <f aca="false">IF(OR(C43="",D43="",E43="",F43=""),"",IFERROR(((D43*E43+F43)/C43)^(1/5)-1,"n/a"))</f>
        <v/>
      </c>
      <c r="H43" s="174"/>
      <c r="I43" s="171"/>
      <c r="J43" s="172"/>
      <c r="K43" s="171"/>
      <c r="L43" s="173" t="str">
        <f aca="false">IF(OR(C43="",I43="",J43="",K43=""),"",IFERROR(((I43*J43+K43)/C43)^(1/5)-1,"n/a"))</f>
        <v/>
      </c>
      <c r="M43" s="174"/>
      <c r="N43" s="171"/>
      <c r="O43" s="172"/>
      <c r="P43" s="171"/>
      <c r="Q43" s="173" t="str">
        <f aca="false">IF(OR(C43="",N43="",O43="",P43=""),"",IFERROR(((N43*O43+P43)/C43)^(1/5)-1,"n/a"))</f>
        <v/>
      </c>
      <c r="R43" s="174"/>
      <c r="S43" s="1" t="str">
        <f aca="false">IF(G43="","",IF(G43&gt;0.1,"PASS","FAIL"))</f>
        <v/>
      </c>
      <c r="T43" s="1" t="str">
        <f aca="false">IF(L43="","",IF(L43&gt;=0,"PASS","FAIL"))</f>
        <v/>
      </c>
      <c r="U43" s="1" t="str">
        <f aca="false">IF(COUNTA(H43,M43,R43)=0,"",IF((COUNTIF(H43,"Likely")+COUNTIF(M43,"Likely")+COUNTIF(R43,"Likely"))=1,"OK","CHECK TAGS"))</f>
        <v/>
      </c>
    </row>
    <row r="44" customFormat="false" ht="15" hidden="false" customHeight="true" outlineLevel="0" collapsed="false">
      <c r="A44" s="169"/>
      <c r="B44" s="170"/>
      <c r="C44" s="171"/>
      <c r="D44" s="171"/>
      <c r="E44" s="172"/>
      <c r="F44" s="171"/>
      <c r="G44" s="173" t="str">
        <f aca="false">IF(OR(C44="",D44="",E44="",F44=""),"",IFERROR(((D44*E44+F44)/C44)^(1/5)-1,"n/a"))</f>
        <v/>
      </c>
      <c r="H44" s="174"/>
      <c r="I44" s="171"/>
      <c r="J44" s="172"/>
      <c r="K44" s="171"/>
      <c r="L44" s="173" t="str">
        <f aca="false">IF(OR(C44="",I44="",J44="",K44=""),"",IFERROR(((I44*J44+K44)/C44)^(1/5)-1,"n/a"))</f>
        <v/>
      </c>
      <c r="M44" s="174"/>
      <c r="N44" s="171"/>
      <c r="O44" s="172"/>
      <c r="P44" s="171"/>
      <c r="Q44" s="173" t="str">
        <f aca="false">IF(OR(C44="",N44="",O44="",P44=""),"",IFERROR(((N44*O44+P44)/C44)^(1/5)-1,"n/a"))</f>
        <v/>
      </c>
      <c r="R44" s="174"/>
      <c r="S44" s="1" t="str">
        <f aca="false">IF(G44="","",IF(G44&gt;0.1,"PASS","FAIL"))</f>
        <v/>
      </c>
      <c r="T44" s="1" t="str">
        <f aca="false">IF(L44="","",IF(L44&gt;=0,"PASS","FAIL"))</f>
        <v/>
      </c>
      <c r="U44" s="1" t="str">
        <f aca="false">IF(COUNTA(H44,M44,R44)=0,"",IF((COUNTIF(H44,"Likely")+COUNTIF(M44,"Likely")+COUNTIF(R44,"Likely"))=1,"OK","CHECK TAGS"))</f>
        <v/>
      </c>
    </row>
    <row r="45" customFormat="false" ht="15" hidden="false" customHeight="true" outlineLevel="0" collapsed="false">
      <c r="A45" s="169"/>
      <c r="B45" s="170"/>
      <c r="C45" s="171"/>
      <c r="D45" s="171"/>
      <c r="E45" s="172"/>
      <c r="F45" s="171"/>
      <c r="G45" s="173" t="str">
        <f aca="false">IF(OR(C45="",D45="",E45="",F45=""),"",IFERROR(((D45*E45+F45)/C45)^(1/5)-1,"n/a"))</f>
        <v/>
      </c>
      <c r="H45" s="174"/>
      <c r="I45" s="171"/>
      <c r="J45" s="172"/>
      <c r="K45" s="171"/>
      <c r="L45" s="173" t="str">
        <f aca="false">IF(OR(C45="",I45="",J45="",K45=""),"",IFERROR(((I45*J45+K45)/C45)^(1/5)-1,"n/a"))</f>
        <v/>
      </c>
      <c r="M45" s="174"/>
      <c r="N45" s="171"/>
      <c r="O45" s="172"/>
      <c r="P45" s="171"/>
      <c r="Q45" s="173" t="str">
        <f aca="false">IF(OR(C45="",N45="",O45="",P45=""),"",IFERROR(((N45*O45+P45)/C45)^(1/5)-1,"n/a"))</f>
        <v/>
      </c>
      <c r="R45" s="174"/>
      <c r="S45" s="1" t="str">
        <f aca="false">IF(G45="","",IF(G45&gt;0.1,"PASS","FAIL"))</f>
        <v/>
      </c>
      <c r="T45" s="1" t="str">
        <f aca="false">IF(L45="","",IF(L45&gt;=0,"PASS","FAIL"))</f>
        <v/>
      </c>
      <c r="U45" s="1" t="str">
        <f aca="false">IF(COUNTA(H45,M45,R45)=0,"",IF((COUNTIF(H45,"Likely")+COUNTIF(M45,"Likely")+COUNTIF(R45,"Likely"))=1,"OK","CHECK TAGS"))</f>
        <v/>
      </c>
    </row>
    <row r="46" customFormat="false" ht="15" hidden="false" customHeight="true" outlineLevel="0" collapsed="false">
      <c r="A46" s="169"/>
      <c r="B46" s="170"/>
      <c r="C46" s="171"/>
      <c r="D46" s="171"/>
      <c r="E46" s="172"/>
      <c r="F46" s="171"/>
      <c r="G46" s="173" t="str">
        <f aca="false">IF(OR(C46="",D46="",E46="",F46=""),"",IFERROR(((D46*E46+F46)/C46)^(1/5)-1,"n/a"))</f>
        <v/>
      </c>
      <c r="H46" s="174"/>
      <c r="I46" s="171"/>
      <c r="J46" s="172"/>
      <c r="K46" s="171"/>
      <c r="L46" s="173" t="str">
        <f aca="false">IF(OR(C46="",I46="",J46="",K46=""),"",IFERROR(((I46*J46+K46)/C46)^(1/5)-1,"n/a"))</f>
        <v/>
      </c>
      <c r="M46" s="174"/>
      <c r="N46" s="171"/>
      <c r="O46" s="172"/>
      <c r="P46" s="171"/>
      <c r="Q46" s="173" t="str">
        <f aca="false">IF(OR(C46="",N46="",O46="",P46=""),"",IFERROR(((N46*O46+P46)/C46)^(1/5)-1,"n/a"))</f>
        <v/>
      </c>
      <c r="R46" s="174"/>
      <c r="S46" s="1" t="str">
        <f aca="false">IF(G46="","",IF(G46&gt;0.1,"PASS","FAIL"))</f>
        <v/>
      </c>
      <c r="T46" s="1" t="str">
        <f aca="false">IF(L46="","",IF(L46&gt;=0,"PASS","FAIL"))</f>
        <v/>
      </c>
      <c r="U46" s="1" t="str">
        <f aca="false">IF(COUNTA(H46,M46,R46)=0,"",IF((COUNTIF(H46,"Likely")+COUNTIF(M46,"Likely")+COUNTIF(R46,"Likely"))=1,"OK","CHECK TAGS"))</f>
        <v/>
      </c>
    </row>
    <row r="47" customFormat="false" ht="15" hidden="false" customHeight="true" outlineLevel="0" collapsed="false">
      <c r="A47" s="169"/>
      <c r="B47" s="170"/>
      <c r="C47" s="171"/>
      <c r="D47" s="171"/>
      <c r="E47" s="172"/>
      <c r="F47" s="171"/>
      <c r="G47" s="173" t="str">
        <f aca="false">IF(OR(C47="",D47="",E47="",F47=""),"",IFERROR(((D47*E47+F47)/C47)^(1/5)-1,"n/a"))</f>
        <v/>
      </c>
      <c r="H47" s="174"/>
      <c r="I47" s="171"/>
      <c r="J47" s="172"/>
      <c r="K47" s="171"/>
      <c r="L47" s="173" t="str">
        <f aca="false">IF(OR(C47="",I47="",J47="",K47=""),"",IFERROR(((I47*J47+K47)/C47)^(1/5)-1,"n/a"))</f>
        <v/>
      </c>
      <c r="M47" s="174"/>
      <c r="N47" s="171"/>
      <c r="O47" s="172"/>
      <c r="P47" s="171"/>
      <c r="Q47" s="173" t="str">
        <f aca="false">IF(OR(C47="",N47="",O47="",P47=""),"",IFERROR(((N47*O47+P47)/C47)^(1/5)-1,"n/a"))</f>
        <v/>
      </c>
      <c r="R47" s="174"/>
      <c r="S47" s="1" t="str">
        <f aca="false">IF(G47="","",IF(G47&gt;0.1,"PASS","FAIL"))</f>
        <v/>
      </c>
      <c r="T47" s="1" t="str">
        <f aca="false">IF(L47="","",IF(L47&gt;=0,"PASS","FAIL"))</f>
        <v/>
      </c>
      <c r="U47" s="1" t="str">
        <f aca="false">IF(COUNTA(H47,M47,R47)=0,"",IF((COUNTIF(H47,"Likely")+COUNTIF(M47,"Likely")+COUNTIF(R47,"Likely"))=1,"OK","CHECK TAGS"))</f>
        <v/>
      </c>
    </row>
    <row r="48" customFormat="false" ht="15" hidden="false" customHeight="true" outlineLevel="0" collapsed="false">
      <c r="A48" s="169"/>
      <c r="B48" s="170"/>
      <c r="C48" s="171"/>
      <c r="D48" s="171"/>
      <c r="E48" s="172"/>
      <c r="F48" s="171"/>
      <c r="G48" s="173" t="str">
        <f aca="false">IF(OR(C48="",D48="",E48="",F48=""),"",IFERROR(((D48*E48+F48)/C48)^(1/5)-1,"n/a"))</f>
        <v/>
      </c>
      <c r="H48" s="174"/>
      <c r="I48" s="171"/>
      <c r="J48" s="172"/>
      <c r="K48" s="171"/>
      <c r="L48" s="173" t="str">
        <f aca="false">IF(OR(C48="",I48="",J48="",K48=""),"",IFERROR(((I48*J48+K48)/C48)^(1/5)-1,"n/a"))</f>
        <v/>
      </c>
      <c r="M48" s="174"/>
      <c r="N48" s="171"/>
      <c r="O48" s="172"/>
      <c r="P48" s="171"/>
      <c r="Q48" s="173" t="str">
        <f aca="false">IF(OR(C48="",N48="",O48="",P48=""),"",IFERROR(((N48*O48+P48)/C48)^(1/5)-1,"n/a"))</f>
        <v/>
      </c>
      <c r="R48" s="174"/>
      <c r="S48" s="1" t="str">
        <f aca="false">IF(G48="","",IF(G48&gt;0.1,"PASS","FAIL"))</f>
        <v/>
      </c>
      <c r="T48" s="1" t="str">
        <f aca="false">IF(L48="","",IF(L48&gt;=0,"PASS","FAIL"))</f>
        <v/>
      </c>
      <c r="U48" s="1" t="str">
        <f aca="false">IF(COUNTA(H48,M48,R48)=0,"",IF((COUNTIF(H48,"Likely")+COUNTIF(M48,"Likely")+COUNTIF(R48,"Likely"))=1,"OK","CHECK TAGS"))</f>
        <v/>
      </c>
    </row>
    <row r="49" customFormat="false" ht="15" hidden="false" customHeight="true" outlineLevel="0" collapsed="false">
      <c r="A49" s="169"/>
      <c r="B49" s="170"/>
      <c r="C49" s="171"/>
      <c r="D49" s="171"/>
      <c r="E49" s="172"/>
      <c r="F49" s="171"/>
      <c r="G49" s="173" t="str">
        <f aca="false">IF(OR(C49="",D49="",E49="",F49=""),"",IFERROR(((D49*E49+F49)/C49)^(1/5)-1,"n/a"))</f>
        <v/>
      </c>
      <c r="H49" s="174"/>
      <c r="I49" s="171"/>
      <c r="J49" s="172"/>
      <c r="K49" s="171"/>
      <c r="L49" s="173" t="str">
        <f aca="false">IF(OR(C49="",I49="",J49="",K49=""),"",IFERROR(((I49*J49+K49)/C49)^(1/5)-1,"n/a"))</f>
        <v/>
      </c>
      <c r="M49" s="174"/>
      <c r="N49" s="171"/>
      <c r="O49" s="172"/>
      <c r="P49" s="171"/>
      <c r="Q49" s="173" t="str">
        <f aca="false">IF(OR(C49="",N49="",O49="",P49=""),"",IFERROR(((N49*O49+P49)/C49)^(1/5)-1,"n/a"))</f>
        <v/>
      </c>
      <c r="R49" s="174"/>
      <c r="S49" s="1" t="str">
        <f aca="false">IF(G49="","",IF(G49&gt;0.1,"PASS","FAIL"))</f>
        <v/>
      </c>
      <c r="T49" s="1" t="str">
        <f aca="false">IF(L49="","",IF(L49&gt;=0,"PASS","FAIL"))</f>
        <v/>
      </c>
      <c r="U49" s="1" t="str">
        <f aca="false">IF(COUNTA(H49,M49,R49)=0,"",IF((COUNTIF(H49,"Likely")+COUNTIF(M49,"Likely")+COUNTIF(R49,"Likely"))=1,"OK","CHECK TAGS"))</f>
        <v/>
      </c>
    </row>
    <row r="50" customFormat="false" ht="15" hidden="false" customHeight="true" outlineLevel="0" collapsed="false">
      <c r="A50" s="169"/>
      <c r="B50" s="170"/>
      <c r="C50" s="171"/>
      <c r="D50" s="171"/>
      <c r="E50" s="172"/>
      <c r="F50" s="171"/>
      <c r="G50" s="173" t="str">
        <f aca="false">IF(OR(C50="",D50="",E50="",F50=""),"",IFERROR(((D50*E50+F50)/C50)^(1/5)-1,"n/a"))</f>
        <v/>
      </c>
      <c r="H50" s="174"/>
      <c r="I50" s="171"/>
      <c r="J50" s="172"/>
      <c r="K50" s="171"/>
      <c r="L50" s="173" t="str">
        <f aca="false">IF(OR(C50="",I50="",J50="",K50=""),"",IFERROR(((I50*J50+K50)/C50)^(1/5)-1,"n/a"))</f>
        <v/>
      </c>
      <c r="M50" s="174"/>
      <c r="N50" s="171"/>
      <c r="O50" s="172"/>
      <c r="P50" s="171"/>
      <c r="Q50" s="173" t="str">
        <f aca="false">IF(OR(C50="",N50="",O50="",P50=""),"",IFERROR(((N50*O50+P50)/C50)^(1/5)-1,"n/a"))</f>
        <v/>
      </c>
      <c r="R50" s="174"/>
      <c r="S50" s="1" t="str">
        <f aca="false">IF(G50="","",IF(G50&gt;0.1,"PASS","FAIL"))</f>
        <v/>
      </c>
      <c r="T50" s="1" t="str">
        <f aca="false">IF(L50="","",IF(L50&gt;=0,"PASS","FAIL"))</f>
        <v/>
      </c>
      <c r="U50" s="1" t="str">
        <f aca="false">IF(COUNTA(H50,M50,R50)=0,"",IF((COUNTIF(H50,"Likely")+COUNTIF(M50,"Likely")+COUNTIF(R50,"Likely"))=1,"OK","CHECK TAGS"))</f>
        <v/>
      </c>
    </row>
  </sheetData>
  <mergeCells count="4">
    <mergeCell ref="D2:H2"/>
    <mergeCell ref="I2:M2"/>
    <mergeCell ref="N2:R2"/>
    <mergeCell ref="S2:U2"/>
  </mergeCells>
  <conditionalFormatting sqref="S4:T50">
    <cfRule type="cellIs" priority="2" operator="equal" aboveAverage="0" equalAverage="0" bottom="0" percent="0" rank="0" text="" dxfId="17">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17">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E15" activeCellId="0" sqref="E15"/>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8"/>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175" t="s">
        <v>496</v>
      </c>
      <c r="B1" s="175"/>
      <c r="C1" s="175"/>
      <c r="D1" s="175"/>
      <c r="E1" s="175"/>
      <c r="F1" s="175"/>
      <c r="G1" s="175"/>
      <c r="H1" s="175"/>
      <c r="I1" s="175"/>
      <c r="J1" s="175"/>
      <c r="K1" s="175"/>
      <c r="L1" s="175"/>
      <c r="M1" s="175"/>
      <c r="N1" s="175"/>
      <c r="O1" s="175"/>
      <c r="P1" s="175"/>
      <c r="Q1" s="175"/>
      <c r="R1" s="175"/>
      <c r="S1" s="175"/>
      <c r="T1" s="175"/>
      <c r="U1" s="176"/>
      <c r="V1" s="176"/>
    </row>
    <row r="2" customFormat="false" ht="25.5" hidden="false" customHeight="true" outlineLevel="0" collapsed="false">
      <c r="E2" s="107" t="s">
        <v>497</v>
      </c>
      <c r="F2" s="107"/>
      <c r="G2" s="107"/>
      <c r="H2" s="107"/>
      <c r="I2" s="107"/>
      <c r="J2" s="107"/>
      <c r="K2" s="107"/>
      <c r="L2" s="107"/>
      <c r="M2" s="107"/>
      <c r="N2" s="107"/>
      <c r="O2" s="107"/>
      <c r="P2" s="107"/>
      <c r="Q2" s="107"/>
      <c r="R2" s="107"/>
      <c r="S2" s="107"/>
      <c r="T2" s="177" t="s">
        <v>498</v>
      </c>
      <c r="U2" s="177"/>
      <c r="V2" s="177"/>
      <c r="W2" s="177"/>
      <c r="X2" s="177"/>
      <c r="Y2" s="177"/>
      <c r="Z2" s="177"/>
    </row>
    <row r="3" customFormat="false" ht="54" hidden="false" customHeight="true" outlineLevel="0" collapsed="false">
      <c r="A3" s="109" t="s">
        <v>81</v>
      </c>
      <c r="B3" s="109" t="s">
        <v>279</v>
      </c>
      <c r="C3" s="109" t="s">
        <v>499</v>
      </c>
      <c r="D3" s="109" t="s">
        <v>500</v>
      </c>
      <c r="E3" s="109" t="s">
        <v>501</v>
      </c>
      <c r="F3" s="109" t="s">
        <v>502</v>
      </c>
      <c r="G3" s="109" t="s">
        <v>503</v>
      </c>
      <c r="H3" s="109" t="s">
        <v>504</v>
      </c>
      <c r="I3" s="109" t="s">
        <v>505</v>
      </c>
      <c r="J3" s="109" t="s">
        <v>503</v>
      </c>
      <c r="K3" s="109" t="s">
        <v>506</v>
      </c>
      <c r="L3" s="109" t="s">
        <v>507</v>
      </c>
      <c r="M3" s="109" t="s">
        <v>503</v>
      </c>
      <c r="N3" s="109" t="s">
        <v>508</v>
      </c>
      <c r="O3" s="109" t="s">
        <v>509</v>
      </c>
      <c r="P3" s="109" t="s">
        <v>503</v>
      </c>
      <c r="Q3" s="109" t="s">
        <v>510</v>
      </c>
      <c r="R3" s="109" t="s">
        <v>511</v>
      </c>
      <c r="S3" s="109" t="s">
        <v>503</v>
      </c>
      <c r="T3" s="109" t="s">
        <v>512</v>
      </c>
      <c r="U3" s="109" t="s">
        <v>513</v>
      </c>
      <c r="V3" s="109" t="s">
        <v>514</v>
      </c>
      <c r="W3" s="109" t="s">
        <v>515</v>
      </c>
      <c r="X3" s="109" t="s">
        <v>516</v>
      </c>
      <c r="Y3" s="109" t="s">
        <v>517</v>
      </c>
      <c r="Z3" s="109" t="s">
        <v>518</v>
      </c>
      <c r="AA3" s="109" t="s">
        <v>519</v>
      </c>
      <c r="AB3" s="109" t="s">
        <v>474</v>
      </c>
    </row>
    <row r="4" customFormat="false" ht="15" hidden="false" customHeight="true" outlineLevel="0" collapsed="false">
      <c r="A4" s="178"/>
      <c r="B4" s="118"/>
      <c r="C4" s="179"/>
      <c r="D4" s="179"/>
      <c r="E4" s="118"/>
      <c r="F4" s="118"/>
      <c r="G4" s="180" t="str">
        <f aca="false">IF(OR(E4="",F4=""),"",IF(AND(E4&lt;=2,F4&lt;=2),"TRIGGER","OK"))</f>
        <v/>
      </c>
      <c r="H4" s="118"/>
      <c r="I4" s="118"/>
      <c r="J4" s="180" t="str">
        <f aca="false">IF(OR(H4="",I4=""),"",IF(AND(H4&lt;=2,I4&lt;=2),"TRIGGER","OK"))</f>
        <v/>
      </c>
      <c r="K4" s="118"/>
      <c r="L4" s="118"/>
      <c r="M4" s="180" t="str">
        <f aca="false">IF(OR(K4="",L4=""),"",IF(AND(K4&lt;=2,L4&lt;=2),"TRIGGER","OK"))</f>
        <v/>
      </c>
      <c r="N4" s="118"/>
      <c r="O4" s="118"/>
      <c r="P4" s="180" t="str">
        <f aca="false">IF(OR(N4="",O4=""),"",IF(AND(N4&lt;=2,O4&lt;=2),"TRIGGER","OK"))</f>
        <v/>
      </c>
      <c r="Q4" s="118"/>
      <c r="R4" s="118"/>
      <c r="S4" s="180" t="str">
        <f aca="false">IF(OR(Q4="",R4=""),"",IF(AND(Q4&lt;=2,R4&lt;=2),"TRIGGER","OK"))</f>
        <v/>
      </c>
      <c r="T4" s="181"/>
      <c r="U4" s="181"/>
      <c r="V4" s="179"/>
      <c r="W4" s="179"/>
      <c r="X4" s="118"/>
      <c r="Y4" s="118"/>
      <c r="Z4" s="180"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118"/>
      <c r="AB4" s="123"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178"/>
      <c r="B5" s="118"/>
      <c r="C5" s="179"/>
      <c r="D5" s="179"/>
      <c r="E5" s="118"/>
      <c r="F5" s="118"/>
      <c r="G5" s="180" t="str">
        <f aca="false">IF(OR(E5="",F5=""),"",IF(AND(E5&lt;=2,F5&lt;=2),"TRIGGER","OK"))</f>
        <v/>
      </c>
      <c r="H5" s="118"/>
      <c r="I5" s="118"/>
      <c r="J5" s="180" t="str">
        <f aca="false">IF(OR(H5="",I5=""),"",IF(AND(H5&lt;=2,I5&lt;=2),"TRIGGER","OK"))</f>
        <v/>
      </c>
      <c r="K5" s="118"/>
      <c r="L5" s="118"/>
      <c r="M5" s="180" t="str">
        <f aca="false">IF(OR(K5="",L5=""),"",IF(AND(K5&lt;=2,L5&lt;=2),"TRIGGER","OK"))</f>
        <v/>
      </c>
      <c r="N5" s="118"/>
      <c r="O5" s="118"/>
      <c r="P5" s="180" t="str">
        <f aca="false">IF(OR(N5="",O5=""),"",IF(AND(N5&lt;=2,O5&lt;=2),"TRIGGER","OK"))</f>
        <v/>
      </c>
      <c r="Q5" s="118"/>
      <c r="R5" s="118"/>
      <c r="S5" s="180" t="str">
        <f aca="false">IF(OR(Q5="",R5=""),"",IF(AND(Q5&lt;=2,R5&lt;=2),"TRIGGER","OK"))</f>
        <v/>
      </c>
      <c r="T5" s="181"/>
      <c r="U5" s="181"/>
      <c r="V5" s="179"/>
      <c r="W5" s="179"/>
      <c r="X5" s="118"/>
      <c r="Y5" s="118"/>
      <c r="Z5" s="180"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118"/>
      <c r="AB5" s="123"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178"/>
      <c r="B6" s="118"/>
      <c r="C6" s="179"/>
      <c r="D6" s="179"/>
      <c r="E6" s="118"/>
      <c r="F6" s="118"/>
      <c r="G6" s="180" t="str">
        <f aca="false">IF(OR(E6="",F6=""),"",IF(AND(E6&lt;=2,F6&lt;=2),"TRIGGER","OK"))</f>
        <v/>
      </c>
      <c r="H6" s="118"/>
      <c r="I6" s="118"/>
      <c r="J6" s="180" t="str">
        <f aca="false">IF(OR(H6="",I6=""),"",IF(AND(H6&lt;=2,I6&lt;=2),"TRIGGER","OK"))</f>
        <v/>
      </c>
      <c r="K6" s="118"/>
      <c r="L6" s="118"/>
      <c r="M6" s="180" t="str">
        <f aca="false">IF(OR(K6="",L6=""),"",IF(AND(K6&lt;=2,L6&lt;=2),"TRIGGER","OK"))</f>
        <v/>
      </c>
      <c r="N6" s="118"/>
      <c r="O6" s="118"/>
      <c r="P6" s="180" t="str">
        <f aca="false">IF(OR(N6="",O6=""),"",IF(AND(N6&lt;=2,O6&lt;=2),"TRIGGER","OK"))</f>
        <v/>
      </c>
      <c r="Q6" s="118"/>
      <c r="R6" s="118"/>
      <c r="S6" s="180" t="str">
        <f aca="false">IF(OR(Q6="",R6=""),"",IF(AND(Q6&lt;=2,R6&lt;=2),"TRIGGER","OK"))</f>
        <v/>
      </c>
      <c r="T6" s="181"/>
      <c r="U6" s="181"/>
      <c r="V6" s="179"/>
      <c r="W6" s="179"/>
      <c r="X6" s="118"/>
      <c r="Y6" s="118"/>
      <c r="Z6" s="180"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118"/>
      <c r="AB6" s="123"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178"/>
      <c r="B7" s="118"/>
      <c r="C7" s="179"/>
      <c r="D7" s="179"/>
      <c r="E7" s="118"/>
      <c r="F7" s="118"/>
      <c r="G7" s="180" t="str">
        <f aca="false">IF(OR(E7="",F7=""),"",IF(AND(E7&lt;=2,F7&lt;=2),"TRIGGER","OK"))</f>
        <v/>
      </c>
      <c r="H7" s="118"/>
      <c r="I7" s="118"/>
      <c r="J7" s="180" t="str">
        <f aca="false">IF(OR(H7="",I7=""),"",IF(AND(H7&lt;=2,I7&lt;=2),"TRIGGER","OK"))</f>
        <v/>
      </c>
      <c r="K7" s="118"/>
      <c r="L7" s="118"/>
      <c r="M7" s="180" t="str">
        <f aca="false">IF(OR(K7="",L7=""),"",IF(AND(K7&lt;=2,L7&lt;=2),"TRIGGER","OK"))</f>
        <v/>
      </c>
      <c r="N7" s="118"/>
      <c r="O7" s="118"/>
      <c r="P7" s="180" t="str">
        <f aca="false">IF(OR(N7="",O7=""),"",IF(AND(N7&lt;=2,O7&lt;=2),"TRIGGER","OK"))</f>
        <v/>
      </c>
      <c r="Q7" s="118"/>
      <c r="R7" s="118"/>
      <c r="S7" s="180" t="str">
        <f aca="false">IF(OR(Q7="",R7=""),"",IF(AND(Q7&lt;=2,R7&lt;=2),"TRIGGER","OK"))</f>
        <v/>
      </c>
      <c r="T7" s="181"/>
      <c r="U7" s="181"/>
      <c r="V7" s="179"/>
      <c r="W7" s="179"/>
      <c r="X7" s="118"/>
      <c r="Y7" s="118"/>
      <c r="Z7" s="180"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118"/>
      <c r="AB7" s="123"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178"/>
      <c r="B8" s="118"/>
      <c r="C8" s="179"/>
      <c r="D8" s="179"/>
      <c r="E8" s="118"/>
      <c r="F8" s="118"/>
      <c r="G8" s="180" t="str">
        <f aca="false">IF(OR(E8="",F8=""),"",IF(AND(E8&lt;=2,F8&lt;=2),"TRIGGER","OK"))</f>
        <v/>
      </c>
      <c r="H8" s="118"/>
      <c r="I8" s="118"/>
      <c r="J8" s="180" t="str">
        <f aca="false">IF(OR(H8="",I8=""),"",IF(AND(H8&lt;=2,I8&lt;=2),"TRIGGER","OK"))</f>
        <v/>
      </c>
      <c r="K8" s="118"/>
      <c r="L8" s="118"/>
      <c r="M8" s="180" t="str">
        <f aca="false">IF(OR(K8="",L8=""),"",IF(AND(K8&lt;=2,L8&lt;=2),"TRIGGER","OK"))</f>
        <v/>
      </c>
      <c r="N8" s="118"/>
      <c r="O8" s="118"/>
      <c r="P8" s="180" t="str">
        <f aca="false">IF(OR(N8="",O8=""),"",IF(AND(N8&lt;=2,O8&lt;=2),"TRIGGER","OK"))</f>
        <v/>
      </c>
      <c r="Q8" s="118"/>
      <c r="R8" s="118"/>
      <c r="S8" s="180" t="str">
        <f aca="false">IF(OR(Q8="",R8=""),"",IF(AND(Q8&lt;=2,R8&lt;=2),"TRIGGER","OK"))</f>
        <v/>
      </c>
      <c r="T8" s="181"/>
      <c r="U8" s="181"/>
      <c r="V8" s="179"/>
      <c r="W8" s="179"/>
      <c r="X8" s="118"/>
      <c r="Y8" s="118"/>
      <c r="Z8" s="180"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118"/>
      <c r="AB8" s="123"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178"/>
      <c r="B9" s="118"/>
      <c r="C9" s="179"/>
      <c r="D9" s="179"/>
      <c r="E9" s="118"/>
      <c r="F9" s="118"/>
      <c r="G9" s="180" t="str">
        <f aca="false">IF(OR(E9="",F9=""),"",IF(AND(E9&lt;=2,F9&lt;=2),"TRIGGER","OK"))</f>
        <v/>
      </c>
      <c r="H9" s="118"/>
      <c r="I9" s="118"/>
      <c r="J9" s="180" t="str">
        <f aca="false">IF(OR(H9="",I9=""),"",IF(AND(H9&lt;=2,I9&lt;=2),"TRIGGER","OK"))</f>
        <v/>
      </c>
      <c r="K9" s="118"/>
      <c r="L9" s="118"/>
      <c r="M9" s="180" t="str">
        <f aca="false">IF(OR(K9="",L9=""),"",IF(AND(K9&lt;=2,L9&lt;=2),"TRIGGER","OK"))</f>
        <v/>
      </c>
      <c r="N9" s="118"/>
      <c r="O9" s="118"/>
      <c r="P9" s="180" t="str">
        <f aca="false">IF(OR(N9="",O9=""),"",IF(AND(N9&lt;=2,O9&lt;=2),"TRIGGER","OK"))</f>
        <v/>
      </c>
      <c r="Q9" s="118"/>
      <c r="R9" s="118"/>
      <c r="S9" s="180" t="str">
        <f aca="false">IF(OR(Q9="",R9=""),"",IF(AND(Q9&lt;=2,R9&lt;=2),"TRIGGER","OK"))</f>
        <v/>
      </c>
      <c r="T9" s="181"/>
      <c r="U9" s="181"/>
      <c r="V9" s="179"/>
      <c r="W9" s="179"/>
      <c r="X9" s="118"/>
      <c r="Y9" s="118"/>
      <c r="Z9" s="180"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118"/>
      <c r="AB9" s="123"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178"/>
      <c r="B10" s="118"/>
      <c r="C10" s="179"/>
      <c r="D10" s="179"/>
      <c r="E10" s="118"/>
      <c r="F10" s="118"/>
      <c r="G10" s="180" t="str">
        <f aca="false">IF(OR(E10="",F10=""),"",IF(AND(E10&lt;=2,F10&lt;=2),"TRIGGER","OK"))</f>
        <v/>
      </c>
      <c r="H10" s="118"/>
      <c r="I10" s="118"/>
      <c r="J10" s="180" t="str">
        <f aca="false">IF(OR(H10="",I10=""),"",IF(AND(H10&lt;=2,I10&lt;=2),"TRIGGER","OK"))</f>
        <v/>
      </c>
      <c r="K10" s="118"/>
      <c r="L10" s="118"/>
      <c r="M10" s="180" t="str">
        <f aca="false">IF(OR(K10="",L10=""),"",IF(AND(K10&lt;=2,L10&lt;=2),"TRIGGER","OK"))</f>
        <v/>
      </c>
      <c r="N10" s="118"/>
      <c r="O10" s="118"/>
      <c r="P10" s="180" t="str">
        <f aca="false">IF(OR(N10="",O10=""),"",IF(AND(N10&lt;=2,O10&lt;=2),"TRIGGER","OK"))</f>
        <v/>
      </c>
      <c r="Q10" s="118"/>
      <c r="R10" s="118"/>
      <c r="S10" s="180" t="str">
        <f aca="false">IF(OR(Q10="",R10=""),"",IF(AND(Q10&lt;=2,R10&lt;=2),"TRIGGER","OK"))</f>
        <v/>
      </c>
      <c r="T10" s="181"/>
      <c r="U10" s="181"/>
      <c r="V10" s="179"/>
      <c r="W10" s="179"/>
      <c r="X10" s="118"/>
      <c r="Y10" s="118"/>
      <c r="Z10" s="180"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118"/>
      <c r="AB10" s="123"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178"/>
      <c r="B11" s="118"/>
      <c r="C11" s="179"/>
      <c r="D11" s="179"/>
      <c r="E11" s="118"/>
      <c r="F11" s="118"/>
      <c r="G11" s="180" t="str">
        <f aca="false">IF(OR(E11="",F11=""),"",IF(AND(E11&lt;=2,F11&lt;=2),"TRIGGER","OK"))</f>
        <v/>
      </c>
      <c r="H11" s="118"/>
      <c r="I11" s="118"/>
      <c r="J11" s="180" t="str">
        <f aca="false">IF(OR(H11="",I11=""),"",IF(AND(H11&lt;=2,I11&lt;=2),"TRIGGER","OK"))</f>
        <v/>
      </c>
      <c r="K11" s="118"/>
      <c r="L11" s="118"/>
      <c r="M11" s="180" t="str">
        <f aca="false">IF(OR(K11="",L11=""),"",IF(AND(K11&lt;=2,L11&lt;=2),"TRIGGER","OK"))</f>
        <v/>
      </c>
      <c r="N11" s="118"/>
      <c r="O11" s="118"/>
      <c r="P11" s="180" t="str">
        <f aca="false">IF(OR(N11="",O11=""),"",IF(AND(N11&lt;=2,O11&lt;=2),"TRIGGER","OK"))</f>
        <v/>
      </c>
      <c r="Q11" s="118"/>
      <c r="R11" s="118"/>
      <c r="S11" s="180" t="str">
        <f aca="false">IF(OR(Q11="",R11=""),"",IF(AND(Q11&lt;=2,R11&lt;=2),"TRIGGER","OK"))</f>
        <v/>
      </c>
      <c r="T11" s="181"/>
      <c r="U11" s="181"/>
      <c r="V11" s="179"/>
      <c r="W11" s="179"/>
      <c r="X11" s="118"/>
      <c r="Y11" s="118"/>
      <c r="Z11" s="180"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118"/>
      <c r="AB11" s="123"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178"/>
      <c r="B12" s="118"/>
      <c r="C12" s="179"/>
      <c r="D12" s="179"/>
      <c r="E12" s="118"/>
      <c r="F12" s="118"/>
      <c r="G12" s="180" t="str">
        <f aca="false">IF(OR(E12="",F12=""),"",IF(AND(E12&lt;=2,F12&lt;=2),"TRIGGER","OK"))</f>
        <v/>
      </c>
      <c r="H12" s="118"/>
      <c r="I12" s="118"/>
      <c r="J12" s="180" t="str">
        <f aca="false">IF(OR(H12="",I12=""),"",IF(AND(H12&lt;=2,I12&lt;=2),"TRIGGER","OK"))</f>
        <v/>
      </c>
      <c r="K12" s="118"/>
      <c r="L12" s="118"/>
      <c r="M12" s="180" t="str">
        <f aca="false">IF(OR(K12="",L12=""),"",IF(AND(K12&lt;=2,L12&lt;=2),"TRIGGER","OK"))</f>
        <v/>
      </c>
      <c r="N12" s="118"/>
      <c r="O12" s="118"/>
      <c r="P12" s="180" t="str">
        <f aca="false">IF(OR(N12="",O12=""),"",IF(AND(N12&lt;=2,O12&lt;=2),"TRIGGER","OK"))</f>
        <v/>
      </c>
      <c r="Q12" s="118"/>
      <c r="R12" s="118"/>
      <c r="S12" s="180" t="str">
        <f aca="false">IF(OR(Q12="",R12=""),"",IF(AND(Q12&lt;=2,R12&lt;=2),"TRIGGER","OK"))</f>
        <v/>
      </c>
      <c r="T12" s="181"/>
      <c r="U12" s="181"/>
      <c r="V12" s="179"/>
      <c r="W12" s="179"/>
      <c r="X12" s="118"/>
      <c r="Y12" s="118"/>
      <c r="Z12" s="180"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118"/>
      <c r="AB12" s="123"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178"/>
      <c r="B13" s="118"/>
      <c r="C13" s="179"/>
      <c r="D13" s="179"/>
      <c r="E13" s="118"/>
      <c r="F13" s="118"/>
      <c r="G13" s="180" t="str">
        <f aca="false">IF(OR(E13="",F13=""),"",IF(AND(E13&lt;=2,F13&lt;=2),"TRIGGER","OK"))</f>
        <v/>
      </c>
      <c r="H13" s="118"/>
      <c r="I13" s="118"/>
      <c r="J13" s="180" t="str">
        <f aca="false">IF(OR(H13="",I13=""),"",IF(AND(H13&lt;=2,I13&lt;=2),"TRIGGER","OK"))</f>
        <v/>
      </c>
      <c r="K13" s="118"/>
      <c r="L13" s="118"/>
      <c r="M13" s="180" t="str">
        <f aca="false">IF(OR(K13="",L13=""),"",IF(AND(K13&lt;=2,L13&lt;=2),"TRIGGER","OK"))</f>
        <v/>
      </c>
      <c r="N13" s="118"/>
      <c r="O13" s="118"/>
      <c r="P13" s="180" t="str">
        <f aca="false">IF(OR(N13="",O13=""),"",IF(AND(N13&lt;=2,O13&lt;=2),"TRIGGER","OK"))</f>
        <v/>
      </c>
      <c r="Q13" s="118"/>
      <c r="R13" s="118"/>
      <c r="S13" s="180" t="str">
        <f aca="false">IF(OR(Q13="",R13=""),"",IF(AND(Q13&lt;=2,R13&lt;=2),"TRIGGER","OK"))</f>
        <v/>
      </c>
      <c r="T13" s="181"/>
      <c r="U13" s="181"/>
      <c r="V13" s="179"/>
      <c r="W13" s="179"/>
      <c r="X13" s="118"/>
      <c r="Y13" s="118"/>
      <c r="Z13" s="180"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118"/>
      <c r="AB13" s="123"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178"/>
      <c r="B14" s="118"/>
      <c r="C14" s="179"/>
      <c r="D14" s="179"/>
      <c r="E14" s="118"/>
      <c r="F14" s="118"/>
      <c r="G14" s="180" t="str">
        <f aca="false">IF(OR(E14="",F14=""),"",IF(AND(E14&lt;=2,F14&lt;=2),"TRIGGER","OK"))</f>
        <v/>
      </c>
      <c r="H14" s="118"/>
      <c r="I14" s="118"/>
      <c r="J14" s="180" t="str">
        <f aca="false">IF(OR(H14="",I14=""),"",IF(AND(H14&lt;=2,I14&lt;=2),"TRIGGER","OK"))</f>
        <v/>
      </c>
      <c r="K14" s="118"/>
      <c r="L14" s="118"/>
      <c r="M14" s="180" t="str">
        <f aca="false">IF(OR(K14="",L14=""),"",IF(AND(K14&lt;=2,L14&lt;=2),"TRIGGER","OK"))</f>
        <v/>
      </c>
      <c r="N14" s="118"/>
      <c r="O14" s="118"/>
      <c r="P14" s="180" t="str">
        <f aca="false">IF(OR(N14="",O14=""),"",IF(AND(N14&lt;=2,O14&lt;=2),"TRIGGER","OK"))</f>
        <v/>
      </c>
      <c r="Q14" s="118"/>
      <c r="R14" s="118"/>
      <c r="S14" s="180" t="str">
        <f aca="false">IF(OR(Q14="",R14=""),"",IF(AND(Q14&lt;=2,R14&lt;=2),"TRIGGER","OK"))</f>
        <v/>
      </c>
      <c r="T14" s="181"/>
      <c r="U14" s="181"/>
      <c r="V14" s="179"/>
      <c r="W14" s="179"/>
      <c r="X14" s="118"/>
      <c r="Y14" s="118"/>
      <c r="Z14" s="180"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118"/>
      <c r="AB14" s="123"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178"/>
      <c r="B15" s="118"/>
      <c r="C15" s="179"/>
      <c r="D15" s="179"/>
      <c r="E15" s="118"/>
      <c r="F15" s="118"/>
      <c r="G15" s="180" t="str">
        <f aca="false">IF(OR(E15="",F15=""),"",IF(AND(E15&lt;=2,F15&lt;=2),"TRIGGER","OK"))</f>
        <v/>
      </c>
      <c r="H15" s="118"/>
      <c r="I15" s="118"/>
      <c r="J15" s="180" t="str">
        <f aca="false">IF(OR(H15="",I15=""),"",IF(AND(H15&lt;=2,I15&lt;=2),"TRIGGER","OK"))</f>
        <v/>
      </c>
      <c r="K15" s="118"/>
      <c r="L15" s="118"/>
      <c r="M15" s="180" t="str">
        <f aca="false">IF(OR(K15="",L15=""),"",IF(AND(K15&lt;=2,L15&lt;=2),"TRIGGER","OK"))</f>
        <v/>
      </c>
      <c r="N15" s="118"/>
      <c r="O15" s="118"/>
      <c r="P15" s="180" t="str">
        <f aca="false">IF(OR(N15="",O15=""),"",IF(AND(N15&lt;=2,O15&lt;=2),"TRIGGER","OK"))</f>
        <v/>
      </c>
      <c r="Q15" s="118"/>
      <c r="R15" s="118"/>
      <c r="S15" s="180" t="str">
        <f aca="false">IF(OR(Q15="",R15=""),"",IF(AND(Q15&lt;=2,R15&lt;=2),"TRIGGER","OK"))</f>
        <v/>
      </c>
      <c r="T15" s="181"/>
      <c r="U15" s="181"/>
      <c r="V15" s="179"/>
      <c r="W15" s="179"/>
      <c r="X15" s="118"/>
      <c r="Y15" s="118"/>
      <c r="Z15" s="180"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118"/>
      <c r="AB15" s="123"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178"/>
      <c r="B16" s="118"/>
      <c r="C16" s="179"/>
      <c r="D16" s="179"/>
      <c r="E16" s="118"/>
      <c r="F16" s="118"/>
      <c r="G16" s="180" t="str">
        <f aca="false">IF(OR(E16="",F16=""),"",IF(AND(E16&lt;=2,F16&lt;=2),"TRIGGER","OK"))</f>
        <v/>
      </c>
      <c r="H16" s="118"/>
      <c r="I16" s="118"/>
      <c r="J16" s="180" t="str">
        <f aca="false">IF(OR(H16="",I16=""),"",IF(AND(H16&lt;=2,I16&lt;=2),"TRIGGER","OK"))</f>
        <v/>
      </c>
      <c r="K16" s="118"/>
      <c r="L16" s="118"/>
      <c r="M16" s="180" t="str">
        <f aca="false">IF(OR(K16="",L16=""),"",IF(AND(K16&lt;=2,L16&lt;=2),"TRIGGER","OK"))</f>
        <v/>
      </c>
      <c r="N16" s="118"/>
      <c r="O16" s="118"/>
      <c r="P16" s="180" t="str">
        <f aca="false">IF(OR(N16="",O16=""),"",IF(AND(N16&lt;=2,O16&lt;=2),"TRIGGER","OK"))</f>
        <v/>
      </c>
      <c r="Q16" s="118"/>
      <c r="R16" s="118"/>
      <c r="S16" s="180" t="str">
        <f aca="false">IF(OR(Q16="",R16=""),"",IF(AND(Q16&lt;=2,R16&lt;=2),"TRIGGER","OK"))</f>
        <v/>
      </c>
      <c r="T16" s="181"/>
      <c r="U16" s="181"/>
      <c r="V16" s="179"/>
      <c r="W16" s="179"/>
      <c r="X16" s="118"/>
      <c r="Y16" s="118"/>
      <c r="Z16" s="180"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118"/>
      <c r="AB16" s="123"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178"/>
      <c r="B17" s="118"/>
      <c r="C17" s="179"/>
      <c r="D17" s="179"/>
      <c r="E17" s="118"/>
      <c r="F17" s="118"/>
      <c r="G17" s="180" t="str">
        <f aca="false">IF(OR(E17="",F17=""),"",IF(AND(E17&lt;=2,F17&lt;=2),"TRIGGER","OK"))</f>
        <v/>
      </c>
      <c r="H17" s="118"/>
      <c r="I17" s="118"/>
      <c r="J17" s="180" t="str">
        <f aca="false">IF(OR(H17="",I17=""),"",IF(AND(H17&lt;=2,I17&lt;=2),"TRIGGER","OK"))</f>
        <v/>
      </c>
      <c r="K17" s="118"/>
      <c r="L17" s="118"/>
      <c r="M17" s="180" t="str">
        <f aca="false">IF(OR(K17="",L17=""),"",IF(AND(K17&lt;=2,L17&lt;=2),"TRIGGER","OK"))</f>
        <v/>
      </c>
      <c r="N17" s="118"/>
      <c r="O17" s="118"/>
      <c r="P17" s="180" t="str">
        <f aca="false">IF(OR(N17="",O17=""),"",IF(AND(N17&lt;=2,O17&lt;=2),"TRIGGER","OK"))</f>
        <v/>
      </c>
      <c r="Q17" s="118"/>
      <c r="R17" s="118"/>
      <c r="S17" s="180" t="str">
        <f aca="false">IF(OR(Q17="",R17=""),"",IF(AND(Q17&lt;=2,R17&lt;=2),"TRIGGER","OK"))</f>
        <v/>
      </c>
      <c r="T17" s="181"/>
      <c r="U17" s="181"/>
      <c r="V17" s="179"/>
      <c r="W17" s="179"/>
      <c r="X17" s="118"/>
      <c r="Y17" s="118"/>
      <c r="Z17" s="180"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118"/>
      <c r="AB17" s="123"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178"/>
      <c r="B18" s="118"/>
      <c r="C18" s="179"/>
      <c r="D18" s="179"/>
      <c r="E18" s="118"/>
      <c r="F18" s="118"/>
      <c r="G18" s="180" t="str">
        <f aca="false">IF(OR(E18="",F18=""),"",IF(AND(E18&lt;=2,F18&lt;=2),"TRIGGER","OK"))</f>
        <v/>
      </c>
      <c r="H18" s="118"/>
      <c r="I18" s="118"/>
      <c r="J18" s="180" t="str">
        <f aca="false">IF(OR(H18="",I18=""),"",IF(AND(H18&lt;=2,I18&lt;=2),"TRIGGER","OK"))</f>
        <v/>
      </c>
      <c r="K18" s="118"/>
      <c r="L18" s="118"/>
      <c r="M18" s="180" t="str">
        <f aca="false">IF(OR(K18="",L18=""),"",IF(AND(K18&lt;=2,L18&lt;=2),"TRIGGER","OK"))</f>
        <v/>
      </c>
      <c r="N18" s="118"/>
      <c r="O18" s="118"/>
      <c r="P18" s="180" t="str">
        <f aca="false">IF(OR(N18="",O18=""),"",IF(AND(N18&lt;=2,O18&lt;=2),"TRIGGER","OK"))</f>
        <v/>
      </c>
      <c r="Q18" s="118"/>
      <c r="R18" s="118"/>
      <c r="S18" s="180" t="str">
        <f aca="false">IF(OR(Q18="",R18=""),"",IF(AND(Q18&lt;=2,R18&lt;=2),"TRIGGER","OK"))</f>
        <v/>
      </c>
      <c r="T18" s="181"/>
      <c r="U18" s="181"/>
      <c r="V18" s="179"/>
      <c r="W18" s="179"/>
      <c r="X18" s="118"/>
      <c r="Y18" s="118"/>
      <c r="Z18" s="180"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118"/>
      <c r="AB18" s="123"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178"/>
      <c r="B19" s="118"/>
      <c r="C19" s="179"/>
      <c r="D19" s="179"/>
      <c r="E19" s="118"/>
      <c r="F19" s="118"/>
      <c r="G19" s="180" t="str">
        <f aca="false">IF(OR(E19="",F19=""),"",IF(AND(E19&lt;=2,F19&lt;=2),"TRIGGER","OK"))</f>
        <v/>
      </c>
      <c r="H19" s="118"/>
      <c r="I19" s="118"/>
      <c r="J19" s="180" t="str">
        <f aca="false">IF(OR(H19="",I19=""),"",IF(AND(H19&lt;=2,I19&lt;=2),"TRIGGER","OK"))</f>
        <v/>
      </c>
      <c r="K19" s="118"/>
      <c r="L19" s="118"/>
      <c r="M19" s="180" t="str">
        <f aca="false">IF(OR(K19="",L19=""),"",IF(AND(K19&lt;=2,L19&lt;=2),"TRIGGER","OK"))</f>
        <v/>
      </c>
      <c r="N19" s="118"/>
      <c r="O19" s="118"/>
      <c r="P19" s="180" t="str">
        <f aca="false">IF(OR(N19="",O19=""),"",IF(AND(N19&lt;=2,O19&lt;=2),"TRIGGER","OK"))</f>
        <v/>
      </c>
      <c r="Q19" s="118"/>
      <c r="R19" s="118"/>
      <c r="S19" s="180" t="str">
        <f aca="false">IF(OR(Q19="",R19=""),"",IF(AND(Q19&lt;=2,R19&lt;=2),"TRIGGER","OK"))</f>
        <v/>
      </c>
      <c r="T19" s="181"/>
      <c r="U19" s="181"/>
      <c r="V19" s="179"/>
      <c r="W19" s="179"/>
      <c r="X19" s="118"/>
      <c r="Y19" s="118"/>
      <c r="Z19" s="180"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118"/>
      <c r="AB19" s="123"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178"/>
      <c r="B20" s="118"/>
      <c r="C20" s="179"/>
      <c r="D20" s="179"/>
      <c r="E20" s="118"/>
      <c r="F20" s="118"/>
      <c r="G20" s="180" t="str">
        <f aca="false">IF(OR(E20="",F20=""),"",IF(AND(E20&lt;=2,F20&lt;=2),"TRIGGER","OK"))</f>
        <v/>
      </c>
      <c r="H20" s="118"/>
      <c r="I20" s="118"/>
      <c r="J20" s="180" t="str">
        <f aca="false">IF(OR(H20="",I20=""),"",IF(AND(H20&lt;=2,I20&lt;=2),"TRIGGER","OK"))</f>
        <v/>
      </c>
      <c r="K20" s="118"/>
      <c r="L20" s="118"/>
      <c r="M20" s="180" t="str">
        <f aca="false">IF(OR(K20="",L20=""),"",IF(AND(K20&lt;=2,L20&lt;=2),"TRIGGER","OK"))</f>
        <v/>
      </c>
      <c r="N20" s="118"/>
      <c r="O20" s="118"/>
      <c r="P20" s="180" t="str">
        <f aca="false">IF(OR(N20="",O20=""),"",IF(AND(N20&lt;=2,O20&lt;=2),"TRIGGER","OK"))</f>
        <v/>
      </c>
      <c r="Q20" s="118"/>
      <c r="R20" s="118"/>
      <c r="S20" s="180" t="str">
        <f aca="false">IF(OR(Q20="",R20=""),"",IF(AND(Q20&lt;=2,R20&lt;=2),"TRIGGER","OK"))</f>
        <v/>
      </c>
      <c r="T20" s="181"/>
      <c r="U20" s="181"/>
      <c r="V20" s="179"/>
      <c r="W20" s="179"/>
      <c r="X20" s="118"/>
      <c r="Y20" s="118"/>
      <c r="Z20" s="180"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118"/>
      <c r="AB20" s="123"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178"/>
      <c r="B21" s="118"/>
      <c r="C21" s="179"/>
      <c r="D21" s="179"/>
      <c r="E21" s="118"/>
      <c r="F21" s="118"/>
      <c r="G21" s="180" t="str">
        <f aca="false">IF(OR(E21="",F21=""),"",IF(AND(E21&lt;=2,F21&lt;=2),"TRIGGER","OK"))</f>
        <v/>
      </c>
      <c r="H21" s="118"/>
      <c r="I21" s="118"/>
      <c r="J21" s="180" t="str">
        <f aca="false">IF(OR(H21="",I21=""),"",IF(AND(H21&lt;=2,I21&lt;=2),"TRIGGER","OK"))</f>
        <v/>
      </c>
      <c r="K21" s="118"/>
      <c r="L21" s="118"/>
      <c r="M21" s="180" t="str">
        <f aca="false">IF(OR(K21="",L21=""),"",IF(AND(K21&lt;=2,L21&lt;=2),"TRIGGER","OK"))</f>
        <v/>
      </c>
      <c r="N21" s="118"/>
      <c r="O21" s="118"/>
      <c r="P21" s="180" t="str">
        <f aca="false">IF(OR(N21="",O21=""),"",IF(AND(N21&lt;=2,O21&lt;=2),"TRIGGER","OK"))</f>
        <v/>
      </c>
      <c r="Q21" s="118"/>
      <c r="R21" s="118"/>
      <c r="S21" s="180" t="str">
        <f aca="false">IF(OR(Q21="",R21=""),"",IF(AND(Q21&lt;=2,R21&lt;=2),"TRIGGER","OK"))</f>
        <v/>
      </c>
      <c r="T21" s="181"/>
      <c r="U21" s="181"/>
      <c r="V21" s="179"/>
      <c r="W21" s="179"/>
      <c r="X21" s="118"/>
      <c r="Y21" s="118"/>
      <c r="Z21" s="180"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118"/>
      <c r="AB21" s="123"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178"/>
      <c r="B22" s="118"/>
      <c r="C22" s="179"/>
      <c r="D22" s="179"/>
      <c r="E22" s="118"/>
      <c r="F22" s="118"/>
      <c r="G22" s="180" t="str">
        <f aca="false">IF(OR(E22="",F22=""),"",IF(AND(E22&lt;=2,F22&lt;=2),"TRIGGER","OK"))</f>
        <v/>
      </c>
      <c r="H22" s="118"/>
      <c r="I22" s="118"/>
      <c r="J22" s="180" t="str">
        <f aca="false">IF(OR(H22="",I22=""),"",IF(AND(H22&lt;=2,I22&lt;=2),"TRIGGER","OK"))</f>
        <v/>
      </c>
      <c r="K22" s="118"/>
      <c r="L22" s="118"/>
      <c r="M22" s="180" t="str">
        <f aca="false">IF(OR(K22="",L22=""),"",IF(AND(K22&lt;=2,L22&lt;=2),"TRIGGER","OK"))</f>
        <v/>
      </c>
      <c r="N22" s="118"/>
      <c r="O22" s="118"/>
      <c r="P22" s="180" t="str">
        <f aca="false">IF(OR(N22="",O22=""),"",IF(AND(N22&lt;=2,O22&lt;=2),"TRIGGER","OK"))</f>
        <v/>
      </c>
      <c r="Q22" s="118"/>
      <c r="R22" s="118"/>
      <c r="S22" s="180" t="str">
        <f aca="false">IF(OR(Q22="",R22=""),"",IF(AND(Q22&lt;=2,R22&lt;=2),"TRIGGER","OK"))</f>
        <v/>
      </c>
      <c r="T22" s="181"/>
      <c r="U22" s="181"/>
      <c r="V22" s="179"/>
      <c r="W22" s="179"/>
      <c r="X22" s="118"/>
      <c r="Y22" s="118"/>
      <c r="Z22" s="180"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118"/>
      <c r="AB22" s="123"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178"/>
      <c r="B23" s="118"/>
      <c r="C23" s="179"/>
      <c r="D23" s="179"/>
      <c r="E23" s="118"/>
      <c r="F23" s="118"/>
      <c r="G23" s="180" t="str">
        <f aca="false">IF(OR(E23="",F23=""),"",IF(AND(E23&lt;=2,F23&lt;=2),"TRIGGER","OK"))</f>
        <v/>
      </c>
      <c r="H23" s="118"/>
      <c r="I23" s="118"/>
      <c r="J23" s="180" t="str">
        <f aca="false">IF(OR(H23="",I23=""),"",IF(AND(H23&lt;=2,I23&lt;=2),"TRIGGER","OK"))</f>
        <v/>
      </c>
      <c r="K23" s="118"/>
      <c r="L23" s="118"/>
      <c r="M23" s="180" t="str">
        <f aca="false">IF(OR(K23="",L23=""),"",IF(AND(K23&lt;=2,L23&lt;=2),"TRIGGER","OK"))</f>
        <v/>
      </c>
      <c r="N23" s="118"/>
      <c r="O23" s="118"/>
      <c r="P23" s="180" t="str">
        <f aca="false">IF(OR(N23="",O23=""),"",IF(AND(N23&lt;=2,O23&lt;=2),"TRIGGER","OK"))</f>
        <v/>
      </c>
      <c r="Q23" s="118"/>
      <c r="R23" s="118"/>
      <c r="S23" s="180" t="str">
        <f aca="false">IF(OR(Q23="",R23=""),"",IF(AND(Q23&lt;=2,R23&lt;=2),"TRIGGER","OK"))</f>
        <v/>
      </c>
      <c r="T23" s="181"/>
      <c r="U23" s="181"/>
      <c r="V23" s="179"/>
      <c r="W23" s="179"/>
      <c r="X23" s="118"/>
      <c r="Y23" s="118"/>
      <c r="Z23" s="180"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118"/>
      <c r="AB23" s="123"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T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21">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21">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21">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21">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21">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7">
      <formula>ISNUMBER(SEARCH("OK",AB4))</formula>
    </cfRule>
    <cfRule type="expression" priority="15" aboveAverage="0" equalAverage="0" bottom="0" percent="0" rank="0" text="" dxfId="19">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E6" activeCellId="0" sqref="E6"/>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62.25" hidden="false" customHeight="true" outlineLevel="0" collapsed="false">
      <c r="A1" s="182" t="s">
        <v>520</v>
      </c>
      <c r="B1" s="182"/>
      <c r="C1" s="182"/>
      <c r="D1" s="182"/>
      <c r="E1" s="182"/>
      <c r="F1" s="182"/>
      <c r="G1" s="182"/>
      <c r="H1" s="182"/>
      <c r="I1" s="182"/>
      <c r="J1" s="182"/>
      <c r="K1" s="182"/>
      <c r="L1" s="182"/>
      <c r="M1" s="182"/>
      <c r="N1" s="182"/>
      <c r="O1" s="182"/>
      <c r="P1" s="182"/>
      <c r="Q1" s="176"/>
    </row>
    <row r="2" customFormat="false" ht="42.75" hidden="false" customHeight="true" outlineLevel="0" collapsed="false">
      <c r="A2" s="59" t="s">
        <v>81</v>
      </c>
      <c r="B2" s="59" t="s">
        <v>279</v>
      </c>
      <c r="C2" s="59" t="s">
        <v>521</v>
      </c>
      <c r="D2" s="59" t="s">
        <v>522</v>
      </c>
      <c r="E2" s="59" t="s">
        <v>468</v>
      </c>
      <c r="F2" s="59" t="s">
        <v>523</v>
      </c>
      <c r="G2" s="59" t="s">
        <v>524</v>
      </c>
      <c r="H2" s="59" t="s">
        <v>525</v>
      </c>
      <c r="I2" s="59" t="s">
        <v>526</v>
      </c>
      <c r="J2" s="59" t="s">
        <v>527</v>
      </c>
      <c r="K2" s="59" t="s">
        <v>528</v>
      </c>
      <c r="L2" s="59" t="s">
        <v>529</v>
      </c>
      <c r="M2" s="59" t="s">
        <v>530</v>
      </c>
      <c r="N2" s="59" t="s">
        <v>531</v>
      </c>
      <c r="O2" s="59" t="s">
        <v>532</v>
      </c>
      <c r="P2" s="59" t="s">
        <v>533</v>
      </c>
      <c r="Q2" s="59" t="s">
        <v>534</v>
      </c>
    </row>
    <row r="3" customFormat="false" ht="15" hidden="false" customHeight="true" outlineLevel="0" collapsed="false">
      <c r="A3" s="178" t="s">
        <v>95</v>
      </c>
      <c r="B3" s="118" t="s">
        <v>96</v>
      </c>
      <c r="C3" s="183" t="n">
        <v>46241</v>
      </c>
      <c r="D3" s="184" t="n">
        <v>266.38</v>
      </c>
      <c r="E3" s="118" t="n">
        <v>85.8</v>
      </c>
      <c r="F3" s="118" t="s">
        <v>330</v>
      </c>
      <c r="G3" s="118" t="s">
        <v>535</v>
      </c>
      <c r="H3" s="184" t="n">
        <v>773.26</v>
      </c>
      <c r="I3" s="118" t="s">
        <v>536</v>
      </c>
      <c r="J3" s="183"/>
      <c r="K3" s="184"/>
      <c r="L3" s="118"/>
      <c r="M3" s="184" t="n">
        <v>259.32</v>
      </c>
      <c r="N3" s="184" t="n">
        <v>765.04</v>
      </c>
      <c r="O3" s="185" t="n">
        <f aca="false">IF(OR(D3="",M3=""),"",M3/D3-1)</f>
        <v>-0.026503491253097</v>
      </c>
      <c r="P3" s="186" t="n">
        <f aca="false">IF(OR(H3="",N3=""),"",N3/H3-1)</f>
        <v>-0.0106303183922614</v>
      </c>
      <c r="Q3" s="185" t="n">
        <f aca="false">IF(OR(O3="",P3=""),"",O3-P3)</f>
        <v>-0.0158731728608357</v>
      </c>
    </row>
    <row r="4" customFormat="false" ht="15" hidden="false" customHeight="true" outlineLevel="0" collapsed="false">
      <c r="A4" s="178" t="s">
        <v>167</v>
      </c>
      <c r="B4" s="118" t="s">
        <v>168</v>
      </c>
      <c r="C4" s="183" t="n">
        <v>46241</v>
      </c>
      <c r="D4" s="184" t="n">
        <v>488.77</v>
      </c>
      <c r="E4" s="118" t="n">
        <v>75.6</v>
      </c>
      <c r="F4" s="118" t="s">
        <v>330</v>
      </c>
      <c r="G4" s="118" t="s">
        <v>537</v>
      </c>
      <c r="H4" s="184" t="n">
        <v>773.26</v>
      </c>
      <c r="I4" s="118" t="s">
        <v>536</v>
      </c>
      <c r="J4" s="183"/>
      <c r="K4" s="184"/>
      <c r="L4" s="118"/>
      <c r="M4" s="184" t="n">
        <v>478.7</v>
      </c>
      <c r="N4" s="184" t="n">
        <v>765.04</v>
      </c>
      <c r="O4" s="185" t="n">
        <f aca="false">IF(OR(D4="",M4=""),"",M4/D4-1)</f>
        <v>-0.0206027374838881</v>
      </c>
      <c r="P4" s="186" t="n">
        <f aca="false">IF(OR(H4="",N4=""),"",N4/H4-1)</f>
        <v>-0.0106303183922614</v>
      </c>
      <c r="Q4" s="185" t="n">
        <f aca="false">IF(OR(O4="",P4=""),"",O4-P4)</f>
        <v>-0.00997241909162672</v>
      </c>
    </row>
    <row r="5" customFormat="false" ht="15" hidden="false" customHeight="true" outlineLevel="0" collapsed="false">
      <c r="A5" s="178" t="s">
        <v>170</v>
      </c>
      <c r="B5" s="118" t="s">
        <v>336</v>
      </c>
      <c r="C5" s="183" t="n">
        <v>46241</v>
      </c>
      <c r="D5" s="184" t="n">
        <v>139.92</v>
      </c>
      <c r="E5" s="118" t="n">
        <v>82</v>
      </c>
      <c r="F5" s="118" t="s">
        <v>330</v>
      </c>
      <c r="G5" s="118" t="s">
        <v>535</v>
      </c>
      <c r="H5" s="184" t="n">
        <v>773.26</v>
      </c>
      <c r="I5" s="118" t="s">
        <v>536</v>
      </c>
      <c r="J5" s="183"/>
      <c r="K5" s="184"/>
      <c r="L5" s="118"/>
      <c r="M5" s="184" t="n">
        <v>139.06</v>
      </c>
      <c r="N5" s="184" t="n">
        <v>765.04</v>
      </c>
      <c r="O5" s="185" t="n">
        <f aca="false">IF(OR(D5="",M5=""),"",M5/D5-1)</f>
        <v>-0.00614636935391644</v>
      </c>
      <c r="P5" s="186" t="n">
        <f aca="false">IF(OR(H5="",N5=""),"",N5/H5-1)</f>
        <v>-0.0106303183922614</v>
      </c>
      <c r="Q5" s="185" t="n">
        <f aca="false">IF(OR(O5="",P5=""),"",O5-P5)</f>
        <v>0.00448394903834493</v>
      </c>
    </row>
    <row r="6" customFormat="false" ht="15" hidden="false" customHeight="true" outlineLevel="0" collapsed="false">
      <c r="A6" s="178" t="s">
        <v>118</v>
      </c>
      <c r="B6" s="118" t="s">
        <v>119</v>
      </c>
      <c r="C6" s="183" t="n">
        <v>46273</v>
      </c>
      <c r="D6" s="184" t="n">
        <v>368.97</v>
      </c>
      <c r="E6" s="118" t="n">
        <v>86.4</v>
      </c>
      <c r="F6" s="118" t="s">
        <v>330</v>
      </c>
      <c r="G6" s="118" t="s">
        <v>535</v>
      </c>
      <c r="H6" s="184" t="n">
        <v>767.53</v>
      </c>
      <c r="I6" s="118" t="s">
        <v>536</v>
      </c>
      <c r="J6" s="183"/>
      <c r="K6" s="184"/>
      <c r="L6" s="118"/>
      <c r="M6" s="184" t="n">
        <v>367.68</v>
      </c>
      <c r="N6" s="184" t="n">
        <v>767.53</v>
      </c>
      <c r="O6" s="185" t="n">
        <f aca="false">IF(OR(D6="",M6=""),"",M6/D6-1)</f>
        <v>-0.00349621920481347</v>
      </c>
      <c r="P6" s="186" t="n">
        <f aca="false">IF(OR(H6="",N6=""),"",N6/H6-1)</f>
        <v>0</v>
      </c>
      <c r="Q6" s="185" t="n">
        <f aca="false">IF(OR(O6="",P6=""),"",O6-P6)</f>
        <v>-0.00349621920481347</v>
      </c>
    </row>
    <row r="7" customFormat="false" ht="15" hidden="false" customHeight="true" outlineLevel="0" collapsed="false">
      <c r="A7" s="178" t="s">
        <v>140</v>
      </c>
      <c r="B7" s="118" t="s">
        <v>141</v>
      </c>
      <c r="C7" s="183" t="n">
        <v>46295</v>
      </c>
      <c r="D7" s="184" t="n">
        <v>314.71</v>
      </c>
      <c r="E7" s="118" t="n">
        <v>84.2</v>
      </c>
      <c r="F7" s="118" t="s">
        <v>330</v>
      </c>
      <c r="G7" s="118" t="s">
        <v>535</v>
      </c>
      <c r="H7" s="184" t="n">
        <v>766.29</v>
      </c>
      <c r="I7" s="118" t="s">
        <v>536</v>
      </c>
      <c r="J7" s="183"/>
      <c r="K7" s="184"/>
      <c r="L7" s="118"/>
      <c r="M7" s="184" t="n">
        <v>314.71</v>
      </c>
      <c r="N7" s="184" t="n">
        <v>766.29</v>
      </c>
      <c r="O7" s="185" t="n">
        <f aca="false">IF(OR(D7="",M7=""),"",M7/D7-1)</f>
        <v>0</v>
      </c>
      <c r="P7" s="186" t="n">
        <f aca="false">IF(OR(H7="",N7=""),"",N7/H7-1)</f>
        <v>0</v>
      </c>
      <c r="Q7" s="185" t="n">
        <f aca="false">IF(OR(O7="",P7=""),"",O7-P7)</f>
        <v>0</v>
      </c>
    </row>
    <row r="8" customFormat="false" ht="15" hidden="false" customHeight="true" outlineLevel="0" collapsed="false">
      <c r="A8" s="178" t="s">
        <v>143</v>
      </c>
      <c r="B8" s="118" t="s">
        <v>144</v>
      </c>
      <c r="C8" s="183" t="n">
        <v>46295</v>
      </c>
      <c r="D8" s="184" t="n">
        <v>69.795</v>
      </c>
      <c r="E8" s="118" t="n">
        <v>83.8</v>
      </c>
      <c r="F8" s="118" t="s">
        <v>330</v>
      </c>
      <c r="G8" s="118" t="s">
        <v>535</v>
      </c>
      <c r="H8" s="184" t="n">
        <v>766.29</v>
      </c>
      <c r="I8" s="118" t="s">
        <v>536</v>
      </c>
      <c r="J8" s="183"/>
      <c r="K8" s="184"/>
      <c r="L8" s="118"/>
      <c r="M8" s="184" t="n">
        <v>69.795</v>
      </c>
      <c r="N8" s="184" t="n">
        <v>766.29</v>
      </c>
      <c r="O8" s="185" t="n">
        <f aca="false">IF(OR(D8="",M8=""),"",M8/D8-1)</f>
        <v>0</v>
      </c>
      <c r="P8" s="186" t="n">
        <f aca="false">IF(OR(H8="",N8=""),"",N8/H8-1)</f>
        <v>0</v>
      </c>
      <c r="Q8" s="185" t="n">
        <f aca="false">IF(OR(O8="",P8=""),"",O8-P8)</f>
        <v>0</v>
      </c>
    </row>
    <row r="9" customFormat="false" ht="15" hidden="false" customHeight="true" outlineLevel="0" collapsed="false">
      <c r="A9" s="178"/>
      <c r="B9" s="118"/>
      <c r="C9" s="183"/>
      <c r="D9" s="184"/>
      <c r="E9" s="118"/>
      <c r="F9" s="118"/>
      <c r="G9" s="118"/>
      <c r="H9" s="184"/>
      <c r="I9" s="118"/>
      <c r="J9" s="183"/>
      <c r="K9" s="184"/>
      <c r="L9" s="118"/>
      <c r="M9" s="184"/>
      <c r="N9" s="184"/>
      <c r="O9" s="185" t="str">
        <f aca="false">IF(OR(D9="",M9=""),"",M9/D9-1)</f>
        <v/>
      </c>
      <c r="P9" s="186" t="str">
        <f aca="false">IF(OR(H9="",N9=""),"",N9/H9-1)</f>
        <v/>
      </c>
      <c r="Q9" s="185" t="str">
        <f aca="false">IF(OR(O9="",P9=""),"",O9-P9)</f>
        <v/>
      </c>
    </row>
    <row r="10" customFormat="false" ht="15" hidden="false" customHeight="true" outlineLevel="0" collapsed="false">
      <c r="A10" s="178"/>
      <c r="B10" s="118"/>
      <c r="C10" s="183"/>
      <c r="D10" s="184"/>
      <c r="E10" s="118"/>
      <c r="F10" s="118"/>
      <c r="G10" s="118"/>
      <c r="H10" s="184"/>
      <c r="I10" s="118"/>
      <c r="J10" s="183"/>
      <c r="K10" s="184"/>
      <c r="L10" s="118"/>
      <c r="M10" s="184"/>
      <c r="N10" s="184"/>
      <c r="O10" s="185" t="str">
        <f aca="false">IF(OR(D10="",M10=""),"",M10/D10-1)</f>
        <v/>
      </c>
      <c r="P10" s="186" t="str">
        <f aca="false">IF(OR(H10="",N10=""),"",N10/H10-1)</f>
        <v/>
      </c>
      <c r="Q10" s="185" t="str">
        <f aca="false">IF(OR(O10="",P10=""),"",O10-P10)</f>
        <v/>
      </c>
    </row>
    <row r="11" customFormat="false" ht="15" hidden="false" customHeight="true" outlineLevel="0" collapsed="false">
      <c r="A11" s="178"/>
      <c r="B11" s="118"/>
      <c r="C11" s="183"/>
      <c r="D11" s="184"/>
      <c r="E11" s="118"/>
      <c r="F11" s="118"/>
      <c r="G11" s="118"/>
      <c r="H11" s="184"/>
      <c r="I11" s="118"/>
      <c r="J11" s="183"/>
      <c r="K11" s="184"/>
      <c r="L11" s="118"/>
      <c r="M11" s="184"/>
      <c r="N11" s="184"/>
      <c r="O11" s="185" t="str">
        <f aca="false">IF(OR(D11="",M11=""),"",M11/D11-1)</f>
        <v/>
      </c>
      <c r="P11" s="186" t="str">
        <f aca="false">IF(OR(H11="",N11=""),"",N11/H11-1)</f>
        <v/>
      </c>
      <c r="Q11" s="185" t="str">
        <f aca="false">IF(OR(O11="",P11=""),"",O11-P11)</f>
        <v/>
      </c>
    </row>
    <row r="12" customFormat="false" ht="15" hidden="false" customHeight="true" outlineLevel="0" collapsed="false">
      <c r="A12" s="178"/>
      <c r="B12" s="118"/>
      <c r="C12" s="183"/>
      <c r="D12" s="184"/>
      <c r="E12" s="118"/>
      <c r="F12" s="118"/>
      <c r="G12" s="118"/>
      <c r="H12" s="184"/>
      <c r="I12" s="118"/>
      <c r="J12" s="183"/>
      <c r="K12" s="184"/>
      <c r="L12" s="118"/>
      <c r="M12" s="184"/>
      <c r="N12" s="184"/>
      <c r="O12" s="185" t="str">
        <f aca="false">IF(OR(D12="",M12=""),"",M12/D12-1)</f>
        <v/>
      </c>
      <c r="P12" s="186" t="str">
        <f aca="false">IF(OR(H12="",N12=""),"",N12/H12-1)</f>
        <v/>
      </c>
      <c r="Q12" s="185" t="str">
        <f aca="false">IF(OR(O12="",P12=""),"",O12-P12)</f>
        <v/>
      </c>
    </row>
    <row r="13" customFormat="false" ht="15" hidden="false" customHeight="true" outlineLevel="0" collapsed="false">
      <c r="A13" s="178"/>
      <c r="B13" s="118"/>
      <c r="C13" s="183"/>
      <c r="D13" s="184"/>
      <c r="E13" s="118"/>
      <c r="F13" s="118"/>
      <c r="G13" s="118"/>
      <c r="H13" s="184"/>
      <c r="I13" s="118"/>
      <c r="J13" s="183"/>
      <c r="K13" s="184"/>
      <c r="L13" s="118"/>
      <c r="M13" s="184"/>
      <c r="N13" s="184"/>
      <c r="O13" s="185" t="str">
        <f aca="false">IF(OR(D13="",M13=""),"",M13/D13-1)</f>
        <v/>
      </c>
      <c r="P13" s="186" t="str">
        <f aca="false">IF(OR(H13="",N13=""),"",N13/H13-1)</f>
        <v/>
      </c>
      <c r="Q13" s="185" t="str">
        <f aca="false">IF(OR(O13="",P13=""),"",O13-P13)</f>
        <v/>
      </c>
    </row>
    <row r="14" customFormat="false" ht="15" hidden="false" customHeight="true" outlineLevel="0" collapsed="false">
      <c r="A14" s="178"/>
      <c r="B14" s="118"/>
      <c r="C14" s="183"/>
      <c r="D14" s="184"/>
      <c r="E14" s="118"/>
      <c r="F14" s="118"/>
      <c r="G14" s="118"/>
      <c r="H14" s="184"/>
      <c r="I14" s="118"/>
      <c r="J14" s="183"/>
      <c r="K14" s="184"/>
      <c r="L14" s="118"/>
      <c r="M14" s="184"/>
      <c r="N14" s="184"/>
      <c r="O14" s="185" t="str">
        <f aca="false">IF(OR(D14="",M14=""),"",M14/D14-1)</f>
        <v/>
      </c>
      <c r="P14" s="186" t="str">
        <f aca="false">IF(OR(H14="",N14=""),"",N14/H14-1)</f>
        <v/>
      </c>
      <c r="Q14" s="185" t="str">
        <f aca="false">IF(OR(O14="",P14=""),"",O14-P14)</f>
        <v/>
      </c>
    </row>
    <row r="15" customFormat="false" ht="15" hidden="false" customHeight="true" outlineLevel="0" collapsed="false">
      <c r="A15" s="178"/>
      <c r="B15" s="118"/>
      <c r="C15" s="183"/>
      <c r="D15" s="184"/>
      <c r="E15" s="118"/>
      <c r="F15" s="118"/>
      <c r="G15" s="118"/>
      <c r="H15" s="184"/>
      <c r="I15" s="118"/>
      <c r="J15" s="183"/>
      <c r="K15" s="184"/>
      <c r="L15" s="118"/>
      <c r="M15" s="184"/>
      <c r="N15" s="184"/>
      <c r="O15" s="185" t="str">
        <f aca="false">IF(OR(D15="",M15=""),"",M15/D15-1)</f>
        <v/>
      </c>
      <c r="P15" s="186" t="str">
        <f aca="false">IF(OR(H15="",N15=""),"",N15/H15-1)</f>
        <v/>
      </c>
      <c r="Q15" s="185" t="str">
        <f aca="false">IF(OR(O15="",P15=""),"",O15-P15)</f>
        <v/>
      </c>
    </row>
    <row r="16" customFormat="false" ht="15" hidden="false" customHeight="true" outlineLevel="0" collapsed="false">
      <c r="A16" s="178"/>
      <c r="B16" s="118"/>
      <c r="C16" s="183"/>
      <c r="D16" s="184"/>
      <c r="E16" s="118"/>
      <c r="F16" s="118"/>
      <c r="G16" s="118"/>
      <c r="H16" s="184"/>
      <c r="I16" s="118"/>
      <c r="J16" s="183"/>
      <c r="K16" s="184"/>
      <c r="L16" s="118"/>
      <c r="M16" s="184"/>
      <c r="N16" s="184"/>
      <c r="O16" s="185" t="str">
        <f aca="false">IF(OR(D16="",M16=""),"",M16/D16-1)</f>
        <v/>
      </c>
      <c r="P16" s="186" t="str">
        <f aca="false">IF(OR(H16="",N16=""),"",N16/H16-1)</f>
        <v/>
      </c>
      <c r="Q16" s="185" t="str">
        <f aca="false">IF(OR(O16="",P16=""),"",O16-P16)</f>
        <v/>
      </c>
    </row>
    <row r="17" customFormat="false" ht="15" hidden="false" customHeight="true" outlineLevel="0" collapsed="false">
      <c r="A17" s="178"/>
      <c r="B17" s="118"/>
      <c r="C17" s="183"/>
      <c r="D17" s="184"/>
      <c r="E17" s="118"/>
      <c r="F17" s="118"/>
      <c r="G17" s="118"/>
      <c r="H17" s="184"/>
      <c r="I17" s="118"/>
      <c r="J17" s="183"/>
      <c r="K17" s="184"/>
      <c r="L17" s="118"/>
      <c r="M17" s="184"/>
      <c r="N17" s="184"/>
      <c r="O17" s="185" t="str">
        <f aca="false">IF(OR(D17="",M17=""),"",M17/D17-1)</f>
        <v/>
      </c>
      <c r="P17" s="186" t="str">
        <f aca="false">IF(OR(H17="",N17=""),"",N17/H17-1)</f>
        <v/>
      </c>
      <c r="Q17" s="185" t="str">
        <f aca="false">IF(OR(O17="",P17=""),"",O17-P17)</f>
        <v/>
      </c>
    </row>
    <row r="18" customFormat="false" ht="15" hidden="false" customHeight="true" outlineLevel="0" collapsed="false">
      <c r="A18" s="178"/>
      <c r="B18" s="118"/>
      <c r="C18" s="183"/>
      <c r="D18" s="184"/>
      <c r="E18" s="118"/>
      <c r="F18" s="118"/>
      <c r="G18" s="118"/>
      <c r="H18" s="184"/>
      <c r="I18" s="118"/>
      <c r="J18" s="183"/>
      <c r="K18" s="184"/>
      <c r="L18" s="118"/>
      <c r="M18" s="184"/>
      <c r="N18" s="184"/>
      <c r="O18" s="185" t="str">
        <f aca="false">IF(OR(D18="",M18=""),"",M18/D18-1)</f>
        <v/>
      </c>
      <c r="P18" s="186" t="str">
        <f aca="false">IF(OR(H18="",N18=""),"",N18/H18-1)</f>
        <v/>
      </c>
      <c r="Q18" s="185" t="str">
        <f aca="false">IF(OR(O18="",P18=""),"",O18-P18)</f>
        <v/>
      </c>
    </row>
    <row r="19" customFormat="false" ht="15" hidden="false" customHeight="true" outlineLevel="0" collapsed="false">
      <c r="A19" s="178"/>
      <c r="B19" s="118"/>
      <c r="C19" s="183"/>
      <c r="D19" s="184"/>
      <c r="E19" s="118"/>
      <c r="F19" s="118"/>
      <c r="G19" s="118"/>
      <c r="H19" s="184"/>
      <c r="I19" s="118"/>
      <c r="J19" s="183"/>
      <c r="K19" s="184"/>
      <c r="L19" s="118"/>
      <c r="M19" s="184"/>
      <c r="N19" s="184"/>
      <c r="O19" s="185" t="str">
        <f aca="false">IF(OR(D19="",M19=""),"",M19/D19-1)</f>
        <v/>
      </c>
      <c r="P19" s="186" t="str">
        <f aca="false">IF(OR(H19="",N19=""),"",N19/H19-1)</f>
        <v/>
      </c>
      <c r="Q19" s="185" t="str">
        <f aca="false">IF(OR(O19="",P19=""),"",O19-P19)</f>
        <v/>
      </c>
    </row>
    <row r="20" customFormat="false" ht="15" hidden="false" customHeight="true" outlineLevel="0" collapsed="false">
      <c r="A20" s="178"/>
      <c r="B20" s="118"/>
      <c r="C20" s="183"/>
      <c r="D20" s="184"/>
      <c r="E20" s="118"/>
      <c r="F20" s="118"/>
      <c r="G20" s="118"/>
      <c r="H20" s="184"/>
      <c r="I20" s="118"/>
      <c r="J20" s="183"/>
      <c r="K20" s="184"/>
      <c r="L20" s="118"/>
      <c r="M20" s="184"/>
      <c r="N20" s="184"/>
      <c r="O20" s="185" t="str">
        <f aca="false">IF(OR(D20="",M20=""),"",M20/D20-1)</f>
        <v/>
      </c>
      <c r="P20" s="186" t="str">
        <f aca="false">IF(OR(H20="",N20=""),"",N20/H20-1)</f>
        <v/>
      </c>
      <c r="Q20" s="185" t="str">
        <f aca="false">IF(OR(O20="",P20=""),"",O20-P20)</f>
        <v/>
      </c>
    </row>
    <row r="21" customFormat="false" ht="15" hidden="false" customHeight="true" outlineLevel="0" collapsed="false">
      <c r="A21" s="178"/>
      <c r="B21" s="118"/>
      <c r="C21" s="183"/>
      <c r="D21" s="184"/>
      <c r="E21" s="118"/>
      <c r="F21" s="118"/>
      <c r="G21" s="118"/>
      <c r="H21" s="184"/>
      <c r="I21" s="118"/>
      <c r="J21" s="183"/>
      <c r="K21" s="184"/>
      <c r="L21" s="118"/>
      <c r="M21" s="184"/>
      <c r="N21" s="184"/>
      <c r="O21" s="185" t="str">
        <f aca="false">IF(OR(D21="",M21=""),"",M21/D21-1)</f>
        <v/>
      </c>
      <c r="P21" s="186" t="str">
        <f aca="false">IF(OR(H21="",N21=""),"",N21/H21-1)</f>
        <v/>
      </c>
      <c r="Q21" s="185" t="str">
        <f aca="false">IF(OR(O21="",P21=""),"",O21-P21)</f>
        <v/>
      </c>
    </row>
    <row r="22" customFormat="false" ht="15" hidden="false" customHeight="true" outlineLevel="0" collapsed="false">
      <c r="A22" s="178"/>
      <c r="B22" s="118"/>
      <c r="C22" s="183"/>
      <c r="D22" s="184"/>
      <c r="E22" s="118"/>
      <c r="F22" s="118"/>
      <c r="G22" s="118"/>
      <c r="H22" s="184"/>
      <c r="I22" s="118"/>
      <c r="J22" s="183"/>
      <c r="K22" s="184"/>
      <c r="L22" s="118"/>
      <c r="M22" s="184"/>
      <c r="N22" s="184"/>
      <c r="O22" s="185" t="str">
        <f aca="false">IF(OR(D22="",M22=""),"",M22/D22-1)</f>
        <v/>
      </c>
      <c r="P22" s="186" t="str">
        <f aca="false">IF(OR(H22="",N22=""),"",N22/H22-1)</f>
        <v/>
      </c>
      <c r="Q22" s="185" t="str">
        <f aca="false">IF(OR(O22="",P22=""),"",O22-P22)</f>
        <v/>
      </c>
    </row>
    <row r="23" customFormat="false" ht="15" hidden="false" customHeight="true" outlineLevel="0" collapsed="false">
      <c r="A23" s="178"/>
      <c r="B23" s="118"/>
      <c r="C23" s="183"/>
      <c r="D23" s="184"/>
      <c r="E23" s="118"/>
      <c r="F23" s="118"/>
      <c r="G23" s="118"/>
      <c r="H23" s="184"/>
      <c r="I23" s="118"/>
      <c r="J23" s="183"/>
      <c r="K23" s="184"/>
      <c r="L23" s="118"/>
      <c r="M23" s="184"/>
      <c r="N23" s="184"/>
      <c r="O23" s="185" t="str">
        <f aca="false">IF(OR(D23="",M23=""),"",M23/D23-1)</f>
        <v/>
      </c>
      <c r="P23" s="186" t="str">
        <f aca="false">IF(OR(H23="",N23=""),"",N23/H23-1)</f>
        <v/>
      </c>
      <c r="Q23" s="185" t="str">
        <f aca="false">IF(OR(O23="",P23=""),"",O23-P23)</f>
        <v/>
      </c>
    </row>
    <row r="24" customFormat="false" ht="15" hidden="false" customHeight="true" outlineLevel="0" collapsed="false">
      <c r="A24" s="178"/>
      <c r="B24" s="118"/>
      <c r="C24" s="183"/>
      <c r="D24" s="184"/>
      <c r="E24" s="118"/>
      <c r="F24" s="118"/>
      <c r="G24" s="118"/>
      <c r="H24" s="184"/>
      <c r="I24" s="118"/>
      <c r="J24" s="183"/>
      <c r="K24" s="184"/>
      <c r="L24" s="118"/>
      <c r="M24" s="184"/>
      <c r="N24" s="184"/>
      <c r="O24" s="185" t="str">
        <f aca="false">IF(OR(D24="",M24=""),"",M24/D24-1)</f>
        <v/>
      </c>
      <c r="P24" s="186" t="str">
        <f aca="false">IF(OR(H24="",N24=""),"",N24/H24-1)</f>
        <v/>
      </c>
      <c r="Q24" s="185" t="str">
        <f aca="false">IF(OR(O24="",P24=""),"",O24-P24)</f>
        <v/>
      </c>
    </row>
    <row r="25" customFormat="false" ht="15" hidden="false" customHeight="true" outlineLevel="0" collapsed="false">
      <c r="A25" s="178"/>
      <c r="B25" s="118"/>
      <c r="C25" s="183"/>
      <c r="D25" s="184"/>
      <c r="E25" s="118"/>
      <c r="F25" s="118"/>
      <c r="G25" s="118"/>
      <c r="H25" s="184"/>
      <c r="I25" s="118"/>
      <c r="J25" s="183"/>
      <c r="K25" s="184"/>
      <c r="L25" s="118"/>
      <c r="M25" s="184"/>
      <c r="N25" s="184"/>
      <c r="O25" s="185" t="str">
        <f aca="false">IF(OR(D25="",M25=""),"",M25/D25-1)</f>
        <v/>
      </c>
      <c r="P25" s="186" t="str">
        <f aca="false">IF(OR(H25="",N25=""),"",N25/H25-1)</f>
        <v/>
      </c>
      <c r="Q25" s="185" t="str">
        <f aca="false">IF(OR(O25="",P25=""),"",O25-P25)</f>
        <v/>
      </c>
    </row>
    <row r="26" customFormat="false" ht="15" hidden="false" customHeight="true" outlineLevel="0" collapsed="false">
      <c r="A26" s="178"/>
      <c r="B26" s="118"/>
      <c r="C26" s="183"/>
      <c r="D26" s="184"/>
      <c r="E26" s="118"/>
      <c r="F26" s="118"/>
      <c r="G26" s="118"/>
      <c r="H26" s="184"/>
      <c r="I26" s="118"/>
      <c r="J26" s="183"/>
      <c r="K26" s="184"/>
      <c r="L26" s="118"/>
      <c r="M26" s="184"/>
      <c r="N26" s="184"/>
      <c r="O26" s="185" t="str">
        <f aca="false">IF(OR(D26="",M26=""),"",M26/D26-1)</f>
        <v/>
      </c>
      <c r="P26" s="186" t="str">
        <f aca="false">IF(OR(H26="",N26=""),"",N26/H26-1)</f>
        <v/>
      </c>
      <c r="Q26" s="185" t="str">
        <f aca="false">IF(OR(O26="",P26=""),"",O26-P26)</f>
        <v/>
      </c>
    </row>
    <row r="27" customFormat="false" ht="15" hidden="false" customHeight="true" outlineLevel="0" collapsed="false">
      <c r="A27" s="178"/>
      <c r="B27" s="118"/>
      <c r="C27" s="183"/>
      <c r="D27" s="184"/>
      <c r="E27" s="118"/>
      <c r="F27" s="118"/>
      <c r="G27" s="118"/>
      <c r="H27" s="184"/>
      <c r="I27" s="118"/>
      <c r="J27" s="183"/>
      <c r="K27" s="184"/>
      <c r="L27" s="118"/>
      <c r="M27" s="184"/>
      <c r="N27" s="184"/>
      <c r="O27" s="185" t="str">
        <f aca="false">IF(OR(D27="",M27=""),"",M27/D27-1)</f>
        <v/>
      </c>
      <c r="P27" s="186" t="str">
        <f aca="false">IF(OR(H27="",N27=""),"",N27/H27-1)</f>
        <v/>
      </c>
      <c r="Q27" s="185" t="str">
        <f aca="false">IF(OR(O27="",P27=""),"",O27-P27)</f>
        <v/>
      </c>
    </row>
    <row r="28" customFormat="false" ht="15" hidden="false" customHeight="true" outlineLevel="0" collapsed="false">
      <c r="A28" s="178"/>
      <c r="B28" s="118"/>
      <c r="C28" s="183"/>
      <c r="D28" s="184"/>
      <c r="E28" s="118"/>
      <c r="F28" s="118"/>
      <c r="G28" s="118"/>
      <c r="H28" s="184"/>
      <c r="I28" s="118"/>
      <c r="J28" s="183"/>
      <c r="K28" s="184"/>
      <c r="L28" s="118"/>
      <c r="M28" s="184"/>
      <c r="N28" s="184"/>
      <c r="O28" s="185" t="str">
        <f aca="false">IF(OR(D28="",M28=""),"",M28/D28-1)</f>
        <v/>
      </c>
      <c r="P28" s="186" t="str">
        <f aca="false">IF(OR(H28="",N28=""),"",N28/H28-1)</f>
        <v/>
      </c>
      <c r="Q28" s="185" t="str">
        <f aca="false">IF(OR(O28="",P28=""),"",O28-P28)</f>
        <v/>
      </c>
    </row>
    <row r="29" customFormat="false" ht="15" hidden="false" customHeight="true" outlineLevel="0" collapsed="false">
      <c r="A29" s="178"/>
      <c r="B29" s="118"/>
      <c r="C29" s="183"/>
      <c r="D29" s="184"/>
      <c r="E29" s="118"/>
      <c r="F29" s="118"/>
      <c r="G29" s="118"/>
      <c r="H29" s="184"/>
      <c r="I29" s="118"/>
      <c r="J29" s="183"/>
      <c r="K29" s="184"/>
      <c r="L29" s="118"/>
      <c r="M29" s="184"/>
      <c r="N29" s="184"/>
      <c r="O29" s="185" t="str">
        <f aca="false">IF(OR(D29="",M29=""),"",M29/D29-1)</f>
        <v/>
      </c>
      <c r="P29" s="186" t="str">
        <f aca="false">IF(OR(H29="",N29=""),"",N29/H29-1)</f>
        <v/>
      </c>
      <c r="Q29" s="185" t="str">
        <f aca="false">IF(OR(O29="",P29=""),"",O29-P29)</f>
        <v/>
      </c>
    </row>
    <row r="30" customFormat="false" ht="15" hidden="false" customHeight="true" outlineLevel="0" collapsed="false">
      <c r="A30" s="178"/>
      <c r="B30" s="118"/>
      <c r="C30" s="183"/>
      <c r="D30" s="184"/>
      <c r="E30" s="118"/>
      <c r="F30" s="118"/>
      <c r="G30" s="118"/>
      <c r="H30" s="184"/>
      <c r="I30" s="118"/>
      <c r="J30" s="183"/>
      <c r="K30" s="184"/>
      <c r="L30" s="118"/>
      <c r="M30" s="184"/>
      <c r="N30" s="184"/>
      <c r="O30" s="185" t="str">
        <f aca="false">IF(OR(D30="",M30=""),"",M30/D30-1)</f>
        <v/>
      </c>
      <c r="P30" s="186" t="str">
        <f aca="false">IF(OR(H30="",N30=""),"",N30/H30-1)</f>
        <v/>
      </c>
      <c r="Q30" s="185" t="str">
        <f aca="false">IF(OR(O30="",P30=""),"",O30-P30)</f>
        <v/>
      </c>
    </row>
    <row r="31" customFormat="false" ht="15" hidden="false" customHeight="true" outlineLevel="0" collapsed="false">
      <c r="A31" s="178"/>
      <c r="B31" s="118"/>
      <c r="C31" s="183"/>
      <c r="D31" s="184"/>
      <c r="E31" s="118"/>
      <c r="F31" s="118"/>
      <c r="G31" s="118"/>
      <c r="H31" s="184"/>
      <c r="I31" s="118"/>
      <c r="J31" s="183"/>
      <c r="K31" s="184"/>
      <c r="L31" s="118"/>
      <c r="M31" s="184"/>
      <c r="N31" s="184"/>
      <c r="O31" s="185" t="str">
        <f aca="false">IF(OR(D31="",M31=""),"",M31/D31-1)</f>
        <v/>
      </c>
      <c r="P31" s="186" t="str">
        <f aca="false">IF(OR(H31="",N31=""),"",N31/H31-1)</f>
        <v/>
      </c>
      <c r="Q31" s="185" t="str">
        <f aca="false">IF(OR(O31="",P31=""),"",O31-P31)</f>
        <v/>
      </c>
    </row>
    <row r="32" customFormat="false" ht="15" hidden="false" customHeight="true" outlineLevel="0" collapsed="false">
      <c r="A32" s="178"/>
      <c r="B32" s="118"/>
      <c r="C32" s="183"/>
      <c r="D32" s="184"/>
      <c r="E32" s="118"/>
      <c r="F32" s="118"/>
      <c r="G32" s="118"/>
      <c r="H32" s="184"/>
      <c r="I32" s="118"/>
      <c r="J32" s="183"/>
      <c r="K32" s="184"/>
      <c r="L32" s="118"/>
      <c r="M32" s="184"/>
      <c r="N32" s="184"/>
      <c r="O32" s="185" t="str">
        <f aca="false">IF(OR(D32="",M32=""),"",M32/D32-1)</f>
        <v/>
      </c>
      <c r="P32" s="186" t="str">
        <f aca="false">IF(OR(H32="",N32=""),"",N32/H32-1)</f>
        <v/>
      </c>
      <c r="Q32" s="185" t="str">
        <f aca="false">IF(OR(O32="",P32=""),"",O32-P32)</f>
        <v/>
      </c>
    </row>
    <row r="34" customFormat="false" ht="25.5" hidden="false" customHeight="true" outlineLevel="0" collapsed="false">
      <c r="A34" s="187" t="s">
        <v>538</v>
      </c>
      <c r="B34" s="187"/>
      <c r="C34" s="187"/>
      <c r="D34" s="187"/>
      <c r="E34" s="187"/>
      <c r="F34" s="187"/>
      <c r="G34" s="187"/>
      <c r="H34" s="187"/>
      <c r="I34" s="187"/>
      <c r="J34" s="187"/>
      <c r="K34" s="187"/>
      <c r="L34" s="187"/>
      <c r="M34" s="187"/>
      <c r="N34" s="187"/>
      <c r="O34" s="187"/>
      <c r="P34" s="187"/>
      <c r="Q34" s="187"/>
    </row>
  </sheetData>
  <mergeCells count="2">
    <mergeCell ref="A1:P1"/>
    <mergeCell ref="A34:Q34"/>
  </mergeCells>
  <conditionalFormatting sqref="Q3:Q32">
    <cfRule type="cellIs" priority="2" operator="greaterThan" aboveAverage="0" equalAverage="0" bottom="0" percent="0" rank="0" text="" dxfId="17">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50" activePane="bottomLeft" state="frozen"/>
      <selection pane="topLeft" activeCell="A1" activeCellId="0" sqref="A1"/>
      <selection pane="bottomLeft" activeCell="C55" activeCellId="0" sqref="C55"/>
    </sheetView>
  </sheetViews>
  <sheetFormatPr defaultColWidth="8.66796875" defaultRowHeight="14.25" customHeight="false" zeroHeight="false" outlineLevelRow="0" outlineLevelCol="0"/>
  <cols>
    <col collapsed="false" customWidth="true" hidden="false" outlineLevel="0" max="1" min="1" style="188" width="8.76"/>
    <col collapsed="false" customWidth="true" hidden="false" outlineLevel="0" max="2" min="2" style="188" width="15.33"/>
    <col collapsed="false" customWidth="true" hidden="false" outlineLevel="0" max="3" min="3" style="1" width="98.56"/>
  </cols>
  <sheetData>
    <row r="1" customFormat="false" ht="27.75" hidden="false" customHeight="true" outlineLevel="0" collapsed="false">
      <c r="A1" s="189" t="s">
        <v>539</v>
      </c>
      <c r="B1" s="189"/>
      <c r="C1" s="189"/>
    </row>
    <row r="2" customFormat="false" ht="18" hidden="false" customHeight="true" outlineLevel="0" collapsed="false">
      <c r="A2" s="141" t="s">
        <v>457</v>
      </c>
      <c r="B2" s="141" t="s">
        <v>81</v>
      </c>
      <c r="C2" s="141" t="s">
        <v>209</v>
      </c>
    </row>
    <row r="3" customFormat="false" ht="23.25" hidden="false" customHeight="true" outlineLevel="0" collapsed="false">
      <c r="A3" s="190" t="n">
        <v>46241</v>
      </c>
      <c r="B3" s="191" t="s">
        <v>173</v>
      </c>
      <c r="C3" s="192" t="s">
        <v>540</v>
      </c>
    </row>
    <row r="4" customFormat="false" ht="23.25" hidden="false" customHeight="true" outlineLevel="0" collapsed="false">
      <c r="A4" s="190" t="n">
        <v>46241</v>
      </c>
      <c r="B4" s="191" t="s">
        <v>176</v>
      </c>
      <c r="C4" s="192" t="s">
        <v>541</v>
      </c>
    </row>
    <row r="5" customFormat="false" ht="14.25" hidden="false" customHeight="true" outlineLevel="0" collapsed="false">
      <c r="A5" s="190" t="n">
        <v>46241</v>
      </c>
      <c r="B5" s="191" t="s">
        <v>184</v>
      </c>
      <c r="C5" s="192" t="s">
        <v>542</v>
      </c>
    </row>
    <row r="6" customFormat="false" ht="34.5" hidden="false" customHeight="true" outlineLevel="0" collapsed="false">
      <c r="A6" s="190" t="n">
        <v>46241</v>
      </c>
      <c r="B6" s="191" t="s">
        <v>167</v>
      </c>
      <c r="C6" s="192" t="s">
        <v>543</v>
      </c>
    </row>
    <row r="7" customFormat="false" ht="23.25" hidden="false" customHeight="true" outlineLevel="0" collapsed="false">
      <c r="A7" s="190" t="n">
        <v>46241</v>
      </c>
      <c r="B7" s="191" t="s">
        <v>544</v>
      </c>
      <c r="C7" s="192" t="s">
        <v>545</v>
      </c>
    </row>
    <row r="8" customFormat="false" ht="23.25" hidden="false" customHeight="true" outlineLevel="0" collapsed="false">
      <c r="A8" s="190" t="n">
        <v>46241</v>
      </c>
      <c r="B8" s="191" t="s">
        <v>544</v>
      </c>
      <c r="C8" s="192" t="s">
        <v>546</v>
      </c>
    </row>
    <row r="9" customFormat="false" ht="23.25" hidden="false" customHeight="true" outlineLevel="0" collapsed="false">
      <c r="A9" s="190" t="n">
        <v>46241</v>
      </c>
      <c r="B9" s="191" t="s">
        <v>547</v>
      </c>
      <c r="C9" s="192" t="s">
        <v>548</v>
      </c>
    </row>
    <row r="10" customFormat="false" ht="23.25" hidden="false" customHeight="true" outlineLevel="0" collapsed="false">
      <c r="A10" s="190" t="n">
        <v>46241</v>
      </c>
      <c r="B10" s="191" t="s">
        <v>549</v>
      </c>
      <c r="C10" s="192" t="s">
        <v>550</v>
      </c>
    </row>
    <row r="11" customFormat="false" ht="23.25" hidden="false" customHeight="true" outlineLevel="0" collapsed="false">
      <c r="A11" s="190" t="n">
        <v>46241</v>
      </c>
      <c r="B11" s="191" t="s">
        <v>129</v>
      </c>
      <c r="C11" s="192" t="s">
        <v>551</v>
      </c>
    </row>
    <row r="12" customFormat="false" ht="79.5" hidden="false" customHeight="true" outlineLevel="0" collapsed="false">
      <c r="A12" s="190" t="n">
        <v>46273</v>
      </c>
      <c r="B12" s="193" t="s">
        <v>552</v>
      </c>
      <c r="C12" s="192" t="s">
        <v>553</v>
      </c>
    </row>
    <row r="13" customFormat="false" ht="57" hidden="false" customHeight="true" outlineLevel="0" collapsed="false">
      <c r="A13" s="190" t="n">
        <v>46295</v>
      </c>
      <c r="B13" s="193" t="s">
        <v>554</v>
      </c>
      <c r="C13" s="192" t="s">
        <v>555</v>
      </c>
    </row>
    <row r="14" customFormat="false" ht="90.75" hidden="false" customHeight="true" outlineLevel="0" collapsed="false">
      <c r="A14" s="190" t="n">
        <v>46302</v>
      </c>
      <c r="B14" s="193" t="s">
        <v>556</v>
      </c>
      <c r="C14" s="192" t="s">
        <v>557</v>
      </c>
    </row>
    <row r="15" customFormat="false" ht="135.75" hidden="false" customHeight="true" outlineLevel="0" collapsed="false">
      <c r="A15" s="190" t="n">
        <v>46320</v>
      </c>
      <c r="B15" s="193" t="s">
        <v>558</v>
      </c>
      <c r="C15" s="192" t="s">
        <v>559</v>
      </c>
    </row>
    <row r="16" customFormat="false" ht="68.25" hidden="false" customHeight="true" outlineLevel="0" collapsed="false">
      <c r="A16" s="190" t="n">
        <v>46335</v>
      </c>
      <c r="B16" s="191" t="s">
        <v>560</v>
      </c>
      <c r="C16" s="192" t="s">
        <v>561</v>
      </c>
    </row>
    <row r="17" customFormat="false" ht="102" hidden="false" customHeight="true" outlineLevel="0" collapsed="false">
      <c r="A17" s="190" t="n">
        <v>46387</v>
      </c>
      <c r="B17" s="193" t="s">
        <v>562</v>
      </c>
      <c r="C17" s="192" t="s">
        <v>563</v>
      </c>
    </row>
    <row r="18" customFormat="false" ht="135.75" hidden="false" customHeight="true" outlineLevel="0" collapsed="false">
      <c r="A18" s="190" t="n">
        <v>46412</v>
      </c>
      <c r="B18" s="193" t="s">
        <v>564</v>
      </c>
      <c r="C18" s="192" t="s">
        <v>565</v>
      </c>
    </row>
    <row r="19" customFormat="false" ht="79.5" hidden="false" customHeight="true" outlineLevel="0" collapsed="false">
      <c r="A19" s="190" t="n">
        <v>46252</v>
      </c>
      <c r="B19" s="193" t="s">
        <v>566</v>
      </c>
      <c r="C19" s="192" t="s">
        <v>567</v>
      </c>
    </row>
    <row r="20" customFormat="false" ht="68.25" hidden="false" customHeight="true" outlineLevel="0" collapsed="false">
      <c r="A20" s="190" t="n">
        <v>46258</v>
      </c>
      <c r="B20" s="193" t="s">
        <v>568</v>
      </c>
      <c r="C20" s="192" t="s">
        <v>569</v>
      </c>
    </row>
    <row r="21" customFormat="false" ht="147" hidden="false" customHeight="true" outlineLevel="0" collapsed="false">
      <c r="A21" s="190" t="n">
        <v>46260</v>
      </c>
      <c r="B21" s="193" t="s">
        <v>570</v>
      </c>
      <c r="C21" s="192" t="s">
        <v>571</v>
      </c>
    </row>
    <row r="22" customFormat="false" ht="113.25" hidden="false" customHeight="true" outlineLevel="0" collapsed="false">
      <c r="A22" s="190" t="n">
        <v>46272</v>
      </c>
      <c r="B22" s="193" t="s">
        <v>572</v>
      </c>
      <c r="C22" s="192" t="s">
        <v>573</v>
      </c>
    </row>
    <row r="23" customFormat="false" ht="113.25" hidden="false" customHeight="true" outlineLevel="0" collapsed="false">
      <c r="A23" s="190" t="n">
        <v>46302</v>
      </c>
      <c r="B23" s="193" t="s">
        <v>574</v>
      </c>
      <c r="C23" s="192" t="s">
        <v>575</v>
      </c>
    </row>
    <row r="24" customFormat="false" ht="135.75" hidden="false" customHeight="true" outlineLevel="0" collapsed="false">
      <c r="A24" s="190" t="n">
        <v>46310</v>
      </c>
      <c r="B24" s="193" t="s">
        <v>576</v>
      </c>
      <c r="C24" s="192" t="s">
        <v>575</v>
      </c>
    </row>
    <row r="25" customFormat="false" ht="147" hidden="false" customHeight="true" outlineLevel="0" collapsed="false">
      <c r="A25" s="190" t="n">
        <v>46335</v>
      </c>
      <c r="B25" s="193" t="s">
        <v>577</v>
      </c>
      <c r="C25" s="192" t="s">
        <v>575</v>
      </c>
    </row>
    <row r="26" customFormat="false" ht="135.75" hidden="false" customHeight="true" outlineLevel="0" collapsed="false">
      <c r="A26" s="190" t="n">
        <v>46342</v>
      </c>
      <c r="B26" s="193" t="s">
        <v>578</v>
      </c>
      <c r="C26" s="192" t="s">
        <v>575</v>
      </c>
    </row>
    <row r="27" customFormat="false" ht="258.75" hidden="false" customHeight="true" outlineLevel="0" collapsed="false">
      <c r="A27" s="190" t="n">
        <v>46363</v>
      </c>
      <c r="B27" s="193" t="s">
        <v>579</v>
      </c>
      <c r="C27" s="192" t="s">
        <v>575</v>
      </c>
    </row>
    <row r="28" customFormat="false" ht="45.75" hidden="false" customHeight="true" outlineLevel="0" collapsed="false">
      <c r="A28" s="190" t="n">
        <v>46371</v>
      </c>
      <c r="B28" s="191" t="s">
        <v>580</v>
      </c>
      <c r="C28" s="192" t="s">
        <v>575</v>
      </c>
    </row>
    <row r="29" customFormat="false" ht="23.25" hidden="false" customHeight="true" outlineLevel="0" collapsed="false">
      <c r="A29" s="190" t="n">
        <v>46394</v>
      </c>
      <c r="B29" s="193" t="s">
        <v>581</v>
      </c>
      <c r="C29" s="192" t="s">
        <v>575</v>
      </c>
    </row>
    <row r="30" customFormat="false" ht="57" hidden="false" customHeight="true" outlineLevel="0" collapsed="false">
      <c r="A30" s="190" t="n">
        <v>46402</v>
      </c>
      <c r="B30" s="191" t="s">
        <v>582</v>
      </c>
      <c r="C30" s="192" t="s">
        <v>575</v>
      </c>
    </row>
    <row r="31" customFormat="false" ht="45.75" hidden="false" customHeight="true" outlineLevel="0" collapsed="false">
      <c r="A31" s="190" t="n">
        <v>46426</v>
      </c>
      <c r="B31" s="193" t="s">
        <v>583</v>
      </c>
      <c r="C31" s="192" t="s">
        <v>575</v>
      </c>
    </row>
    <row r="32" customFormat="false" ht="34.5" hidden="false" customHeight="true" outlineLevel="0" collapsed="false">
      <c r="A32" s="190" t="n">
        <v>46434</v>
      </c>
      <c r="B32" s="193" t="s">
        <v>584</v>
      </c>
      <c r="C32" s="192" t="s">
        <v>575</v>
      </c>
    </row>
    <row r="33" customFormat="false" ht="45.75" hidden="false" customHeight="true" outlineLevel="0" collapsed="false">
      <c r="A33" s="190" t="n">
        <v>46454</v>
      </c>
      <c r="B33" s="193" t="s">
        <v>585</v>
      </c>
      <c r="C33" s="192" t="s">
        <v>575</v>
      </c>
    </row>
    <row r="34" customFormat="false" ht="14.25" hidden="false" customHeight="true" outlineLevel="0" collapsed="false">
      <c r="A34" s="190" t="n">
        <v>46461</v>
      </c>
      <c r="B34" s="193" t="s">
        <v>586</v>
      </c>
      <c r="C34" s="192" t="s">
        <v>587</v>
      </c>
    </row>
    <row r="35" customFormat="false" ht="79.5" hidden="false" customHeight="true" outlineLevel="0" collapsed="false">
      <c r="A35" s="190" t="n">
        <v>46273</v>
      </c>
      <c r="B35" s="191" t="s">
        <v>588</v>
      </c>
      <c r="C35" s="192" t="s">
        <v>589</v>
      </c>
    </row>
    <row r="36" customFormat="false" ht="45.75" hidden="false" customHeight="true" outlineLevel="0" collapsed="false">
      <c r="A36" s="190" t="n">
        <v>46276</v>
      </c>
      <c r="B36" s="191" t="s">
        <v>590</v>
      </c>
      <c r="C36" s="192" t="s">
        <v>591</v>
      </c>
    </row>
    <row r="37" customFormat="false" ht="45.75" hidden="false" customHeight="true" outlineLevel="0" collapsed="false">
      <c r="A37" s="190" t="n">
        <v>46276</v>
      </c>
      <c r="B37" s="193" t="s">
        <v>592</v>
      </c>
      <c r="C37" s="192" t="s">
        <v>593</v>
      </c>
    </row>
    <row r="38" customFormat="false" ht="23.25" hidden="false" customHeight="true" outlineLevel="0" collapsed="false">
      <c r="A38" s="190" t="n">
        <v>46276</v>
      </c>
      <c r="B38" s="193" t="s">
        <v>594</v>
      </c>
      <c r="C38" s="192" t="s">
        <v>595</v>
      </c>
    </row>
    <row r="39" customFormat="false" ht="45.75" hidden="false" customHeight="true" outlineLevel="0" collapsed="false">
      <c r="A39" s="190" t="n">
        <v>46276</v>
      </c>
      <c r="B39" s="193" t="s">
        <v>596</v>
      </c>
      <c r="C39" s="192" t="s">
        <v>597</v>
      </c>
    </row>
    <row r="40" customFormat="false" ht="23.25" hidden="false" customHeight="true" outlineLevel="0" collapsed="false">
      <c r="A40" s="190" t="n">
        <v>46276</v>
      </c>
      <c r="B40" s="193" t="s">
        <v>596</v>
      </c>
      <c r="C40" s="192" t="s">
        <v>598</v>
      </c>
    </row>
    <row r="41" customFormat="false" ht="45.75" hidden="false" customHeight="true" outlineLevel="0" collapsed="false">
      <c r="A41" s="190" t="n">
        <v>46276</v>
      </c>
      <c r="B41" s="193" t="s">
        <v>167</v>
      </c>
      <c r="C41" s="192" t="s">
        <v>599</v>
      </c>
    </row>
    <row r="42" customFormat="false" ht="14.25" hidden="false" customHeight="true" outlineLevel="0" collapsed="false">
      <c r="A42" s="190" t="n">
        <v>46276</v>
      </c>
      <c r="B42" s="193" t="s">
        <v>596</v>
      </c>
      <c r="C42" s="192" t="s">
        <v>600</v>
      </c>
    </row>
    <row r="43" customFormat="false" ht="45.75" hidden="false" customHeight="true" outlineLevel="0" collapsed="false">
      <c r="A43" s="190" t="n">
        <v>46276</v>
      </c>
      <c r="B43" s="193" t="s">
        <v>601</v>
      </c>
      <c r="C43" s="192" t="s">
        <v>602</v>
      </c>
    </row>
    <row r="44" customFormat="false" ht="14.25" hidden="false" customHeight="true" outlineLevel="0" collapsed="false">
      <c r="A44" s="190" t="n">
        <v>46276</v>
      </c>
      <c r="B44" s="193" t="s">
        <v>603</v>
      </c>
      <c r="C44" s="192" t="s">
        <v>604</v>
      </c>
    </row>
    <row r="45" customFormat="false" ht="23.25" hidden="false" customHeight="true" outlineLevel="0" collapsed="false">
      <c r="A45" s="190" t="n">
        <v>46295</v>
      </c>
      <c r="B45" s="191" t="s">
        <v>605</v>
      </c>
      <c r="C45" s="192" t="s">
        <v>606</v>
      </c>
    </row>
    <row r="46" customFormat="false" ht="45.75" hidden="false" customHeight="true" outlineLevel="0" collapsed="false">
      <c r="A46" s="190" t="n">
        <v>46302</v>
      </c>
      <c r="B46" s="193" t="s">
        <v>607</v>
      </c>
      <c r="C46" s="192" t="s">
        <v>608</v>
      </c>
    </row>
    <row r="47" customFormat="false" ht="23.25" hidden="false" customHeight="true" outlineLevel="0" collapsed="false">
      <c r="A47" s="190" t="n">
        <v>46317</v>
      </c>
      <c r="B47" s="193" t="s">
        <v>609</v>
      </c>
      <c r="C47" s="192" t="s">
        <v>610</v>
      </c>
    </row>
    <row r="48" customFormat="false" ht="45.75" hidden="false" customHeight="true" outlineLevel="0" collapsed="false">
      <c r="A48" s="190" t="n">
        <v>46335</v>
      </c>
      <c r="B48" s="193" t="s">
        <v>611</v>
      </c>
      <c r="C48" s="192" t="s">
        <v>612</v>
      </c>
    </row>
    <row r="49" customFormat="false" ht="57" hidden="false" customHeight="true" outlineLevel="0" collapsed="false">
      <c r="A49" s="190" t="n">
        <v>46349</v>
      </c>
      <c r="B49" s="191" t="s">
        <v>613</v>
      </c>
      <c r="C49" s="192" t="s">
        <v>614</v>
      </c>
    </row>
    <row r="50" customFormat="false" ht="45.75" hidden="false" customHeight="true" outlineLevel="0" collapsed="false">
      <c r="A50" s="190" t="n">
        <v>46363</v>
      </c>
      <c r="B50" s="193" t="s">
        <v>615</v>
      </c>
      <c r="C50" s="192" t="s">
        <v>610</v>
      </c>
    </row>
    <row r="51" customFormat="false" ht="45.75" hidden="false" customHeight="true" outlineLevel="0" collapsed="false">
      <c r="A51" s="190" t="n">
        <v>46378</v>
      </c>
      <c r="B51" s="193" t="s">
        <v>616</v>
      </c>
      <c r="C51" s="192" t="s">
        <v>610</v>
      </c>
    </row>
    <row r="52" customFormat="false" ht="45.75" hidden="false" customHeight="true" outlineLevel="0" collapsed="false">
      <c r="A52" s="190" t="n">
        <v>46394</v>
      </c>
      <c r="B52" s="193" t="s">
        <v>617</v>
      </c>
      <c r="C52" s="192" t="s">
        <v>618</v>
      </c>
    </row>
    <row r="53" customFormat="false" ht="45.75" hidden="false" customHeight="true" outlineLevel="0" collapsed="false">
      <c r="A53" s="190" t="n">
        <v>46276</v>
      </c>
      <c r="B53" s="193" t="s">
        <v>619</v>
      </c>
      <c r="C53" s="192" t="s">
        <v>620</v>
      </c>
    </row>
    <row r="54" customFormat="false" ht="14.25" hidden="false" customHeight="true" outlineLevel="0" collapsed="false">
      <c r="A54" s="190" t="n">
        <v>46278</v>
      </c>
      <c r="B54" s="191" t="s">
        <v>621</v>
      </c>
      <c r="C54" s="192" t="s">
        <v>622</v>
      </c>
    </row>
    <row r="55" customFormat="false" ht="14.25" hidden="false" customHeight="true" outlineLevel="0" collapsed="false">
      <c r="A55" s="190" t="n">
        <v>46278</v>
      </c>
      <c r="B55" s="191" t="s">
        <v>623</v>
      </c>
      <c r="C55" s="192" t="s">
        <v>624</v>
      </c>
    </row>
    <row r="56" customFormat="false" ht="14.25" hidden="false" customHeight="true" outlineLevel="0" collapsed="false">
      <c r="A56" s="190" t="n">
        <v>46278</v>
      </c>
      <c r="B56" s="191" t="s">
        <v>625</v>
      </c>
      <c r="C56" s="192" t="s">
        <v>626</v>
      </c>
    </row>
    <row r="57" customFormat="false" ht="14.25" hidden="false" customHeight="true" outlineLevel="0" collapsed="false">
      <c r="A57" s="190" t="n">
        <v>46278</v>
      </c>
      <c r="B57" s="191" t="s">
        <v>627</v>
      </c>
      <c r="C57" s="192" t="s">
        <v>628</v>
      </c>
    </row>
    <row r="58" customFormat="false" ht="14.25" hidden="false" customHeight="true" outlineLevel="0" collapsed="false">
      <c r="A58" s="190" t="n">
        <v>46278</v>
      </c>
      <c r="B58" s="191" t="s">
        <v>629</v>
      </c>
      <c r="C58" s="192" t="s">
        <v>630</v>
      </c>
    </row>
    <row r="59" customFormat="false" ht="14.25" hidden="false" customHeight="true" outlineLevel="0" collapsed="false">
      <c r="A59" s="190" t="n">
        <v>46278</v>
      </c>
      <c r="B59" s="191" t="s">
        <v>631</v>
      </c>
      <c r="C59" s="192" t="s">
        <v>632</v>
      </c>
    </row>
    <row r="60" customFormat="false" ht="14.25" hidden="false" customHeight="true" outlineLevel="0" collapsed="false">
      <c r="A60" s="190" t="n">
        <v>46278</v>
      </c>
      <c r="B60" s="191" t="s">
        <v>633</v>
      </c>
      <c r="C60" s="192" t="s">
        <v>634</v>
      </c>
    </row>
    <row r="61" customFormat="false" ht="14.25" hidden="false" customHeight="true" outlineLevel="0" collapsed="false">
      <c r="A61" s="190" t="n">
        <v>46278</v>
      </c>
      <c r="B61" s="191" t="s">
        <v>635</v>
      </c>
      <c r="C61" s="192" t="s">
        <v>636</v>
      </c>
    </row>
    <row r="62" customFormat="false" ht="14.25" hidden="false" customHeight="true" outlineLevel="0" collapsed="false">
      <c r="A62" s="190" t="n">
        <v>46294</v>
      </c>
      <c r="B62" s="191" t="s">
        <v>637</v>
      </c>
      <c r="C62" s="192" t="s">
        <v>638</v>
      </c>
    </row>
    <row r="63" customFormat="false" ht="14.25" hidden="false" customHeight="true" outlineLevel="0" collapsed="false">
      <c r="A63" s="190" t="n">
        <v>46294</v>
      </c>
      <c r="B63" s="191" t="s">
        <v>639</v>
      </c>
      <c r="C63" s="192" t="s">
        <v>640</v>
      </c>
    </row>
    <row r="64" customFormat="false" ht="14.25" hidden="false" customHeight="true" outlineLevel="0" collapsed="false">
      <c r="A64" s="190" t="n">
        <v>46295</v>
      </c>
      <c r="B64" s="191" t="s">
        <v>605</v>
      </c>
      <c r="C64" s="192" t="s">
        <v>641</v>
      </c>
    </row>
    <row r="65" customFormat="false" ht="14.25" hidden="false" customHeight="true" outlineLevel="0" collapsed="false">
      <c r="A65" s="190"/>
      <c r="B65" s="191"/>
      <c r="C65" s="192"/>
    </row>
    <row r="66" customFormat="false" ht="14.25" hidden="false" customHeight="true" outlineLevel="0" collapsed="false">
      <c r="A66" s="190"/>
      <c r="B66" s="191"/>
      <c r="C66" s="192"/>
    </row>
    <row r="67" customFormat="false" ht="14.25" hidden="false" customHeight="true" outlineLevel="0" collapsed="false">
      <c r="A67" s="190"/>
      <c r="B67" s="191"/>
      <c r="C67" s="192"/>
    </row>
    <row r="68" customFormat="false" ht="14.25" hidden="false" customHeight="true" outlineLevel="0" collapsed="false">
      <c r="A68" s="190"/>
      <c r="B68" s="191"/>
      <c r="C68" s="192"/>
    </row>
    <row r="69" customFormat="false" ht="14.25" hidden="false" customHeight="true" outlineLevel="0" collapsed="false">
      <c r="A69" s="190"/>
      <c r="B69" s="191"/>
      <c r="C69" s="192"/>
    </row>
    <row r="70" customFormat="false" ht="14.25" hidden="false" customHeight="true" outlineLevel="0" collapsed="false">
      <c r="A70" s="190"/>
      <c r="B70" s="191"/>
      <c r="C70" s="192"/>
    </row>
    <row r="71" customFormat="false" ht="14.25" hidden="false" customHeight="true" outlineLevel="0" collapsed="false">
      <c r="A71" s="190"/>
      <c r="B71" s="191"/>
      <c r="C71" s="192"/>
    </row>
    <row r="72" customFormat="false" ht="14.25" hidden="false" customHeight="true" outlineLevel="0" collapsed="false">
      <c r="A72" s="190"/>
      <c r="B72" s="191"/>
      <c r="C72" s="192"/>
    </row>
    <row r="73" customFormat="false" ht="14.25" hidden="false" customHeight="true" outlineLevel="0" collapsed="false">
      <c r="A73" s="190"/>
      <c r="B73" s="191"/>
      <c r="C73" s="192"/>
    </row>
    <row r="74" customFormat="false" ht="14.25" hidden="false" customHeight="true" outlineLevel="0" collapsed="false">
      <c r="A74" s="190"/>
      <c r="B74" s="191"/>
      <c r="C74" s="192"/>
    </row>
    <row r="75" customFormat="false" ht="14.25" hidden="false" customHeight="true" outlineLevel="0" collapsed="false">
      <c r="A75" s="190"/>
      <c r="B75" s="191"/>
      <c r="C75" s="192"/>
    </row>
    <row r="76" customFormat="false" ht="14.25" hidden="false" customHeight="true" outlineLevel="0" collapsed="false">
      <c r="A76" s="190"/>
      <c r="B76" s="191"/>
      <c r="C76" s="192"/>
    </row>
    <row r="77" customFormat="false" ht="14.25" hidden="false" customHeight="true" outlineLevel="0" collapsed="false">
      <c r="A77" s="190"/>
      <c r="B77" s="191"/>
      <c r="C77" s="192"/>
    </row>
    <row r="78" customFormat="false" ht="14.25" hidden="false" customHeight="true" outlineLevel="0" collapsed="false">
      <c r="A78" s="190"/>
      <c r="B78" s="191"/>
      <c r="C78" s="192"/>
    </row>
    <row r="79" customFormat="false" ht="14.25" hidden="false" customHeight="true" outlineLevel="0" collapsed="false">
      <c r="A79" s="190"/>
      <c r="B79" s="191"/>
      <c r="C79" s="192"/>
    </row>
    <row r="80" customFormat="false" ht="14.25" hidden="false" customHeight="true" outlineLevel="0" collapsed="false">
      <c r="A80" s="190"/>
      <c r="B80" s="191"/>
      <c r="C80" s="192"/>
    </row>
    <row r="81" customFormat="false" ht="14.25" hidden="false" customHeight="true" outlineLevel="0" collapsed="false">
      <c r="A81" s="190"/>
      <c r="B81" s="191"/>
      <c r="C81" s="192"/>
    </row>
    <row r="82" customFormat="false" ht="14.25" hidden="false" customHeight="true" outlineLevel="0" collapsed="false">
      <c r="A82" s="190"/>
      <c r="B82" s="191"/>
      <c r="C82" s="192"/>
    </row>
    <row r="83" customFormat="false" ht="14.25" hidden="false" customHeight="true" outlineLevel="0" collapsed="false">
      <c r="A83" s="190"/>
      <c r="B83" s="191"/>
      <c r="C83" s="192"/>
    </row>
    <row r="84" customFormat="false" ht="14.25" hidden="false" customHeight="true" outlineLevel="0" collapsed="false">
      <c r="A84" s="190"/>
      <c r="B84" s="191"/>
      <c r="C84" s="192"/>
    </row>
    <row r="85" customFormat="false" ht="14.25" hidden="false" customHeight="true" outlineLevel="0" collapsed="false">
      <c r="A85" s="190"/>
      <c r="B85" s="191"/>
      <c r="C85" s="192"/>
    </row>
    <row r="86" customFormat="false" ht="14.25" hidden="false" customHeight="true" outlineLevel="0" collapsed="false">
      <c r="A86" s="190"/>
      <c r="B86" s="191"/>
      <c r="C86" s="192"/>
    </row>
    <row r="87" customFormat="false" ht="14.25" hidden="false" customHeight="true" outlineLevel="0" collapsed="false">
      <c r="A87" s="190"/>
      <c r="B87" s="191"/>
      <c r="C87" s="192"/>
    </row>
    <row r="88" customFormat="false" ht="14.25" hidden="false" customHeight="true" outlineLevel="0" collapsed="false">
      <c r="A88" s="190"/>
      <c r="B88" s="191"/>
      <c r="C88" s="192"/>
    </row>
    <row r="89" customFormat="false" ht="14.25" hidden="false" customHeight="true" outlineLevel="0" collapsed="false">
      <c r="A89" s="190"/>
      <c r="B89" s="191"/>
      <c r="C89" s="192"/>
    </row>
    <row r="90" customFormat="false" ht="14.25" hidden="false" customHeight="true" outlineLevel="0" collapsed="false">
      <c r="A90" s="190"/>
      <c r="B90" s="191"/>
      <c r="C90" s="192"/>
    </row>
    <row r="91" customFormat="false" ht="14.25" hidden="false" customHeight="true" outlineLevel="0" collapsed="false">
      <c r="A91" s="190"/>
      <c r="B91" s="191"/>
      <c r="C91" s="192"/>
    </row>
    <row r="92" customFormat="false" ht="14.25" hidden="false" customHeight="true" outlineLevel="0" collapsed="false">
      <c r="A92" s="190"/>
      <c r="B92" s="191"/>
      <c r="C92" s="192"/>
    </row>
    <row r="93" customFormat="false" ht="14.25" hidden="false" customHeight="true" outlineLevel="0" collapsed="false">
      <c r="A93" s="190"/>
      <c r="B93" s="191"/>
      <c r="C93" s="192"/>
    </row>
    <row r="94" customFormat="false" ht="14.25" hidden="false" customHeight="true" outlineLevel="0" collapsed="false">
      <c r="A94" s="190"/>
      <c r="B94" s="191"/>
      <c r="C94" s="192"/>
    </row>
    <row r="95" customFormat="false" ht="14.25" hidden="false" customHeight="true" outlineLevel="0" collapsed="false">
      <c r="A95" s="190"/>
      <c r="B95" s="191"/>
      <c r="C95" s="192"/>
    </row>
    <row r="96" customFormat="false" ht="14.25" hidden="false" customHeight="true" outlineLevel="0" collapsed="false">
      <c r="A96" s="190"/>
      <c r="B96" s="191"/>
      <c r="C96" s="192"/>
    </row>
    <row r="97" customFormat="false" ht="14.25" hidden="false" customHeight="true" outlineLevel="0" collapsed="false">
      <c r="A97" s="190"/>
      <c r="B97" s="191"/>
      <c r="C97" s="192"/>
    </row>
    <row r="98" customFormat="false" ht="14.25" hidden="false" customHeight="true" outlineLevel="0" collapsed="false">
      <c r="A98" s="190"/>
      <c r="B98" s="191"/>
      <c r="C98" s="192"/>
    </row>
    <row r="99" customFormat="false" ht="14.25" hidden="false" customHeight="true" outlineLevel="0" collapsed="false">
      <c r="A99" s="190"/>
      <c r="B99" s="191"/>
      <c r="C99" s="192"/>
    </row>
    <row r="100" customFormat="false" ht="14.25" hidden="false" customHeight="true" outlineLevel="0" collapsed="false">
      <c r="A100" s="190"/>
      <c r="B100" s="191"/>
      <c r="C100" s="192"/>
    </row>
    <row r="101" customFormat="false" ht="14.25" hidden="false" customHeight="true" outlineLevel="0" collapsed="false">
      <c r="A101" s="190"/>
      <c r="B101" s="191"/>
      <c r="C101" s="192"/>
    </row>
    <row r="102" customFormat="false" ht="14.25" hidden="false" customHeight="true" outlineLevel="0" collapsed="false">
      <c r="A102" s="190"/>
      <c r="B102" s="191"/>
      <c r="C102" s="192"/>
    </row>
    <row r="103" customFormat="false" ht="14.25" hidden="false" customHeight="true" outlineLevel="0" collapsed="false">
      <c r="A103" s="190"/>
      <c r="B103" s="191"/>
      <c r="C103" s="192"/>
    </row>
    <row r="104" customFormat="false" ht="14.25" hidden="false" customHeight="true" outlineLevel="0" collapsed="false">
      <c r="A104" s="190"/>
      <c r="B104" s="191"/>
      <c r="C104" s="192"/>
    </row>
    <row r="105" customFormat="false" ht="14.25" hidden="false" customHeight="true" outlineLevel="0" collapsed="false">
      <c r="A105" s="190"/>
      <c r="B105" s="191"/>
      <c r="C105" s="192"/>
    </row>
    <row r="106" customFormat="false" ht="14.25" hidden="false" customHeight="true" outlineLevel="0" collapsed="false">
      <c r="A106" s="190"/>
      <c r="B106" s="191"/>
      <c r="C106" s="192"/>
    </row>
    <row r="107" customFormat="false" ht="14.25" hidden="false" customHeight="true" outlineLevel="0" collapsed="false">
      <c r="A107" s="190"/>
      <c r="B107" s="191"/>
      <c r="C107" s="192"/>
    </row>
    <row r="108" customFormat="false" ht="14.25" hidden="false" customHeight="true" outlineLevel="0" collapsed="false">
      <c r="A108" s="190"/>
      <c r="B108" s="191"/>
      <c r="C108" s="192"/>
    </row>
    <row r="109" customFormat="false" ht="14.25" hidden="false" customHeight="true" outlineLevel="0" collapsed="false">
      <c r="A109" s="190"/>
      <c r="B109" s="191"/>
      <c r="C109" s="192"/>
    </row>
    <row r="110" customFormat="false" ht="14.25" hidden="false" customHeight="true" outlineLevel="0" collapsed="false">
      <c r="A110" s="190"/>
      <c r="B110" s="191"/>
      <c r="C110" s="192"/>
    </row>
    <row r="111" customFormat="false" ht="14.25" hidden="false" customHeight="true" outlineLevel="0" collapsed="false">
      <c r="A111" s="190"/>
      <c r="B111" s="191"/>
      <c r="C111" s="192"/>
    </row>
    <row r="112" customFormat="false" ht="14.25" hidden="false" customHeight="true" outlineLevel="0" collapsed="false">
      <c r="A112" s="190"/>
      <c r="B112" s="191"/>
      <c r="C112" s="192"/>
    </row>
    <row r="113" customFormat="false" ht="14.25" hidden="false" customHeight="true" outlineLevel="0" collapsed="false">
      <c r="A113" s="190"/>
      <c r="B113" s="191"/>
      <c r="C113" s="192"/>
    </row>
    <row r="114" customFormat="false" ht="14.25" hidden="false" customHeight="true" outlineLevel="0" collapsed="false">
      <c r="A114" s="190"/>
      <c r="B114" s="191"/>
      <c r="C114" s="192"/>
    </row>
    <row r="115" customFormat="false" ht="14.25" hidden="false" customHeight="true" outlineLevel="0" collapsed="false">
      <c r="A115" s="190"/>
      <c r="B115" s="191"/>
      <c r="C115" s="192"/>
    </row>
    <row r="116" customFormat="false" ht="14.25" hidden="false" customHeight="true" outlineLevel="0" collapsed="false">
      <c r="A116" s="190"/>
      <c r="B116" s="191"/>
      <c r="C116" s="192"/>
    </row>
    <row r="117" customFormat="false" ht="14.25" hidden="false" customHeight="true" outlineLevel="0" collapsed="false">
      <c r="A117" s="190"/>
      <c r="B117" s="191"/>
      <c r="C117" s="192"/>
    </row>
    <row r="118" customFormat="false" ht="14.25" hidden="false" customHeight="true" outlineLevel="0" collapsed="false">
      <c r="A118" s="190"/>
      <c r="B118" s="191"/>
      <c r="C118" s="192"/>
    </row>
    <row r="119" customFormat="false" ht="14.25" hidden="false" customHeight="true" outlineLevel="0" collapsed="false">
      <c r="A119" s="190"/>
      <c r="B119" s="191"/>
      <c r="C119" s="192"/>
    </row>
    <row r="120" customFormat="false" ht="14.25" hidden="false" customHeight="true" outlineLevel="0" collapsed="false">
      <c r="A120" s="190"/>
      <c r="B120" s="191"/>
      <c r="C120" s="192"/>
    </row>
    <row r="121" customFormat="false" ht="14.25" hidden="false" customHeight="true" outlineLevel="0" collapsed="false">
      <c r="A121" s="190"/>
      <c r="B121" s="191"/>
      <c r="C121" s="192"/>
    </row>
    <row r="122" customFormat="false" ht="14.25" hidden="false" customHeight="true" outlineLevel="0" collapsed="false">
      <c r="A122" s="190"/>
      <c r="B122" s="191"/>
      <c r="C122" s="192"/>
    </row>
    <row r="123" customFormat="false" ht="14.25" hidden="false" customHeight="true" outlineLevel="0" collapsed="false">
      <c r="A123" s="190"/>
      <c r="B123" s="191"/>
      <c r="C123" s="192"/>
    </row>
    <row r="124" customFormat="false" ht="14.25" hidden="false" customHeight="true" outlineLevel="0" collapsed="false">
      <c r="A124" s="190"/>
      <c r="B124" s="191"/>
      <c r="C124" s="192"/>
    </row>
    <row r="125" customFormat="false" ht="14.25" hidden="false" customHeight="true" outlineLevel="0" collapsed="false">
      <c r="A125" s="190"/>
      <c r="B125" s="191"/>
      <c r="C125" s="192"/>
    </row>
    <row r="126" customFormat="false" ht="14.25" hidden="false" customHeight="true" outlineLevel="0" collapsed="false">
      <c r="A126" s="190"/>
      <c r="B126" s="191"/>
      <c r="C126" s="192"/>
    </row>
    <row r="127" customFormat="false" ht="14.25" hidden="false" customHeight="true" outlineLevel="0" collapsed="false">
      <c r="A127" s="190"/>
      <c r="B127" s="191"/>
      <c r="C127" s="192"/>
    </row>
    <row r="128" customFormat="false" ht="14.25" hidden="false" customHeight="true" outlineLevel="0" collapsed="false">
      <c r="A128" s="190"/>
      <c r="B128" s="191"/>
      <c r="C128" s="192"/>
    </row>
    <row r="129" customFormat="false" ht="14.25" hidden="false" customHeight="true" outlineLevel="0" collapsed="false">
      <c r="A129" s="190"/>
      <c r="B129" s="191"/>
      <c r="C129" s="192"/>
    </row>
    <row r="130" customFormat="false" ht="14.25" hidden="false" customHeight="true" outlineLevel="0" collapsed="false">
      <c r="A130" s="190"/>
      <c r="B130" s="191"/>
      <c r="C130" s="192"/>
    </row>
    <row r="131" customFormat="false" ht="14.25" hidden="false" customHeight="true" outlineLevel="0" collapsed="false">
      <c r="A131" s="190"/>
      <c r="B131" s="191"/>
      <c r="C131" s="192"/>
    </row>
    <row r="132" customFormat="false" ht="14.25" hidden="false" customHeight="true" outlineLevel="0" collapsed="false">
      <c r="A132" s="190"/>
      <c r="B132" s="191"/>
      <c r="C132" s="192"/>
    </row>
    <row r="133" customFormat="false" ht="14.25" hidden="false" customHeight="true" outlineLevel="0" collapsed="false">
      <c r="A133" s="190"/>
      <c r="B133" s="191"/>
      <c r="C133" s="192"/>
    </row>
    <row r="134" customFormat="false" ht="14.25" hidden="false" customHeight="true" outlineLevel="0" collapsed="false">
      <c r="A134" s="190"/>
      <c r="B134" s="191"/>
      <c r="C134" s="192"/>
    </row>
    <row r="135" customFormat="false" ht="14.25" hidden="false" customHeight="true" outlineLevel="0" collapsed="false">
      <c r="A135" s="190"/>
      <c r="B135" s="191"/>
      <c r="C135" s="192"/>
    </row>
    <row r="136" customFormat="false" ht="14.25" hidden="false" customHeight="true" outlineLevel="0" collapsed="false">
      <c r="A136" s="190"/>
      <c r="B136" s="191"/>
      <c r="C136" s="192"/>
    </row>
    <row r="137" customFormat="false" ht="14.25" hidden="false" customHeight="true" outlineLevel="0" collapsed="false">
      <c r="A137" s="190"/>
      <c r="B137" s="191"/>
      <c r="C137" s="192"/>
    </row>
    <row r="138" customFormat="false" ht="14.25" hidden="false" customHeight="true" outlineLevel="0" collapsed="false">
      <c r="A138" s="190"/>
      <c r="B138" s="191"/>
      <c r="C138" s="192"/>
    </row>
    <row r="139" customFormat="false" ht="14.25" hidden="false" customHeight="true" outlineLevel="0" collapsed="false">
      <c r="A139" s="190"/>
      <c r="B139" s="191"/>
      <c r="C139" s="192"/>
    </row>
    <row r="140" customFormat="false" ht="14.25" hidden="false" customHeight="true" outlineLevel="0" collapsed="false">
      <c r="A140" s="190"/>
      <c r="B140" s="191"/>
      <c r="C140" s="192"/>
    </row>
    <row r="141" customFormat="false" ht="14.25" hidden="false" customHeight="true" outlineLevel="0" collapsed="false">
      <c r="A141" s="190"/>
      <c r="B141" s="191"/>
      <c r="C141" s="192"/>
    </row>
    <row r="142" customFormat="false" ht="14.25" hidden="false" customHeight="true" outlineLevel="0" collapsed="false">
      <c r="A142" s="190"/>
      <c r="B142" s="191"/>
      <c r="C142" s="192"/>
    </row>
    <row r="143" customFormat="false" ht="14.25" hidden="false" customHeight="true" outlineLevel="0" collapsed="false">
      <c r="A143" s="190"/>
      <c r="B143" s="191"/>
      <c r="C143" s="192"/>
    </row>
    <row r="144" customFormat="false" ht="14.25" hidden="false" customHeight="true" outlineLevel="0" collapsed="false">
      <c r="A144" s="190"/>
      <c r="B144" s="191"/>
      <c r="C144" s="192"/>
    </row>
    <row r="145" customFormat="false" ht="14.25" hidden="false" customHeight="true" outlineLevel="0" collapsed="false">
      <c r="A145" s="190"/>
      <c r="B145" s="191"/>
      <c r="C145" s="192"/>
    </row>
    <row r="146" customFormat="false" ht="14.25" hidden="false" customHeight="true" outlineLevel="0" collapsed="false">
      <c r="A146" s="190"/>
      <c r="B146" s="191"/>
      <c r="C146" s="192"/>
    </row>
    <row r="147" customFormat="false" ht="14.25" hidden="false" customHeight="true" outlineLevel="0" collapsed="false">
      <c r="A147" s="190"/>
      <c r="B147" s="191"/>
      <c r="C147" s="192"/>
    </row>
    <row r="148" customFormat="false" ht="14.25" hidden="false" customHeight="true" outlineLevel="0" collapsed="false">
      <c r="A148" s="190"/>
      <c r="B148" s="191"/>
      <c r="C148" s="192"/>
    </row>
    <row r="149" customFormat="false" ht="14.25" hidden="false" customHeight="true" outlineLevel="0" collapsed="false">
      <c r="A149" s="190"/>
      <c r="B149" s="191"/>
      <c r="C149" s="192"/>
    </row>
    <row r="150" customFormat="false" ht="14.25" hidden="false" customHeight="true" outlineLevel="0" collapsed="false">
      <c r="A150" s="190"/>
      <c r="B150" s="191"/>
      <c r="C150" s="192"/>
    </row>
    <row r="151" customFormat="false" ht="14.25" hidden="false" customHeight="true" outlineLevel="0" collapsed="false">
      <c r="A151" s="190"/>
      <c r="B151" s="191"/>
      <c r="C151" s="192"/>
    </row>
    <row r="152" customFormat="false" ht="14.25" hidden="false" customHeight="true" outlineLevel="0" collapsed="false">
      <c r="A152" s="190"/>
      <c r="B152" s="191"/>
      <c r="C152" s="192"/>
    </row>
    <row r="153" customFormat="false" ht="14.25" hidden="false" customHeight="true" outlineLevel="0" collapsed="false">
      <c r="A153" s="190"/>
      <c r="B153" s="191"/>
      <c r="C153" s="192"/>
    </row>
    <row r="154" customFormat="false" ht="14.25" hidden="false" customHeight="true" outlineLevel="0" collapsed="false">
      <c r="A154" s="190"/>
      <c r="B154" s="191"/>
      <c r="C154" s="192"/>
    </row>
    <row r="155" customFormat="false" ht="14.25" hidden="false" customHeight="true" outlineLevel="0" collapsed="false">
      <c r="A155" s="190"/>
      <c r="B155" s="191"/>
      <c r="C155" s="192"/>
    </row>
    <row r="156" customFormat="false" ht="14.25" hidden="false" customHeight="true" outlineLevel="0" collapsed="false">
      <c r="A156" s="190"/>
      <c r="B156" s="191"/>
      <c r="C156" s="192"/>
    </row>
    <row r="157" customFormat="false" ht="14.25" hidden="false" customHeight="true" outlineLevel="0" collapsed="false">
      <c r="A157" s="190"/>
      <c r="B157" s="191"/>
      <c r="C157" s="192"/>
    </row>
    <row r="158" customFormat="false" ht="14.25" hidden="false" customHeight="true" outlineLevel="0" collapsed="false">
      <c r="A158" s="190"/>
      <c r="B158" s="191"/>
      <c r="C158" s="192"/>
    </row>
    <row r="159" customFormat="false" ht="14.25" hidden="false" customHeight="true" outlineLevel="0" collapsed="false">
      <c r="A159" s="190"/>
      <c r="B159" s="191"/>
      <c r="C159" s="192"/>
    </row>
    <row r="160" customFormat="false" ht="14.25" hidden="false" customHeight="true" outlineLevel="0" collapsed="false">
      <c r="A160" s="190"/>
      <c r="B160" s="191"/>
      <c r="C160" s="192"/>
    </row>
    <row r="161" customFormat="false" ht="14.25" hidden="false" customHeight="true" outlineLevel="0" collapsed="false">
      <c r="A161" s="190"/>
      <c r="B161" s="191"/>
      <c r="C161" s="192"/>
    </row>
    <row r="162" customFormat="false" ht="14.25" hidden="false" customHeight="true" outlineLevel="0" collapsed="false">
      <c r="A162" s="190"/>
      <c r="B162" s="191"/>
      <c r="C162" s="192"/>
    </row>
    <row r="163" customFormat="false" ht="14.25" hidden="false" customHeight="true" outlineLevel="0" collapsed="false">
      <c r="A163" s="190"/>
      <c r="B163" s="191"/>
      <c r="C163" s="192"/>
    </row>
    <row r="164" customFormat="false" ht="14.25" hidden="false" customHeight="true" outlineLevel="0" collapsed="false">
      <c r="A164" s="190"/>
      <c r="B164" s="191"/>
      <c r="C164" s="192"/>
    </row>
    <row r="165" customFormat="false" ht="14.25" hidden="false" customHeight="true" outlineLevel="0" collapsed="false">
      <c r="A165" s="190"/>
      <c r="B165" s="191"/>
      <c r="C165" s="192"/>
    </row>
    <row r="166" customFormat="false" ht="14.25" hidden="false" customHeight="true" outlineLevel="0" collapsed="false">
      <c r="A166" s="190"/>
      <c r="B166" s="191"/>
      <c r="C166" s="192"/>
    </row>
    <row r="167" customFormat="false" ht="14.25" hidden="false" customHeight="true" outlineLevel="0" collapsed="false">
      <c r="A167" s="190"/>
      <c r="B167" s="191"/>
      <c r="C167" s="192"/>
    </row>
    <row r="168" customFormat="false" ht="14.25" hidden="false" customHeight="true" outlineLevel="0" collapsed="false">
      <c r="A168" s="190"/>
      <c r="B168" s="191"/>
      <c r="C168" s="192"/>
    </row>
    <row r="169" customFormat="false" ht="14.25" hidden="false" customHeight="true" outlineLevel="0" collapsed="false">
      <c r="A169" s="190"/>
      <c r="B169" s="191"/>
      <c r="C169" s="192"/>
    </row>
    <row r="170" customFormat="false" ht="14.25" hidden="false" customHeight="true" outlineLevel="0" collapsed="false">
      <c r="A170" s="190"/>
      <c r="B170" s="191"/>
      <c r="C170" s="192"/>
    </row>
    <row r="171" customFormat="false" ht="14.25" hidden="false" customHeight="true" outlineLevel="0" collapsed="false">
      <c r="A171" s="190"/>
      <c r="B171" s="191"/>
      <c r="C171" s="192"/>
    </row>
    <row r="172" customFormat="false" ht="14.25" hidden="false" customHeight="true" outlineLevel="0" collapsed="false">
      <c r="A172" s="190"/>
      <c r="B172" s="191"/>
      <c r="C172" s="192"/>
    </row>
    <row r="173" customFormat="false" ht="14.25" hidden="false" customHeight="true" outlineLevel="0" collapsed="false">
      <c r="A173" s="190"/>
      <c r="B173" s="191"/>
      <c r="C173" s="192"/>
    </row>
    <row r="174" customFormat="false" ht="14.25" hidden="false" customHeight="true" outlineLevel="0" collapsed="false">
      <c r="A174" s="190"/>
      <c r="B174" s="191"/>
      <c r="C174" s="192"/>
    </row>
    <row r="175" customFormat="false" ht="14.25" hidden="false" customHeight="true" outlineLevel="0" collapsed="false">
      <c r="A175" s="190"/>
      <c r="B175" s="191"/>
      <c r="C175" s="192"/>
    </row>
    <row r="176" customFormat="false" ht="14.25" hidden="false" customHeight="true" outlineLevel="0" collapsed="false">
      <c r="A176" s="190"/>
      <c r="B176" s="191"/>
      <c r="C176" s="192"/>
    </row>
    <row r="177" customFormat="false" ht="14.25" hidden="false" customHeight="true" outlineLevel="0" collapsed="false">
      <c r="A177" s="190"/>
      <c r="B177" s="191"/>
      <c r="C177" s="192"/>
    </row>
    <row r="178" customFormat="false" ht="14.25" hidden="false" customHeight="true" outlineLevel="0" collapsed="false">
      <c r="A178" s="190"/>
      <c r="B178" s="191"/>
      <c r="C178" s="192"/>
    </row>
    <row r="179" customFormat="false" ht="14.25" hidden="false" customHeight="true" outlineLevel="0" collapsed="false">
      <c r="A179" s="190"/>
      <c r="B179" s="191"/>
      <c r="C179" s="192"/>
    </row>
    <row r="180" customFormat="false" ht="14.25" hidden="false" customHeight="true" outlineLevel="0" collapsed="false">
      <c r="A180" s="190"/>
      <c r="B180" s="191"/>
      <c r="C180" s="192"/>
    </row>
    <row r="181" customFormat="false" ht="14.25" hidden="false" customHeight="true" outlineLevel="0" collapsed="false">
      <c r="A181" s="190"/>
      <c r="B181" s="191"/>
      <c r="C181" s="192"/>
    </row>
    <row r="182" customFormat="false" ht="14.25" hidden="false" customHeight="true" outlineLevel="0" collapsed="false">
      <c r="A182" s="190"/>
      <c r="B182" s="191"/>
      <c r="C182" s="192"/>
    </row>
    <row r="183" customFormat="false" ht="14.25" hidden="false" customHeight="true" outlineLevel="0" collapsed="false">
      <c r="A183" s="190"/>
      <c r="B183" s="191"/>
      <c r="C183" s="192"/>
    </row>
    <row r="184" customFormat="false" ht="14.25" hidden="false" customHeight="true" outlineLevel="0" collapsed="false">
      <c r="A184" s="190"/>
      <c r="B184" s="191"/>
      <c r="C184" s="192"/>
    </row>
    <row r="185" customFormat="false" ht="14.25" hidden="false" customHeight="true" outlineLevel="0" collapsed="false">
      <c r="A185" s="190"/>
      <c r="B185" s="191"/>
      <c r="C185" s="192"/>
    </row>
    <row r="186" customFormat="false" ht="14.25" hidden="false" customHeight="true" outlineLevel="0" collapsed="false">
      <c r="A186" s="190"/>
      <c r="B186" s="191"/>
      <c r="C186" s="192"/>
    </row>
    <row r="187" customFormat="false" ht="14.25" hidden="false" customHeight="true" outlineLevel="0" collapsed="false">
      <c r="A187" s="190"/>
      <c r="B187" s="191"/>
      <c r="C187" s="192"/>
    </row>
    <row r="188" customFormat="false" ht="14.25" hidden="false" customHeight="true" outlineLevel="0" collapsed="false">
      <c r="A188" s="190"/>
      <c r="B188" s="191"/>
      <c r="C188" s="192"/>
    </row>
    <row r="189" customFormat="false" ht="14.25" hidden="false" customHeight="true" outlineLevel="0" collapsed="false">
      <c r="A189" s="190"/>
      <c r="B189" s="191"/>
      <c r="C189" s="192"/>
    </row>
    <row r="190" customFormat="false" ht="14.25" hidden="false" customHeight="true" outlineLevel="0" collapsed="false">
      <c r="A190" s="190"/>
      <c r="B190" s="191"/>
      <c r="C190" s="192"/>
    </row>
    <row r="191" customFormat="false" ht="14.25" hidden="false" customHeight="true" outlineLevel="0" collapsed="false">
      <c r="A191" s="190"/>
      <c r="B191" s="191"/>
      <c r="C191" s="192"/>
    </row>
    <row r="192" customFormat="false" ht="14.25" hidden="false" customHeight="true" outlineLevel="0" collapsed="false">
      <c r="A192" s="190"/>
      <c r="B192" s="191"/>
      <c r="C192" s="192"/>
    </row>
    <row r="193" customFormat="false" ht="14.25" hidden="false" customHeight="true" outlineLevel="0" collapsed="false">
      <c r="A193" s="190"/>
      <c r="B193" s="191"/>
      <c r="C193" s="192"/>
    </row>
    <row r="194" customFormat="false" ht="14.25" hidden="false" customHeight="true" outlineLevel="0" collapsed="false">
      <c r="A194" s="190"/>
      <c r="B194" s="191"/>
      <c r="C194" s="192"/>
    </row>
    <row r="195" customFormat="false" ht="14.25" hidden="false" customHeight="true" outlineLevel="0" collapsed="false">
      <c r="A195" s="190"/>
      <c r="B195" s="191"/>
      <c r="C195" s="192"/>
    </row>
    <row r="196" customFormat="false" ht="14.25" hidden="false" customHeight="true" outlineLevel="0" collapsed="false">
      <c r="A196" s="190"/>
      <c r="B196" s="191"/>
      <c r="C196" s="192"/>
    </row>
    <row r="197" customFormat="false" ht="14.25" hidden="false" customHeight="true" outlineLevel="0" collapsed="false">
      <c r="A197" s="190"/>
      <c r="B197" s="191"/>
      <c r="C197" s="192"/>
    </row>
    <row r="198" customFormat="false" ht="14.25" hidden="false" customHeight="true" outlineLevel="0" collapsed="false">
      <c r="A198" s="190"/>
      <c r="B198" s="191"/>
      <c r="C198" s="192"/>
    </row>
    <row r="199" customFormat="false" ht="14.25" hidden="false" customHeight="true" outlineLevel="0" collapsed="false">
      <c r="A199" s="190"/>
      <c r="B199" s="191"/>
      <c r="C199" s="192"/>
    </row>
    <row r="200" customFormat="false" ht="14.25" hidden="false" customHeight="true" outlineLevel="0" collapsed="false">
      <c r="A200" s="190"/>
      <c r="B200" s="191"/>
      <c r="C200" s="192"/>
    </row>
    <row r="201" customFormat="false" ht="14.25" hidden="false" customHeight="true" outlineLevel="0" collapsed="false">
      <c r="A201" s="190"/>
      <c r="B201" s="191"/>
      <c r="C201" s="192"/>
    </row>
    <row r="202" customFormat="false" ht="14.25" hidden="false" customHeight="true" outlineLevel="0" collapsed="false">
      <c r="A202" s="190"/>
      <c r="B202" s="191"/>
      <c r="C202" s="192"/>
    </row>
    <row r="203" customFormat="false" ht="14.25" hidden="false" customHeight="true" outlineLevel="0" collapsed="false">
      <c r="A203" s="190"/>
      <c r="B203" s="191"/>
      <c r="C203" s="192"/>
    </row>
    <row r="204" customFormat="false" ht="14.25" hidden="false" customHeight="true" outlineLevel="0" collapsed="false">
      <c r="A204" s="190"/>
      <c r="B204" s="191"/>
      <c r="C204" s="192"/>
    </row>
    <row r="205" customFormat="false" ht="14.25" hidden="false" customHeight="true" outlineLevel="0" collapsed="false">
      <c r="A205" s="190"/>
      <c r="B205" s="191"/>
      <c r="C205" s="192"/>
    </row>
    <row r="206" customFormat="false" ht="14.25" hidden="false" customHeight="true" outlineLevel="0" collapsed="false">
      <c r="A206" s="190"/>
      <c r="B206" s="191"/>
      <c r="C206" s="192"/>
    </row>
    <row r="207" customFormat="false" ht="14.25" hidden="false" customHeight="true" outlineLevel="0" collapsed="false">
      <c r="A207" s="190"/>
      <c r="B207" s="191"/>
      <c r="C207" s="192"/>
    </row>
    <row r="208" customFormat="false" ht="14.25" hidden="false" customHeight="true" outlineLevel="0" collapsed="false">
      <c r="A208" s="190"/>
      <c r="B208" s="191"/>
      <c r="C208" s="192"/>
    </row>
    <row r="209" customFormat="false" ht="14.25" hidden="false" customHeight="true" outlineLevel="0" collapsed="false">
      <c r="A209" s="190"/>
      <c r="B209" s="191"/>
      <c r="C209" s="192"/>
    </row>
    <row r="210" customFormat="false" ht="14.25" hidden="false" customHeight="true" outlineLevel="0" collapsed="false">
      <c r="A210" s="190"/>
      <c r="B210" s="191"/>
      <c r="C210" s="192"/>
    </row>
    <row r="211" customFormat="false" ht="14.25" hidden="false" customHeight="true" outlineLevel="0" collapsed="false">
      <c r="A211" s="190"/>
      <c r="B211" s="191"/>
      <c r="C211" s="192"/>
    </row>
    <row r="212" customFormat="false" ht="14.25" hidden="false" customHeight="true" outlineLevel="0" collapsed="false">
      <c r="A212" s="190"/>
      <c r="B212" s="191"/>
      <c r="C212" s="192"/>
    </row>
    <row r="213" customFormat="false" ht="14.25" hidden="false" customHeight="true" outlineLevel="0" collapsed="false">
      <c r="A213" s="190"/>
      <c r="B213" s="191"/>
      <c r="C213" s="192"/>
    </row>
    <row r="214" customFormat="false" ht="14.25" hidden="false" customHeight="true" outlineLevel="0" collapsed="false">
      <c r="A214" s="190"/>
      <c r="B214" s="191"/>
      <c r="C214" s="192"/>
    </row>
    <row r="215" customFormat="false" ht="14.25" hidden="false" customHeight="true" outlineLevel="0" collapsed="false">
      <c r="A215" s="190"/>
      <c r="B215" s="191"/>
      <c r="C215" s="192"/>
    </row>
    <row r="216" customFormat="false" ht="14.25" hidden="false" customHeight="true" outlineLevel="0" collapsed="false">
      <c r="A216" s="190"/>
      <c r="B216" s="191"/>
      <c r="C216" s="192"/>
    </row>
    <row r="217" customFormat="false" ht="14.25" hidden="false" customHeight="true" outlineLevel="0" collapsed="false">
      <c r="A217" s="190"/>
      <c r="B217" s="191"/>
      <c r="C217" s="192"/>
    </row>
    <row r="218" customFormat="false" ht="14.25" hidden="false" customHeight="true" outlineLevel="0" collapsed="false">
      <c r="A218" s="190"/>
      <c r="B218" s="191"/>
      <c r="C218" s="192"/>
    </row>
    <row r="219" customFormat="false" ht="14.25" hidden="false" customHeight="true" outlineLevel="0" collapsed="false">
      <c r="A219" s="190"/>
      <c r="B219" s="191"/>
      <c r="C219" s="192"/>
    </row>
    <row r="220" customFormat="false" ht="14.25" hidden="false" customHeight="true" outlineLevel="0" collapsed="false">
      <c r="A220" s="190"/>
      <c r="B220" s="191"/>
      <c r="C220" s="192"/>
    </row>
    <row r="221" customFormat="false" ht="14.25" hidden="false" customHeight="true" outlineLevel="0" collapsed="false">
      <c r="A221" s="190"/>
      <c r="B221" s="191"/>
      <c r="C221" s="192"/>
    </row>
    <row r="222" customFormat="false" ht="14.25" hidden="false" customHeight="true" outlineLevel="0" collapsed="false">
      <c r="A222" s="190"/>
      <c r="B222" s="191"/>
      <c r="C222" s="192"/>
    </row>
    <row r="223" customFormat="false" ht="14.25" hidden="false" customHeight="true" outlineLevel="0" collapsed="false">
      <c r="A223" s="190"/>
      <c r="B223" s="191"/>
      <c r="C223" s="192"/>
    </row>
    <row r="224" customFormat="false" ht="14.25" hidden="false" customHeight="true" outlineLevel="0" collapsed="false">
      <c r="A224" s="190"/>
      <c r="B224" s="191"/>
      <c r="C224" s="192"/>
    </row>
    <row r="225" customFormat="false" ht="14.25" hidden="false" customHeight="true" outlineLevel="0" collapsed="false">
      <c r="A225" s="190"/>
      <c r="B225" s="191"/>
      <c r="C225" s="192"/>
    </row>
    <row r="226" customFormat="false" ht="14.25" hidden="false" customHeight="true" outlineLevel="0" collapsed="false">
      <c r="A226" s="190"/>
      <c r="B226" s="191"/>
      <c r="C226" s="192"/>
    </row>
    <row r="227" customFormat="false" ht="14.25" hidden="false" customHeight="true" outlineLevel="0" collapsed="false">
      <c r="A227" s="190"/>
      <c r="B227" s="191"/>
      <c r="C227" s="192"/>
    </row>
    <row r="228" customFormat="false" ht="14.25" hidden="false" customHeight="true" outlineLevel="0" collapsed="false">
      <c r="A228" s="190"/>
      <c r="B228" s="191"/>
      <c r="C228" s="192"/>
    </row>
    <row r="229" customFormat="false" ht="14.25" hidden="false" customHeight="true" outlineLevel="0" collapsed="false">
      <c r="A229" s="190"/>
      <c r="B229" s="191"/>
      <c r="C229" s="192"/>
    </row>
    <row r="230" customFormat="false" ht="14.25" hidden="false" customHeight="true" outlineLevel="0" collapsed="false">
      <c r="A230" s="190"/>
      <c r="B230" s="191"/>
      <c r="C230" s="192"/>
    </row>
    <row r="231" customFormat="false" ht="14.25" hidden="false" customHeight="true" outlineLevel="0" collapsed="false">
      <c r="A231" s="190"/>
      <c r="B231" s="191"/>
      <c r="C231" s="192"/>
    </row>
    <row r="232" customFormat="false" ht="14.25" hidden="false" customHeight="true" outlineLevel="0" collapsed="false">
      <c r="A232" s="190"/>
      <c r="B232" s="191"/>
      <c r="C232" s="192"/>
    </row>
    <row r="233" customFormat="false" ht="14.25" hidden="false" customHeight="true" outlineLevel="0" collapsed="false">
      <c r="A233" s="190"/>
      <c r="B233" s="191"/>
      <c r="C233" s="192"/>
    </row>
    <row r="234" customFormat="false" ht="14.25" hidden="false" customHeight="true" outlineLevel="0" collapsed="false">
      <c r="A234" s="190"/>
      <c r="B234" s="191"/>
      <c r="C234" s="192"/>
    </row>
    <row r="235" customFormat="false" ht="14.25" hidden="false" customHeight="true" outlineLevel="0" collapsed="false">
      <c r="A235" s="190"/>
      <c r="B235" s="191"/>
      <c r="C235" s="192"/>
    </row>
    <row r="236" customFormat="false" ht="14.25" hidden="false" customHeight="true" outlineLevel="0" collapsed="false">
      <c r="A236" s="190"/>
      <c r="B236" s="191"/>
      <c r="C236" s="192"/>
    </row>
    <row r="237" customFormat="false" ht="14.25" hidden="false" customHeight="true" outlineLevel="0" collapsed="false">
      <c r="A237" s="190"/>
      <c r="B237" s="191"/>
      <c r="C237" s="192"/>
    </row>
    <row r="238" customFormat="false" ht="14.25" hidden="false" customHeight="true" outlineLevel="0" collapsed="false">
      <c r="A238" s="190"/>
      <c r="B238" s="191"/>
      <c r="C238" s="192"/>
    </row>
    <row r="239" customFormat="false" ht="14.25" hidden="false" customHeight="true" outlineLevel="0" collapsed="false">
      <c r="A239" s="190"/>
      <c r="B239" s="191"/>
      <c r="C239" s="192"/>
    </row>
    <row r="240" customFormat="false" ht="14.25" hidden="false" customHeight="true" outlineLevel="0" collapsed="false">
      <c r="A240" s="190"/>
      <c r="B240" s="191"/>
      <c r="C240" s="192"/>
    </row>
    <row r="241" customFormat="false" ht="14.25" hidden="false" customHeight="true" outlineLevel="0" collapsed="false">
      <c r="A241" s="190"/>
      <c r="B241" s="191"/>
      <c r="C241" s="192"/>
    </row>
    <row r="242" customFormat="false" ht="14.25" hidden="false" customHeight="true" outlineLevel="0" collapsed="false">
      <c r="A242" s="190"/>
      <c r="B242" s="191"/>
      <c r="C242" s="192"/>
    </row>
    <row r="243" customFormat="false" ht="14.25" hidden="false" customHeight="true" outlineLevel="0" collapsed="false">
      <c r="A243" s="190"/>
      <c r="B243" s="191"/>
      <c r="C243" s="192"/>
    </row>
    <row r="244" customFormat="false" ht="14.25" hidden="false" customHeight="true" outlineLevel="0" collapsed="false">
      <c r="A244" s="190"/>
      <c r="B244" s="191"/>
      <c r="C244" s="192"/>
    </row>
    <row r="245" customFormat="false" ht="14.25" hidden="false" customHeight="true" outlineLevel="0" collapsed="false">
      <c r="A245" s="190"/>
      <c r="B245" s="191"/>
      <c r="C245" s="192"/>
    </row>
    <row r="246" customFormat="false" ht="14.25" hidden="false" customHeight="true" outlineLevel="0" collapsed="false">
      <c r="A246" s="190"/>
      <c r="B246" s="191"/>
      <c r="C246" s="192"/>
    </row>
    <row r="247" customFormat="false" ht="14.25" hidden="false" customHeight="true" outlineLevel="0" collapsed="false">
      <c r="A247" s="190"/>
      <c r="B247" s="191"/>
      <c r="C247" s="192"/>
    </row>
    <row r="248" customFormat="false" ht="14.25" hidden="false" customHeight="true" outlineLevel="0" collapsed="false">
      <c r="A248" s="190"/>
      <c r="B248" s="191"/>
      <c r="C248" s="192"/>
    </row>
    <row r="249" customFormat="false" ht="14.25" hidden="false" customHeight="true" outlineLevel="0" collapsed="false">
      <c r="A249" s="190"/>
      <c r="B249" s="191"/>
      <c r="C249" s="192"/>
    </row>
    <row r="250" customFormat="false" ht="14.25" hidden="false" customHeight="true" outlineLevel="0" collapsed="false">
      <c r="A250" s="190"/>
      <c r="B250" s="191"/>
      <c r="C250" s="192"/>
    </row>
    <row r="251" customFormat="false" ht="14.25" hidden="false" customHeight="true" outlineLevel="0" collapsed="false">
      <c r="A251" s="190"/>
      <c r="B251" s="191"/>
      <c r="C251" s="192"/>
    </row>
    <row r="252" customFormat="false" ht="14.25" hidden="false" customHeight="true" outlineLevel="0" collapsed="false">
      <c r="A252" s="190"/>
      <c r="B252" s="191"/>
      <c r="C252" s="192"/>
    </row>
    <row r="253" customFormat="false" ht="14.25" hidden="false" customHeight="true" outlineLevel="0" collapsed="false">
      <c r="A253" s="190"/>
      <c r="B253" s="191"/>
      <c r="C253" s="192"/>
    </row>
    <row r="254" customFormat="false" ht="14.25" hidden="false" customHeight="true" outlineLevel="0" collapsed="false">
      <c r="A254" s="190"/>
      <c r="B254" s="191"/>
      <c r="C254" s="192"/>
    </row>
    <row r="255" customFormat="false" ht="14.25" hidden="false" customHeight="true" outlineLevel="0" collapsed="false">
      <c r="A255" s="190"/>
      <c r="B255" s="191"/>
      <c r="C255" s="192"/>
    </row>
    <row r="256" customFormat="false" ht="14.25" hidden="false" customHeight="true" outlineLevel="0" collapsed="false">
      <c r="A256" s="190"/>
      <c r="B256" s="191"/>
      <c r="C256" s="192"/>
    </row>
    <row r="257" customFormat="false" ht="14.25" hidden="false" customHeight="true" outlineLevel="0" collapsed="false">
      <c r="A257" s="190"/>
      <c r="B257" s="191"/>
      <c r="C257" s="192"/>
    </row>
    <row r="258" customFormat="false" ht="14.25" hidden="false" customHeight="true" outlineLevel="0" collapsed="false">
      <c r="A258" s="190"/>
      <c r="B258" s="191"/>
      <c r="C258" s="192"/>
    </row>
    <row r="259" customFormat="false" ht="14.25" hidden="false" customHeight="true" outlineLevel="0" collapsed="false">
      <c r="A259" s="190"/>
      <c r="B259" s="191"/>
      <c r="C259" s="192"/>
    </row>
    <row r="260" customFormat="false" ht="14.25" hidden="false" customHeight="true" outlineLevel="0" collapsed="false">
      <c r="A260" s="190"/>
      <c r="B260" s="191"/>
      <c r="C260" s="192"/>
    </row>
    <row r="261" customFormat="false" ht="14.25" hidden="false" customHeight="true" outlineLevel="0" collapsed="false">
      <c r="A261" s="190"/>
      <c r="B261" s="191"/>
      <c r="C261" s="192"/>
    </row>
    <row r="262" customFormat="false" ht="14.25" hidden="false" customHeight="true" outlineLevel="0" collapsed="false">
      <c r="A262" s="190"/>
      <c r="B262" s="191"/>
      <c r="C262" s="192"/>
    </row>
    <row r="263" customFormat="false" ht="14.25" hidden="false" customHeight="true" outlineLevel="0" collapsed="false">
      <c r="A263" s="190"/>
      <c r="B263" s="191"/>
      <c r="C263" s="192"/>
    </row>
    <row r="264" customFormat="false" ht="14.25" hidden="false" customHeight="true" outlineLevel="0" collapsed="false">
      <c r="A264" s="190"/>
      <c r="B264" s="191"/>
      <c r="C264" s="192"/>
    </row>
    <row r="265" customFormat="false" ht="14.25" hidden="false" customHeight="true" outlineLevel="0" collapsed="false">
      <c r="A265" s="190"/>
      <c r="B265" s="191"/>
      <c r="C265" s="192"/>
    </row>
    <row r="266" customFormat="false" ht="14.25" hidden="false" customHeight="true" outlineLevel="0" collapsed="false">
      <c r="A266" s="190"/>
      <c r="B266" s="191"/>
      <c r="C266" s="192"/>
    </row>
    <row r="267" customFormat="false" ht="14.25" hidden="false" customHeight="true" outlineLevel="0" collapsed="false">
      <c r="A267" s="190"/>
      <c r="B267" s="191"/>
      <c r="C267" s="192"/>
    </row>
    <row r="268" customFormat="false" ht="14.25" hidden="false" customHeight="true" outlineLevel="0" collapsed="false">
      <c r="A268" s="190"/>
      <c r="B268" s="191"/>
      <c r="C268" s="192"/>
    </row>
    <row r="269" customFormat="false" ht="14.25" hidden="false" customHeight="true" outlineLevel="0" collapsed="false">
      <c r="A269" s="190"/>
      <c r="B269" s="191"/>
      <c r="C269" s="192"/>
    </row>
    <row r="270" customFormat="false" ht="14.25" hidden="false" customHeight="true" outlineLevel="0" collapsed="false">
      <c r="A270" s="190"/>
      <c r="B270" s="191"/>
      <c r="C270" s="192"/>
    </row>
    <row r="271" customFormat="false" ht="14.25" hidden="false" customHeight="true" outlineLevel="0" collapsed="false">
      <c r="A271" s="190"/>
      <c r="B271" s="191"/>
      <c r="C271" s="192"/>
    </row>
    <row r="272" customFormat="false" ht="14.25" hidden="false" customHeight="true" outlineLevel="0" collapsed="false">
      <c r="A272" s="190"/>
      <c r="B272" s="191"/>
      <c r="C272" s="192"/>
    </row>
    <row r="273" customFormat="false" ht="14.25" hidden="false" customHeight="true" outlineLevel="0" collapsed="false">
      <c r="A273" s="190"/>
      <c r="B273" s="191"/>
      <c r="C273" s="192"/>
    </row>
    <row r="274" customFormat="false" ht="14.25" hidden="false" customHeight="true" outlineLevel="0" collapsed="false">
      <c r="A274" s="190"/>
      <c r="B274" s="191"/>
      <c r="C274" s="192"/>
    </row>
    <row r="275" customFormat="false" ht="14.25" hidden="false" customHeight="true" outlineLevel="0" collapsed="false">
      <c r="A275" s="190"/>
      <c r="B275" s="191"/>
      <c r="C275" s="192"/>
    </row>
    <row r="276" customFormat="false" ht="14.25" hidden="false" customHeight="true" outlineLevel="0" collapsed="false">
      <c r="A276" s="190"/>
      <c r="B276" s="191"/>
      <c r="C276" s="192"/>
    </row>
    <row r="277" customFormat="false" ht="14.25" hidden="false" customHeight="true" outlineLevel="0" collapsed="false">
      <c r="A277" s="190"/>
      <c r="B277" s="191"/>
      <c r="C277" s="192"/>
    </row>
    <row r="278" customFormat="false" ht="14.25" hidden="false" customHeight="true" outlineLevel="0" collapsed="false">
      <c r="A278" s="190"/>
      <c r="B278" s="191"/>
      <c r="C278" s="192"/>
    </row>
    <row r="279" customFormat="false" ht="14.25" hidden="false" customHeight="true" outlineLevel="0" collapsed="false">
      <c r="A279" s="190"/>
      <c r="B279" s="191"/>
      <c r="C279" s="192"/>
    </row>
    <row r="280" customFormat="false" ht="14.25" hidden="false" customHeight="true" outlineLevel="0" collapsed="false">
      <c r="A280" s="190"/>
      <c r="B280" s="191"/>
      <c r="C280" s="192"/>
    </row>
    <row r="281" customFormat="false" ht="14.25" hidden="false" customHeight="true" outlineLevel="0" collapsed="false">
      <c r="A281" s="190"/>
      <c r="B281" s="191"/>
      <c r="C281" s="192"/>
    </row>
    <row r="282" customFormat="false" ht="14.25" hidden="false" customHeight="true" outlineLevel="0" collapsed="false">
      <c r="A282" s="190"/>
      <c r="B282" s="191"/>
      <c r="C282" s="192"/>
    </row>
    <row r="283" customFormat="false" ht="14.25" hidden="false" customHeight="true" outlineLevel="0" collapsed="false">
      <c r="A283" s="190"/>
      <c r="B283" s="191"/>
      <c r="C283" s="192"/>
    </row>
    <row r="284" customFormat="false" ht="14.25" hidden="false" customHeight="true" outlineLevel="0" collapsed="false">
      <c r="A284" s="190"/>
      <c r="B284" s="191"/>
      <c r="C284" s="192"/>
    </row>
    <row r="285" customFormat="false" ht="14.25" hidden="false" customHeight="true" outlineLevel="0" collapsed="false">
      <c r="A285" s="190"/>
      <c r="B285" s="191"/>
      <c r="C285" s="192"/>
    </row>
    <row r="286" customFormat="false" ht="14.25" hidden="false" customHeight="true" outlineLevel="0" collapsed="false">
      <c r="A286" s="190"/>
      <c r="B286" s="191"/>
      <c r="C286" s="192"/>
    </row>
    <row r="287" customFormat="false" ht="14.25" hidden="false" customHeight="true" outlineLevel="0" collapsed="false">
      <c r="A287" s="190"/>
      <c r="B287" s="191"/>
      <c r="C287" s="192"/>
    </row>
    <row r="288" customFormat="false" ht="14.25" hidden="false" customHeight="true" outlineLevel="0" collapsed="false">
      <c r="A288" s="190"/>
      <c r="B288" s="191"/>
      <c r="C288" s="192"/>
    </row>
    <row r="289" customFormat="false" ht="14.25" hidden="false" customHeight="true" outlineLevel="0" collapsed="false">
      <c r="A289" s="190"/>
      <c r="B289" s="191"/>
      <c r="C289" s="192"/>
    </row>
    <row r="290" customFormat="false" ht="14.25" hidden="false" customHeight="true" outlineLevel="0" collapsed="false">
      <c r="A290" s="190"/>
      <c r="B290" s="191"/>
      <c r="C290" s="192"/>
    </row>
    <row r="291" customFormat="false" ht="14.25" hidden="false" customHeight="true" outlineLevel="0" collapsed="false">
      <c r="A291" s="190"/>
      <c r="B291" s="191"/>
      <c r="C291" s="192"/>
    </row>
    <row r="292" customFormat="false" ht="14.25" hidden="false" customHeight="true" outlineLevel="0" collapsed="false">
      <c r="A292" s="190"/>
      <c r="B292" s="191"/>
      <c r="C292" s="192"/>
    </row>
    <row r="293" customFormat="false" ht="14.25" hidden="false" customHeight="true" outlineLevel="0" collapsed="false">
      <c r="A293" s="190"/>
      <c r="B293" s="191"/>
      <c r="C293" s="192"/>
    </row>
    <row r="294" customFormat="false" ht="14.25" hidden="false" customHeight="true" outlineLevel="0" collapsed="false">
      <c r="A294" s="190"/>
      <c r="B294" s="191"/>
      <c r="C294" s="192"/>
    </row>
    <row r="295" customFormat="false" ht="14.25" hidden="false" customHeight="true" outlineLevel="0" collapsed="false">
      <c r="A295" s="190"/>
      <c r="B295" s="191"/>
      <c r="C295" s="192"/>
    </row>
    <row r="296" customFormat="false" ht="14.25" hidden="false" customHeight="true" outlineLevel="0" collapsed="false">
      <c r="A296" s="190"/>
      <c r="B296" s="191"/>
      <c r="C296" s="192"/>
    </row>
    <row r="297" customFormat="false" ht="14.25" hidden="false" customHeight="true" outlineLevel="0" collapsed="false">
      <c r="A297" s="190"/>
      <c r="B297" s="191"/>
      <c r="C297" s="192"/>
    </row>
    <row r="298" customFormat="false" ht="14.25" hidden="false" customHeight="true" outlineLevel="0" collapsed="false">
      <c r="A298" s="190"/>
      <c r="B298" s="191"/>
      <c r="C298" s="192"/>
    </row>
    <row r="299" customFormat="false" ht="14.25" hidden="false" customHeight="true" outlineLevel="0" collapsed="false">
      <c r="A299" s="190"/>
      <c r="B299" s="191"/>
      <c r="C299" s="192"/>
    </row>
    <row r="300" customFormat="false" ht="14.25" hidden="false" customHeight="true" outlineLevel="0" collapsed="false">
      <c r="A300" s="190"/>
      <c r="B300" s="191"/>
      <c r="C300" s="192"/>
    </row>
    <row r="301" customFormat="false" ht="14.25" hidden="false" customHeight="true" outlineLevel="0" collapsed="false">
      <c r="A301" s="190"/>
      <c r="B301" s="191"/>
      <c r="C301" s="192"/>
    </row>
    <row r="302" customFormat="false" ht="14.25" hidden="false" customHeight="true" outlineLevel="0" collapsed="false">
      <c r="A302" s="190"/>
      <c r="B302" s="191"/>
      <c r="C302" s="192"/>
    </row>
  </sheetData>
  <mergeCells count="1">
    <mergeCell ref="A1:C1"/>
  </mergeCells>
  <printOptions headings="false" gridLines="false" gridLinesSet="true" horizontalCentered="false" verticalCentered="false"/>
  <pageMargins left="0.25" right="0.25" top="0.3" bottom="0.4" header="0.511811023622047" footer="0.170138888888889"/>
  <pageSetup paperSize="1" scale="100" fitToWidth="1" fitToHeight="0"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95"/>
    <col collapsed="false" customWidth="true" hidden="false" outlineLevel="0" max="3" min="3" style="1" width="10"/>
    <col collapsed="false" customWidth="true" hidden="false" outlineLevel="0" max="4" min="4" style="1" width="12"/>
    <col collapsed="false" customWidth="true" hidden="false" outlineLevel="0" max="5" min="5" style="1" width="13"/>
    <col collapsed="false" customWidth="true" hidden="false" outlineLevel="0" max="6" min="6" style="1" width="11"/>
  </cols>
  <sheetData>
    <row r="1" customFormat="false" ht="23.25" hidden="false" customHeight="true" outlineLevel="0" collapsed="false">
      <c r="A1" s="194" t="s">
        <v>642</v>
      </c>
      <c r="B1" s="194"/>
      <c r="C1" s="194"/>
      <c r="D1" s="194"/>
      <c r="E1" s="194"/>
      <c r="F1" s="194"/>
    </row>
    <row r="2" customFormat="false" ht="15" hidden="false" customHeight="true" outlineLevel="0" collapsed="false">
      <c r="A2" s="148" t="s">
        <v>643</v>
      </c>
      <c r="C2" s="195" t="n">
        <f aca="false">COUNTIF(F5:F500,"OVERDUE")</f>
        <v>0</v>
      </c>
    </row>
    <row r="4" customFormat="false" ht="27.75" hidden="false" customHeight="true" outlineLevel="0" collapsed="false">
      <c r="A4" s="150" t="s">
        <v>644</v>
      </c>
      <c r="B4" s="150" t="s">
        <v>645</v>
      </c>
      <c r="C4" s="150" t="s">
        <v>646</v>
      </c>
      <c r="D4" s="150" t="s">
        <v>647</v>
      </c>
      <c r="E4" s="150" t="s">
        <v>648</v>
      </c>
      <c r="F4" s="150" t="s">
        <v>461</v>
      </c>
    </row>
    <row r="5" customFormat="false" ht="15" hidden="false" customHeight="true" outlineLevel="0" collapsed="false">
      <c r="A5" s="154" t="s">
        <v>554</v>
      </c>
      <c r="B5" s="196" t="s">
        <v>649</v>
      </c>
      <c r="C5" s="154"/>
      <c r="D5" s="154"/>
      <c r="E5" s="197" t="n">
        <f aca="false">IFERROR(INDEX(Journal!$A:$A,MATCH($A5,Journal!$B:$B,0)),"")</f>
        <v>46295</v>
      </c>
      <c r="F5" s="154" t="str">
        <f aca="true">IF(C5="Y","Done",IF(AND(E5&lt;&gt;"",TODAY()&gt;E5),"OVERDUE","Pending"))</f>
        <v>Pending</v>
      </c>
    </row>
    <row r="6" customFormat="false" ht="15" hidden="false" customHeight="true" outlineLevel="0" collapsed="false">
      <c r="A6" s="154" t="s">
        <v>554</v>
      </c>
      <c r="B6" s="196" t="s">
        <v>650</v>
      </c>
      <c r="C6" s="154"/>
      <c r="D6" s="154"/>
      <c r="E6" s="197" t="n">
        <f aca="false">IFERROR(INDEX(Journal!$A:$A,MATCH($A6,Journal!$B:$B,0)),"")</f>
        <v>46295</v>
      </c>
      <c r="F6" s="154" t="str">
        <f aca="true">IF(C6="Y","Done",IF(AND(E6&lt;&gt;"",TODAY()&gt;E6),"OVERDUE","Pending"))</f>
        <v>Pending</v>
      </c>
    </row>
    <row r="7" customFormat="false" ht="15" hidden="false" customHeight="true" outlineLevel="0" collapsed="false">
      <c r="A7" s="154" t="s">
        <v>554</v>
      </c>
      <c r="B7" s="196" t="s">
        <v>651</v>
      </c>
      <c r="C7" s="154"/>
      <c r="D7" s="154"/>
      <c r="E7" s="197" t="n">
        <f aca="false">IFERROR(INDEX(Journal!$A:$A,MATCH($A7,Journal!$B:$B,0)),"")</f>
        <v>46295</v>
      </c>
      <c r="F7" s="154" t="str">
        <f aca="true">IF(C7="Y","Done",IF(AND(E7&lt;&gt;"",TODAY()&gt;E7),"OVERDUE","Pending"))</f>
        <v>Pending</v>
      </c>
    </row>
    <row r="8" customFormat="false" ht="15" hidden="false" customHeight="true" outlineLevel="0" collapsed="false">
      <c r="A8" s="154" t="s">
        <v>554</v>
      </c>
      <c r="B8" s="196" t="s">
        <v>652</v>
      </c>
      <c r="C8" s="154"/>
      <c r="D8" s="154"/>
      <c r="E8" s="197" t="n">
        <f aca="false">IFERROR(INDEX(Journal!$A:$A,MATCH($A8,Journal!$B:$B,0)),"")</f>
        <v>46295</v>
      </c>
      <c r="F8" s="154" t="str">
        <f aca="true">IF(C8="Y","Done",IF(AND(E8&lt;&gt;"",TODAY()&gt;E8),"OVERDUE","Pending"))</f>
        <v>Pending</v>
      </c>
    </row>
    <row r="9" customFormat="false" ht="15" hidden="false" customHeight="true" outlineLevel="0" collapsed="false">
      <c r="A9" s="154" t="s">
        <v>554</v>
      </c>
      <c r="B9" s="196" t="s">
        <v>653</v>
      </c>
      <c r="C9" s="154"/>
      <c r="D9" s="154"/>
      <c r="E9" s="197" t="n">
        <f aca="false">IFERROR(INDEX(Journal!$A:$A,MATCH($A9,Journal!$B:$B,0)),"")</f>
        <v>46295</v>
      </c>
      <c r="F9" s="154" t="str">
        <f aca="true">IF(C9="Y","Done",IF(AND(E9&lt;&gt;"",TODAY()&gt;E9),"OVERDUE","Pending"))</f>
        <v>Pending</v>
      </c>
    </row>
    <row r="10" customFormat="false" ht="15" hidden="false" customHeight="true" outlineLevel="0" collapsed="false">
      <c r="A10" s="154" t="s">
        <v>554</v>
      </c>
      <c r="B10" s="196" t="s">
        <v>654</v>
      </c>
      <c r="C10" s="154"/>
      <c r="D10" s="154"/>
      <c r="E10" s="197" t="n">
        <f aca="false">IFERROR(INDEX(Journal!$A:$A,MATCH($A10,Journal!$B:$B,0)),"")</f>
        <v>46295</v>
      </c>
      <c r="F10" s="154" t="str">
        <f aca="true">IF(C10="Y","Done",IF(AND(E10&lt;&gt;"",TODAY()&gt;E10),"OVERDUE","Pending"))</f>
        <v>Pending</v>
      </c>
    </row>
    <row r="11" customFormat="false" ht="23.25" hidden="false" customHeight="true" outlineLevel="0" collapsed="false">
      <c r="A11" s="154" t="s">
        <v>558</v>
      </c>
      <c r="B11" s="196" t="s">
        <v>655</v>
      </c>
      <c r="C11" s="154"/>
      <c r="D11" s="154"/>
      <c r="E11" s="197" t="n">
        <f aca="false">IFERROR(INDEX(Journal!$A:$A,MATCH($A11,Journal!$B:$B,0)),"")</f>
        <v>46320</v>
      </c>
      <c r="F11" s="154" t="str">
        <f aca="true">IF(C11="Y","Done",IF(AND(E11&lt;&gt;"",TODAY()&gt;E11),"OVERDUE","Pending"))</f>
        <v>Pending</v>
      </c>
    </row>
    <row r="12" customFormat="false" ht="15" hidden="false" customHeight="true" outlineLevel="0" collapsed="false">
      <c r="A12" s="154" t="s">
        <v>558</v>
      </c>
      <c r="B12" s="196" t="s">
        <v>656</v>
      </c>
      <c r="C12" s="154"/>
      <c r="D12" s="154"/>
      <c r="E12" s="197" t="n">
        <f aca="false">IFERROR(INDEX(Journal!$A:$A,MATCH($A12,Journal!$B:$B,0)),"")</f>
        <v>46320</v>
      </c>
      <c r="F12" s="154" t="str">
        <f aca="true">IF(C12="Y","Done",IF(AND(E12&lt;&gt;"",TODAY()&gt;E12),"OVERDUE","Pending"))</f>
        <v>Pending</v>
      </c>
    </row>
    <row r="13" customFormat="false" ht="23.25" hidden="false" customHeight="true" outlineLevel="0" collapsed="false">
      <c r="A13" s="154" t="s">
        <v>558</v>
      </c>
      <c r="B13" s="196" t="s">
        <v>657</v>
      </c>
      <c r="C13" s="154"/>
      <c r="D13" s="154"/>
      <c r="E13" s="197" t="n">
        <f aca="false">IFERROR(INDEX(Journal!$A:$A,MATCH($A13,Journal!$B:$B,0)),"")</f>
        <v>46320</v>
      </c>
      <c r="F13" s="154" t="str">
        <f aca="true">IF(C13="Y","Done",IF(AND(E13&lt;&gt;"",TODAY()&gt;E13),"OVERDUE","Pending"))</f>
        <v>Pending</v>
      </c>
    </row>
    <row r="14" customFormat="false" ht="15" hidden="false" customHeight="true" outlineLevel="0" collapsed="false">
      <c r="A14" s="154" t="s">
        <v>558</v>
      </c>
      <c r="B14" s="196" t="s">
        <v>652</v>
      </c>
      <c r="C14" s="154"/>
      <c r="D14" s="154"/>
      <c r="E14" s="197" t="n">
        <f aca="false">IFERROR(INDEX(Journal!$A:$A,MATCH($A14,Journal!$B:$B,0)),"")</f>
        <v>46320</v>
      </c>
      <c r="F14" s="154" t="str">
        <f aca="true">IF(C14="Y","Done",IF(AND(E14&lt;&gt;"",TODAY()&gt;E14),"OVERDUE","Pending"))</f>
        <v>Pending</v>
      </c>
    </row>
    <row r="15" customFormat="false" ht="15" hidden="false" customHeight="true" outlineLevel="0" collapsed="false">
      <c r="A15" s="154" t="s">
        <v>558</v>
      </c>
      <c r="B15" s="196" t="s">
        <v>653</v>
      </c>
      <c r="C15" s="154"/>
      <c r="D15" s="154"/>
      <c r="E15" s="197" t="n">
        <f aca="false">IFERROR(INDEX(Journal!$A:$A,MATCH($A15,Journal!$B:$B,0)),"")</f>
        <v>46320</v>
      </c>
      <c r="F15" s="154" t="str">
        <f aca="true">IF(C15="Y","Done",IF(AND(E15&lt;&gt;"",TODAY()&gt;E15),"OVERDUE","Pending"))</f>
        <v>Pending</v>
      </c>
    </row>
    <row r="16" customFormat="false" ht="15" hidden="false" customHeight="true" outlineLevel="0" collapsed="false">
      <c r="A16" s="154" t="s">
        <v>558</v>
      </c>
      <c r="B16" s="196" t="s">
        <v>654</v>
      </c>
      <c r="C16" s="154"/>
      <c r="D16" s="154"/>
      <c r="E16" s="197" t="n">
        <f aca="false">IFERROR(INDEX(Journal!$A:$A,MATCH($A16,Journal!$B:$B,0)),"")</f>
        <v>46320</v>
      </c>
      <c r="F16" s="154" t="str">
        <f aca="true">IF(C16="Y","Done",IF(AND(E16&lt;&gt;"",TODAY()&gt;E16),"OVERDUE","Pending"))</f>
        <v>Pending</v>
      </c>
    </row>
    <row r="17" customFormat="false" ht="15" hidden="false" customHeight="true" outlineLevel="0" collapsed="false">
      <c r="A17" s="154" t="s">
        <v>562</v>
      </c>
      <c r="B17" s="196" t="s">
        <v>649</v>
      </c>
      <c r="C17" s="154"/>
      <c r="D17" s="154"/>
      <c r="E17" s="197" t="n">
        <f aca="false">IFERROR(INDEX(Journal!$A:$A,MATCH($A17,Journal!$B:$B,0)),"")</f>
        <v>46387</v>
      </c>
      <c r="F17" s="154" t="str">
        <f aca="true">IF(C17="Y","Done",IF(AND(E17&lt;&gt;"",TODAY()&gt;E17),"OVERDUE","Pending"))</f>
        <v>Pending</v>
      </c>
    </row>
    <row r="18" customFormat="false" ht="15" hidden="false" customHeight="true" outlineLevel="0" collapsed="false">
      <c r="A18" s="154" t="s">
        <v>562</v>
      </c>
      <c r="B18" s="196" t="s">
        <v>650</v>
      </c>
      <c r="C18" s="154"/>
      <c r="D18" s="154"/>
      <c r="E18" s="197" t="n">
        <f aca="false">IFERROR(INDEX(Journal!$A:$A,MATCH($A18,Journal!$B:$B,0)),"")</f>
        <v>46387</v>
      </c>
      <c r="F18" s="154" t="str">
        <f aca="true">IF(C18="Y","Done",IF(AND(E18&lt;&gt;"",TODAY()&gt;E18),"OVERDUE","Pending"))</f>
        <v>Pending</v>
      </c>
    </row>
    <row r="19" customFormat="false" ht="15" hidden="false" customHeight="true" outlineLevel="0" collapsed="false">
      <c r="A19" s="154" t="s">
        <v>562</v>
      </c>
      <c r="B19" s="196" t="s">
        <v>651</v>
      </c>
      <c r="C19" s="154"/>
      <c r="D19" s="154"/>
      <c r="E19" s="197" t="n">
        <f aca="false">IFERROR(INDEX(Journal!$A:$A,MATCH($A19,Journal!$B:$B,0)),"")</f>
        <v>46387</v>
      </c>
      <c r="F19" s="154" t="str">
        <f aca="true">IF(C19="Y","Done",IF(AND(E19&lt;&gt;"",TODAY()&gt;E19),"OVERDUE","Pending"))</f>
        <v>Pending</v>
      </c>
    </row>
    <row r="20" customFormat="false" ht="15" hidden="false" customHeight="true" outlineLevel="0" collapsed="false">
      <c r="A20" s="154" t="s">
        <v>562</v>
      </c>
      <c r="B20" s="196" t="s">
        <v>652</v>
      </c>
      <c r="C20" s="154"/>
      <c r="D20" s="154"/>
      <c r="E20" s="197" t="n">
        <f aca="false">IFERROR(INDEX(Journal!$A:$A,MATCH($A20,Journal!$B:$B,0)),"")</f>
        <v>46387</v>
      </c>
      <c r="F20" s="154" t="str">
        <f aca="true">IF(C20="Y","Done",IF(AND(E20&lt;&gt;"",TODAY()&gt;E20),"OVERDUE","Pending"))</f>
        <v>Pending</v>
      </c>
    </row>
    <row r="21" customFormat="false" ht="15" hidden="false" customHeight="true" outlineLevel="0" collapsed="false">
      <c r="A21" s="154" t="s">
        <v>562</v>
      </c>
      <c r="B21" s="196" t="s">
        <v>653</v>
      </c>
      <c r="C21" s="154"/>
      <c r="D21" s="154"/>
      <c r="E21" s="197" t="n">
        <f aca="false">IFERROR(INDEX(Journal!$A:$A,MATCH($A21,Journal!$B:$B,0)),"")</f>
        <v>46387</v>
      </c>
      <c r="F21" s="154" t="str">
        <f aca="true">IF(C21="Y","Done",IF(AND(E21&lt;&gt;"",TODAY()&gt;E21),"OVERDUE","Pending"))</f>
        <v>Pending</v>
      </c>
    </row>
    <row r="22" customFormat="false" ht="15" hidden="false" customHeight="true" outlineLevel="0" collapsed="false">
      <c r="A22" s="154" t="s">
        <v>562</v>
      </c>
      <c r="B22" s="196" t="s">
        <v>654</v>
      </c>
      <c r="C22" s="154"/>
      <c r="D22" s="154"/>
      <c r="E22" s="197" t="n">
        <f aca="false">IFERROR(INDEX(Journal!$A:$A,MATCH($A22,Journal!$B:$B,0)),"")</f>
        <v>46387</v>
      </c>
      <c r="F22" s="154" t="str">
        <f aca="true">IF(C22="Y","Done",IF(AND(E22&lt;&gt;"",TODAY()&gt;E22),"OVERDUE","Pending"))</f>
        <v>Pending</v>
      </c>
    </row>
    <row r="23" customFormat="false" ht="15" hidden="false" customHeight="true" outlineLevel="0" collapsed="false">
      <c r="A23" s="154" t="s">
        <v>564</v>
      </c>
      <c r="B23" s="196" t="s">
        <v>658</v>
      </c>
      <c r="C23" s="154"/>
      <c r="D23" s="154"/>
      <c r="E23" s="197" t="n">
        <f aca="false">IFERROR(INDEX(Journal!$A:$A,MATCH($A23,Journal!$B:$B,0)),"")</f>
        <v>46412</v>
      </c>
      <c r="F23" s="154" t="str">
        <f aca="true">IF(C23="Y","Done",IF(AND(E23&lt;&gt;"",TODAY()&gt;E23),"OVERDUE","Pending"))</f>
        <v>Pending</v>
      </c>
    </row>
    <row r="24" customFormat="false" ht="23.25" hidden="false" customHeight="true" outlineLevel="0" collapsed="false">
      <c r="A24" s="154" t="s">
        <v>564</v>
      </c>
      <c r="B24" s="196" t="s">
        <v>659</v>
      </c>
      <c r="C24" s="154"/>
      <c r="D24" s="154"/>
      <c r="E24" s="197" t="n">
        <f aca="false">IFERROR(INDEX(Journal!$A:$A,MATCH($A24,Journal!$B:$B,0)),"")</f>
        <v>46412</v>
      </c>
      <c r="F24" s="154" t="str">
        <f aca="true">IF(C24="Y","Done",IF(AND(E24&lt;&gt;"",TODAY()&gt;E24),"OVERDUE","Pending"))</f>
        <v>Pending</v>
      </c>
    </row>
    <row r="25" customFormat="false" ht="15" hidden="false" customHeight="true" outlineLevel="0" collapsed="false">
      <c r="A25" s="154" t="s">
        <v>564</v>
      </c>
      <c r="B25" s="196" t="s">
        <v>652</v>
      </c>
      <c r="C25" s="154"/>
      <c r="D25" s="154"/>
      <c r="E25" s="197" t="n">
        <f aca="false">IFERROR(INDEX(Journal!$A:$A,MATCH($A25,Journal!$B:$B,0)),"")</f>
        <v>46412</v>
      </c>
      <c r="F25" s="154" t="str">
        <f aca="true">IF(C25="Y","Done",IF(AND(E25&lt;&gt;"",TODAY()&gt;E25),"OVERDUE","Pending"))</f>
        <v>Pending</v>
      </c>
    </row>
    <row r="26" customFormat="false" ht="15" hidden="false" customHeight="true" outlineLevel="0" collapsed="false">
      <c r="A26" s="154" t="s">
        <v>564</v>
      </c>
      <c r="B26" s="196" t="s">
        <v>653</v>
      </c>
      <c r="C26" s="154"/>
      <c r="D26" s="154"/>
      <c r="E26" s="197" t="n">
        <f aca="false">IFERROR(INDEX(Journal!$A:$A,MATCH($A26,Journal!$B:$B,0)),"")</f>
        <v>46412</v>
      </c>
      <c r="F26" s="154" t="str">
        <f aca="true">IF(C26="Y","Done",IF(AND(E26&lt;&gt;"",TODAY()&gt;E26),"OVERDUE","Pending"))</f>
        <v>Pending</v>
      </c>
    </row>
    <row r="27" customFormat="false" ht="15" hidden="false" customHeight="true" outlineLevel="0" collapsed="false">
      <c r="A27" s="154" t="s">
        <v>564</v>
      </c>
      <c r="B27" s="196" t="s">
        <v>654</v>
      </c>
      <c r="C27" s="154"/>
      <c r="D27" s="154"/>
      <c r="E27" s="197" t="n">
        <f aca="false">IFERROR(INDEX(Journal!$A:$A,MATCH($A27,Journal!$B:$B,0)),"")</f>
        <v>46412</v>
      </c>
      <c r="F27" s="154" t="str">
        <f aca="true">IF(C27="Y","Done",IF(AND(E27&lt;&gt;"",TODAY()&gt;E27),"OVERDUE","Pending"))</f>
        <v>Pending</v>
      </c>
    </row>
    <row r="28" customFormat="false" ht="15" hidden="false" customHeight="true" outlineLevel="0" collapsed="false">
      <c r="A28" s="154" t="s">
        <v>605</v>
      </c>
      <c r="B28" s="196" t="s">
        <v>660</v>
      </c>
      <c r="C28" s="154" t="s">
        <v>213</v>
      </c>
      <c r="D28" s="198" t="n">
        <v>46295</v>
      </c>
      <c r="E28" s="197" t="n">
        <f aca="false">IFERROR(INDEX(Journal!$A:$A,MATCH($A28,Journal!$B:$B,0)),"")</f>
        <v>46295</v>
      </c>
      <c r="F28" s="154" t="str">
        <f aca="true">IF(C28="Y","Done",IF(AND(E28&lt;&gt;"",TODAY()&gt;E28),"OVERDUE","Pending"))</f>
        <v>Done</v>
      </c>
    </row>
    <row r="29" customFormat="false" ht="15" hidden="false" customHeight="true" outlineLevel="0" collapsed="false">
      <c r="A29" s="154" t="s">
        <v>605</v>
      </c>
      <c r="B29" s="196" t="s">
        <v>661</v>
      </c>
      <c r="C29" s="154" t="s">
        <v>213</v>
      </c>
      <c r="D29" s="198" t="n">
        <v>46295</v>
      </c>
      <c r="E29" s="197" t="n">
        <f aca="false">IFERROR(INDEX(Journal!$A:$A,MATCH($A29,Journal!$B:$B,0)),"")</f>
        <v>46295</v>
      </c>
      <c r="F29" s="154" t="str">
        <f aca="true">IF(C29="Y","Done",IF(AND(E29&lt;&gt;"",TODAY()&gt;E29),"OVERDUE","Pending"))</f>
        <v>Done</v>
      </c>
    </row>
    <row r="30" customFormat="false" ht="45.75" hidden="false" customHeight="true" outlineLevel="0" collapsed="false">
      <c r="A30" s="154" t="s">
        <v>605</v>
      </c>
      <c r="B30" s="196" t="s">
        <v>662</v>
      </c>
      <c r="C30" s="154" t="s">
        <v>213</v>
      </c>
      <c r="D30" s="198" t="n">
        <v>46295</v>
      </c>
      <c r="E30" s="197" t="n">
        <f aca="false">IFERROR(INDEX(Journal!$A:$A,MATCH($A30,Journal!$B:$B,0)),"")</f>
        <v>46295</v>
      </c>
      <c r="F30" s="154" t="str">
        <f aca="true">IF(C30="Y","Done",IF(AND(E30&lt;&gt;"",TODAY()&gt;E30),"OVERDUE","Pending"))</f>
        <v>Done</v>
      </c>
    </row>
    <row r="31" customFormat="false" ht="15" hidden="false" customHeight="true" outlineLevel="0" collapsed="false">
      <c r="A31" s="154" t="s">
        <v>605</v>
      </c>
      <c r="B31" s="196" t="s">
        <v>663</v>
      </c>
      <c r="C31" s="154" t="s">
        <v>213</v>
      </c>
      <c r="D31" s="198" t="n">
        <v>46295</v>
      </c>
      <c r="E31" s="197" t="n">
        <f aca="false">IFERROR(INDEX(Journal!$A:$A,MATCH($A31,Journal!$B:$B,0)),"")</f>
        <v>46295</v>
      </c>
      <c r="F31" s="154" t="str">
        <f aca="true">IF(C31="Y","Done",IF(AND(E31&lt;&gt;"",TODAY()&gt;E31),"OVERDUE","Pending"))</f>
        <v>Done</v>
      </c>
    </row>
    <row r="32" customFormat="false" ht="34.5" hidden="false" customHeight="true" outlineLevel="0" collapsed="false">
      <c r="A32" s="154" t="s">
        <v>605</v>
      </c>
      <c r="B32" s="196" t="s">
        <v>664</v>
      </c>
      <c r="C32" s="154" t="s">
        <v>213</v>
      </c>
      <c r="D32" s="198" t="n">
        <v>46295</v>
      </c>
      <c r="E32" s="197" t="n">
        <f aca="false">IFERROR(INDEX(Journal!$A:$A,MATCH($A32,Journal!$B:$B,0)),"")</f>
        <v>46295</v>
      </c>
      <c r="F32" s="154" t="str">
        <f aca="true">IF(C32="Y","Done",IF(AND(E32&lt;&gt;"",TODAY()&gt;E32),"OVERDUE","Pending"))</f>
        <v>Done</v>
      </c>
    </row>
    <row r="33" customFormat="false" ht="15" hidden="false" customHeight="true" outlineLevel="0" collapsed="false">
      <c r="A33" s="154" t="s">
        <v>605</v>
      </c>
      <c r="B33" s="196" t="s">
        <v>665</v>
      </c>
      <c r="C33" s="154" t="s">
        <v>213</v>
      </c>
      <c r="D33" s="198" t="n">
        <v>46295</v>
      </c>
      <c r="E33" s="197" t="n">
        <f aca="false">IFERROR(INDEX(Journal!$A:$A,MATCH($A33,Journal!$B:$B,0)),"")</f>
        <v>46295</v>
      </c>
      <c r="F33" s="154" t="str">
        <f aca="true">IF(C33="Y","Done",IF(AND(E33&lt;&gt;"",TODAY()&gt;E33),"OVERDUE","Pending"))</f>
        <v>Done</v>
      </c>
    </row>
    <row r="34" customFormat="false" ht="15" hidden="false" customHeight="true" outlineLevel="0" collapsed="false">
      <c r="A34" s="154" t="s">
        <v>605</v>
      </c>
      <c r="B34" s="196" t="s">
        <v>652</v>
      </c>
      <c r="C34" s="154" t="s">
        <v>213</v>
      </c>
      <c r="D34" s="198" t="n">
        <v>46295</v>
      </c>
      <c r="E34" s="197" t="n">
        <f aca="false">IFERROR(INDEX(Journal!$A:$A,MATCH($A34,Journal!$B:$B,0)),"")</f>
        <v>46295</v>
      </c>
      <c r="F34" s="154" t="str">
        <f aca="true">IF(C34="Y","Done",IF(AND(E34&lt;&gt;"",TODAY()&gt;E34),"OVERDUE","Pending"))</f>
        <v>Done</v>
      </c>
    </row>
    <row r="35" customFormat="false" ht="15" hidden="false" customHeight="true" outlineLevel="0" collapsed="false">
      <c r="A35" s="154" t="s">
        <v>605</v>
      </c>
      <c r="B35" s="196" t="s">
        <v>653</v>
      </c>
      <c r="C35" s="154" t="s">
        <v>213</v>
      </c>
      <c r="D35" s="198" t="n">
        <v>46295</v>
      </c>
      <c r="E35" s="197" t="n">
        <f aca="false">IFERROR(INDEX(Journal!$A:$A,MATCH($A35,Journal!$B:$B,0)),"")</f>
        <v>46295</v>
      </c>
      <c r="F35" s="154" t="str">
        <f aca="true">IF(C35="Y","Done",IF(AND(E35&lt;&gt;"",TODAY()&gt;E35),"OVERDUE","Pending"))</f>
        <v>Done</v>
      </c>
    </row>
    <row r="36" customFormat="false" ht="15" hidden="false" customHeight="true" outlineLevel="0" collapsed="false">
      <c r="A36" s="154" t="s">
        <v>605</v>
      </c>
      <c r="B36" s="196" t="s">
        <v>654</v>
      </c>
      <c r="C36" s="154" t="s">
        <v>213</v>
      </c>
      <c r="D36" s="198" t="n">
        <v>46295</v>
      </c>
      <c r="E36" s="197" t="n">
        <f aca="false">IFERROR(INDEX(Journal!$A:$A,MATCH($A36,Journal!$B:$B,0)),"")</f>
        <v>46295</v>
      </c>
      <c r="F36" s="154" t="str">
        <f aca="true">IF(C36="Y","Done",IF(AND(E36&lt;&gt;"",TODAY()&gt;E36),"OVERDUE","Pending"))</f>
        <v>Done</v>
      </c>
    </row>
    <row r="37" customFormat="false" ht="15" hidden="false" customHeight="true" outlineLevel="0" collapsed="false">
      <c r="A37" s="154" t="s">
        <v>607</v>
      </c>
      <c r="B37" s="196" t="s">
        <v>660</v>
      </c>
      <c r="C37" s="154"/>
      <c r="D37" s="154"/>
      <c r="E37" s="197" t="n">
        <f aca="false">IFERROR(INDEX(Journal!$A:$A,MATCH($A37,Journal!$B:$B,0)),"")</f>
        <v>46302</v>
      </c>
      <c r="F37" s="154" t="str">
        <f aca="true">IF(C37="Y","Done",IF(AND(E37&lt;&gt;"",TODAY()&gt;E37),"OVERDUE","Pending"))</f>
        <v>Pending</v>
      </c>
    </row>
    <row r="38" customFormat="false" ht="15" hidden="false" customHeight="true" outlineLevel="0" collapsed="false">
      <c r="A38" s="154" t="s">
        <v>607</v>
      </c>
      <c r="B38" s="196" t="s">
        <v>661</v>
      </c>
      <c r="C38" s="154"/>
      <c r="D38" s="154"/>
      <c r="E38" s="197" t="n">
        <f aca="false">IFERROR(INDEX(Journal!$A:$A,MATCH($A38,Journal!$B:$B,0)),"")</f>
        <v>46302</v>
      </c>
      <c r="F38" s="154" t="str">
        <f aca="true">IF(C38="Y","Done",IF(AND(E38&lt;&gt;"",TODAY()&gt;E38),"OVERDUE","Pending"))</f>
        <v>Pending</v>
      </c>
    </row>
    <row r="39" customFormat="false" ht="45.75" hidden="false" customHeight="true" outlineLevel="0" collapsed="false">
      <c r="A39" s="154" t="s">
        <v>607</v>
      </c>
      <c r="B39" s="196" t="s">
        <v>662</v>
      </c>
      <c r="C39" s="154"/>
      <c r="D39" s="154"/>
      <c r="E39" s="197" t="n">
        <f aca="false">IFERROR(INDEX(Journal!$A:$A,MATCH($A39,Journal!$B:$B,0)),"")</f>
        <v>46302</v>
      </c>
      <c r="F39" s="154" t="str">
        <f aca="true">IF(C39="Y","Done",IF(AND(E39&lt;&gt;"",TODAY()&gt;E39),"OVERDUE","Pending"))</f>
        <v>Pending</v>
      </c>
    </row>
    <row r="40" customFormat="false" ht="15" hidden="false" customHeight="true" outlineLevel="0" collapsed="false">
      <c r="A40" s="154" t="s">
        <v>607</v>
      </c>
      <c r="B40" s="196" t="s">
        <v>663</v>
      </c>
      <c r="C40" s="154"/>
      <c r="D40" s="154"/>
      <c r="E40" s="197" t="n">
        <f aca="false">IFERROR(INDEX(Journal!$A:$A,MATCH($A40,Journal!$B:$B,0)),"")</f>
        <v>46302</v>
      </c>
      <c r="F40" s="154" t="str">
        <f aca="true">IF(C40="Y","Done",IF(AND(E40&lt;&gt;"",TODAY()&gt;E40),"OVERDUE","Pending"))</f>
        <v>Pending</v>
      </c>
    </row>
    <row r="41" customFormat="false" ht="34.5" hidden="false" customHeight="true" outlineLevel="0" collapsed="false">
      <c r="A41" s="154" t="s">
        <v>607</v>
      </c>
      <c r="B41" s="196" t="s">
        <v>664</v>
      </c>
      <c r="C41" s="154"/>
      <c r="D41" s="154"/>
      <c r="E41" s="197" t="n">
        <f aca="false">IFERROR(INDEX(Journal!$A:$A,MATCH($A41,Journal!$B:$B,0)),"")</f>
        <v>46302</v>
      </c>
      <c r="F41" s="154" t="str">
        <f aca="true">IF(C41="Y","Done",IF(AND(E41&lt;&gt;"",TODAY()&gt;E41),"OVERDUE","Pending"))</f>
        <v>Pending</v>
      </c>
    </row>
    <row r="42" customFormat="false" ht="34.5" hidden="false" customHeight="true" outlineLevel="0" collapsed="false">
      <c r="A42" s="154" t="s">
        <v>607</v>
      </c>
      <c r="B42" s="196" t="s">
        <v>666</v>
      </c>
      <c r="C42" s="154"/>
      <c r="D42" s="154"/>
      <c r="E42" s="197" t="n">
        <f aca="false">IFERROR(INDEX(Journal!$A:$A,MATCH($A42,Journal!$B:$B,0)),"")</f>
        <v>46302</v>
      </c>
      <c r="F42" s="154" t="str">
        <f aca="true">IF(C42="Y","Done",IF(AND(E42&lt;&gt;"",TODAY()&gt;E42),"OVERDUE","Pending"))</f>
        <v>Pending</v>
      </c>
    </row>
    <row r="43" customFormat="false" ht="15" hidden="false" customHeight="true" outlineLevel="0" collapsed="false">
      <c r="A43" s="154" t="s">
        <v>607</v>
      </c>
      <c r="B43" s="196" t="s">
        <v>665</v>
      </c>
      <c r="C43" s="154"/>
      <c r="D43" s="154"/>
      <c r="E43" s="197" t="n">
        <f aca="false">IFERROR(INDEX(Journal!$A:$A,MATCH($A43,Journal!$B:$B,0)),"")</f>
        <v>46302</v>
      </c>
      <c r="F43" s="154" t="str">
        <f aca="true">IF(C43="Y","Done",IF(AND(E43&lt;&gt;"",TODAY()&gt;E43),"OVERDUE","Pending"))</f>
        <v>Pending</v>
      </c>
    </row>
    <row r="44" customFormat="false" ht="15" hidden="false" customHeight="true" outlineLevel="0" collapsed="false">
      <c r="A44" s="154" t="s">
        <v>607</v>
      </c>
      <c r="B44" s="196" t="s">
        <v>652</v>
      </c>
      <c r="C44" s="154"/>
      <c r="D44" s="154"/>
      <c r="E44" s="197" t="n">
        <f aca="false">IFERROR(INDEX(Journal!$A:$A,MATCH($A44,Journal!$B:$B,0)),"")</f>
        <v>46302</v>
      </c>
      <c r="F44" s="154" t="str">
        <f aca="true">IF(C44="Y","Done",IF(AND(E44&lt;&gt;"",TODAY()&gt;E44),"OVERDUE","Pending"))</f>
        <v>Pending</v>
      </c>
    </row>
    <row r="45" customFormat="false" ht="15" hidden="false" customHeight="true" outlineLevel="0" collapsed="false">
      <c r="A45" s="154" t="s">
        <v>607</v>
      </c>
      <c r="B45" s="196" t="s">
        <v>653</v>
      </c>
      <c r="C45" s="154"/>
      <c r="D45" s="154"/>
      <c r="E45" s="197" t="n">
        <f aca="false">IFERROR(INDEX(Journal!$A:$A,MATCH($A45,Journal!$B:$B,0)),"")</f>
        <v>46302</v>
      </c>
      <c r="F45" s="154" t="str">
        <f aca="true">IF(C45="Y","Done",IF(AND(E45&lt;&gt;"",TODAY()&gt;E45),"OVERDUE","Pending"))</f>
        <v>Pending</v>
      </c>
    </row>
    <row r="46" customFormat="false" ht="15" hidden="false" customHeight="true" outlineLevel="0" collapsed="false">
      <c r="A46" s="154" t="s">
        <v>607</v>
      </c>
      <c r="B46" s="196" t="s">
        <v>654</v>
      </c>
      <c r="C46" s="154"/>
      <c r="D46" s="154"/>
      <c r="E46" s="197" t="n">
        <f aca="false">IFERROR(INDEX(Journal!$A:$A,MATCH($A46,Journal!$B:$B,0)),"")</f>
        <v>46302</v>
      </c>
      <c r="F46" s="154" t="str">
        <f aca="true">IF(C46="Y","Done",IF(AND(E46&lt;&gt;"",TODAY()&gt;E46),"OVERDUE","Pending"))</f>
        <v>Pending</v>
      </c>
    </row>
    <row r="47" customFormat="false" ht="15" hidden="false" customHeight="true" outlineLevel="0" collapsed="false">
      <c r="A47" s="154" t="s">
        <v>609</v>
      </c>
      <c r="B47" s="196" t="s">
        <v>660</v>
      </c>
      <c r="C47" s="154"/>
      <c r="D47" s="154"/>
      <c r="E47" s="197" t="n">
        <f aca="false">IFERROR(INDEX(Journal!$A:$A,MATCH($A47,Journal!$B:$B,0)),"")</f>
        <v>46317</v>
      </c>
      <c r="F47" s="154" t="str">
        <f aca="true">IF(C47="Y","Done",IF(AND(E47&lt;&gt;"",TODAY()&gt;E47),"OVERDUE","Pending"))</f>
        <v>Pending</v>
      </c>
    </row>
    <row r="48" customFormat="false" ht="15" hidden="false" customHeight="true" outlineLevel="0" collapsed="false">
      <c r="A48" s="154" t="s">
        <v>609</v>
      </c>
      <c r="B48" s="196" t="s">
        <v>661</v>
      </c>
      <c r="C48" s="154"/>
      <c r="D48" s="154"/>
      <c r="E48" s="197" t="n">
        <f aca="false">IFERROR(INDEX(Journal!$A:$A,MATCH($A48,Journal!$B:$B,0)),"")</f>
        <v>46317</v>
      </c>
      <c r="F48" s="154" t="str">
        <f aca="true">IF(C48="Y","Done",IF(AND(E48&lt;&gt;"",TODAY()&gt;E48),"OVERDUE","Pending"))</f>
        <v>Pending</v>
      </c>
    </row>
    <row r="49" customFormat="false" ht="45.75" hidden="false" customHeight="true" outlineLevel="0" collapsed="false">
      <c r="A49" s="154" t="s">
        <v>609</v>
      </c>
      <c r="B49" s="196" t="s">
        <v>662</v>
      </c>
      <c r="C49" s="154"/>
      <c r="D49" s="154"/>
      <c r="E49" s="197" t="n">
        <f aca="false">IFERROR(INDEX(Journal!$A:$A,MATCH($A49,Journal!$B:$B,0)),"")</f>
        <v>46317</v>
      </c>
      <c r="F49" s="154" t="str">
        <f aca="true">IF(C49="Y","Done",IF(AND(E49&lt;&gt;"",TODAY()&gt;E49),"OVERDUE","Pending"))</f>
        <v>Pending</v>
      </c>
    </row>
    <row r="50" customFormat="false" ht="15" hidden="false" customHeight="true" outlineLevel="0" collapsed="false">
      <c r="A50" s="154" t="s">
        <v>609</v>
      </c>
      <c r="B50" s="196" t="s">
        <v>663</v>
      </c>
      <c r="C50" s="154"/>
      <c r="D50" s="154"/>
      <c r="E50" s="197" t="n">
        <f aca="false">IFERROR(INDEX(Journal!$A:$A,MATCH($A50,Journal!$B:$B,0)),"")</f>
        <v>46317</v>
      </c>
      <c r="F50" s="154" t="str">
        <f aca="true">IF(C50="Y","Done",IF(AND(E50&lt;&gt;"",TODAY()&gt;E50),"OVERDUE","Pending"))</f>
        <v>Pending</v>
      </c>
    </row>
    <row r="51" customFormat="false" ht="34.5" hidden="false" customHeight="true" outlineLevel="0" collapsed="false">
      <c r="A51" s="154" t="s">
        <v>609</v>
      </c>
      <c r="B51" s="196" t="s">
        <v>664</v>
      </c>
      <c r="C51" s="154"/>
      <c r="D51" s="154"/>
      <c r="E51" s="197" t="n">
        <f aca="false">IFERROR(INDEX(Journal!$A:$A,MATCH($A51,Journal!$B:$B,0)),"")</f>
        <v>46317</v>
      </c>
      <c r="F51" s="154" t="str">
        <f aca="true">IF(C51="Y","Done",IF(AND(E51&lt;&gt;"",TODAY()&gt;E51),"OVERDUE","Pending"))</f>
        <v>Pending</v>
      </c>
    </row>
    <row r="52" customFormat="false" ht="34.5" hidden="false" customHeight="true" outlineLevel="0" collapsed="false">
      <c r="A52" s="154" t="s">
        <v>609</v>
      </c>
      <c r="B52" s="196" t="s">
        <v>666</v>
      </c>
      <c r="C52" s="154"/>
      <c r="D52" s="154"/>
      <c r="E52" s="197" t="n">
        <f aca="false">IFERROR(INDEX(Journal!$A:$A,MATCH($A52,Journal!$B:$B,0)),"")</f>
        <v>46317</v>
      </c>
      <c r="F52" s="154" t="str">
        <f aca="true">IF(C52="Y","Done",IF(AND(E52&lt;&gt;"",TODAY()&gt;E52),"OVERDUE","Pending"))</f>
        <v>Pending</v>
      </c>
    </row>
    <row r="53" customFormat="false" ht="15" hidden="false" customHeight="true" outlineLevel="0" collapsed="false">
      <c r="A53" s="154" t="s">
        <v>609</v>
      </c>
      <c r="B53" s="196" t="s">
        <v>665</v>
      </c>
      <c r="C53" s="154"/>
      <c r="D53" s="154"/>
      <c r="E53" s="197" t="n">
        <f aca="false">IFERROR(INDEX(Journal!$A:$A,MATCH($A53,Journal!$B:$B,0)),"")</f>
        <v>46317</v>
      </c>
      <c r="F53" s="154" t="str">
        <f aca="true">IF(C53="Y","Done",IF(AND(E53&lt;&gt;"",TODAY()&gt;E53),"OVERDUE","Pending"))</f>
        <v>Pending</v>
      </c>
    </row>
    <row r="54" customFormat="false" ht="15" hidden="false" customHeight="true" outlineLevel="0" collapsed="false">
      <c r="A54" s="154" t="s">
        <v>609</v>
      </c>
      <c r="B54" s="196" t="s">
        <v>652</v>
      </c>
      <c r="C54" s="154"/>
      <c r="D54" s="154"/>
      <c r="E54" s="197" t="n">
        <f aca="false">IFERROR(INDEX(Journal!$A:$A,MATCH($A54,Journal!$B:$B,0)),"")</f>
        <v>46317</v>
      </c>
      <c r="F54" s="154" t="str">
        <f aca="true">IF(C54="Y","Done",IF(AND(E54&lt;&gt;"",TODAY()&gt;E54),"OVERDUE","Pending"))</f>
        <v>Pending</v>
      </c>
    </row>
    <row r="55" customFormat="false" ht="15" hidden="false" customHeight="true" outlineLevel="0" collapsed="false">
      <c r="A55" s="154" t="s">
        <v>609</v>
      </c>
      <c r="B55" s="196" t="s">
        <v>653</v>
      </c>
      <c r="C55" s="154"/>
      <c r="D55" s="154"/>
      <c r="E55" s="197" t="n">
        <f aca="false">IFERROR(INDEX(Journal!$A:$A,MATCH($A55,Journal!$B:$B,0)),"")</f>
        <v>46317</v>
      </c>
      <c r="F55" s="154" t="str">
        <f aca="true">IF(C55="Y","Done",IF(AND(E55&lt;&gt;"",TODAY()&gt;E55),"OVERDUE","Pending"))</f>
        <v>Pending</v>
      </c>
    </row>
    <row r="56" customFormat="false" ht="15" hidden="false" customHeight="true" outlineLevel="0" collapsed="false">
      <c r="A56" s="154" t="s">
        <v>609</v>
      </c>
      <c r="B56" s="196" t="s">
        <v>654</v>
      </c>
      <c r="C56" s="154"/>
      <c r="D56" s="154"/>
      <c r="E56" s="197" t="n">
        <f aca="false">IFERROR(INDEX(Journal!$A:$A,MATCH($A56,Journal!$B:$B,0)),"")</f>
        <v>46317</v>
      </c>
      <c r="F56" s="154" t="str">
        <f aca="true">IF(C56="Y","Done",IF(AND(E56&lt;&gt;"",TODAY()&gt;E56),"OVERDUE","Pending"))</f>
        <v>Pending</v>
      </c>
    </row>
    <row r="57" customFormat="false" ht="15" hidden="false" customHeight="true" outlineLevel="0" collapsed="false">
      <c r="A57" s="154" t="s">
        <v>611</v>
      </c>
      <c r="B57" s="196" t="s">
        <v>660</v>
      </c>
      <c r="C57" s="154"/>
      <c r="D57" s="154"/>
      <c r="E57" s="197" t="n">
        <f aca="false">IFERROR(INDEX(Journal!$A:$A,MATCH($A57,Journal!$B:$B,0)),"")</f>
        <v>46335</v>
      </c>
      <c r="F57" s="154" t="str">
        <f aca="true">IF(C57="Y","Done",IF(AND(E57&lt;&gt;"",TODAY()&gt;E57),"OVERDUE","Pending"))</f>
        <v>Pending</v>
      </c>
    </row>
    <row r="58" customFormat="false" ht="15" hidden="false" customHeight="true" outlineLevel="0" collapsed="false">
      <c r="A58" s="154" t="s">
        <v>611</v>
      </c>
      <c r="B58" s="196" t="s">
        <v>661</v>
      </c>
      <c r="C58" s="154"/>
      <c r="D58" s="154"/>
      <c r="E58" s="197" t="n">
        <f aca="false">IFERROR(INDEX(Journal!$A:$A,MATCH($A58,Journal!$B:$B,0)),"")</f>
        <v>46335</v>
      </c>
      <c r="F58" s="154" t="str">
        <f aca="true">IF(C58="Y","Done",IF(AND(E58&lt;&gt;"",TODAY()&gt;E58),"OVERDUE","Pending"))</f>
        <v>Pending</v>
      </c>
    </row>
    <row r="59" customFormat="false" ht="45.75" hidden="false" customHeight="true" outlineLevel="0" collapsed="false">
      <c r="A59" s="154" t="s">
        <v>611</v>
      </c>
      <c r="B59" s="196" t="s">
        <v>662</v>
      </c>
      <c r="C59" s="154"/>
      <c r="D59" s="154"/>
      <c r="E59" s="197" t="n">
        <f aca="false">IFERROR(INDEX(Journal!$A:$A,MATCH($A59,Journal!$B:$B,0)),"")</f>
        <v>46335</v>
      </c>
      <c r="F59" s="154" t="str">
        <f aca="true">IF(C59="Y","Done",IF(AND(E59&lt;&gt;"",TODAY()&gt;E59),"OVERDUE","Pending"))</f>
        <v>Pending</v>
      </c>
    </row>
    <row r="60" customFormat="false" ht="15" hidden="false" customHeight="true" outlineLevel="0" collapsed="false">
      <c r="A60" s="154" t="s">
        <v>611</v>
      </c>
      <c r="B60" s="196" t="s">
        <v>663</v>
      </c>
      <c r="C60" s="154"/>
      <c r="D60" s="154"/>
      <c r="E60" s="197" t="n">
        <f aca="false">IFERROR(INDEX(Journal!$A:$A,MATCH($A60,Journal!$B:$B,0)),"")</f>
        <v>46335</v>
      </c>
      <c r="F60" s="154" t="str">
        <f aca="true">IF(C60="Y","Done",IF(AND(E60&lt;&gt;"",TODAY()&gt;E60),"OVERDUE","Pending"))</f>
        <v>Pending</v>
      </c>
    </row>
    <row r="61" customFormat="false" ht="34.5" hidden="false" customHeight="true" outlineLevel="0" collapsed="false">
      <c r="A61" s="154" t="s">
        <v>611</v>
      </c>
      <c r="B61" s="196" t="s">
        <v>664</v>
      </c>
      <c r="C61" s="154"/>
      <c r="D61" s="154"/>
      <c r="E61" s="197" t="n">
        <f aca="false">IFERROR(INDEX(Journal!$A:$A,MATCH($A61,Journal!$B:$B,0)),"")</f>
        <v>46335</v>
      </c>
      <c r="F61" s="154" t="str">
        <f aca="true">IF(C61="Y","Done",IF(AND(E61&lt;&gt;"",TODAY()&gt;E61),"OVERDUE","Pending"))</f>
        <v>Pending</v>
      </c>
    </row>
    <row r="62" customFormat="false" ht="34.5" hidden="false" customHeight="true" outlineLevel="0" collapsed="false">
      <c r="A62" s="154" t="s">
        <v>611</v>
      </c>
      <c r="B62" s="196" t="s">
        <v>666</v>
      </c>
      <c r="C62" s="154"/>
      <c r="D62" s="154"/>
      <c r="E62" s="197" t="n">
        <f aca="false">IFERROR(INDEX(Journal!$A:$A,MATCH($A62,Journal!$B:$B,0)),"")</f>
        <v>46335</v>
      </c>
      <c r="F62" s="154" t="str">
        <f aca="true">IF(C62="Y","Done",IF(AND(E62&lt;&gt;"",TODAY()&gt;E62),"OVERDUE","Pending"))</f>
        <v>Pending</v>
      </c>
    </row>
    <row r="63" customFormat="false" ht="15" hidden="false" customHeight="true" outlineLevel="0" collapsed="false">
      <c r="A63" s="154" t="s">
        <v>611</v>
      </c>
      <c r="B63" s="196" t="s">
        <v>665</v>
      </c>
      <c r="C63" s="154"/>
      <c r="D63" s="154"/>
      <c r="E63" s="197" t="n">
        <f aca="false">IFERROR(INDEX(Journal!$A:$A,MATCH($A63,Journal!$B:$B,0)),"")</f>
        <v>46335</v>
      </c>
      <c r="F63" s="154" t="str">
        <f aca="true">IF(C63="Y","Done",IF(AND(E63&lt;&gt;"",TODAY()&gt;E63),"OVERDUE","Pending"))</f>
        <v>Pending</v>
      </c>
    </row>
    <row r="64" customFormat="false" ht="15" hidden="false" customHeight="true" outlineLevel="0" collapsed="false">
      <c r="A64" s="154" t="s">
        <v>611</v>
      </c>
      <c r="B64" s="196" t="s">
        <v>652</v>
      </c>
      <c r="C64" s="154"/>
      <c r="D64" s="154"/>
      <c r="E64" s="197" t="n">
        <f aca="false">IFERROR(INDEX(Journal!$A:$A,MATCH($A64,Journal!$B:$B,0)),"")</f>
        <v>46335</v>
      </c>
      <c r="F64" s="154" t="str">
        <f aca="true">IF(C64="Y","Done",IF(AND(E64&lt;&gt;"",TODAY()&gt;E64),"OVERDUE","Pending"))</f>
        <v>Pending</v>
      </c>
    </row>
    <row r="65" customFormat="false" ht="15" hidden="false" customHeight="true" outlineLevel="0" collapsed="false">
      <c r="A65" s="154" t="s">
        <v>611</v>
      </c>
      <c r="B65" s="196" t="s">
        <v>653</v>
      </c>
      <c r="C65" s="154"/>
      <c r="D65" s="154"/>
      <c r="E65" s="197" t="n">
        <f aca="false">IFERROR(INDEX(Journal!$A:$A,MATCH($A65,Journal!$B:$B,0)),"")</f>
        <v>46335</v>
      </c>
      <c r="F65" s="154" t="str">
        <f aca="true">IF(C65="Y","Done",IF(AND(E65&lt;&gt;"",TODAY()&gt;E65),"OVERDUE","Pending"))</f>
        <v>Pending</v>
      </c>
    </row>
    <row r="66" customFormat="false" ht="15" hidden="false" customHeight="true" outlineLevel="0" collapsed="false">
      <c r="A66" s="154" t="s">
        <v>611</v>
      </c>
      <c r="B66" s="196" t="s">
        <v>654</v>
      </c>
      <c r="C66" s="154"/>
      <c r="D66" s="154"/>
      <c r="E66" s="197" t="n">
        <f aca="false">IFERROR(INDEX(Journal!$A:$A,MATCH($A66,Journal!$B:$B,0)),"")</f>
        <v>46335</v>
      </c>
      <c r="F66" s="154" t="str">
        <f aca="true">IF(C66="Y","Done",IF(AND(E66&lt;&gt;"",TODAY()&gt;E66),"OVERDUE","Pending"))</f>
        <v>Pending</v>
      </c>
    </row>
    <row r="67" customFormat="false" ht="15" hidden="false" customHeight="true" outlineLevel="0" collapsed="false">
      <c r="A67" s="154" t="s">
        <v>613</v>
      </c>
      <c r="B67" s="196" t="s">
        <v>660</v>
      </c>
      <c r="C67" s="154"/>
      <c r="D67" s="154"/>
      <c r="E67" s="197" t="n">
        <f aca="false">IFERROR(INDEX(Journal!$A:$A,MATCH($A67,Journal!$B:$B,0)),"")</f>
        <v>46349</v>
      </c>
      <c r="F67" s="154" t="str">
        <f aca="true">IF(C67="Y","Done",IF(AND(E67&lt;&gt;"",TODAY()&gt;E67),"OVERDUE","Pending"))</f>
        <v>Pending</v>
      </c>
    </row>
    <row r="68" customFormat="false" ht="15" hidden="false" customHeight="true" outlineLevel="0" collapsed="false">
      <c r="A68" s="154" t="s">
        <v>613</v>
      </c>
      <c r="B68" s="196" t="s">
        <v>661</v>
      </c>
      <c r="C68" s="154"/>
      <c r="D68" s="154"/>
      <c r="E68" s="197" t="n">
        <f aca="false">IFERROR(INDEX(Journal!$A:$A,MATCH($A68,Journal!$B:$B,0)),"")</f>
        <v>46349</v>
      </c>
      <c r="F68" s="154" t="str">
        <f aca="true">IF(C68="Y","Done",IF(AND(E68&lt;&gt;"",TODAY()&gt;E68),"OVERDUE","Pending"))</f>
        <v>Pending</v>
      </c>
    </row>
    <row r="69" customFormat="false" ht="45.75" hidden="false" customHeight="true" outlineLevel="0" collapsed="false">
      <c r="A69" s="154" t="s">
        <v>613</v>
      </c>
      <c r="B69" s="196" t="s">
        <v>662</v>
      </c>
      <c r="C69" s="154"/>
      <c r="D69" s="154"/>
      <c r="E69" s="197" t="n">
        <f aca="false">IFERROR(INDEX(Journal!$A:$A,MATCH($A69,Journal!$B:$B,0)),"")</f>
        <v>46349</v>
      </c>
      <c r="F69" s="154" t="str">
        <f aca="true">IF(C69="Y","Done",IF(AND(E69&lt;&gt;"",TODAY()&gt;E69),"OVERDUE","Pending"))</f>
        <v>Pending</v>
      </c>
    </row>
    <row r="70" customFormat="false" ht="15" hidden="false" customHeight="true" outlineLevel="0" collapsed="false">
      <c r="A70" s="154" t="s">
        <v>613</v>
      </c>
      <c r="B70" s="196" t="s">
        <v>663</v>
      </c>
      <c r="C70" s="154"/>
      <c r="D70" s="154"/>
      <c r="E70" s="197" t="n">
        <f aca="false">IFERROR(INDEX(Journal!$A:$A,MATCH($A70,Journal!$B:$B,0)),"")</f>
        <v>46349</v>
      </c>
      <c r="F70" s="154" t="str">
        <f aca="true">IF(C70="Y","Done",IF(AND(E70&lt;&gt;"",TODAY()&gt;E70),"OVERDUE","Pending"))</f>
        <v>Pending</v>
      </c>
    </row>
    <row r="71" customFormat="false" ht="34.5" hidden="false" customHeight="true" outlineLevel="0" collapsed="false">
      <c r="A71" s="154" t="s">
        <v>613</v>
      </c>
      <c r="B71" s="196" t="s">
        <v>664</v>
      </c>
      <c r="C71" s="154"/>
      <c r="D71" s="154"/>
      <c r="E71" s="197" t="n">
        <f aca="false">IFERROR(INDEX(Journal!$A:$A,MATCH($A71,Journal!$B:$B,0)),"")</f>
        <v>46349</v>
      </c>
      <c r="F71" s="154" t="str">
        <f aca="true">IF(C71="Y","Done",IF(AND(E71&lt;&gt;"",TODAY()&gt;E71),"OVERDUE","Pending"))</f>
        <v>Pending</v>
      </c>
    </row>
    <row r="72" customFormat="false" ht="34.5" hidden="false" customHeight="true" outlineLevel="0" collapsed="false">
      <c r="A72" s="154" t="s">
        <v>613</v>
      </c>
      <c r="B72" s="196" t="s">
        <v>666</v>
      </c>
      <c r="C72" s="154"/>
      <c r="D72" s="154"/>
      <c r="E72" s="197" t="n">
        <f aca="false">IFERROR(INDEX(Journal!$A:$A,MATCH($A72,Journal!$B:$B,0)),"")</f>
        <v>46349</v>
      </c>
      <c r="F72" s="154" t="str">
        <f aca="true">IF(C72="Y","Done",IF(AND(E72&lt;&gt;"",TODAY()&gt;E72),"OVERDUE","Pending"))</f>
        <v>Pending</v>
      </c>
    </row>
    <row r="73" customFormat="false" ht="15" hidden="false" customHeight="true" outlineLevel="0" collapsed="false">
      <c r="A73" s="154" t="s">
        <v>613</v>
      </c>
      <c r="B73" s="196" t="s">
        <v>665</v>
      </c>
      <c r="C73" s="154"/>
      <c r="D73" s="154"/>
      <c r="E73" s="197" t="n">
        <f aca="false">IFERROR(INDEX(Journal!$A:$A,MATCH($A73,Journal!$B:$B,0)),"")</f>
        <v>46349</v>
      </c>
      <c r="F73" s="154" t="str">
        <f aca="true">IF(C73="Y","Done",IF(AND(E73&lt;&gt;"",TODAY()&gt;E73),"OVERDUE","Pending"))</f>
        <v>Pending</v>
      </c>
    </row>
    <row r="74" customFormat="false" ht="15" hidden="false" customHeight="true" outlineLevel="0" collapsed="false">
      <c r="A74" s="154" t="s">
        <v>613</v>
      </c>
      <c r="B74" s="196" t="s">
        <v>652</v>
      </c>
      <c r="C74" s="154"/>
      <c r="D74" s="154"/>
      <c r="E74" s="197" t="n">
        <f aca="false">IFERROR(INDEX(Journal!$A:$A,MATCH($A74,Journal!$B:$B,0)),"")</f>
        <v>46349</v>
      </c>
      <c r="F74" s="154" t="str">
        <f aca="true">IF(C74="Y","Done",IF(AND(E74&lt;&gt;"",TODAY()&gt;E74),"OVERDUE","Pending"))</f>
        <v>Pending</v>
      </c>
    </row>
    <row r="75" customFormat="false" ht="15" hidden="false" customHeight="true" outlineLevel="0" collapsed="false">
      <c r="A75" s="154" t="s">
        <v>613</v>
      </c>
      <c r="B75" s="196" t="s">
        <v>653</v>
      </c>
      <c r="C75" s="154"/>
      <c r="D75" s="154"/>
      <c r="E75" s="197" t="n">
        <f aca="false">IFERROR(INDEX(Journal!$A:$A,MATCH($A75,Journal!$B:$B,0)),"")</f>
        <v>46349</v>
      </c>
      <c r="F75" s="154" t="str">
        <f aca="true">IF(C75="Y","Done",IF(AND(E75&lt;&gt;"",TODAY()&gt;E75),"OVERDUE","Pending"))</f>
        <v>Pending</v>
      </c>
    </row>
    <row r="76" customFormat="false" ht="15" hidden="false" customHeight="true" outlineLevel="0" collapsed="false">
      <c r="A76" s="154" t="s">
        <v>613</v>
      </c>
      <c r="B76" s="196" t="s">
        <v>654</v>
      </c>
      <c r="C76" s="154"/>
      <c r="D76" s="154"/>
      <c r="E76" s="197" t="n">
        <f aca="false">IFERROR(INDEX(Journal!$A:$A,MATCH($A76,Journal!$B:$B,0)),"")</f>
        <v>46349</v>
      </c>
      <c r="F76" s="154" t="str">
        <f aca="true">IF(C76="Y","Done",IF(AND(E76&lt;&gt;"",TODAY()&gt;E76),"OVERDUE","Pending"))</f>
        <v>Pending</v>
      </c>
    </row>
    <row r="77" customFormat="false" ht="15" hidden="false" customHeight="true" outlineLevel="0" collapsed="false">
      <c r="A77" s="154" t="s">
        <v>615</v>
      </c>
      <c r="B77" s="196" t="s">
        <v>660</v>
      </c>
      <c r="C77" s="154"/>
      <c r="D77" s="154"/>
      <c r="E77" s="197" t="n">
        <f aca="false">IFERROR(INDEX(Journal!$A:$A,MATCH($A77,Journal!$B:$B,0)),"")</f>
        <v>46363</v>
      </c>
      <c r="F77" s="154" t="str">
        <f aca="true">IF(C77="Y","Done",IF(AND(E77&lt;&gt;"",TODAY()&gt;E77),"OVERDUE","Pending"))</f>
        <v>Pending</v>
      </c>
    </row>
    <row r="78" customFormat="false" ht="15" hidden="false" customHeight="true" outlineLevel="0" collapsed="false">
      <c r="A78" s="154" t="s">
        <v>615</v>
      </c>
      <c r="B78" s="196" t="s">
        <v>661</v>
      </c>
      <c r="C78" s="154"/>
      <c r="D78" s="154"/>
      <c r="E78" s="197" t="n">
        <f aca="false">IFERROR(INDEX(Journal!$A:$A,MATCH($A78,Journal!$B:$B,0)),"")</f>
        <v>46363</v>
      </c>
      <c r="F78" s="154" t="str">
        <f aca="true">IF(C78="Y","Done",IF(AND(E78&lt;&gt;"",TODAY()&gt;E78),"OVERDUE","Pending"))</f>
        <v>Pending</v>
      </c>
    </row>
    <row r="79" customFormat="false" ht="45.75" hidden="false" customHeight="true" outlineLevel="0" collapsed="false">
      <c r="A79" s="154" t="s">
        <v>615</v>
      </c>
      <c r="B79" s="196" t="s">
        <v>662</v>
      </c>
      <c r="C79" s="154"/>
      <c r="D79" s="154"/>
      <c r="E79" s="197" t="n">
        <f aca="false">IFERROR(INDEX(Journal!$A:$A,MATCH($A79,Journal!$B:$B,0)),"")</f>
        <v>46363</v>
      </c>
      <c r="F79" s="154" t="str">
        <f aca="true">IF(C79="Y","Done",IF(AND(E79&lt;&gt;"",TODAY()&gt;E79),"OVERDUE","Pending"))</f>
        <v>Pending</v>
      </c>
    </row>
    <row r="80" customFormat="false" ht="15" hidden="false" customHeight="true" outlineLevel="0" collapsed="false">
      <c r="A80" s="154" t="s">
        <v>615</v>
      </c>
      <c r="B80" s="196" t="s">
        <v>663</v>
      </c>
      <c r="C80" s="154"/>
      <c r="D80" s="154"/>
      <c r="E80" s="197" t="n">
        <f aca="false">IFERROR(INDEX(Journal!$A:$A,MATCH($A80,Journal!$B:$B,0)),"")</f>
        <v>46363</v>
      </c>
      <c r="F80" s="154" t="str">
        <f aca="true">IF(C80="Y","Done",IF(AND(E80&lt;&gt;"",TODAY()&gt;E80),"OVERDUE","Pending"))</f>
        <v>Pending</v>
      </c>
    </row>
    <row r="81" customFormat="false" ht="34.5" hidden="false" customHeight="true" outlineLevel="0" collapsed="false">
      <c r="A81" s="154" t="s">
        <v>615</v>
      </c>
      <c r="B81" s="196" t="s">
        <v>664</v>
      </c>
      <c r="C81" s="154"/>
      <c r="D81" s="154"/>
      <c r="E81" s="197" t="n">
        <f aca="false">IFERROR(INDEX(Journal!$A:$A,MATCH($A81,Journal!$B:$B,0)),"")</f>
        <v>46363</v>
      </c>
      <c r="F81" s="154" t="str">
        <f aca="true">IF(C81="Y","Done",IF(AND(E81&lt;&gt;"",TODAY()&gt;E81),"OVERDUE","Pending"))</f>
        <v>Pending</v>
      </c>
    </row>
    <row r="82" customFormat="false" ht="34.5" hidden="false" customHeight="true" outlineLevel="0" collapsed="false">
      <c r="A82" s="154" t="s">
        <v>615</v>
      </c>
      <c r="B82" s="196" t="s">
        <v>666</v>
      </c>
      <c r="C82" s="154"/>
      <c r="D82" s="154"/>
      <c r="E82" s="197" t="n">
        <f aca="false">IFERROR(INDEX(Journal!$A:$A,MATCH($A82,Journal!$B:$B,0)),"")</f>
        <v>46363</v>
      </c>
      <c r="F82" s="154" t="str">
        <f aca="true">IF(C82="Y","Done",IF(AND(E82&lt;&gt;"",TODAY()&gt;E82),"OVERDUE","Pending"))</f>
        <v>Pending</v>
      </c>
    </row>
    <row r="83" customFormat="false" ht="15" hidden="false" customHeight="true" outlineLevel="0" collapsed="false">
      <c r="A83" s="154" t="s">
        <v>615</v>
      </c>
      <c r="B83" s="196" t="s">
        <v>665</v>
      </c>
      <c r="C83" s="154"/>
      <c r="D83" s="154"/>
      <c r="E83" s="197" t="n">
        <f aca="false">IFERROR(INDEX(Journal!$A:$A,MATCH($A83,Journal!$B:$B,0)),"")</f>
        <v>46363</v>
      </c>
      <c r="F83" s="154" t="str">
        <f aca="true">IF(C83="Y","Done",IF(AND(E83&lt;&gt;"",TODAY()&gt;E83),"OVERDUE","Pending"))</f>
        <v>Pending</v>
      </c>
    </row>
    <row r="84" customFormat="false" ht="15" hidden="false" customHeight="true" outlineLevel="0" collapsed="false">
      <c r="A84" s="154" t="s">
        <v>615</v>
      </c>
      <c r="B84" s="196" t="s">
        <v>652</v>
      </c>
      <c r="C84" s="154"/>
      <c r="D84" s="154"/>
      <c r="E84" s="197" t="n">
        <f aca="false">IFERROR(INDEX(Journal!$A:$A,MATCH($A84,Journal!$B:$B,0)),"")</f>
        <v>46363</v>
      </c>
      <c r="F84" s="154" t="str">
        <f aca="true">IF(C84="Y","Done",IF(AND(E84&lt;&gt;"",TODAY()&gt;E84),"OVERDUE","Pending"))</f>
        <v>Pending</v>
      </c>
    </row>
    <row r="85" customFormat="false" ht="15" hidden="false" customHeight="true" outlineLevel="0" collapsed="false">
      <c r="A85" s="154" t="s">
        <v>615</v>
      </c>
      <c r="B85" s="196" t="s">
        <v>653</v>
      </c>
      <c r="C85" s="154"/>
      <c r="D85" s="154"/>
      <c r="E85" s="197" t="n">
        <f aca="false">IFERROR(INDEX(Journal!$A:$A,MATCH($A85,Journal!$B:$B,0)),"")</f>
        <v>46363</v>
      </c>
      <c r="F85" s="154" t="str">
        <f aca="true">IF(C85="Y","Done",IF(AND(E85&lt;&gt;"",TODAY()&gt;E85),"OVERDUE","Pending"))</f>
        <v>Pending</v>
      </c>
    </row>
    <row r="86" customFormat="false" ht="15" hidden="false" customHeight="true" outlineLevel="0" collapsed="false">
      <c r="A86" s="154" t="s">
        <v>615</v>
      </c>
      <c r="B86" s="196" t="s">
        <v>654</v>
      </c>
      <c r="C86" s="154"/>
      <c r="D86" s="154"/>
      <c r="E86" s="197" t="n">
        <f aca="false">IFERROR(INDEX(Journal!$A:$A,MATCH($A86,Journal!$B:$B,0)),"")</f>
        <v>46363</v>
      </c>
      <c r="F86" s="154" t="str">
        <f aca="true">IF(C86="Y","Done",IF(AND(E86&lt;&gt;"",TODAY()&gt;E86),"OVERDUE","Pending"))</f>
        <v>Pending</v>
      </c>
    </row>
    <row r="87" customFormat="false" ht="15" hidden="false" customHeight="true" outlineLevel="0" collapsed="false">
      <c r="A87" s="154" t="s">
        <v>616</v>
      </c>
      <c r="B87" s="196" t="s">
        <v>660</v>
      </c>
      <c r="C87" s="154"/>
      <c r="D87" s="154"/>
      <c r="E87" s="197" t="n">
        <f aca="false">IFERROR(INDEX(Journal!$A:$A,MATCH($A87,Journal!$B:$B,0)),"")</f>
        <v>46378</v>
      </c>
      <c r="F87" s="154" t="str">
        <f aca="true">IF(C87="Y","Done",IF(AND(E87&lt;&gt;"",TODAY()&gt;E87),"OVERDUE","Pending"))</f>
        <v>Pending</v>
      </c>
    </row>
    <row r="88" customFormat="false" ht="15" hidden="false" customHeight="true" outlineLevel="0" collapsed="false">
      <c r="A88" s="154" t="s">
        <v>616</v>
      </c>
      <c r="B88" s="196" t="s">
        <v>661</v>
      </c>
      <c r="C88" s="154"/>
      <c r="D88" s="154"/>
      <c r="E88" s="197" t="n">
        <f aca="false">IFERROR(INDEX(Journal!$A:$A,MATCH($A88,Journal!$B:$B,0)),"")</f>
        <v>46378</v>
      </c>
      <c r="F88" s="154" t="str">
        <f aca="true">IF(C88="Y","Done",IF(AND(E88&lt;&gt;"",TODAY()&gt;E88),"OVERDUE","Pending"))</f>
        <v>Pending</v>
      </c>
    </row>
    <row r="89" customFormat="false" ht="45.75" hidden="false" customHeight="true" outlineLevel="0" collapsed="false">
      <c r="A89" s="154" t="s">
        <v>616</v>
      </c>
      <c r="B89" s="196" t="s">
        <v>662</v>
      </c>
      <c r="C89" s="154"/>
      <c r="D89" s="154"/>
      <c r="E89" s="197" t="n">
        <f aca="false">IFERROR(INDEX(Journal!$A:$A,MATCH($A89,Journal!$B:$B,0)),"")</f>
        <v>46378</v>
      </c>
      <c r="F89" s="154" t="str">
        <f aca="true">IF(C89="Y","Done",IF(AND(E89&lt;&gt;"",TODAY()&gt;E89),"OVERDUE","Pending"))</f>
        <v>Pending</v>
      </c>
    </row>
    <row r="90" customFormat="false" ht="15" hidden="false" customHeight="true" outlineLevel="0" collapsed="false">
      <c r="A90" s="154" t="s">
        <v>616</v>
      </c>
      <c r="B90" s="196" t="s">
        <v>663</v>
      </c>
      <c r="C90" s="154"/>
      <c r="D90" s="154"/>
      <c r="E90" s="197" t="n">
        <f aca="false">IFERROR(INDEX(Journal!$A:$A,MATCH($A90,Journal!$B:$B,0)),"")</f>
        <v>46378</v>
      </c>
      <c r="F90" s="154" t="str">
        <f aca="true">IF(C90="Y","Done",IF(AND(E90&lt;&gt;"",TODAY()&gt;E90),"OVERDUE","Pending"))</f>
        <v>Pending</v>
      </c>
    </row>
    <row r="91" customFormat="false" ht="34.5" hidden="false" customHeight="true" outlineLevel="0" collapsed="false">
      <c r="A91" s="154" t="s">
        <v>616</v>
      </c>
      <c r="B91" s="196" t="s">
        <v>664</v>
      </c>
      <c r="C91" s="154"/>
      <c r="D91" s="154"/>
      <c r="E91" s="197" t="n">
        <f aca="false">IFERROR(INDEX(Journal!$A:$A,MATCH($A91,Journal!$B:$B,0)),"")</f>
        <v>46378</v>
      </c>
      <c r="F91" s="154" t="str">
        <f aca="true">IF(C91="Y","Done",IF(AND(E91&lt;&gt;"",TODAY()&gt;E91),"OVERDUE","Pending"))</f>
        <v>Pending</v>
      </c>
    </row>
    <row r="92" customFormat="false" ht="34.5" hidden="false" customHeight="true" outlineLevel="0" collapsed="false">
      <c r="A92" s="154" t="s">
        <v>616</v>
      </c>
      <c r="B92" s="196" t="s">
        <v>666</v>
      </c>
      <c r="C92" s="154"/>
      <c r="D92" s="154"/>
      <c r="E92" s="197" t="n">
        <f aca="false">IFERROR(INDEX(Journal!$A:$A,MATCH($A92,Journal!$B:$B,0)),"")</f>
        <v>46378</v>
      </c>
      <c r="F92" s="154" t="str">
        <f aca="true">IF(C92="Y","Done",IF(AND(E92&lt;&gt;"",TODAY()&gt;E92),"OVERDUE","Pending"))</f>
        <v>Pending</v>
      </c>
    </row>
    <row r="93" customFormat="false" ht="15" hidden="false" customHeight="true" outlineLevel="0" collapsed="false">
      <c r="A93" s="154" t="s">
        <v>616</v>
      </c>
      <c r="B93" s="196" t="s">
        <v>665</v>
      </c>
      <c r="C93" s="154"/>
      <c r="D93" s="154"/>
      <c r="E93" s="197" t="n">
        <f aca="false">IFERROR(INDEX(Journal!$A:$A,MATCH($A93,Journal!$B:$B,0)),"")</f>
        <v>46378</v>
      </c>
      <c r="F93" s="154" t="str">
        <f aca="true">IF(C93="Y","Done",IF(AND(E93&lt;&gt;"",TODAY()&gt;E93),"OVERDUE","Pending"))</f>
        <v>Pending</v>
      </c>
    </row>
    <row r="94" customFormat="false" ht="15" hidden="false" customHeight="true" outlineLevel="0" collapsed="false">
      <c r="A94" s="154" t="s">
        <v>616</v>
      </c>
      <c r="B94" s="196" t="s">
        <v>652</v>
      </c>
      <c r="C94" s="154"/>
      <c r="D94" s="154"/>
      <c r="E94" s="197" t="n">
        <f aca="false">IFERROR(INDEX(Journal!$A:$A,MATCH($A94,Journal!$B:$B,0)),"")</f>
        <v>46378</v>
      </c>
      <c r="F94" s="154" t="str">
        <f aca="true">IF(C94="Y","Done",IF(AND(E94&lt;&gt;"",TODAY()&gt;E94),"OVERDUE","Pending"))</f>
        <v>Pending</v>
      </c>
    </row>
    <row r="95" customFormat="false" ht="15" hidden="false" customHeight="true" outlineLevel="0" collapsed="false">
      <c r="A95" s="154" t="s">
        <v>616</v>
      </c>
      <c r="B95" s="196" t="s">
        <v>653</v>
      </c>
      <c r="C95" s="154"/>
      <c r="D95" s="154"/>
      <c r="E95" s="197" t="n">
        <f aca="false">IFERROR(INDEX(Journal!$A:$A,MATCH($A95,Journal!$B:$B,0)),"")</f>
        <v>46378</v>
      </c>
      <c r="F95" s="154" t="str">
        <f aca="true">IF(C95="Y","Done",IF(AND(E95&lt;&gt;"",TODAY()&gt;E95),"OVERDUE","Pending"))</f>
        <v>Pending</v>
      </c>
    </row>
    <row r="96" customFormat="false" ht="15" hidden="false" customHeight="true" outlineLevel="0" collapsed="false">
      <c r="A96" s="154" t="s">
        <v>616</v>
      </c>
      <c r="B96" s="196" t="s">
        <v>654</v>
      </c>
      <c r="C96" s="154"/>
      <c r="D96" s="154"/>
      <c r="E96" s="197" t="n">
        <f aca="false">IFERROR(INDEX(Journal!$A:$A,MATCH($A96,Journal!$B:$B,0)),"")</f>
        <v>46378</v>
      </c>
      <c r="F96" s="154" t="str">
        <f aca="true">IF(C96="Y","Done",IF(AND(E96&lt;&gt;"",TODAY()&gt;E96),"OVERDUE","Pending"))</f>
        <v>Pending</v>
      </c>
    </row>
    <row r="97" customFormat="false" ht="15" hidden="false" customHeight="true" outlineLevel="0" collapsed="false">
      <c r="A97" s="154" t="s">
        <v>617</v>
      </c>
      <c r="B97" s="196" t="s">
        <v>660</v>
      </c>
      <c r="C97" s="154"/>
      <c r="D97" s="154"/>
      <c r="E97" s="197" t="n">
        <f aca="false">IFERROR(INDEX(Journal!$A:$A,MATCH($A97,Journal!$B:$B,0)),"")</f>
        <v>46394</v>
      </c>
      <c r="F97" s="154" t="str">
        <f aca="true">IF(C97="Y","Done",IF(AND(E97&lt;&gt;"",TODAY()&gt;E97),"OVERDUE","Pending"))</f>
        <v>Pending</v>
      </c>
    </row>
    <row r="98" customFormat="false" ht="15" hidden="false" customHeight="true" outlineLevel="0" collapsed="false">
      <c r="A98" s="154" t="s">
        <v>617</v>
      </c>
      <c r="B98" s="196" t="s">
        <v>661</v>
      </c>
      <c r="C98" s="154"/>
      <c r="D98" s="154"/>
      <c r="E98" s="197" t="n">
        <f aca="false">IFERROR(INDEX(Journal!$A:$A,MATCH($A98,Journal!$B:$B,0)),"")</f>
        <v>46394</v>
      </c>
      <c r="F98" s="154" t="str">
        <f aca="true">IF(C98="Y","Done",IF(AND(E98&lt;&gt;"",TODAY()&gt;E98),"OVERDUE","Pending"))</f>
        <v>Pending</v>
      </c>
    </row>
    <row r="99" customFormat="false" ht="45.75" hidden="false" customHeight="true" outlineLevel="0" collapsed="false">
      <c r="A99" s="154" t="s">
        <v>617</v>
      </c>
      <c r="B99" s="196" t="s">
        <v>662</v>
      </c>
      <c r="C99" s="154"/>
      <c r="D99" s="154"/>
      <c r="E99" s="197" t="n">
        <f aca="false">IFERROR(INDEX(Journal!$A:$A,MATCH($A99,Journal!$B:$B,0)),"")</f>
        <v>46394</v>
      </c>
      <c r="F99" s="154" t="str">
        <f aca="true">IF(C99="Y","Done",IF(AND(E99&lt;&gt;"",TODAY()&gt;E99),"OVERDUE","Pending"))</f>
        <v>Pending</v>
      </c>
    </row>
    <row r="100" customFormat="false" ht="15" hidden="false" customHeight="true" outlineLevel="0" collapsed="false">
      <c r="A100" s="154" t="s">
        <v>617</v>
      </c>
      <c r="B100" s="196" t="s">
        <v>663</v>
      </c>
      <c r="C100" s="154"/>
      <c r="D100" s="154"/>
      <c r="E100" s="197" t="n">
        <f aca="false">IFERROR(INDEX(Journal!$A:$A,MATCH($A100,Journal!$B:$B,0)),"")</f>
        <v>46394</v>
      </c>
      <c r="F100" s="154" t="str">
        <f aca="true">IF(C100="Y","Done",IF(AND(E100&lt;&gt;"",TODAY()&gt;E100),"OVERDUE","Pending"))</f>
        <v>Pending</v>
      </c>
    </row>
    <row r="101" customFormat="false" ht="34.5" hidden="false" customHeight="true" outlineLevel="0" collapsed="false">
      <c r="A101" s="154" t="s">
        <v>617</v>
      </c>
      <c r="B101" s="196" t="s">
        <v>664</v>
      </c>
      <c r="C101" s="154"/>
      <c r="D101" s="154"/>
      <c r="E101" s="197" t="n">
        <f aca="false">IFERROR(INDEX(Journal!$A:$A,MATCH($A101,Journal!$B:$B,0)),"")</f>
        <v>46394</v>
      </c>
      <c r="F101" s="154" t="str">
        <f aca="true">IF(C101="Y","Done",IF(AND(E101&lt;&gt;"",TODAY()&gt;E101),"OVERDUE","Pending"))</f>
        <v>Pending</v>
      </c>
    </row>
    <row r="102" customFormat="false" ht="34.5" hidden="false" customHeight="true" outlineLevel="0" collapsed="false">
      <c r="A102" s="154" t="s">
        <v>617</v>
      </c>
      <c r="B102" s="196" t="s">
        <v>666</v>
      </c>
      <c r="C102" s="154"/>
      <c r="D102" s="154"/>
      <c r="E102" s="197" t="n">
        <f aca="false">IFERROR(INDEX(Journal!$A:$A,MATCH($A102,Journal!$B:$B,0)),"")</f>
        <v>46394</v>
      </c>
      <c r="F102" s="154" t="str">
        <f aca="true">IF(C102="Y","Done",IF(AND(E102&lt;&gt;"",TODAY()&gt;E102),"OVERDUE","Pending"))</f>
        <v>Pending</v>
      </c>
    </row>
    <row r="103" customFormat="false" ht="15" hidden="false" customHeight="true" outlineLevel="0" collapsed="false">
      <c r="A103" s="154" t="s">
        <v>617</v>
      </c>
      <c r="B103" s="196" t="s">
        <v>665</v>
      </c>
      <c r="C103" s="154"/>
      <c r="D103" s="154"/>
      <c r="E103" s="197" t="n">
        <f aca="false">IFERROR(INDEX(Journal!$A:$A,MATCH($A103,Journal!$B:$B,0)),"")</f>
        <v>46394</v>
      </c>
      <c r="F103" s="154" t="str">
        <f aca="true">IF(C103="Y","Done",IF(AND(E103&lt;&gt;"",TODAY()&gt;E103),"OVERDUE","Pending"))</f>
        <v>Pending</v>
      </c>
    </row>
    <row r="104" customFormat="false" ht="15" hidden="false" customHeight="true" outlineLevel="0" collapsed="false">
      <c r="A104" s="154" t="s">
        <v>617</v>
      </c>
      <c r="B104" s="196" t="s">
        <v>652</v>
      </c>
      <c r="C104" s="154"/>
      <c r="D104" s="154"/>
      <c r="E104" s="197" t="n">
        <f aca="false">IFERROR(INDEX(Journal!$A:$A,MATCH($A104,Journal!$B:$B,0)),"")</f>
        <v>46394</v>
      </c>
      <c r="F104" s="154" t="str">
        <f aca="true">IF(C104="Y","Done",IF(AND(E104&lt;&gt;"",TODAY()&gt;E104),"OVERDUE","Pending"))</f>
        <v>Pending</v>
      </c>
    </row>
    <row r="105" customFormat="false" ht="15" hidden="false" customHeight="true" outlineLevel="0" collapsed="false">
      <c r="A105" s="154" t="s">
        <v>617</v>
      </c>
      <c r="B105" s="196" t="s">
        <v>653</v>
      </c>
      <c r="C105" s="154"/>
      <c r="D105" s="154"/>
      <c r="E105" s="197" t="n">
        <f aca="false">IFERROR(INDEX(Journal!$A:$A,MATCH($A105,Journal!$B:$B,0)),"")</f>
        <v>46394</v>
      </c>
      <c r="F105" s="154" t="str">
        <f aca="true">IF(C105="Y","Done",IF(AND(E105&lt;&gt;"",TODAY()&gt;E105),"OVERDUE","Pending"))</f>
        <v>Pending</v>
      </c>
    </row>
    <row r="106" customFormat="false" ht="15" hidden="false" customHeight="true" outlineLevel="0" collapsed="false">
      <c r="A106" s="154" t="s">
        <v>617</v>
      </c>
      <c r="B106" s="196" t="s">
        <v>654</v>
      </c>
      <c r="C106" s="154"/>
      <c r="D106" s="154"/>
      <c r="E106" s="197" t="n">
        <f aca="false">IFERROR(INDEX(Journal!$A:$A,MATCH($A106,Journal!$B:$B,0)),"")</f>
        <v>46394</v>
      </c>
      <c r="F106" s="154" t="str">
        <f aca="true">IF(C106="Y","Done",IF(AND(E106&lt;&gt;"",TODAY()&gt;E106),"OVERDUE","Pending"))</f>
        <v>Pending</v>
      </c>
    </row>
  </sheetData>
  <mergeCells count="1">
    <mergeCell ref="A1:F1"/>
  </mergeCells>
  <conditionalFormatting sqref="F5:F106">
    <cfRule type="cellIs" priority="2" operator="equal" aboveAverage="0" equalAverage="0" bottom="0" percent="0" rank="0" text="" dxfId="26">
      <formula>"OVERDUE"</formula>
    </cfRule>
    <cfRule type="cellIs" priority="3" operator="equal" aboveAverage="0" equalAverage="0" bottom="0" percent="0" rank="0" text="" dxfId="21">
      <formula>"Done"</formula>
    </cfRule>
  </conditionalFormatting>
  <conditionalFormatting sqref="C2">
    <cfRule type="cellIs" priority="4" operator="greaterThan" aboveAverage="0" equalAverage="0" bottom="0" percent="0" rank="0" text="" dxfId="26">
      <formula>0</formula>
    </cfRule>
  </conditionalFormatting>
  <printOptions headings="false" gridLines="false" gridLinesSet="true" horizontalCentered="false" verticalCentered="false"/>
  <pageMargins left="0.25" right="0.25" top="0.3" bottom="0.4" header="0.511811023622047" footer="0.170138888888889"/>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8" activePane="bottomRight" state="frozen"/>
      <selection pane="topLeft" activeCell="A1" activeCellId="0" sqref="A1"/>
      <selection pane="topRight" activeCell="B1" activeCellId="0" sqref="B1"/>
      <selection pane="bottomLeft" activeCell="A8" activeCellId="0" sqref="A8"/>
      <selection pane="bottomRight" activeCell="B5" activeCellId="0" sqref="B5"/>
    </sheetView>
  </sheetViews>
  <sheetFormatPr defaultColWidth="8.66796875" defaultRowHeight="14.25" customHeight="false" zeroHeight="false" outlineLevelRow="0" outlineLevelCol="0"/>
  <cols>
    <col collapsed="false" customWidth="true" hidden="false" outlineLevel="0" max="1" min="1" style="1" width="5"/>
    <col collapsed="false" customWidth="true" hidden="false" outlineLevel="0" max="2" min="2" style="1" width="80"/>
    <col collapsed="false" customWidth="true" hidden="false" outlineLevel="0" max="3" min="3" style="1" width="9"/>
    <col collapsed="false" customWidth="true" hidden="false" outlineLevel="0" max="4" min="4" style="1" width="12"/>
    <col collapsed="false" customWidth="true" hidden="false" outlineLevel="0" max="5" min="5" style="23" width="13"/>
    <col collapsed="false" customWidth="true" hidden="false" outlineLevel="0" max="6" min="6" style="1" width="35"/>
  </cols>
  <sheetData>
    <row r="1" customFormat="false" ht="27" hidden="false" customHeight="true" outlineLevel="0" collapsed="false">
      <c r="A1" s="194" t="s">
        <v>667</v>
      </c>
      <c r="B1" s="194"/>
      <c r="C1" s="194"/>
      <c r="D1" s="194"/>
      <c r="E1" s="194"/>
      <c r="F1" s="194"/>
    </row>
    <row r="2" customFormat="false" ht="14.25" hidden="false" customHeight="true" outlineLevel="0" collapsed="false">
      <c r="A2" s="148" t="s">
        <v>668</v>
      </c>
      <c r="C2" s="195" t="n">
        <f aca="false">SUMPRODUCT(($A$5:$A$200&lt;&gt;"")*($C$5:$C$200&lt;&gt;"Y"))</f>
        <v>8</v>
      </c>
    </row>
    <row r="3" customFormat="false" ht="4.5" hidden="false" customHeight="true" outlineLevel="0" collapsed="false"/>
    <row r="4" customFormat="false" ht="27.75" hidden="false" customHeight="true" outlineLevel="0" collapsed="false">
      <c r="A4" s="150" t="s">
        <v>669</v>
      </c>
      <c r="B4" s="150" t="s">
        <v>670</v>
      </c>
      <c r="C4" s="150" t="s">
        <v>646</v>
      </c>
      <c r="D4" s="150" t="s">
        <v>671</v>
      </c>
      <c r="E4" s="150" t="s">
        <v>672</v>
      </c>
      <c r="F4" s="150" t="s">
        <v>209</v>
      </c>
    </row>
    <row r="5" customFormat="false" ht="34.5" hidden="false" customHeight="true" outlineLevel="0" collapsed="false">
      <c r="A5" s="199" t="n">
        <v>1</v>
      </c>
      <c r="B5" s="200" t="s">
        <v>673</v>
      </c>
      <c r="C5" s="199" t="s">
        <v>213</v>
      </c>
      <c r="D5" s="201" t="n">
        <v>46276</v>
      </c>
      <c r="E5" s="201" t="n">
        <v>46276</v>
      </c>
      <c r="F5" s="200" t="s">
        <v>674</v>
      </c>
    </row>
    <row r="6" customFormat="false" ht="34.5" hidden="false" customHeight="true" outlineLevel="0" collapsed="false">
      <c r="A6" s="199" t="n">
        <v>2</v>
      </c>
      <c r="B6" s="200" t="s">
        <v>675</v>
      </c>
      <c r="C6" s="199" t="s">
        <v>213</v>
      </c>
      <c r="D6" s="201" t="n">
        <v>46276</v>
      </c>
      <c r="E6" s="201" t="n">
        <v>46276</v>
      </c>
      <c r="F6" s="200" t="s">
        <v>676</v>
      </c>
    </row>
    <row r="7" customFormat="false" ht="23.25" hidden="false" customHeight="true" outlineLevel="0" collapsed="false">
      <c r="A7" s="199" t="n">
        <v>3</v>
      </c>
      <c r="B7" s="200" t="s">
        <v>677</v>
      </c>
      <c r="C7" s="199" t="s">
        <v>213</v>
      </c>
      <c r="D7" s="201" t="n">
        <v>46260</v>
      </c>
      <c r="E7" s="201" t="n">
        <v>46278</v>
      </c>
      <c r="F7" s="200" t="s">
        <v>678</v>
      </c>
    </row>
    <row r="8" customFormat="false" ht="23.25" hidden="false" customHeight="true" outlineLevel="0" collapsed="false">
      <c r="A8" s="199" t="n">
        <v>4</v>
      </c>
      <c r="B8" s="200" t="s">
        <v>679</v>
      </c>
      <c r="C8" s="199"/>
      <c r="D8" s="201" t="n">
        <v>46273</v>
      </c>
      <c r="E8" s="201"/>
      <c r="F8" s="200"/>
    </row>
    <row r="9" customFormat="false" ht="23.25" hidden="false" customHeight="true" outlineLevel="0" collapsed="false">
      <c r="A9" s="199" t="n">
        <v>5</v>
      </c>
      <c r="B9" s="200" t="s">
        <v>680</v>
      </c>
      <c r="C9" s="199"/>
      <c r="D9" s="201" t="n">
        <v>46273</v>
      </c>
      <c r="E9" s="201"/>
      <c r="F9" s="200"/>
    </row>
    <row r="10" customFormat="false" ht="23.25" hidden="false" customHeight="true" outlineLevel="0" collapsed="false">
      <c r="A10" s="199" t="n">
        <v>6</v>
      </c>
      <c r="B10" s="200" t="s">
        <v>681</v>
      </c>
      <c r="C10" s="199"/>
      <c r="D10" s="201" t="n">
        <v>46273</v>
      </c>
      <c r="E10" s="201"/>
      <c r="F10" s="200"/>
    </row>
    <row r="11" customFormat="false" ht="23.25" hidden="false" customHeight="true" outlineLevel="0" collapsed="false">
      <c r="A11" s="199" t="n">
        <v>7</v>
      </c>
      <c r="B11" s="200" t="s">
        <v>682</v>
      </c>
      <c r="C11" s="199" t="s">
        <v>213</v>
      </c>
      <c r="D11" s="201" t="n">
        <v>46258</v>
      </c>
      <c r="E11" s="201" t="n">
        <v>46278</v>
      </c>
      <c r="F11" s="200" t="s">
        <v>683</v>
      </c>
    </row>
    <row r="12" customFormat="false" ht="23.25" hidden="false" customHeight="true" outlineLevel="0" collapsed="false">
      <c r="A12" s="199" t="n">
        <v>8</v>
      </c>
      <c r="B12" s="200" t="s">
        <v>684</v>
      </c>
      <c r="C12" s="199"/>
      <c r="D12" s="201" t="n">
        <v>46252</v>
      </c>
      <c r="E12" s="201"/>
      <c r="F12" s="200"/>
    </row>
    <row r="13" customFormat="false" ht="34.5" hidden="false" customHeight="true" outlineLevel="0" collapsed="false">
      <c r="A13" s="199" t="n">
        <v>9</v>
      </c>
      <c r="B13" s="200" t="s">
        <v>685</v>
      </c>
      <c r="C13" s="199"/>
      <c r="D13" s="201" t="n">
        <v>46276</v>
      </c>
      <c r="E13" s="201"/>
      <c r="F13" s="200" t="s">
        <v>686</v>
      </c>
    </row>
    <row r="14" customFormat="false" ht="23.25" hidden="false" customHeight="true" outlineLevel="0" collapsed="false">
      <c r="A14" s="199" t="n">
        <v>10</v>
      </c>
      <c r="B14" s="200" t="s">
        <v>687</v>
      </c>
      <c r="C14" s="199"/>
      <c r="D14" s="201" t="n">
        <v>46260</v>
      </c>
      <c r="E14" s="201"/>
      <c r="F14" s="200"/>
    </row>
    <row r="15" customFormat="false" ht="45.75" hidden="false" customHeight="true" outlineLevel="0" collapsed="false">
      <c r="A15" s="199" t="n">
        <v>11</v>
      </c>
      <c r="B15" s="200" t="s">
        <v>688</v>
      </c>
      <c r="C15" s="199"/>
      <c r="D15" s="201" t="n">
        <v>46276</v>
      </c>
      <c r="E15" s="199"/>
      <c r="F15" s="200" t="s">
        <v>689</v>
      </c>
    </row>
    <row r="16" customFormat="false" ht="14.25" hidden="false" customHeight="true" outlineLevel="0" collapsed="false">
      <c r="A16" s="202" t="n">
        <v>12</v>
      </c>
      <c r="B16" s="200" t="s">
        <v>690</v>
      </c>
      <c r="C16" s="203" t="s">
        <v>213</v>
      </c>
      <c r="D16" s="204" t="n">
        <v>46278</v>
      </c>
      <c r="E16" s="205" t="n">
        <v>46278</v>
      </c>
      <c r="F16" s="203" t="s">
        <v>691</v>
      </c>
    </row>
    <row r="17" customFormat="false" ht="14.25" hidden="false" customHeight="true" outlineLevel="0" collapsed="false">
      <c r="A17" s="202" t="n">
        <v>13</v>
      </c>
      <c r="B17" s="200" t="s">
        <v>692</v>
      </c>
      <c r="C17" s="203"/>
      <c r="D17" s="204" t="n">
        <v>46294</v>
      </c>
      <c r="E17" s="206"/>
      <c r="F17" s="203"/>
    </row>
    <row r="18" customFormat="false" ht="14.25" hidden="false" customHeight="true" outlineLevel="0" collapsed="false">
      <c r="A18" s="203"/>
      <c r="B18" s="203"/>
      <c r="C18" s="203"/>
      <c r="D18" s="203"/>
      <c r="E18" s="206"/>
      <c r="F18" s="203"/>
    </row>
    <row r="19" customFormat="false" ht="14.25" hidden="false" customHeight="true" outlineLevel="0" collapsed="false">
      <c r="A19" s="203"/>
      <c r="B19" s="203"/>
      <c r="C19" s="203"/>
      <c r="D19" s="203"/>
      <c r="E19" s="206"/>
      <c r="F19" s="203"/>
    </row>
    <row r="20" customFormat="false" ht="14.25" hidden="false" customHeight="true" outlineLevel="0" collapsed="false">
      <c r="A20" s="203"/>
      <c r="B20" s="203"/>
      <c r="C20" s="203"/>
      <c r="D20" s="203"/>
      <c r="E20" s="206"/>
      <c r="F20" s="203"/>
    </row>
    <row r="21" customFormat="false" ht="14.25" hidden="false" customHeight="true" outlineLevel="0" collapsed="false">
      <c r="A21" s="203"/>
      <c r="B21" s="203"/>
      <c r="C21" s="203"/>
      <c r="D21" s="203"/>
      <c r="E21" s="206"/>
      <c r="F21" s="203"/>
    </row>
    <row r="22" customFormat="false" ht="14.25" hidden="false" customHeight="true" outlineLevel="0" collapsed="false">
      <c r="A22" s="203"/>
      <c r="B22" s="203"/>
      <c r="C22" s="203"/>
      <c r="D22" s="203"/>
      <c r="E22" s="206"/>
      <c r="F22" s="203"/>
    </row>
    <row r="23" customFormat="false" ht="14.25" hidden="false" customHeight="true" outlineLevel="0" collapsed="false">
      <c r="A23" s="203"/>
      <c r="B23" s="203"/>
      <c r="C23" s="203"/>
      <c r="D23" s="203"/>
      <c r="E23" s="206"/>
      <c r="F23" s="203"/>
    </row>
    <row r="24" customFormat="false" ht="14.25" hidden="false" customHeight="true" outlineLevel="0" collapsed="false">
      <c r="A24" s="203"/>
      <c r="B24" s="203"/>
      <c r="C24" s="203"/>
      <c r="D24" s="203"/>
      <c r="E24" s="206"/>
      <c r="F24" s="203"/>
    </row>
    <row r="25" customFormat="false" ht="14.25" hidden="false" customHeight="true" outlineLevel="0" collapsed="false">
      <c r="A25" s="203"/>
      <c r="B25" s="203"/>
      <c r="C25" s="203"/>
      <c r="D25" s="203"/>
      <c r="E25" s="206"/>
      <c r="F25" s="203"/>
    </row>
    <row r="26" customFormat="false" ht="14.25" hidden="false" customHeight="true" outlineLevel="0" collapsed="false">
      <c r="A26" s="203"/>
      <c r="B26" s="203"/>
      <c r="C26" s="203"/>
      <c r="D26" s="203"/>
      <c r="E26" s="206"/>
      <c r="F26" s="203"/>
    </row>
    <row r="27" customFormat="false" ht="14.25" hidden="false" customHeight="true" outlineLevel="0" collapsed="false">
      <c r="A27" s="203"/>
      <c r="B27" s="203"/>
      <c r="C27" s="203"/>
      <c r="D27" s="203"/>
      <c r="E27" s="206"/>
      <c r="F27" s="203"/>
    </row>
    <row r="28" customFormat="false" ht="14.25" hidden="false" customHeight="true" outlineLevel="0" collapsed="false">
      <c r="A28" s="203"/>
      <c r="B28" s="203"/>
      <c r="C28" s="203"/>
      <c r="D28" s="203"/>
      <c r="E28" s="206"/>
      <c r="F28" s="203"/>
    </row>
    <row r="29" customFormat="false" ht="14.25" hidden="false" customHeight="true" outlineLevel="0" collapsed="false">
      <c r="A29" s="203"/>
      <c r="B29" s="203"/>
      <c r="C29" s="203"/>
      <c r="D29" s="203"/>
      <c r="E29" s="206"/>
      <c r="F29" s="203"/>
    </row>
    <row r="30" customFormat="false" ht="14.25" hidden="false" customHeight="true" outlineLevel="0" collapsed="false">
      <c r="A30" s="203"/>
      <c r="B30" s="203"/>
      <c r="C30" s="203"/>
      <c r="D30" s="203"/>
      <c r="E30" s="206"/>
      <c r="F30" s="203"/>
    </row>
    <row r="31" customFormat="false" ht="14.25" hidden="false" customHeight="true" outlineLevel="0" collapsed="false">
      <c r="A31" s="203"/>
      <c r="B31" s="203"/>
      <c r="C31" s="203"/>
      <c r="D31" s="203"/>
      <c r="E31" s="206"/>
      <c r="F31" s="203"/>
    </row>
    <row r="32" customFormat="false" ht="14.25" hidden="false" customHeight="true" outlineLevel="0" collapsed="false">
      <c r="A32" s="203"/>
      <c r="B32" s="203"/>
      <c r="C32" s="203"/>
      <c r="D32" s="203"/>
      <c r="E32" s="206"/>
      <c r="F32" s="203"/>
    </row>
    <row r="33" customFormat="false" ht="14.25" hidden="false" customHeight="true" outlineLevel="0" collapsed="false">
      <c r="A33" s="203"/>
      <c r="B33" s="203"/>
      <c r="C33" s="203"/>
      <c r="D33" s="203"/>
      <c r="E33" s="206"/>
      <c r="F33" s="203"/>
    </row>
    <row r="34" customFormat="false" ht="14.25" hidden="false" customHeight="true" outlineLevel="0" collapsed="false">
      <c r="A34" s="203"/>
      <c r="B34" s="203"/>
      <c r="C34" s="203"/>
      <c r="D34" s="203"/>
      <c r="E34" s="206"/>
      <c r="F34" s="203"/>
    </row>
    <row r="35" customFormat="false" ht="14.25" hidden="false" customHeight="true" outlineLevel="0" collapsed="false">
      <c r="A35" s="203"/>
      <c r="B35" s="203"/>
      <c r="C35" s="203"/>
      <c r="D35" s="203"/>
      <c r="E35" s="206"/>
      <c r="F35" s="203"/>
    </row>
    <row r="36" customFormat="false" ht="14.25" hidden="false" customHeight="true" outlineLevel="0" collapsed="false">
      <c r="A36" s="203"/>
      <c r="B36" s="203"/>
      <c r="C36" s="203"/>
      <c r="D36" s="203"/>
      <c r="E36" s="206"/>
      <c r="F36" s="203"/>
    </row>
    <row r="37" customFormat="false" ht="14.25" hidden="false" customHeight="true" outlineLevel="0" collapsed="false">
      <c r="A37" s="203"/>
      <c r="B37" s="203"/>
      <c r="C37" s="203"/>
      <c r="D37" s="203"/>
      <c r="E37" s="206"/>
      <c r="F37" s="203"/>
    </row>
    <row r="38" customFormat="false" ht="14.25" hidden="false" customHeight="true" outlineLevel="0" collapsed="false">
      <c r="A38" s="203"/>
      <c r="B38" s="203"/>
      <c r="C38" s="203"/>
      <c r="D38" s="203"/>
      <c r="E38" s="206"/>
      <c r="F38" s="203"/>
    </row>
    <row r="39" customFormat="false" ht="14.25" hidden="false" customHeight="true" outlineLevel="0" collapsed="false">
      <c r="A39" s="203"/>
      <c r="B39" s="203"/>
      <c r="C39" s="203"/>
      <c r="D39" s="203"/>
      <c r="E39" s="206"/>
      <c r="F39" s="203"/>
    </row>
    <row r="40" customFormat="false" ht="14.25" hidden="false" customHeight="true" outlineLevel="0" collapsed="false">
      <c r="A40" s="203"/>
      <c r="B40" s="203"/>
      <c r="C40" s="203"/>
      <c r="D40" s="203"/>
      <c r="E40" s="206"/>
      <c r="F40" s="203"/>
    </row>
    <row r="41" customFormat="false" ht="14.25" hidden="false" customHeight="true" outlineLevel="0" collapsed="false">
      <c r="A41" s="203"/>
      <c r="B41" s="203"/>
      <c r="C41" s="203"/>
      <c r="D41" s="203"/>
      <c r="E41" s="206"/>
      <c r="F41" s="203"/>
    </row>
    <row r="42" customFormat="false" ht="14.25" hidden="false" customHeight="true" outlineLevel="0" collapsed="false">
      <c r="A42" s="203"/>
      <c r="B42" s="203"/>
      <c r="C42" s="203"/>
      <c r="D42" s="203"/>
      <c r="E42" s="206"/>
      <c r="F42" s="203"/>
    </row>
    <row r="43" customFormat="false" ht="14.25" hidden="false" customHeight="true" outlineLevel="0" collapsed="false">
      <c r="A43" s="203"/>
      <c r="B43" s="203"/>
      <c r="C43" s="203"/>
      <c r="D43" s="203"/>
      <c r="E43" s="206"/>
      <c r="F43" s="203"/>
    </row>
    <row r="44" customFormat="false" ht="14.25" hidden="false" customHeight="true" outlineLevel="0" collapsed="false">
      <c r="A44" s="203"/>
      <c r="B44" s="203"/>
      <c r="C44" s="203"/>
      <c r="D44" s="203"/>
      <c r="E44" s="206"/>
      <c r="F44" s="203"/>
    </row>
    <row r="45" customFormat="false" ht="14.25" hidden="false" customHeight="true" outlineLevel="0" collapsed="false">
      <c r="A45" s="203"/>
      <c r="B45" s="203"/>
      <c r="C45" s="203"/>
      <c r="D45" s="203"/>
      <c r="E45" s="206"/>
      <c r="F45" s="203"/>
    </row>
    <row r="46" customFormat="false" ht="14.25" hidden="false" customHeight="true" outlineLevel="0" collapsed="false">
      <c r="A46" s="203"/>
      <c r="B46" s="203"/>
      <c r="C46" s="203"/>
      <c r="D46" s="203"/>
      <c r="E46" s="206"/>
      <c r="F46" s="203"/>
    </row>
    <row r="47" customFormat="false" ht="14.25" hidden="false" customHeight="true" outlineLevel="0" collapsed="false">
      <c r="A47" s="203"/>
      <c r="B47" s="203"/>
      <c r="C47" s="203"/>
      <c r="D47" s="203"/>
      <c r="E47" s="206"/>
      <c r="F47" s="203"/>
    </row>
    <row r="48" customFormat="false" ht="14.25" hidden="false" customHeight="true" outlineLevel="0" collapsed="false">
      <c r="A48" s="203"/>
      <c r="B48" s="203"/>
      <c r="C48" s="203"/>
      <c r="D48" s="203"/>
      <c r="E48" s="206"/>
      <c r="F48" s="203"/>
    </row>
    <row r="49" customFormat="false" ht="14.25" hidden="false" customHeight="true" outlineLevel="0" collapsed="false">
      <c r="A49" s="203"/>
      <c r="B49" s="203"/>
      <c r="C49" s="203"/>
      <c r="D49" s="203"/>
      <c r="E49" s="206"/>
      <c r="F49" s="203"/>
    </row>
    <row r="50" customFormat="false" ht="14.25" hidden="false" customHeight="true" outlineLevel="0" collapsed="false">
      <c r="A50" s="203"/>
      <c r="B50" s="203"/>
      <c r="C50" s="203"/>
      <c r="D50" s="203"/>
      <c r="E50" s="206"/>
      <c r="F50" s="203"/>
    </row>
    <row r="51" customFormat="false" ht="14.25" hidden="false" customHeight="true" outlineLevel="0" collapsed="false">
      <c r="A51" s="203"/>
      <c r="B51" s="203"/>
      <c r="C51" s="203"/>
      <c r="D51" s="203"/>
      <c r="E51" s="206"/>
      <c r="F51" s="203"/>
    </row>
    <row r="52" customFormat="false" ht="14.25" hidden="false" customHeight="true" outlineLevel="0" collapsed="false">
      <c r="A52" s="203"/>
      <c r="B52" s="203"/>
      <c r="C52" s="203"/>
      <c r="D52" s="203"/>
      <c r="E52" s="206"/>
      <c r="F52" s="203"/>
    </row>
    <row r="53" customFormat="false" ht="14.25" hidden="false" customHeight="true" outlineLevel="0" collapsed="false">
      <c r="A53" s="203"/>
      <c r="B53" s="203"/>
      <c r="C53" s="203"/>
      <c r="D53" s="203"/>
      <c r="E53" s="206"/>
      <c r="F53" s="203"/>
    </row>
    <row r="54" customFormat="false" ht="14.25" hidden="false" customHeight="true" outlineLevel="0" collapsed="false">
      <c r="A54" s="203"/>
      <c r="B54" s="203"/>
      <c r="C54" s="203"/>
      <c r="D54" s="203"/>
      <c r="E54" s="206"/>
      <c r="F54" s="203"/>
    </row>
    <row r="55" customFormat="false" ht="14.25" hidden="false" customHeight="true" outlineLevel="0" collapsed="false">
      <c r="A55" s="203"/>
      <c r="B55" s="203"/>
      <c r="C55" s="203"/>
      <c r="D55" s="203"/>
      <c r="E55" s="206"/>
      <c r="F55" s="203"/>
    </row>
    <row r="56" customFormat="false" ht="14.25" hidden="false" customHeight="true" outlineLevel="0" collapsed="false">
      <c r="A56" s="203"/>
      <c r="B56" s="203"/>
      <c r="C56" s="203"/>
      <c r="D56" s="203"/>
      <c r="E56" s="206"/>
      <c r="F56" s="203"/>
    </row>
    <row r="57" customFormat="false" ht="14.25" hidden="false" customHeight="true" outlineLevel="0" collapsed="false">
      <c r="A57" s="203"/>
      <c r="B57" s="203"/>
      <c r="C57" s="203"/>
      <c r="D57" s="203"/>
      <c r="E57" s="206"/>
      <c r="F57" s="203"/>
    </row>
    <row r="58" customFormat="false" ht="14.25" hidden="false" customHeight="true" outlineLevel="0" collapsed="false">
      <c r="A58" s="203"/>
      <c r="B58" s="203"/>
      <c r="C58" s="203"/>
      <c r="D58" s="203"/>
      <c r="E58" s="206"/>
      <c r="F58" s="203"/>
    </row>
    <row r="59" customFormat="false" ht="14.25" hidden="false" customHeight="true" outlineLevel="0" collapsed="false">
      <c r="A59" s="203"/>
      <c r="B59" s="203"/>
      <c r="C59" s="203"/>
      <c r="D59" s="203"/>
      <c r="E59" s="206"/>
      <c r="F59" s="203"/>
    </row>
    <row r="60" customFormat="false" ht="14.25" hidden="false" customHeight="true" outlineLevel="0" collapsed="false">
      <c r="A60" s="203"/>
      <c r="B60" s="203"/>
      <c r="C60" s="203"/>
      <c r="D60" s="203"/>
      <c r="E60" s="206"/>
      <c r="F60" s="203"/>
    </row>
    <row r="61" customFormat="false" ht="14.25" hidden="false" customHeight="true" outlineLevel="0" collapsed="false">
      <c r="A61" s="203"/>
      <c r="B61" s="203"/>
      <c r="C61" s="203"/>
      <c r="D61" s="203"/>
      <c r="E61" s="206"/>
      <c r="F61" s="203"/>
    </row>
    <row r="62" customFormat="false" ht="14.25" hidden="false" customHeight="true" outlineLevel="0" collapsed="false">
      <c r="A62" s="203"/>
      <c r="B62" s="203"/>
      <c r="C62" s="203"/>
      <c r="D62" s="203"/>
      <c r="E62" s="206"/>
      <c r="F62" s="203"/>
    </row>
    <row r="63" customFormat="false" ht="14.25" hidden="false" customHeight="true" outlineLevel="0" collapsed="false">
      <c r="A63" s="203"/>
      <c r="B63" s="203"/>
      <c r="C63" s="203"/>
      <c r="D63" s="203"/>
      <c r="E63" s="206"/>
      <c r="F63" s="203"/>
    </row>
    <row r="64" customFormat="false" ht="14.25" hidden="false" customHeight="true" outlineLevel="0" collapsed="false">
      <c r="A64" s="203"/>
      <c r="B64" s="203"/>
      <c r="C64" s="203"/>
      <c r="D64" s="203"/>
      <c r="E64" s="206"/>
      <c r="F64" s="203"/>
    </row>
    <row r="65" customFormat="false" ht="14.25" hidden="false" customHeight="true" outlineLevel="0" collapsed="false">
      <c r="A65" s="203"/>
      <c r="B65" s="203"/>
      <c r="C65" s="203"/>
      <c r="D65" s="203"/>
      <c r="E65" s="206"/>
      <c r="F65" s="203"/>
    </row>
    <row r="66" customFormat="false" ht="14.25" hidden="false" customHeight="true" outlineLevel="0" collapsed="false">
      <c r="A66" s="203"/>
      <c r="B66" s="203"/>
      <c r="C66" s="203"/>
      <c r="D66" s="203"/>
      <c r="E66" s="206"/>
      <c r="F66" s="203"/>
    </row>
    <row r="67" customFormat="false" ht="14.25" hidden="false" customHeight="true" outlineLevel="0" collapsed="false">
      <c r="A67" s="203"/>
      <c r="B67" s="203"/>
      <c r="C67" s="203"/>
      <c r="D67" s="203"/>
      <c r="E67" s="206"/>
      <c r="F67" s="203"/>
    </row>
    <row r="68" customFormat="false" ht="14.25" hidden="false" customHeight="true" outlineLevel="0" collapsed="false">
      <c r="A68" s="203"/>
      <c r="B68" s="203"/>
      <c r="C68" s="203"/>
      <c r="D68" s="203"/>
      <c r="E68" s="206"/>
      <c r="F68" s="203"/>
    </row>
    <row r="69" customFormat="false" ht="14.25" hidden="false" customHeight="true" outlineLevel="0" collapsed="false">
      <c r="A69" s="203"/>
      <c r="B69" s="203"/>
      <c r="C69" s="203"/>
      <c r="D69" s="203"/>
      <c r="E69" s="206"/>
      <c r="F69" s="203"/>
    </row>
    <row r="70" customFormat="false" ht="14.25" hidden="false" customHeight="true" outlineLevel="0" collapsed="false">
      <c r="A70" s="203"/>
      <c r="B70" s="203"/>
      <c r="C70" s="203"/>
      <c r="D70" s="203"/>
      <c r="E70" s="206"/>
      <c r="F70" s="203"/>
    </row>
    <row r="71" customFormat="false" ht="14.25" hidden="false" customHeight="true" outlineLevel="0" collapsed="false">
      <c r="A71" s="203"/>
      <c r="B71" s="203"/>
      <c r="C71" s="203"/>
      <c r="D71" s="203"/>
      <c r="E71" s="206"/>
      <c r="F71" s="203"/>
    </row>
    <row r="72" customFormat="false" ht="14.25" hidden="false" customHeight="true" outlineLevel="0" collapsed="false">
      <c r="A72" s="203"/>
      <c r="B72" s="203"/>
      <c r="C72" s="203"/>
      <c r="D72" s="203"/>
      <c r="E72" s="206"/>
      <c r="F72" s="203"/>
    </row>
    <row r="73" customFormat="false" ht="14.25" hidden="false" customHeight="true" outlineLevel="0" collapsed="false">
      <c r="A73" s="203"/>
      <c r="B73" s="203"/>
      <c r="C73" s="203"/>
      <c r="D73" s="203"/>
      <c r="E73" s="206"/>
      <c r="F73" s="203"/>
    </row>
    <row r="74" customFormat="false" ht="14.25" hidden="false" customHeight="true" outlineLevel="0" collapsed="false">
      <c r="A74" s="203"/>
      <c r="B74" s="203"/>
      <c r="C74" s="203"/>
      <c r="D74" s="203"/>
      <c r="E74" s="206"/>
      <c r="F74" s="203"/>
    </row>
    <row r="75" customFormat="false" ht="14.25" hidden="false" customHeight="true" outlineLevel="0" collapsed="false">
      <c r="A75" s="203"/>
      <c r="B75" s="203"/>
      <c r="C75" s="203"/>
      <c r="D75" s="203"/>
      <c r="E75" s="206"/>
      <c r="F75" s="203"/>
    </row>
    <row r="76" customFormat="false" ht="14.25" hidden="false" customHeight="true" outlineLevel="0" collapsed="false">
      <c r="A76" s="203"/>
      <c r="B76" s="203"/>
      <c r="C76" s="203"/>
      <c r="D76" s="203"/>
      <c r="E76" s="206"/>
      <c r="F76" s="203"/>
    </row>
    <row r="77" customFormat="false" ht="14.25" hidden="false" customHeight="true" outlineLevel="0" collapsed="false">
      <c r="A77" s="203"/>
      <c r="B77" s="203"/>
      <c r="C77" s="203"/>
      <c r="D77" s="203"/>
      <c r="E77" s="206"/>
      <c r="F77" s="203"/>
    </row>
    <row r="78" customFormat="false" ht="14.25" hidden="false" customHeight="true" outlineLevel="0" collapsed="false">
      <c r="A78" s="203"/>
      <c r="B78" s="203"/>
      <c r="C78" s="203"/>
      <c r="D78" s="203"/>
      <c r="E78" s="206"/>
      <c r="F78" s="203"/>
    </row>
    <row r="79" customFormat="false" ht="14.25" hidden="false" customHeight="true" outlineLevel="0" collapsed="false">
      <c r="A79" s="203"/>
      <c r="B79" s="203"/>
      <c r="C79" s="203"/>
      <c r="D79" s="203"/>
      <c r="E79" s="206"/>
      <c r="F79" s="203"/>
    </row>
    <row r="80" customFormat="false" ht="14.25" hidden="false" customHeight="true" outlineLevel="0" collapsed="false">
      <c r="A80" s="203"/>
      <c r="B80" s="203"/>
      <c r="C80" s="203"/>
      <c r="D80" s="203"/>
      <c r="E80" s="206"/>
      <c r="F80" s="203"/>
    </row>
    <row r="81" customFormat="false" ht="14.25" hidden="false" customHeight="true" outlineLevel="0" collapsed="false">
      <c r="A81" s="203"/>
      <c r="B81" s="203"/>
      <c r="C81" s="203"/>
      <c r="D81" s="203"/>
      <c r="E81" s="206"/>
      <c r="F81" s="203"/>
    </row>
    <row r="82" customFormat="false" ht="14.25" hidden="false" customHeight="true" outlineLevel="0" collapsed="false">
      <c r="A82" s="203"/>
      <c r="B82" s="203"/>
      <c r="C82" s="203"/>
      <c r="D82" s="203"/>
      <c r="E82" s="206"/>
      <c r="F82" s="203"/>
    </row>
    <row r="83" customFormat="false" ht="14.25" hidden="false" customHeight="true" outlineLevel="0" collapsed="false">
      <c r="A83" s="203"/>
      <c r="B83" s="203"/>
      <c r="C83" s="203"/>
      <c r="D83" s="203"/>
      <c r="E83" s="206"/>
      <c r="F83" s="203"/>
    </row>
    <row r="84" customFormat="false" ht="14.25" hidden="false" customHeight="true" outlineLevel="0" collapsed="false">
      <c r="A84" s="203"/>
      <c r="B84" s="203"/>
      <c r="C84" s="203"/>
      <c r="D84" s="203"/>
      <c r="E84" s="206"/>
      <c r="F84" s="203"/>
    </row>
    <row r="85" customFormat="false" ht="14.25" hidden="false" customHeight="true" outlineLevel="0" collapsed="false">
      <c r="A85" s="203"/>
      <c r="B85" s="203"/>
      <c r="C85" s="203"/>
      <c r="D85" s="203"/>
      <c r="E85" s="206"/>
      <c r="F85" s="203"/>
    </row>
    <row r="86" customFormat="false" ht="14.25" hidden="false" customHeight="true" outlineLevel="0" collapsed="false">
      <c r="A86" s="203"/>
      <c r="B86" s="203"/>
      <c r="C86" s="203"/>
      <c r="D86" s="203"/>
      <c r="E86" s="206"/>
      <c r="F86" s="203"/>
    </row>
    <row r="87" customFormat="false" ht="14.25" hidden="false" customHeight="true" outlineLevel="0" collapsed="false">
      <c r="A87" s="203"/>
      <c r="B87" s="203"/>
      <c r="C87" s="203"/>
      <c r="D87" s="203"/>
      <c r="E87" s="206"/>
      <c r="F87" s="203"/>
    </row>
    <row r="88" customFormat="false" ht="14.25" hidden="false" customHeight="true" outlineLevel="0" collapsed="false">
      <c r="A88" s="203"/>
      <c r="B88" s="203"/>
      <c r="C88" s="203"/>
      <c r="D88" s="203"/>
      <c r="E88" s="206"/>
      <c r="F88" s="203"/>
    </row>
    <row r="89" customFormat="false" ht="14.25" hidden="false" customHeight="true" outlineLevel="0" collapsed="false">
      <c r="A89" s="203"/>
      <c r="B89" s="203"/>
      <c r="C89" s="203"/>
      <c r="D89" s="203"/>
      <c r="E89" s="206"/>
      <c r="F89" s="203"/>
    </row>
    <row r="90" customFormat="false" ht="14.25" hidden="false" customHeight="true" outlineLevel="0" collapsed="false">
      <c r="A90" s="203"/>
      <c r="B90" s="203"/>
      <c r="C90" s="203"/>
      <c r="D90" s="203"/>
      <c r="E90" s="206"/>
      <c r="F90" s="203"/>
    </row>
    <row r="91" customFormat="false" ht="14.25" hidden="false" customHeight="true" outlineLevel="0" collapsed="false">
      <c r="A91" s="203"/>
      <c r="B91" s="203"/>
      <c r="C91" s="203"/>
      <c r="D91" s="203"/>
      <c r="E91" s="206"/>
      <c r="F91" s="203"/>
    </row>
    <row r="92" customFormat="false" ht="14.25" hidden="false" customHeight="true" outlineLevel="0" collapsed="false">
      <c r="A92" s="203"/>
      <c r="B92" s="203"/>
      <c r="C92" s="203"/>
      <c r="D92" s="203"/>
      <c r="E92" s="206"/>
      <c r="F92" s="203"/>
    </row>
    <row r="93" customFormat="false" ht="14.25" hidden="false" customHeight="true" outlineLevel="0" collapsed="false">
      <c r="A93" s="203"/>
      <c r="B93" s="203"/>
      <c r="C93" s="203"/>
      <c r="D93" s="203"/>
      <c r="E93" s="206"/>
      <c r="F93" s="203"/>
    </row>
    <row r="94" customFormat="false" ht="14.25" hidden="false" customHeight="true" outlineLevel="0" collapsed="false">
      <c r="A94" s="203"/>
      <c r="B94" s="203"/>
      <c r="C94" s="203"/>
      <c r="D94" s="203"/>
      <c r="E94" s="206"/>
      <c r="F94" s="203"/>
    </row>
    <row r="95" customFormat="false" ht="14.25" hidden="false" customHeight="true" outlineLevel="0" collapsed="false">
      <c r="A95" s="203"/>
      <c r="B95" s="203"/>
      <c r="C95" s="203"/>
      <c r="D95" s="203"/>
      <c r="E95" s="206"/>
      <c r="F95" s="203"/>
    </row>
    <row r="96" customFormat="false" ht="14.25" hidden="false" customHeight="true" outlineLevel="0" collapsed="false">
      <c r="A96" s="203"/>
      <c r="B96" s="203"/>
      <c r="C96" s="203"/>
      <c r="D96" s="203"/>
      <c r="E96" s="206"/>
      <c r="F96" s="203"/>
    </row>
    <row r="97" customFormat="false" ht="14.25" hidden="false" customHeight="true" outlineLevel="0" collapsed="false">
      <c r="A97" s="203"/>
      <c r="B97" s="203"/>
      <c r="C97" s="203"/>
      <c r="D97" s="203"/>
      <c r="E97" s="206"/>
      <c r="F97" s="203"/>
    </row>
    <row r="98" customFormat="false" ht="14.25" hidden="false" customHeight="true" outlineLevel="0" collapsed="false">
      <c r="A98" s="203"/>
      <c r="B98" s="203"/>
      <c r="C98" s="203"/>
      <c r="D98" s="203"/>
      <c r="E98" s="206"/>
      <c r="F98" s="203"/>
    </row>
    <row r="99" customFormat="false" ht="14.25" hidden="false" customHeight="true" outlineLevel="0" collapsed="false">
      <c r="A99" s="203"/>
      <c r="B99" s="203"/>
      <c r="C99" s="203"/>
      <c r="D99" s="203"/>
      <c r="E99" s="206"/>
      <c r="F99" s="203"/>
    </row>
    <row r="100" customFormat="false" ht="14.25" hidden="false" customHeight="true" outlineLevel="0" collapsed="false">
      <c r="A100" s="203"/>
      <c r="B100" s="203"/>
      <c r="C100" s="203"/>
      <c r="D100" s="203"/>
      <c r="E100" s="206"/>
      <c r="F100" s="203"/>
    </row>
    <row r="101" customFormat="false" ht="14.25" hidden="false" customHeight="true" outlineLevel="0" collapsed="false">
      <c r="A101" s="203"/>
      <c r="B101" s="203"/>
      <c r="C101" s="203"/>
      <c r="D101" s="203"/>
      <c r="E101" s="206"/>
      <c r="F101" s="203"/>
    </row>
    <row r="102" customFormat="false" ht="14.25" hidden="false" customHeight="true" outlineLevel="0" collapsed="false">
      <c r="A102" s="203"/>
      <c r="B102" s="203"/>
      <c r="C102" s="203"/>
      <c r="D102" s="203"/>
      <c r="E102" s="206"/>
      <c r="F102" s="203"/>
    </row>
    <row r="103" customFormat="false" ht="14.25" hidden="false" customHeight="true" outlineLevel="0" collapsed="false">
      <c r="A103" s="203"/>
      <c r="B103" s="203"/>
      <c r="C103" s="203"/>
      <c r="D103" s="203"/>
      <c r="E103" s="206"/>
      <c r="F103" s="203"/>
    </row>
    <row r="104" customFormat="false" ht="14.25" hidden="false" customHeight="true" outlineLevel="0" collapsed="false">
      <c r="A104" s="203"/>
      <c r="B104" s="203"/>
      <c r="C104" s="203"/>
      <c r="D104" s="203"/>
      <c r="E104" s="206"/>
      <c r="F104" s="203"/>
    </row>
    <row r="105" customFormat="false" ht="14.25" hidden="false" customHeight="true" outlineLevel="0" collapsed="false">
      <c r="A105" s="203"/>
      <c r="B105" s="203"/>
      <c r="C105" s="203"/>
      <c r="D105" s="203"/>
      <c r="E105" s="206"/>
      <c r="F105" s="203"/>
    </row>
    <row r="106" customFormat="false" ht="14.25" hidden="false" customHeight="true" outlineLevel="0" collapsed="false">
      <c r="A106" s="203"/>
      <c r="B106" s="203"/>
      <c r="C106" s="203"/>
      <c r="D106" s="203"/>
      <c r="E106" s="206"/>
      <c r="F106" s="203"/>
    </row>
    <row r="107" customFormat="false" ht="14.25" hidden="false" customHeight="true" outlineLevel="0" collapsed="false">
      <c r="A107" s="203"/>
      <c r="B107" s="203"/>
      <c r="C107" s="203"/>
      <c r="D107" s="203"/>
      <c r="E107" s="206"/>
      <c r="F107" s="203"/>
    </row>
    <row r="108" customFormat="false" ht="14.25" hidden="false" customHeight="true" outlineLevel="0" collapsed="false">
      <c r="A108" s="203"/>
      <c r="B108" s="203"/>
      <c r="C108" s="203"/>
      <c r="D108" s="203"/>
      <c r="E108" s="206"/>
      <c r="F108" s="203"/>
    </row>
    <row r="109" customFormat="false" ht="14.25" hidden="false" customHeight="true" outlineLevel="0" collapsed="false">
      <c r="A109" s="203"/>
      <c r="B109" s="203"/>
      <c r="C109" s="203"/>
      <c r="D109" s="203"/>
      <c r="E109" s="206"/>
      <c r="F109" s="203"/>
    </row>
    <row r="110" customFormat="false" ht="14.25" hidden="false" customHeight="true" outlineLevel="0" collapsed="false">
      <c r="A110" s="203"/>
      <c r="B110" s="203"/>
      <c r="C110" s="203"/>
      <c r="D110" s="203"/>
      <c r="E110" s="206"/>
      <c r="F110" s="203"/>
    </row>
    <row r="111" customFormat="false" ht="14.25" hidden="false" customHeight="true" outlineLevel="0" collapsed="false">
      <c r="A111" s="203"/>
      <c r="B111" s="203"/>
      <c r="C111" s="203"/>
      <c r="D111" s="203"/>
      <c r="E111" s="206"/>
      <c r="F111" s="203"/>
    </row>
    <row r="112" customFormat="false" ht="14.25" hidden="false" customHeight="true" outlineLevel="0" collapsed="false">
      <c r="A112" s="203"/>
      <c r="B112" s="203"/>
      <c r="C112" s="203"/>
      <c r="D112" s="203"/>
      <c r="E112" s="206"/>
      <c r="F112" s="203"/>
    </row>
    <row r="113" customFormat="false" ht="14.25" hidden="false" customHeight="true" outlineLevel="0" collapsed="false">
      <c r="A113" s="203"/>
      <c r="B113" s="203"/>
      <c r="C113" s="203"/>
      <c r="D113" s="203"/>
      <c r="E113" s="206"/>
      <c r="F113" s="203"/>
    </row>
    <row r="114" customFormat="false" ht="14.25" hidden="false" customHeight="true" outlineLevel="0" collapsed="false">
      <c r="A114" s="203"/>
      <c r="B114" s="203"/>
      <c r="C114" s="203"/>
      <c r="D114" s="203"/>
      <c r="E114" s="206"/>
      <c r="F114" s="203"/>
    </row>
    <row r="115" customFormat="false" ht="14.25" hidden="false" customHeight="true" outlineLevel="0" collapsed="false">
      <c r="A115" s="203"/>
      <c r="B115" s="203"/>
      <c r="C115" s="203"/>
      <c r="D115" s="203"/>
      <c r="E115" s="206"/>
      <c r="F115" s="203"/>
    </row>
    <row r="116" customFormat="false" ht="14.25" hidden="false" customHeight="true" outlineLevel="0" collapsed="false">
      <c r="A116" s="203"/>
      <c r="B116" s="203"/>
      <c r="C116" s="203"/>
      <c r="D116" s="203"/>
      <c r="E116" s="206"/>
      <c r="F116" s="203"/>
    </row>
    <row r="117" customFormat="false" ht="14.25" hidden="false" customHeight="true" outlineLevel="0" collapsed="false">
      <c r="A117" s="203"/>
      <c r="B117" s="203"/>
      <c r="C117" s="203"/>
      <c r="D117" s="203"/>
      <c r="E117" s="206"/>
      <c r="F117" s="203"/>
    </row>
    <row r="118" customFormat="false" ht="14.25" hidden="false" customHeight="true" outlineLevel="0" collapsed="false">
      <c r="A118" s="203"/>
      <c r="B118" s="203"/>
      <c r="C118" s="203"/>
      <c r="D118" s="203"/>
      <c r="E118" s="206"/>
      <c r="F118" s="203"/>
    </row>
    <row r="119" customFormat="false" ht="14.25" hidden="false" customHeight="true" outlineLevel="0" collapsed="false">
      <c r="A119" s="203"/>
      <c r="B119" s="203"/>
      <c r="C119" s="203"/>
      <c r="D119" s="203"/>
      <c r="E119" s="206"/>
      <c r="F119" s="203"/>
    </row>
    <row r="120" customFormat="false" ht="14.25" hidden="false" customHeight="true" outlineLevel="0" collapsed="false">
      <c r="A120" s="203"/>
      <c r="B120" s="203"/>
      <c r="C120" s="203"/>
      <c r="D120" s="203"/>
      <c r="E120" s="206"/>
      <c r="F120" s="203"/>
    </row>
    <row r="121" customFormat="false" ht="14.25" hidden="false" customHeight="true" outlineLevel="0" collapsed="false">
      <c r="A121" s="203"/>
      <c r="B121" s="203"/>
      <c r="C121" s="203"/>
      <c r="D121" s="203"/>
      <c r="E121" s="206"/>
      <c r="F121" s="203"/>
    </row>
    <row r="122" customFormat="false" ht="14.25" hidden="false" customHeight="true" outlineLevel="0" collapsed="false">
      <c r="A122" s="203"/>
      <c r="B122" s="203"/>
      <c r="C122" s="203"/>
      <c r="D122" s="203"/>
      <c r="E122" s="206"/>
      <c r="F122" s="203"/>
    </row>
    <row r="123" customFormat="false" ht="14.25" hidden="false" customHeight="true" outlineLevel="0" collapsed="false">
      <c r="A123" s="203"/>
      <c r="B123" s="203"/>
      <c r="C123" s="203"/>
      <c r="D123" s="203"/>
      <c r="E123" s="206"/>
      <c r="F123" s="203"/>
    </row>
    <row r="124" customFormat="false" ht="14.25" hidden="false" customHeight="true" outlineLevel="0" collapsed="false">
      <c r="A124" s="203"/>
      <c r="B124" s="203"/>
      <c r="C124" s="203"/>
      <c r="D124" s="203"/>
      <c r="E124" s="206"/>
      <c r="F124" s="203"/>
    </row>
    <row r="125" customFormat="false" ht="14.25" hidden="false" customHeight="true" outlineLevel="0" collapsed="false">
      <c r="A125" s="203"/>
      <c r="B125" s="203"/>
      <c r="C125" s="203"/>
      <c r="D125" s="203"/>
      <c r="E125" s="206"/>
      <c r="F125" s="203"/>
    </row>
    <row r="126" customFormat="false" ht="14.25" hidden="false" customHeight="true" outlineLevel="0" collapsed="false">
      <c r="A126" s="203"/>
      <c r="B126" s="203"/>
      <c r="C126" s="203"/>
      <c r="D126" s="203"/>
      <c r="E126" s="206"/>
      <c r="F126" s="203"/>
    </row>
    <row r="127" customFormat="false" ht="14.25" hidden="false" customHeight="true" outlineLevel="0" collapsed="false">
      <c r="A127" s="203"/>
      <c r="B127" s="203"/>
      <c r="C127" s="203"/>
      <c r="D127" s="203"/>
      <c r="E127" s="206"/>
      <c r="F127" s="203"/>
    </row>
    <row r="128" customFormat="false" ht="14.25" hidden="false" customHeight="true" outlineLevel="0" collapsed="false">
      <c r="A128" s="203"/>
      <c r="B128" s="203"/>
      <c r="C128" s="203"/>
      <c r="D128" s="203"/>
      <c r="E128" s="206"/>
      <c r="F128" s="203"/>
    </row>
    <row r="129" customFormat="false" ht="14.25" hidden="false" customHeight="true" outlineLevel="0" collapsed="false">
      <c r="A129" s="203"/>
      <c r="B129" s="203"/>
      <c r="C129" s="203"/>
      <c r="D129" s="203"/>
      <c r="E129" s="206"/>
      <c r="F129" s="203"/>
    </row>
    <row r="130" customFormat="false" ht="14.25" hidden="false" customHeight="true" outlineLevel="0" collapsed="false">
      <c r="A130" s="203"/>
      <c r="B130" s="203"/>
      <c r="C130" s="203"/>
      <c r="D130" s="203"/>
      <c r="E130" s="206"/>
      <c r="F130" s="203"/>
    </row>
    <row r="131" customFormat="false" ht="14.25" hidden="false" customHeight="true" outlineLevel="0" collapsed="false">
      <c r="A131" s="203"/>
      <c r="B131" s="203"/>
      <c r="C131" s="203"/>
      <c r="D131" s="203"/>
      <c r="E131" s="206"/>
      <c r="F131" s="203"/>
    </row>
    <row r="132" customFormat="false" ht="14.25" hidden="false" customHeight="true" outlineLevel="0" collapsed="false">
      <c r="A132" s="203"/>
      <c r="B132" s="203"/>
      <c r="C132" s="203"/>
      <c r="D132" s="203"/>
      <c r="E132" s="206"/>
      <c r="F132" s="203"/>
    </row>
    <row r="133" customFormat="false" ht="14.25" hidden="false" customHeight="true" outlineLevel="0" collapsed="false">
      <c r="A133" s="203"/>
      <c r="B133" s="203"/>
      <c r="C133" s="203"/>
      <c r="D133" s="203"/>
      <c r="E133" s="206"/>
      <c r="F133" s="203"/>
    </row>
    <row r="134" customFormat="false" ht="14.25" hidden="false" customHeight="true" outlineLevel="0" collapsed="false">
      <c r="A134" s="203"/>
      <c r="B134" s="203"/>
      <c r="C134" s="203"/>
      <c r="D134" s="203"/>
      <c r="E134" s="206"/>
      <c r="F134" s="203"/>
    </row>
    <row r="135" customFormat="false" ht="14.25" hidden="false" customHeight="true" outlineLevel="0" collapsed="false">
      <c r="A135" s="203"/>
      <c r="B135" s="203"/>
      <c r="C135" s="203"/>
      <c r="D135" s="203"/>
      <c r="E135" s="206"/>
      <c r="F135" s="203"/>
    </row>
    <row r="136" customFormat="false" ht="14.25" hidden="false" customHeight="true" outlineLevel="0" collapsed="false">
      <c r="A136" s="203"/>
      <c r="B136" s="203"/>
      <c r="C136" s="203"/>
      <c r="D136" s="203"/>
      <c r="E136" s="206"/>
      <c r="F136" s="203"/>
    </row>
    <row r="137" customFormat="false" ht="14.25" hidden="false" customHeight="true" outlineLevel="0" collapsed="false">
      <c r="A137" s="203"/>
      <c r="B137" s="203"/>
      <c r="C137" s="203"/>
      <c r="D137" s="203"/>
      <c r="E137" s="206"/>
      <c r="F137" s="203"/>
    </row>
    <row r="138" customFormat="false" ht="14.25" hidden="false" customHeight="true" outlineLevel="0" collapsed="false">
      <c r="A138" s="203"/>
      <c r="B138" s="203"/>
      <c r="C138" s="203"/>
      <c r="D138" s="203"/>
      <c r="E138" s="206"/>
      <c r="F138" s="203"/>
    </row>
    <row r="139" customFormat="false" ht="14.25" hidden="false" customHeight="true" outlineLevel="0" collapsed="false">
      <c r="A139" s="203"/>
      <c r="B139" s="203"/>
      <c r="C139" s="203"/>
      <c r="D139" s="203"/>
      <c r="E139" s="206"/>
      <c r="F139" s="203"/>
    </row>
    <row r="140" customFormat="false" ht="14.25" hidden="false" customHeight="true" outlineLevel="0" collapsed="false">
      <c r="A140" s="203"/>
      <c r="B140" s="203"/>
      <c r="C140" s="203"/>
      <c r="D140" s="203"/>
      <c r="E140" s="206"/>
      <c r="F140" s="203"/>
    </row>
    <row r="141" customFormat="false" ht="14.25" hidden="false" customHeight="true" outlineLevel="0" collapsed="false">
      <c r="A141" s="203"/>
      <c r="B141" s="203"/>
      <c r="C141" s="203"/>
      <c r="D141" s="203"/>
      <c r="E141" s="206"/>
      <c r="F141" s="203"/>
    </row>
    <row r="142" customFormat="false" ht="14.25" hidden="false" customHeight="true" outlineLevel="0" collapsed="false">
      <c r="A142" s="203"/>
      <c r="B142" s="203"/>
      <c r="C142" s="203"/>
      <c r="D142" s="203"/>
      <c r="E142" s="206"/>
      <c r="F142" s="203"/>
    </row>
    <row r="143" customFormat="false" ht="14.25" hidden="false" customHeight="true" outlineLevel="0" collapsed="false">
      <c r="A143" s="203"/>
      <c r="B143" s="203"/>
      <c r="C143" s="203"/>
      <c r="D143" s="203"/>
      <c r="E143" s="206"/>
      <c r="F143" s="203"/>
    </row>
    <row r="144" customFormat="false" ht="14.25" hidden="false" customHeight="true" outlineLevel="0" collapsed="false">
      <c r="A144" s="203"/>
      <c r="B144" s="203"/>
      <c r="C144" s="203"/>
      <c r="D144" s="203"/>
      <c r="E144" s="206"/>
      <c r="F144" s="203"/>
    </row>
    <row r="145" customFormat="false" ht="14.25" hidden="false" customHeight="true" outlineLevel="0" collapsed="false">
      <c r="A145" s="203"/>
      <c r="B145" s="203"/>
      <c r="C145" s="203"/>
      <c r="D145" s="203"/>
      <c r="E145" s="206"/>
      <c r="F145" s="203"/>
    </row>
    <row r="146" customFormat="false" ht="14.25" hidden="false" customHeight="true" outlineLevel="0" collapsed="false">
      <c r="A146" s="203"/>
      <c r="B146" s="203"/>
      <c r="C146" s="203"/>
      <c r="D146" s="203"/>
      <c r="E146" s="206"/>
      <c r="F146" s="203"/>
    </row>
    <row r="147" customFormat="false" ht="14.25" hidden="false" customHeight="true" outlineLevel="0" collapsed="false">
      <c r="A147" s="203"/>
      <c r="B147" s="203"/>
      <c r="C147" s="203"/>
      <c r="D147" s="203"/>
      <c r="E147" s="206"/>
      <c r="F147" s="203"/>
    </row>
    <row r="148" customFormat="false" ht="14.25" hidden="false" customHeight="true" outlineLevel="0" collapsed="false">
      <c r="A148" s="203"/>
      <c r="B148" s="203"/>
      <c r="C148" s="203"/>
      <c r="D148" s="203"/>
      <c r="E148" s="206"/>
      <c r="F148" s="203"/>
    </row>
    <row r="149" customFormat="false" ht="14.25" hidden="false" customHeight="true" outlineLevel="0" collapsed="false">
      <c r="A149" s="203"/>
      <c r="B149" s="203"/>
      <c r="C149" s="203"/>
      <c r="D149" s="203"/>
      <c r="E149" s="206"/>
      <c r="F149" s="203"/>
    </row>
    <row r="150" customFormat="false" ht="14.25" hidden="false" customHeight="true" outlineLevel="0" collapsed="false">
      <c r="A150" s="203"/>
      <c r="B150" s="203"/>
      <c r="C150" s="203"/>
      <c r="D150" s="203"/>
      <c r="E150" s="206"/>
      <c r="F150" s="203"/>
    </row>
    <row r="151" customFormat="false" ht="14.25" hidden="false" customHeight="true" outlineLevel="0" collapsed="false">
      <c r="A151" s="203"/>
      <c r="B151" s="203"/>
      <c r="C151" s="203"/>
      <c r="D151" s="203"/>
      <c r="E151" s="206"/>
      <c r="F151" s="203"/>
    </row>
    <row r="152" customFormat="false" ht="14.25" hidden="false" customHeight="true" outlineLevel="0" collapsed="false">
      <c r="A152" s="203"/>
      <c r="B152" s="203"/>
      <c r="C152" s="203"/>
      <c r="D152" s="203"/>
      <c r="E152" s="206"/>
      <c r="F152" s="203"/>
    </row>
    <row r="153" customFormat="false" ht="14.25" hidden="false" customHeight="true" outlineLevel="0" collapsed="false">
      <c r="A153" s="203"/>
      <c r="B153" s="203"/>
      <c r="C153" s="203"/>
      <c r="D153" s="203"/>
      <c r="E153" s="206"/>
      <c r="F153" s="203"/>
    </row>
    <row r="154" customFormat="false" ht="14.25" hidden="false" customHeight="true" outlineLevel="0" collapsed="false">
      <c r="A154" s="203"/>
      <c r="B154" s="203"/>
      <c r="C154" s="203"/>
      <c r="D154" s="203"/>
      <c r="E154" s="206"/>
      <c r="F154" s="203"/>
    </row>
    <row r="155" customFormat="false" ht="14.25" hidden="false" customHeight="true" outlineLevel="0" collapsed="false">
      <c r="A155" s="203"/>
      <c r="B155" s="203"/>
      <c r="C155" s="203"/>
      <c r="D155" s="203"/>
      <c r="E155" s="206"/>
      <c r="F155" s="203"/>
    </row>
    <row r="156" customFormat="false" ht="14.25" hidden="false" customHeight="true" outlineLevel="0" collapsed="false">
      <c r="A156" s="203"/>
      <c r="B156" s="203"/>
      <c r="C156" s="203"/>
      <c r="D156" s="203"/>
      <c r="E156" s="206"/>
      <c r="F156" s="203"/>
    </row>
    <row r="157" customFormat="false" ht="14.25" hidden="false" customHeight="true" outlineLevel="0" collapsed="false">
      <c r="A157" s="203"/>
      <c r="B157" s="203"/>
      <c r="C157" s="203"/>
      <c r="D157" s="203"/>
      <c r="E157" s="206"/>
      <c r="F157" s="203"/>
    </row>
    <row r="158" customFormat="false" ht="14.25" hidden="false" customHeight="true" outlineLevel="0" collapsed="false">
      <c r="A158" s="203"/>
      <c r="B158" s="203"/>
      <c r="C158" s="203"/>
      <c r="D158" s="203"/>
      <c r="E158" s="206"/>
      <c r="F158" s="203"/>
    </row>
    <row r="159" customFormat="false" ht="14.25" hidden="false" customHeight="true" outlineLevel="0" collapsed="false">
      <c r="A159" s="203"/>
      <c r="B159" s="203"/>
      <c r="C159" s="203"/>
      <c r="D159" s="203"/>
      <c r="E159" s="206"/>
      <c r="F159" s="203"/>
    </row>
    <row r="160" customFormat="false" ht="14.25" hidden="false" customHeight="true" outlineLevel="0" collapsed="false">
      <c r="A160" s="203"/>
      <c r="B160" s="203"/>
      <c r="C160" s="203"/>
      <c r="D160" s="203"/>
      <c r="E160" s="206"/>
      <c r="F160" s="203"/>
    </row>
    <row r="161" customFormat="false" ht="14.25" hidden="false" customHeight="true" outlineLevel="0" collapsed="false">
      <c r="A161" s="203"/>
      <c r="B161" s="203"/>
      <c r="C161" s="203"/>
      <c r="D161" s="203"/>
      <c r="E161" s="206"/>
      <c r="F161" s="203"/>
    </row>
    <row r="162" customFormat="false" ht="14.25" hidden="false" customHeight="true" outlineLevel="0" collapsed="false">
      <c r="A162" s="203"/>
      <c r="B162" s="203"/>
      <c r="C162" s="203"/>
      <c r="D162" s="203"/>
      <c r="E162" s="206"/>
      <c r="F162" s="203"/>
    </row>
    <row r="163" customFormat="false" ht="14.25" hidden="false" customHeight="true" outlineLevel="0" collapsed="false">
      <c r="A163" s="203"/>
      <c r="B163" s="203"/>
      <c r="C163" s="203"/>
      <c r="D163" s="203"/>
      <c r="E163" s="206"/>
      <c r="F163" s="203"/>
    </row>
    <row r="164" customFormat="false" ht="14.25" hidden="false" customHeight="true" outlineLevel="0" collapsed="false">
      <c r="A164" s="203"/>
      <c r="B164" s="203"/>
      <c r="C164" s="203"/>
      <c r="D164" s="203"/>
      <c r="E164" s="206"/>
      <c r="F164" s="203"/>
    </row>
    <row r="165" customFormat="false" ht="14.25" hidden="false" customHeight="true" outlineLevel="0" collapsed="false">
      <c r="A165" s="203"/>
      <c r="B165" s="203"/>
      <c r="C165" s="203"/>
      <c r="D165" s="203"/>
      <c r="E165" s="206"/>
      <c r="F165" s="203"/>
    </row>
    <row r="166" customFormat="false" ht="14.25" hidden="false" customHeight="true" outlineLevel="0" collapsed="false">
      <c r="A166" s="203"/>
      <c r="B166" s="203"/>
      <c r="C166" s="203"/>
      <c r="D166" s="203"/>
      <c r="E166" s="206"/>
      <c r="F166" s="203"/>
    </row>
    <row r="167" customFormat="false" ht="14.25" hidden="false" customHeight="true" outlineLevel="0" collapsed="false">
      <c r="A167" s="203"/>
      <c r="B167" s="203"/>
      <c r="C167" s="203"/>
      <c r="D167" s="203"/>
      <c r="E167" s="206"/>
      <c r="F167" s="203"/>
    </row>
    <row r="168" customFormat="false" ht="14.25" hidden="false" customHeight="true" outlineLevel="0" collapsed="false">
      <c r="A168" s="203"/>
      <c r="B168" s="203"/>
      <c r="C168" s="203"/>
      <c r="D168" s="203"/>
      <c r="E168" s="206"/>
      <c r="F168" s="203"/>
    </row>
    <row r="169" customFormat="false" ht="14.25" hidden="false" customHeight="true" outlineLevel="0" collapsed="false">
      <c r="A169" s="203"/>
      <c r="B169" s="203"/>
      <c r="C169" s="203"/>
      <c r="D169" s="203"/>
      <c r="E169" s="206"/>
      <c r="F169" s="203"/>
    </row>
    <row r="170" customFormat="false" ht="14.25" hidden="false" customHeight="true" outlineLevel="0" collapsed="false">
      <c r="A170" s="203"/>
      <c r="B170" s="203"/>
      <c r="C170" s="203"/>
      <c r="D170" s="203"/>
      <c r="E170" s="206"/>
      <c r="F170" s="203"/>
    </row>
    <row r="171" customFormat="false" ht="14.25" hidden="false" customHeight="true" outlineLevel="0" collapsed="false">
      <c r="A171" s="203"/>
      <c r="B171" s="203"/>
      <c r="C171" s="203"/>
      <c r="D171" s="203"/>
      <c r="E171" s="206"/>
      <c r="F171" s="203"/>
    </row>
    <row r="172" customFormat="false" ht="14.25" hidden="false" customHeight="true" outlineLevel="0" collapsed="false">
      <c r="A172" s="203"/>
      <c r="B172" s="203"/>
      <c r="C172" s="203"/>
      <c r="D172" s="203"/>
      <c r="E172" s="206"/>
      <c r="F172" s="203"/>
    </row>
    <row r="173" customFormat="false" ht="14.25" hidden="false" customHeight="true" outlineLevel="0" collapsed="false">
      <c r="A173" s="203"/>
      <c r="B173" s="203"/>
      <c r="C173" s="203"/>
      <c r="D173" s="203"/>
      <c r="E173" s="206"/>
      <c r="F173" s="203"/>
    </row>
    <row r="174" customFormat="false" ht="14.25" hidden="false" customHeight="true" outlineLevel="0" collapsed="false">
      <c r="A174" s="203"/>
      <c r="B174" s="203"/>
      <c r="C174" s="203"/>
      <c r="D174" s="203"/>
      <c r="E174" s="206"/>
      <c r="F174" s="203"/>
    </row>
    <row r="175" customFormat="false" ht="14.25" hidden="false" customHeight="true" outlineLevel="0" collapsed="false">
      <c r="A175" s="203"/>
      <c r="B175" s="203"/>
      <c r="C175" s="203"/>
      <c r="D175" s="203"/>
      <c r="E175" s="206"/>
      <c r="F175" s="203"/>
    </row>
    <row r="176" customFormat="false" ht="14.25" hidden="false" customHeight="true" outlineLevel="0" collapsed="false">
      <c r="A176" s="203"/>
      <c r="B176" s="203"/>
      <c r="C176" s="203"/>
      <c r="D176" s="203"/>
      <c r="E176" s="206"/>
      <c r="F176" s="203"/>
    </row>
    <row r="177" customFormat="false" ht="14.25" hidden="false" customHeight="true" outlineLevel="0" collapsed="false">
      <c r="A177" s="203"/>
      <c r="B177" s="203"/>
      <c r="C177" s="203"/>
      <c r="D177" s="203"/>
      <c r="E177" s="206"/>
      <c r="F177" s="203"/>
    </row>
    <row r="178" customFormat="false" ht="14.25" hidden="false" customHeight="true" outlineLevel="0" collapsed="false">
      <c r="A178" s="203"/>
      <c r="B178" s="203"/>
      <c r="C178" s="203"/>
      <c r="D178" s="203"/>
      <c r="E178" s="206"/>
      <c r="F178" s="203"/>
    </row>
    <row r="179" customFormat="false" ht="14.25" hidden="false" customHeight="true" outlineLevel="0" collapsed="false">
      <c r="A179" s="203"/>
      <c r="B179" s="203"/>
      <c r="C179" s="203"/>
      <c r="D179" s="203"/>
      <c r="E179" s="206"/>
      <c r="F179" s="203"/>
    </row>
    <row r="180" customFormat="false" ht="14.25" hidden="false" customHeight="true" outlineLevel="0" collapsed="false">
      <c r="A180" s="203"/>
      <c r="B180" s="203"/>
      <c r="C180" s="203"/>
      <c r="D180" s="203"/>
      <c r="E180" s="206"/>
      <c r="F180" s="203"/>
    </row>
    <row r="181" customFormat="false" ht="14.25" hidden="false" customHeight="true" outlineLevel="0" collapsed="false">
      <c r="A181" s="203"/>
      <c r="B181" s="203"/>
      <c r="C181" s="203"/>
      <c r="D181" s="203"/>
      <c r="E181" s="206"/>
      <c r="F181" s="203"/>
    </row>
    <row r="182" customFormat="false" ht="14.25" hidden="false" customHeight="true" outlineLevel="0" collapsed="false">
      <c r="A182" s="203"/>
      <c r="B182" s="203"/>
      <c r="C182" s="203"/>
      <c r="D182" s="203"/>
      <c r="E182" s="206"/>
      <c r="F182" s="203"/>
    </row>
    <row r="183" customFormat="false" ht="14.25" hidden="false" customHeight="true" outlineLevel="0" collapsed="false">
      <c r="A183" s="203"/>
      <c r="B183" s="203"/>
      <c r="C183" s="203"/>
      <c r="D183" s="203"/>
      <c r="E183" s="206"/>
      <c r="F183" s="203"/>
    </row>
    <row r="184" customFormat="false" ht="14.25" hidden="false" customHeight="true" outlineLevel="0" collapsed="false">
      <c r="A184" s="203"/>
      <c r="B184" s="203"/>
      <c r="C184" s="203"/>
      <c r="D184" s="203"/>
      <c r="E184" s="206"/>
      <c r="F184" s="203"/>
    </row>
    <row r="185" customFormat="false" ht="14.25" hidden="false" customHeight="true" outlineLevel="0" collapsed="false">
      <c r="A185" s="203"/>
      <c r="B185" s="203"/>
      <c r="C185" s="203"/>
      <c r="D185" s="203"/>
      <c r="E185" s="206"/>
      <c r="F185" s="203"/>
    </row>
    <row r="186" customFormat="false" ht="14.25" hidden="false" customHeight="true" outlineLevel="0" collapsed="false">
      <c r="A186" s="203"/>
      <c r="B186" s="203"/>
      <c r="C186" s="203"/>
      <c r="D186" s="203"/>
      <c r="E186" s="206"/>
      <c r="F186" s="203"/>
    </row>
    <row r="187" customFormat="false" ht="14.25" hidden="false" customHeight="true" outlineLevel="0" collapsed="false">
      <c r="A187" s="203"/>
      <c r="B187" s="203"/>
      <c r="C187" s="203"/>
      <c r="D187" s="203"/>
      <c r="E187" s="206"/>
      <c r="F187" s="203"/>
    </row>
    <row r="188" customFormat="false" ht="14.25" hidden="false" customHeight="true" outlineLevel="0" collapsed="false">
      <c r="A188" s="203"/>
      <c r="B188" s="203"/>
      <c r="C188" s="203"/>
      <c r="D188" s="203"/>
      <c r="E188" s="206"/>
      <c r="F188" s="203"/>
    </row>
    <row r="189" customFormat="false" ht="14.25" hidden="false" customHeight="true" outlineLevel="0" collapsed="false">
      <c r="A189" s="203"/>
      <c r="B189" s="203"/>
      <c r="C189" s="203"/>
      <c r="D189" s="203"/>
      <c r="E189" s="206"/>
      <c r="F189" s="203"/>
    </row>
    <row r="190" customFormat="false" ht="14.25" hidden="false" customHeight="true" outlineLevel="0" collapsed="false">
      <c r="A190" s="203"/>
      <c r="B190" s="203"/>
      <c r="C190" s="203"/>
      <c r="D190" s="203"/>
      <c r="E190" s="206"/>
      <c r="F190" s="203"/>
    </row>
    <row r="191" customFormat="false" ht="14.25" hidden="false" customHeight="true" outlineLevel="0" collapsed="false">
      <c r="A191" s="203"/>
      <c r="B191" s="203"/>
      <c r="C191" s="203"/>
      <c r="D191" s="203"/>
      <c r="E191" s="206"/>
      <c r="F191" s="203"/>
    </row>
    <row r="192" customFormat="false" ht="14.25" hidden="false" customHeight="true" outlineLevel="0" collapsed="false">
      <c r="A192" s="203"/>
      <c r="B192" s="203"/>
      <c r="C192" s="203"/>
      <c r="D192" s="203"/>
      <c r="E192" s="206"/>
      <c r="F192" s="203"/>
    </row>
    <row r="193" customFormat="false" ht="14.25" hidden="false" customHeight="true" outlineLevel="0" collapsed="false">
      <c r="A193" s="203"/>
      <c r="B193" s="203"/>
      <c r="C193" s="203"/>
      <c r="D193" s="203"/>
      <c r="E193" s="206"/>
      <c r="F193" s="203"/>
    </row>
    <row r="194" customFormat="false" ht="14.25" hidden="false" customHeight="true" outlineLevel="0" collapsed="false">
      <c r="A194" s="203"/>
      <c r="B194" s="203"/>
      <c r="C194" s="203"/>
      <c r="D194" s="203"/>
      <c r="E194" s="206"/>
      <c r="F194" s="203"/>
    </row>
    <row r="195" customFormat="false" ht="14.25" hidden="false" customHeight="true" outlineLevel="0" collapsed="false">
      <c r="A195" s="203"/>
      <c r="B195" s="203"/>
      <c r="C195" s="203"/>
      <c r="D195" s="203"/>
      <c r="E195" s="206"/>
      <c r="F195" s="203"/>
    </row>
    <row r="196" customFormat="false" ht="14.25" hidden="false" customHeight="true" outlineLevel="0" collapsed="false">
      <c r="A196" s="203"/>
      <c r="B196" s="203"/>
      <c r="C196" s="203"/>
      <c r="D196" s="203"/>
      <c r="E196" s="206"/>
      <c r="F196" s="203"/>
    </row>
    <row r="197" customFormat="false" ht="14.25" hidden="false" customHeight="true" outlineLevel="0" collapsed="false">
      <c r="A197" s="203"/>
      <c r="B197" s="203"/>
      <c r="C197" s="203"/>
      <c r="D197" s="203"/>
      <c r="E197" s="206"/>
      <c r="F197" s="203"/>
    </row>
    <row r="198" customFormat="false" ht="14.25" hidden="false" customHeight="true" outlineLevel="0" collapsed="false">
      <c r="A198" s="203"/>
      <c r="B198" s="203"/>
      <c r="C198" s="203"/>
      <c r="D198" s="203"/>
      <c r="E198" s="206"/>
      <c r="F198" s="203"/>
    </row>
    <row r="199" customFormat="false" ht="14.25" hidden="false" customHeight="true" outlineLevel="0" collapsed="false">
      <c r="A199" s="203"/>
      <c r="B199" s="203"/>
      <c r="C199" s="203"/>
      <c r="D199" s="203"/>
      <c r="E199" s="206"/>
      <c r="F199" s="203"/>
    </row>
    <row r="200" customFormat="false" ht="14.25" hidden="false" customHeight="true" outlineLevel="0" collapsed="false">
      <c r="A200" s="203"/>
      <c r="B200" s="203"/>
      <c r="C200" s="203"/>
      <c r="D200" s="203"/>
      <c r="E200" s="206"/>
      <c r="F200" s="203"/>
    </row>
    <row r="201" customFormat="false" ht="14.25" hidden="false" customHeight="true" outlineLevel="0" collapsed="false">
      <c r="A201" s="203"/>
      <c r="B201" s="203"/>
      <c r="C201" s="203"/>
      <c r="D201" s="203"/>
      <c r="E201" s="206"/>
      <c r="F201" s="203"/>
    </row>
    <row r="202" customFormat="false" ht="14.25" hidden="false" customHeight="true" outlineLevel="0" collapsed="false">
      <c r="A202" s="203"/>
      <c r="B202" s="203"/>
      <c r="C202" s="203"/>
      <c r="D202" s="203"/>
      <c r="E202" s="206"/>
      <c r="F202" s="203"/>
    </row>
    <row r="203" customFormat="false" ht="14.25" hidden="false" customHeight="true" outlineLevel="0" collapsed="false">
      <c r="A203" s="203"/>
      <c r="B203" s="203"/>
      <c r="C203" s="203"/>
      <c r="D203" s="203"/>
      <c r="E203" s="206"/>
      <c r="F203" s="203"/>
    </row>
    <row r="204" customFormat="false" ht="14.25" hidden="false" customHeight="true" outlineLevel="0" collapsed="false">
      <c r="A204" s="203"/>
      <c r="B204" s="203"/>
      <c r="C204" s="203"/>
      <c r="D204" s="203"/>
      <c r="E204" s="206"/>
      <c r="F204" s="203"/>
    </row>
    <row r="205" customFormat="false" ht="14.25" hidden="false" customHeight="true" outlineLevel="0" collapsed="false">
      <c r="A205" s="203"/>
      <c r="B205" s="203"/>
      <c r="C205" s="203"/>
      <c r="D205" s="203"/>
      <c r="E205" s="206"/>
      <c r="F205" s="203"/>
    </row>
    <row r="206" customFormat="false" ht="14.25" hidden="false" customHeight="true" outlineLevel="0" collapsed="false">
      <c r="A206" s="203"/>
      <c r="B206" s="203"/>
      <c r="C206" s="203"/>
      <c r="D206" s="203"/>
      <c r="E206" s="206"/>
      <c r="F206" s="203"/>
    </row>
    <row r="207" customFormat="false" ht="14.25" hidden="false" customHeight="true" outlineLevel="0" collapsed="false">
      <c r="A207" s="203"/>
      <c r="B207" s="203"/>
      <c r="C207" s="203"/>
      <c r="D207" s="203"/>
      <c r="E207" s="206"/>
      <c r="F207" s="203"/>
    </row>
    <row r="208" customFormat="false" ht="14.25" hidden="false" customHeight="true" outlineLevel="0" collapsed="false">
      <c r="A208" s="203"/>
      <c r="B208" s="203"/>
      <c r="C208" s="203"/>
      <c r="D208" s="203"/>
      <c r="E208" s="206"/>
      <c r="F208" s="203"/>
    </row>
    <row r="209" customFormat="false" ht="14.25" hidden="false" customHeight="true" outlineLevel="0" collapsed="false">
      <c r="A209" s="203"/>
      <c r="B209" s="203"/>
      <c r="C209" s="203"/>
      <c r="D209" s="203"/>
      <c r="E209" s="206"/>
      <c r="F209" s="203"/>
    </row>
    <row r="210" customFormat="false" ht="14.25" hidden="false" customHeight="true" outlineLevel="0" collapsed="false">
      <c r="A210" s="203"/>
      <c r="B210" s="203"/>
      <c r="C210" s="203"/>
      <c r="D210" s="203"/>
      <c r="E210" s="206"/>
      <c r="F210" s="203"/>
    </row>
    <row r="211" customFormat="false" ht="14.25" hidden="false" customHeight="true" outlineLevel="0" collapsed="false">
      <c r="A211" s="203"/>
      <c r="B211" s="203"/>
      <c r="C211" s="203"/>
      <c r="D211" s="203"/>
      <c r="E211" s="206"/>
      <c r="F211" s="203"/>
    </row>
    <row r="212" customFormat="false" ht="14.25" hidden="false" customHeight="true" outlineLevel="0" collapsed="false">
      <c r="A212" s="203"/>
      <c r="B212" s="203"/>
      <c r="C212" s="203"/>
      <c r="D212" s="203"/>
      <c r="E212" s="206"/>
      <c r="F212" s="203"/>
    </row>
    <row r="213" customFormat="false" ht="14.25" hidden="false" customHeight="true" outlineLevel="0" collapsed="false">
      <c r="A213" s="203"/>
      <c r="B213" s="203"/>
      <c r="C213" s="203"/>
      <c r="D213" s="203"/>
      <c r="E213" s="206"/>
      <c r="F213" s="203"/>
    </row>
    <row r="214" customFormat="false" ht="14.25" hidden="false" customHeight="true" outlineLevel="0" collapsed="false">
      <c r="A214" s="203"/>
      <c r="B214" s="203"/>
      <c r="C214" s="203"/>
      <c r="D214" s="203"/>
      <c r="E214" s="206"/>
      <c r="F214" s="203"/>
    </row>
    <row r="215" customFormat="false" ht="14.25" hidden="false" customHeight="true" outlineLevel="0" collapsed="false">
      <c r="A215" s="203"/>
      <c r="B215" s="203"/>
      <c r="C215" s="203"/>
      <c r="D215" s="203"/>
      <c r="E215" s="206"/>
      <c r="F215" s="203"/>
    </row>
    <row r="216" customFormat="false" ht="14.25" hidden="false" customHeight="true" outlineLevel="0" collapsed="false">
      <c r="A216" s="203"/>
      <c r="B216" s="203"/>
      <c r="C216" s="203"/>
      <c r="D216" s="203"/>
      <c r="E216" s="206"/>
      <c r="F216" s="203"/>
    </row>
    <row r="217" customFormat="false" ht="14.25" hidden="false" customHeight="true" outlineLevel="0" collapsed="false">
      <c r="A217" s="203"/>
      <c r="B217" s="203"/>
      <c r="C217" s="203"/>
      <c r="D217" s="203"/>
      <c r="E217" s="206"/>
      <c r="F217" s="203"/>
    </row>
    <row r="218" customFormat="false" ht="14.25" hidden="false" customHeight="true" outlineLevel="0" collapsed="false">
      <c r="A218" s="203"/>
      <c r="B218" s="203"/>
      <c r="C218" s="203"/>
      <c r="D218" s="203"/>
      <c r="E218" s="206"/>
      <c r="F218" s="203"/>
    </row>
    <row r="219" customFormat="false" ht="14.25" hidden="false" customHeight="true" outlineLevel="0" collapsed="false">
      <c r="A219" s="203"/>
      <c r="B219" s="203"/>
      <c r="C219" s="203"/>
      <c r="D219" s="203"/>
      <c r="E219" s="206"/>
      <c r="F219" s="203"/>
    </row>
    <row r="220" customFormat="false" ht="14.25" hidden="false" customHeight="true" outlineLevel="0" collapsed="false">
      <c r="A220" s="203"/>
      <c r="B220" s="203"/>
      <c r="C220" s="203"/>
      <c r="D220" s="203"/>
      <c r="E220" s="206"/>
      <c r="F220" s="203"/>
    </row>
    <row r="221" customFormat="false" ht="14.25" hidden="false" customHeight="true" outlineLevel="0" collapsed="false">
      <c r="A221" s="203"/>
      <c r="B221" s="203"/>
      <c r="C221" s="203"/>
      <c r="D221" s="203"/>
      <c r="E221" s="206"/>
      <c r="F221" s="203"/>
    </row>
    <row r="222" customFormat="false" ht="14.25" hidden="false" customHeight="true" outlineLevel="0" collapsed="false">
      <c r="A222" s="203"/>
      <c r="B222" s="203"/>
      <c r="C222" s="203"/>
      <c r="D222" s="203"/>
      <c r="E222" s="206"/>
      <c r="F222" s="203"/>
    </row>
    <row r="223" customFormat="false" ht="14.25" hidden="false" customHeight="true" outlineLevel="0" collapsed="false">
      <c r="A223" s="203"/>
      <c r="B223" s="203"/>
      <c r="C223" s="203"/>
      <c r="D223" s="203"/>
      <c r="E223" s="206"/>
      <c r="F223" s="203"/>
    </row>
    <row r="224" customFormat="false" ht="14.25" hidden="false" customHeight="true" outlineLevel="0" collapsed="false">
      <c r="A224" s="203"/>
      <c r="B224" s="203"/>
      <c r="C224" s="203"/>
      <c r="D224" s="203"/>
      <c r="E224" s="206"/>
      <c r="F224" s="203"/>
    </row>
    <row r="225" customFormat="false" ht="14.25" hidden="false" customHeight="true" outlineLevel="0" collapsed="false">
      <c r="A225" s="203"/>
      <c r="B225" s="203"/>
      <c r="C225" s="203"/>
      <c r="D225" s="203"/>
      <c r="E225" s="206"/>
      <c r="F225" s="203"/>
    </row>
    <row r="226" customFormat="false" ht="14.25" hidden="false" customHeight="true" outlineLevel="0" collapsed="false">
      <c r="A226" s="203"/>
      <c r="B226" s="203"/>
      <c r="C226" s="203"/>
      <c r="D226" s="203"/>
      <c r="E226" s="206"/>
      <c r="F226" s="203"/>
    </row>
    <row r="227" customFormat="false" ht="14.25" hidden="false" customHeight="true" outlineLevel="0" collapsed="false">
      <c r="A227" s="203"/>
      <c r="B227" s="203"/>
      <c r="C227" s="203"/>
      <c r="D227" s="203"/>
      <c r="E227" s="206"/>
      <c r="F227" s="203"/>
    </row>
    <row r="228" customFormat="false" ht="14.25" hidden="false" customHeight="true" outlineLevel="0" collapsed="false">
      <c r="A228" s="203"/>
      <c r="B228" s="203"/>
      <c r="C228" s="203"/>
      <c r="D228" s="203"/>
      <c r="E228" s="206"/>
      <c r="F228" s="203"/>
    </row>
    <row r="229" customFormat="false" ht="14.25" hidden="false" customHeight="true" outlineLevel="0" collapsed="false">
      <c r="A229" s="203"/>
      <c r="B229" s="203"/>
      <c r="C229" s="203"/>
      <c r="D229" s="203"/>
      <c r="E229" s="206"/>
      <c r="F229" s="203"/>
    </row>
    <row r="230" customFormat="false" ht="14.25" hidden="false" customHeight="true" outlineLevel="0" collapsed="false">
      <c r="A230" s="203"/>
      <c r="B230" s="203"/>
      <c r="C230" s="203"/>
      <c r="D230" s="203"/>
      <c r="E230" s="206"/>
      <c r="F230" s="203"/>
    </row>
    <row r="231" customFormat="false" ht="14.25" hidden="false" customHeight="true" outlineLevel="0" collapsed="false">
      <c r="A231" s="203"/>
      <c r="B231" s="203"/>
      <c r="C231" s="203"/>
      <c r="D231" s="203"/>
      <c r="E231" s="206"/>
      <c r="F231" s="203"/>
    </row>
    <row r="232" customFormat="false" ht="14.25" hidden="false" customHeight="true" outlineLevel="0" collapsed="false">
      <c r="A232" s="203"/>
      <c r="B232" s="203"/>
      <c r="C232" s="203"/>
      <c r="D232" s="203"/>
      <c r="E232" s="206"/>
      <c r="F232" s="203"/>
    </row>
    <row r="233" customFormat="false" ht="14.25" hidden="false" customHeight="true" outlineLevel="0" collapsed="false">
      <c r="A233" s="203"/>
      <c r="B233" s="203"/>
      <c r="C233" s="203"/>
      <c r="D233" s="203"/>
      <c r="E233" s="206"/>
      <c r="F233" s="203"/>
    </row>
    <row r="234" customFormat="false" ht="14.25" hidden="false" customHeight="true" outlineLevel="0" collapsed="false">
      <c r="A234" s="203"/>
      <c r="B234" s="203"/>
      <c r="C234" s="203"/>
      <c r="D234" s="203"/>
      <c r="E234" s="206"/>
      <c r="F234" s="203"/>
    </row>
    <row r="235" customFormat="false" ht="14.25" hidden="false" customHeight="true" outlineLevel="0" collapsed="false">
      <c r="A235" s="203"/>
      <c r="B235" s="203"/>
      <c r="C235" s="203"/>
      <c r="D235" s="203"/>
      <c r="E235" s="206"/>
      <c r="F235" s="203"/>
    </row>
    <row r="236" customFormat="false" ht="14.25" hidden="false" customHeight="true" outlineLevel="0" collapsed="false">
      <c r="A236" s="203"/>
      <c r="B236" s="203"/>
      <c r="C236" s="203"/>
      <c r="D236" s="203"/>
      <c r="E236" s="206"/>
      <c r="F236" s="203"/>
    </row>
    <row r="237" customFormat="false" ht="14.25" hidden="false" customHeight="true" outlineLevel="0" collapsed="false">
      <c r="A237" s="203"/>
      <c r="B237" s="203"/>
      <c r="C237" s="203"/>
      <c r="D237" s="203"/>
      <c r="E237" s="206"/>
      <c r="F237" s="203"/>
    </row>
    <row r="238" customFormat="false" ht="14.25" hidden="false" customHeight="true" outlineLevel="0" collapsed="false">
      <c r="A238" s="203"/>
      <c r="B238" s="203"/>
      <c r="C238" s="203"/>
      <c r="D238" s="203"/>
      <c r="E238" s="206"/>
      <c r="F238" s="203"/>
    </row>
    <row r="239" customFormat="false" ht="14.25" hidden="false" customHeight="true" outlineLevel="0" collapsed="false">
      <c r="A239" s="203"/>
      <c r="B239" s="203"/>
      <c r="C239" s="203"/>
      <c r="D239" s="203"/>
      <c r="E239" s="206"/>
      <c r="F239" s="203"/>
    </row>
    <row r="240" customFormat="false" ht="14.25" hidden="false" customHeight="true" outlineLevel="0" collapsed="false">
      <c r="A240" s="203"/>
      <c r="B240" s="203"/>
      <c r="C240" s="203"/>
      <c r="D240" s="203"/>
      <c r="E240" s="206"/>
      <c r="F240" s="203"/>
    </row>
    <row r="241" customFormat="false" ht="14.25" hidden="false" customHeight="true" outlineLevel="0" collapsed="false">
      <c r="A241" s="203"/>
      <c r="B241" s="203"/>
      <c r="C241" s="203"/>
      <c r="D241" s="203"/>
      <c r="E241" s="206"/>
      <c r="F241" s="203"/>
    </row>
    <row r="242" customFormat="false" ht="14.25" hidden="false" customHeight="true" outlineLevel="0" collapsed="false">
      <c r="A242" s="203"/>
      <c r="B242" s="203"/>
      <c r="C242" s="203"/>
      <c r="D242" s="203"/>
      <c r="E242" s="206"/>
      <c r="F242" s="203"/>
    </row>
    <row r="243" customFormat="false" ht="14.25" hidden="false" customHeight="true" outlineLevel="0" collapsed="false">
      <c r="A243" s="203"/>
      <c r="B243" s="203"/>
      <c r="C243" s="203"/>
      <c r="D243" s="203"/>
      <c r="E243" s="206"/>
      <c r="F243" s="203"/>
    </row>
    <row r="244" customFormat="false" ht="14.25" hidden="false" customHeight="true" outlineLevel="0" collapsed="false">
      <c r="A244" s="203"/>
      <c r="B244" s="203"/>
      <c r="C244" s="203"/>
      <c r="D244" s="203"/>
      <c r="E244" s="206"/>
      <c r="F244" s="203"/>
    </row>
    <row r="245" customFormat="false" ht="14.25" hidden="false" customHeight="true" outlineLevel="0" collapsed="false">
      <c r="A245" s="203"/>
      <c r="B245" s="203"/>
      <c r="C245" s="203"/>
      <c r="D245" s="203"/>
      <c r="E245" s="206"/>
      <c r="F245" s="203"/>
    </row>
    <row r="246" customFormat="false" ht="14.25" hidden="false" customHeight="true" outlineLevel="0" collapsed="false">
      <c r="A246" s="203"/>
      <c r="B246" s="203"/>
      <c r="C246" s="203"/>
      <c r="D246" s="203"/>
      <c r="E246" s="206"/>
      <c r="F246" s="203"/>
    </row>
    <row r="247" customFormat="false" ht="14.25" hidden="false" customHeight="true" outlineLevel="0" collapsed="false">
      <c r="A247" s="203"/>
      <c r="B247" s="203"/>
      <c r="C247" s="203"/>
      <c r="D247" s="203"/>
      <c r="E247" s="206"/>
      <c r="F247" s="203"/>
    </row>
    <row r="248" customFormat="false" ht="14.25" hidden="false" customHeight="true" outlineLevel="0" collapsed="false">
      <c r="A248" s="203"/>
      <c r="B248" s="203"/>
      <c r="C248" s="203"/>
      <c r="D248" s="203"/>
      <c r="E248" s="206"/>
      <c r="F248" s="203"/>
    </row>
    <row r="249" customFormat="false" ht="14.25" hidden="false" customHeight="true" outlineLevel="0" collapsed="false">
      <c r="A249" s="203"/>
      <c r="B249" s="203"/>
      <c r="C249" s="203"/>
      <c r="D249" s="203"/>
      <c r="E249" s="206"/>
      <c r="F249" s="203"/>
    </row>
    <row r="250" customFormat="false" ht="14.25" hidden="false" customHeight="true" outlineLevel="0" collapsed="false">
      <c r="A250" s="203"/>
      <c r="B250" s="203"/>
      <c r="C250" s="203"/>
      <c r="D250" s="203"/>
      <c r="E250" s="206"/>
      <c r="F250" s="203"/>
    </row>
    <row r="251" customFormat="false" ht="14.25" hidden="false" customHeight="true" outlineLevel="0" collapsed="false">
      <c r="A251" s="203"/>
      <c r="B251" s="203"/>
      <c r="C251" s="203"/>
      <c r="D251" s="203"/>
      <c r="E251" s="206"/>
      <c r="F251" s="203"/>
    </row>
    <row r="252" customFormat="false" ht="14.25" hidden="false" customHeight="true" outlineLevel="0" collapsed="false">
      <c r="A252" s="203"/>
      <c r="B252" s="203"/>
      <c r="C252" s="203"/>
      <c r="D252" s="203"/>
      <c r="E252" s="206"/>
      <c r="F252" s="203"/>
    </row>
    <row r="253" customFormat="false" ht="14.25" hidden="false" customHeight="true" outlineLevel="0" collapsed="false">
      <c r="A253" s="203"/>
      <c r="B253" s="203"/>
      <c r="C253" s="203"/>
      <c r="D253" s="203"/>
      <c r="E253" s="206"/>
      <c r="F253" s="203"/>
    </row>
    <row r="254" customFormat="false" ht="14.25" hidden="false" customHeight="true" outlineLevel="0" collapsed="false">
      <c r="A254" s="203"/>
      <c r="B254" s="203"/>
      <c r="C254" s="203"/>
      <c r="D254" s="203"/>
      <c r="E254" s="206"/>
      <c r="F254" s="203"/>
    </row>
    <row r="255" customFormat="false" ht="14.25" hidden="false" customHeight="true" outlineLevel="0" collapsed="false">
      <c r="A255" s="203"/>
      <c r="B255" s="203"/>
      <c r="C255" s="203"/>
      <c r="D255" s="203"/>
      <c r="E255" s="206"/>
      <c r="F255" s="203"/>
    </row>
    <row r="256" customFormat="false" ht="14.25" hidden="false" customHeight="true" outlineLevel="0" collapsed="false">
      <c r="A256" s="203"/>
      <c r="B256" s="203"/>
      <c r="C256" s="203"/>
      <c r="D256" s="203"/>
      <c r="E256" s="206"/>
      <c r="F256" s="203"/>
    </row>
    <row r="257" customFormat="false" ht="14.25" hidden="false" customHeight="true" outlineLevel="0" collapsed="false">
      <c r="A257" s="203"/>
      <c r="B257" s="203"/>
      <c r="C257" s="203"/>
      <c r="D257" s="203"/>
      <c r="E257" s="206"/>
      <c r="F257" s="203"/>
    </row>
    <row r="258" customFormat="false" ht="14.25" hidden="false" customHeight="true" outlineLevel="0" collapsed="false">
      <c r="A258" s="203"/>
      <c r="B258" s="203"/>
      <c r="C258" s="203"/>
      <c r="D258" s="203"/>
      <c r="E258" s="206"/>
      <c r="F258" s="203"/>
    </row>
    <row r="259" customFormat="false" ht="14.25" hidden="false" customHeight="true" outlineLevel="0" collapsed="false">
      <c r="A259" s="203"/>
      <c r="B259" s="203"/>
      <c r="C259" s="203"/>
      <c r="D259" s="203"/>
      <c r="E259" s="206"/>
      <c r="F259" s="203"/>
    </row>
    <row r="260" customFormat="false" ht="14.25" hidden="false" customHeight="true" outlineLevel="0" collapsed="false">
      <c r="A260" s="203"/>
      <c r="B260" s="203"/>
      <c r="C260" s="203"/>
      <c r="D260" s="203"/>
      <c r="E260" s="206"/>
      <c r="F260" s="203"/>
    </row>
    <row r="261" customFormat="false" ht="14.25" hidden="false" customHeight="true" outlineLevel="0" collapsed="false">
      <c r="A261" s="203"/>
      <c r="B261" s="203"/>
      <c r="C261" s="203"/>
      <c r="D261" s="203"/>
      <c r="E261" s="206"/>
      <c r="F261" s="203"/>
    </row>
    <row r="262" customFormat="false" ht="14.25" hidden="false" customHeight="true" outlineLevel="0" collapsed="false">
      <c r="A262" s="203"/>
      <c r="B262" s="203"/>
      <c r="C262" s="203"/>
      <c r="D262" s="203"/>
      <c r="E262" s="206"/>
      <c r="F262" s="203"/>
    </row>
    <row r="263" customFormat="false" ht="14.25" hidden="false" customHeight="true" outlineLevel="0" collapsed="false">
      <c r="A263" s="203"/>
      <c r="B263" s="203"/>
      <c r="C263" s="203"/>
      <c r="D263" s="203"/>
      <c r="E263" s="206"/>
      <c r="F263" s="203"/>
    </row>
    <row r="264" customFormat="false" ht="14.25" hidden="false" customHeight="true" outlineLevel="0" collapsed="false">
      <c r="A264" s="203"/>
      <c r="B264" s="203"/>
      <c r="C264" s="203"/>
      <c r="D264" s="203"/>
      <c r="E264" s="206"/>
      <c r="F264" s="203"/>
    </row>
    <row r="265" customFormat="false" ht="14.25" hidden="false" customHeight="true" outlineLevel="0" collapsed="false">
      <c r="A265" s="203"/>
      <c r="B265" s="203"/>
      <c r="C265" s="203"/>
      <c r="D265" s="203"/>
      <c r="E265" s="206"/>
      <c r="F265" s="203"/>
    </row>
    <row r="266" customFormat="false" ht="14.25" hidden="false" customHeight="true" outlineLevel="0" collapsed="false">
      <c r="A266" s="203"/>
      <c r="B266" s="203"/>
      <c r="C266" s="203"/>
      <c r="D266" s="203"/>
      <c r="E266" s="206"/>
      <c r="F266" s="203"/>
    </row>
    <row r="267" customFormat="false" ht="14.25" hidden="false" customHeight="true" outlineLevel="0" collapsed="false">
      <c r="A267" s="203"/>
      <c r="B267" s="203"/>
      <c r="C267" s="203"/>
      <c r="D267" s="203"/>
      <c r="E267" s="206"/>
      <c r="F267" s="203"/>
    </row>
    <row r="268" customFormat="false" ht="14.25" hidden="false" customHeight="true" outlineLevel="0" collapsed="false">
      <c r="A268" s="203"/>
      <c r="B268" s="203"/>
      <c r="C268" s="203"/>
      <c r="D268" s="203"/>
      <c r="E268" s="206"/>
      <c r="F268" s="203"/>
    </row>
    <row r="269" customFormat="false" ht="14.25" hidden="false" customHeight="true" outlineLevel="0" collapsed="false">
      <c r="A269" s="203"/>
      <c r="B269" s="203"/>
      <c r="C269" s="203"/>
      <c r="D269" s="203"/>
      <c r="E269" s="206"/>
      <c r="F269" s="203"/>
    </row>
    <row r="270" customFormat="false" ht="14.25" hidden="false" customHeight="true" outlineLevel="0" collapsed="false">
      <c r="A270" s="203"/>
      <c r="B270" s="203"/>
      <c r="C270" s="203"/>
      <c r="D270" s="203"/>
      <c r="E270" s="206"/>
      <c r="F270" s="203"/>
    </row>
    <row r="271" customFormat="false" ht="14.25" hidden="false" customHeight="true" outlineLevel="0" collapsed="false">
      <c r="A271" s="203"/>
      <c r="B271" s="203"/>
      <c r="C271" s="203"/>
      <c r="D271" s="203"/>
      <c r="E271" s="206"/>
      <c r="F271" s="203"/>
    </row>
    <row r="272" customFormat="false" ht="14.25" hidden="false" customHeight="true" outlineLevel="0" collapsed="false">
      <c r="A272" s="203"/>
      <c r="B272" s="203"/>
      <c r="C272" s="203"/>
      <c r="D272" s="203"/>
      <c r="E272" s="206"/>
      <c r="F272" s="203"/>
    </row>
    <row r="273" customFormat="false" ht="14.25" hidden="false" customHeight="true" outlineLevel="0" collapsed="false">
      <c r="A273" s="203"/>
      <c r="B273" s="203"/>
      <c r="C273" s="203"/>
      <c r="D273" s="203"/>
      <c r="E273" s="206"/>
      <c r="F273" s="203"/>
    </row>
    <row r="274" customFormat="false" ht="14.25" hidden="false" customHeight="true" outlineLevel="0" collapsed="false">
      <c r="A274" s="203"/>
      <c r="B274" s="203"/>
      <c r="C274" s="203"/>
      <c r="D274" s="203"/>
      <c r="E274" s="206"/>
      <c r="F274" s="203"/>
    </row>
    <row r="275" customFormat="false" ht="14.25" hidden="false" customHeight="true" outlineLevel="0" collapsed="false">
      <c r="A275" s="203"/>
      <c r="B275" s="203"/>
      <c r="C275" s="203"/>
      <c r="D275" s="203"/>
      <c r="E275" s="206"/>
      <c r="F275" s="203"/>
    </row>
    <row r="276" customFormat="false" ht="14.25" hidden="false" customHeight="true" outlineLevel="0" collapsed="false">
      <c r="A276" s="203"/>
      <c r="B276" s="203"/>
      <c r="C276" s="203"/>
      <c r="D276" s="203"/>
      <c r="E276" s="206"/>
      <c r="F276" s="203"/>
    </row>
    <row r="277" customFormat="false" ht="14.25" hidden="false" customHeight="true" outlineLevel="0" collapsed="false">
      <c r="A277" s="203"/>
      <c r="B277" s="203"/>
      <c r="C277" s="203"/>
      <c r="D277" s="203"/>
      <c r="E277" s="206"/>
      <c r="F277" s="203"/>
    </row>
    <row r="278" customFormat="false" ht="14.25" hidden="false" customHeight="true" outlineLevel="0" collapsed="false">
      <c r="A278" s="203"/>
      <c r="B278" s="203"/>
      <c r="C278" s="203"/>
      <c r="D278" s="203"/>
      <c r="E278" s="206"/>
      <c r="F278" s="203"/>
    </row>
    <row r="279" customFormat="false" ht="14.25" hidden="false" customHeight="true" outlineLevel="0" collapsed="false">
      <c r="A279" s="203"/>
      <c r="B279" s="203"/>
      <c r="C279" s="203"/>
      <c r="D279" s="203"/>
      <c r="E279" s="206"/>
      <c r="F279" s="203"/>
    </row>
    <row r="280" customFormat="false" ht="14.25" hidden="false" customHeight="true" outlineLevel="0" collapsed="false">
      <c r="A280" s="203"/>
      <c r="B280" s="203"/>
      <c r="C280" s="203"/>
      <c r="D280" s="203"/>
      <c r="E280" s="206"/>
      <c r="F280" s="203"/>
    </row>
    <row r="281" customFormat="false" ht="14.25" hidden="false" customHeight="true" outlineLevel="0" collapsed="false">
      <c r="A281" s="203"/>
      <c r="B281" s="203"/>
      <c r="C281" s="203"/>
      <c r="D281" s="203"/>
      <c r="E281" s="206"/>
      <c r="F281" s="203"/>
    </row>
    <row r="282" customFormat="false" ht="14.25" hidden="false" customHeight="true" outlineLevel="0" collapsed="false">
      <c r="A282" s="203"/>
      <c r="B282" s="203"/>
      <c r="C282" s="203"/>
      <c r="D282" s="203"/>
      <c r="E282" s="206"/>
      <c r="F282" s="203"/>
    </row>
    <row r="283" customFormat="false" ht="14.25" hidden="false" customHeight="true" outlineLevel="0" collapsed="false">
      <c r="A283" s="203"/>
      <c r="B283" s="203"/>
      <c r="C283" s="203"/>
      <c r="D283" s="203"/>
      <c r="E283" s="206"/>
      <c r="F283" s="203"/>
    </row>
    <row r="284" customFormat="false" ht="14.25" hidden="false" customHeight="true" outlineLevel="0" collapsed="false">
      <c r="A284" s="203"/>
      <c r="B284" s="203"/>
      <c r="C284" s="203"/>
      <c r="D284" s="203"/>
      <c r="E284" s="206"/>
      <c r="F284" s="203"/>
    </row>
    <row r="285" customFormat="false" ht="14.25" hidden="false" customHeight="true" outlineLevel="0" collapsed="false">
      <c r="A285" s="203"/>
      <c r="B285" s="203"/>
      <c r="C285" s="203"/>
      <c r="D285" s="203"/>
      <c r="E285" s="206"/>
      <c r="F285" s="203"/>
    </row>
    <row r="286" customFormat="false" ht="14.25" hidden="false" customHeight="true" outlineLevel="0" collapsed="false">
      <c r="A286" s="203"/>
      <c r="B286" s="203"/>
      <c r="C286" s="203"/>
      <c r="D286" s="203"/>
      <c r="E286" s="206"/>
      <c r="F286" s="203"/>
    </row>
    <row r="287" customFormat="false" ht="14.25" hidden="false" customHeight="true" outlineLevel="0" collapsed="false">
      <c r="A287" s="203"/>
      <c r="B287" s="203"/>
      <c r="C287" s="203"/>
      <c r="D287" s="203"/>
      <c r="E287" s="206"/>
      <c r="F287" s="203"/>
    </row>
    <row r="288" customFormat="false" ht="14.25" hidden="false" customHeight="true" outlineLevel="0" collapsed="false">
      <c r="A288" s="203"/>
      <c r="B288" s="203"/>
      <c r="C288" s="203"/>
      <c r="D288" s="203"/>
      <c r="E288" s="206"/>
      <c r="F288" s="203"/>
    </row>
    <row r="289" customFormat="false" ht="14.25" hidden="false" customHeight="true" outlineLevel="0" collapsed="false">
      <c r="A289" s="203"/>
      <c r="B289" s="203"/>
      <c r="C289" s="203"/>
      <c r="D289" s="203"/>
      <c r="E289" s="206"/>
      <c r="F289" s="203"/>
    </row>
    <row r="290" customFormat="false" ht="14.25" hidden="false" customHeight="true" outlineLevel="0" collapsed="false">
      <c r="A290" s="203"/>
      <c r="B290" s="203"/>
      <c r="C290" s="203"/>
      <c r="D290" s="203"/>
      <c r="E290" s="206"/>
      <c r="F290" s="203"/>
    </row>
    <row r="291" customFormat="false" ht="14.25" hidden="false" customHeight="true" outlineLevel="0" collapsed="false">
      <c r="A291" s="203"/>
      <c r="B291" s="203"/>
      <c r="C291" s="203"/>
      <c r="D291" s="203"/>
      <c r="E291" s="206"/>
      <c r="F291" s="203"/>
    </row>
    <row r="292" customFormat="false" ht="14.25" hidden="false" customHeight="true" outlineLevel="0" collapsed="false">
      <c r="A292" s="203"/>
      <c r="B292" s="203"/>
      <c r="C292" s="203"/>
      <c r="D292" s="203"/>
      <c r="E292" s="206"/>
      <c r="F292" s="203"/>
    </row>
    <row r="293" customFormat="false" ht="14.25" hidden="false" customHeight="true" outlineLevel="0" collapsed="false">
      <c r="A293" s="203"/>
      <c r="B293" s="203"/>
      <c r="C293" s="203"/>
      <c r="D293" s="203"/>
      <c r="E293" s="206"/>
      <c r="F293" s="203"/>
    </row>
    <row r="294" customFormat="false" ht="14.25" hidden="false" customHeight="true" outlineLevel="0" collapsed="false">
      <c r="A294" s="203"/>
      <c r="B294" s="203"/>
      <c r="C294" s="203"/>
      <c r="D294" s="203"/>
      <c r="E294" s="206"/>
      <c r="F294" s="203"/>
    </row>
    <row r="295" customFormat="false" ht="14.25" hidden="false" customHeight="true" outlineLevel="0" collapsed="false">
      <c r="A295" s="203"/>
      <c r="B295" s="203"/>
      <c r="C295" s="203"/>
      <c r="D295" s="203"/>
      <c r="E295" s="206"/>
      <c r="F295" s="203"/>
    </row>
    <row r="296" customFormat="false" ht="14.25" hidden="false" customHeight="true" outlineLevel="0" collapsed="false">
      <c r="A296" s="203"/>
      <c r="B296" s="203"/>
      <c r="C296" s="203"/>
      <c r="D296" s="203"/>
      <c r="E296" s="206"/>
      <c r="F296" s="203"/>
    </row>
    <row r="297" customFormat="false" ht="14.25" hidden="false" customHeight="true" outlineLevel="0" collapsed="false">
      <c r="A297" s="203"/>
      <c r="B297" s="203"/>
      <c r="C297" s="203"/>
      <c r="D297" s="203"/>
      <c r="E297" s="206"/>
      <c r="F297" s="203"/>
    </row>
    <row r="298" customFormat="false" ht="14.25" hidden="false" customHeight="true" outlineLevel="0" collapsed="false">
      <c r="A298" s="203"/>
      <c r="B298" s="203"/>
      <c r="C298" s="203"/>
      <c r="D298" s="203"/>
      <c r="E298" s="206"/>
      <c r="F298" s="203"/>
    </row>
    <row r="299" customFormat="false" ht="14.25" hidden="false" customHeight="true" outlineLevel="0" collapsed="false">
      <c r="A299" s="203"/>
      <c r="B299" s="203"/>
      <c r="C299" s="203"/>
      <c r="D299" s="203"/>
      <c r="E299" s="206"/>
      <c r="F299" s="203"/>
    </row>
    <row r="300" customFormat="false" ht="14.25" hidden="false" customHeight="true" outlineLevel="0" collapsed="false">
      <c r="A300" s="203"/>
      <c r="B300" s="203"/>
      <c r="C300" s="203"/>
      <c r="D300" s="203"/>
      <c r="E300" s="206"/>
      <c r="F300" s="203"/>
    </row>
    <row r="301" customFormat="false" ht="14.25" hidden="false" customHeight="true" outlineLevel="0" collapsed="false">
      <c r="A301" s="203"/>
      <c r="B301" s="203"/>
      <c r="C301" s="203"/>
      <c r="D301" s="203"/>
      <c r="E301" s="206"/>
      <c r="F301" s="203"/>
    </row>
    <row r="302" customFormat="false" ht="14.25" hidden="false" customHeight="true" outlineLevel="0" collapsed="false">
      <c r="A302" s="203"/>
      <c r="B302" s="203"/>
      <c r="C302" s="203"/>
      <c r="D302" s="203"/>
      <c r="E302" s="206"/>
      <c r="F302" s="203"/>
    </row>
    <row r="303" customFormat="false" ht="14.25" hidden="false" customHeight="true" outlineLevel="0" collapsed="false">
      <c r="A303" s="203"/>
      <c r="B303" s="203"/>
      <c r="C303" s="203"/>
      <c r="D303" s="203"/>
      <c r="E303" s="206"/>
      <c r="F303" s="203"/>
    </row>
    <row r="304" customFormat="false" ht="14.25" hidden="false" customHeight="true" outlineLevel="0" collapsed="false">
      <c r="A304" s="203"/>
      <c r="B304" s="203"/>
      <c r="C304" s="203"/>
      <c r="D304" s="203"/>
      <c r="E304" s="206"/>
      <c r="F304" s="203"/>
    </row>
    <row r="305" customFormat="false" ht="14.25" hidden="false" customHeight="true" outlineLevel="0" collapsed="false">
      <c r="A305" s="203"/>
      <c r="B305" s="203"/>
      <c r="C305" s="203"/>
      <c r="D305" s="203"/>
      <c r="E305" s="206"/>
      <c r="F305" s="203"/>
    </row>
  </sheetData>
  <mergeCells count="1">
    <mergeCell ref="A1:F1"/>
  </mergeCells>
  <conditionalFormatting sqref="C5:C14">
    <cfRule type="cellIs" priority="2" operator="equal" aboveAverage="0" equalAverage="0" bottom="0" percent="0" rank="0" text="" dxfId="21">
      <formula>"Y"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8"/>
  <sheetViews>
    <sheetView showFormulas="false" showGridLines="false" showRowColHeaders="true" showZeros="true" rightToLeft="false" tabSelected="false" showOutlineSymbols="true" defaultGridColor="true" view="normal" topLeftCell="A71" colorId="64" zoomScale="100" zoomScaleNormal="100" zoomScalePageLayoutView="100" workbookViewId="0">
      <selection pane="topLeft" activeCell="A1" activeCellId="0" sqref="A1"/>
    </sheetView>
  </sheetViews>
  <sheetFormatPr defaultColWidth="8.66796875" defaultRowHeight="14.2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0"/>
    <col collapsed="false" customWidth="true" hidden="false" outlineLevel="0" max="4" min="4" style="1" width="55"/>
    <col collapsed="false" customWidth="true" hidden="false" outlineLevel="0" max="5" min="5" style="1" width="1"/>
  </cols>
  <sheetData>
    <row r="1" customFormat="false" ht="15" hidden="false" customHeight="true" outlineLevel="0" collapsed="false">
      <c r="A1" s="207" t="s">
        <v>693</v>
      </c>
      <c r="B1" s="207"/>
      <c r="C1" s="207"/>
      <c r="D1" s="207"/>
      <c r="E1" s="207"/>
      <c r="F1" s="207"/>
    </row>
    <row r="2" customFormat="false" ht="15" hidden="false" customHeight="true" outlineLevel="0" collapsed="false">
      <c r="A2" s="208" t="s">
        <v>694</v>
      </c>
      <c r="B2" s="208"/>
      <c r="C2" s="208"/>
      <c r="D2" s="208"/>
      <c r="E2" s="208"/>
      <c r="F2" s="208"/>
    </row>
    <row r="4" customFormat="false" ht="15" hidden="false" customHeight="true" outlineLevel="0" collapsed="false">
      <c r="A4" s="209" t="s">
        <v>695</v>
      </c>
      <c r="B4" s="209"/>
      <c r="C4" s="209"/>
      <c r="D4" s="209"/>
      <c r="E4" s="209"/>
      <c r="F4" s="209"/>
    </row>
    <row r="5" customFormat="false" ht="15" hidden="false" customHeight="true" outlineLevel="0" collapsed="false">
      <c r="A5" s="210" t="s">
        <v>696</v>
      </c>
      <c r="B5" s="210" t="s">
        <v>697</v>
      </c>
      <c r="C5" s="210" t="s">
        <v>698</v>
      </c>
      <c r="D5" s="210" t="s">
        <v>699</v>
      </c>
    </row>
    <row r="6" customFormat="false" ht="15" hidden="false" customHeight="true" outlineLevel="0" collapsed="false">
      <c r="A6" s="211" t="s">
        <v>700</v>
      </c>
      <c r="B6" s="211" t="s">
        <v>701</v>
      </c>
      <c r="C6" s="211" t="s">
        <v>701</v>
      </c>
      <c r="D6" s="212" t="s">
        <v>702</v>
      </c>
      <c r="E6" s="212"/>
      <c r="F6" s="212"/>
    </row>
    <row r="8" customFormat="false" ht="15" hidden="false" customHeight="true" outlineLevel="0" collapsed="false">
      <c r="A8" s="209" t="s">
        <v>703</v>
      </c>
      <c r="B8" s="209"/>
      <c r="C8" s="209"/>
      <c r="D8" s="209"/>
      <c r="E8" s="209"/>
      <c r="F8" s="209"/>
    </row>
    <row r="9" customFormat="false" ht="15" hidden="false" customHeight="true" outlineLevel="0" collapsed="false">
      <c r="A9" s="210" t="s">
        <v>696</v>
      </c>
      <c r="B9" s="210" t="s">
        <v>697</v>
      </c>
      <c r="C9" s="210" t="s">
        <v>698</v>
      </c>
      <c r="D9" s="210" t="s">
        <v>699</v>
      </c>
    </row>
    <row r="10" customFormat="false" ht="27.75" hidden="false" customHeight="true" outlineLevel="0" collapsed="false">
      <c r="A10" s="211" t="s">
        <v>704</v>
      </c>
      <c r="B10" s="211" t="s">
        <v>701</v>
      </c>
      <c r="C10" s="211" t="s">
        <v>705</v>
      </c>
      <c r="D10" s="212" t="s">
        <v>706</v>
      </c>
      <c r="E10" s="212"/>
      <c r="F10" s="212"/>
    </row>
    <row r="12" customFormat="false" ht="15" hidden="false" customHeight="true" outlineLevel="0" collapsed="false">
      <c r="A12" s="209" t="s">
        <v>707</v>
      </c>
      <c r="B12" s="209"/>
      <c r="C12" s="209"/>
      <c r="D12" s="209"/>
      <c r="E12" s="209"/>
      <c r="F12" s="209"/>
    </row>
    <row r="13" customFormat="false" ht="15" hidden="false" customHeight="true" outlineLevel="0" collapsed="false">
      <c r="A13" s="210" t="s">
        <v>696</v>
      </c>
      <c r="B13" s="210" t="s">
        <v>697</v>
      </c>
      <c r="C13" s="210" t="s">
        <v>698</v>
      </c>
      <c r="D13" s="210" t="s">
        <v>699</v>
      </c>
    </row>
    <row r="14" customFormat="false" ht="369" hidden="false" customHeight="true" outlineLevel="0" collapsed="false">
      <c r="A14" s="211" t="s">
        <v>708</v>
      </c>
      <c r="B14" s="211" t="s">
        <v>709</v>
      </c>
      <c r="C14" s="211" t="s">
        <v>710</v>
      </c>
      <c r="D14" s="212" t="s">
        <v>711</v>
      </c>
      <c r="E14" s="212"/>
      <c r="F14" s="212"/>
    </row>
    <row r="16" customFormat="false" ht="15" hidden="false" customHeight="true" outlineLevel="0" collapsed="false">
      <c r="A16" s="209" t="s">
        <v>712</v>
      </c>
      <c r="B16" s="209"/>
      <c r="C16" s="209"/>
      <c r="D16" s="209"/>
      <c r="E16" s="209"/>
      <c r="F16" s="209"/>
    </row>
    <row r="17" customFormat="false" ht="15" hidden="false" customHeight="true" outlineLevel="0" collapsed="false">
      <c r="A17" s="210" t="s">
        <v>696</v>
      </c>
      <c r="B17" s="210" t="s">
        <v>697</v>
      </c>
      <c r="C17" s="210" t="s">
        <v>698</v>
      </c>
      <c r="D17" s="210" t="s">
        <v>699</v>
      </c>
    </row>
    <row r="18" customFormat="false" ht="45.75" hidden="false" customHeight="true" outlineLevel="0" collapsed="false">
      <c r="A18" s="211" t="s">
        <v>708</v>
      </c>
      <c r="B18" s="211" t="s">
        <v>713</v>
      </c>
      <c r="C18" s="211" t="s">
        <v>714</v>
      </c>
      <c r="D18" s="212" t="s">
        <v>715</v>
      </c>
      <c r="E18" s="212"/>
      <c r="F18" s="212"/>
    </row>
    <row r="20" customFormat="false" ht="15" hidden="false" customHeight="true" outlineLevel="0" collapsed="false">
      <c r="A20" s="209" t="s">
        <v>716</v>
      </c>
      <c r="B20" s="209"/>
      <c r="C20" s="209"/>
      <c r="D20" s="209"/>
      <c r="E20" s="209"/>
      <c r="F20" s="209"/>
    </row>
    <row r="21" customFormat="false" ht="15" hidden="false" customHeight="true" outlineLevel="0" collapsed="false">
      <c r="A21" s="210" t="s">
        <v>696</v>
      </c>
      <c r="B21" s="210" t="s">
        <v>697</v>
      </c>
      <c r="C21" s="210" t="s">
        <v>698</v>
      </c>
      <c r="D21" s="210" t="s">
        <v>699</v>
      </c>
    </row>
    <row r="22" customFormat="false" ht="351" hidden="false" customHeight="true" outlineLevel="0" collapsed="false">
      <c r="A22" s="211" t="s">
        <v>717</v>
      </c>
      <c r="B22" s="211" t="s">
        <v>701</v>
      </c>
      <c r="C22" s="211" t="s">
        <v>718</v>
      </c>
      <c r="D22" s="212" t="s">
        <v>719</v>
      </c>
      <c r="E22" s="212"/>
      <c r="F22" s="212"/>
    </row>
    <row r="24" customFormat="false" ht="15" hidden="false" customHeight="true" outlineLevel="0" collapsed="false">
      <c r="A24" s="209" t="s">
        <v>720</v>
      </c>
      <c r="B24" s="209"/>
      <c r="C24" s="209"/>
      <c r="D24" s="209"/>
      <c r="E24" s="209"/>
      <c r="F24" s="209"/>
    </row>
    <row r="25" customFormat="false" ht="15" hidden="false" customHeight="true" outlineLevel="0" collapsed="false">
      <c r="A25" s="210" t="s">
        <v>696</v>
      </c>
      <c r="B25" s="210" t="s">
        <v>697</v>
      </c>
      <c r="C25" s="210" t="s">
        <v>698</v>
      </c>
      <c r="D25" s="210" t="s">
        <v>699</v>
      </c>
    </row>
    <row r="26" customFormat="false" ht="54.75" hidden="false" customHeight="true" outlineLevel="0" collapsed="false">
      <c r="A26" s="211" t="s">
        <v>708</v>
      </c>
      <c r="B26" s="211" t="s">
        <v>721</v>
      </c>
      <c r="C26" s="211" t="s">
        <v>722</v>
      </c>
      <c r="D26" s="212" t="s">
        <v>723</v>
      </c>
      <c r="E26" s="212"/>
      <c r="F26" s="212"/>
    </row>
    <row r="28" customFormat="false" ht="15" hidden="false" customHeight="true" outlineLevel="0" collapsed="false">
      <c r="A28" s="209" t="s">
        <v>724</v>
      </c>
      <c r="B28" s="209"/>
      <c r="C28" s="209"/>
      <c r="D28" s="209"/>
      <c r="E28" s="209"/>
      <c r="F28" s="209"/>
    </row>
    <row r="29" customFormat="false" ht="15" hidden="false" customHeight="true" outlineLevel="0" collapsed="false">
      <c r="A29" s="210" t="s">
        <v>696</v>
      </c>
      <c r="B29" s="210" t="s">
        <v>697</v>
      </c>
      <c r="C29" s="210" t="s">
        <v>698</v>
      </c>
      <c r="D29" s="210" t="s">
        <v>699</v>
      </c>
    </row>
    <row r="30" customFormat="false" ht="144.75" hidden="false" customHeight="true" outlineLevel="0" collapsed="false">
      <c r="A30" s="211" t="s">
        <v>725</v>
      </c>
      <c r="B30" s="211" t="s">
        <v>726</v>
      </c>
      <c r="C30" s="211" t="s">
        <v>727</v>
      </c>
      <c r="D30" s="212" t="s">
        <v>728</v>
      </c>
      <c r="E30" s="212"/>
      <c r="F30" s="212"/>
    </row>
    <row r="32" customFormat="false" ht="15" hidden="false" customHeight="true" outlineLevel="0" collapsed="false">
      <c r="A32" s="209" t="s">
        <v>729</v>
      </c>
      <c r="B32" s="209"/>
      <c r="C32" s="209"/>
      <c r="D32" s="209"/>
      <c r="E32" s="209"/>
      <c r="F32" s="209"/>
    </row>
    <row r="33" customFormat="false" ht="15" hidden="false" customHeight="true" outlineLevel="0" collapsed="false">
      <c r="A33" s="210" t="s">
        <v>696</v>
      </c>
      <c r="B33" s="210" t="s">
        <v>697</v>
      </c>
      <c r="C33" s="210" t="s">
        <v>698</v>
      </c>
      <c r="D33" s="210" t="s">
        <v>699</v>
      </c>
    </row>
    <row r="34" customFormat="false" ht="99.75" hidden="false" customHeight="true" outlineLevel="0" collapsed="false">
      <c r="A34" s="211" t="s">
        <v>708</v>
      </c>
      <c r="B34" s="211" t="s">
        <v>730</v>
      </c>
      <c r="C34" s="211" t="s">
        <v>731</v>
      </c>
      <c r="D34" s="212" t="s">
        <v>732</v>
      </c>
      <c r="E34" s="212"/>
      <c r="F34" s="212"/>
    </row>
    <row r="36" customFormat="false" ht="15" hidden="false" customHeight="true" outlineLevel="0" collapsed="false">
      <c r="A36" s="209" t="s">
        <v>733</v>
      </c>
      <c r="B36" s="209"/>
      <c r="C36" s="209"/>
      <c r="D36" s="209"/>
      <c r="E36" s="209"/>
      <c r="F36" s="209"/>
    </row>
    <row r="37" customFormat="false" ht="15" hidden="false" customHeight="true" outlineLevel="0" collapsed="false">
      <c r="A37" s="210" t="s">
        <v>696</v>
      </c>
      <c r="B37" s="210" t="s">
        <v>697</v>
      </c>
      <c r="C37" s="210" t="s">
        <v>698</v>
      </c>
      <c r="D37" s="210" t="s">
        <v>699</v>
      </c>
    </row>
    <row r="38" customFormat="false" ht="162" hidden="false" customHeight="true" outlineLevel="0" collapsed="false">
      <c r="A38" s="211" t="s">
        <v>717</v>
      </c>
      <c r="B38" s="211" t="s">
        <v>701</v>
      </c>
      <c r="C38" s="211" t="s">
        <v>734</v>
      </c>
      <c r="D38" s="212" t="s">
        <v>735</v>
      </c>
      <c r="E38" s="212"/>
      <c r="F38" s="212"/>
    </row>
    <row r="40" customFormat="false" ht="15" hidden="false" customHeight="true" outlineLevel="0" collapsed="false">
      <c r="A40" s="209" t="s">
        <v>736</v>
      </c>
      <c r="B40" s="209"/>
      <c r="C40" s="209"/>
      <c r="D40" s="209"/>
      <c r="E40" s="209"/>
      <c r="F40" s="209"/>
    </row>
    <row r="41" customFormat="false" ht="15" hidden="false" customHeight="true" outlineLevel="0" collapsed="false">
      <c r="A41" s="210" t="s">
        <v>696</v>
      </c>
      <c r="B41" s="210" t="s">
        <v>697</v>
      </c>
      <c r="C41" s="210" t="s">
        <v>698</v>
      </c>
      <c r="D41" s="210" t="s">
        <v>699</v>
      </c>
    </row>
    <row r="42" customFormat="false" ht="90.75" hidden="false" customHeight="true" outlineLevel="0" collapsed="false">
      <c r="A42" s="211" t="s">
        <v>737</v>
      </c>
      <c r="B42" s="211" t="s">
        <v>701</v>
      </c>
      <c r="C42" s="211" t="s">
        <v>738</v>
      </c>
      <c r="D42" s="212" t="s">
        <v>739</v>
      </c>
      <c r="E42" s="212"/>
      <c r="F42" s="212"/>
    </row>
    <row r="44" customFormat="false" ht="15" hidden="false" customHeight="true" outlineLevel="0" collapsed="false">
      <c r="A44" s="209" t="s">
        <v>740</v>
      </c>
      <c r="B44" s="209"/>
      <c r="C44" s="209"/>
      <c r="D44" s="209"/>
      <c r="E44" s="209"/>
      <c r="F44" s="209"/>
    </row>
    <row r="45" customFormat="false" ht="15" hidden="false" customHeight="true" outlineLevel="0" collapsed="false">
      <c r="A45" s="210" t="s">
        <v>696</v>
      </c>
      <c r="B45" s="210" t="s">
        <v>697</v>
      </c>
      <c r="C45" s="210" t="s">
        <v>698</v>
      </c>
      <c r="D45" s="210" t="s">
        <v>699</v>
      </c>
    </row>
    <row r="46" customFormat="false" ht="90.75" hidden="false" customHeight="true" outlineLevel="0" collapsed="false">
      <c r="A46" s="211" t="s">
        <v>741</v>
      </c>
      <c r="B46" s="211" t="s">
        <v>701</v>
      </c>
      <c r="C46" s="211" t="s">
        <v>742</v>
      </c>
      <c r="D46" s="212" t="s">
        <v>743</v>
      </c>
      <c r="E46" s="212"/>
      <c r="F46" s="212"/>
    </row>
    <row r="48" customFormat="false" ht="15" hidden="false" customHeight="true" outlineLevel="0" collapsed="false">
      <c r="A48" s="209" t="s">
        <v>744</v>
      </c>
      <c r="B48" s="209"/>
      <c r="C48" s="209"/>
      <c r="D48" s="209"/>
      <c r="E48" s="209"/>
      <c r="F48" s="209"/>
    </row>
    <row r="49" customFormat="false" ht="15" hidden="false" customHeight="true" outlineLevel="0" collapsed="false">
      <c r="A49" s="210" t="s">
        <v>696</v>
      </c>
      <c r="B49" s="210" t="s">
        <v>697</v>
      </c>
      <c r="C49" s="210" t="s">
        <v>698</v>
      </c>
      <c r="D49" s="210" t="s">
        <v>699</v>
      </c>
    </row>
    <row r="50" customFormat="false" ht="81.75" hidden="false" customHeight="true" outlineLevel="0" collapsed="false">
      <c r="A50" s="211" t="s">
        <v>708</v>
      </c>
      <c r="B50" s="211" t="s">
        <v>745</v>
      </c>
      <c r="C50" s="211" t="s">
        <v>746</v>
      </c>
      <c r="D50" s="212" t="s">
        <v>747</v>
      </c>
      <c r="E50" s="212"/>
      <c r="F50" s="212"/>
    </row>
    <row r="52" customFormat="false" ht="15" hidden="false" customHeight="true" outlineLevel="0" collapsed="false">
      <c r="A52" s="209" t="s">
        <v>748</v>
      </c>
      <c r="B52" s="209"/>
      <c r="C52" s="209"/>
      <c r="D52" s="209"/>
      <c r="E52" s="209"/>
      <c r="F52" s="209"/>
    </row>
    <row r="53" customFormat="false" ht="15" hidden="false" customHeight="true" outlineLevel="0" collapsed="false">
      <c r="A53" s="210" t="s">
        <v>696</v>
      </c>
      <c r="B53" s="210" t="s">
        <v>697</v>
      </c>
      <c r="C53" s="210" t="s">
        <v>698</v>
      </c>
      <c r="D53" s="210" t="s">
        <v>699</v>
      </c>
    </row>
    <row r="54" customFormat="false" ht="27.75" hidden="false" customHeight="true" outlineLevel="0" collapsed="false">
      <c r="A54" s="211" t="s">
        <v>708</v>
      </c>
      <c r="B54" s="211" t="s">
        <v>749</v>
      </c>
      <c r="C54" s="211" t="s">
        <v>750</v>
      </c>
      <c r="D54" s="212" t="s">
        <v>751</v>
      </c>
      <c r="E54" s="212"/>
      <c r="F54" s="212"/>
    </row>
    <row r="56" customFormat="false" ht="15" hidden="false" customHeight="true" outlineLevel="0" collapsed="false">
      <c r="A56" s="209" t="s">
        <v>752</v>
      </c>
      <c r="B56" s="209"/>
      <c r="C56" s="209"/>
      <c r="D56" s="209"/>
      <c r="E56" s="209"/>
      <c r="F56" s="209"/>
    </row>
    <row r="57" customFormat="false" ht="15" hidden="false" customHeight="true" outlineLevel="0" collapsed="false">
      <c r="A57" s="210" t="s">
        <v>696</v>
      </c>
      <c r="B57" s="210" t="s">
        <v>697</v>
      </c>
      <c r="C57" s="210" t="s">
        <v>698</v>
      </c>
      <c r="D57" s="210" t="s">
        <v>699</v>
      </c>
    </row>
    <row r="58" customFormat="false" ht="333" hidden="false" customHeight="true" outlineLevel="0" collapsed="false">
      <c r="A58" s="211" t="s">
        <v>725</v>
      </c>
      <c r="B58" s="211" t="s">
        <v>753</v>
      </c>
      <c r="C58" s="211" t="s">
        <v>754</v>
      </c>
      <c r="D58" s="212" t="s">
        <v>755</v>
      </c>
      <c r="E58" s="212"/>
      <c r="F58" s="212"/>
    </row>
    <row r="60" customFormat="false" ht="15" hidden="false" customHeight="true" outlineLevel="0" collapsed="false">
      <c r="A60" s="209" t="s">
        <v>756</v>
      </c>
      <c r="B60" s="209"/>
      <c r="C60" s="209"/>
      <c r="D60" s="209"/>
      <c r="E60" s="209"/>
      <c r="F60" s="209"/>
    </row>
    <row r="61" customFormat="false" ht="15" hidden="false" customHeight="true" outlineLevel="0" collapsed="false">
      <c r="A61" s="210" t="s">
        <v>696</v>
      </c>
      <c r="B61" s="210" t="s">
        <v>697</v>
      </c>
      <c r="C61" s="210" t="s">
        <v>698</v>
      </c>
      <c r="D61" s="210" t="s">
        <v>699</v>
      </c>
    </row>
    <row r="62" customFormat="false" ht="409.5" hidden="false" customHeight="true" outlineLevel="0" collapsed="false">
      <c r="A62" s="211" t="s">
        <v>725</v>
      </c>
      <c r="B62" s="211" t="s">
        <v>757</v>
      </c>
      <c r="C62" s="211" t="s">
        <v>758</v>
      </c>
      <c r="D62" s="212" t="s">
        <v>759</v>
      </c>
      <c r="E62" s="212"/>
      <c r="F62" s="212"/>
    </row>
    <row r="64" customFormat="false" ht="15" hidden="false" customHeight="true" outlineLevel="0" collapsed="false">
      <c r="A64" s="209" t="s">
        <v>760</v>
      </c>
      <c r="B64" s="209"/>
      <c r="C64" s="209"/>
      <c r="D64" s="209"/>
      <c r="E64" s="209"/>
      <c r="F64" s="209"/>
    </row>
    <row r="65" customFormat="false" ht="15" hidden="false" customHeight="true" outlineLevel="0" collapsed="false">
      <c r="A65" s="210" t="s">
        <v>696</v>
      </c>
      <c r="B65" s="210" t="s">
        <v>697</v>
      </c>
      <c r="C65" s="210" t="s">
        <v>698</v>
      </c>
      <c r="D65" s="210" t="s">
        <v>699</v>
      </c>
    </row>
    <row r="66" customFormat="false" ht="45.75" hidden="false" customHeight="true" outlineLevel="0" collapsed="false">
      <c r="A66" s="211" t="s">
        <v>708</v>
      </c>
      <c r="B66" s="211" t="s">
        <v>761</v>
      </c>
      <c r="C66" s="211" t="s">
        <v>762</v>
      </c>
      <c r="D66" s="212" t="s">
        <v>763</v>
      </c>
      <c r="E66" s="212"/>
      <c r="F66" s="212"/>
    </row>
    <row r="68" customFormat="false" ht="15" hidden="false" customHeight="true" outlineLevel="0" collapsed="false">
      <c r="A68" s="209" t="s">
        <v>764</v>
      </c>
      <c r="B68" s="209"/>
      <c r="C68" s="209"/>
      <c r="D68" s="209"/>
      <c r="E68" s="209"/>
      <c r="F68" s="209"/>
    </row>
    <row r="69" customFormat="false" ht="15" hidden="false" customHeight="true" outlineLevel="0" collapsed="false">
      <c r="A69" s="210" t="s">
        <v>696</v>
      </c>
      <c r="B69" s="210" t="s">
        <v>697</v>
      </c>
      <c r="C69" s="210" t="s">
        <v>698</v>
      </c>
      <c r="D69" s="210" t="s">
        <v>699</v>
      </c>
    </row>
    <row r="70" customFormat="false" ht="15" hidden="false" customHeight="true" outlineLevel="0" collapsed="false">
      <c r="A70" s="211" t="s">
        <v>708</v>
      </c>
      <c r="B70" s="211" t="s">
        <v>765</v>
      </c>
      <c r="C70" s="211" t="s">
        <v>766</v>
      </c>
      <c r="D70" s="212" t="s">
        <v>767</v>
      </c>
      <c r="E70" s="212"/>
      <c r="F70" s="212"/>
    </row>
    <row r="72" customFormat="false" ht="15" hidden="false" customHeight="true" outlineLevel="0" collapsed="false">
      <c r="A72" s="209" t="s">
        <v>768</v>
      </c>
      <c r="B72" s="209"/>
      <c r="C72" s="209"/>
      <c r="D72" s="209"/>
      <c r="E72" s="209"/>
      <c r="F72" s="209"/>
    </row>
    <row r="73" customFormat="false" ht="15" hidden="false" customHeight="true" outlineLevel="0" collapsed="false">
      <c r="A73" s="210" t="s">
        <v>696</v>
      </c>
      <c r="B73" s="210" t="s">
        <v>697</v>
      </c>
      <c r="C73" s="210" t="s">
        <v>698</v>
      </c>
      <c r="D73" s="210" t="s">
        <v>699</v>
      </c>
    </row>
    <row r="74" customFormat="false" ht="117.75" hidden="false" customHeight="true" outlineLevel="0" collapsed="false">
      <c r="A74" s="211" t="s">
        <v>708</v>
      </c>
      <c r="B74" s="211" t="s">
        <v>769</v>
      </c>
      <c r="C74" s="211" t="s">
        <v>770</v>
      </c>
      <c r="D74" s="212" t="s">
        <v>771</v>
      </c>
      <c r="E74" s="212"/>
      <c r="F74" s="212"/>
    </row>
    <row r="76" customFormat="false" ht="15" hidden="false" customHeight="true" outlineLevel="0" collapsed="false">
      <c r="A76" s="209" t="s">
        <v>772</v>
      </c>
      <c r="B76" s="209"/>
      <c r="C76" s="209"/>
      <c r="D76" s="209"/>
      <c r="E76" s="209"/>
      <c r="F76" s="209"/>
    </row>
    <row r="77" customFormat="false" ht="15" hidden="false" customHeight="true" outlineLevel="0" collapsed="false">
      <c r="A77" s="210" t="s">
        <v>696</v>
      </c>
      <c r="B77" s="210" t="s">
        <v>697</v>
      </c>
      <c r="C77" s="210" t="s">
        <v>698</v>
      </c>
      <c r="D77" s="210" t="s">
        <v>699</v>
      </c>
    </row>
    <row r="78" customFormat="false" ht="135.75" hidden="false" customHeight="true" outlineLevel="0" collapsed="false">
      <c r="A78" s="211" t="s">
        <v>708</v>
      </c>
      <c r="B78" s="211" t="s">
        <v>773</v>
      </c>
      <c r="C78" s="211" t="s">
        <v>774</v>
      </c>
      <c r="D78" s="212" t="s">
        <v>775</v>
      </c>
      <c r="E78" s="212"/>
      <c r="F78" s="212"/>
    </row>
  </sheetData>
  <mergeCells count="4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 ref="A60:F60"/>
    <mergeCell ref="D62:F62"/>
    <mergeCell ref="A64:F64"/>
    <mergeCell ref="D66:F66"/>
    <mergeCell ref="A68:F68"/>
    <mergeCell ref="D70:F70"/>
    <mergeCell ref="A72:F72"/>
    <mergeCell ref="D74:F74"/>
    <mergeCell ref="A76:F76"/>
    <mergeCell ref="D78:F78"/>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7" activeCellId="0" sqref="F7"/>
    </sheetView>
  </sheetViews>
  <sheetFormatPr defaultColWidth="10.66796875" defaultRowHeight="14.25" customHeight="false" zeroHeight="false" outlineLevelRow="0" outlineLevelCol="0"/>
  <sheetData/>
  <printOptions headings="false" gridLines="false" gridLinesSet="true" horizontalCentered="false" verticalCentered="false"/>
  <pageMargins left="0.7" right="0.7" top="0.75" bottom="0.75"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cp:lastPrinted>2026-09-13T01:05:49Z</cp:lastPrinted>
  <dcterms:modified xsi:type="dcterms:W3CDTF">2026-09-30T14:39:01Z</dcterms:modified>
  <cp:revision>166</cp:revision>
  <dc:subject/>
  <dc:title/>
</cp:coreProperties>
</file>

<file path=docProps/custom.xml><?xml version="1.0" encoding="utf-8"?>
<Properties xmlns="http://schemas.openxmlformats.org/officeDocument/2006/custom-properties" xmlns:vt="http://schemas.openxmlformats.org/officeDocument/2006/docPropsVTypes"/>
</file>