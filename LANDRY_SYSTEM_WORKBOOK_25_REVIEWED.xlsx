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omments2.xml" ContentType="application/vnd.openxmlformats-officedocument.spreadsheetml.comments+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3.xml" ContentType="application/vnd.openxmlformats-officedocument.spreadsheetml.comments+xml"/>
  <Override PartName="/xl/tables/table10.xml" ContentType="application/vnd.openxmlformats-officedocument.spreadsheetml.table+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lanl\GitHub\Stock_Picker\"/>
    </mc:Choice>
  </mc:AlternateContent>
  <xr:revisionPtr revIDLastSave="0" documentId="13_ncr:1_{CEB2F568-7FA8-4FB3-8563-550EAB22EC2D}" xr6:coauthVersionLast="47" xr6:coauthVersionMax="47" xr10:uidLastSave="{00000000-0000-0000-0000-000000000000}"/>
  <bookViews>
    <workbookView xWindow="1572" yWindow="276" windowWidth="21312" windowHeight="12324" tabRatio="692" firstSheet="15" activeTab="20" xr2:uid="{00000000-000D-0000-FFFF-FFFF00000000}"/>
  </bookViews>
  <sheets>
    <sheet name="Instructions" sheetId="1" r:id="rId1"/>
    <sheet name="Action Items" sheetId="2" r:id="rId2"/>
    <sheet name="Current Positions" sheetId="3" r:id="rId3"/>
    <sheet name="Monitor &amp; Recheck Triggers" sheetId="4" r:id="rId4"/>
    <sheet name="Price History" sheetId="5" r:id="rId5"/>
    <sheet name="Dashboard" sheetId="6" r:id="rId6"/>
    <sheet name="Scoring" sheetId="7" r:id="rId7"/>
    <sheet name="Entry Checklist" sheetId="8" r:id="rId8"/>
    <sheet name="Market Data" sheetId="9" r:id="rId9"/>
    <sheet name="Returns (Calc)" sheetId="10" r:id="rId10"/>
    <sheet name="Correlation Matrix" sheetId="11" r:id="rId11"/>
    <sheet name="Portfolio Drawdown Log" sheetId="12" r:id="rId12"/>
    <sheet name="Watch List Tracker" sheetId="13" r:id="rId13"/>
    <sheet name="Implied-Return Calculator" sheetId="14" r:id="rId14"/>
    <sheet name="Holding Monitor" sheetId="15" r:id="rId15"/>
    <sheet name="Performance Tracking" sheetId="16" r:id="rId16"/>
    <sheet name="Journal" sheetId="17" r:id="rId17"/>
    <sheet name="Process Checklist" sheetId="18" r:id="rId18"/>
    <sheet name="Open Items" sheetId="19" r:id="rId19"/>
    <sheet name="Schema Reference" sheetId="20" r:id="rId20"/>
    <sheet name="Scratchpad (disregard)" sheetId="21" r:id="rId21"/>
  </sheets>
  <definedNames>
    <definedName name="_xlnm._FilterDatabase" localSheetId="8" hidden="1">'Market Data'!$A$2:$I$44</definedName>
    <definedName name="_xlnm._FilterDatabase" localSheetId="6" hidden="1">Scoring!$A$2:$AS$62</definedName>
    <definedName name="_xlnm.Print_Area" localSheetId="16">Journal!$A$1:$C$302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165" i="5" l="1"/>
  <c r="C2" i="19"/>
  <c r="E94" i="18"/>
  <c r="F94" i="18" s="1"/>
  <c r="E93" i="18"/>
  <c r="F93" i="18" s="1"/>
  <c r="E92" i="18"/>
  <c r="F92" i="18" s="1"/>
  <c r="E91" i="18"/>
  <c r="F91" i="18" s="1"/>
  <c r="E90" i="18"/>
  <c r="F90" i="18" s="1"/>
  <c r="E89" i="18"/>
  <c r="F89" i="18" s="1"/>
  <c r="E88" i="18"/>
  <c r="F88" i="18" s="1"/>
  <c r="E87" i="18"/>
  <c r="F87" i="18" s="1"/>
  <c r="E86" i="18"/>
  <c r="F86" i="18" s="1"/>
  <c r="E79" i="18"/>
  <c r="F79" i="18" s="1"/>
  <c r="E78" i="18"/>
  <c r="F78" i="18" s="1"/>
  <c r="E77" i="18"/>
  <c r="F77" i="18" s="1"/>
  <c r="E76" i="18"/>
  <c r="F76" i="18" s="1"/>
  <c r="E75" i="18"/>
  <c r="F75" i="18" s="1"/>
  <c r="E74" i="18"/>
  <c r="F74" i="18" s="1"/>
  <c r="E73" i="18"/>
  <c r="F73" i="18" s="1"/>
  <c r="E72" i="18"/>
  <c r="F72" i="18" s="1"/>
  <c r="E71" i="18"/>
  <c r="F71" i="18" s="1"/>
  <c r="E70" i="18"/>
  <c r="F70" i="18" s="1"/>
  <c r="E69" i="18"/>
  <c r="F69" i="18" s="1"/>
  <c r="E68" i="18"/>
  <c r="F68" i="18" s="1"/>
  <c r="E67" i="18"/>
  <c r="F67" i="18" s="1"/>
  <c r="E66" i="18"/>
  <c r="F66" i="18" s="1"/>
  <c r="E65" i="18"/>
  <c r="F65" i="18" s="1"/>
  <c r="E64" i="18"/>
  <c r="F64" i="18" s="1"/>
  <c r="E63" i="18"/>
  <c r="F63" i="18" s="1"/>
  <c r="E62" i="18"/>
  <c r="F62" i="18" s="1"/>
  <c r="E61" i="18"/>
  <c r="F61" i="18" s="1"/>
  <c r="E60" i="18"/>
  <c r="F60" i="18" s="1"/>
  <c r="E59" i="18"/>
  <c r="F59" i="18" s="1"/>
  <c r="E58" i="18"/>
  <c r="F58" i="18" s="1"/>
  <c r="E57" i="18"/>
  <c r="F57" i="18" s="1"/>
  <c r="E56" i="18"/>
  <c r="F56" i="18" s="1"/>
  <c r="E55" i="18"/>
  <c r="F55" i="18" s="1"/>
  <c r="E54" i="18"/>
  <c r="F54" i="18" s="1"/>
  <c r="E53" i="18"/>
  <c r="F53" i="18" s="1"/>
  <c r="E52" i="18"/>
  <c r="F52" i="18" s="1"/>
  <c r="E51" i="18"/>
  <c r="F51" i="18" s="1"/>
  <c r="E50" i="18"/>
  <c r="F50" i="18" s="1"/>
  <c r="E49" i="18"/>
  <c r="F49" i="18" s="1"/>
  <c r="E48" i="18"/>
  <c r="F48" i="18" s="1"/>
  <c r="E47" i="18"/>
  <c r="F47" i="18" s="1"/>
  <c r="E46" i="18"/>
  <c r="F46" i="18" s="1"/>
  <c r="E45" i="18"/>
  <c r="F45" i="18" s="1"/>
  <c r="E44" i="18"/>
  <c r="F44" i="18" s="1"/>
  <c r="E37" i="18"/>
  <c r="F37" i="18" s="1"/>
  <c r="E36" i="18"/>
  <c r="F36" i="18" s="1"/>
  <c r="E35" i="18"/>
  <c r="F35" i="18" s="1"/>
  <c r="E34" i="18"/>
  <c r="F34" i="18" s="1"/>
  <c r="E33" i="18"/>
  <c r="F33" i="18" s="1"/>
  <c r="E32" i="18"/>
  <c r="F32" i="18" s="1"/>
  <c r="E31" i="18"/>
  <c r="F31" i="18" s="1"/>
  <c r="E30" i="18"/>
  <c r="F30" i="18" s="1"/>
  <c r="E29" i="18"/>
  <c r="F29" i="18" s="1"/>
  <c r="E28" i="18"/>
  <c r="F28" i="18" s="1"/>
  <c r="E27" i="18"/>
  <c r="F27" i="18" s="1"/>
  <c r="E26" i="18"/>
  <c r="F26" i="18" s="1"/>
  <c r="E25" i="18"/>
  <c r="F25" i="18" s="1"/>
  <c r="E24" i="18"/>
  <c r="F24" i="18" s="1"/>
  <c r="E23" i="18"/>
  <c r="F23" i="18" s="1"/>
  <c r="E22" i="18"/>
  <c r="F22" i="18" s="1"/>
  <c r="E21" i="18"/>
  <c r="F21" i="18" s="1"/>
  <c r="E20" i="18"/>
  <c r="F20" i="18" s="1"/>
  <c r="E19" i="18"/>
  <c r="F19" i="18" s="1"/>
  <c r="E18" i="18"/>
  <c r="F18" i="18" s="1"/>
  <c r="E17" i="18"/>
  <c r="F17" i="18" s="1"/>
  <c r="E16" i="18"/>
  <c r="F16" i="18" s="1"/>
  <c r="E15" i="18"/>
  <c r="F15" i="18" s="1"/>
  <c r="E14" i="18"/>
  <c r="F14" i="18" s="1"/>
  <c r="E13" i="18"/>
  <c r="F13" i="18" s="1"/>
  <c r="E12" i="18"/>
  <c r="F12" i="18" s="1"/>
  <c r="E11" i="18"/>
  <c r="F11" i="18" s="1"/>
  <c r="E99" i="18"/>
  <c r="F99" i="18" s="1"/>
  <c r="E98" i="18"/>
  <c r="F98" i="18" s="1"/>
  <c r="E97" i="18"/>
  <c r="F97" i="18" s="1"/>
  <c r="E96" i="18"/>
  <c r="F96" i="18" s="1"/>
  <c r="E95" i="18"/>
  <c r="F95" i="18" s="1"/>
  <c r="E85" i="18"/>
  <c r="F85" i="18" s="1"/>
  <c r="E84" i="18"/>
  <c r="F84" i="18" s="1"/>
  <c r="E83" i="18"/>
  <c r="F83" i="18" s="1"/>
  <c r="E82" i="18"/>
  <c r="F82" i="18" s="1"/>
  <c r="E81" i="18"/>
  <c r="F81" i="18" s="1"/>
  <c r="E80" i="18"/>
  <c r="F80" i="18" s="1"/>
  <c r="E43" i="18"/>
  <c r="F43" i="18" s="1"/>
  <c r="E42" i="18"/>
  <c r="F42" i="18" s="1"/>
  <c r="E41" i="18"/>
  <c r="F41" i="18" s="1"/>
  <c r="E40" i="18"/>
  <c r="F40" i="18" s="1"/>
  <c r="E39" i="18"/>
  <c r="F39" i="18" s="1"/>
  <c r="E38" i="18"/>
  <c r="F38" i="18" s="1"/>
  <c r="E10" i="18"/>
  <c r="F10" i="18" s="1"/>
  <c r="E9" i="18"/>
  <c r="F9" i="18" s="1"/>
  <c r="E8" i="18"/>
  <c r="F8" i="18" s="1"/>
  <c r="E7" i="18"/>
  <c r="F7" i="18" s="1"/>
  <c r="E6" i="18"/>
  <c r="F6" i="18" s="1"/>
  <c r="E5" i="18"/>
  <c r="F5" i="18" s="1"/>
  <c r="C2" i="18" s="1"/>
  <c r="P32" i="16"/>
  <c r="O32" i="16"/>
  <c r="Q32" i="16" s="1"/>
  <c r="P31" i="16"/>
  <c r="O31" i="16"/>
  <c r="Q31" i="16" s="1"/>
  <c r="P30" i="16"/>
  <c r="O30" i="16"/>
  <c r="Q30" i="16" s="1"/>
  <c r="P29" i="16"/>
  <c r="O29" i="16"/>
  <c r="Q29" i="16" s="1"/>
  <c r="P28" i="16"/>
  <c r="O28" i="16"/>
  <c r="Q28" i="16" s="1"/>
  <c r="P27" i="16"/>
  <c r="O27" i="16"/>
  <c r="Q27" i="16" s="1"/>
  <c r="P26" i="16"/>
  <c r="O26" i="16"/>
  <c r="Q26" i="16" s="1"/>
  <c r="P25" i="16"/>
  <c r="O25" i="16"/>
  <c r="Q25" i="16" s="1"/>
  <c r="P24" i="16"/>
  <c r="O24" i="16"/>
  <c r="Q24" i="16" s="1"/>
  <c r="P23" i="16"/>
  <c r="O23" i="16"/>
  <c r="Q23" i="16" s="1"/>
  <c r="P22" i="16"/>
  <c r="O22" i="16"/>
  <c r="Q22" i="16" s="1"/>
  <c r="P21" i="16"/>
  <c r="O21" i="16"/>
  <c r="Q21" i="16" s="1"/>
  <c r="P20" i="16"/>
  <c r="O20" i="16"/>
  <c r="Q20" i="16" s="1"/>
  <c r="P19" i="16"/>
  <c r="O19" i="16"/>
  <c r="Q19" i="16" s="1"/>
  <c r="P18" i="16"/>
  <c r="O18" i="16"/>
  <c r="Q18" i="16" s="1"/>
  <c r="P17" i="16"/>
  <c r="O17" i="16"/>
  <c r="Q17" i="16" s="1"/>
  <c r="P16" i="16"/>
  <c r="O16" i="16"/>
  <c r="Q16" i="16" s="1"/>
  <c r="P15" i="16"/>
  <c r="O15" i="16"/>
  <c r="Q15" i="16" s="1"/>
  <c r="P14" i="16"/>
  <c r="O14" i="16"/>
  <c r="Q14" i="16" s="1"/>
  <c r="P13" i="16"/>
  <c r="O13" i="16"/>
  <c r="Q13" i="16" s="1"/>
  <c r="P12" i="16"/>
  <c r="O12" i="16"/>
  <c r="Q12" i="16" s="1"/>
  <c r="P11" i="16"/>
  <c r="O11" i="16"/>
  <c r="Q11" i="16" s="1"/>
  <c r="P10" i="16"/>
  <c r="O10" i="16"/>
  <c r="Q10" i="16" s="1"/>
  <c r="P9" i="16"/>
  <c r="O9" i="16"/>
  <c r="Q9" i="16" s="1"/>
  <c r="P8" i="16"/>
  <c r="O8" i="16"/>
  <c r="Q8" i="16" s="1"/>
  <c r="P7" i="16"/>
  <c r="O7" i="16"/>
  <c r="Q7" i="16" s="1"/>
  <c r="P6" i="16"/>
  <c r="O6" i="16"/>
  <c r="Q6" i="16" s="1"/>
  <c r="P5" i="16"/>
  <c r="O5" i="16"/>
  <c r="Q5" i="16" s="1"/>
  <c r="P4" i="16"/>
  <c r="O4" i="16"/>
  <c r="Q4" i="16" s="1"/>
  <c r="P3" i="16"/>
  <c r="O3" i="16"/>
  <c r="Q3" i="16" s="1"/>
  <c r="Z23" i="15"/>
  <c r="S23" i="15"/>
  <c r="P23" i="15"/>
  <c r="M23" i="15"/>
  <c r="J23" i="15"/>
  <c r="G23" i="15"/>
  <c r="AB23" i="15" s="1"/>
  <c r="Z22" i="15"/>
  <c r="S22" i="15"/>
  <c r="P22" i="15"/>
  <c r="M22" i="15"/>
  <c r="J22" i="15"/>
  <c r="G22" i="15"/>
  <c r="AB22" i="15" s="1"/>
  <c r="Z21" i="15"/>
  <c r="S21" i="15"/>
  <c r="P21" i="15"/>
  <c r="M21" i="15"/>
  <c r="J21" i="15"/>
  <c r="G21" i="15"/>
  <c r="AB21" i="15" s="1"/>
  <c r="Z20" i="15"/>
  <c r="S20" i="15"/>
  <c r="P20" i="15"/>
  <c r="M20" i="15"/>
  <c r="J20" i="15"/>
  <c r="G20" i="15"/>
  <c r="AB20" i="15" s="1"/>
  <c r="Z19" i="15"/>
  <c r="S19" i="15"/>
  <c r="P19" i="15"/>
  <c r="M19" i="15"/>
  <c r="J19" i="15"/>
  <c r="G19" i="15"/>
  <c r="AB19" i="15" s="1"/>
  <c r="Z18" i="15"/>
  <c r="S18" i="15"/>
  <c r="P18" i="15"/>
  <c r="M18" i="15"/>
  <c r="J18" i="15"/>
  <c r="G18" i="15"/>
  <c r="AB18" i="15" s="1"/>
  <c r="Z17" i="15"/>
  <c r="S17" i="15"/>
  <c r="P17" i="15"/>
  <c r="M17" i="15"/>
  <c r="J17" i="15"/>
  <c r="G17" i="15"/>
  <c r="AB17" i="15" s="1"/>
  <c r="Z16" i="15"/>
  <c r="S16" i="15"/>
  <c r="P16" i="15"/>
  <c r="M16" i="15"/>
  <c r="J16" i="15"/>
  <c r="G16" i="15"/>
  <c r="AB16" i="15" s="1"/>
  <c r="Z15" i="15"/>
  <c r="S15" i="15"/>
  <c r="P15" i="15"/>
  <c r="M15" i="15"/>
  <c r="J15" i="15"/>
  <c r="G15" i="15"/>
  <c r="AB15" i="15" s="1"/>
  <c r="Z14" i="15"/>
  <c r="S14" i="15"/>
  <c r="P14" i="15"/>
  <c r="M14" i="15"/>
  <c r="J14" i="15"/>
  <c r="G14" i="15"/>
  <c r="AB14" i="15" s="1"/>
  <c r="Z13" i="15"/>
  <c r="S13" i="15"/>
  <c r="P13" i="15"/>
  <c r="M13" i="15"/>
  <c r="J13" i="15"/>
  <c r="G13" i="15"/>
  <c r="AB13" i="15" s="1"/>
  <c r="Z12" i="15"/>
  <c r="S12" i="15"/>
  <c r="P12" i="15"/>
  <c r="M12" i="15"/>
  <c r="J12" i="15"/>
  <c r="G12" i="15"/>
  <c r="AB12" i="15" s="1"/>
  <c r="Z11" i="15"/>
  <c r="S11" i="15"/>
  <c r="P11" i="15"/>
  <c r="M11" i="15"/>
  <c r="J11" i="15"/>
  <c r="G11" i="15"/>
  <c r="AB11" i="15" s="1"/>
  <c r="Z10" i="15"/>
  <c r="S10" i="15"/>
  <c r="P10" i="15"/>
  <c r="M10" i="15"/>
  <c r="J10" i="15"/>
  <c r="G10" i="15"/>
  <c r="AB10" i="15" s="1"/>
  <c r="Z9" i="15"/>
  <c r="S9" i="15"/>
  <c r="P9" i="15"/>
  <c r="M9" i="15"/>
  <c r="J9" i="15"/>
  <c r="G9" i="15"/>
  <c r="AB9" i="15" s="1"/>
  <c r="Z8" i="15"/>
  <c r="S8" i="15"/>
  <c r="P8" i="15"/>
  <c r="M8" i="15"/>
  <c r="J8" i="15"/>
  <c r="G8" i="15"/>
  <c r="AB8" i="15" s="1"/>
  <c r="Z7" i="15"/>
  <c r="S7" i="15"/>
  <c r="P7" i="15"/>
  <c r="M7" i="15"/>
  <c r="J7" i="15"/>
  <c r="G7" i="15"/>
  <c r="AB7" i="15" s="1"/>
  <c r="Z6" i="15"/>
  <c r="S6" i="15"/>
  <c r="P6" i="15"/>
  <c r="M6" i="15"/>
  <c r="J6" i="15"/>
  <c r="G6" i="15"/>
  <c r="AB6" i="15" s="1"/>
  <c r="Z5" i="15"/>
  <c r="S5" i="15"/>
  <c r="P5" i="15"/>
  <c r="M5" i="15"/>
  <c r="J5" i="15"/>
  <c r="G5" i="15"/>
  <c r="AB5" i="15" s="1"/>
  <c r="Z4" i="15"/>
  <c r="S4" i="15"/>
  <c r="P4" i="15"/>
  <c r="M4" i="15"/>
  <c r="J4" i="15"/>
  <c r="G4" i="15"/>
  <c r="AB4" i="15" s="1"/>
  <c r="U50" i="14"/>
  <c r="Q50" i="14"/>
  <c r="L50" i="14"/>
  <c r="T50" i="14" s="1"/>
  <c r="G50" i="14"/>
  <c r="S50" i="14" s="1"/>
  <c r="U49" i="14"/>
  <c r="Q49" i="14"/>
  <c r="L49" i="14"/>
  <c r="T49" i="14" s="1"/>
  <c r="G49" i="14"/>
  <c r="S49" i="14" s="1"/>
  <c r="U48" i="14"/>
  <c r="N47" i="8" s="1"/>
  <c r="Q47" i="8" s="1"/>
  <c r="Q48" i="14"/>
  <c r="L48" i="14"/>
  <c r="T48" i="14" s="1"/>
  <c r="M47" i="8" s="1"/>
  <c r="G48" i="14"/>
  <c r="S48" i="14" s="1"/>
  <c r="L47" i="8" s="1"/>
  <c r="U47" i="14"/>
  <c r="N46" i="8" s="1"/>
  <c r="Q46" i="8" s="1"/>
  <c r="S47" i="14"/>
  <c r="L46" i="8" s="1"/>
  <c r="Q47" i="14"/>
  <c r="L47" i="14"/>
  <c r="T47" i="14" s="1"/>
  <c r="M46" i="8" s="1"/>
  <c r="G47" i="14"/>
  <c r="U46" i="14"/>
  <c r="N45" i="8" s="1"/>
  <c r="Q45" i="8" s="1"/>
  <c r="Q46" i="14"/>
  <c r="L46" i="14"/>
  <c r="T46" i="14" s="1"/>
  <c r="M45" i="8" s="1"/>
  <c r="G46" i="14"/>
  <c r="S46" i="14" s="1"/>
  <c r="L45" i="8" s="1"/>
  <c r="U45" i="14"/>
  <c r="N44" i="8" s="1"/>
  <c r="Q44" i="8" s="1"/>
  <c r="Q45" i="14"/>
  <c r="L45" i="14"/>
  <c r="T45" i="14" s="1"/>
  <c r="M44" i="8" s="1"/>
  <c r="G45" i="14"/>
  <c r="S45" i="14" s="1"/>
  <c r="L44" i="8" s="1"/>
  <c r="U44" i="14"/>
  <c r="N43" i="8" s="1"/>
  <c r="Q43" i="8" s="1"/>
  <c r="Q44" i="14"/>
  <c r="L44" i="14"/>
  <c r="T44" i="14" s="1"/>
  <c r="M43" i="8" s="1"/>
  <c r="G44" i="14"/>
  <c r="S44" i="14" s="1"/>
  <c r="L43" i="8" s="1"/>
  <c r="U43" i="14"/>
  <c r="N42" i="8" s="1"/>
  <c r="Q42" i="8" s="1"/>
  <c r="Q43" i="14"/>
  <c r="L43" i="14"/>
  <c r="T43" i="14" s="1"/>
  <c r="M42" i="8" s="1"/>
  <c r="G43" i="14"/>
  <c r="S43" i="14" s="1"/>
  <c r="L42" i="8" s="1"/>
  <c r="U42" i="14"/>
  <c r="N41" i="8" s="1"/>
  <c r="Q41" i="8" s="1"/>
  <c r="Q42" i="14"/>
  <c r="L42" i="14"/>
  <c r="T42" i="14" s="1"/>
  <c r="M41" i="8" s="1"/>
  <c r="G42" i="14"/>
  <c r="S42" i="14" s="1"/>
  <c r="L41" i="8" s="1"/>
  <c r="U41" i="14"/>
  <c r="N40" i="8" s="1"/>
  <c r="Q40" i="8" s="1"/>
  <c r="Q41" i="14"/>
  <c r="L41" i="14"/>
  <c r="T41" i="14" s="1"/>
  <c r="M40" i="8" s="1"/>
  <c r="G41" i="14"/>
  <c r="S41" i="14" s="1"/>
  <c r="L40" i="8" s="1"/>
  <c r="U40" i="14"/>
  <c r="N39" i="8" s="1"/>
  <c r="Q39" i="8" s="1"/>
  <c r="Q40" i="14"/>
  <c r="L40" i="14"/>
  <c r="T40" i="14" s="1"/>
  <c r="M39" i="8" s="1"/>
  <c r="G40" i="14"/>
  <c r="S40" i="14" s="1"/>
  <c r="L39" i="8" s="1"/>
  <c r="U39" i="14"/>
  <c r="N38" i="8" s="1"/>
  <c r="Q38" i="8" s="1"/>
  <c r="Q39" i="14"/>
  <c r="L39" i="14"/>
  <c r="T39" i="14" s="1"/>
  <c r="M38" i="8" s="1"/>
  <c r="G39" i="14"/>
  <c r="S39" i="14" s="1"/>
  <c r="L38" i="8" s="1"/>
  <c r="U38" i="14"/>
  <c r="N37" i="8" s="1"/>
  <c r="Q37" i="8" s="1"/>
  <c r="Q38" i="14"/>
  <c r="L38" i="14"/>
  <c r="T38" i="14" s="1"/>
  <c r="M37" i="8" s="1"/>
  <c r="G38" i="14"/>
  <c r="S38" i="14" s="1"/>
  <c r="L37" i="8" s="1"/>
  <c r="U37" i="14"/>
  <c r="N36" i="8" s="1"/>
  <c r="Q36" i="8" s="1"/>
  <c r="Q37" i="14"/>
  <c r="L37" i="14"/>
  <c r="T37" i="14" s="1"/>
  <c r="M36" i="8" s="1"/>
  <c r="G37" i="14"/>
  <c r="S37" i="14" s="1"/>
  <c r="L36" i="8" s="1"/>
  <c r="U36" i="14"/>
  <c r="N35" i="8" s="1"/>
  <c r="Q35" i="8" s="1"/>
  <c r="Q36" i="14"/>
  <c r="L36" i="14"/>
  <c r="T36" i="14" s="1"/>
  <c r="M35" i="8" s="1"/>
  <c r="G36" i="14"/>
  <c r="S36" i="14" s="1"/>
  <c r="L35" i="8" s="1"/>
  <c r="U35" i="14"/>
  <c r="N34" i="8" s="1"/>
  <c r="Q34" i="8" s="1"/>
  <c r="Q35" i="14"/>
  <c r="L35" i="14"/>
  <c r="T35" i="14" s="1"/>
  <c r="M34" i="8" s="1"/>
  <c r="G35" i="14"/>
  <c r="S35" i="14" s="1"/>
  <c r="L34" i="8" s="1"/>
  <c r="U34" i="14"/>
  <c r="N33" i="8" s="1"/>
  <c r="Q33" i="8" s="1"/>
  <c r="Q34" i="14"/>
  <c r="L34" i="14"/>
  <c r="T34" i="14" s="1"/>
  <c r="M33" i="8" s="1"/>
  <c r="G34" i="14"/>
  <c r="S34" i="14" s="1"/>
  <c r="L33" i="8" s="1"/>
  <c r="U33" i="14"/>
  <c r="N32" i="8" s="1"/>
  <c r="Q32" i="8" s="1"/>
  <c r="Q33" i="14"/>
  <c r="L33" i="14"/>
  <c r="T33" i="14" s="1"/>
  <c r="M32" i="8" s="1"/>
  <c r="G33" i="14"/>
  <c r="S33" i="14" s="1"/>
  <c r="L32" i="8" s="1"/>
  <c r="U32" i="14"/>
  <c r="N31" i="8" s="1"/>
  <c r="Q31" i="8" s="1"/>
  <c r="Q32" i="14"/>
  <c r="L32" i="14"/>
  <c r="T32" i="14" s="1"/>
  <c r="M31" i="8" s="1"/>
  <c r="G32" i="14"/>
  <c r="S32" i="14" s="1"/>
  <c r="L31" i="8" s="1"/>
  <c r="U31" i="14"/>
  <c r="N30" i="8" s="1"/>
  <c r="Q30" i="8" s="1"/>
  <c r="Q31" i="14"/>
  <c r="L31" i="14"/>
  <c r="T31" i="14" s="1"/>
  <c r="M30" i="8" s="1"/>
  <c r="G31" i="14"/>
  <c r="S31" i="14" s="1"/>
  <c r="L30" i="8" s="1"/>
  <c r="U30" i="14"/>
  <c r="N29" i="8" s="1"/>
  <c r="Q29" i="8" s="1"/>
  <c r="Q30" i="14"/>
  <c r="L30" i="14"/>
  <c r="T30" i="14" s="1"/>
  <c r="M29" i="8" s="1"/>
  <c r="G30" i="14"/>
  <c r="S30" i="14" s="1"/>
  <c r="L29" i="8" s="1"/>
  <c r="U29" i="14"/>
  <c r="N28" i="8" s="1"/>
  <c r="Q28" i="8" s="1"/>
  <c r="T29" i="14"/>
  <c r="M28" i="8" s="1"/>
  <c r="Q29" i="14"/>
  <c r="L29" i="14"/>
  <c r="G29" i="14"/>
  <c r="S29" i="14" s="1"/>
  <c r="L28" i="8" s="1"/>
  <c r="U28" i="14"/>
  <c r="N27" i="8" s="1"/>
  <c r="Q27" i="8" s="1"/>
  <c r="Q28" i="14"/>
  <c r="L28" i="14"/>
  <c r="T28" i="14" s="1"/>
  <c r="M27" i="8" s="1"/>
  <c r="G28" i="14"/>
  <c r="S28" i="14" s="1"/>
  <c r="L27" i="8" s="1"/>
  <c r="U27" i="14"/>
  <c r="N26" i="8" s="1"/>
  <c r="Q26" i="8" s="1"/>
  <c r="Q27" i="14"/>
  <c r="L27" i="14"/>
  <c r="T27" i="14" s="1"/>
  <c r="M26" i="8" s="1"/>
  <c r="G27" i="14"/>
  <c r="S27" i="14" s="1"/>
  <c r="L26" i="8" s="1"/>
  <c r="U26" i="14"/>
  <c r="N25" i="8" s="1"/>
  <c r="Q25" i="8" s="1"/>
  <c r="Q26" i="14"/>
  <c r="L26" i="14"/>
  <c r="T26" i="14" s="1"/>
  <c r="M25" i="8" s="1"/>
  <c r="G26" i="14"/>
  <c r="S26" i="14" s="1"/>
  <c r="L25" i="8" s="1"/>
  <c r="U25" i="14"/>
  <c r="N24" i="8" s="1"/>
  <c r="Q24" i="8" s="1"/>
  <c r="Q25" i="14"/>
  <c r="L25" i="14"/>
  <c r="T25" i="14" s="1"/>
  <c r="M24" i="8" s="1"/>
  <c r="G25" i="14"/>
  <c r="S25" i="14" s="1"/>
  <c r="L24" i="8" s="1"/>
  <c r="U24" i="14"/>
  <c r="N23" i="8" s="1"/>
  <c r="Q23" i="8" s="1"/>
  <c r="Q24" i="14"/>
  <c r="L24" i="14"/>
  <c r="T24" i="14" s="1"/>
  <c r="M23" i="8" s="1"/>
  <c r="G24" i="14"/>
  <c r="S24" i="14" s="1"/>
  <c r="L23" i="8" s="1"/>
  <c r="U23" i="14"/>
  <c r="N22" i="8" s="1"/>
  <c r="Q22" i="8" s="1"/>
  <c r="Q23" i="14"/>
  <c r="L23" i="14"/>
  <c r="T23" i="14" s="1"/>
  <c r="M22" i="8" s="1"/>
  <c r="G23" i="14"/>
  <c r="S23" i="14" s="1"/>
  <c r="L22" i="8" s="1"/>
  <c r="U22" i="14"/>
  <c r="N21" i="8" s="1"/>
  <c r="Q21" i="8" s="1"/>
  <c r="Q22" i="14"/>
  <c r="L22" i="14"/>
  <c r="T22" i="14" s="1"/>
  <c r="M21" i="8" s="1"/>
  <c r="G22" i="14"/>
  <c r="S22" i="14" s="1"/>
  <c r="L21" i="8" s="1"/>
  <c r="U21" i="14"/>
  <c r="N20" i="8" s="1"/>
  <c r="Q21" i="14"/>
  <c r="L21" i="14"/>
  <c r="T21" i="14" s="1"/>
  <c r="M20" i="8" s="1"/>
  <c r="G21" i="14"/>
  <c r="S21" i="14" s="1"/>
  <c r="L20" i="8" s="1"/>
  <c r="U20" i="14"/>
  <c r="N19" i="8" s="1"/>
  <c r="Q20" i="14"/>
  <c r="L20" i="14"/>
  <c r="T20" i="14" s="1"/>
  <c r="M19" i="8" s="1"/>
  <c r="G20" i="14"/>
  <c r="S20" i="14" s="1"/>
  <c r="L19" i="8" s="1"/>
  <c r="U19" i="14"/>
  <c r="N18" i="8" s="1"/>
  <c r="Q18" i="8" s="1"/>
  <c r="Q19" i="14"/>
  <c r="L19" i="14"/>
  <c r="T19" i="14" s="1"/>
  <c r="M18" i="8" s="1"/>
  <c r="G19" i="14"/>
  <c r="S19" i="14" s="1"/>
  <c r="L18" i="8" s="1"/>
  <c r="U18" i="14"/>
  <c r="N17" i="8" s="1"/>
  <c r="Q17" i="8" s="1"/>
  <c r="Q18" i="14"/>
  <c r="L18" i="14"/>
  <c r="T18" i="14" s="1"/>
  <c r="M17" i="8" s="1"/>
  <c r="G18" i="14"/>
  <c r="S18" i="14" s="1"/>
  <c r="L17" i="8" s="1"/>
  <c r="U17" i="14"/>
  <c r="N16" i="8" s="1"/>
  <c r="Q16" i="8" s="1"/>
  <c r="Q17" i="14"/>
  <c r="L17" i="14"/>
  <c r="T17" i="14" s="1"/>
  <c r="M16" i="8" s="1"/>
  <c r="G17" i="14"/>
  <c r="S17" i="14" s="1"/>
  <c r="L16" i="8" s="1"/>
  <c r="U16" i="14"/>
  <c r="N15" i="8" s="1"/>
  <c r="Q15" i="8" s="1"/>
  <c r="Q16" i="14"/>
  <c r="L16" i="14"/>
  <c r="T16" i="14" s="1"/>
  <c r="M15" i="8" s="1"/>
  <c r="G16" i="14"/>
  <c r="S16" i="14" s="1"/>
  <c r="L15" i="8" s="1"/>
  <c r="U15" i="14"/>
  <c r="N14" i="8" s="1"/>
  <c r="Q14" i="8" s="1"/>
  <c r="Q15" i="14"/>
  <c r="L15" i="14"/>
  <c r="T15" i="14" s="1"/>
  <c r="M14" i="8" s="1"/>
  <c r="G15" i="14"/>
  <c r="S15" i="14" s="1"/>
  <c r="L14" i="8" s="1"/>
  <c r="U14" i="14"/>
  <c r="N13" i="8" s="1"/>
  <c r="Q13" i="8" s="1"/>
  <c r="Q14" i="14"/>
  <c r="L14" i="14"/>
  <c r="T14" i="14" s="1"/>
  <c r="M13" i="8" s="1"/>
  <c r="G14" i="14"/>
  <c r="S14" i="14" s="1"/>
  <c r="L13" i="8" s="1"/>
  <c r="U13" i="14"/>
  <c r="N12" i="8" s="1"/>
  <c r="Q12" i="8" s="1"/>
  <c r="Q13" i="14"/>
  <c r="L13" i="14"/>
  <c r="T13" i="14" s="1"/>
  <c r="M12" i="8" s="1"/>
  <c r="G13" i="14"/>
  <c r="S13" i="14" s="1"/>
  <c r="L12" i="8" s="1"/>
  <c r="U12" i="14"/>
  <c r="N11" i="8" s="1"/>
  <c r="Q11" i="8" s="1"/>
  <c r="Q12" i="14"/>
  <c r="L12" i="14"/>
  <c r="T12" i="14" s="1"/>
  <c r="M11" i="8" s="1"/>
  <c r="G12" i="14"/>
  <c r="S12" i="14" s="1"/>
  <c r="L11" i="8" s="1"/>
  <c r="U11" i="14"/>
  <c r="N10" i="8" s="1"/>
  <c r="Q10" i="8" s="1"/>
  <c r="Q11" i="14"/>
  <c r="L11" i="14"/>
  <c r="T11" i="14" s="1"/>
  <c r="M10" i="8" s="1"/>
  <c r="G11" i="14"/>
  <c r="S11" i="14" s="1"/>
  <c r="L10" i="8" s="1"/>
  <c r="U10" i="14"/>
  <c r="N9" i="8" s="1"/>
  <c r="Q9" i="8" s="1"/>
  <c r="Q10" i="14"/>
  <c r="L10" i="14"/>
  <c r="T10" i="14" s="1"/>
  <c r="M9" i="8" s="1"/>
  <c r="G10" i="14"/>
  <c r="S10" i="14" s="1"/>
  <c r="L9" i="8" s="1"/>
  <c r="U9" i="14"/>
  <c r="N8" i="8" s="1"/>
  <c r="Q8" i="8" s="1"/>
  <c r="Q9" i="14"/>
  <c r="L9" i="14"/>
  <c r="T9" i="14" s="1"/>
  <c r="M8" i="8" s="1"/>
  <c r="G9" i="14"/>
  <c r="S9" i="14" s="1"/>
  <c r="L8" i="8" s="1"/>
  <c r="U8" i="14"/>
  <c r="N7" i="8" s="1"/>
  <c r="Q7" i="8" s="1"/>
  <c r="Q8" i="14"/>
  <c r="L8" i="14"/>
  <c r="T8" i="14" s="1"/>
  <c r="M7" i="8" s="1"/>
  <c r="G8" i="14"/>
  <c r="S8" i="14" s="1"/>
  <c r="L7" i="8" s="1"/>
  <c r="U7" i="14"/>
  <c r="N6" i="8" s="1"/>
  <c r="Q6" i="8" s="1"/>
  <c r="Q7" i="14"/>
  <c r="L7" i="14"/>
  <c r="T7" i="14" s="1"/>
  <c r="M6" i="8" s="1"/>
  <c r="G7" i="14"/>
  <c r="S7" i="14" s="1"/>
  <c r="L6" i="8" s="1"/>
  <c r="U6" i="14"/>
  <c r="N5" i="8" s="1"/>
  <c r="Q5" i="8" s="1"/>
  <c r="Q6" i="14"/>
  <c r="L6" i="14"/>
  <c r="T6" i="14" s="1"/>
  <c r="M5" i="8" s="1"/>
  <c r="G6" i="14"/>
  <c r="S6" i="14" s="1"/>
  <c r="L5" i="8" s="1"/>
  <c r="U5" i="14"/>
  <c r="N4" i="8" s="1"/>
  <c r="Q4" i="8" s="1"/>
  <c r="Q5" i="14"/>
  <c r="L5" i="14"/>
  <c r="T5" i="14" s="1"/>
  <c r="M4" i="8" s="1"/>
  <c r="G5" i="14"/>
  <c r="S5" i="14" s="1"/>
  <c r="L4" i="8" s="1"/>
  <c r="U4" i="14"/>
  <c r="N3" i="8" s="1"/>
  <c r="Q3" i="8" s="1"/>
  <c r="Q4" i="14"/>
  <c r="L4" i="14"/>
  <c r="T4" i="14" s="1"/>
  <c r="M3" i="8" s="1"/>
  <c r="G4" i="14"/>
  <c r="S4" i="14" s="1"/>
  <c r="L3" i="8" s="1"/>
  <c r="K22" i="13"/>
  <c r="I22" i="13"/>
  <c r="J22" i="13" s="1"/>
  <c r="K21" i="13"/>
  <c r="I21" i="13"/>
  <c r="J21" i="13" s="1"/>
  <c r="K20" i="13"/>
  <c r="I20" i="13"/>
  <c r="J20" i="13" s="1"/>
  <c r="K19" i="13"/>
  <c r="I19" i="13"/>
  <c r="J19" i="13" s="1"/>
  <c r="K18" i="13"/>
  <c r="I18" i="13"/>
  <c r="J18" i="13" s="1"/>
  <c r="K17" i="13"/>
  <c r="I17" i="13"/>
  <c r="J17" i="13" s="1"/>
  <c r="K16" i="13"/>
  <c r="I16" i="13"/>
  <c r="J16" i="13" s="1"/>
  <c r="K15" i="13"/>
  <c r="I15" i="13"/>
  <c r="J15" i="13" s="1"/>
  <c r="K14" i="13"/>
  <c r="I14" i="13"/>
  <c r="J14" i="13" s="1"/>
  <c r="K13" i="13"/>
  <c r="I13" i="13"/>
  <c r="J13" i="13" s="1"/>
  <c r="K12" i="13"/>
  <c r="I12" i="13"/>
  <c r="J12" i="13" s="1"/>
  <c r="K11" i="13"/>
  <c r="I11" i="13"/>
  <c r="J11" i="13" s="1"/>
  <c r="K10" i="13"/>
  <c r="I10" i="13"/>
  <c r="J10" i="13" s="1"/>
  <c r="K9" i="13"/>
  <c r="I9" i="13"/>
  <c r="J9" i="13" s="1"/>
  <c r="K8" i="13"/>
  <c r="I8" i="13"/>
  <c r="J8" i="13" s="1"/>
  <c r="K7" i="13"/>
  <c r="I7" i="13"/>
  <c r="J7" i="13" s="1"/>
  <c r="K6" i="13"/>
  <c r="I6" i="13"/>
  <c r="J6" i="13" s="1"/>
  <c r="K5" i="13"/>
  <c r="I5" i="13"/>
  <c r="J5" i="13" s="1"/>
  <c r="K4" i="13"/>
  <c r="I4" i="13"/>
  <c r="J4" i="13" s="1"/>
  <c r="K3" i="13"/>
  <c r="I3" i="13"/>
  <c r="J3" i="13" s="1"/>
  <c r="C42" i="12"/>
  <c r="D42" i="12" s="1"/>
  <c r="E42" i="12" s="1"/>
  <c r="C41" i="12"/>
  <c r="D41" i="12" s="1"/>
  <c r="E41" i="12" s="1"/>
  <c r="C40" i="12"/>
  <c r="D40" i="12" s="1"/>
  <c r="E40" i="12" s="1"/>
  <c r="C39" i="12"/>
  <c r="D39" i="12" s="1"/>
  <c r="E39" i="12" s="1"/>
  <c r="C38" i="12"/>
  <c r="D38" i="12" s="1"/>
  <c r="E38" i="12" s="1"/>
  <c r="C37" i="12"/>
  <c r="D37" i="12" s="1"/>
  <c r="E37" i="12" s="1"/>
  <c r="C36" i="12"/>
  <c r="D36" i="12" s="1"/>
  <c r="E36" i="12" s="1"/>
  <c r="C35" i="12"/>
  <c r="D35" i="12" s="1"/>
  <c r="E35" i="12" s="1"/>
  <c r="C34" i="12"/>
  <c r="D34" i="12" s="1"/>
  <c r="E34" i="12" s="1"/>
  <c r="C33" i="12"/>
  <c r="D33" i="12" s="1"/>
  <c r="E33" i="12" s="1"/>
  <c r="D32" i="12"/>
  <c r="E32" i="12" s="1"/>
  <c r="C32" i="12"/>
  <c r="C31" i="12"/>
  <c r="D31" i="12" s="1"/>
  <c r="E31" i="12" s="1"/>
  <c r="C30" i="12"/>
  <c r="D30" i="12" s="1"/>
  <c r="E30" i="12" s="1"/>
  <c r="C29" i="12"/>
  <c r="D29" i="12" s="1"/>
  <c r="E29" i="12" s="1"/>
  <c r="C28" i="12"/>
  <c r="D28" i="12" s="1"/>
  <c r="E28" i="12" s="1"/>
  <c r="C27" i="12"/>
  <c r="D27" i="12" s="1"/>
  <c r="E27" i="12" s="1"/>
  <c r="C26" i="12"/>
  <c r="D26" i="12" s="1"/>
  <c r="E26" i="12" s="1"/>
  <c r="C25" i="12"/>
  <c r="D25" i="12" s="1"/>
  <c r="E25" i="12" s="1"/>
  <c r="C24" i="12"/>
  <c r="D24" i="12" s="1"/>
  <c r="E24" i="12" s="1"/>
  <c r="C23" i="12"/>
  <c r="D23" i="12" s="1"/>
  <c r="E23" i="12" s="1"/>
  <c r="C22" i="12"/>
  <c r="D22" i="12" s="1"/>
  <c r="E22" i="12" s="1"/>
  <c r="C21" i="12"/>
  <c r="D21" i="12" s="1"/>
  <c r="E21" i="12" s="1"/>
  <c r="C20" i="12"/>
  <c r="D20" i="12" s="1"/>
  <c r="E20" i="12" s="1"/>
  <c r="C19" i="12"/>
  <c r="D19" i="12" s="1"/>
  <c r="E19" i="12" s="1"/>
  <c r="C18" i="12"/>
  <c r="D18" i="12" s="1"/>
  <c r="E18" i="12" s="1"/>
  <c r="C17" i="12"/>
  <c r="D17" i="12" s="1"/>
  <c r="E17" i="12" s="1"/>
  <c r="C16" i="12"/>
  <c r="D16" i="12" s="1"/>
  <c r="E16" i="12" s="1"/>
  <c r="C15" i="12"/>
  <c r="D15" i="12" s="1"/>
  <c r="E15" i="12" s="1"/>
  <c r="C14" i="12"/>
  <c r="D14" i="12" s="1"/>
  <c r="E14" i="12" s="1"/>
  <c r="C13" i="12"/>
  <c r="D13" i="12" s="1"/>
  <c r="E13" i="12" s="1"/>
  <c r="C12" i="12"/>
  <c r="D12" i="12" s="1"/>
  <c r="E12" i="12" s="1"/>
  <c r="C11" i="12"/>
  <c r="D11" i="12" s="1"/>
  <c r="E11" i="12" s="1"/>
  <c r="C10" i="12"/>
  <c r="D10" i="12" s="1"/>
  <c r="E10" i="12" s="1"/>
  <c r="C9" i="12"/>
  <c r="D9" i="12" s="1"/>
  <c r="E9" i="12" s="1"/>
  <c r="C8" i="12"/>
  <c r="D8" i="12" s="1"/>
  <c r="E8" i="12" s="1"/>
  <c r="C7" i="12"/>
  <c r="D7" i="12" s="1"/>
  <c r="E7" i="12" s="1"/>
  <c r="C6" i="12"/>
  <c r="D6" i="12" s="1"/>
  <c r="E6" i="12" s="1"/>
  <c r="C5" i="12"/>
  <c r="D5" i="12" s="1"/>
  <c r="E5" i="12" s="1"/>
  <c r="C4" i="12"/>
  <c r="D4" i="12" s="1"/>
  <c r="E4" i="12" s="1"/>
  <c r="C3" i="12"/>
  <c r="D3" i="12" s="1"/>
  <c r="A25" i="11"/>
  <c r="A24" i="11"/>
  <c r="A23" i="11"/>
  <c r="A22" i="11"/>
  <c r="A21" i="11"/>
  <c r="A20" i="11"/>
  <c r="A19" i="11"/>
  <c r="A18" i="11"/>
  <c r="A17" i="11"/>
  <c r="A16" i="11"/>
  <c r="A15" i="11"/>
  <c r="A14" i="11"/>
  <c r="A13" i="11"/>
  <c r="A11" i="11"/>
  <c r="A10" i="11"/>
  <c r="A9" i="11"/>
  <c r="A8" i="11"/>
  <c r="A7" i="11"/>
  <c r="A6" i="11"/>
  <c r="U5" i="11"/>
  <c r="T5" i="11"/>
  <c r="S5" i="11"/>
  <c r="R5" i="11"/>
  <c r="Q5" i="11"/>
  <c r="P5" i="11"/>
  <c r="O5" i="11"/>
  <c r="N5" i="11"/>
  <c r="M5" i="11"/>
  <c r="L5" i="11"/>
  <c r="K5" i="11"/>
  <c r="J5" i="11"/>
  <c r="I5" i="11"/>
  <c r="H5" i="11"/>
  <c r="G5" i="11"/>
  <c r="F5" i="11"/>
  <c r="E5" i="11"/>
  <c r="D5" i="11"/>
  <c r="C5" i="11"/>
  <c r="B5" i="11"/>
  <c r="V162" i="10"/>
  <c r="U162" i="10"/>
  <c r="T162" i="10"/>
  <c r="S162" i="10"/>
  <c r="R162" i="10"/>
  <c r="Q162" i="10"/>
  <c r="P162" i="10"/>
  <c r="O162" i="10"/>
  <c r="N162" i="10"/>
  <c r="M162" i="10"/>
  <c r="L162" i="10"/>
  <c r="K162" i="10"/>
  <c r="J162" i="10"/>
  <c r="I162" i="10"/>
  <c r="H162" i="10"/>
  <c r="G162" i="10"/>
  <c r="F162" i="10"/>
  <c r="E162" i="10"/>
  <c r="D162" i="10"/>
  <c r="C162" i="10"/>
  <c r="B162" i="10"/>
  <c r="A162" i="10"/>
  <c r="V161" i="10"/>
  <c r="U161" i="10"/>
  <c r="T161" i="10"/>
  <c r="S161" i="10"/>
  <c r="R161" i="10"/>
  <c r="Q161" i="10"/>
  <c r="P161" i="10"/>
  <c r="O161" i="10"/>
  <c r="N161" i="10"/>
  <c r="M161" i="10"/>
  <c r="L161" i="10"/>
  <c r="K161" i="10"/>
  <c r="J161" i="10"/>
  <c r="I161" i="10"/>
  <c r="H161" i="10"/>
  <c r="G161" i="10"/>
  <c r="F161" i="10"/>
  <c r="E161" i="10"/>
  <c r="D161" i="10"/>
  <c r="C161" i="10"/>
  <c r="B161" i="10"/>
  <c r="A161" i="10"/>
  <c r="V160" i="10"/>
  <c r="U160" i="10"/>
  <c r="T160" i="10"/>
  <c r="S160" i="10"/>
  <c r="R160" i="10"/>
  <c r="Q160" i="10"/>
  <c r="P160" i="10"/>
  <c r="O160" i="10"/>
  <c r="N160" i="10"/>
  <c r="M160" i="10"/>
  <c r="L160" i="10"/>
  <c r="K160" i="10"/>
  <c r="J160" i="10"/>
  <c r="I160" i="10"/>
  <c r="H160" i="10"/>
  <c r="G160" i="10"/>
  <c r="F160" i="10"/>
  <c r="E160" i="10"/>
  <c r="D160" i="10"/>
  <c r="C160" i="10"/>
  <c r="B160" i="10"/>
  <c r="A160" i="10"/>
  <c r="AO159" i="10"/>
  <c r="AN159" i="10"/>
  <c r="AM159" i="10"/>
  <c r="AL159" i="10"/>
  <c r="AK159" i="10"/>
  <c r="AJ159" i="10"/>
  <c r="AI159" i="10"/>
  <c r="AH159" i="10"/>
  <c r="AG159" i="10"/>
  <c r="AF159" i="10"/>
  <c r="AE159" i="10"/>
  <c r="AD159" i="10"/>
  <c r="AC159" i="10"/>
  <c r="AB159" i="10"/>
  <c r="AA159" i="10"/>
  <c r="Z159" i="10"/>
  <c r="Y159" i="10"/>
  <c r="X159" i="10"/>
  <c r="W159" i="10"/>
  <c r="V159" i="10"/>
  <c r="U159" i="10"/>
  <c r="T159" i="10"/>
  <c r="S159" i="10"/>
  <c r="R159" i="10"/>
  <c r="Q159" i="10"/>
  <c r="P159" i="10"/>
  <c r="O159" i="10"/>
  <c r="N159" i="10"/>
  <c r="M159" i="10"/>
  <c r="L159" i="10"/>
  <c r="K159" i="10"/>
  <c r="J159" i="10"/>
  <c r="I159" i="10"/>
  <c r="H159" i="10"/>
  <c r="G159" i="10"/>
  <c r="F159" i="10"/>
  <c r="E159" i="10"/>
  <c r="D159" i="10"/>
  <c r="C159" i="10"/>
  <c r="B159" i="10"/>
  <c r="A159" i="10"/>
  <c r="AO158" i="10"/>
  <c r="AN158" i="10"/>
  <c r="AM158" i="10"/>
  <c r="AL158" i="10"/>
  <c r="AK158" i="10"/>
  <c r="AJ158" i="10"/>
  <c r="AI158" i="10"/>
  <c r="AH158" i="10"/>
  <c r="AG158" i="10"/>
  <c r="AF158" i="10"/>
  <c r="AE158" i="10"/>
  <c r="AD158" i="10"/>
  <c r="AC158" i="10"/>
  <c r="AB158" i="10"/>
  <c r="AA158" i="10"/>
  <c r="Z158" i="10"/>
  <c r="Y158" i="10"/>
  <c r="X158" i="10"/>
  <c r="W158" i="10"/>
  <c r="V158" i="10"/>
  <c r="U158" i="10"/>
  <c r="T158" i="10"/>
  <c r="S158" i="10"/>
  <c r="R158" i="10"/>
  <c r="Q158" i="10"/>
  <c r="P158" i="10"/>
  <c r="O158" i="10"/>
  <c r="N158" i="10"/>
  <c r="M158" i="10"/>
  <c r="L158" i="10"/>
  <c r="K158" i="10"/>
  <c r="J158" i="10"/>
  <c r="I158" i="10"/>
  <c r="H158" i="10"/>
  <c r="G158" i="10"/>
  <c r="F158" i="10"/>
  <c r="E158" i="10"/>
  <c r="D158" i="10"/>
  <c r="C158" i="10"/>
  <c r="B158" i="10"/>
  <c r="A158" i="10"/>
  <c r="AO157" i="10"/>
  <c r="AN157" i="10"/>
  <c r="AM157" i="10"/>
  <c r="AL157" i="10"/>
  <c r="AK157" i="10"/>
  <c r="AJ157" i="10"/>
  <c r="AI157" i="10"/>
  <c r="AH157" i="10"/>
  <c r="AG157" i="10"/>
  <c r="AF157" i="10"/>
  <c r="AE157" i="10"/>
  <c r="AD157" i="10"/>
  <c r="AC157" i="10"/>
  <c r="AB157" i="10"/>
  <c r="AA157" i="10"/>
  <c r="Z157" i="10"/>
  <c r="Y157" i="10"/>
  <c r="X157" i="10"/>
  <c r="W157" i="10"/>
  <c r="V157" i="10"/>
  <c r="U157" i="10"/>
  <c r="T157" i="10"/>
  <c r="S157" i="10"/>
  <c r="R157" i="10"/>
  <c r="Q157" i="10"/>
  <c r="P157" i="10"/>
  <c r="O157" i="10"/>
  <c r="N157" i="10"/>
  <c r="M157" i="10"/>
  <c r="L157" i="10"/>
  <c r="K157" i="10"/>
  <c r="J157" i="10"/>
  <c r="I157" i="10"/>
  <c r="H157" i="10"/>
  <c r="G157" i="10"/>
  <c r="F157" i="10"/>
  <c r="E157" i="10"/>
  <c r="D157" i="10"/>
  <c r="C157" i="10"/>
  <c r="B157" i="10"/>
  <c r="A157" i="10"/>
  <c r="AO156" i="10"/>
  <c r="AN156" i="10"/>
  <c r="AM156" i="10"/>
  <c r="AL156" i="10"/>
  <c r="AK156" i="10"/>
  <c r="AJ156" i="10"/>
  <c r="AI156" i="10"/>
  <c r="AH156" i="10"/>
  <c r="AG156" i="10"/>
  <c r="AF156" i="10"/>
  <c r="AE156" i="10"/>
  <c r="AD156" i="10"/>
  <c r="AC156" i="10"/>
  <c r="AB156" i="10"/>
  <c r="AA156" i="10"/>
  <c r="Z156" i="10"/>
  <c r="Y156" i="10"/>
  <c r="X156" i="10"/>
  <c r="W156" i="10"/>
  <c r="V156" i="10"/>
  <c r="U156" i="10"/>
  <c r="T156" i="10"/>
  <c r="S156" i="10"/>
  <c r="R156" i="10"/>
  <c r="Q156" i="10"/>
  <c r="P156" i="10"/>
  <c r="O156" i="10"/>
  <c r="N156" i="10"/>
  <c r="M156" i="10"/>
  <c r="L156" i="10"/>
  <c r="K156" i="10"/>
  <c r="J156" i="10"/>
  <c r="I156" i="10"/>
  <c r="H156" i="10"/>
  <c r="G156" i="10"/>
  <c r="F156" i="10"/>
  <c r="E156" i="10"/>
  <c r="D156" i="10"/>
  <c r="C156" i="10"/>
  <c r="B156" i="10"/>
  <c r="A156" i="10"/>
  <c r="AO155" i="10"/>
  <c r="AN155" i="10"/>
  <c r="AM155" i="10"/>
  <c r="AL155" i="10"/>
  <c r="AK155" i="10"/>
  <c r="AJ155" i="10"/>
  <c r="AI155" i="10"/>
  <c r="AH155" i="10"/>
  <c r="AG155" i="10"/>
  <c r="AF155" i="10"/>
  <c r="AE155" i="10"/>
  <c r="AD155" i="10"/>
  <c r="AC155" i="10"/>
  <c r="AB155" i="10"/>
  <c r="AA155" i="10"/>
  <c r="Z155" i="10"/>
  <c r="Y155" i="10"/>
  <c r="X155" i="10"/>
  <c r="W155" i="10"/>
  <c r="V155" i="10"/>
  <c r="U155" i="10"/>
  <c r="T155" i="10"/>
  <c r="S155" i="10"/>
  <c r="R155" i="10"/>
  <c r="Q155" i="10"/>
  <c r="P155" i="10"/>
  <c r="O155" i="10"/>
  <c r="N155" i="10"/>
  <c r="M155" i="10"/>
  <c r="L155" i="10"/>
  <c r="K155" i="10"/>
  <c r="J155" i="10"/>
  <c r="I155" i="10"/>
  <c r="H155" i="10"/>
  <c r="G155" i="10"/>
  <c r="F155" i="10"/>
  <c r="E155" i="10"/>
  <c r="D155" i="10"/>
  <c r="C155" i="10"/>
  <c r="B155" i="10"/>
  <c r="A155" i="10"/>
  <c r="AO154" i="10"/>
  <c r="AN154" i="10"/>
  <c r="AM154" i="10"/>
  <c r="AL154" i="10"/>
  <c r="AK154" i="10"/>
  <c r="AJ154" i="10"/>
  <c r="AI154" i="10"/>
  <c r="AH154" i="10"/>
  <c r="AG154" i="10"/>
  <c r="AF154" i="10"/>
  <c r="AE154" i="10"/>
  <c r="AD154" i="10"/>
  <c r="AC154" i="10"/>
  <c r="AB154" i="10"/>
  <c r="AA154" i="10"/>
  <c r="Z154" i="10"/>
  <c r="Y154" i="10"/>
  <c r="X154" i="10"/>
  <c r="W154" i="10"/>
  <c r="V154" i="10"/>
  <c r="U154" i="10"/>
  <c r="T154" i="10"/>
  <c r="S154" i="10"/>
  <c r="R154" i="10"/>
  <c r="Q154" i="10"/>
  <c r="P154" i="10"/>
  <c r="O154" i="10"/>
  <c r="N154" i="10"/>
  <c r="M154" i="10"/>
  <c r="L154" i="10"/>
  <c r="K154" i="10"/>
  <c r="J154" i="10"/>
  <c r="I154" i="10"/>
  <c r="H154" i="10"/>
  <c r="G154" i="10"/>
  <c r="F154" i="10"/>
  <c r="E154" i="10"/>
  <c r="D154" i="10"/>
  <c r="C154" i="10"/>
  <c r="B154" i="10"/>
  <c r="A154" i="10"/>
  <c r="AO153" i="10"/>
  <c r="AN153" i="10"/>
  <c r="AM153" i="10"/>
  <c r="AL153" i="10"/>
  <c r="AK153" i="10"/>
  <c r="AJ153" i="10"/>
  <c r="AI153" i="10"/>
  <c r="AH153" i="10"/>
  <c r="AG153" i="10"/>
  <c r="AF153" i="10"/>
  <c r="AE153" i="10"/>
  <c r="AD153" i="10"/>
  <c r="AC153" i="10"/>
  <c r="AB153" i="10"/>
  <c r="AA153" i="10"/>
  <c r="Z153" i="10"/>
  <c r="Y153" i="10"/>
  <c r="X153" i="10"/>
  <c r="W153" i="10"/>
  <c r="V153" i="10"/>
  <c r="U153" i="10"/>
  <c r="T153" i="10"/>
  <c r="S153" i="10"/>
  <c r="R153" i="10"/>
  <c r="Q153" i="10"/>
  <c r="P153" i="10"/>
  <c r="O153" i="10"/>
  <c r="N153" i="10"/>
  <c r="M153" i="10"/>
  <c r="L153" i="10"/>
  <c r="K153" i="10"/>
  <c r="J153" i="10"/>
  <c r="I153" i="10"/>
  <c r="H153" i="10"/>
  <c r="G153" i="10"/>
  <c r="F153" i="10"/>
  <c r="E153" i="10"/>
  <c r="D153" i="10"/>
  <c r="C153" i="10"/>
  <c r="B153" i="10"/>
  <c r="A153" i="10"/>
  <c r="AO152" i="10"/>
  <c r="AN152" i="10"/>
  <c r="AM152" i="10"/>
  <c r="AL152" i="10"/>
  <c r="AK152" i="10"/>
  <c r="AJ152" i="10"/>
  <c r="AI152" i="10"/>
  <c r="AH152" i="10"/>
  <c r="AG152" i="10"/>
  <c r="AF152" i="10"/>
  <c r="AE152" i="10"/>
  <c r="AD152" i="10"/>
  <c r="AC152" i="10"/>
  <c r="AB152" i="10"/>
  <c r="AA152" i="10"/>
  <c r="Z152" i="10"/>
  <c r="Y152" i="10"/>
  <c r="X152" i="10"/>
  <c r="W152" i="10"/>
  <c r="V152" i="10"/>
  <c r="U152" i="10"/>
  <c r="T152" i="10"/>
  <c r="S152" i="10"/>
  <c r="R152" i="10"/>
  <c r="Q152" i="10"/>
  <c r="P152" i="10"/>
  <c r="O152" i="10"/>
  <c r="N152" i="10"/>
  <c r="M152" i="10"/>
  <c r="L152" i="10"/>
  <c r="K152" i="10"/>
  <c r="J152" i="10"/>
  <c r="I152" i="10"/>
  <c r="H152" i="10"/>
  <c r="G152" i="10"/>
  <c r="F152" i="10"/>
  <c r="E152" i="10"/>
  <c r="D152" i="10"/>
  <c r="C152" i="10"/>
  <c r="B152" i="10"/>
  <c r="A152" i="10"/>
  <c r="AO151" i="10"/>
  <c r="AN151" i="10"/>
  <c r="AM151" i="10"/>
  <c r="AL151" i="10"/>
  <c r="AK151" i="10"/>
  <c r="AJ151" i="10"/>
  <c r="AI151" i="10"/>
  <c r="AH151" i="10"/>
  <c r="AG151" i="10"/>
  <c r="AF151" i="10"/>
  <c r="AE151" i="10"/>
  <c r="AD151" i="10"/>
  <c r="AC151" i="10"/>
  <c r="AB151" i="10"/>
  <c r="AA151" i="10"/>
  <c r="Z151" i="10"/>
  <c r="Y151" i="10"/>
  <c r="X151" i="10"/>
  <c r="W151" i="10"/>
  <c r="V151" i="10"/>
  <c r="U151" i="10"/>
  <c r="T151" i="10"/>
  <c r="S151" i="10"/>
  <c r="R151" i="10"/>
  <c r="Q151" i="10"/>
  <c r="P151" i="10"/>
  <c r="O151" i="10"/>
  <c r="N151" i="10"/>
  <c r="M151" i="10"/>
  <c r="L151" i="10"/>
  <c r="K151" i="10"/>
  <c r="J151" i="10"/>
  <c r="I151" i="10"/>
  <c r="H151" i="10"/>
  <c r="G151" i="10"/>
  <c r="F151" i="10"/>
  <c r="E151" i="10"/>
  <c r="D151" i="10"/>
  <c r="C151" i="10"/>
  <c r="B151" i="10"/>
  <c r="A151" i="10"/>
  <c r="AO150" i="10"/>
  <c r="AN150" i="10"/>
  <c r="AM150" i="10"/>
  <c r="AL150" i="10"/>
  <c r="AK150" i="10"/>
  <c r="AJ150" i="10"/>
  <c r="AI150" i="10"/>
  <c r="AH150" i="10"/>
  <c r="AG150" i="10"/>
  <c r="AF150" i="10"/>
  <c r="AE150" i="10"/>
  <c r="AD150" i="10"/>
  <c r="AC150" i="10"/>
  <c r="AB150" i="10"/>
  <c r="AA150" i="10"/>
  <c r="Z150" i="10"/>
  <c r="Y150" i="10"/>
  <c r="X150" i="10"/>
  <c r="W150" i="10"/>
  <c r="V150" i="10"/>
  <c r="U150" i="10"/>
  <c r="T150" i="10"/>
  <c r="S150" i="10"/>
  <c r="R150" i="10"/>
  <c r="Q150" i="10"/>
  <c r="P150" i="10"/>
  <c r="O150" i="10"/>
  <c r="N150" i="10"/>
  <c r="M150" i="10"/>
  <c r="L150" i="10"/>
  <c r="K150" i="10"/>
  <c r="J150" i="10"/>
  <c r="I150" i="10"/>
  <c r="H150" i="10"/>
  <c r="G150" i="10"/>
  <c r="F150" i="10"/>
  <c r="E150" i="10"/>
  <c r="D150" i="10"/>
  <c r="C150" i="10"/>
  <c r="B150" i="10"/>
  <c r="A150" i="10"/>
  <c r="AO149" i="10"/>
  <c r="AN149" i="10"/>
  <c r="AM149" i="10"/>
  <c r="AL149" i="10"/>
  <c r="AK149" i="10"/>
  <c r="AJ149" i="10"/>
  <c r="AI149" i="10"/>
  <c r="AH149" i="10"/>
  <c r="AG149" i="10"/>
  <c r="AF149" i="10"/>
  <c r="AE149" i="10"/>
  <c r="AD149" i="10"/>
  <c r="AC149" i="10"/>
  <c r="AB149" i="10"/>
  <c r="AA149" i="10"/>
  <c r="Z149" i="10"/>
  <c r="Y149" i="10"/>
  <c r="X149" i="10"/>
  <c r="W149" i="10"/>
  <c r="V149" i="10"/>
  <c r="U149" i="10"/>
  <c r="T149" i="10"/>
  <c r="S149" i="10"/>
  <c r="R149" i="10"/>
  <c r="Q149" i="10"/>
  <c r="P149" i="10"/>
  <c r="O149" i="10"/>
  <c r="N149" i="10"/>
  <c r="M149" i="10"/>
  <c r="L149" i="10"/>
  <c r="K149" i="10"/>
  <c r="J149" i="10"/>
  <c r="I149" i="10"/>
  <c r="H149" i="10"/>
  <c r="G149" i="10"/>
  <c r="F149" i="10"/>
  <c r="E149" i="10"/>
  <c r="D149" i="10"/>
  <c r="C149" i="10"/>
  <c r="B149" i="10"/>
  <c r="A149" i="10"/>
  <c r="V148" i="10"/>
  <c r="U148" i="10"/>
  <c r="T148" i="10"/>
  <c r="S148" i="10"/>
  <c r="R148" i="10"/>
  <c r="Q148" i="10"/>
  <c r="P148" i="10"/>
  <c r="O148" i="10"/>
  <c r="N148" i="10"/>
  <c r="M148" i="10"/>
  <c r="L148" i="10"/>
  <c r="K148" i="10"/>
  <c r="J148" i="10"/>
  <c r="I148" i="10"/>
  <c r="H148" i="10"/>
  <c r="G148" i="10"/>
  <c r="F148" i="10"/>
  <c r="E148" i="10"/>
  <c r="D148" i="10"/>
  <c r="C148" i="10"/>
  <c r="B148" i="10"/>
  <c r="A148" i="10"/>
  <c r="AL147" i="10"/>
  <c r="AK147" i="10"/>
  <c r="AJ147" i="10"/>
  <c r="AI147" i="10"/>
  <c r="AH147" i="10"/>
  <c r="AG147" i="10"/>
  <c r="AF147" i="10"/>
  <c r="AE147" i="10"/>
  <c r="AD147" i="10"/>
  <c r="AC147" i="10"/>
  <c r="AB147" i="10"/>
  <c r="AA147" i="10"/>
  <c r="Z147" i="10"/>
  <c r="Y147" i="10"/>
  <c r="X147" i="10"/>
  <c r="W147" i="10"/>
  <c r="V147" i="10"/>
  <c r="U147" i="10"/>
  <c r="T147" i="10"/>
  <c r="S147" i="10"/>
  <c r="R147" i="10"/>
  <c r="Q147" i="10"/>
  <c r="P147" i="10"/>
  <c r="O147" i="10"/>
  <c r="N147" i="10"/>
  <c r="M147" i="10"/>
  <c r="L147" i="10"/>
  <c r="K147" i="10"/>
  <c r="J147" i="10"/>
  <c r="I147" i="10"/>
  <c r="H147" i="10"/>
  <c r="G147" i="10"/>
  <c r="F147" i="10"/>
  <c r="E147" i="10"/>
  <c r="D147" i="10"/>
  <c r="C147" i="10"/>
  <c r="B147" i="10"/>
  <c r="A147" i="10"/>
  <c r="AO146" i="10"/>
  <c r="AN146" i="10"/>
  <c r="AM146" i="10"/>
  <c r="AL146" i="10"/>
  <c r="AK146" i="10"/>
  <c r="AJ146" i="10"/>
  <c r="AI146" i="10"/>
  <c r="AH146" i="10"/>
  <c r="AG146" i="10"/>
  <c r="AF146" i="10"/>
  <c r="AE146" i="10"/>
  <c r="AD146" i="10"/>
  <c r="AC146" i="10"/>
  <c r="AB146" i="10"/>
  <c r="AA146" i="10"/>
  <c r="Z146" i="10"/>
  <c r="Y146" i="10"/>
  <c r="X146" i="10"/>
  <c r="W146" i="10"/>
  <c r="V146" i="10"/>
  <c r="U146" i="10"/>
  <c r="T146" i="10"/>
  <c r="S146" i="10"/>
  <c r="R146" i="10"/>
  <c r="Q146" i="10"/>
  <c r="P146" i="10"/>
  <c r="O146" i="10"/>
  <c r="N146" i="10"/>
  <c r="M146" i="10"/>
  <c r="L146" i="10"/>
  <c r="K146" i="10"/>
  <c r="J146" i="10"/>
  <c r="I146" i="10"/>
  <c r="H146" i="10"/>
  <c r="G146" i="10"/>
  <c r="F146" i="10"/>
  <c r="E146" i="10"/>
  <c r="D146" i="10"/>
  <c r="C146" i="10"/>
  <c r="B146" i="10"/>
  <c r="A146" i="10"/>
  <c r="AO145" i="10"/>
  <c r="AN145" i="10"/>
  <c r="AM145" i="10"/>
  <c r="AL145" i="10"/>
  <c r="AK145" i="10"/>
  <c r="AJ145" i="10"/>
  <c r="AI145" i="10"/>
  <c r="AH145" i="10"/>
  <c r="AG145" i="10"/>
  <c r="AF145" i="10"/>
  <c r="AE145" i="10"/>
  <c r="AD145" i="10"/>
  <c r="AC145" i="10"/>
  <c r="AB145" i="10"/>
  <c r="AA145" i="10"/>
  <c r="Z145" i="10"/>
  <c r="Y145" i="10"/>
  <c r="X145" i="10"/>
  <c r="W145" i="10"/>
  <c r="V145" i="10"/>
  <c r="U145" i="10"/>
  <c r="T145" i="10"/>
  <c r="S145" i="10"/>
  <c r="R145" i="10"/>
  <c r="Q145" i="10"/>
  <c r="P145" i="10"/>
  <c r="O145" i="10"/>
  <c r="N145" i="10"/>
  <c r="M145" i="10"/>
  <c r="L145" i="10"/>
  <c r="K145" i="10"/>
  <c r="J145" i="10"/>
  <c r="I145" i="10"/>
  <c r="H145" i="10"/>
  <c r="G145" i="10"/>
  <c r="F145" i="10"/>
  <c r="E145" i="10"/>
  <c r="D145" i="10"/>
  <c r="C145" i="10"/>
  <c r="B145" i="10"/>
  <c r="A145" i="10"/>
  <c r="AO144" i="10"/>
  <c r="AN144" i="10"/>
  <c r="AM144" i="10"/>
  <c r="AL144" i="10"/>
  <c r="AK144" i="10"/>
  <c r="AJ144" i="10"/>
  <c r="AI144" i="10"/>
  <c r="AH144" i="10"/>
  <c r="AG144" i="10"/>
  <c r="AF144" i="10"/>
  <c r="AE144" i="10"/>
  <c r="AD144" i="10"/>
  <c r="AC144" i="10"/>
  <c r="AB144" i="10"/>
  <c r="AA144" i="10"/>
  <c r="Z144" i="10"/>
  <c r="Y144" i="10"/>
  <c r="X144" i="10"/>
  <c r="W144" i="10"/>
  <c r="V144" i="10"/>
  <c r="U144" i="10"/>
  <c r="T144" i="10"/>
  <c r="S144" i="10"/>
  <c r="R144" i="10"/>
  <c r="Q144" i="10"/>
  <c r="P144" i="10"/>
  <c r="O144" i="10"/>
  <c r="N144" i="10"/>
  <c r="M144" i="10"/>
  <c r="L144" i="10"/>
  <c r="K144" i="10"/>
  <c r="J144" i="10"/>
  <c r="I144" i="10"/>
  <c r="H144" i="10"/>
  <c r="G144" i="10"/>
  <c r="F144" i="10"/>
  <c r="E144" i="10"/>
  <c r="D144" i="10"/>
  <c r="C144" i="10"/>
  <c r="B144" i="10"/>
  <c r="A144" i="10"/>
  <c r="AO143" i="10"/>
  <c r="AN143" i="10"/>
  <c r="AM143" i="10"/>
  <c r="AL143" i="10"/>
  <c r="AK143" i="10"/>
  <c r="AJ143" i="10"/>
  <c r="AI143" i="10"/>
  <c r="AH143" i="10"/>
  <c r="AG143" i="10"/>
  <c r="AF143" i="10"/>
  <c r="AE143" i="10"/>
  <c r="AD143" i="10"/>
  <c r="AC143" i="10"/>
  <c r="AB143" i="10"/>
  <c r="AA143" i="10"/>
  <c r="Z143" i="10"/>
  <c r="Y143" i="10"/>
  <c r="X143" i="10"/>
  <c r="W143" i="10"/>
  <c r="V143" i="10"/>
  <c r="U143" i="10"/>
  <c r="T143" i="10"/>
  <c r="S143" i="10"/>
  <c r="R143" i="10"/>
  <c r="Q143" i="10"/>
  <c r="P143" i="10"/>
  <c r="O143" i="10"/>
  <c r="N143" i="10"/>
  <c r="M143" i="10"/>
  <c r="L143" i="10"/>
  <c r="K143" i="10"/>
  <c r="J143" i="10"/>
  <c r="I143" i="10"/>
  <c r="H143" i="10"/>
  <c r="G143" i="10"/>
  <c r="F143" i="10"/>
  <c r="E143" i="10"/>
  <c r="D143" i="10"/>
  <c r="C143" i="10"/>
  <c r="B143" i="10"/>
  <c r="A143" i="10"/>
  <c r="AO142" i="10"/>
  <c r="AN142" i="10"/>
  <c r="AM142" i="10"/>
  <c r="AL142" i="10"/>
  <c r="AK142" i="10"/>
  <c r="AJ142" i="10"/>
  <c r="AI142" i="10"/>
  <c r="AH142" i="10"/>
  <c r="AG142" i="10"/>
  <c r="AF142" i="10"/>
  <c r="AE142" i="10"/>
  <c r="AD142" i="10"/>
  <c r="AC142" i="10"/>
  <c r="AB142" i="10"/>
  <c r="AA142" i="10"/>
  <c r="Z142" i="10"/>
  <c r="Y142" i="10"/>
  <c r="X142" i="10"/>
  <c r="W142" i="10"/>
  <c r="V142" i="10"/>
  <c r="U142" i="10"/>
  <c r="T142" i="10"/>
  <c r="S142" i="10"/>
  <c r="R142" i="10"/>
  <c r="Q142" i="10"/>
  <c r="P142" i="10"/>
  <c r="O142" i="10"/>
  <c r="N142" i="10"/>
  <c r="M142" i="10"/>
  <c r="L142" i="10"/>
  <c r="K142" i="10"/>
  <c r="J142" i="10"/>
  <c r="I142" i="10"/>
  <c r="H142" i="10"/>
  <c r="G142" i="10"/>
  <c r="F142" i="10"/>
  <c r="E142" i="10"/>
  <c r="D142" i="10"/>
  <c r="C142" i="10"/>
  <c r="B142" i="10"/>
  <c r="A142" i="10"/>
  <c r="AO141" i="10"/>
  <c r="AN141" i="10"/>
  <c r="AM141" i="10"/>
  <c r="AL141" i="10"/>
  <c r="AK141" i="10"/>
  <c r="AJ141" i="10"/>
  <c r="AI141" i="10"/>
  <c r="AH141" i="10"/>
  <c r="AG141" i="10"/>
  <c r="AF141" i="10"/>
  <c r="AE141" i="10"/>
  <c r="AD141" i="10"/>
  <c r="AC141" i="10"/>
  <c r="AB141" i="10"/>
  <c r="AA141" i="10"/>
  <c r="Z141" i="10"/>
  <c r="Y141" i="10"/>
  <c r="X141" i="10"/>
  <c r="W141" i="10"/>
  <c r="V141" i="10"/>
  <c r="U141" i="10"/>
  <c r="T141" i="10"/>
  <c r="S141" i="10"/>
  <c r="R141" i="10"/>
  <c r="Q141" i="10"/>
  <c r="P141" i="10"/>
  <c r="O141" i="10"/>
  <c r="N141" i="10"/>
  <c r="M141" i="10"/>
  <c r="L141" i="10"/>
  <c r="K141" i="10"/>
  <c r="J141" i="10"/>
  <c r="I141" i="10"/>
  <c r="H141" i="10"/>
  <c r="G141" i="10"/>
  <c r="F141" i="10"/>
  <c r="E141" i="10"/>
  <c r="D141" i="10"/>
  <c r="C141" i="10"/>
  <c r="B141" i="10"/>
  <c r="A141" i="10"/>
  <c r="AO140" i="10"/>
  <c r="AN140" i="10"/>
  <c r="AM140" i="10"/>
  <c r="AL140" i="10"/>
  <c r="AK140" i="10"/>
  <c r="AJ140" i="10"/>
  <c r="AI140" i="10"/>
  <c r="AH140" i="10"/>
  <c r="AG140" i="10"/>
  <c r="AF140" i="10"/>
  <c r="AE140" i="10"/>
  <c r="AD140" i="10"/>
  <c r="AC140" i="10"/>
  <c r="AB140" i="10"/>
  <c r="AA140" i="10"/>
  <c r="Z140" i="10"/>
  <c r="Y140" i="10"/>
  <c r="X140" i="10"/>
  <c r="W140" i="10"/>
  <c r="V140" i="10"/>
  <c r="U140" i="10"/>
  <c r="T140" i="10"/>
  <c r="S140" i="10"/>
  <c r="R140" i="10"/>
  <c r="Q140" i="10"/>
  <c r="P140" i="10"/>
  <c r="O140" i="10"/>
  <c r="N140" i="10"/>
  <c r="M140" i="10"/>
  <c r="L140" i="10"/>
  <c r="K140" i="10"/>
  <c r="J140" i="10"/>
  <c r="I140" i="10"/>
  <c r="H140" i="10"/>
  <c r="G140" i="10"/>
  <c r="F140" i="10"/>
  <c r="E140" i="10"/>
  <c r="D140" i="10"/>
  <c r="C140" i="10"/>
  <c r="B140" i="10"/>
  <c r="A140" i="10"/>
  <c r="AO139" i="10"/>
  <c r="AN139" i="10"/>
  <c r="AM139" i="10"/>
  <c r="AL139" i="10"/>
  <c r="AK139" i="10"/>
  <c r="AJ139" i="10"/>
  <c r="AI139" i="10"/>
  <c r="AH139" i="10"/>
  <c r="AG139" i="10"/>
  <c r="AF139" i="10"/>
  <c r="AE139" i="10"/>
  <c r="AD139" i="10"/>
  <c r="AC139" i="10"/>
  <c r="AB139" i="10"/>
  <c r="AA139" i="10"/>
  <c r="Z139" i="10"/>
  <c r="Y139" i="10"/>
  <c r="X139" i="10"/>
  <c r="W139" i="10"/>
  <c r="V139" i="10"/>
  <c r="U139" i="10"/>
  <c r="T139" i="10"/>
  <c r="S139" i="10"/>
  <c r="R139" i="10"/>
  <c r="Q139" i="10"/>
  <c r="P139" i="10"/>
  <c r="O139" i="10"/>
  <c r="N139" i="10"/>
  <c r="M139" i="10"/>
  <c r="L139" i="10"/>
  <c r="K139" i="10"/>
  <c r="J139" i="10"/>
  <c r="I139" i="10"/>
  <c r="H139" i="10"/>
  <c r="G139" i="10"/>
  <c r="F139" i="10"/>
  <c r="E139" i="10"/>
  <c r="D139" i="10"/>
  <c r="C139" i="10"/>
  <c r="B139" i="10"/>
  <c r="A139" i="10"/>
  <c r="AO138" i="10"/>
  <c r="AN138" i="10"/>
  <c r="AM138" i="10"/>
  <c r="AL138" i="10"/>
  <c r="AK138" i="10"/>
  <c r="AJ138" i="10"/>
  <c r="AI138" i="10"/>
  <c r="AH138" i="10"/>
  <c r="AG138" i="10"/>
  <c r="AF138" i="10"/>
  <c r="AE138" i="10"/>
  <c r="AD138" i="10"/>
  <c r="AC138" i="10"/>
  <c r="AB138" i="10"/>
  <c r="AA138" i="10"/>
  <c r="Z138" i="10"/>
  <c r="Y138" i="10"/>
  <c r="X138" i="10"/>
  <c r="W138" i="10"/>
  <c r="V138" i="10"/>
  <c r="U138" i="10"/>
  <c r="T138" i="10"/>
  <c r="S138" i="10"/>
  <c r="R138" i="10"/>
  <c r="Q138" i="10"/>
  <c r="P138" i="10"/>
  <c r="O138" i="10"/>
  <c r="N138" i="10"/>
  <c r="M138" i="10"/>
  <c r="L138" i="10"/>
  <c r="K138" i="10"/>
  <c r="J138" i="10"/>
  <c r="I138" i="10"/>
  <c r="H138" i="10"/>
  <c r="G138" i="10"/>
  <c r="F138" i="10"/>
  <c r="E138" i="10"/>
  <c r="D138" i="10"/>
  <c r="C138" i="10"/>
  <c r="B138" i="10"/>
  <c r="A138" i="10"/>
  <c r="AO137" i="10"/>
  <c r="AN137" i="10"/>
  <c r="AM137" i="10"/>
  <c r="AL137" i="10"/>
  <c r="AK137" i="10"/>
  <c r="AJ137" i="10"/>
  <c r="AI137" i="10"/>
  <c r="AH137" i="10"/>
  <c r="AG137" i="10"/>
  <c r="AF137" i="10"/>
  <c r="AE137" i="10"/>
  <c r="AD137" i="10"/>
  <c r="AC137" i="10"/>
  <c r="AB137" i="10"/>
  <c r="AA137" i="10"/>
  <c r="Z137" i="10"/>
  <c r="Y137" i="10"/>
  <c r="X137" i="10"/>
  <c r="W137" i="10"/>
  <c r="V137" i="10"/>
  <c r="U137" i="10"/>
  <c r="T137" i="10"/>
  <c r="S137" i="10"/>
  <c r="R137" i="10"/>
  <c r="Q137" i="10"/>
  <c r="P137" i="10"/>
  <c r="O137" i="10"/>
  <c r="N137" i="10"/>
  <c r="M137" i="10"/>
  <c r="L137" i="10"/>
  <c r="K137" i="10"/>
  <c r="J137" i="10"/>
  <c r="I137" i="10"/>
  <c r="H137" i="10"/>
  <c r="G137" i="10"/>
  <c r="F137" i="10"/>
  <c r="E137" i="10"/>
  <c r="D137" i="10"/>
  <c r="C137" i="10"/>
  <c r="B137" i="10"/>
  <c r="A137" i="10"/>
  <c r="AO136" i="10"/>
  <c r="AN136" i="10"/>
  <c r="AM136" i="10"/>
  <c r="AL136" i="10"/>
  <c r="AK136" i="10"/>
  <c r="AJ136" i="10"/>
  <c r="AI136" i="10"/>
  <c r="AH136" i="10"/>
  <c r="AG136" i="10"/>
  <c r="AF136" i="10"/>
  <c r="AE136" i="10"/>
  <c r="AD136" i="10"/>
  <c r="AC136" i="10"/>
  <c r="AB136" i="10"/>
  <c r="AA136" i="10"/>
  <c r="Z136" i="10"/>
  <c r="Y136" i="10"/>
  <c r="X136" i="10"/>
  <c r="W136" i="10"/>
  <c r="V136" i="10"/>
  <c r="U136" i="10"/>
  <c r="T136" i="10"/>
  <c r="S136" i="10"/>
  <c r="R136" i="10"/>
  <c r="Q136" i="10"/>
  <c r="P136" i="10"/>
  <c r="O136" i="10"/>
  <c r="N136" i="10"/>
  <c r="M136" i="10"/>
  <c r="L136" i="10"/>
  <c r="K136" i="10"/>
  <c r="J136" i="10"/>
  <c r="I136" i="10"/>
  <c r="H136" i="10"/>
  <c r="G136" i="10"/>
  <c r="F136" i="10"/>
  <c r="E136" i="10"/>
  <c r="D136" i="10"/>
  <c r="C136" i="10"/>
  <c r="B136" i="10"/>
  <c r="A136" i="10"/>
  <c r="AO135" i="10"/>
  <c r="AN135" i="10"/>
  <c r="AM135" i="10"/>
  <c r="AL135" i="10"/>
  <c r="AK135" i="10"/>
  <c r="AJ135" i="10"/>
  <c r="AI135" i="10"/>
  <c r="AH135" i="10"/>
  <c r="AG135" i="10"/>
  <c r="AF135" i="10"/>
  <c r="V135" i="10"/>
  <c r="U135" i="10"/>
  <c r="T135" i="10"/>
  <c r="S135" i="10"/>
  <c r="R135" i="10"/>
  <c r="Q135" i="10"/>
  <c r="P135" i="10"/>
  <c r="O135" i="10"/>
  <c r="N135" i="10"/>
  <c r="M135" i="10"/>
  <c r="L135" i="10"/>
  <c r="K135" i="10"/>
  <c r="J135" i="10"/>
  <c r="I135" i="10"/>
  <c r="H135" i="10"/>
  <c r="G135" i="10"/>
  <c r="F135" i="10"/>
  <c r="E135" i="10"/>
  <c r="D135" i="10"/>
  <c r="C135" i="10"/>
  <c r="B135" i="10"/>
  <c r="A135" i="10"/>
  <c r="V134" i="10"/>
  <c r="U134" i="10"/>
  <c r="T134" i="10"/>
  <c r="S134" i="10"/>
  <c r="R134" i="10"/>
  <c r="Q134" i="10"/>
  <c r="P134" i="10"/>
  <c r="O134" i="10"/>
  <c r="N134" i="10"/>
  <c r="M134" i="10"/>
  <c r="L134" i="10"/>
  <c r="K134" i="10"/>
  <c r="J134" i="10"/>
  <c r="I134" i="10"/>
  <c r="H134" i="10"/>
  <c r="G134" i="10"/>
  <c r="F134" i="10"/>
  <c r="E134" i="10"/>
  <c r="D134" i="10"/>
  <c r="C134" i="10"/>
  <c r="B134" i="10"/>
  <c r="A134" i="10"/>
  <c r="V133" i="10"/>
  <c r="U133" i="10"/>
  <c r="T133" i="10"/>
  <c r="S133" i="10"/>
  <c r="R133" i="10"/>
  <c r="Q133" i="10"/>
  <c r="P133" i="10"/>
  <c r="O133" i="10"/>
  <c r="N133" i="10"/>
  <c r="M133" i="10"/>
  <c r="L133" i="10"/>
  <c r="K133" i="10"/>
  <c r="J133" i="10"/>
  <c r="I133" i="10"/>
  <c r="H133" i="10"/>
  <c r="G133" i="10"/>
  <c r="F133" i="10"/>
  <c r="E133" i="10"/>
  <c r="D133" i="10"/>
  <c r="C133" i="10"/>
  <c r="B133" i="10"/>
  <c r="A133" i="10"/>
  <c r="V132" i="10"/>
  <c r="U132" i="10"/>
  <c r="T132" i="10"/>
  <c r="S132" i="10"/>
  <c r="R132" i="10"/>
  <c r="Q132" i="10"/>
  <c r="P132" i="10"/>
  <c r="O132" i="10"/>
  <c r="N132" i="10"/>
  <c r="M132" i="10"/>
  <c r="L132" i="10"/>
  <c r="K132" i="10"/>
  <c r="J132" i="10"/>
  <c r="I132" i="10"/>
  <c r="H132" i="10"/>
  <c r="G132" i="10"/>
  <c r="F132" i="10"/>
  <c r="E132" i="10"/>
  <c r="D132" i="10"/>
  <c r="C132" i="10"/>
  <c r="B132" i="10"/>
  <c r="A132" i="10"/>
  <c r="V131" i="10"/>
  <c r="U131" i="10"/>
  <c r="T131" i="10"/>
  <c r="S131" i="10"/>
  <c r="R131" i="10"/>
  <c r="Q131" i="10"/>
  <c r="P131" i="10"/>
  <c r="O131" i="10"/>
  <c r="N131" i="10"/>
  <c r="M131" i="10"/>
  <c r="L131" i="10"/>
  <c r="K131" i="10"/>
  <c r="J131" i="10"/>
  <c r="I131" i="10"/>
  <c r="H131" i="10"/>
  <c r="G131" i="10"/>
  <c r="F131" i="10"/>
  <c r="E131" i="10"/>
  <c r="D131" i="10"/>
  <c r="C131" i="10"/>
  <c r="B131" i="10"/>
  <c r="A131" i="10"/>
  <c r="V130" i="10"/>
  <c r="U130" i="10"/>
  <c r="T130" i="10"/>
  <c r="S130" i="10"/>
  <c r="R130" i="10"/>
  <c r="Q130" i="10"/>
  <c r="P130" i="10"/>
  <c r="O130" i="10"/>
  <c r="N130" i="10"/>
  <c r="M130" i="10"/>
  <c r="L130" i="10"/>
  <c r="K130" i="10"/>
  <c r="J130" i="10"/>
  <c r="I130" i="10"/>
  <c r="H130" i="10"/>
  <c r="G130" i="10"/>
  <c r="F130" i="10"/>
  <c r="E130" i="10"/>
  <c r="D130" i="10"/>
  <c r="C130" i="10"/>
  <c r="B130" i="10"/>
  <c r="A130" i="10"/>
  <c r="V129" i="10"/>
  <c r="U129" i="10"/>
  <c r="T129" i="10"/>
  <c r="S129" i="10"/>
  <c r="R129" i="10"/>
  <c r="Q129" i="10"/>
  <c r="P129" i="10"/>
  <c r="O129" i="10"/>
  <c r="N129" i="10"/>
  <c r="M129" i="10"/>
  <c r="L129" i="10"/>
  <c r="K129" i="10"/>
  <c r="J129" i="10"/>
  <c r="I129" i="10"/>
  <c r="H129" i="10"/>
  <c r="G129" i="10"/>
  <c r="F129" i="10"/>
  <c r="E129" i="10"/>
  <c r="D129" i="10"/>
  <c r="C129" i="10"/>
  <c r="B129" i="10"/>
  <c r="A129" i="10"/>
  <c r="V128" i="10"/>
  <c r="U128" i="10"/>
  <c r="T128" i="10"/>
  <c r="S128" i="10"/>
  <c r="R128" i="10"/>
  <c r="Q128" i="10"/>
  <c r="P128" i="10"/>
  <c r="O128" i="10"/>
  <c r="N128" i="10"/>
  <c r="M128" i="10"/>
  <c r="L128" i="10"/>
  <c r="K128" i="10"/>
  <c r="J128" i="10"/>
  <c r="I128" i="10"/>
  <c r="H128" i="10"/>
  <c r="G128" i="10"/>
  <c r="F128" i="10"/>
  <c r="E128" i="10"/>
  <c r="D128" i="10"/>
  <c r="C128" i="10"/>
  <c r="B128" i="10"/>
  <c r="A128" i="10"/>
  <c r="V127" i="10"/>
  <c r="U127" i="10"/>
  <c r="T127" i="10"/>
  <c r="S127" i="10"/>
  <c r="R127" i="10"/>
  <c r="Q127" i="10"/>
  <c r="P127" i="10"/>
  <c r="O127" i="10"/>
  <c r="N127" i="10"/>
  <c r="M127" i="10"/>
  <c r="L127" i="10"/>
  <c r="K127" i="10"/>
  <c r="J127" i="10"/>
  <c r="I127" i="10"/>
  <c r="H127" i="10"/>
  <c r="G127" i="10"/>
  <c r="F127" i="10"/>
  <c r="E127" i="10"/>
  <c r="D127" i="10"/>
  <c r="C127" i="10"/>
  <c r="B127" i="10"/>
  <c r="A127" i="10"/>
  <c r="V126" i="10"/>
  <c r="U126" i="10"/>
  <c r="T126" i="10"/>
  <c r="S126" i="10"/>
  <c r="R126" i="10"/>
  <c r="Q126" i="10"/>
  <c r="P126" i="10"/>
  <c r="O126" i="10"/>
  <c r="N126" i="10"/>
  <c r="M126" i="10"/>
  <c r="L126" i="10"/>
  <c r="K126" i="10"/>
  <c r="J126" i="10"/>
  <c r="I126" i="10"/>
  <c r="H126" i="10"/>
  <c r="G126" i="10"/>
  <c r="F126" i="10"/>
  <c r="E126" i="10"/>
  <c r="D126" i="10"/>
  <c r="C126" i="10"/>
  <c r="B126" i="10"/>
  <c r="A126" i="10"/>
  <c r="V125" i="10"/>
  <c r="U125" i="10"/>
  <c r="T125" i="10"/>
  <c r="S125" i="10"/>
  <c r="R125" i="10"/>
  <c r="Q125" i="10"/>
  <c r="P125" i="10"/>
  <c r="O125" i="10"/>
  <c r="N125" i="10"/>
  <c r="M125" i="10"/>
  <c r="L125" i="10"/>
  <c r="K125" i="10"/>
  <c r="J125" i="10"/>
  <c r="I125" i="10"/>
  <c r="H125" i="10"/>
  <c r="G125" i="10"/>
  <c r="F125" i="10"/>
  <c r="E125" i="10"/>
  <c r="D125" i="10"/>
  <c r="C125" i="10"/>
  <c r="B125" i="10"/>
  <c r="A125" i="10"/>
  <c r="V124" i="10"/>
  <c r="U124" i="10"/>
  <c r="T124" i="10"/>
  <c r="S124" i="10"/>
  <c r="R124" i="10"/>
  <c r="Q124" i="10"/>
  <c r="P124" i="10"/>
  <c r="O124" i="10"/>
  <c r="N124" i="10"/>
  <c r="M124" i="10"/>
  <c r="L124" i="10"/>
  <c r="K124" i="10"/>
  <c r="J124" i="10"/>
  <c r="I124" i="10"/>
  <c r="H124" i="10"/>
  <c r="G124" i="10"/>
  <c r="F124" i="10"/>
  <c r="E124" i="10"/>
  <c r="D124" i="10"/>
  <c r="C124" i="10"/>
  <c r="B124" i="10"/>
  <c r="A124" i="10"/>
  <c r="V123" i="10"/>
  <c r="U123" i="10"/>
  <c r="T123" i="10"/>
  <c r="S123" i="10"/>
  <c r="R123" i="10"/>
  <c r="Q123" i="10"/>
  <c r="P123" i="10"/>
  <c r="O123" i="10"/>
  <c r="N123" i="10"/>
  <c r="M123" i="10"/>
  <c r="L123" i="10"/>
  <c r="K123" i="10"/>
  <c r="J123" i="10"/>
  <c r="I123" i="10"/>
  <c r="H123" i="10"/>
  <c r="G123" i="10"/>
  <c r="F123" i="10"/>
  <c r="E123" i="10"/>
  <c r="D123" i="10"/>
  <c r="C123" i="10"/>
  <c r="B123" i="10"/>
  <c r="A123" i="10"/>
  <c r="V122" i="10"/>
  <c r="U122" i="10"/>
  <c r="T122" i="10"/>
  <c r="S122" i="10"/>
  <c r="R122" i="10"/>
  <c r="Q122" i="10"/>
  <c r="P122" i="10"/>
  <c r="O122" i="10"/>
  <c r="N122" i="10"/>
  <c r="M122" i="10"/>
  <c r="L122" i="10"/>
  <c r="K122" i="10"/>
  <c r="J122" i="10"/>
  <c r="I122" i="10"/>
  <c r="H122" i="10"/>
  <c r="G122" i="10"/>
  <c r="F122" i="10"/>
  <c r="E122" i="10"/>
  <c r="D122" i="10"/>
  <c r="C122" i="10"/>
  <c r="B122" i="10"/>
  <c r="A122" i="10"/>
  <c r="V121" i="10"/>
  <c r="U121" i="10"/>
  <c r="T121" i="10"/>
  <c r="S121" i="10"/>
  <c r="R121" i="10"/>
  <c r="Q121" i="10"/>
  <c r="P121" i="10"/>
  <c r="O121" i="10"/>
  <c r="N121" i="10"/>
  <c r="M121" i="10"/>
  <c r="L121" i="10"/>
  <c r="K121" i="10"/>
  <c r="J121" i="10"/>
  <c r="I121" i="10"/>
  <c r="H121" i="10"/>
  <c r="G121" i="10"/>
  <c r="F121" i="10"/>
  <c r="E121" i="10"/>
  <c r="D121" i="10"/>
  <c r="C121" i="10"/>
  <c r="B121" i="10"/>
  <c r="A121" i="10"/>
  <c r="V120" i="10"/>
  <c r="U120" i="10"/>
  <c r="T120" i="10"/>
  <c r="S120" i="10"/>
  <c r="R120" i="10"/>
  <c r="Q120" i="10"/>
  <c r="P120" i="10"/>
  <c r="O120" i="10"/>
  <c r="N120" i="10"/>
  <c r="M120" i="10"/>
  <c r="L120" i="10"/>
  <c r="K120" i="10"/>
  <c r="J120" i="10"/>
  <c r="I120" i="10"/>
  <c r="H120" i="10"/>
  <c r="G120" i="10"/>
  <c r="F120" i="10"/>
  <c r="E120" i="10"/>
  <c r="D120" i="10"/>
  <c r="C120" i="10"/>
  <c r="B120" i="10"/>
  <c r="A120" i="10"/>
  <c r="V119" i="10"/>
  <c r="U119" i="10"/>
  <c r="T119" i="10"/>
  <c r="S119" i="10"/>
  <c r="R119" i="10"/>
  <c r="Q119" i="10"/>
  <c r="P119" i="10"/>
  <c r="O119" i="10"/>
  <c r="N119" i="10"/>
  <c r="M119" i="10"/>
  <c r="L119" i="10"/>
  <c r="K119" i="10"/>
  <c r="J119" i="10"/>
  <c r="I119" i="10"/>
  <c r="H119" i="10"/>
  <c r="G119" i="10"/>
  <c r="F119" i="10"/>
  <c r="E119" i="10"/>
  <c r="D119" i="10"/>
  <c r="C119" i="10"/>
  <c r="B119" i="10"/>
  <c r="A119" i="10"/>
  <c r="V118" i="10"/>
  <c r="U118" i="10"/>
  <c r="T118" i="10"/>
  <c r="S118" i="10"/>
  <c r="R118" i="10"/>
  <c r="Q118" i="10"/>
  <c r="P118" i="10"/>
  <c r="O118" i="10"/>
  <c r="N118" i="10"/>
  <c r="M118" i="10"/>
  <c r="L118" i="10"/>
  <c r="K118" i="10"/>
  <c r="J118" i="10"/>
  <c r="I118" i="10"/>
  <c r="H118" i="10"/>
  <c r="G118" i="10"/>
  <c r="F118" i="10"/>
  <c r="E118" i="10"/>
  <c r="D118" i="10"/>
  <c r="C118" i="10"/>
  <c r="B118" i="10"/>
  <c r="A118" i="10"/>
  <c r="V117" i="10"/>
  <c r="U117" i="10"/>
  <c r="T117" i="10"/>
  <c r="S117" i="10"/>
  <c r="R117" i="10"/>
  <c r="Q117" i="10"/>
  <c r="P117" i="10"/>
  <c r="O117" i="10"/>
  <c r="N117" i="10"/>
  <c r="M117" i="10"/>
  <c r="L117" i="10"/>
  <c r="K117" i="10"/>
  <c r="J117" i="10"/>
  <c r="I117" i="10"/>
  <c r="H117" i="10"/>
  <c r="G117" i="10"/>
  <c r="F117" i="10"/>
  <c r="E117" i="10"/>
  <c r="D117" i="10"/>
  <c r="C117" i="10"/>
  <c r="B117" i="10"/>
  <c r="A117" i="10"/>
  <c r="V116" i="10"/>
  <c r="U116" i="10"/>
  <c r="T116" i="10"/>
  <c r="S116" i="10"/>
  <c r="R116" i="10"/>
  <c r="Q116" i="10"/>
  <c r="P116" i="10"/>
  <c r="O116" i="10"/>
  <c r="N116" i="10"/>
  <c r="M116" i="10"/>
  <c r="L116" i="10"/>
  <c r="K116" i="10"/>
  <c r="J116" i="10"/>
  <c r="I116" i="10"/>
  <c r="H116" i="10"/>
  <c r="G116" i="10"/>
  <c r="F116" i="10"/>
  <c r="E116" i="10"/>
  <c r="D116" i="10"/>
  <c r="C116" i="10"/>
  <c r="B116" i="10"/>
  <c r="A116" i="10"/>
  <c r="V115" i="10"/>
  <c r="U115" i="10"/>
  <c r="T115" i="10"/>
  <c r="S115" i="10"/>
  <c r="R115" i="10"/>
  <c r="Q115" i="10"/>
  <c r="P115" i="10"/>
  <c r="O115" i="10"/>
  <c r="N115" i="10"/>
  <c r="M115" i="10"/>
  <c r="L115" i="10"/>
  <c r="K115" i="10"/>
  <c r="J115" i="10"/>
  <c r="I115" i="10"/>
  <c r="H115" i="10"/>
  <c r="G115" i="10"/>
  <c r="F115" i="10"/>
  <c r="E115" i="10"/>
  <c r="D115" i="10"/>
  <c r="C115" i="10"/>
  <c r="B115" i="10"/>
  <c r="A115" i="10"/>
  <c r="V114" i="10"/>
  <c r="U114" i="10"/>
  <c r="T114" i="10"/>
  <c r="S114" i="10"/>
  <c r="R114" i="10"/>
  <c r="Q114" i="10"/>
  <c r="P114" i="10"/>
  <c r="O114" i="10"/>
  <c r="N114" i="10"/>
  <c r="M114" i="10"/>
  <c r="L114" i="10"/>
  <c r="K114" i="10"/>
  <c r="J114" i="10"/>
  <c r="I114" i="10"/>
  <c r="H114" i="10"/>
  <c r="G114" i="10"/>
  <c r="F114" i="10"/>
  <c r="E114" i="10"/>
  <c r="D114" i="10"/>
  <c r="C114" i="10"/>
  <c r="B114" i="10"/>
  <c r="A114" i="10"/>
  <c r="V113" i="10"/>
  <c r="U113" i="10"/>
  <c r="T113" i="10"/>
  <c r="S113" i="10"/>
  <c r="R113" i="10"/>
  <c r="Q113" i="10"/>
  <c r="P113" i="10"/>
  <c r="O113" i="10"/>
  <c r="N113" i="10"/>
  <c r="M113" i="10"/>
  <c r="L113" i="10"/>
  <c r="K113" i="10"/>
  <c r="J113" i="10"/>
  <c r="I113" i="10"/>
  <c r="H113" i="10"/>
  <c r="G113" i="10"/>
  <c r="F113" i="10"/>
  <c r="E113" i="10"/>
  <c r="D113" i="10"/>
  <c r="C113" i="10"/>
  <c r="B113" i="10"/>
  <c r="A113" i="10"/>
  <c r="V112" i="10"/>
  <c r="U112" i="10"/>
  <c r="T112" i="10"/>
  <c r="S112" i="10"/>
  <c r="R112" i="10"/>
  <c r="Q112" i="10"/>
  <c r="P112" i="10"/>
  <c r="O112" i="10"/>
  <c r="N112" i="10"/>
  <c r="M112" i="10"/>
  <c r="L112" i="10"/>
  <c r="K112" i="10"/>
  <c r="J112" i="10"/>
  <c r="I112" i="10"/>
  <c r="H112" i="10"/>
  <c r="G112" i="10"/>
  <c r="F112" i="10"/>
  <c r="E112" i="10"/>
  <c r="D112" i="10"/>
  <c r="C112" i="10"/>
  <c r="B112" i="10"/>
  <c r="A112" i="10"/>
  <c r="V111" i="10"/>
  <c r="U111" i="10"/>
  <c r="T111" i="10"/>
  <c r="S111" i="10"/>
  <c r="R111" i="10"/>
  <c r="Q111" i="10"/>
  <c r="P111" i="10"/>
  <c r="O111" i="10"/>
  <c r="N111" i="10"/>
  <c r="M111" i="10"/>
  <c r="L111" i="10"/>
  <c r="K111" i="10"/>
  <c r="J111" i="10"/>
  <c r="I111" i="10"/>
  <c r="H111" i="10"/>
  <c r="G111" i="10"/>
  <c r="F111" i="10"/>
  <c r="E111" i="10"/>
  <c r="D111" i="10"/>
  <c r="C111" i="10"/>
  <c r="B111" i="10"/>
  <c r="A111" i="10"/>
  <c r="V110" i="10"/>
  <c r="U110" i="10"/>
  <c r="T110" i="10"/>
  <c r="S110" i="10"/>
  <c r="R110" i="10"/>
  <c r="Q110" i="10"/>
  <c r="P110" i="10"/>
  <c r="O110" i="10"/>
  <c r="N110" i="10"/>
  <c r="M110" i="10"/>
  <c r="L110" i="10"/>
  <c r="K110" i="10"/>
  <c r="J110" i="10"/>
  <c r="I110" i="10"/>
  <c r="H110" i="10"/>
  <c r="G110" i="10"/>
  <c r="F110" i="10"/>
  <c r="E110" i="10"/>
  <c r="D110" i="10"/>
  <c r="C110" i="10"/>
  <c r="B110" i="10"/>
  <c r="A110" i="10"/>
  <c r="V109" i="10"/>
  <c r="U109" i="10"/>
  <c r="T109" i="10"/>
  <c r="S109" i="10"/>
  <c r="R109" i="10"/>
  <c r="Q109" i="10"/>
  <c r="P109" i="10"/>
  <c r="O109" i="10"/>
  <c r="N109" i="10"/>
  <c r="M109" i="10"/>
  <c r="L109" i="10"/>
  <c r="K109" i="10"/>
  <c r="J109" i="10"/>
  <c r="I109" i="10"/>
  <c r="H109" i="10"/>
  <c r="G109" i="10"/>
  <c r="F109" i="10"/>
  <c r="E109" i="10"/>
  <c r="D109" i="10"/>
  <c r="C109" i="10"/>
  <c r="B109" i="10"/>
  <c r="A109" i="10"/>
  <c r="V108" i="10"/>
  <c r="U108" i="10"/>
  <c r="T108" i="10"/>
  <c r="S108" i="10"/>
  <c r="R108" i="10"/>
  <c r="Q108" i="10"/>
  <c r="P108" i="10"/>
  <c r="O108" i="10"/>
  <c r="N108" i="10"/>
  <c r="M108" i="10"/>
  <c r="L108" i="10"/>
  <c r="K108" i="10"/>
  <c r="J108" i="10"/>
  <c r="I108" i="10"/>
  <c r="H108" i="10"/>
  <c r="G108" i="10"/>
  <c r="F108" i="10"/>
  <c r="E108" i="10"/>
  <c r="D108" i="10"/>
  <c r="C108" i="10"/>
  <c r="B108" i="10"/>
  <c r="A108" i="10"/>
  <c r="V107" i="10"/>
  <c r="U107" i="10"/>
  <c r="T107" i="10"/>
  <c r="S107" i="10"/>
  <c r="R107" i="10"/>
  <c r="Q107" i="10"/>
  <c r="P107" i="10"/>
  <c r="O107" i="10"/>
  <c r="N107" i="10"/>
  <c r="M107" i="10"/>
  <c r="L107" i="10"/>
  <c r="K107" i="10"/>
  <c r="J107" i="10"/>
  <c r="I107" i="10"/>
  <c r="H107" i="10"/>
  <c r="G107" i="10"/>
  <c r="F107" i="10"/>
  <c r="E107" i="10"/>
  <c r="D107" i="10"/>
  <c r="C107" i="10"/>
  <c r="B107" i="10"/>
  <c r="A107" i="10"/>
  <c r="V106" i="10"/>
  <c r="U106" i="10"/>
  <c r="T106" i="10"/>
  <c r="S106" i="10"/>
  <c r="R106" i="10"/>
  <c r="Q106" i="10"/>
  <c r="P106" i="10"/>
  <c r="O106" i="10"/>
  <c r="N106" i="10"/>
  <c r="M106" i="10"/>
  <c r="L106" i="10"/>
  <c r="K106" i="10"/>
  <c r="J106" i="10"/>
  <c r="I106" i="10"/>
  <c r="H106" i="10"/>
  <c r="G106" i="10"/>
  <c r="F106" i="10"/>
  <c r="E106" i="10"/>
  <c r="D106" i="10"/>
  <c r="C106" i="10"/>
  <c r="B106" i="10"/>
  <c r="A106" i="10"/>
  <c r="V105" i="10"/>
  <c r="U105" i="10"/>
  <c r="T105" i="10"/>
  <c r="S105" i="10"/>
  <c r="R105" i="10"/>
  <c r="Q105" i="10"/>
  <c r="P105" i="10"/>
  <c r="O105" i="10"/>
  <c r="N105" i="10"/>
  <c r="M105" i="10"/>
  <c r="L105" i="10"/>
  <c r="K105" i="10"/>
  <c r="J105" i="10"/>
  <c r="I105" i="10"/>
  <c r="H105" i="10"/>
  <c r="G105" i="10"/>
  <c r="F105" i="10"/>
  <c r="E105" i="10"/>
  <c r="D105" i="10"/>
  <c r="C105" i="10"/>
  <c r="B105" i="10"/>
  <c r="A105" i="10"/>
  <c r="V104" i="10"/>
  <c r="U104" i="10"/>
  <c r="T104" i="10"/>
  <c r="S104" i="10"/>
  <c r="R104" i="10"/>
  <c r="Q104" i="10"/>
  <c r="P104" i="10"/>
  <c r="O104" i="10"/>
  <c r="N104" i="10"/>
  <c r="M104" i="10"/>
  <c r="L104" i="10"/>
  <c r="K104" i="10"/>
  <c r="J104" i="10"/>
  <c r="I104" i="10"/>
  <c r="H104" i="10"/>
  <c r="G104" i="10"/>
  <c r="F104" i="10"/>
  <c r="E104" i="10"/>
  <c r="D104" i="10"/>
  <c r="C104" i="10"/>
  <c r="B104" i="10"/>
  <c r="A104" i="10"/>
  <c r="V103" i="10"/>
  <c r="U103" i="10"/>
  <c r="T103" i="10"/>
  <c r="S103" i="10"/>
  <c r="R103" i="10"/>
  <c r="Q103" i="10"/>
  <c r="P103" i="10"/>
  <c r="O103" i="10"/>
  <c r="N103" i="10"/>
  <c r="M103" i="10"/>
  <c r="L103" i="10"/>
  <c r="K103" i="10"/>
  <c r="J103" i="10"/>
  <c r="I103" i="10"/>
  <c r="H103" i="10"/>
  <c r="G103" i="10"/>
  <c r="F103" i="10"/>
  <c r="E103" i="10"/>
  <c r="D103" i="10"/>
  <c r="C103" i="10"/>
  <c r="B103" i="10"/>
  <c r="A103" i="10"/>
  <c r="V102" i="10"/>
  <c r="U102" i="10"/>
  <c r="T102" i="10"/>
  <c r="S102" i="10"/>
  <c r="R102" i="10"/>
  <c r="Q102" i="10"/>
  <c r="P102" i="10"/>
  <c r="O102" i="10"/>
  <c r="N102" i="10"/>
  <c r="M102" i="10"/>
  <c r="L102" i="10"/>
  <c r="K102" i="10"/>
  <c r="J102" i="10"/>
  <c r="I102" i="10"/>
  <c r="H102" i="10"/>
  <c r="G102" i="10"/>
  <c r="F102" i="10"/>
  <c r="E102" i="10"/>
  <c r="D102" i="10"/>
  <c r="C102" i="10"/>
  <c r="B102" i="10"/>
  <c r="A102" i="10"/>
  <c r="V101" i="10"/>
  <c r="U101" i="10"/>
  <c r="T101" i="10"/>
  <c r="S101" i="10"/>
  <c r="R101" i="10"/>
  <c r="Q101" i="10"/>
  <c r="P101" i="10"/>
  <c r="O101" i="10"/>
  <c r="N101" i="10"/>
  <c r="M101" i="10"/>
  <c r="L101" i="10"/>
  <c r="K101" i="10"/>
  <c r="J101" i="10"/>
  <c r="I101" i="10"/>
  <c r="H101" i="10"/>
  <c r="G101" i="10"/>
  <c r="F101" i="10"/>
  <c r="E101" i="10"/>
  <c r="D101" i="10"/>
  <c r="C101" i="10"/>
  <c r="B101" i="10"/>
  <c r="A101" i="10"/>
  <c r="V100" i="10"/>
  <c r="U100" i="10"/>
  <c r="T100" i="10"/>
  <c r="S100" i="10"/>
  <c r="R100" i="10"/>
  <c r="Q100" i="10"/>
  <c r="P100" i="10"/>
  <c r="O100" i="10"/>
  <c r="N100" i="10"/>
  <c r="M100" i="10"/>
  <c r="L100" i="10"/>
  <c r="K100" i="10"/>
  <c r="J100" i="10"/>
  <c r="I100" i="10"/>
  <c r="H100" i="10"/>
  <c r="G100" i="10"/>
  <c r="F100" i="10"/>
  <c r="E100" i="10"/>
  <c r="D100" i="10"/>
  <c r="C100" i="10"/>
  <c r="B100" i="10"/>
  <c r="A100" i="10"/>
  <c r="V99" i="10"/>
  <c r="U99" i="10"/>
  <c r="T99" i="10"/>
  <c r="S99" i="10"/>
  <c r="R99" i="10"/>
  <c r="Q99" i="10"/>
  <c r="P99" i="10"/>
  <c r="O99" i="10"/>
  <c r="N99" i="10"/>
  <c r="M99" i="10"/>
  <c r="L99" i="10"/>
  <c r="K99" i="10"/>
  <c r="J99" i="10"/>
  <c r="I99" i="10"/>
  <c r="H99" i="10"/>
  <c r="G99" i="10"/>
  <c r="F99" i="10"/>
  <c r="E99" i="10"/>
  <c r="D99" i="10"/>
  <c r="C99" i="10"/>
  <c r="B99" i="10"/>
  <c r="A99" i="10"/>
  <c r="V98" i="10"/>
  <c r="U98" i="10"/>
  <c r="T98" i="10"/>
  <c r="S98" i="10"/>
  <c r="R98" i="10"/>
  <c r="Q98" i="10"/>
  <c r="P98" i="10"/>
  <c r="O98" i="10"/>
  <c r="N98" i="10"/>
  <c r="M98" i="10"/>
  <c r="L98" i="10"/>
  <c r="K98" i="10"/>
  <c r="J98" i="10"/>
  <c r="I98" i="10"/>
  <c r="H98" i="10"/>
  <c r="G98" i="10"/>
  <c r="F98" i="10"/>
  <c r="E98" i="10"/>
  <c r="D98" i="10"/>
  <c r="C98" i="10"/>
  <c r="B98" i="10"/>
  <c r="A98" i="10"/>
  <c r="V97" i="10"/>
  <c r="U97" i="10"/>
  <c r="T97" i="10"/>
  <c r="S97" i="10"/>
  <c r="R97" i="10"/>
  <c r="Q97" i="10"/>
  <c r="P97" i="10"/>
  <c r="O97" i="10"/>
  <c r="N97" i="10"/>
  <c r="M97" i="10"/>
  <c r="L97" i="10"/>
  <c r="K97" i="10"/>
  <c r="J97" i="10"/>
  <c r="I97" i="10"/>
  <c r="H97" i="10"/>
  <c r="G97" i="10"/>
  <c r="F97" i="10"/>
  <c r="E97" i="10"/>
  <c r="D97" i="10"/>
  <c r="C97" i="10"/>
  <c r="B97" i="10"/>
  <c r="A97" i="10"/>
  <c r="V96" i="10"/>
  <c r="U96" i="10"/>
  <c r="T96" i="10"/>
  <c r="S96" i="10"/>
  <c r="R96" i="10"/>
  <c r="Q96" i="10"/>
  <c r="P96" i="10"/>
  <c r="O96" i="10"/>
  <c r="N96" i="10"/>
  <c r="M96" i="10"/>
  <c r="L96" i="10"/>
  <c r="K96" i="10"/>
  <c r="J96" i="10"/>
  <c r="I96" i="10"/>
  <c r="H96" i="10"/>
  <c r="G96" i="10"/>
  <c r="F96" i="10"/>
  <c r="E96" i="10"/>
  <c r="D96" i="10"/>
  <c r="C96" i="10"/>
  <c r="B96" i="10"/>
  <c r="A96" i="10"/>
  <c r="V95" i="10"/>
  <c r="U95" i="10"/>
  <c r="T95" i="10"/>
  <c r="S95" i="10"/>
  <c r="R95" i="10"/>
  <c r="Q95" i="10"/>
  <c r="P95" i="10"/>
  <c r="O95" i="10"/>
  <c r="N95" i="10"/>
  <c r="M95" i="10"/>
  <c r="L95" i="10"/>
  <c r="K95" i="10"/>
  <c r="J95" i="10"/>
  <c r="I95" i="10"/>
  <c r="H95" i="10"/>
  <c r="G95" i="10"/>
  <c r="F95" i="10"/>
  <c r="E95" i="10"/>
  <c r="D95" i="10"/>
  <c r="C95" i="10"/>
  <c r="B95" i="10"/>
  <c r="A95" i="10"/>
  <c r="V94" i="10"/>
  <c r="U94" i="10"/>
  <c r="T94" i="10"/>
  <c r="S94" i="10"/>
  <c r="R94" i="10"/>
  <c r="Q94" i="10"/>
  <c r="P94" i="10"/>
  <c r="O94" i="10"/>
  <c r="N94" i="10"/>
  <c r="M94" i="10"/>
  <c r="L94" i="10"/>
  <c r="K94" i="10"/>
  <c r="J94" i="10"/>
  <c r="I94" i="10"/>
  <c r="H94" i="10"/>
  <c r="G94" i="10"/>
  <c r="F94" i="10"/>
  <c r="E94" i="10"/>
  <c r="D94" i="10"/>
  <c r="C94" i="10"/>
  <c r="B94" i="10"/>
  <c r="A94" i="10"/>
  <c r="V93" i="10"/>
  <c r="U93" i="10"/>
  <c r="T93" i="10"/>
  <c r="S93" i="10"/>
  <c r="R93" i="10"/>
  <c r="Q93" i="10"/>
  <c r="P93" i="10"/>
  <c r="O93" i="10"/>
  <c r="N93" i="10"/>
  <c r="M93" i="10"/>
  <c r="L93" i="10"/>
  <c r="K93" i="10"/>
  <c r="J93" i="10"/>
  <c r="I93" i="10"/>
  <c r="H93" i="10"/>
  <c r="G93" i="10"/>
  <c r="F93" i="10"/>
  <c r="E93" i="10"/>
  <c r="D93" i="10"/>
  <c r="C93" i="10"/>
  <c r="B93" i="10"/>
  <c r="A93" i="10"/>
  <c r="V92" i="10"/>
  <c r="U92" i="10"/>
  <c r="T92" i="10"/>
  <c r="S92" i="10"/>
  <c r="R92" i="10"/>
  <c r="Q92" i="10"/>
  <c r="P92" i="10"/>
  <c r="O92" i="10"/>
  <c r="N92" i="10"/>
  <c r="M92" i="10"/>
  <c r="L92" i="10"/>
  <c r="K92" i="10"/>
  <c r="J92" i="10"/>
  <c r="I92" i="10"/>
  <c r="H92" i="10"/>
  <c r="G92" i="10"/>
  <c r="F92" i="10"/>
  <c r="E92" i="10"/>
  <c r="D92" i="10"/>
  <c r="C92" i="10"/>
  <c r="B92" i="10"/>
  <c r="A92" i="10"/>
  <c r="V91" i="10"/>
  <c r="U91" i="10"/>
  <c r="T91" i="10"/>
  <c r="S91" i="10"/>
  <c r="R91" i="10"/>
  <c r="Q91" i="10"/>
  <c r="P91" i="10"/>
  <c r="O91" i="10"/>
  <c r="N91" i="10"/>
  <c r="M91" i="10"/>
  <c r="L91" i="10"/>
  <c r="K91" i="10"/>
  <c r="J91" i="10"/>
  <c r="I91" i="10"/>
  <c r="H91" i="10"/>
  <c r="G91" i="10"/>
  <c r="F91" i="10"/>
  <c r="E91" i="10"/>
  <c r="D91" i="10"/>
  <c r="C91" i="10"/>
  <c r="B91" i="10"/>
  <c r="A91" i="10"/>
  <c r="V90" i="10"/>
  <c r="U90" i="10"/>
  <c r="T90" i="10"/>
  <c r="S90" i="10"/>
  <c r="R90" i="10"/>
  <c r="Q90" i="10"/>
  <c r="P90" i="10"/>
  <c r="O90" i="10"/>
  <c r="N90" i="10"/>
  <c r="M90" i="10"/>
  <c r="L90" i="10"/>
  <c r="K90" i="10"/>
  <c r="J90" i="10"/>
  <c r="I90" i="10"/>
  <c r="H90" i="10"/>
  <c r="G90" i="10"/>
  <c r="F90" i="10"/>
  <c r="E90" i="10"/>
  <c r="D90" i="10"/>
  <c r="C90" i="10"/>
  <c r="B90" i="10"/>
  <c r="A90" i="10"/>
  <c r="V89" i="10"/>
  <c r="U89" i="10"/>
  <c r="T89" i="10"/>
  <c r="S89" i="10"/>
  <c r="R89" i="10"/>
  <c r="Q89" i="10"/>
  <c r="P89" i="10"/>
  <c r="O89" i="10"/>
  <c r="N89" i="10"/>
  <c r="M89" i="10"/>
  <c r="L89" i="10"/>
  <c r="K89" i="10"/>
  <c r="J89" i="10"/>
  <c r="I89" i="10"/>
  <c r="H89" i="10"/>
  <c r="G89" i="10"/>
  <c r="F89" i="10"/>
  <c r="E89" i="10"/>
  <c r="D89" i="10"/>
  <c r="C89" i="10"/>
  <c r="B89" i="10"/>
  <c r="A89" i="10"/>
  <c r="V88" i="10"/>
  <c r="U88" i="10"/>
  <c r="T88" i="10"/>
  <c r="S88" i="10"/>
  <c r="R88" i="10"/>
  <c r="Q88" i="10"/>
  <c r="P88" i="10"/>
  <c r="O88" i="10"/>
  <c r="N88" i="10"/>
  <c r="M88" i="10"/>
  <c r="L88" i="10"/>
  <c r="K88" i="10"/>
  <c r="J88" i="10"/>
  <c r="I88" i="10"/>
  <c r="H88" i="10"/>
  <c r="G88" i="10"/>
  <c r="F88" i="10"/>
  <c r="E88" i="10"/>
  <c r="D88" i="10"/>
  <c r="C88" i="10"/>
  <c r="B88" i="10"/>
  <c r="A88" i="10"/>
  <c r="V87" i="10"/>
  <c r="U87" i="10"/>
  <c r="T87" i="10"/>
  <c r="S87" i="10"/>
  <c r="R87" i="10"/>
  <c r="Q87" i="10"/>
  <c r="P87" i="10"/>
  <c r="O87" i="10"/>
  <c r="N87" i="10"/>
  <c r="M87" i="10"/>
  <c r="L87" i="10"/>
  <c r="K87" i="10"/>
  <c r="J87" i="10"/>
  <c r="I87" i="10"/>
  <c r="H87" i="10"/>
  <c r="G87" i="10"/>
  <c r="F87" i="10"/>
  <c r="E87" i="10"/>
  <c r="D87" i="10"/>
  <c r="C87" i="10"/>
  <c r="B87" i="10"/>
  <c r="A87" i="10"/>
  <c r="V86" i="10"/>
  <c r="U86" i="10"/>
  <c r="T86" i="10"/>
  <c r="S86" i="10"/>
  <c r="R86" i="10"/>
  <c r="Q86" i="10"/>
  <c r="P86" i="10"/>
  <c r="O86" i="10"/>
  <c r="N86" i="10"/>
  <c r="M86" i="10"/>
  <c r="L86" i="10"/>
  <c r="K86" i="10"/>
  <c r="J86" i="10"/>
  <c r="I86" i="10"/>
  <c r="H86" i="10"/>
  <c r="G86" i="10"/>
  <c r="F86" i="10"/>
  <c r="E86" i="10"/>
  <c r="D86" i="10"/>
  <c r="C86" i="10"/>
  <c r="B86" i="10"/>
  <c r="A86" i="10"/>
  <c r="V85" i="10"/>
  <c r="U85" i="10"/>
  <c r="T85" i="10"/>
  <c r="S85" i="10"/>
  <c r="R85" i="10"/>
  <c r="Q85" i="10"/>
  <c r="P85" i="10"/>
  <c r="O85" i="10"/>
  <c r="N85" i="10"/>
  <c r="M85" i="10"/>
  <c r="L85" i="10"/>
  <c r="K85" i="10"/>
  <c r="J85" i="10"/>
  <c r="I85" i="10"/>
  <c r="H85" i="10"/>
  <c r="G85" i="10"/>
  <c r="F85" i="10"/>
  <c r="E85" i="10"/>
  <c r="D85" i="10"/>
  <c r="C85" i="10"/>
  <c r="B85" i="10"/>
  <c r="A85" i="10"/>
  <c r="V84" i="10"/>
  <c r="U84" i="10"/>
  <c r="T84" i="10"/>
  <c r="S84" i="10"/>
  <c r="R84" i="10"/>
  <c r="Q84" i="10"/>
  <c r="P84" i="10"/>
  <c r="O84" i="10"/>
  <c r="N84" i="10"/>
  <c r="M84" i="10"/>
  <c r="L84" i="10"/>
  <c r="K84" i="10"/>
  <c r="J84" i="10"/>
  <c r="I84" i="10"/>
  <c r="H84" i="10"/>
  <c r="G84" i="10"/>
  <c r="F84" i="10"/>
  <c r="E84" i="10"/>
  <c r="D84" i="10"/>
  <c r="C84" i="10"/>
  <c r="B84" i="10"/>
  <c r="A84" i="10"/>
  <c r="V83" i="10"/>
  <c r="U83" i="10"/>
  <c r="T83" i="10"/>
  <c r="S83" i="10"/>
  <c r="R83" i="10"/>
  <c r="Q83" i="10"/>
  <c r="P83" i="10"/>
  <c r="O83" i="10"/>
  <c r="N83" i="10"/>
  <c r="M83" i="10"/>
  <c r="L83" i="10"/>
  <c r="K83" i="10"/>
  <c r="J83" i="10"/>
  <c r="I83" i="10"/>
  <c r="H83" i="10"/>
  <c r="G83" i="10"/>
  <c r="F83" i="10"/>
  <c r="E83" i="10"/>
  <c r="D83" i="10"/>
  <c r="C83" i="10"/>
  <c r="B83" i="10"/>
  <c r="A83" i="10"/>
  <c r="V82" i="10"/>
  <c r="U82" i="10"/>
  <c r="T82" i="10"/>
  <c r="S82" i="10"/>
  <c r="R82" i="10"/>
  <c r="Q82" i="10"/>
  <c r="P82" i="10"/>
  <c r="O82" i="10"/>
  <c r="N82" i="10"/>
  <c r="M82" i="10"/>
  <c r="L82" i="10"/>
  <c r="K82" i="10"/>
  <c r="J82" i="10"/>
  <c r="I82" i="10"/>
  <c r="H82" i="10"/>
  <c r="G82" i="10"/>
  <c r="F82" i="10"/>
  <c r="E82" i="10"/>
  <c r="D82" i="10"/>
  <c r="C82" i="10"/>
  <c r="B82" i="10"/>
  <c r="A82" i="10"/>
  <c r="V81" i="10"/>
  <c r="U81" i="10"/>
  <c r="T81" i="10"/>
  <c r="S81" i="10"/>
  <c r="R81" i="10"/>
  <c r="Q81" i="10"/>
  <c r="P81" i="10"/>
  <c r="O81" i="10"/>
  <c r="N81" i="10"/>
  <c r="M81" i="10"/>
  <c r="L81" i="10"/>
  <c r="K81" i="10"/>
  <c r="J81" i="10"/>
  <c r="I81" i="10"/>
  <c r="H81" i="10"/>
  <c r="G81" i="10"/>
  <c r="F81" i="10"/>
  <c r="E81" i="10"/>
  <c r="D81" i="10"/>
  <c r="C81" i="10"/>
  <c r="B81" i="10"/>
  <c r="A81" i="10"/>
  <c r="V80" i="10"/>
  <c r="U80" i="10"/>
  <c r="T80" i="10"/>
  <c r="S80" i="10"/>
  <c r="R80" i="10"/>
  <c r="Q80" i="10"/>
  <c r="P80" i="10"/>
  <c r="O80" i="10"/>
  <c r="N80" i="10"/>
  <c r="M80" i="10"/>
  <c r="L80" i="10"/>
  <c r="K80" i="10"/>
  <c r="J80" i="10"/>
  <c r="I80" i="10"/>
  <c r="H80" i="10"/>
  <c r="G80" i="10"/>
  <c r="F80" i="10"/>
  <c r="E80" i="10"/>
  <c r="D80" i="10"/>
  <c r="C80" i="10"/>
  <c r="B80" i="10"/>
  <c r="A80" i="10"/>
  <c r="V79" i="10"/>
  <c r="U79" i="10"/>
  <c r="T79" i="10"/>
  <c r="S79" i="10"/>
  <c r="R79" i="10"/>
  <c r="Q79" i="10"/>
  <c r="P79" i="10"/>
  <c r="O79" i="10"/>
  <c r="N79" i="10"/>
  <c r="M79" i="10"/>
  <c r="L79" i="10"/>
  <c r="K79" i="10"/>
  <c r="J79" i="10"/>
  <c r="I79" i="10"/>
  <c r="H79" i="10"/>
  <c r="G79" i="10"/>
  <c r="F79" i="10"/>
  <c r="E79" i="10"/>
  <c r="D79" i="10"/>
  <c r="C79" i="10"/>
  <c r="B79" i="10"/>
  <c r="A79" i="10"/>
  <c r="V78" i="10"/>
  <c r="U78" i="10"/>
  <c r="T78" i="10"/>
  <c r="S78" i="10"/>
  <c r="R78" i="10"/>
  <c r="Q78" i="10"/>
  <c r="P78" i="10"/>
  <c r="O78" i="10"/>
  <c r="N78" i="10"/>
  <c r="M78" i="10"/>
  <c r="L78" i="10"/>
  <c r="K78" i="10"/>
  <c r="J78" i="10"/>
  <c r="I78" i="10"/>
  <c r="H78" i="10"/>
  <c r="G78" i="10"/>
  <c r="F78" i="10"/>
  <c r="E78" i="10"/>
  <c r="D78" i="10"/>
  <c r="C78" i="10"/>
  <c r="B78" i="10"/>
  <c r="A78" i="10"/>
  <c r="V77" i="10"/>
  <c r="U77" i="10"/>
  <c r="T77" i="10"/>
  <c r="S77" i="10"/>
  <c r="R77" i="10"/>
  <c r="Q77" i="10"/>
  <c r="P77" i="10"/>
  <c r="O77" i="10"/>
  <c r="N77" i="10"/>
  <c r="M77" i="10"/>
  <c r="L77" i="10"/>
  <c r="K77" i="10"/>
  <c r="J77" i="10"/>
  <c r="I77" i="10"/>
  <c r="H77" i="10"/>
  <c r="G77" i="10"/>
  <c r="F77" i="10"/>
  <c r="E77" i="10"/>
  <c r="D77" i="10"/>
  <c r="C77" i="10"/>
  <c r="B77" i="10"/>
  <c r="A77" i="10"/>
  <c r="V76" i="10"/>
  <c r="U76" i="10"/>
  <c r="T76" i="10"/>
  <c r="S76" i="10"/>
  <c r="R76" i="10"/>
  <c r="Q76" i="10"/>
  <c r="P76" i="10"/>
  <c r="O76" i="10"/>
  <c r="N76" i="10"/>
  <c r="M76" i="10"/>
  <c r="L76" i="10"/>
  <c r="K76" i="10"/>
  <c r="J76" i="10"/>
  <c r="I76" i="10"/>
  <c r="H76" i="10"/>
  <c r="G76" i="10"/>
  <c r="F76" i="10"/>
  <c r="E76" i="10"/>
  <c r="D76" i="10"/>
  <c r="C76" i="10"/>
  <c r="B76" i="10"/>
  <c r="A76" i="10"/>
  <c r="V75" i="10"/>
  <c r="U75" i="10"/>
  <c r="T75" i="10"/>
  <c r="S75" i="10"/>
  <c r="R75" i="10"/>
  <c r="Q75" i="10"/>
  <c r="P75" i="10"/>
  <c r="O75" i="10"/>
  <c r="N75" i="10"/>
  <c r="M75" i="10"/>
  <c r="L75" i="10"/>
  <c r="K75" i="10"/>
  <c r="J75" i="10"/>
  <c r="I75" i="10"/>
  <c r="H75" i="10"/>
  <c r="G75" i="10"/>
  <c r="F75" i="10"/>
  <c r="E75" i="10"/>
  <c r="D75" i="10"/>
  <c r="C75" i="10"/>
  <c r="B75" i="10"/>
  <c r="A75" i="10"/>
  <c r="V74" i="10"/>
  <c r="U74" i="10"/>
  <c r="T74" i="10"/>
  <c r="S74" i="10"/>
  <c r="R74" i="10"/>
  <c r="Q74" i="10"/>
  <c r="P74" i="10"/>
  <c r="O74" i="10"/>
  <c r="N74" i="10"/>
  <c r="M74" i="10"/>
  <c r="L74" i="10"/>
  <c r="K74" i="10"/>
  <c r="J74" i="10"/>
  <c r="I74" i="10"/>
  <c r="H74" i="10"/>
  <c r="G74" i="10"/>
  <c r="F74" i="10"/>
  <c r="E74" i="10"/>
  <c r="D74" i="10"/>
  <c r="C74" i="10"/>
  <c r="B74" i="10"/>
  <c r="A74" i="10"/>
  <c r="V73" i="10"/>
  <c r="U73" i="10"/>
  <c r="T73" i="10"/>
  <c r="S73" i="10"/>
  <c r="R73" i="10"/>
  <c r="Q73" i="10"/>
  <c r="P73" i="10"/>
  <c r="O73" i="10"/>
  <c r="N73" i="10"/>
  <c r="M73" i="10"/>
  <c r="L73" i="10"/>
  <c r="K73" i="10"/>
  <c r="J73" i="10"/>
  <c r="I73" i="10"/>
  <c r="H73" i="10"/>
  <c r="G73" i="10"/>
  <c r="F73" i="10"/>
  <c r="E73" i="10"/>
  <c r="D73" i="10"/>
  <c r="C73" i="10"/>
  <c r="B73" i="10"/>
  <c r="A73" i="10"/>
  <c r="V72" i="10"/>
  <c r="U72" i="10"/>
  <c r="T72" i="10"/>
  <c r="S72" i="10"/>
  <c r="R72" i="10"/>
  <c r="Q72" i="10"/>
  <c r="P72" i="10"/>
  <c r="O72" i="10"/>
  <c r="N72" i="10"/>
  <c r="M72" i="10"/>
  <c r="L72" i="10"/>
  <c r="K72" i="10"/>
  <c r="J72" i="10"/>
  <c r="I72" i="10"/>
  <c r="H72" i="10"/>
  <c r="G72" i="10"/>
  <c r="F72" i="10"/>
  <c r="E72" i="10"/>
  <c r="D72" i="10"/>
  <c r="C72" i="10"/>
  <c r="B72" i="10"/>
  <c r="A72" i="10"/>
  <c r="V71" i="10"/>
  <c r="U71" i="10"/>
  <c r="T71" i="10"/>
  <c r="S71" i="10"/>
  <c r="R71" i="10"/>
  <c r="Q71" i="10"/>
  <c r="P71" i="10"/>
  <c r="O71" i="10"/>
  <c r="N71" i="10"/>
  <c r="M71" i="10"/>
  <c r="L71" i="10"/>
  <c r="K71" i="10"/>
  <c r="J71" i="10"/>
  <c r="I71" i="10"/>
  <c r="H71" i="10"/>
  <c r="G71" i="10"/>
  <c r="F71" i="10"/>
  <c r="E71" i="10"/>
  <c r="D71" i="10"/>
  <c r="C71" i="10"/>
  <c r="B71" i="10"/>
  <c r="A71" i="10"/>
  <c r="V70" i="10"/>
  <c r="U70" i="10"/>
  <c r="T70" i="10"/>
  <c r="S70" i="10"/>
  <c r="R70" i="10"/>
  <c r="Q70" i="10"/>
  <c r="P70" i="10"/>
  <c r="O70" i="10"/>
  <c r="N70" i="10"/>
  <c r="M70" i="10"/>
  <c r="L70" i="10"/>
  <c r="K70" i="10"/>
  <c r="J70" i="10"/>
  <c r="I70" i="10"/>
  <c r="H70" i="10"/>
  <c r="G70" i="10"/>
  <c r="F70" i="10"/>
  <c r="E70" i="10"/>
  <c r="D70" i="10"/>
  <c r="C70" i="10"/>
  <c r="B70" i="10"/>
  <c r="A70" i="10"/>
  <c r="V69" i="10"/>
  <c r="U69" i="10"/>
  <c r="T69" i="10"/>
  <c r="S69" i="10"/>
  <c r="R69" i="10"/>
  <c r="Q69" i="10"/>
  <c r="P69" i="10"/>
  <c r="O69" i="10"/>
  <c r="N69" i="10"/>
  <c r="M69" i="10"/>
  <c r="L69" i="10"/>
  <c r="K69" i="10"/>
  <c r="J69" i="10"/>
  <c r="I69" i="10"/>
  <c r="H69" i="10"/>
  <c r="G69" i="10"/>
  <c r="F69" i="10"/>
  <c r="E69" i="10"/>
  <c r="D69" i="10"/>
  <c r="C69" i="10"/>
  <c r="B69" i="10"/>
  <c r="A69" i="10"/>
  <c r="V68" i="10"/>
  <c r="U68" i="10"/>
  <c r="T68" i="10"/>
  <c r="S68" i="10"/>
  <c r="R68" i="10"/>
  <c r="Q68" i="10"/>
  <c r="P68" i="10"/>
  <c r="O68" i="10"/>
  <c r="N68" i="10"/>
  <c r="M68" i="10"/>
  <c r="L68" i="10"/>
  <c r="K68" i="10"/>
  <c r="J68" i="10"/>
  <c r="I68" i="10"/>
  <c r="H68" i="10"/>
  <c r="G68" i="10"/>
  <c r="F68" i="10"/>
  <c r="E68" i="10"/>
  <c r="D68" i="10"/>
  <c r="C68" i="10"/>
  <c r="B68" i="10"/>
  <c r="A68" i="10"/>
  <c r="V67" i="10"/>
  <c r="U67" i="10"/>
  <c r="T67" i="10"/>
  <c r="S67" i="10"/>
  <c r="R67" i="10"/>
  <c r="Q67" i="10"/>
  <c r="P67" i="10"/>
  <c r="O67" i="10"/>
  <c r="N67" i="10"/>
  <c r="M67" i="10"/>
  <c r="L67" i="10"/>
  <c r="K67" i="10"/>
  <c r="J67" i="10"/>
  <c r="I67" i="10"/>
  <c r="H67" i="10"/>
  <c r="G67" i="10"/>
  <c r="F67" i="10"/>
  <c r="E67" i="10"/>
  <c r="D67" i="10"/>
  <c r="C67" i="10"/>
  <c r="B67" i="10"/>
  <c r="A67" i="10"/>
  <c r="V66" i="10"/>
  <c r="U66" i="10"/>
  <c r="T66" i="10"/>
  <c r="S66" i="10"/>
  <c r="R66" i="10"/>
  <c r="Q66" i="10"/>
  <c r="P66" i="10"/>
  <c r="O66" i="10"/>
  <c r="N66" i="10"/>
  <c r="M66" i="10"/>
  <c r="L66" i="10"/>
  <c r="K66" i="10"/>
  <c r="J66" i="10"/>
  <c r="I66" i="10"/>
  <c r="H66" i="10"/>
  <c r="G66" i="10"/>
  <c r="F66" i="10"/>
  <c r="E66" i="10"/>
  <c r="D66" i="10"/>
  <c r="C66" i="10"/>
  <c r="B66" i="10"/>
  <c r="A66" i="10"/>
  <c r="V65" i="10"/>
  <c r="U65" i="10"/>
  <c r="T65" i="10"/>
  <c r="S65" i="10"/>
  <c r="R65" i="10"/>
  <c r="Q65" i="10"/>
  <c r="P65" i="10"/>
  <c r="O65" i="10"/>
  <c r="N65" i="10"/>
  <c r="M65" i="10"/>
  <c r="L65" i="10"/>
  <c r="K65" i="10"/>
  <c r="J65" i="10"/>
  <c r="I65" i="10"/>
  <c r="H65" i="10"/>
  <c r="G65" i="10"/>
  <c r="F65" i="10"/>
  <c r="E65" i="10"/>
  <c r="D65" i="10"/>
  <c r="C65" i="10"/>
  <c r="B65" i="10"/>
  <c r="A65" i="10"/>
  <c r="V64" i="10"/>
  <c r="U64" i="10"/>
  <c r="T64" i="10"/>
  <c r="S64" i="10"/>
  <c r="R64" i="10"/>
  <c r="Q64" i="10"/>
  <c r="P64" i="10"/>
  <c r="O64" i="10"/>
  <c r="N64" i="10"/>
  <c r="M64" i="10"/>
  <c r="L64" i="10"/>
  <c r="K64" i="10"/>
  <c r="J64" i="10"/>
  <c r="I64" i="10"/>
  <c r="H64" i="10"/>
  <c r="G64" i="10"/>
  <c r="F64" i="10"/>
  <c r="E64" i="10"/>
  <c r="D64" i="10"/>
  <c r="C64" i="10"/>
  <c r="B64" i="10"/>
  <c r="A64" i="10"/>
  <c r="V63" i="10"/>
  <c r="U63" i="10"/>
  <c r="T63" i="10"/>
  <c r="S63" i="10"/>
  <c r="R63" i="10"/>
  <c r="Q63" i="10"/>
  <c r="P63" i="10"/>
  <c r="O63" i="10"/>
  <c r="N63" i="10"/>
  <c r="M63" i="10"/>
  <c r="L63" i="10"/>
  <c r="K63" i="10"/>
  <c r="J63" i="10"/>
  <c r="I63" i="10"/>
  <c r="H63" i="10"/>
  <c r="G63" i="10"/>
  <c r="F63" i="10"/>
  <c r="E63" i="10"/>
  <c r="D63" i="10"/>
  <c r="C63" i="10"/>
  <c r="B63" i="10"/>
  <c r="A63" i="10"/>
  <c r="V62" i="10"/>
  <c r="U62" i="10"/>
  <c r="T62" i="10"/>
  <c r="S62" i="10"/>
  <c r="R62" i="10"/>
  <c r="Q62" i="10"/>
  <c r="P62" i="10"/>
  <c r="O62" i="10"/>
  <c r="N62" i="10"/>
  <c r="M62" i="10"/>
  <c r="L62" i="10"/>
  <c r="K62" i="10"/>
  <c r="J62" i="10"/>
  <c r="I62" i="10"/>
  <c r="H62" i="10"/>
  <c r="G62" i="10"/>
  <c r="F62" i="10"/>
  <c r="E62" i="10"/>
  <c r="D62" i="10"/>
  <c r="C62" i="10"/>
  <c r="B62" i="10"/>
  <c r="A62" i="10"/>
  <c r="V61" i="10"/>
  <c r="U61" i="10"/>
  <c r="T61" i="10"/>
  <c r="S61" i="10"/>
  <c r="R61" i="10"/>
  <c r="Q61" i="10"/>
  <c r="P61" i="10"/>
  <c r="O61" i="10"/>
  <c r="N61" i="10"/>
  <c r="M61" i="10"/>
  <c r="L61" i="10"/>
  <c r="K61" i="10"/>
  <c r="J61" i="10"/>
  <c r="I61" i="10"/>
  <c r="H61" i="10"/>
  <c r="G61" i="10"/>
  <c r="F61" i="10"/>
  <c r="E61" i="10"/>
  <c r="D61" i="10"/>
  <c r="C61" i="10"/>
  <c r="B61" i="10"/>
  <c r="A61" i="10"/>
  <c r="V60" i="10"/>
  <c r="U60" i="10"/>
  <c r="T60" i="10"/>
  <c r="S60" i="10"/>
  <c r="R60" i="10"/>
  <c r="Q60" i="10"/>
  <c r="P60" i="10"/>
  <c r="O60" i="10"/>
  <c r="N60" i="10"/>
  <c r="M60" i="10"/>
  <c r="L60" i="10"/>
  <c r="K60" i="10"/>
  <c r="J60" i="10"/>
  <c r="I60" i="10"/>
  <c r="H60" i="10"/>
  <c r="G60" i="10"/>
  <c r="F60" i="10"/>
  <c r="E60" i="10"/>
  <c r="D60" i="10"/>
  <c r="C60" i="10"/>
  <c r="B60" i="10"/>
  <c r="A60" i="10"/>
  <c r="V59" i="10"/>
  <c r="U59" i="10"/>
  <c r="T59" i="10"/>
  <c r="S59" i="10"/>
  <c r="R59" i="10"/>
  <c r="Q59" i="10"/>
  <c r="P59" i="10"/>
  <c r="O59" i="10"/>
  <c r="N59" i="10"/>
  <c r="M59" i="10"/>
  <c r="L59" i="10"/>
  <c r="K59" i="10"/>
  <c r="J59" i="10"/>
  <c r="I59" i="10"/>
  <c r="H59" i="10"/>
  <c r="G59" i="10"/>
  <c r="F59" i="10"/>
  <c r="E59" i="10"/>
  <c r="D59" i="10"/>
  <c r="C59" i="10"/>
  <c r="B59" i="10"/>
  <c r="A59" i="10"/>
  <c r="V58" i="10"/>
  <c r="U58" i="10"/>
  <c r="T58" i="10"/>
  <c r="S58" i="10"/>
  <c r="R58" i="10"/>
  <c r="Q58" i="10"/>
  <c r="P58" i="10"/>
  <c r="O58" i="10"/>
  <c r="N58" i="10"/>
  <c r="M58" i="10"/>
  <c r="L58" i="10"/>
  <c r="K58" i="10"/>
  <c r="J58" i="10"/>
  <c r="I58" i="10"/>
  <c r="H58" i="10"/>
  <c r="G58" i="10"/>
  <c r="F58" i="10"/>
  <c r="E58" i="10"/>
  <c r="D58" i="10"/>
  <c r="C58" i="10"/>
  <c r="B58" i="10"/>
  <c r="A58" i="10"/>
  <c r="V57" i="10"/>
  <c r="U57" i="10"/>
  <c r="T57" i="10"/>
  <c r="S57" i="10"/>
  <c r="R57" i="10"/>
  <c r="Q57" i="10"/>
  <c r="P57" i="10"/>
  <c r="O57" i="10"/>
  <c r="N57" i="10"/>
  <c r="M57" i="10"/>
  <c r="L57" i="10"/>
  <c r="K57" i="10"/>
  <c r="J57" i="10"/>
  <c r="I57" i="10"/>
  <c r="H57" i="10"/>
  <c r="G57" i="10"/>
  <c r="F57" i="10"/>
  <c r="E57" i="10"/>
  <c r="D57" i="10"/>
  <c r="C57" i="10"/>
  <c r="B57" i="10"/>
  <c r="A57" i="10"/>
  <c r="V56" i="10"/>
  <c r="U56" i="10"/>
  <c r="T56" i="10"/>
  <c r="S56" i="10"/>
  <c r="R56" i="10"/>
  <c r="Q56" i="10"/>
  <c r="P56" i="10"/>
  <c r="O56" i="10"/>
  <c r="N56" i="10"/>
  <c r="M56" i="10"/>
  <c r="L56" i="10"/>
  <c r="K56" i="10"/>
  <c r="J56" i="10"/>
  <c r="I56" i="10"/>
  <c r="H56" i="10"/>
  <c r="G56" i="10"/>
  <c r="F56" i="10"/>
  <c r="E56" i="10"/>
  <c r="D56" i="10"/>
  <c r="C56" i="10"/>
  <c r="B56" i="10"/>
  <c r="A56" i="10"/>
  <c r="V55" i="10"/>
  <c r="U55" i="10"/>
  <c r="T55" i="10"/>
  <c r="S55" i="10"/>
  <c r="R55" i="10"/>
  <c r="Q55" i="10"/>
  <c r="P55" i="10"/>
  <c r="O55" i="10"/>
  <c r="N55" i="10"/>
  <c r="M55" i="10"/>
  <c r="L55" i="10"/>
  <c r="K55" i="10"/>
  <c r="J55" i="10"/>
  <c r="I55" i="10"/>
  <c r="H55" i="10"/>
  <c r="G55" i="10"/>
  <c r="F55" i="10"/>
  <c r="E55" i="10"/>
  <c r="D55" i="10"/>
  <c r="C55" i="10"/>
  <c r="B55" i="10"/>
  <c r="A55" i="10"/>
  <c r="V54" i="10"/>
  <c r="U54" i="10"/>
  <c r="T54" i="10"/>
  <c r="S54" i="10"/>
  <c r="R54" i="10"/>
  <c r="Q54" i="10"/>
  <c r="P54" i="10"/>
  <c r="O54" i="10"/>
  <c r="N54" i="10"/>
  <c r="M54" i="10"/>
  <c r="L54" i="10"/>
  <c r="K54" i="10"/>
  <c r="J54" i="10"/>
  <c r="I54" i="10"/>
  <c r="H54" i="10"/>
  <c r="G54" i="10"/>
  <c r="F54" i="10"/>
  <c r="E54" i="10"/>
  <c r="D54" i="10"/>
  <c r="C54" i="10"/>
  <c r="B54" i="10"/>
  <c r="A54" i="10"/>
  <c r="V53" i="10"/>
  <c r="U53" i="10"/>
  <c r="T53" i="10"/>
  <c r="S53" i="10"/>
  <c r="R53" i="10"/>
  <c r="Q53" i="10"/>
  <c r="P53" i="10"/>
  <c r="O53" i="10"/>
  <c r="N53" i="10"/>
  <c r="M53" i="10"/>
  <c r="L53" i="10"/>
  <c r="K53" i="10"/>
  <c r="J53" i="10"/>
  <c r="I53" i="10"/>
  <c r="H53" i="10"/>
  <c r="G53" i="10"/>
  <c r="F53" i="10"/>
  <c r="E53" i="10"/>
  <c r="D53" i="10"/>
  <c r="C53" i="10"/>
  <c r="B53" i="10"/>
  <c r="A53" i="10"/>
  <c r="V52" i="10"/>
  <c r="U52" i="10"/>
  <c r="T52" i="10"/>
  <c r="S52" i="10"/>
  <c r="R52" i="10"/>
  <c r="Q52" i="10"/>
  <c r="P52" i="10"/>
  <c r="O52" i="10"/>
  <c r="N52" i="10"/>
  <c r="M52" i="10"/>
  <c r="L52" i="10"/>
  <c r="K52" i="10"/>
  <c r="J52" i="10"/>
  <c r="I52" i="10"/>
  <c r="H52" i="10"/>
  <c r="G52" i="10"/>
  <c r="F52" i="10"/>
  <c r="E52" i="10"/>
  <c r="D52" i="10"/>
  <c r="C52" i="10"/>
  <c r="B52" i="10"/>
  <c r="A52" i="10"/>
  <c r="V51" i="10"/>
  <c r="U51" i="10"/>
  <c r="T51" i="10"/>
  <c r="S51" i="10"/>
  <c r="R51" i="10"/>
  <c r="Q51" i="10"/>
  <c r="P51" i="10"/>
  <c r="O51" i="10"/>
  <c r="N51" i="10"/>
  <c r="M51" i="10"/>
  <c r="L51" i="10"/>
  <c r="K51" i="10"/>
  <c r="J51" i="10"/>
  <c r="I51" i="10"/>
  <c r="H51" i="10"/>
  <c r="G51" i="10"/>
  <c r="F51" i="10"/>
  <c r="E51" i="10"/>
  <c r="D51" i="10"/>
  <c r="C51" i="10"/>
  <c r="B51" i="10"/>
  <c r="A51" i="10"/>
  <c r="V50" i="10"/>
  <c r="U50" i="10"/>
  <c r="T50" i="10"/>
  <c r="S50" i="10"/>
  <c r="R50" i="10"/>
  <c r="Q50" i="10"/>
  <c r="P50" i="10"/>
  <c r="O50" i="10"/>
  <c r="N50" i="10"/>
  <c r="M50" i="10"/>
  <c r="L50" i="10"/>
  <c r="K50" i="10"/>
  <c r="J50" i="10"/>
  <c r="I50" i="10"/>
  <c r="H50" i="10"/>
  <c r="G50" i="10"/>
  <c r="F50" i="10"/>
  <c r="E50" i="10"/>
  <c r="D50" i="10"/>
  <c r="C50" i="10"/>
  <c r="B50" i="10"/>
  <c r="A50" i="10"/>
  <c r="V49" i="10"/>
  <c r="U49" i="10"/>
  <c r="T49" i="10"/>
  <c r="S49" i="10"/>
  <c r="R49" i="10"/>
  <c r="Q49" i="10"/>
  <c r="P49" i="10"/>
  <c r="O49" i="10"/>
  <c r="N49" i="10"/>
  <c r="M49" i="10"/>
  <c r="L49" i="10"/>
  <c r="K49" i="10"/>
  <c r="J49" i="10"/>
  <c r="I49" i="10"/>
  <c r="H49" i="10"/>
  <c r="G49" i="10"/>
  <c r="F49" i="10"/>
  <c r="E49" i="10"/>
  <c r="D49" i="10"/>
  <c r="C49" i="10"/>
  <c r="B49" i="10"/>
  <c r="A49" i="10"/>
  <c r="V48" i="10"/>
  <c r="U48" i="10"/>
  <c r="T48" i="10"/>
  <c r="S48" i="10"/>
  <c r="R48" i="10"/>
  <c r="Q48" i="10"/>
  <c r="P48" i="10"/>
  <c r="O48" i="10"/>
  <c r="N48" i="10"/>
  <c r="M48" i="10"/>
  <c r="L48" i="10"/>
  <c r="K48" i="10"/>
  <c r="J48" i="10"/>
  <c r="I48" i="10"/>
  <c r="H48" i="10"/>
  <c r="G48" i="10"/>
  <c r="F48" i="10"/>
  <c r="E48" i="10"/>
  <c r="D48" i="10"/>
  <c r="C48" i="10"/>
  <c r="B48" i="10"/>
  <c r="A48" i="10"/>
  <c r="V47" i="10"/>
  <c r="U47" i="10"/>
  <c r="T47" i="10"/>
  <c r="S47" i="10"/>
  <c r="R47" i="10"/>
  <c r="Q47" i="10"/>
  <c r="P47" i="10"/>
  <c r="O47" i="10"/>
  <c r="N47" i="10"/>
  <c r="M47" i="10"/>
  <c r="L47" i="10"/>
  <c r="K47" i="10"/>
  <c r="J47" i="10"/>
  <c r="I47" i="10"/>
  <c r="H47" i="10"/>
  <c r="G47" i="10"/>
  <c r="F47" i="10"/>
  <c r="E47" i="10"/>
  <c r="D47" i="10"/>
  <c r="C47" i="10"/>
  <c r="B47" i="10"/>
  <c r="A47" i="10"/>
  <c r="V46" i="10"/>
  <c r="U46" i="10"/>
  <c r="T46" i="10"/>
  <c r="S46" i="10"/>
  <c r="R46" i="10"/>
  <c r="Q46" i="10"/>
  <c r="P46" i="10"/>
  <c r="O46" i="10"/>
  <c r="N46" i="10"/>
  <c r="M46" i="10"/>
  <c r="L46" i="10"/>
  <c r="K46" i="10"/>
  <c r="J46" i="10"/>
  <c r="I46" i="10"/>
  <c r="H46" i="10"/>
  <c r="G46" i="10"/>
  <c r="F46" i="10"/>
  <c r="E46" i="10"/>
  <c r="D46" i="10"/>
  <c r="C46" i="10"/>
  <c r="B46" i="10"/>
  <c r="A46" i="10"/>
  <c r="V45" i="10"/>
  <c r="U45" i="10"/>
  <c r="T45" i="10"/>
  <c r="S45" i="10"/>
  <c r="R45" i="10"/>
  <c r="Q45" i="10"/>
  <c r="P45" i="10"/>
  <c r="O45" i="10"/>
  <c r="N45" i="10"/>
  <c r="M45" i="10"/>
  <c r="L45" i="10"/>
  <c r="K45" i="10"/>
  <c r="J45" i="10"/>
  <c r="I45" i="10"/>
  <c r="H45" i="10"/>
  <c r="G45" i="10"/>
  <c r="F45" i="10"/>
  <c r="E45" i="10"/>
  <c r="D45" i="10"/>
  <c r="C45" i="10"/>
  <c r="B45" i="10"/>
  <c r="A45" i="10"/>
  <c r="V44" i="10"/>
  <c r="U44" i="10"/>
  <c r="T44" i="10"/>
  <c r="S44" i="10"/>
  <c r="R44" i="10"/>
  <c r="Q44" i="10"/>
  <c r="P44" i="10"/>
  <c r="O44" i="10"/>
  <c r="N44" i="10"/>
  <c r="M44" i="10"/>
  <c r="L44" i="10"/>
  <c r="K44" i="10"/>
  <c r="J44" i="10"/>
  <c r="I44" i="10"/>
  <c r="H44" i="10"/>
  <c r="G44" i="10"/>
  <c r="F44" i="10"/>
  <c r="E44" i="10"/>
  <c r="D44" i="10"/>
  <c r="C44" i="10"/>
  <c r="B44" i="10"/>
  <c r="A44" i="10"/>
  <c r="V43" i="10"/>
  <c r="U43" i="10"/>
  <c r="T43" i="10"/>
  <c r="S43" i="10"/>
  <c r="R43" i="10"/>
  <c r="Q43" i="10"/>
  <c r="P43" i="10"/>
  <c r="O43" i="10"/>
  <c r="N43" i="10"/>
  <c r="M43" i="10"/>
  <c r="L43" i="10"/>
  <c r="K43" i="10"/>
  <c r="J43" i="10"/>
  <c r="I43" i="10"/>
  <c r="H43" i="10"/>
  <c r="G43" i="10"/>
  <c r="F43" i="10"/>
  <c r="E43" i="10"/>
  <c r="D43" i="10"/>
  <c r="C43" i="10"/>
  <c r="B43" i="10"/>
  <c r="A43" i="10"/>
  <c r="V42" i="10"/>
  <c r="U42" i="10"/>
  <c r="T42" i="10"/>
  <c r="S42" i="10"/>
  <c r="R42" i="10"/>
  <c r="Q42" i="10"/>
  <c r="P42" i="10"/>
  <c r="O42" i="10"/>
  <c r="N42" i="10"/>
  <c r="M42" i="10"/>
  <c r="L42" i="10"/>
  <c r="K42" i="10"/>
  <c r="J42" i="10"/>
  <c r="I42" i="10"/>
  <c r="H42" i="10"/>
  <c r="G42" i="10"/>
  <c r="F42" i="10"/>
  <c r="E42" i="10"/>
  <c r="D42" i="10"/>
  <c r="C42" i="10"/>
  <c r="B42" i="10"/>
  <c r="A42" i="10"/>
  <c r="V41" i="10"/>
  <c r="U41" i="10"/>
  <c r="T41" i="10"/>
  <c r="S41" i="10"/>
  <c r="R41" i="10"/>
  <c r="Q41" i="10"/>
  <c r="P41" i="10"/>
  <c r="O41" i="10"/>
  <c r="N41" i="10"/>
  <c r="M41" i="10"/>
  <c r="L41" i="10"/>
  <c r="K41" i="10"/>
  <c r="J41" i="10"/>
  <c r="I41" i="10"/>
  <c r="H41" i="10"/>
  <c r="G41" i="10"/>
  <c r="F41" i="10"/>
  <c r="E41" i="10"/>
  <c r="D41" i="10"/>
  <c r="C41" i="10"/>
  <c r="B41" i="10"/>
  <c r="A41" i="10"/>
  <c r="V40" i="10"/>
  <c r="U40" i="10"/>
  <c r="T40" i="10"/>
  <c r="S40" i="10"/>
  <c r="R40" i="10"/>
  <c r="Q40" i="10"/>
  <c r="P40" i="10"/>
  <c r="O40" i="10"/>
  <c r="N40" i="10"/>
  <c r="M40" i="10"/>
  <c r="L40" i="10"/>
  <c r="K40" i="10"/>
  <c r="J40" i="10"/>
  <c r="I40" i="10"/>
  <c r="H40" i="10"/>
  <c r="G40" i="10"/>
  <c r="F40" i="10"/>
  <c r="E40" i="10"/>
  <c r="D40" i="10"/>
  <c r="C40" i="10"/>
  <c r="B40" i="10"/>
  <c r="A40" i="10"/>
  <c r="V39" i="10"/>
  <c r="U39" i="10"/>
  <c r="T39" i="10"/>
  <c r="S39" i="10"/>
  <c r="R39" i="10"/>
  <c r="Q39" i="10"/>
  <c r="P39" i="10"/>
  <c r="O39" i="10"/>
  <c r="N39" i="10"/>
  <c r="M39" i="10"/>
  <c r="L39" i="10"/>
  <c r="K39" i="10"/>
  <c r="J39" i="10"/>
  <c r="I39" i="10"/>
  <c r="H39" i="10"/>
  <c r="G39" i="10"/>
  <c r="F39" i="10"/>
  <c r="E39" i="10"/>
  <c r="D39" i="10"/>
  <c r="C39" i="10"/>
  <c r="B39" i="10"/>
  <c r="A39" i="10"/>
  <c r="V38" i="10"/>
  <c r="U38" i="10"/>
  <c r="T38" i="10"/>
  <c r="S38" i="10"/>
  <c r="R38" i="10"/>
  <c r="Q38" i="10"/>
  <c r="P38" i="10"/>
  <c r="O38" i="10"/>
  <c r="N38" i="10"/>
  <c r="M38" i="10"/>
  <c r="L38" i="10"/>
  <c r="K38" i="10"/>
  <c r="J38" i="10"/>
  <c r="I38" i="10"/>
  <c r="H38" i="10"/>
  <c r="G38" i="10"/>
  <c r="F38" i="10"/>
  <c r="E38" i="10"/>
  <c r="D38" i="10"/>
  <c r="C38" i="10"/>
  <c r="B38" i="10"/>
  <c r="A38" i="10"/>
  <c r="V37" i="10"/>
  <c r="U37" i="10"/>
  <c r="T37" i="10"/>
  <c r="S37" i="10"/>
  <c r="R37" i="10"/>
  <c r="Q37" i="10"/>
  <c r="P37" i="10"/>
  <c r="O37" i="10"/>
  <c r="N37" i="10"/>
  <c r="M37" i="10"/>
  <c r="L37" i="10"/>
  <c r="K37" i="10"/>
  <c r="J37" i="10"/>
  <c r="I37" i="10"/>
  <c r="H37" i="10"/>
  <c r="G37" i="10"/>
  <c r="F37" i="10"/>
  <c r="E37" i="10"/>
  <c r="D37" i="10"/>
  <c r="C37" i="10"/>
  <c r="B37" i="10"/>
  <c r="A37" i="10"/>
  <c r="V36" i="10"/>
  <c r="U36" i="10"/>
  <c r="T36" i="10"/>
  <c r="S36" i="10"/>
  <c r="R36" i="10"/>
  <c r="Q36" i="10"/>
  <c r="P36" i="10"/>
  <c r="O36" i="10"/>
  <c r="N36" i="10"/>
  <c r="M36" i="10"/>
  <c r="L36" i="10"/>
  <c r="K36" i="10"/>
  <c r="J36" i="10"/>
  <c r="I36" i="10"/>
  <c r="H36" i="10"/>
  <c r="G36" i="10"/>
  <c r="F36" i="10"/>
  <c r="E36" i="10"/>
  <c r="D36" i="10"/>
  <c r="C36" i="10"/>
  <c r="B36" i="10"/>
  <c r="A36" i="10"/>
  <c r="V35" i="10"/>
  <c r="U35" i="10"/>
  <c r="T35" i="10"/>
  <c r="S35" i="10"/>
  <c r="R35" i="10"/>
  <c r="Q35" i="10"/>
  <c r="P35" i="10"/>
  <c r="O35" i="10"/>
  <c r="N35" i="10"/>
  <c r="M35" i="10"/>
  <c r="L35" i="10"/>
  <c r="K35" i="10"/>
  <c r="J35" i="10"/>
  <c r="I35" i="10"/>
  <c r="H35" i="10"/>
  <c r="G35" i="10"/>
  <c r="F35" i="10"/>
  <c r="E35" i="10"/>
  <c r="D35" i="10"/>
  <c r="C35" i="10"/>
  <c r="B35" i="10"/>
  <c r="A35" i="10"/>
  <c r="V34" i="10"/>
  <c r="U34" i="10"/>
  <c r="T34" i="10"/>
  <c r="S34" i="10"/>
  <c r="R34" i="10"/>
  <c r="Q34" i="10"/>
  <c r="P34" i="10"/>
  <c r="O34" i="10"/>
  <c r="N34" i="10"/>
  <c r="M34" i="10"/>
  <c r="L34" i="10"/>
  <c r="K34" i="10"/>
  <c r="J34" i="10"/>
  <c r="I34" i="10"/>
  <c r="H34" i="10"/>
  <c r="G34" i="10"/>
  <c r="F34" i="10"/>
  <c r="E34" i="10"/>
  <c r="D34" i="10"/>
  <c r="C34" i="10"/>
  <c r="B34" i="10"/>
  <c r="A34" i="10"/>
  <c r="V33" i="10"/>
  <c r="U33" i="10"/>
  <c r="T33" i="10"/>
  <c r="S33" i="10"/>
  <c r="R33" i="10"/>
  <c r="Q33" i="10"/>
  <c r="P33" i="10"/>
  <c r="O33" i="10"/>
  <c r="N33" i="10"/>
  <c r="M33" i="10"/>
  <c r="L33" i="10"/>
  <c r="K33" i="10"/>
  <c r="J33" i="10"/>
  <c r="I33" i="10"/>
  <c r="H33" i="10"/>
  <c r="G33" i="10"/>
  <c r="F33" i="10"/>
  <c r="E33" i="10"/>
  <c r="D33" i="10"/>
  <c r="C33" i="10"/>
  <c r="B33" i="10"/>
  <c r="A33" i="10"/>
  <c r="V32" i="10"/>
  <c r="U32" i="10"/>
  <c r="T32" i="10"/>
  <c r="S32" i="10"/>
  <c r="R32" i="10"/>
  <c r="Q32" i="10"/>
  <c r="P32" i="10"/>
  <c r="O32" i="10"/>
  <c r="N32" i="10"/>
  <c r="M32" i="10"/>
  <c r="L32" i="10"/>
  <c r="K32" i="10"/>
  <c r="J32" i="10"/>
  <c r="I32" i="10"/>
  <c r="H32" i="10"/>
  <c r="G32" i="10"/>
  <c r="F32" i="10"/>
  <c r="E32" i="10"/>
  <c r="D32" i="10"/>
  <c r="C32" i="10"/>
  <c r="B32" i="10"/>
  <c r="A32" i="10"/>
  <c r="V31" i="10"/>
  <c r="U31" i="10"/>
  <c r="T31" i="10"/>
  <c r="S31" i="10"/>
  <c r="R31" i="10"/>
  <c r="Q31" i="10"/>
  <c r="P31" i="10"/>
  <c r="O31" i="10"/>
  <c r="N31" i="10"/>
  <c r="M31" i="10"/>
  <c r="L31" i="10"/>
  <c r="K31" i="10"/>
  <c r="J31" i="10"/>
  <c r="I31" i="10"/>
  <c r="H31" i="10"/>
  <c r="G31" i="10"/>
  <c r="F31" i="10"/>
  <c r="E31" i="10"/>
  <c r="D31" i="10"/>
  <c r="C31" i="10"/>
  <c r="B31" i="10"/>
  <c r="A31" i="10"/>
  <c r="V30" i="10"/>
  <c r="U30" i="10"/>
  <c r="T30" i="10"/>
  <c r="S30" i="10"/>
  <c r="R30" i="10"/>
  <c r="Q30" i="10"/>
  <c r="P30" i="10"/>
  <c r="O30" i="10"/>
  <c r="N30" i="10"/>
  <c r="M30" i="10"/>
  <c r="L30" i="10"/>
  <c r="K30" i="10"/>
  <c r="J30" i="10"/>
  <c r="I30" i="10"/>
  <c r="H30" i="10"/>
  <c r="G30" i="10"/>
  <c r="F30" i="10"/>
  <c r="E30" i="10"/>
  <c r="D30" i="10"/>
  <c r="C30" i="10"/>
  <c r="B30" i="10"/>
  <c r="A30" i="10"/>
  <c r="V29" i="10"/>
  <c r="U29" i="10"/>
  <c r="T29" i="10"/>
  <c r="S29" i="10"/>
  <c r="R29" i="10"/>
  <c r="Q29" i="10"/>
  <c r="P29" i="10"/>
  <c r="O29" i="10"/>
  <c r="N29" i="10"/>
  <c r="M29" i="10"/>
  <c r="L29" i="10"/>
  <c r="K29" i="10"/>
  <c r="J29" i="10"/>
  <c r="I29" i="10"/>
  <c r="H29" i="10"/>
  <c r="G29" i="10"/>
  <c r="F29" i="10"/>
  <c r="E29" i="10"/>
  <c r="D29" i="10"/>
  <c r="C29" i="10"/>
  <c r="B29" i="10"/>
  <c r="A29" i="10"/>
  <c r="V28" i="10"/>
  <c r="U28" i="10"/>
  <c r="T28" i="10"/>
  <c r="S28" i="10"/>
  <c r="R28" i="10"/>
  <c r="Q28" i="10"/>
  <c r="P28" i="10"/>
  <c r="O28" i="10"/>
  <c r="N28" i="10"/>
  <c r="M28" i="10"/>
  <c r="L28" i="10"/>
  <c r="K28" i="10"/>
  <c r="J28" i="10"/>
  <c r="I28" i="10"/>
  <c r="H28" i="10"/>
  <c r="G28" i="10"/>
  <c r="F28" i="10"/>
  <c r="E28" i="10"/>
  <c r="D28" i="10"/>
  <c r="C28" i="10"/>
  <c r="B28" i="10"/>
  <c r="A28" i="10"/>
  <c r="V27" i="10"/>
  <c r="U27" i="10"/>
  <c r="T27" i="10"/>
  <c r="S27" i="10"/>
  <c r="R27" i="10"/>
  <c r="Q27" i="10"/>
  <c r="P27" i="10"/>
  <c r="O27" i="10"/>
  <c r="N27" i="10"/>
  <c r="M27" i="10"/>
  <c r="L27" i="10"/>
  <c r="K27" i="10"/>
  <c r="J27" i="10"/>
  <c r="I27" i="10"/>
  <c r="H27" i="10"/>
  <c r="G27" i="10"/>
  <c r="F27" i="10"/>
  <c r="E27" i="10"/>
  <c r="D27" i="10"/>
  <c r="C27" i="10"/>
  <c r="B27" i="10"/>
  <c r="A27" i="10"/>
  <c r="V26" i="10"/>
  <c r="U26" i="10"/>
  <c r="T26" i="10"/>
  <c r="S26" i="10"/>
  <c r="R26" i="10"/>
  <c r="Q26" i="10"/>
  <c r="P26" i="10"/>
  <c r="O26" i="10"/>
  <c r="N26" i="10"/>
  <c r="M26" i="10"/>
  <c r="L26" i="10"/>
  <c r="K26" i="10"/>
  <c r="J26" i="10"/>
  <c r="I26" i="10"/>
  <c r="H26" i="10"/>
  <c r="G26" i="10"/>
  <c r="F26" i="10"/>
  <c r="E26" i="10"/>
  <c r="D26" i="10"/>
  <c r="C26" i="10"/>
  <c r="B26" i="10"/>
  <c r="A26" i="10"/>
  <c r="V25" i="10"/>
  <c r="U25" i="10"/>
  <c r="T25" i="10"/>
  <c r="S25" i="10"/>
  <c r="R25" i="10"/>
  <c r="Q25" i="10"/>
  <c r="P25" i="10"/>
  <c r="O25" i="10"/>
  <c r="N25" i="10"/>
  <c r="M25" i="10"/>
  <c r="L25" i="10"/>
  <c r="K25" i="10"/>
  <c r="J25" i="10"/>
  <c r="I25" i="10"/>
  <c r="H25" i="10"/>
  <c r="G25" i="10"/>
  <c r="F25" i="10"/>
  <c r="E25" i="10"/>
  <c r="D25" i="10"/>
  <c r="C25" i="10"/>
  <c r="B25" i="10"/>
  <c r="A25" i="10"/>
  <c r="V24" i="10"/>
  <c r="U24" i="10"/>
  <c r="T24" i="10"/>
  <c r="S24" i="10"/>
  <c r="R24" i="10"/>
  <c r="Q24" i="10"/>
  <c r="P24" i="10"/>
  <c r="O24" i="10"/>
  <c r="N24" i="10"/>
  <c r="M24" i="10"/>
  <c r="L24" i="10"/>
  <c r="K24" i="10"/>
  <c r="J24" i="10"/>
  <c r="I24" i="10"/>
  <c r="H24" i="10"/>
  <c r="G24" i="10"/>
  <c r="F24" i="10"/>
  <c r="E24" i="10"/>
  <c r="D24" i="10"/>
  <c r="C24" i="10"/>
  <c r="B24" i="10"/>
  <c r="A24" i="10"/>
  <c r="V23" i="10"/>
  <c r="U23" i="10"/>
  <c r="T23" i="10"/>
  <c r="S23" i="10"/>
  <c r="R23" i="10"/>
  <c r="Q23" i="10"/>
  <c r="P23" i="10"/>
  <c r="O23" i="10"/>
  <c r="N23" i="10"/>
  <c r="M23" i="10"/>
  <c r="L23" i="10"/>
  <c r="K23" i="10"/>
  <c r="J23" i="10"/>
  <c r="I23" i="10"/>
  <c r="H23" i="10"/>
  <c r="G23" i="10"/>
  <c r="F23" i="10"/>
  <c r="E23" i="10"/>
  <c r="D23" i="10"/>
  <c r="C23" i="10"/>
  <c r="B23" i="10"/>
  <c r="A23" i="10"/>
  <c r="V22" i="10"/>
  <c r="U22" i="10"/>
  <c r="T22" i="10"/>
  <c r="S22" i="10"/>
  <c r="R22" i="10"/>
  <c r="Q22" i="10"/>
  <c r="P22" i="10"/>
  <c r="O22" i="10"/>
  <c r="N22" i="10"/>
  <c r="M22" i="10"/>
  <c r="L22" i="10"/>
  <c r="K22" i="10"/>
  <c r="J22" i="10"/>
  <c r="I22" i="10"/>
  <c r="H22" i="10"/>
  <c r="G22" i="10"/>
  <c r="F22" i="10"/>
  <c r="E22" i="10"/>
  <c r="D22" i="10"/>
  <c r="C22" i="10"/>
  <c r="B22" i="10"/>
  <c r="A22" i="10"/>
  <c r="V21" i="10"/>
  <c r="U21" i="10"/>
  <c r="T21" i="10"/>
  <c r="S21" i="10"/>
  <c r="R21" i="10"/>
  <c r="Q21" i="10"/>
  <c r="P21" i="10"/>
  <c r="O21" i="10"/>
  <c r="N21" i="10"/>
  <c r="M21" i="10"/>
  <c r="L21" i="10"/>
  <c r="K21" i="10"/>
  <c r="J21" i="10"/>
  <c r="I21" i="10"/>
  <c r="H21" i="10"/>
  <c r="G21" i="10"/>
  <c r="F21" i="10"/>
  <c r="E21" i="10"/>
  <c r="D21" i="10"/>
  <c r="C21" i="10"/>
  <c r="B21" i="10"/>
  <c r="A21" i="10"/>
  <c r="V20" i="10"/>
  <c r="U20" i="10"/>
  <c r="T20" i="10"/>
  <c r="S20" i="10"/>
  <c r="R20" i="10"/>
  <c r="Q20" i="10"/>
  <c r="P20" i="10"/>
  <c r="O20" i="10"/>
  <c r="N20" i="10"/>
  <c r="M20" i="10"/>
  <c r="L20" i="10"/>
  <c r="K20" i="10"/>
  <c r="J20" i="10"/>
  <c r="I20" i="10"/>
  <c r="H20" i="10"/>
  <c r="G20" i="10"/>
  <c r="F20" i="10"/>
  <c r="E20" i="10"/>
  <c r="D20" i="10"/>
  <c r="C20" i="10"/>
  <c r="B20" i="10"/>
  <c r="A20" i="10"/>
  <c r="V19" i="10"/>
  <c r="U19" i="10"/>
  <c r="T19" i="10"/>
  <c r="S19" i="10"/>
  <c r="R19" i="10"/>
  <c r="Q19" i="10"/>
  <c r="P19" i="10"/>
  <c r="O19" i="10"/>
  <c r="N19" i="10"/>
  <c r="M19" i="10"/>
  <c r="L19" i="10"/>
  <c r="K19" i="10"/>
  <c r="J19" i="10"/>
  <c r="I19" i="10"/>
  <c r="H19" i="10"/>
  <c r="G19" i="10"/>
  <c r="F19" i="10"/>
  <c r="E19" i="10"/>
  <c r="D19" i="10"/>
  <c r="C19" i="10"/>
  <c r="B19" i="10"/>
  <c r="A19" i="10"/>
  <c r="V18" i="10"/>
  <c r="U18" i="10"/>
  <c r="T18" i="10"/>
  <c r="S18" i="10"/>
  <c r="R18" i="10"/>
  <c r="Q18" i="10"/>
  <c r="P18" i="10"/>
  <c r="O18" i="10"/>
  <c r="N18" i="10"/>
  <c r="M18" i="10"/>
  <c r="L18" i="10"/>
  <c r="K18" i="10"/>
  <c r="J18" i="10"/>
  <c r="I18" i="10"/>
  <c r="H18" i="10"/>
  <c r="G18" i="10"/>
  <c r="F18" i="10"/>
  <c r="E18" i="10"/>
  <c r="D18" i="10"/>
  <c r="C18" i="10"/>
  <c r="B18" i="10"/>
  <c r="A18" i="10"/>
  <c r="V17" i="10"/>
  <c r="U17" i="10"/>
  <c r="T17" i="10"/>
  <c r="S17" i="10"/>
  <c r="R17" i="10"/>
  <c r="Q17" i="10"/>
  <c r="P17" i="10"/>
  <c r="O17" i="10"/>
  <c r="N17" i="10"/>
  <c r="M17" i="10"/>
  <c r="L17" i="10"/>
  <c r="K17" i="10"/>
  <c r="J17" i="10"/>
  <c r="I17" i="10"/>
  <c r="H17" i="10"/>
  <c r="G17" i="10"/>
  <c r="F17" i="10"/>
  <c r="E17" i="10"/>
  <c r="D17" i="10"/>
  <c r="C17" i="10"/>
  <c r="B17" i="10"/>
  <c r="A17" i="10"/>
  <c r="V16" i="10"/>
  <c r="U16" i="10"/>
  <c r="T16" i="10"/>
  <c r="S16" i="10"/>
  <c r="R16" i="10"/>
  <c r="Q16" i="10"/>
  <c r="P16" i="10"/>
  <c r="O16" i="10"/>
  <c r="N16" i="10"/>
  <c r="M16" i="10"/>
  <c r="L16" i="10"/>
  <c r="K16" i="10"/>
  <c r="J16" i="10"/>
  <c r="I16" i="10"/>
  <c r="H16" i="10"/>
  <c r="G16" i="10"/>
  <c r="F16" i="10"/>
  <c r="E16" i="10"/>
  <c r="D16" i="10"/>
  <c r="C16" i="10"/>
  <c r="B16" i="10"/>
  <c r="A16" i="10"/>
  <c r="V15" i="10"/>
  <c r="U15" i="10"/>
  <c r="T15" i="10"/>
  <c r="S15" i="10"/>
  <c r="R15" i="10"/>
  <c r="Q15" i="10"/>
  <c r="P15" i="10"/>
  <c r="O15" i="10"/>
  <c r="N15" i="10"/>
  <c r="M15" i="10"/>
  <c r="L15" i="10"/>
  <c r="K15" i="10"/>
  <c r="J15" i="10"/>
  <c r="I15" i="10"/>
  <c r="H15" i="10"/>
  <c r="G15" i="10"/>
  <c r="F15" i="10"/>
  <c r="E15" i="10"/>
  <c r="D15" i="10"/>
  <c r="C15" i="10"/>
  <c r="B15" i="10"/>
  <c r="A15" i="10"/>
  <c r="V14" i="10"/>
  <c r="U14" i="10"/>
  <c r="T14" i="10"/>
  <c r="S14" i="10"/>
  <c r="R14" i="10"/>
  <c r="Q14" i="10"/>
  <c r="P14" i="10"/>
  <c r="O14" i="10"/>
  <c r="N14" i="10"/>
  <c r="M14" i="10"/>
  <c r="L14" i="10"/>
  <c r="K14" i="10"/>
  <c r="J14" i="10"/>
  <c r="I14" i="10"/>
  <c r="H14" i="10"/>
  <c r="G14" i="10"/>
  <c r="F14" i="10"/>
  <c r="E14" i="10"/>
  <c r="D14" i="10"/>
  <c r="C14" i="10"/>
  <c r="B14" i="10"/>
  <c r="A14" i="10"/>
  <c r="V13" i="10"/>
  <c r="U13" i="10"/>
  <c r="T13" i="10"/>
  <c r="S13" i="10"/>
  <c r="R13" i="10"/>
  <c r="Q13" i="10"/>
  <c r="P13" i="10"/>
  <c r="O13" i="10"/>
  <c r="N13" i="10"/>
  <c r="M13" i="10"/>
  <c r="L13" i="10"/>
  <c r="K13" i="10"/>
  <c r="J13" i="10"/>
  <c r="I13" i="10"/>
  <c r="H13" i="10"/>
  <c r="G13" i="10"/>
  <c r="F13" i="10"/>
  <c r="E13" i="10"/>
  <c r="D13" i="10"/>
  <c r="C13" i="10"/>
  <c r="B13" i="10"/>
  <c r="A13" i="10"/>
  <c r="V12" i="10"/>
  <c r="U12" i="10"/>
  <c r="T12" i="10"/>
  <c r="S12" i="10"/>
  <c r="R12" i="10"/>
  <c r="Q12" i="10"/>
  <c r="P12" i="10"/>
  <c r="O12" i="10"/>
  <c r="N12" i="10"/>
  <c r="M12" i="10"/>
  <c r="L12" i="10"/>
  <c r="K12" i="10"/>
  <c r="J12" i="10"/>
  <c r="I12" i="10"/>
  <c r="H12" i="10"/>
  <c r="G12" i="10"/>
  <c r="F12" i="10"/>
  <c r="E12" i="10"/>
  <c r="D12" i="10"/>
  <c r="C12" i="10"/>
  <c r="B12" i="10"/>
  <c r="A12" i="10"/>
  <c r="V11" i="10"/>
  <c r="U11" i="10"/>
  <c r="T11" i="10"/>
  <c r="S11" i="10"/>
  <c r="R11" i="10"/>
  <c r="Q11" i="10"/>
  <c r="P11" i="10"/>
  <c r="O11" i="10"/>
  <c r="N11" i="10"/>
  <c r="M11" i="10"/>
  <c r="L11" i="10"/>
  <c r="K11" i="10"/>
  <c r="J11" i="10"/>
  <c r="I11" i="10"/>
  <c r="H11" i="10"/>
  <c r="G11" i="10"/>
  <c r="F11" i="10"/>
  <c r="E11" i="10"/>
  <c r="D11" i="10"/>
  <c r="C11" i="10"/>
  <c r="B11" i="10"/>
  <c r="A11" i="10"/>
  <c r="V10" i="10"/>
  <c r="U10" i="10"/>
  <c r="T10" i="10"/>
  <c r="S10" i="10"/>
  <c r="R10" i="10"/>
  <c r="Q10" i="10"/>
  <c r="P10" i="10"/>
  <c r="O10" i="10"/>
  <c r="N10" i="10"/>
  <c r="M10" i="10"/>
  <c r="L10" i="10"/>
  <c r="K10" i="10"/>
  <c r="J10" i="10"/>
  <c r="I10" i="10"/>
  <c r="H10" i="10"/>
  <c r="G10" i="10"/>
  <c r="F10" i="10"/>
  <c r="E10" i="10"/>
  <c r="D10" i="10"/>
  <c r="C10" i="10"/>
  <c r="B10" i="10"/>
  <c r="A10" i="10"/>
  <c r="V9" i="10"/>
  <c r="U9" i="10"/>
  <c r="T9" i="10"/>
  <c r="S9" i="10"/>
  <c r="R9" i="10"/>
  <c r="Q9" i="10"/>
  <c r="P9" i="10"/>
  <c r="O9" i="10"/>
  <c r="N9" i="10"/>
  <c r="M9" i="10"/>
  <c r="L9" i="10"/>
  <c r="K9" i="10"/>
  <c r="J9" i="10"/>
  <c r="I9" i="10"/>
  <c r="H9" i="10"/>
  <c r="G9" i="10"/>
  <c r="F9" i="10"/>
  <c r="E9" i="10"/>
  <c r="D9" i="10"/>
  <c r="C9" i="10"/>
  <c r="B9" i="10"/>
  <c r="A9" i="10"/>
  <c r="V8" i="10"/>
  <c r="U8" i="10"/>
  <c r="T8" i="10"/>
  <c r="S8" i="10"/>
  <c r="R8" i="10"/>
  <c r="Q8" i="10"/>
  <c r="P8" i="10"/>
  <c r="O8" i="10"/>
  <c r="N8" i="10"/>
  <c r="M8" i="10"/>
  <c r="L8" i="10"/>
  <c r="K8" i="10"/>
  <c r="J8" i="10"/>
  <c r="I8" i="10"/>
  <c r="H8" i="10"/>
  <c r="G8" i="10"/>
  <c r="F8" i="10"/>
  <c r="E8" i="10"/>
  <c r="D8" i="10"/>
  <c r="C8" i="10"/>
  <c r="B8" i="10"/>
  <c r="A8" i="10"/>
  <c r="V7" i="10"/>
  <c r="U7" i="10"/>
  <c r="T7" i="10"/>
  <c r="S7" i="10"/>
  <c r="R7" i="10"/>
  <c r="Q7" i="10"/>
  <c r="P7" i="10"/>
  <c r="O7" i="10"/>
  <c r="N7" i="10"/>
  <c r="M7" i="10"/>
  <c r="L7" i="10"/>
  <c r="K7" i="10"/>
  <c r="J7" i="10"/>
  <c r="I7" i="10"/>
  <c r="H7" i="10"/>
  <c r="G7" i="10"/>
  <c r="F7" i="10"/>
  <c r="E7" i="10"/>
  <c r="D7" i="10"/>
  <c r="C7" i="10"/>
  <c r="B7" i="10"/>
  <c r="A7" i="10"/>
  <c r="V6" i="10"/>
  <c r="U6" i="10"/>
  <c r="T6" i="10"/>
  <c r="S6" i="10"/>
  <c r="R6" i="10"/>
  <c r="Q6" i="10"/>
  <c r="P6" i="10"/>
  <c r="O6" i="10"/>
  <c r="N6" i="10"/>
  <c r="M6" i="10"/>
  <c r="L6" i="10"/>
  <c r="K6" i="10"/>
  <c r="J6" i="10"/>
  <c r="I6" i="10"/>
  <c r="H6" i="10"/>
  <c r="G6" i="10"/>
  <c r="F6" i="10"/>
  <c r="E6" i="10"/>
  <c r="D6" i="10"/>
  <c r="C6" i="10"/>
  <c r="B6" i="10"/>
  <c r="A6" i="10"/>
  <c r="V5" i="10"/>
  <c r="U5" i="10"/>
  <c r="T5" i="10"/>
  <c r="S5" i="10"/>
  <c r="R5" i="10"/>
  <c r="Q5" i="10"/>
  <c r="P5" i="10"/>
  <c r="O5" i="10"/>
  <c r="N5" i="10"/>
  <c r="M5" i="10"/>
  <c r="L5" i="10"/>
  <c r="K5" i="10"/>
  <c r="J5" i="10"/>
  <c r="I5" i="10"/>
  <c r="H5" i="10"/>
  <c r="G5" i="10"/>
  <c r="F5" i="10"/>
  <c r="E5" i="10"/>
  <c r="D5" i="10"/>
  <c r="C5" i="10"/>
  <c r="B5" i="10"/>
  <c r="A5" i="10"/>
  <c r="V4" i="10"/>
  <c r="U4" i="10"/>
  <c r="T4" i="10"/>
  <c r="S4" i="10"/>
  <c r="R4" i="10"/>
  <c r="Q4" i="10"/>
  <c r="P4" i="10"/>
  <c r="O4" i="10"/>
  <c r="N4" i="10"/>
  <c r="M4" i="10"/>
  <c r="L4" i="10"/>
  <c r="K4" i="10"/>
  <c r="J4" i="10"/>
  <c r="I4" i="10"/>
  <c r="H4" i="10"/>
  <c r="G4" i="10"/>
  <c r="F4" i="10"/>
  <c r="E4" i="10"/>
  <c r="D4" i="10"/>
  <c r="C4" i="10"/>
  <c r="B4" i="10"/>
  <c r="A4" i="10"/>
  <c r="V3" i="10"/>
  <c r="U3" i="10"/>
  <c r="T3" i="10"/>
  <c r="S3" i="10"/>
  <c r="R3" i="10"/>
  <c r="Q3" i="10"/>
  <c r="P3" i="10"/>
  <c r="O3" i="10"/>
  <c r="N3" i="10"/>
  <c r="M3" i="10"/>
  <c r="L3" i="10"/>
  <c r="K3" i="10"/>
  <c r="J3" i="10"/>
  <c r="I3" i="10"/>
  <c r="H3" i="10"/>
  <c r="G3" i="10"/>
  <c r="F3" i="10"/>
  <c r="E3" i="10"/>
  <c r="D3" i="10"/>
  <c r="C3" i="10"/>
  <c r="B3" i="10"/>
  <c r="A3" i="10"/>
  <c r="V2" i="10"/>
  <c r="U2" i="10"/>
  <c r="T2" i="10"/>
  <c r="S2" i="10"/>
  <c r="R2" i="10"/>
  <c r="Q2" i="10"/>
  <c r="P2" i="10"/>
  <c r="O2" i="10"/>
  <c r="N2" i="10"/>
  <c r="M2" i="10"/>
  <c r="L2" i="10"/>
  <c r="K2" i="10"/>
  <c r="J2" i="10"/>
  <c r="I2" i="10"/>
  <c r="H2" i="10"/>
  <c r="A12" i="11" s="1"/>
  <c r="G2" i="10"/>
  <c r="F2" i="10"/>
  <c r="E2" i="10"/>
  <c r="D2" i="10"/>
  <c r="C2" i="10"/>
  <c r="B2" i="10"/>
  <c r="K47" i="8"/>
  <c r="H47" i="8"/>
  <c r="B47" i="8"/>
  <c r="A47" i="8"/>
  <c r="K46" i="8"/>
  <c r="H46" i="8"/>
  <c r="B46" i="8"/>
  <c r="A46" i="8"/>
  <c r="K45" i="8"/>
  <c r="H45" i="8"/>
  <c r="B45" i="8"/>
  <c r="A45" i="8"/>
  <c r="K44" i="8"/>
  <c r="H44" i="8"/>
  <c r="B44" i="8"/>
  <c r="A44" i="8"/>
  <c r="K43" i="8"/>
  <c r="H43" i="8"/>
  <c r="B43" i="8"/>
  <c r="A43" i="8"/>
  <c r="K42" i="8"/>
  <c r="H42" i="8"/>
  <c r="B42" i="8"/>
  <c r="A42" i="8"/>
  <c r="K41" i="8"/>
  <c r="H41" i="8"/>
  <c r="B41" i="8"/>
  <c r="A41" i="8"/>
  <c r="K40" i="8"/>
  <c r="H40" i="8"/>
  <c r="B40" i="8"/>
  <c r="A40" i="8"/>
  <c r="K39" i="8"/>
  <c r="H39" i="8"/>
  <c r="B39" i="8"/>
  <c r="A39" i="8"/>
  <c r="K38" i="8"/>
  <c r="H38" i="8"/>
  <c r="B38" i="8"/>
  <c r="A38" i="8"/>
  <c r="K37" i="8"/>
  <c r="H37" i="8"/>
  <c r="B37" i="8"/>
  <c r="A37" i="8"/>
  <c r="K36" i="8"/>
  <c r="H36" i="8"/>
  <c r="B36" i="8"/>
  <c r="A36" i="8"/>
  <c r="K35" i="8"/>
  <c r="H35" i="8"/>
  <c r="B35" i="8"/>
  <c r="A35" i="8"/>
  <c r="K34" i="8"/>
  <c r="H34" i="8"/>
  <c r="B34" i="8"/>
  <c r="A34" i="8"/>
  <c r="K33" i="8"/>
  <c r="H33" i="8"/>
  <c r="B33" i="8"/>
  <c r="A33" i="8"/>
  <c r="K32" i="8"/>
  <c r="H32" i="8"/>
  <c r="B32" i="8"/>
  <c r="A32" i="8"/>
  <c r="K31" i="8"/>
  <c r="H31" i="8"/>
  <c r="B31" i="8"/>
  <c r="A31" i="8"/>
  <c r="K30" i="8"/>
  <c r="H30" i="8"/>
  <c r="B30" i="8"/>
  <c r="A30" i="8"/>
  <c r="K29" i="8"/>
  <c r="H29" i="8"/>
  <c r="E29" i="8"/>
  <c r="B29" i="8"/>
  <c r="A29" i="8"/>
  <c r="K28" i="8"/>
  <c r="H28" i="8"/>
  <c r="E28" i="8"/>
  <c r="B28" i="8"/>
  <c r="A28" i="8"/>
  <c r="K27" i="8"/>
  <c r="H27" i="8"/>
  <c r="E27" i="8"/>
  <c r="B27" i="8"/>
  <c r="A27" i="8"/>
  <c r="K26" i="8"/>
  <c r="H26" i="8"/>
  <c r="E26" i="8"/>
  <c r="B26" i="8"/>
  <c r="A26" i="8"/>
  <c r="K25" i="8"/>
  <c r="H25" i="8"/>
  <c r="E25" i="8"/>
  <c r="B25" i="8"/>
  <c r="A25" i="8"/>
  <c r="K24" i="8"/>
  <c r="H24" i="8"/>
  <c r="E24" i="8"/>
  <c r="B24" i="8"/>
  <c r="A24" i="8"/>
  <c r="K23" i="8"/>
  <c r="H23" i="8"/>
  <c r="E23" i="8"/>
  <c r="B23" i="8"/>
  <c r="A23" i="8"/>
  <c r="K22" i="8"/>
  <c r="H22" i="8"/>
  <c r="E22" i="8"/>
  <c r="B22" i="8"/>
  <c r="A22" i="8"/>
  <c r="K21" i="8"/>
  <c r="H21" i="8"/>
  <c r="E21" i="8"/>
  <c r="B21" i="8"/>
  <c r="A21" i="8"/>
  <c r="K20" i="8"/>
  <c r="H20" i="8"/>
  <c r="E20" i="8"/>
  <c r="B20" i="8"/>
  <c r="A20" i="8"/>
  <c r="K19" i="8"/>
  <c r="H19" i="8"/>
  <c r="E19" i="8"/>
  <c r="B19" i="8"/>
  <c r="A19" i="8"/>
  <c r="K18" i="8"/>
  <c r="H18" i="8"/>
  <c r="E18" i="8"/>
  <c r="B18" i="8"/>
  <c r="A18" i="8"/>
  <c r="K17" i="8"/>
  <c r="H17" i="8"/>
  <c r="E17" i="8"/>
  <c r="B17" i="8"/>
  <c r="A17" i="8"/>
  <c r="K16" i="8"/>
  <c r="H16" i="8"/>
  <c r="E16" i="8"/>
  <c r="B16" i="8"/>
  <c r="A16" i="8"/>
  <c r="K15" i="8"/>
  <c r="H15" i="8"/>
  <c r="E15" i="8"/>
  <c r="B15" i="8"/>
  <c r="A15" i="8"/>
  <c r="K14" i="8"/>
  <c r="H14" i="8"/>
  <c r="E14" i="8"/>
  <c r="B14" i="8"/>
  <c r="A14" i="8"/>
  <c r="K13" i="8"/>
  <c r="H13" i="8"/>
  <c r="E13" i="8"/>
  <c r="B13" i="8"/>
  <c r="A13" i="8"/>
  <c r="K12" i="8"/>
  <c r="H12" i="8"/>
  <c r="E12" i="8"/>
  <c r="B12" i="8"/>
  <c r="A12" i="8"/>
  <c r="K11" i="8"/>
  <c r="H11" i="8"/>
  <c r="E11" i="8"/>
  <c r="B11" i="8"/>
  <c r="A11" i="8"/>
  <c r="K10" i="8"/>
  <c r="H10" i="8"/>
  <c r="E10" i="8"/>
  <c r="B10" i="8"/>
  <c r="A10" i="8"/>
  <c r="K9" i="8"/>
  <c r="H9" i="8"/>
  <c r="E9" i="8"/>
  <c r="B9" i="8"/>
  <c r="A9" i="8"/>
  <c r="K8" i="8"/>
  <c r="H8" i="8"/>
  <c r="E8" i="8"/>
  <c r="B8" i="8"/>
  <c r="A8" i="8"/>
  <c r="K7" i="8"/>
  <c r="H7" i="8"/>
  <c r="E7" i="8"/>
  <c r="B7" i="8"/>
  <c r="A7" i="8"/>
  <c r="K6" i="8"/>
  <c r="H6" i="8"/>
  <c r="E6" i="8"/>
  <c r="B6" i="8"/>
  <c r="A6" i="8"/>
  <c r="K5" i="8"/>
  <c r="H5" i="8"/>
  <c r="E5" i="8"/>
  <c r="B5" i="8"/>
  <c r="A5" i="8"/>
  <c r="K4" i="8"/>
  <c r="H4" i="8"/>
  <c r="E4" i="8"/>
  <c r="B4" i="8"/>
  <c r="A4" i="8"/>
  <c r="K3" i="8"/>
  <c r="H3" i="8"/>
  <c r="E3" i="8"/>
  <c r="B3" i="8"/>
  <c r="A3" i="8"/>
  <c r="A62" i="7"/>
  <c r="AS60" i="7"/>
  <c r="AP60" i="7"/>
  <c r="AK60" i="7"/>
  <c r="AJ60" i="7"/>
  <c r="AI60" i="7"/>
  <c r="AE60" i="7"/>
  <c r="X60" i="7"/>
  <c r="O60" i="7"/>
  <c r="AF60" i="7" s="1"/>
  <c r="AG60" i="7" s="1"/>
  <c r="N60" i="7"/>
  <c r="AH60" i="7" s="1"/>
  <c r="AS59" i="7"/>
  <c r="AP59" i="7"/>
  <c r="AK59" i="7"/>
  <c r="AJ59" i="7"/>
  <c r="AI59" i="7"/>
  <c r="AE59" i="7"/>
  <c r="X59" i="7"/>
  <c r="O59" i="7"/>
  <c r="AF59" i="7" s="1"/>
  <c r="AG59" i="7" s="1"/>
  <c r="N59" i="7"/>
  <c r="AH59" i="7" s="1"/>
  <c r="AS58" i="7"/>
  <c r="AP58" i="7"/>
  <c r="AK58" i="7"/>
  <c r="AJ58" i="7"/>
  <c r="AI58" i="7"/>
  <c r="AE58" i="7"/>
  <c r="X58" i="7"/>
  <c r="O58" i="7"/>
  <c r="AF58" i="7" s="1"/>
  <c r="AG58" i="7" s="1"/>
  <c r="N58" i="7"/>
  <c r="AH58" i="7" s="1"/>
  <c r="AS57" i="7"/>
  <c r="AP57" i="7"/>
  <c r="AK57" i="7"/>
  <c r="AJ57" i="7"/>
  <c r="AI57" i="7"/>
  <c r="AE57" i="7"/>
  <c r="X57" i="7"/>
  <c r="O57" i="7"/>
  <c r="AF57" i="7" s="1"/>
  <c r="AG57" i="7" s="1"/>
  <c r="N57" i="7"/>
  <c r="AH57" i="7" s="1"/>
  <c r="AS56" i="7"/>
  <c r="AP56" i="7"/>
  <c r="AK56" i="7"/>
  <c r="AJ56" i="7"/>
  <c r="AI56" i="7"/>
  <c r="AE56" i="7"/>
  <c r="X56" i="7"/>
  <c r="O56" i="7"/>
  <c r="AF56" i="7" s="1"/>
  <c r="AG56" i="7" s="1"/>
  <c r="N56" i="7"/>
  <c r="AH56" i="7" s="1"/>
  <c r="AS55" i="7"/>
  <c r="AP55" i="7"/>
  <c r="AK55" i="7"/>
  <c r="AJ55" i="7"/>
  <c r="AI55" i="7"/>
  <c r="AE55" i="7"/>
  <c r="X55" i="7"/>
  <c r="O55" i="7"/>
  <c r="AF55" i="7" s="1"/>
  <c r="AG55" i="7" s="1"/>
  <c r="N55" i="7"/>
  <c r="AH55" i="7" s="1"/>
  <c r="AS54" i="7"/>
  <c r="AP54" i="7"/>
  <c r="AK54" i="7"/>
  <c r="AJ54" i="7"/>
  <c r="AI54" i="7"/>
  <c r="AE54" i="7"/>
  <c r="X54" i="7"/>
  <c r="O54" i="7"/>
  <c r="AF54" i="7" s="1"/>
  <c r="AG54" i="7" s="1"/>
  <c r="N54" i="7"/>
  <c r="AH54" i="7" s="1"/>
  <c r="AS53" i="7"/>
  <c r="AP53" i="7"/>
  <c r="AK53" i="7"/>
  <c r="AJ53" i="7"/>
  <c r="AI53" i="7"/>
  <c r="AE53" i="7"/>
  <c r="X53" i="7"/>
  <c r="O53" i="7"/>
  <c r="AF53" i="7" s="1"/>
  <c r="AG53" i="7" s="1"/>
  <c r="N53" i="7"/>
  <c r="AH53" i="7" s="1"/>
  <c r="AS52" i="7"/>
  <c r="AP52" i="7"/>
  <c r="AK52" i="7"/>
  <c r="AJ52" i="7"/>
  <c r="AI52" i="7"/>
  <c r="AE52" i="7"/>
  <c r="X52" i="7"/>
  <c r="O52" i="7"/>
  <c r="AF52" i="7" s="1"/>
  <c r="AG52" i="7" s="1"/>
  <c r="N52" i="7"/>
  <c r="AH52" i="7" s="1"/>
  <c r="AS51" i="7"/>
  <c r="AP51" i="7"/>
  <c r="AK51" i="7"/>
  <c r="AJ51" i="7"/>
  <c r="AI51" i="7"/>
  <c r="AE51" i="7"/>
  <c r="X51" i="7"/>
  <c r="O51" i="7"/>
  <c r="AF51" i="7" s="1"/>
  <c r="AG51" i="7" s="1"/>
  <c r="N51" i="7"/>
  <c r="AH51" i="7" s="1"/>
  <c r="AS50" i="7"/>
  <c r="AP50" i="7"/>
  <c r="AK50" i="7"/>
  <c r="AJ50" i="7"/>
  <c r="AI50" i="7"/>
  <c r="AE50" i="7"/>
  <c r="X50" i="7"/>
  <c r="O50" i="7"/>
  <c r="AF50" i="7" s="1"/>
  <c r="AG50" i="7" s="1"/>
  <c r="N50" i="7"/>
  <c r="AH50" i="7" s="1"/>
  <c r="AS49" i="7"/>
  <c r="AP49" i="7"/>
  <c r="AK49" i="7"/>
  <c r="AJ49" i="7"/>
  <c r="AI49" i="7"/>
  <c r="AE49" i="7"/>
  <c r="X49" i="7"/>
  <c r="O49" i="7"/>
  <c r="AF49" i="7" s="1"/>
  <c r="AG49" i="7" s="1"/>
  <c r="N49" i="7"/>
  <c r="AH49" i="7" s="1"/>
  <c r="AS48" i="7"/>
  <c r="AP48" i="7"/>
  <c r="AK48" i="7"/>
  <c r="AJ48" i="7"/>
  <c r="AI48" i="7"/>
  <c r="AE48" i="7"/>
  <c r="X48" i="7"/>
  <c r="O48" i="7"/>
  <c r="AF48" i="7" s="1"/>
  <c r="AG48" i="7" s="1"/>
  <c r="N48" i="7"/>
  <c r="AH48" i="7" s="1"/>
  <c r="AS47" i="7"/>
  <c r="AP47" i="7"/>
  <c r="AK47" i="7"/>
  <c r="J46" i="6" s="1"/>
  <c r="AJ47" i="7"/>
  <c r="I46" i="6" s="1"/>
  <c r="AI47" i="7"/>
  <c r="AE47" i="7"/>
  <c r="X47" i="7"/>
  <c r="O47" i="7"/>
  <c r="AF47" i="7" s="1"/>
  <c r="N47" i="7"/>
  <c r="AS46" i="7"/>
  <c r="AP46" i="7"/>
  <c r="AK46" i="7"/>
  <c r="J45" i="6" s="1"/>
  <c r="AJ46" i="7"/>
  <c r="I45" i="6" s="1"/>
  <c r="AI46" i="7"/>
  <c r="AE46" i="7"/>
  <c r="X46" i="7"/>
  <c r="O46" i="7"/>
  <c r="AF46" i="7" s="1"/>
  <c r="N46" i="7"/>
  <c r="AS45" i="7"/>
  <c r="AP45" i="7"/>
  <c r="AK45" i="7"/>
  <c r="J44" i="6" s="1"/>
  <c r="AJ45" i="7"/>
  <c r="I44" i="6" s="1"/>
  <c r="AI45" i="7"/>
  <c r="AE45" i="7"/>
  <c r="X45" i="7"/>
  <c r="O45" i="7"/>
  <c r="AF45" i="7" s="1"/>
  <c r="N45" i="7"/>
  <c r="AS44" i="7"/>
  <c r="AP44" i="7"/>
  <c r="AK44" i="7"/>
  <c r="J43" i="6" s="1"/>
  <c r="AJ44" i="7"/>
  <c r="I43" i="6" s="1"/>
  <c r="AI44" i="7"/>
  <c r="AE44" i="7"/>
  <c r="X44" i="7"/>
  <c r="O44" i="7"/>
  <c r="AF44" i="7" s="1"/>
  <c r="N44" i="7"/>
  <c r="AS43" i="7"/>
  <c r="AP43" i="7"/>
  <c r="AK43" i="7"/>
  <c r="J42" i="6" s="1"/>
  <c r="AJ43" i="7"/>
  <c r="I42" i="6" s="1"/>
  <c r="AI43" i="7"/>
  <c r="AE43" i="7"/>
  <c r="X43" i="7"/>
  <c r="O43" i="7"/>
  <c r="AF43" i="7" s="1"/>
  <c r="N43" i="7"/>
  <c r="AS42" i="7"/>
  <c r="AP42" i="7"/>
  <c r="AK42" i="7"/>
  <c r="J41" i="6" s="1"/>
  <c r="AJ42" i="7"/>
  <c r="I41" i="6" s="1"/>
  <c r="AI42" i="7"/>
  <c r="AE42" i="7"/>
  <c r="X42" i="7"/>
  <c r="O42" i="7"/>
  <c r="AF42" i="7" s="1"/>
  <c r="N42" i="7"/>
  <c r="AS41" i="7"/>
  <c r="AP41" i="7"/>
  <c r="AK41" i="7"/>
  <c r="J40" i="6" s="1"/>
  <c r="AJ41" i="7"/>
  <c r="I40" i="6" s="1"/>
  <c r="AI41" i="7"/>
  <c r="AE41" i="7"/>
  <c r="X41" i="7"/>
  <c r="O41" i="7"/>
  <c r="AF41" i="7" s="1"/>
  <c r="N41" i="7"/>
  <c r="AS40" i="7"/>
  <c r="AP40" i="7"/>
  <c r="AK40" i="7"/>
  <c r="J39" i="6" s="1"/>
  <c r="AJ40" i="7"/>
  <c r="I39" i="6" s="1"/>
  <c r="AI40" i="7"/>
  <c r="AE40" i="7"/>
  <c r="X40" i="7"/>
  <c r="O40" i="7"/>
  <c r="AF40" i="7" s="1"/>
  <c r="N40" i="7"/>
  <c r="AS39" i="7"/>
  <c r="AP39" i="7"/>
  <c r="AK39" i="7"/>
  <c r="J38" i="6" s="1"/>
  <c r="AJ39" i="7"/>
  <c r="I38" i="6" s="1"/>
  <c r="AI39" i="7"/>
  <c r="AE39" i="7"/>
  <c r="X39" i="7"/>
  <c r="O39" i="7"/>
  <c r="AF39" i="7" s="1"/>
  <c r="N39" i="7"/>
  <c r="AS38" i="7"/>
  <c r="AP38" i="7"/>
  <c r="AK38" i="7"/>
  <c r="J37" i="6" s="1"/>
  <c r="AJ38" i="7"/>
  <c r="I37" i="6" s="1"/>
  <c r="AI38" i="7"/>
  <c r="AE38" i="7"/>
  <c r="X38" i="7"/>
  <c r="O38" i="7"/>
  <c r="AF38" i="7" s="1"/>
  <c r="N38" i="7"/>
  <c r="AS37" i="7"/>
  <c r="AP37" i="7"/>
  <c r="AK37" i="7"/>
  <c r="J36" i="6" s="1"/>
  <c r="AJ37" i="7"/>
  <c r="I36" i="6" s="1"/>
  <c r="AI37" i="7"/>
  <c r="AE37" i="7"/>
  <c r="X37" i="7"/>
  <c r="O37" i="7"/>
  <c r="AF37" i="7" s="1"/>
  <c r="N37" i="7"/>
  <c r="AS36" i="7"/>
  <c r="AP36" i="7"/>
  <c r="AK36" i="7"/>
  <c r="J35" i="6" s="1"/>
  <c r="AJ36" i="7"/>
  <c r="I35" i="6" s="1"/>
  <c r="AI36" i="7"/>
  <c r="AE36" i="7"/>
  <c r="X36" i="7"/>
  <c r="O36" i="7"/>
  <c r="AF36" i="7" s="1"/>
  <c r="N36" i="7"/>
  <c r="AS35" i="7"/>
  <c r="AP35" i="7"/>
  <c r="AK35" i="7"/>
  <c r="J34" i="6" s="1"/>
  <c r="AJ35" i="7"/>
  <c r="I34" i="6" s="1"/>
  <c r="AI35" i="7"/>
  <c r="AE35" i="7"/>
  <c r="X35" i="7"/>
  <c r="O35" i="7"/>
  <c r="AF35" i="7" s="1"/>
  <c r="N35" i="7"/>
  <c r="AS34" i="7"/>
  <c r="AP34" i="7"/>
  <c r="AK34" i="7"/>
  <c r="J33" i="6" s="1"/>
  <c r="AJ34" i="7"/>
  <c r="I33" i="6" s="1"/>
  <c r="AI34" i="7"/>
  <c r="AE34" i="7"/>
  <c r="X34" i="7"/>
  <c r="O34" i="7"/>
  <c r="AF34" i="7" s="1"/>
  <c r="N34" i="7"/>
  <c r="AS33" i="7"/>
  <c r="AP33" i="7"/>
  <c r="AK33" i="7"/>
  <c r="J32" i="6" s="1"/>
  <c r="AJ33" i="7"/>
  <c r="I32" i="6" s="1"/>
  <c r="AI33" i="7"/>
  <c r="AE33" i="7"/>
  <c r="X33" i="7"/>
  <c r="O33" i="7"/>
  <c r="AF33" i="7" s="1"/>
  <c r="N33" i="7"/>
  <c r="AS32" i="7"/>
  <c r="AP32" i="7"/>
  <c r="AK32" i="7"/>
  <c r="J31" i="6" s="1"/>
  <c r="AJ32" i="7"/>
  <c r="I31" i="6" s="1"/>
  <c r="AI32" i="7"/>
  <c r="AE32" i="7"/>
  <c r="X32" i="7"/>
  <c r="O32" i="7"/>
  <c r="AF32" i="7" s="1"/>
  <c r="N32" i="7"/>
  <c r="AS31" i="7"/>
  <c r="AP31" i="7"/>
  <c r="AK31" i="7"/>
  <c r="J30" i="6" s="1"/>
  <c r="AJ31" i="7"/>
  <c r="I30" i="6" s="1"/>
  <c r="AI31" i="7"/>
  <c r="AE31" i="7"/>
  <c r="X31" i="7"/>
  <c r="O31" i="7"/>
  <c r="AF31" i="7" s="1"/>
  <c r="N31" i="7"/>
  <c r="AS30" i="7"/>
  <c r="E33" i="2" s="1"/>
  <c r="AP30" i="7"/>
  <c r="E32" i="2" s="1"/>
  <c r="AK30" i="7"/>
  <c r="AJ30" i="7"/>
  <c r="AI30" i="7"/>
  <c r="AE30" i="7"/>
  <c r="X30" i="7"/>
  <c r="O30" i="7"/>
  <c r="AF30" i="7" s="1"/>
  <c r="N30" i="7"/>
  <c r="AH30" i="7" s="1"/>
  <c r="AS29" i="7"/>
  <c r="AP29" i="7"/>
  <c r="AK29" i="7"/>
  <c r="AJ29" i="7"/>
  <c r="AI29" i="7"/>
  <c r="AE29" i="7"/>
  <c r="X29" i="7"/>
  <c r="O29" i="7"/>
  <c r="AF29" i="7" s="1"/>
  <c r="N29" i="7"/>
  <c r="AH29" i="7" s="1"/>
  <c r="AS28" i="7"/>
  <c r="AP28" i="7"/>
  <c r="AK28" i="7"/>
  <c r="AJ28" i="7"/>
  <c r="AI28" i="7"/>
  <c r="AE28" i="7"/>
  <c r="X28" i="7"/>
  <c r="O28" i="7"/>
  <c r="AF28" i="7" s="1"/>
  <c r="N28" i="7"/>
  <c r="AH28" i="7" s="1"/>
  <c r="AS27" i="7"/>
  <c r="AP27" i="7"/>
  <c r="AK27" i="7"/>
  <c r="AJ27" i="7"/>
  <c r="AI27" i="7"/>
  <c r="AE27" i="7"/>
  <c r="X27" i="7"/>
  <c r="O27" i="7"/>
  <c r="AF27" i="7" s="1"/>
  <c r="N27" i="7"/>
  <c r="AH27" i="7" s="1"/>
  <c r="AS26" i="7"/>
  <c r="AP26" i="7"/>
  <c r="AK26" i="7"/>
  <c r="AJ26" i="7"/>
  <c r="AI26" i="7"/>
  <c r="AE26" i="7"/>
  <c r="X26" i="7"/>
  <c r="O26" i="7"/>
  <c r="AF26" i="7" s="1"/>
  <c r="N26" i="7"/>
  <c r="AH26" i="7" s="1"/>
  <c r="AS25" i="7"/>
  <c r="AP25" i="7"/>
  <c r="AK25" i="7"/>
  <c r="AJ25" i="7"/>
  <c r="AI25" i="7"/>
  <c r="AE25" i="7"/>
  <c r="X25" i="7"/>
  <c r="O25" i="7"/>
  <c r="AF25" i="7" s="1"/>
  <c r="N25" i="7"/>
  <c r="AH25" i="7" s="1"/>
  <c r="AS24" i="7"/>
  <c r="AP24" i="7"/>
  <c r="AK24" i="7"/>
  <c r="AJ24" i="7"/>
  <c r="AI24" i="7"/>
  <c r="AE24" i="7"/>
  <c r="X24" i="7"/>
  <c r="O24" i="7"/>
  <c r="AF24" i="7" s="1"/>
  <c r="N24" i="7"/>
  <c r="AH24" i="7" s="1"/>
  <c r="AS23" i="7"/>
  <c r="AP23" i="7"/>
  <c r="AK23" i="7"/>
  <c r="AJ23" i="7"/>
  <c r="AI23" i="7"/>
  <c r="AE23" i="7"/>
  <c r="X23" i="7"/>
  <c r="O23" i="7"/>
  <c r="AF23" i="7" s="1"/>
  <c r="N23" i="7"/>
  <c r="AH23" i="7" s="1"/>
  <c r="AS22" i="7"/>
  <c r="AP22" i="7"/>
  <c r="AK22" i="7"/>
  <c r="AJ22" i="7"/>
  <c r="AI22" i="7"/>
  <c r="AE22" i="7"/>
  <c r="X22" i="7"/>
  <c r="O22" i="7"/>
  <c r="AF22" i="7" s="1"/>
  <c r="N22" i="7"/>
  <c r="AH22" i="7" s="1"/>
  <c r="AS21" i="7"/>
  <c r="AP21" i="7"/>
  <c r="AK21" i="7"/>
  <c r="AJ21" i="7"/>
  <c r="AI21" i="7"/>
  <c r="AE21" i="7"/>
  <c r="X21" i="7"/>
  <c r="O21" i="7"/>
  <c r="AF21" i="7" s="1"/>
  <c r="N21" i="7"/>
  <c r="AH21" i="7" s="1"/>
  <c r="AS20" i="7"/>
  <c r="AP20" i="7"/>
  <c r="AK20" i="7"/>
  <c r="AJ20" i="7"/>
  <c r="AI20" i="7"/>
  <c r="AE20" i="7"/>
  <c r="X20" i="7"/>
  <c r="O20" i="7"/>
  <c r="AF20" i="7" s="1"/>
  <c r="N20" i="7"/>
  <c r="AH20" i="7" s="1"/>
  <c r="AS19" i="7"/>
  <c r="AP19" i="7"/>
  <c r="AK19" i="7"/>
  <c r="AJ19" i="7"/>
  <c r="AI19" i="7"/>
  <c r="AE19" i="7"/>
  <c r="X19" i="7"/>
  <c r="O19" i="7"/>
  <c r="AF19" i="7" s="1"/>
  <c r="N19" i="7"/>
  <c r="AH19" i="7" s="1"/>
  <c r="AS18" i="7"/>
  <c r="AP18" i="7"/>
  <c r="AK18" i="7"/>
  <c r="AJ18" i="7"/>
  <c r="AI18" i="7"/>
  <c r="AE18" i="7"/>
  <c r="X18" i="7"/>
  <c r="O18" i="7"/>
  <c r="AF18" i="7" s="1"/>
  <c r="N18" i="7"/>
  <c r="AH18" i="7" s="1"/>
  <c r="AS17" i="7"/>
  <c r="AP17" i="7"/>
  <c r="AK17" i="7"/>
  <c r="AJ17" i="7"/>
  <c r="AI17" i="7"/>
  <c r="AE17" i="7"/>
  <c r="X17" i="7"/>
  <c r="O17" i="7"/>
  <c r="AF17" i="7" s="1"/>
  <c r="N17" i="7"/>
  <c r="AH17" i="7" s="1"/>
  <c r="AS16" i="7"/>
  <c r="AP16" i="7"/>
  <c r="AK16" i="7"/>
  <c r="AJ16" i="7"/>
  <c r="AI16" i="7"/>
  <c r="AE16" i="7"/>
  <c r="X16" i="7"/>
  <c r="O16" i="7"/>
  <c r="AF16" i="7" s="1"/>
  <c r="N16" i="7"/>
  <c r="AH16" i="7" s="1"/>
  <c r="AS15" i="7"/>
  <c r="AP15" i="7"/>
  <c r="AK15" i="7"/>
  <c r="AJ15" i="7"/>
  <c r="AI15" i="7"/>
  <c r="AE15" i="7"/>
  <c r="X15" i="7"/>
  <c r="O15" i="7"/>
  <c r="AF15" i="7" s="1"/>
  <c r="N15" i="7"/>
  <c r="AH15" i="7" s="1"/>
  <c r="AS14" i="7"/>
  <c r="AP14" i="7"/>
  <c r="AK14" i="7"/>
  <c r="AJ14" i="7"/>
  <c r="AI14" i="7"/>
  <c r="AE14" i="7"/>
  <c r="X14" i="7"/>
  <c r="O14" i="7"/>
  <c r="AF14" i="7" s="1"/>
  <c r="N14" i="7"/>
  <c r="AH14" i="7" s="1"/>
  <c r="AS13" i="7"/>
  <c r="AP13" i="7"/>
  <c r="AK13" i="7"/>
  <c r="AJ13" i="7"/>
  <c r="AI13" i="7"/>
  <c r="AE13" i="7"/>
  <c r="X13" i="7"/>
  <c r="O13" i="7"/>
  <c r="AF13" i="7" s="1"/>
  <c r="N13" i="7"/>
  <c r="AH13" i="7" s="1"/>
  <c r="AS12" i="7"/>
  <c r="AP12" i="7"/>
  <c r="AK12" i="7"/>
  <c r="AJ12" i="7"/>
  <c r="AI12" i="7"/>
  <c r="AE12" i="7"/>
  <c r="X12" i="7"/>
  <c r="O12" i="7"/>
  <c r="AF12" i="7" s="1"/>
  <c r="N12" i="7"/>
  <c r="AH12" i="7" s="1"/>
  <c r="AS11" i="7"/>
  <c r="AP11" i="7"/>
  <c r="AK11" i="7"/>
  <c r="AJ11" i="7"/>
  <c r="AI11" i="7"/>
  <c r="AE11" i="7"/>
  <c r="X11" i="7"/>
  <c r="O11" i="7"/>
  <c r="AF11" i="7" s="1"/>
  <c r="N11" i="7"/>
  <c r="AH11" i="7" s="1"/>
  <c r="AS10" i="7"/>
  <c r="AP10" i="7"/>
  <c r="AK10" i="7"/>
  <c r="AJ10" i="7"/>
  <c r="AI10" i="7"/>
  <c r="AE10" i="7"/>
  <c r="X10" i="7"/>
  <c r="O10" i="7"/>
  <c r="AF10" i="7" s="1"/>
  <c r="N10" i="7"/>
  <c r="AH10" i="7" s="1"/>
  <c r="AS9" i="7"/>
  <c r="AP9" i="7"/>
  <c r="AK9" i="7"/>
  <c r="AJ9" i="7"/>
  <c r="AI9" i="7"/>
  <c r="AE9" i="7"/>
  <c r="X9" i="7"/>
  <c r="O9" i="7"/>
  <c r="AF9" i="7" s="1"/>
  <c r="N9" i="7"/>
  <c r="AH9" i="7" s="1"/>
  <c r="AS8" i="7"/>
  <c r="AP8" i="7"/>
  <c r="AK8" i="7"/>
  <c r="AJ8" i="7"/>
  <c r="AI8" i="7"/>
  <c r="AE8" i="7"/>
  <c r="X8" i="7"/>
  <c r="O8" i="7"/>
  <c r="AF8" i="7" s="1"/>
  <c r="N8" i="7"/>
  <c r="AH8" i="7" s="1"/>
  <c r="AS7" i="7"/>
  <c r="AP7" i="7"/>
  <c r="AK7" i="7"/>
  <c r="AJ7" i="7"/>
  <c r="AI7" i="7"/>
  <c r="AE7" i="7"/>
  <c r="X7" i="7"/>
  <c r="O7" i="7"/>
  <c r="AF7" i="7" s="1"/>
  <c r="N7" i="7"/>
  <c r="AH7" i="7" s="1"/>
  <c r="AS6" i="7"/>
  <c r="AP6" i="7"/>
  <c r="AK6" i="7"/>
  <c r="AJ6" i="7"/>
  <c r="AI6" i="7"/>
  <c r="AE6" i="7"/>
  <c r="X6" i="7"/>
  <c r="O6" i="7"/>
  <c r="AF6" i="7" s="1"/>
  <c r="N6" i="7"/>
  <c r="AH6" i="7" s="1"/>
  <c r="AS5" i="7"/>
  <c r="AP5" i="7"/>
  <c r="AK5" i="7"/>
  <c r="AJ5" i="7"/>
  <c r="AI5" i="7"/>
  <c r="AE5" i="7"/>
  <c r="X5" i="7"/>
  <c r="O5" i="7"/>
  <c r="AF5" i="7" s="1"/>
  <c r="N5" i="7"/>
  <c r="AH5" i="7" s="1"/>
  <c r="AS4" i="7"/>
  <c r="AP4" i="7"/>
  <c r="AK4" i="7"/>
  <c r="AJ4" i="7"/>
  <c r="AI4" i="7"/>
  <c r="AE4" i="7"/>
  <c r="X4" i="7"/>
  <c r="O4" i="7"/>
  <c r="AF4" i="7" s="1"/>
  <c r="N4" i="7"/>
  <c r="AH4" i="7" s="1"/>
  <c r="AS3" i="7"/>
  <c r="AP3" i="7"/>
  <c r="AK3" i="7"/>
  <c r="AJ3" i="7"/>
  <c r="AI3" i="7"/>
  <c r="AE3" i="7"/>
  <c r="X3" i="7"/>
  <c r="O3" i="7"/>
  <c r="AF3" i="7" s="1"/>
  <c r="N3" i="7"/>
  <c r="AH3" i="7" s="1"/>
  <c r="C46" i="6"/>
  <c r="B46" i="6"/>
  <c r="A46" i="6"/>
  <c r="C45" i="6"/>
  <c r="B45" i="6"/>
  <c r="A45" i="6"/>
  <c r="C44" i="6"/>
  <c r="B44" i="6"/>
  <c r="A44" i="6"/>
  <c r="C43" i="6"/>
  <c r="B43" i="6"/>
  <c r="A43" i="6"/>
  <c r="C42" i="6"/>
  <c r="B42" i="6"/>
  <c r="A42" i="6"/>
  <c r="C41" i="6"/>
  <c r="B41" i="6"/>
  <c r="A41" i="6"/>
  <c r="C40" i="6"/>
  <c r="B40" i="6"/>
  <c r="A40" i="6"/>
  <c r="C39" i="6"/>
  <c r="B39" i="6"/>
  <c r="A39" i="6"/>
  <c r="C38" i="6"/>
  <c r="B38" i="6"/>
  <c r="A38" i="6"/>
  <c r="C37" i="6"/>
  <c r="B37" i="6"/>
  <c r="A37" i="6"/>
  <c r="C36" i="6"/>
  <c r="B36" i="6"/>
  <c r="A36" i="6"/>
  <c r="C35" i="6"/>
  <c r="B35" i="6"/>
  <c r="A35" i="6"/>
  <c r="C34" i="6"/>
  <c r="B34" i="6"/>
  <c r="A34" i="6"/>
  <c r="C33" i="6"/>
  <c r="B33" i="6"/>
  <c r="A33" i="6"/>
  <c r="C32" i="6"/>
  <c r="B32" i="6"/>
  <c r="A32" i="6"/>
  <c r="C31" i="6"/>
  <c r="B31" i="6"/>
  <c r="A31" i="6"/>
  <c r="C30" i="6"/>
  <c r="B30" i="6"/>
  <c r="A30" i="6"/>
  <c r="D29" i="6"/>
  <c r="C29" i="6"/>
  <c r="B29" i="6"/>
  <c r="A29" i="6"/>
  <c r="J28" i="6"/>
  <c r="I28" i="6"/>
  <c r="H28" i="6"/>
  <c r="D28" i="6"/>
  <c r="C28" i="6"/>
  <c r="B28" i="6"/>
  <c r="A28" i="6"/>
  <c r="J27" i="6"/>
  <c r="I27" i="6"/>
  <c r="H27" i="6"/>
  <c r="D27" i="6"/>
  <c r="C27" i="6"/>
  <c r="B27" i="6"/>
  <c r="A27" i="6"/>
  <c r="J26" i="6"/>
  <c r="I26" i="6"/>
  <c r="H26" i="6"/>
  <c r="D26" i="6"/>
  <c r="C26" i="6"/>
  <c r="B26" i="6"/>
  <c r="A26" i="6"/>
  <c r="J25" i="6"/>
  <c r="I25" i="6"/>
  <c r="H25" i="6"/>
  <c r="D25" i="6"/>
  <c r="C25" i="6"/>
  <c r="B25" i="6"/>
  <c r="A25" i="6"/>
  <c r="J24" i="6"/>
  <c r="I24" i="6"/>
  <c r="H24" i="6"/>
  <c r="D24" i="6"/>
  <c r="C24" i="6"/>
  <c r="B24" i="6"/>
  <c r="A24" i="6"/>
  <c r="J23" i="6"/>
  <c r="I23" i="6"/>
  <c r="H23" i="6"/>
  <c r="D23" i="6"/>
  <c r="C23" i="6"/>
  <c r="B23" i="6"/>
  <c r="A23" i="6"/>
  <c r="J22" i="6"/>
  <c r="I22" i="6"/>
  <c r="H22" i="6"/>
  <c r="D22" i="6"/>
  <c r="C22" i="6"/>
  <c r="B22" i="6"/>
  <c r="A22" i="6"/>
  <c r="J21" i="6"/>
  <c r="I21" i="6"/>
  <c r="H21" i="6"/>
  <c r="D21" i="6"/>
  <c r="C21" i="6"/>
  <c r="B21" i="6"/>
  <c r="A21" i="6"/>
  <c r="J20" i="6"/>
  <c r="I20" i="6"/>
  <c r="H20" i="6"/>
  <c r="D20" i="6"/>
  <c r="C20" i="6"/>
  <c r="B20" i="6"/>
  <c r="A20" i="6"/>
  <c r="J19" i="6"/>
  <c r="I19" i="6"/>
  <c r="H19" i="6"/>
  <c r="D19" i="6"/>
  <c r="C19" i="6"/>
  <c r="B19" i="6"/>
  <c r="A19" i="6"/>
  <c r="J18" i="6"/>
  <c r="I18" i="6"/>
  <c r="H18" i="6"/>
  <c r="D18" i="6"/>
  <c r="C18" i="6"/>
  <c r="B18" i="6"/>
  <c r="A18" i="6"/>
  <c r="J17" i="6"/>
  <c r="I17" i="6"/>
  <c r="H17" i="6"/>
  <c r="D17" i="6"/>
  <c r="C17" i="6"/>
  <c r="B17" i="6"/>
  <c r="A17" i="6"/>
  <c r="J16" i="6"/>
  <c r="I16" i="6"/>
  <c r="H16" i="6"/>
  <c r="D16" i="6"/>
  <c r="C16" i="6"/>
  <c r="B16" i="6"/>
  <c r="A16" i="6"/>
  <c r="J15" i="6"/>
  <c r="I15" i="6"/>
  <c r="H15" i="6"/>
  <c r="D15" i="6"/>
  <c r="C15" i="6"/>
  <c r="B15" i="6"/>
  <c r="A15" i="6"/>
  <c r="J14" i="6"/>
  <c r="I14" i="6"/>
  <c r="H14" i="6"/>
  <c r="D14" i="6"/>
  <c r="C14" i="6"/>
  <c r="B14" i="6"/>
  <c r="A14" i="6"/>
  <c r="J13" i="6"/>
  <c r="I13" i="6"/>
  <c r="H13" i="6"/>
  <c r="D13" i="6"/>
  <c r="C13" i="6"/>
  <c r="B13" i="6"/>
  <c r="A13" i="6"/>
  <c r="J12" i="6"/>
  <c r="I12" i="6"/>
  <c r="H12" i="6"/>
  <c r="D12" i="6"/>
  <c r="C12" i="6"/>
  <c r="B12" i="6"/>
  <c r="A12" i="6"/>
  <c r="J11" i="6"/>
  <c r="I11" i="6"/>
  <c r="H11" i="6"/>
  <c r="D11" i="6"/>
  <c r="C11" i="6"/>
  <c r="B11" i="6"/>
  <c r="A11" i="6"/>
  <c r="J10" i="6"/>
  <c r="I10" i="6"/>
  <c r="H10" i="6"/>
  <c r="D10" i="6"/>
  <c r="C10" i="6"/>
  <c r="B10" i="6"/>
  <c r="A10" i="6"/>
  <c r="J9" i="6"/>
  <c r="I9" i="6"/>
  <c r="H9" i="6"/>
  <c r="D9" i="6"/>
  <c r="C9" i="6"/>
  <c r="B9" i="6"/>
  <c r="A9" i="6"/>
  <c r="J8" i="6"/>
  <c r="I8" i="6"/>
  <c r="H8" i="6"/>
  <c r="D8" i="6"/>
  <c r="C8" i="6"/>
  <c r="B8" i="6"/>
  <c r="A8" i="6"/>
  <c r="J7" i="6"/>
  <c r="I7" i="6"/>
  <c r="H7" i="6"/>
  <c r="D7" i="6"/>
  <c r="C7" i="6"/>
  <c r="B7" i="6"/>
  <c r="A7" i="6"/>
  <c r="J6" i="6"/>
  <c r="I6" i="6"/>
  <c r="H6" i="6"/>
  <c r="D6" i="6"/>
  <c r="C6" i="6"/>
  <c r="B6" i="6"/>
  <c r="A6" i="6"/>
  <c r="J5" i="6"/>
  <c r="I5" i="6"/>
  <c r="H5" i="6"/>
  <c r="D5" i="6"/>
  <c r="C5" i="6"/>
  <c r="B5" i="6"/>
  <c r="A5" i="6"/>
  <c r="J4" i="6"/>
  <c r="I4" i="6"/>
  <c r="H4" i="6"/>
  <c r="D4" i="6"/>
  <c r="C4" i="6"/>
  <c r="B4" i="6"/>
  <c r="A4" i="6"/>
  <c r="J3" i="6"/>
  <c r="I3" i="6"/>
  <c r="H3" i="6"/>
  <c r="D3" i="6"/>
  <c r="C3" i="6"/>
  <c r="B3" i="6"/>
  <c r="A3" i="6"/>
  <c r="J2" i="6"/>
  <c r="I2" i="6"/>
  <c r="H2" i="6"/>
  <c r="D2" i="6"/>
  <c r="C2" i="6"/>
  <c r="B2" i="6"/>
  <c r="A2" i="6"/>
  <c r="A49" i="6" s="1"/>
  <c r="H49" i="3"/>
  <c r="H48" i="3"/>
  <c r="H45" i="3"/>
  <c r="B45" i="3"/>
  <c r="F44" i="3"/>
  <c r="G44" i="3" s="1"/>
  <c r="J42" i="3"/>
  <c r="G41" i="3"/>
  <c r="J40" i="3"/>
  <c r="F40" i="3"/>
  <c r="G40" i="3" s="1"/>
  <c r="J39" i="3"/>
  <c r="J38" i="3"/>
  <c r="F34" i="3"/>
  <c r="G34" i="3" s="1"/>
  <c r="F33" i="3"/>
  <c r="G33" i="3" s="1"/>
  <c r="F29" i="3"/>
  <c r="G29" i="3" s="1"/>
  <c r="J28" i="3"/>
  <c r="F28" i="3"/>
  <c r="G28" i="3" s="1"/>
  <c r="F27" i="3"/>
  <c r="G27" i="3" s="1"/>
  <c r="F26" i="3"/>
  <c r="G26" i="3" s="1"/>
  <c r="G25" i="3"/>
  <c r="H22" i="3"/>
  <c r="B22" i="3"/>
  <c r="F21" i="3"/>
  <c r="G21" i="3" s="1"/>
  <c r="F20" i="3"/>
  <c r="G20" i="3" s="1"/>
  <c r="F19" i="3"/>
  <c r="G19" i="3" s="1"/>
  <c r="F18" i="3"/>
  <c r="G18" i="3" s="1"/>
  <c r="F17" i="3"/>
  <c r="G17" i="3" s="1"/>
  <c r="F16" i="3"/>
  <c r="G16" i="3" s="1"/>
  <c r="G15" i="3"/>
  <c r="G14" i="3"/>
  <c r="E29" i="2"/>
  <c r="O48" i="4"/>
  <c r="H48" i="4" a="1"/>
  <c r="H48" i="4" s="1"/>
  <c r="I48" i="4" s="1"/>
  <c r="O47" i="4"/>
  <c r="H47" i="4" a="1"/>
  <c r="H47" i="4" s="1"/>
  <c r="I47" i="4" s="1"/>
  <c r="O46" i="4"/>
  <c r="H46" i="4" a="1"/>
  <c r="H46" i="4" s="1"/>
  <c r="I46" i="4" s="1"/>
  <c r="O45" i="4"/>
  <c r="H45" i="4" a="1"/>
  <c r="H45" i="4" s="1"/>
  <c r="O44" i="4"/>
  <c r="H44" i="4" a="1"/>
  <c r="H44" i="4" s="1"/>
  <c r="O43" i="4"/>
  <c r="H43" i="4" a="1"/>
  <c r="H43" i="4" s="1"/>
  <c r="O42" i="4"/>
  <c r="H42" i="4" a="1"/>
  <c r="H42" i="4" s="1"/>
  <c r="I42" i="4" s="1"/>
  <c r="O41" i="4"/>
  <c r="H41" i="4" a="1"/>
  <c r="H41" i="4" s="1"/>
  <c r="I41" i="4" s="1"/>
  <c r="O40" i="4"/>
  <c r="H40" i="4" a="1"/>
  <c r="H40" i="4" s="1"/>
  <c r="I40" i="4" s="1"/>
  <c r="O39" i="4"/>
  <c r="H39" i="4" a="1"/>
  <c r="H39" i="4" s="1"/>
  <c r="O38" i="4"/>
  <c r="H38" i="4" a="1"/>
  <c r="H38" i="4" s="1"/>
  <c r="I38" i="4" s="1"/>
  <c r="O37" i="4"/>
  <c r="H37" i="4" a="1"/>
  <c r="H37" i="4" s="1"/>
  <c r="I37" i="4" s="1"/>
  <c r="O36" i="4"/>
  <c r="H36" i="4" a="1"/>
  <c r="H36" i="4" s="1"/>
  <c r="I36" i="4" s="1"/>
  <c r="O35" i="4"/>
  <c r="H35" i="4" a="1"/>
  <c r="H35" i="4" s="1"/>
  <c r="I35" i="4" s="1"/>
  <c r="O34" i="4"/>
  <c r="H34" i="4" a="1"/>
  <c r="H34" i="4" s="1"/>
  <c r="I34" i="4" s="1"/>
  <c r="O33" i="4"/>
  <c r="H33" i="4" a="1"/>
  <c r="H33" i="4" s="1"/>
  <c r="I33" i="4" s="1"/>
  <c r="O32" i="4"/>
  <c r="H32" i="4" a="1"/>
  <c r="H32" i="4" s="1"/>
  <c r="I32" i="4" s="1"/>
  <c r="O31" i="4"/>
  <c r="H31" i="4" a="1"/>
  <c r="H31" i="4" s="1"/>
  <c r="I31" i="4" s="1"/>
  <c r="O30" i="4"/>
  <c r="H30" i="4" a="1"/>
  <c r="H30" i="4" s="1"/>
  <c r="I30" i="4" s="1"/>
  <c r="O29" i="4"/>
  <c r="H29" i="4" a="1"/>
  <c r="H29" i="4" s="1"/>
  <c r="I29" i="4" s="1"/>
  <c r="O28" i="4"/>
  <c r="H28" i="4" a="1"/>
  <c r="H28" i="4" s="1"/>
  <c r="I28" i="4" s="1"/>
  <c r="O27" i="4"/>
  <c r="H27" i="4" a="1"/>
  <c r="H27" i="4" s="1"/>
  <c r="I27" i="4" s="1"/>
  <c r="O26" i="4"/>
  <c r="H26" i="4" a="1"/>
  <c r="H26" i="4" s="1"/>
  <c r="I26" i="4" s="1"/>
  <c r="O25" i="4"/>
  <c r="H25" i="4" a="1"/>
  <c r="H25" i="4" s="1"/>
  <c r="I25" i="4" s="1"/>
  <c r="O24" i="4"/>
  <c r="H24" i="4" a="1"/>
  <c r="H24" i="4" s="1"/>
  <c r="I24" i="4" s="1"/>
  <c r="O23" i="4"/>
  <c r="H23" i="4" a="1"/>
  <c r="H23" i="4" s="1"/>
  <c r="I23" i="4" s="1"/>
  <c r="O22" i="4"/>
  <c r="H22" i="4" a="1"/>
  <c r="H22" i="4" s="1"/>
  <c r="I22" i="4" s="1"/>
  <c r="O21" i="4"/>
  <c r="H21" i="4" a="1"/>
  <c r="H21" i="4" s="1"/>
  <c r="I21" i="4" s="1"/>
  <c r="O20" i="4"/>
  <c r="H20" i="4" a="1"/>
  <c r="H20" i="4" s="1"/>
  <c r="I20" i="4" s="1"/>
  <c r="O19" i="4"/>
  <c r="H19" i="4" a="1"/>
  <c r="H19" i="4" s="1"/>
  <c r="I19" i="4" s="1"/>
  <c r="O18" i="4"/>
  <c r="H18" i="4" a="1"/>
  <c r="H18" i="4" s="1"/>
  <c r="I18" i="4" s="1"/>
  <c r="O17" i="4"/>
  <c r="H17" i="4" a="1"/>
  <c r="H17" i="4" s="1"/>
  <c r="I17" i="4" s="1"/>
  <c r="O16" i="4"/>
  <c r="H16" i="4" a="1"/>
  <c r="H16" i="4" s="1"/>
  <c r="I16" i="4" s="1"/>
  <c r="O15" i="4"/>
  <c r="H15" i="4" a="1"/>
  <c r="H15" i="4" s="1"/>
  <c r="O14" i="4"/>
  <c r="H14" i="4" a="1"/>
  <c r="H14" i="4" s="1"/>
  <c r="O13" i="4"/>
  <c r="H13" i="4" a="1"/>
  <c r="H13" i="4" s="1"/>
  <c r="O12" i="4"/>
  <c r="H12" i="4" a="1"/>
  <c r="H12" i="4" s="1"/>
  <c r="O11" i="4"/>
  <c r="H11" i="4" a="1"/>
  <c r="H11" i="4" s="1"/>
  <c r="O10" i="4"/>
  <c r="H10" i="4" a="1"/>
  <c r="H10" i="4" s="1"/>
  <c r="O9" i="4"/>
  <c r="H9" i="4" a="1"/>
  <c r="H9" i="4" s="1"/>
  <c r="O8" i="4"/>
  <c r="H8" i="4" a="1"/>
  <c r="H8" i="4" s="1"/>
  <c r="O7" i="4"/>
  <c r="H7" i="4" a="1"/>
  <c r="H7" i="4" s="1"/>
  <c r="O6" i="4"/>
  <c r="H6" i="4" a="1"/>
  <c r="H6" i="4" s="1"/>
  <c r="O5" i="4"/>
  <c r="H5" i="4" a="1"/>
  <c r="H5" i="4" s="1"/>
  <c r="O4" i="4"/>
  <c r="H4" i="4" a="1"/>
  <c r="H4" i="4" s="1"/>
  <c r="O3" i="4"/>
  <c r="P3" i="4" s="1"/>
  <c r="H3" i="4" a="1"/>
  <c r="H3" i="4" s="1"/>
  <c r="A26" i="11" l="1"/>
  <c r="V5" i="11"/>
  <c r="AN147" i="10"/>
  <c r="AM147" i="10"/>
  <c r="H20" i="11"/>
  <c r="AO148" i="10"/>
  <c r="AN148" i="10"/>
  <c r="AM148" i="10"/>
  <c r="AL148" i="10"/>
  <c r="AK148" i="10"/>
  <c r="AJ148" i="10"/>
  <c r="AI148" i="10"/>
  <c r="AH148" i="10"/>
  <c r="AG148" i="10"/>
  <c r="AF148" i="10"/>
  <c r="AE148" i="10"/>
  <c r="AD148" i="10"/>
  <c r="AC148" i="10"/>
  <c r="AB148" i="10"/>
  <c r="AA148" i="10"/>
  <c r="Z148" i="10"/>
  <c r="Y148" i="10"/>
  <c r="X148" i="10"/>
  <c r="W148" i="10"/>
  <c r="AO147" i="10"/>
  <c r="P47" i="4"/>
  <c r="P37" i="4"/>
  <c r="P28" i="4"/>
  <c r="P24" i="4"/>
  <c r="P20" i="4"/>
  <c r="P46" i="4"/>
  <c r="P38" i="4"/>
  <c r="P35" i="4"/>
  <c r="P30" i="4"/>
  <c r="P26" i="4"/>
  <c r="P21" i="4"/>
  <c r="P48" i="4"/>
  <c r="P40" i="4"/>
  <c r="P36" i="4"/>
  <c r="P22" i="4"/>
  <c r="P16" i="4"/>
  <c r="E10" i="2"/>
  <c r="E11" i="2"/>
  <c r="E7" i="2"/>
  <c r="E6" i="2"/>
  <c r="E5" i="2"/>
  <c r="F42" i="12"/>
  <c r="G42" i="12"/>
  <c r="F41" i="12"/>
  <c r="G41" i="12"/>
  <c r="F40" i="12"/>
  <c r="G40" i="12"/>
  <c r="F39" i="12"/>
  <c r="G39" i="12"/>
  <c r="F38" i="12"/>
  <c r="G38" i="12"/>
  <c r="F37" i="12"/>
  <c r="G37" i="12"/>
  <c r="F36" i="12"/>
  <c r="G36" i="12"/>
  <c r="F35" i="12"/>
  <c r="G35" i="12"/>
  <c r="F34" i="12"/>
  <c r="G34" i="12"/>
  <c r="F33" i="12"/>
  <c r="G33" i="12"/>
  <c r="G32" i="12"/>
  <c r="F32" i="12"/>
  <c r="F31" i="12"/>
  <c r="G31" i="12"/>
  <c r="F30" i="12"/>
  <c r="G30" i="12"/>
  <c r="F29" i="12"/>
  <c r="G29" i="12"/>
  <c r="F28" i="12"/>
  <c r="G28" i="12"/>
  <c r="G27" i="12"/>
  <c r="F27" i="12"/>
  <c r="G26" i="12"/>
  <c r="F26" i="12"/>
  <c r="G25" i="12"/>
  <c r="F25" i="12"/>
  <c r="G24" i="12"/>
  <c r="F24" i="12"/>
  <c r="G23" i="12"/>
  <c r="F23" i="12"/>
  <c r="G22" i="12"/>
  <c r="F22" i="12"/>
  <c r="G21" i="12"/>
  <c r="F21" i="12"/>
  <c r="G20" i="12"/>
  <c r="F20" i="12"/>
  <c r="F19" i="12"/>
  <c r="G19" i="12"/>
  <c r="G18" i="12"/>
  <c r="F18" i="12"/>
  <c r="G17" i="12"/>
  <c r="F17" i="12"/>
  <c r="G16" i="12"/>
  <c r="F16" i="12"/>
  <c r="G15" i="12"/>
  <c r="F15" i="12"/>
  <c r="F14" i="12"/>
  <c r="G14" i="12"/>
  <c r="F13" i="12"/>
  <c r="G13" i="12"/>
  <c r="G12" i="12"/>
  <c r="F12" i="12"/>
  <c r="F11" i="12"/>
  <c r="G11" i="12"/>
  <c r="G10" i="12"/>
  <c r="F10" i="12"/>
  <c r="G9" i="12"/>
  <c r="F9" i="12"/>
  <c r="G8" i="12"/>
  <c r="F8" i="12"/>
  <c r="G7" i="12"/>
  <c r="F7" i="12"/>
  <c r="G6" i="12"/>
  <c r="F6" i="12"/>
  <c r="G5" i="12"/>
  <c r="F5" i="12"/>
  <c r="G4" i="12"/>
  <c r="F4" i="12"/>
  <c r="E18" i="2"/>
  <c r="E19" i="2"/>
  <c r="E20" i="2"/>
  <c r="E3" i="12"/>
  <c r="AI27" i="10"/>
  <c r="AH27" i="10"/>
  <c r="AG27" i="10"/>
  <c r="AF27" i="10"/>
  <c r="AE27" i="10"/>
  <c r="AD27" i="10"/>
  <c r="AC27" i="10"/>
  <c r="AB27" i="10"/>
  <c r="AA27" i="10"/>
  <c r="Z27" i="10"/>
  <c r="Y27" i="10"/>
  <c r="X27" i="10"/>
  <c r="W27" i="10"/>
  <c r="AO26" i="10"/>
  <c r="AN26" i="10"/>
  <c r="AM26" i="10"/>
  <c r="AL26" i="10"/>
  <c r="AK26" i="10"/>
  <c r="AJ26" i="10"/>
  <c r="AI26" i="10"/>
  <c r="AH26" i="10"/>
  <c r="AG26" i="10"/>
  <c r="AF26" i="10"/>
  <c r="AE26" i="10"/>
  <c r="AD26" i="10"/>
  <c r="AC26" i="10"/>
  <c r="AB26" i="10"/>
  <c r="AA26" i="10"/>
  <c r="Z26" i="10"/>
  <c r="Y26" i="10"/>
  <c r="X26" i="10"/>
  <c r="W26" i="10"/>
  <c r="AO25" i="10"/>
  <c r="AN25" i="10"/>
  <c r="AM25" i="10"/>
  <c r="AL25" i="10"/>
  <c r="AK25" i="10"/>
  <c r="AJ25" i="10"/>
  <c r="AI25" i="10"/>
  <c r="AH25" i="10"/>
  <c r="AG25" i="10"/>
  <c r="AF25" i="10"/>
  <c r="AE25" i="10"/>
  <c r="AD25" i="10"/>
  <c r="AC25" i="10"/>
  <c r="AB25" i="10"/>
  <c r="AA25" i="10"/>
  <c r="Z25" i="10"/>
  <c r="Y25" i="10"/>
  <c r="X25" i="10"/>
  <c r="W25" i="10"/>
  <c r="AO24" i="10"/>
  <c r="AN24" i="10"/>
  <c r="AM24" i="10"/>
  <c r="AL24" i="10"/>
  <c r="AK24" i="10"/>
  <c r="AJ24" i="10"/>
  <c r="AI24" i="10"/>
  <c r="AH24" i="10"/>
  <c r="AG24" i="10"/>
  <c r="AF24" i="10"/>
  <c r="AE24" i="10"/>
  <c r="AD24" i="10"/>
  <c r="AC24" i="10"/>
  <c r="AB24" i="10"/>
  <c r="AA24" i="10"/>
  <c r="Z24" i="10"/>
  <c r="Y24" i="10"/>
  <c r="X24" i="10"/>
  <c r="W24" i="10"/>
  <c r="AO23" i="10"/>
  <c r="AN23" i="10"/>
  <c r="AM23" i="10"/>
  <c r="AL23" i="10"/>
  <c r="AK23" i="10"/>
  <c r="AJ23" i="10"/>
  <c r="AI23" i="10"/>
  <c r="AH23" i="10"/>
  <c r="AG23" i="10"/>
  <c r="AF23" i="10"/>
  <c r="AE23" i="10"/>
  <c r="AD23" i="10"/>
  <c r="AC23" i="10"/>
  <c r="AB23" i="10"/>
  <c r="AA23" i="10"/>
  <c r="Z23" i="10"/>
  <c r="Y23" i="10"/>
  <c r="X23" i="10"/>
  <c r="W23" i="10"/>
  <c r="AO22" i="10"/>
  <c r="AN22" i="10"/>
  <c r="AM22" i="10"/>
  <c r="AL22" i="10"/>
  <c r="AK22" i="10"/>
  <c r="AJ22" i="10"/>
  <c r="AI22" i="10"/>
  <c r="AH22" i="10"/>
  <c r="AG22" i="10"/>
  <c r="AF22" i="10"/>
  <c r="AE22" i="10"/>
  <c r="AD22" i="10"/>
  <c r="AC22" i="10"/>
  <c r="AB22" i="10"/>
  <c r="AA22" i="10"/>
  <c r="Z22" i="10"/>
  <c r="Y22" i="10"/>
  <c r="X22" i="10"/>
  <c r="W22" i="10"/>
  <c r="AO21" i="10"/>
  <c r="AN21" i="10"/>
  <c r="AM21" i="10"/>
  <c r="AL21" i="10"/>
  <c r="AK21" i="10"/>
  <c r="AJ21" i="10"/>
  <c r="AI21" i="10"/>
  <c r="AH21" i="10"/>
  <c r="AG21" i="10"/>
  <c r="AF21" i="10"/>
  <c r="AE21" i="10"/>
  <c r="AD21" i="10"/>
  <c r="AC21" i="10"/>
  <c r="AB21" i="10"/>
  <c r="AA21" i="10"/>
  <c r="Z21" i="10"/>
  <c r="Y21" i="10"/>
  <c r="X21" i="10"/>
  <c r="W21" i="10"/>
  <c r="AO20" i="10"/>
  <c r="AN20" i="10"/>
  <c r="AM20" i="10"/>
  <c r="AL20" i="10"/>
  <c r="AK20" i="10"/>
  <c r="AJ20" i="10"/>
  <c r="AI20" i="10"/>
  <c r="AH20" i="10"/>
  <c r="AG20" i="10"/>
  <c r="AF20" i="10"/>
  <c r="AE20" i="10"/>
  <c r="AD20" i="10"/>
  <c r="AC20" i="10"/>
  <c r="AB20" i="10"/>
  <c r="AA20" i="10"/>
  <c r="Z20" i="10"/>
  <c r="Y20" i="10"/>
  <c r="X20" i="10"/>
  <c r="W20" i="10"/>
  <c r="AO19" i="10"/>
  <c r="AN19" i="10"/>
  <c r="AM19" i="10"/>
  <c r="AL19" i="10"/>
  <c r="AK19" i="10"/>
  <c r="AJ19" i="10"/>
  <c r="AI19" i="10"/>
  <c r="AH19" i="10"/>
  <c r="AG19" i="10"/>
  <c r="AF19" i="10"/>
  <c r="AE19" i="10"/>
  <c r="AD19" i="10"/>
  <c r="AC19" i="10"/>
  <c r="AB19" i="10"/>
  <c r="AA19" i="10"/>
  <c r="Z19" i="10"/>
  <c r="Y19" i="10"/>
  <c r="X19" i="10"/>
  <c r="W19" i="10"/>
  <c r="AO18" i="10"/>
  <c r="AN18" i="10"/>
  <c r="AM18" i="10"/>
  <c r="AL18" i="10"/>
  <c r="AK18" i="10"/>
  <c r="AJ18" i="10"/>
  <c r="AI18" i="10"/>
  <c r="AH18" i="10"/>
  <c r="AG18" i="10"/>
  <c r="AF18" i="10"/>
  <c r="AE18" i="10"/>
  <c r="AD18" i="10"/>
  <c r="AC18" i="10"/>
  <c r="AB18" i="10"/>
  <c r="AA18" i="10"/>
  <c r="Z18" i="10"/>
  <c r="Y18" i="10"/>
  <c r="X18" i="10"/>
  <c r="W18" i="10"/>
  <c r="AO17" i="10"/>
  <c r="AN17" i="10"/>
  <c r="AM17" i="10"/>
  <c r="AL17" i="10"/>
  <c r="AK17" i="10"/>
  <c r="AJ17" i="10"/>
  <c r="AI17" i="10"/>
  <c r="AH17" i="10"/>
  <c r="AG17" i="10"/>
  <c r="AF17" i="10"/>
  <c r="AE17" i="10"/>
  <c r="AD17" i="10"/>
  <c r="AC17" i="10"/>
  <c r="AB17" i="10"/>
  <c r="AA17" i="10"/>
  <c r="Z17" i="10"/>
  <c r="Y17" i="10"/>
  <c r="X17" i="10"/>
  <c r="W17" i="10"/>
  <c r="AO16" i="10"/>
  <c r="AN16" i="10"/>
  <c r="AM16" i="10"/>
  <c r="AL16" i="10"/>
  <c r="AO162" i="10"/>
  <c r="AN162" i="10"/>
  <c r="AM162" i="10"/>
  <c r="AL162" i="10"/>
  <c r="AK162" i="10"/>
  <c r="AJ162" i="10"/>
  <c r="AI162" i="10"/>
  <c r="AH162" i="10"/>
  <c r="AG162" i="10"/>
  <c r="AF162" i="10"/>
  <c r="AE162" i="10"/>
  <c r="AD162" i="10"/>
  <c r="AC162" i="10"/>
  <c r="AB162" i="10"/>
  <c r="AA162" i="10"/>
  <c r="Z162" i="10"/>
  <c r="Y162" i="10"/>
  <c r="X162" i="10"/>
  <c r="W162" i="10"/>
  <c r="AO161" i="10"/>
  <c r="AN161" i="10"/>
  <c r="AM161" i="10"/>
  <c r="AL161" i="10"/>
  <c r="AK161" i="10"/>
  <c r="AJ161" i="10"/>
  <c r="AI161" i="10"/>
  <c r="AH161" i="10"/>
  <c r="AG161" i="10"/>
  <c r="AF161" i="10"/>
  <c r="AE161" i="10"/>
  <c r="AD161" i="10"/>
  <c r="AC161" i="10"/>
  <c r="AB161" i="10"/>
  <c r="AA161" i="10"/>
  <c r="Z161" i="10"/>
  <c r="Y161" i="10"/>
  <c r="X161" i="10"/>
  <c r="W161" i="10"/>
  <c r="AO160" i="10"/>
  <c r="AN160" i="10"/>
  <c r="AM160" i="10"/>
  <c r="AL160" i="10"/>
  <c r="AK160" i="10"/>
  <c r="AJ160" i="10"/>
  <c r="AI160" i="10"/>
  <c r="AH160" i="10"/>
  <c r="AG160" i="10"/>
  <c r="AF160" i="10"/>
  <c r="AE160" i="10"/>
  <c r="AD160" i="10"/>
  <c r="AC160" i="10"/>
  <c r="AB160" i="10"/>
  <c r="AA160" i="10"/>
  <c r="Z160" i="10"/>
  <c r="Y160" i="10"/>
  <c r="X160" i="10"/>
  <c r="W160" i="10"/>
  <c r="AK16" i="10"/>
  <c r="AJ16" i="10"/>
  <c r="AI16" i="10"/>
  <c r="AH16" i="10"/>
  <c r="AG16" i="10"/>
  <c r="AF16" i="10"/>
  <c r="AE16" i="10"/>
  <c r="AD16" i="10"/>
  <c r="AC16" i="10"/>
  <c r="AB16" i="10"/>
  <c r="AA16" i="10"/>
  <c r="Z16" i="10"/>
  <c r="Y16" i="10"/>
  <c r="X16" i="10"/>
  <c r="W16" i="10"/>
  <c r="AO15" i="10"/>
  <c r="AN15" i="10"/>
  <c r="AM15" i="10"/>
  <c r="AL15" i="10"/>
  <c r="AK15" i="10"/>
  <c r="AJ15" i="10"/>
  <c r="AI15" i="10"/>
  <c r="AH15" i="10"/>
  <c r="AG15" i="10"/>
  <c r="AF15" i="10"/>
  <c r="AE15" i="10"/>
  <c r="AD15" i="10"/>
  <c r="AC15" i="10"/>
  <c r="AB15" i="10"/>
  <c r="AA15" i="10"/>
  <c r="Z15" i="10"/>
  <c r="Y15" i="10"/>
  <c r="X15" i="10"/>
  <c r="W15" i="10"/>
  <c r="AO14" i="10"/>
  <c r="AN14" i="10"/>
  <c r="AM14" i="10"/>
  <c r="AL14" i="10"/>
  <c r="AK14" i="10"/>
  <c r="AJ14" i="10"/>
  <c r="AI14" i="10"/>
  <c r="AH14" i="10"/>
  <c r="AG14" i="10"/>
  <c r="AF14" i="10"/>
  <c r="AE14" i="10"/>
  <c r="AD14" i="10"/>
  <c r="AC14" i="10"/>
  <c r="AB14" i="10"/>
  <c r="AA14" i="10"/>
  <c r="Z14" i="10"/>
  <c r="Y14" i="10"/>
  <c r="X14" i="10"/>
  <c r="W14" i="10"/>
  <c r="AO13" i="10"/>
  <c r="AN13" i="10"/>
  <c r="AM13" i="10"/>
  <c r="AL13" i="10"/>
  <c r="AK13" i="10"/>
  <c r="AJ13" i="10"/>
  <c r="AI13" i="10"/>
  <c r="AH13" i="10"/>
  <c r="AG13" i="10"/>
  <c r="AF13" i="10"/>
  <c r="AE13" i="10"/>
  <c r="AD13" i="10"/>
  <c r="AC13" i="10"/>
  <c r="AB13" i="10"/>
  <c r="AA13" i="10"/>
  <c r="Z13" i="10"/>
  <c r="Y13" i="10"/>
  <c r="X13" i="10"/>
  <c r="W13" i="10"/>
  <c r="AO12" i="10"/>
  <c r="AN12" i="10"/>
  <c r="AM12" i="10"/>
  <c r="AL12" i="10"/>
  <c r="AK12" i="10"/>
  <c r="AJ12" i="10"/>
  <c r="AI12" i="10"/>
  <c r="AH12" i="10"/>
  <c r="AG12" i="10"/>
  <c r="AF12" i="10"/>
  <c r="AE12" i="10"/>
  <c r="AD12" i="10"/>
  <c r="AC12" i="10"/>
  <c r="AB12" i="10"/>
  <c r="AA12" i="10"/>
  <c r="Z12" i="10"/>
  <c r="Y12" i="10"/>
  <c r="X12" i="10"/>
  <c r="W12" i="10"/>
  <c r="AO11" i="10"/>
  <c r="AN11" i="10"/>
  <c r="AM11" i="10"/>
  <c r="AL11" i="10"/>
  <c r="AK11" i="10"/>
  <c r="AJ11" i="10"/>
  <c r="AI11" i="10"/>
  <c r="AH11" i="10"/>
  <c r="AG11" i="10"/>
  <c r="AF11" i="10"/>
  <c r="AE11" i="10"/>
  <c r="AD11" i="10"/>
  <c r="AC11" i="10"/>
  <c r="AB11" i="10"/>
  <c r="AA11" i="10"/>
  <c r="Z11" i="10"/>
  <c r="Y11" i="10"/>
  <c r="X11" i="10"/>
  <c r="W11" i="10"/>
  <c r="AO10" i="10"/>
  <c r="AN10" i="10"/>
  <c r="AM10" i="10"/>
  <c r="AL10" i="10"/>
  <c r="AK10" i="10"/>
  <c r="AJ10" i="10"/>
  <c r="AI10" i="10"/>
  <c r="AH10" i="10"/>
  <c r="AG10" i="10"/>
  <c r="AF10" i="10"/>
  <c r="AE10" i="10"/>
  <c r="AD10" i="10"/>
  <c r="AC10" i="10"/>
  <c r="AB10" i="10"/>
  <c r="AA10" i="10"/>
  <c r="Z10" i="10"/>
  <c r="Y10" i="10"/>
  <c r="Z3" i="10"/>
  <c r="Y3" i="10"/>
  <c r="X3" i="10"/>
  <c r="W3" i="10"/>
  <c r="AO127" i="10"/>
  <c r="AN127" i="10"/>
  <c r="AM127" i="10"/>
  <c r="AL127" i="10"/>
  <c r="AK127" i="10"/>
  <c r="AJ127" i="10"/>
  <c r="AI127" i="10"/>
  <c r="AH127" i="10"/>
  <c r="AG127" i="10"/>
  <c r="AF127" i="10"/>
  <c r="AE127" i="10"/>
  <c r="AD127" i="10"/>
  <c r="AC127" i="10"/>
  <c r="AB127" i="10"/>
  <c r="AA127" i="10"/>
  <c r="Z127" i="10"/>
  <c r="Y127" i="10"/>
  <c r="X127" i="10"/>
  <c r="W127" i="10"/>
  <c r="AO126" i="10"/>
  <c r="AN126" i="10"/>
  <c r="AM126" i="10"/>
  <c r="AL126" i="10"/>
  <c r="AK126" i="10"/>
  <c r="AJ126" i="10"/>
  <c r="AI126" i="10"/>
  <c r="AH126" i="10"/>
  <c r="AG126" i="10"/>
  <c r="AF126" i="10"/>
  <c r="AE126" i="10"/>
  <c r="AD126" i="10"/>
  <c r="AC126" i="10"/>
  <c r="AB126" i="10"/>
  <c r="AA126" i="10"/>
  <c r="Z126" i="10"/>
  <c r="Y126" i="10"/>
  <c r="X126" i="10"/>
  <c r="W126" i="10"/>
  <c r="AO125" i="10"/>
  <c r="AN125" i="10"/>
  <c r="AM125" i="10"/>
  <c r="AL125" i="10"/>
  <c r="AK125" i="10"/>
  <c r="AJ125" i="10"/>
  <c r="AI125" i="10"/>
  <c r="AH125" i="10"/>
  <c r="AG125" i="10"/>
  <c r="AF125" i="10"/>
  <c r="AE125" i="10"/>
  <c r="AD125" i="10"/>
  <c r="AC125" i="10"/>
  <c r="AB125" i="10"/>
  <c r="AA125" i="10"/>
  <c r="Z125" i="10"/>
  <c r="Y125" i="10"/>
  <c r="X125" i="10"/>
  <c r="W125" i="10"/>
  <c r="AO124" i="10"/>
  <c r="AN124" i="10"/>
  <c r="AM124" i="10"/>
  <c r="AL124" i="10"/>
  <c r="AK124" i="10"/>
  <c r="AJ124" i="10"/>
  <c r="AI124" i="10"/>
  <c r="AH124" i="10"/>
  <c r="AG124" i="10"/>
  <c r="AF124" i="10"/>
  <c r="AE124" i="10"/>
  <c r="AD124" i="10"/>
  <c r="AC124" i="10"/>
  <c r="AB124" i="10"/>
  <c r="AA124" i="10"/>
  <c r="Z124" i="10"/>
  <c r="Y124" i="10"/>
  <c r="X124" i="10"/>
  <c r="W124" i="10"/>
  <c r="AO123" i="10"/>
  <c r="AN123" i="10"/>
  <c r="AM123" i="10"/>
  <c r="AL123" i="10"/>
  <c r="AK123" i="10"/>
  <c r="AJ123" i="10"/>
  <c r="AI123" i="10"/>
  <c r="AH123" i="10"/>
  <c r="AG123" i="10"/>
  <c r="AF123" i="10"/>
  <c r="AE123" i="10"/>
  <c r="AD123" i="10"/>
  <c r="AC123" i="10"/>
  <c r="AB123" i="10"/>
  <c r="AA123" i="10"/>
  <c r="Z123" i="10"/>
  <c r="Y123" i="10"/>
  <c r="X123" i="10"/>
  <c r="W123" i="10"/>
  <c r="AO122" i="10"/>
  <c r="AN122" i="10"/>
  <c r="AM122" i="10"/>
  <c r="AL122" i="10"/>
  <c r="AK122" i="10"/>
  <c r="AJ122" i="10"/>
  <c r="AI122" i="10"/>
  <c r="AH122" i="10"/>
  <c r="AG122" i="10"/>
  <c r="AF122" i="10"/>
  <c r="AE122" i="10"/>
  <c r="AD122" i="10"/>
  <c r="AC122" i="10"/>
  <c r="AB122" i="10"/>
  <c r="AA122" i="10"/>
  <c r="Z122" i="10"/>
  <c r="Y122" i="10"/>
  <c r="X122" i="10"/>
  <c r="W122" i="10"/>
  <c r="AO121" i="10"/>
  <c r="AN121" i="10"/>
  <c r="AM121" i="10"/>
  <c r="AL121" i="10"/>
  <c r="AK121" i="10"/>
  <c r="AJ121" i="10"/>
  <c r="AI121" i="10"/>
  <c r="AH121" i="10"/>
  <c r="AG121" i="10"/>
  <c r="AF121" i="10"/>
  <c r="AE121" i="10"/>
  <c r="AD121" i="10"/>
  <c r="AC121" i="10"/>
  <c r="AB121" i="10"/>
  <c r="AA121" i="10"/>
  <c r="Z121" i="10"/>
  <c r="Y121" i="10"/>
  <c r="X121" i="10"/>
  <c r="W121" i="10"/>
  <c r="AO120" i="10"/>
  <c r="AN120" i="10"/>
  <c r="AM120" i="10"/>
  <c r="AL120" i="10"/>
  <c r="AK120" i="10"/>
  <c r="AJ120" i="10"/>
  <c r="AI120" i="10"/>
  <c r="AH120" i="10"/>
  <c r="AG120" i="10"/>
  <c r="AF120" i="10"/>
  <c r="AE120" i="10"/>
  <c r="AD120" i="10"/>
  <c r="AC120" i="10"/>
  <c r="AB120" i="10"/>
  <c r="AA120" i="10"/>
  <c r="Z120" i="10"/>
  <c r="Y120" i="10"/>
  <c r="X120" i="10"/>
  <c r="W120" i="10"/>
  <c r="AO119" i="10"/>
  <c r="AN119" i="10"/>
  <c r="AM119" i="10"/>
  <c r="AL119" i="10"/>
  <c r="AK119" i="10"/>
  <c r="AJ119" i="10"/>
  <c r="AI119" i="10"/>
  <c r="AH119" i="10"/>
  <c r="AG119" i="10"/>
  <c r="AF119" i="10"/>
  <c r="AE119" i="10"/>
  <c r="AD119" i="10"/>
  <c r="AC119" i="10"/>
  <c r="AB119" i="10"/>
  <c r="AA119" i="10"/>
  <c r="Z119" i="10"/>
  <c r="Y119" i="10"/>
  <c r="X119" i="10"/>
  <c r="W119" i="10"/>
  <c r="AO118" i="10"/>
  <c r="AN118" i="10"/>
  <c r="AM118" i="10"/>
  <c r="AL118" i="10"/>
  <c r="AK118" i="10"/>
  <c r="AJ118" i="10"/>
  <c r="AI118" i="10"/>
  <c r="AH118" i="10"/>
  <c r="AG118" i="10"/>
  <c r="AF118" i="10"/>
  <c r="AE118" i="10"/>
  <c r="AD118" i="10"/>
  <c r="AC118" i="10"/>
  <c r="AB118" i="10"/>
  <c r="AA118" i="10"/>
  <c r="Z118" i="10"/>
  <c r="Y118" i="10"/>
  <c r="X118" i="10"/>
  <c r="W118" i="10"/>
  <c r="AO117" i="10"/>
  <c r="AN117" i="10"/>
  <c r="AM117" i="10"/>
  <c r="AL117" i="10"/>
  <c r="AK117" i="10"/>
  <c r="AJ117" i="10"/>
  <c r="AI117" i="10"/>
  <c r="AH117" i="10"/>
  <c r="AG117" i="10"/>
  <c r="AF117" i="10"/>
  <c r="AE117" i="10"/>
  <c r="AD117" i="10"/>
  <c r="AC117" i="10"/>
  <c r="AB117" i="10"/>
  <c r="AA117" i="10"/>
  <c r="Z117" i="10"/>
  <c r="Y117" i="10"/>
  <c r="X117" i="10"/>
  <c r="W117" i="10"/>
  <c r="AO116" i="10"/>
  <c r="AN116" i="10"/>
  <c r="AM116" i="10"/>
  <c r="AL116" i="10"/>
  <c r="AK116" i="10"/>
  <c r="AJ116" i="10"/>
  <c r="AI116" i="10"/>
  <c r="AH116" i="10"/>
  <c r="AG116" i="10"/>
  <c r="AF116" i="10"/>
  <c r="AE116" i="10"/>
  <c r="AD116" i="10"/>
  <c r="AC116" i="10"/>
  <c r="AB116" i="10"/>
  <c r="AA116" i="10"/>
  <c r="Z116" i="10"/>
  <c r="Y116" i="10"/>
  <c r="X116" i="10"/>
  <c r="W116" i="10"/>
  <c r="AO115" i="10"/>
  <c r="AN115" i="10"/>
  <c r="AM115" i="10"/>
  <c r="AL115" i="10"/>
  <c r="AK115" i="10"/>
  <c r="AJ115" i="10"/>
  <c r="AI115" i="10"/>
  <c r="AH115" i="10"/>
  <c r="AG115" i="10"/>
  <c r="AF115" i="10"/>
  <c r="AE115" i="10"/>
  <c r="AD115" i="10"/>
  <c r="AC115" i="10"/>
  <c r="AB115" i="10"/>
  <c r="AA115" i="10"/>
  <c r="Z115" i="10"/>
  <c r="Y115" i="10"/>
  <c r="X115" i="10"/>
  <c r="W115" i="10"/>
  <c r="AO114" i="10"/>
  <c r="AN114" i="10"/>
  <c r="AM114" i="10"/>
  <c r="AL114" i="10"/>
  <c r="AK114" i="10"/>
  <c r="AJ114" i="10"/>
  <c r="AI114" i="10"/>
  <c r="AH114" i="10"/>
  <c r="AG114" i="10"/>
  <c r="AF114" i="10"/>
  <c r="AE114" i="10"/>
  <c r="AD114" i="10"/>
  <c r="AC114" i="10"/>
  <c r="AB114" i="10"/>
  <c r="AA114" i="10"/>
  <c r="Z114" i="10"/>
  <c r="Y114" i="10"/>
  <c r="X114" i="10"/>
  <c r="W114" i="10"/>
  <c r="AO113" i="10"/>
  <c r="AN113" i="10"/>
  <c r="AM113" i="10"/>
  <c r="AL113" i="10"/>
  <c r="AK113" i="10"/>
  <c r="AJ113" i="10"/>
  <c r="AI113" i="10"/>
  <c r="AH113" i="10"/>
  <c r="AG113" i="10"/>
  <c r="AF113" i="10"/>
  <c r="AE113" i="10"/>
  <c r="AD113" i="10"/>
  <c r="AC113" i="10"/>
  <c r="AB113" i="10"/>
  <c r="AA113" i="10"/>
  <c r="Z113" i="10"/>
  <c r="Y113" i="10"/>
  <c r="X113" i="10"/>
  <c r="W113" i="10"/>
  <c r="AO112" i="10"/>
  <c r="AN112" i="10"/>
  <c r="AM112" i="10"/>
  <c r="AL112" i="10"/>
  <c r="AK112" i="10"/>
  <c r="AJ112" i="10"/>
  <c r="AI112" i="10"/>
  <c r="AH112" i="10"/>
  <c r="AG112" i="10"/>
  <c r="AF112" i="10"/>
  <c r="AE112" i="10"/>
  <c r="AD112" i="10"/>
  <c r="AC112" i="10"/>
  <c r="AB112" i="10"/>
  <c r="AA112" i="10"/>
  <c r="Z112" i="10"/>
  <c r="Y112" i="10"/>
  <c r="X112" i="10"/>
  <c r="W112" i="10"/>
  <c r="AO111" i="10"/>
  <c r="AN111" i="10"/>
  <c r="AM111" i="10"/>
  <c r="AL111" i="10"/>
  <c r="AK111" i="10"/>
  <c r="AJ111" i="10"/>
  <c r="AI111" i="10"/>
  <c r="AH111" i="10"/>
  <c r="AG111" i="10"/>
  <c r="AF111" i="10"/>
  <c r="AE111" i="10"/>
  <c r="AD111" i="10"/>
  <c r="AC111" i="10"/>
  <c r="AB111" i="10"/>
  <c r="AA111" i="10"/>
  <c r="Z111" i="10"/>
  <c r="Y111" i="10"/>
  <c r="X111" i="10"/>
  <c r="W111" i="10"/>
  <c r="AO110" i="10"/>
  <c r="AN110" i="10"/>
  <c r="AM110" i="10"/>
  <c r="AL110" i="10"/>
  <c r="AK110" i="10"/>
  <c r="AJ110" i="10"/>
  <c r="AI110" i="10"/>
  <c r="AH110" i="10"/>
  <c r="AG110" i="10"/>
  <c r="AF110" i="10"/>
  <c r="AE110" i="10"/>
  <c r="AD110" i="10"/>
  <c r="AC110" i="10"/>
  <c r="AB110" i="10"/>
  <c r="AA110" i="10"/>
  <c r="Z110" i="10"/>
  <c r="Y110" i="10"/>
  <c r="X110" i="10"/>
  <c r="W110" i="10"/>
  <c r="AO109" i="10"/>
  <c r="AN109" i="10"/>
  <c r="AM109" i="10"/>
  <c r="AL109" i="10"/>
  <c r="AK109" i="10"/>
  <c r="AJ109" i="10"/>
  <c r="AI109" i="10"/>
  <c r="AH109" i="10"/>
  <c r="AG109" i="10"/>
  <c r="AF109" i="10"/>
  <c r="AE109" i="10"/>
  <c r="AD109" i="10"/>
  <c r="AC109" i="10"/>
  <c r="AB109" i="10"/>
  <c r="AA109" i="10"/>
  <c r="Z109" i="10"/>
  <c r="Y109" i="10"/>
  <c r="X109" i="10"/>
  <c r="W109" i="10"/>
  <c r="AO108" i="10"/>
  <c r="AN108" i="10"/>
  <c r="AM108" i="10"/>
  <c r="AL108" i="10"/>
  <c r="AK108" i="10"/>
  <c r="AJ108" i="10"/>
  <c r="AI108" i="10"/>
  <c r="AH108" i="10"/>
  <c r="AG108" i="10"/>
  <c r="AF108" i="10"/>
  <c r="AE108" i="10"/>
  <c r="AD108" i="10"/>
  <c r="AC108" i="10"/>
  <c r="AB108" i="10"/>
  <c r="AA108" i="10"/>
  <c r="Z108" i="10"/>
  <c r="Y108" i="10"/>
  <c r="X108" i="10"/>
  <c r="W108" i="10"/>
  <c r="AO107" i="10"/>
  <c r="AN107" i="10"/>
  <c r="AM107" i="10"/>
  <c r="AL107" i="10"/>
  <c r="AK107" i="10"/>
  <c r="AJ107" i="10"/>
  <c r="AI107" i="10"/>
  <c r="AH107" i="10"/>
  <c r="AG107" i="10"/>
  <c r="AF107" i="10"/>
  <c r="AE107" i="10"/>
  <c r="AD107" i="10"/>
  <c r="AC107" i="10"/>
  <c r="AB107" i="10"/>
  <c r="AA107" i="10"/>
  <c r="Z107" i="10"/>
  <c r="Y107" i="10"/>
  <c r="X107" i="10"/>
  <c r="W107" i="10"/>
  <c r="AO106" i="10"/>
  <c r="AN106" i="10"/>
  <c r="AM106" i="10"/>
  <c r="AL106" i="10"/>
  <c r="AK106" i="10"/>
  <c r="AJ106" i="10"/>
  <c r="AI106" i="10"/>
  <c r="AH106" i="10"/>
  <c r="AG106" i="10"/>
  <c r="AF106" i="10"/>
  <c r="AE106" i="10"/>
  <c r="AD106" i="10"/>
  <c r="AC106" i="10"/>
  <c r="AB106" i="10"/>
  <c r="AA106" i="10"/>
  <c r="Z106" i="10"/>
  <c r="Y106" i="10"/>
  <c r="X106" i="10"/>
  <c r="W106" i="10"/>
  <c r="AO105" i="10"/>
  <c r="AN105" i="10"/>
  <c r="AM105" i="10"/>
  <c r="AL105" i="10"/>
  <c r="AK105" i="10"/>
  <c r="AJ105" i="10"/>
  <c r="AI105" i="10"/>
  <c r="AH105" i="10"/>
  <c r="AG105" i="10"/>
  <c r="AF105" i="10"/>
  <c r="AE105" i="10"/>
  <c r="AD105" i="10"/>
  <c r="AC105" i="10"/>
  <c r="AB105" i="10"/>
  <c r="AA105" i="10"/>
  <c r="Z105" i="10"/>
  <c r="Y105" i="10"/>
  <c r="X105" i="10"/>
  <c r="W105" i="10"/>
  <c r="AO104" i="10"/>
  <c r="AN104" i="10"/>
  <c r="AM104" i="10"/>
  <c r="AL104" i="10"/>
  <c r="AK104" i="10"/>
  <c r="AJ104" i="10"/>
  <c r="AI104" i="10"/>
  <c r="AH104" i="10"/>
  <c r="AG104" i="10"/>
  <c r="AF104" i="10"/>
  <c r="AE104" i="10"/>
  <c r="AD104" i="10"/>
  <c r="AC104" i="10"/>
  <c r="AB104" i="10"/>
  <c r="AA104" i="10"/>
  <c r="Z104" i="10"/>
  <c r="Y104" i="10"/>
  <c r="X104" i="10"/>
  <c r="W104" i="10"/>
  <c r="AO75" i="10"/>
  <c r="AM75" i="10"/>
  <c r="AK75" i="10"/>
  <c r="AI75" i="10"/>
  <c r="AG75" i="10"/>
  <c r="AE75" i="10"/>
  <c r="AC75" i="10"/>
  <c r="AA75" i="10"/>
  <c r="Y75" i="10"/>
  <c r="W75" i="10"/>
  <c r="AO74" i="10"/>
  <c r="AM74" i="10"/>
  <c r="AK74" i="10"/>
  <c r="AI74" i="10"/>
  <c r="AG74" i="10"/>
  <c r="AE74" i="10"/>
  <c r="AC74" i="10"/>
  <c r="AA74" i="10"/>
  <c r="Y74" i="10"/>
  <c r="W74" i="10"/>
  <c r="AN73" i="10"/>
  <c r="AL73" i="10"/>
  <c r="AJ73" i="10"/>
  <c r="AI73" i="10"/>
  <c r="AG73" i="10"/>
  <c r="AE73" i="10"/>
  <c r="AC73" i="10"/>
  <c r="AA73" i="10"/>
  <c r="Y73" i="10"/>
  <c r="W73" i="10"/>
  <c r="AN45" i="10"/>
  <c r="AK45" i="10"/>
  <c r="AH45" i="10"/>
  <c r="AE45" i="10"/>
  <c r="AB45" i="10"/>
  <c r="Y45" i="10"/>
  <c r="AN44" i="10"/>
  <c r="AK44" i="10"/>
  <c r="AI44" i="10"/>
  <c r="AF44" i="10"/>
  <c r="AC44" i="10"/>
  <c r="Z44" i="10"/>
  <c r="W44" i="10"/>
  <c r="AM43" i="10"/>
  <c r="AL43" i="10"/>
  <c r="AI43" i="10"/>
  <c r="AF43" i="10"/>
  <c r="AC43" i="10"/>
  <c r="Z43" i="10"/>
  <c r="W43" i="10"/>
  <c r="AO42" i="10"/>
  <c r="AL42" i="10"/>
  <c r="AI42" i="10"/>
  <c r="AF42" i="10"/>
  <c r="AC42" i="10"/>
  <c r="Z42" i="10"/>
  <c r="W42" i="10"/>
  <c r="AM41" i="10"/>
  <c r="AA97" i="10"/>
  <c r="Z97" i="10"/>
  <c r="Y97" i="10"/>
  <c r="X97" i="10"/>
  <c r="W97" i="10"/>
  <c r="AO96" i="10"/>
  <c r="AN96" i="10"/>
  <c r="AM96" i="10"/>
  <c r="AL96" i="10"/>
  <c r="AK96" i="10"/>
  <c r="AJ96" i="10"/>
  <c r="AI96" i="10"/>
  <c r="AH96" i="10"/>
  <c r="AG96" i="10"/>
  <c r="AF96" i="10"/>
  <c r="AE96" i="10"/>
  <c r="AD96" i="10"/>
  <c r="AC96" i="10"/>
  <c r="AB96" i="10"/>
  <c r="AA96" i="10"/>
  <c r="Z96" i="10"/>
  <c r="Y96" i="10"/>
  <c r="X96" i="10"/>
  <c r="W96" i="10"/>
  <c r="AO95" i="10"/>
  <c r="AN95" i="10"/>
  <c r="AM95" i="10"/>
  <c r="AL95" i="10"/>
  <c r="AK95" i="10"/>
  <c r="AJ95" i="10"/>
  <c r="AI95" i="10"/>
  <c r="AH95" i="10"/>
  <c r="AG95" i="10"/>
  <c r="AF95" i="10"/>
  <c r="AE95" i="10"/>
  <c r="AD95" i="10"/>
  <c r="AC95" i="10"/>
  <c r="AB95" i="10"/>
  <c r="AA95" i="10"/>
  <c r="Z95" i="10"/>
  <c r="Y95" i="10"/>
  <c r="X95" i="10"/>
  <c r="W95" i="10"/>
  <c r="AO94" i="10"/>
  <c r="AN94" i="10"/>
  <c r="AM94" i="10"/>
  <c r="AL94" i="10"/>
  <c r="AK94" i="10"/>
  <c r="AJ94" i="10"/>
  <c r="AI94" i="10"/>
  <c r="AH94" i="10"/>
  <c r="AG94" i="10"/>
  <c r="AF94" i="10"/>
  <c r="AE94" i="10"/>
  <c r="AD94" i="10"/>
  <c r="AC94" i="10"/>
  <c r="AB94" i="10"/>
  <c r="AA94" i="10"/>
  <c r="Z94" i="10"/>
  <c r="Y94" i="10"/>
  <c r="X94" i="10"/>
  <c r="W94" i="10"/>
  <c r="AO93" i="10"/>
  <c r="AN93" i="10"/>
  <c r="AM93" i="10"/>
  <c r="AL93" i="10"/>
  <c r="AK93" i="10"/>
  <c r="AJ93" i="10"/>
  <c r="AI93" i="10"/>
  <c r="AH93" i="10"/>
  <c r="AG93" i="10"/>
  <c r="AF93" i="10"/>
  <c r="AE93" i="10"/>
  <c r="AD93" i="10"/>
  <c r="AC93" i="10"/>
  <c r="AB93" i="10"/>
  <c r="AA93" i="10"/>
  <c r="Z93" i="10"/>
  <c r="Y93" i="10"/>
  <c r="X93" i="10"/>
  <c r="W93" i="10"/>
  <c r="AO92" i="10"/>
  <c r="AN92" i="10"/>
  <c r="AM92" i="10"/>
  <c r="AL92" i="10"/>
  <c r="AK92" i="10"/>
  <c r="AJ92" i="10"/>
  <c r="AI92" i="10"/>
  <c r="AH92" i="10"/>
  <c r="AG92" i="10"/>
  <c r="AF92" i="10"/>
  <c r="AE92" i="10"/>
  <c r="AD92" i="10"/>
  <c r="AC92" i="10"/>
  <c r="AB92" i="10"/>
  <c r="AA92" i="10"/>
  <c r="Z92" i="10"/>
  <c r="Y92" i="10"/>
  <c r="X92" i="10"/>
  <c r="W92" i="10"/>
  <c r="AO91" i="10"/>
  <c r="AN91" i="10"/>
  <c r="AM91" i="10"/>
  <c r="AL91" i="10"/>
  <c r="AK91" i="10"/>
  <c r="AJ91" i="10"/>
  <c r="AI91" i="10"/>
  <c r="AH91" i="10"/>
  <c r="AG91" i="10"/>
  <c r="AF91" i="10"/>
  <c r="AE91" i="10"/>
  <c r="AD91" i="10"/>
  <c r="AC91" i="10"/>
  <c r="AB91" i="10"/>
  <c r="AA91" i="10"/>
  <c r="Z91" i="10"/>
  <c r="Y91" i="10"/>
  <c r="X91" i="10"/>
  <c r="W91" i="10"/>
  <c r="AO90" i="10"/>
  <c r="AN90" i="10"/>
  <c r="AM90" i="10"/>
  <c r="AL90" i="10"/>
  <c r="AK90" i="10"/>
  <c r="AJ90" i="10"/>
  <c r="AI90" i="10"/>
  <c r="AH90" i="10"/>
  <c r="AG90" i="10"/>
  <c r="AF90" i="10"/>
  <c r="AE90" i="10"/>
  <c r="AD90" i="10"/>
  <c r="AC90" i="10"/>
  <c r="AB90" i="10"/>
  <c r="AA90" i="10"/>
  <c r="Z90" i="10"/>
  <c r="Y90" i="10"/>
  <c r="X90" i="10"/>
  <c r="W90" i="10"/>
  <c r="AO89" i="10"/>
  <c r="AN89" i="10"/>
  <c r="AM89" i="10"/>
  <c r="AL89" i="10"/>
  <c r="AK89" i="10"/>
  <c r="AJ89" i="10"/>
  <c r="AI89" i="10"/>
  <c r="AH89" i="10"/>
  <c r="AG89" i="10"/>
  <c r="AF89" i="10"/>
  <c r="AE89" i="10"/>
  <c r="AD89" i="10"/>
  <c r="AC89" i="10"/>
  <c r="AB89" i="10"/>
  <c r="AA89" i="10"/>
  <c r="Z89" i="10"/>
  <c r="Y89" i="10"/>
  <c r="X89" i="10"/>
  <c r="W89" i="10"/>
  <c r="AO88" i="10"/>
  <c r="AN88" i="10"/>
  <c r="AM88" i="10"/>
  <c r="AL88" i="10"/>
  <c r="AK88" i="10"/>
  <c r="AJ88" i="10"/>
  <c r="AI88" i="10"/>
  <c r="AH88" i="10"/>
  <c r="AG88" i="10"/>
  <c r="AF88" i="10"/>
  <c r="AE88" i="10"/>
  <c r="AD88" i="10"/>
  <c r="AC88" i="10"/>
  <c r="AB88" i="10"/>
  <c r="AA88" i="10"/>
  <c r="Z88" i="10"/>
  <c r="Y88" i="10"/>
  <c r="X88" i="10"/>
  <c r="W88" i="10"/>
  <c r="AO87" i="10"/>
  <c r="AN87" i="10"/>
  <c r="AM87" i="10"/>
  <c r="AL87" i="10"/>
  <c r="AK87" i="10"/>
  <c r="AJ87" i="10"/>
  <c r="AI87" i="10"/>
  <c r="AH87" i="10"/>
  <c r="AG87" i="10"/>
  <c r="AF87" i="10"/>
  <c r="AE87" i="10"/>
  <c r="AD87" i="10"/>
  <c r="AC87" i="10"/>
  <c r="AB87" i="10"/>
  <c r="AA87" i="10"/>
  <c r="Z87" i="10"/>
  <c r="Y87" i="10"/>
  <c r="X87" i="10"/>
  <c r="W87" i="10"/>
  <c r="AO86" i="10"/>
  <c r="AN86" i="10"/>
  <c r="AM86" i="10"/>
  <c r="AL86" i="10"/>
  <c r="AK86" i="10"/>
  <c r="AJ86" i="10"/>
  <c r="AI86" i="10"/>
  <c r="AH86" i="10"/>
  <c r="AG86" i="10"/>
  <c r="AF86" i="10"/>
  <c r="AE86" i="10"/>
  <c r="AD86" i="10"/>
  <c r="AC86" i="10"/>
  <c r="AB86" i="10"/>
  <c r="AA86" i="10"/>
  <c r="Z86" i="10"/>
  <c r="Y86" i="10"/>
  <c r="X86" i="10"/>
  <c r="W86" i="10"/>
  <c r="AO85" i="10"/>
  <c r="AN85" i="10"/>
  <c r="AM85" i="10"/>
  <c r="AL85" i="10"/>
  <c r="AK85" i="10"/>
  <c r="AJ85" i="10"/>
  <c r="AI85" i="10"/>
  <c r="AH85" i="10"/>
  <c r="AG85" i="10"/>
  <c r="AF85" i="10"/>
  <c r="AE85" i="10"/>
  <c r="AD85" i="10"/>
  <c r="AC85" i="10"/>
  <c r="AB85" i="10"/>
  <c r="AA85" i="10"/>
  <c r="Z85" i="10"/>
  <c r="Y85" i="10"/>
  <c r="X85" i="10"/>
  <c r="W85" i="10"/>
  <c r="AO84" i="10"/>
  <c r="AN84" i="10"/>
  <c r="AM84" i="10"/>
  <c r="AL84" i="10"/>
  <c r="AK84" i="10"/>
  <c r="AJ84" i="10"/>
  <c r="AI84" i="10"/>
  <c r="AH84" i="10"/>
  <c r="AG84" i="10"/>
  <c r="AF84" i="10"/>
  <c r="AE84" i="10"/>
  <c r="AD84" i="10"/>
  <c r="AC84" i="10"/>
  <c r="AB84" i="10"/>
  <c r="AA84" i="10"/>
  <c r="Z84" i="10"/>
  <c r="Y84" i="10"/>
  <c r="X84" i="10"/>
  <c r="W84" i="10"/>
  <c r="AO83" i="10"/>
  <c r="AN83" i="10"/>
  <c r="AM83" i="10"/>
  <c r="AL83" i="10"/>
  <c r="AK83" i="10"/>
  <c r="AJ83" i="10"/>
  <c r="AI83" i="10"/>
  <c r="AH83" i="10"/>
  <c r="AG83" i="10"/>
  <c r="AF83" i="10"/>
  <c r="AE83" i="10"/>
  <c r="AD83" i="10"/>
  <c r="AC83" i="10"/>
  <c r="AB83" i="10"/>
  <c r="AA83" i="10"/>
  <c r="Z83" i="10"/>
  <c r="Y83" i="10"/>
  <c r="X83" i="10"/>
  <c r="W83" i="10"/>
  <c r="AO82" i="10"/>
  <c r="AN82" i="10"/>
  <c r="AM82" i="10"/>
  <c r="AL82" i="10"/>
  <c r="AK82" i="10"/>
  <c r="AJ82" i="10"/>
  <c r="AI82" i="10"/>
  <c r="AH82" i="10"/>
  <c r="AG82" i="10"/>
  <c r="AF82" i="10"/>
  <c r="AE82" i="10"/>
  <c r="AD82" i="10"/>
  <c r="AC82" i="10"/>
  <c r="AB82" i="10"/>
  <c r="AA82" i="10"/>
  <c r="Z82" i="10"/>
  <c r="Y82" i="10"/>
  <c r="X82" i="10"/>
  <c r="W82" i="10"/>
  <c r="AO81" i="10"/>
  <c r="AN81" i="10"/>
  <c r="AM81" i="10"/>
  <c r="AL81" i="10"/>
  <c r="AK81" i="10"/>
  <c r="AJ81" i="10"/>
  <c r="AI81" i="10"/>
  <c r="AH81" i="10"/>
  <c r="AG81" i="10"/>
  <c r="AF81" i="10"/>
  <c r="AE81" i="10"/>
  <c r="AD81" i="10"/>
  <c r="AC81" i="10"/>
  <c r="AB81" i="10"/>
  <c r="AA81" i="10"/>
  <c r="Z81" i="10"/>
  <c r="Y81" i="10"/>
  <c r="X81" i="10"/>
  <c r="W81" i="10"/>
  <c r="AO80" i="10"/>
  <c r="AN80" i="10"/>
  <c r="AM80" i="10"/>
  <c r="AL80" i="10"/>
  <c r="AK80" i="10"/>
  <c r="AJ80" i="10"/>
  <c r="AI80" i="10"/>
  <c r="AH80" i="10"/>
  <c r="AG80" i="10"/>
  <c r="AF80" i="10"/>
  <c r="AE80" i="10"/>
  <c r="AD80" i="10"/>
  <c r="AC80" i="10"/>
  <c r="AB80" i="10"/>
  <c r="AA80" i="10"/>
  <c r="Z80" i="10"/>
  <c r="Y80" i="10"/>
  <c r="X80" i="10"/>
  <c r="W80" i="10"/>
  <c r="AO79" i="10"/>
  <c r="AN79" i="10"/>
  <c r="AM79" i="10"/>
  <c r="AL79" i="10"/>
  <c r="AK79" i="10"/>
  <c r="AJ79" i="10"/>
  <c r="AI79" i="10"/>
  <c r="AH79" i="10"/>
  <c r="AG79" i="10"/>
  <c r="AF79" i="10"/>
  <c r="AE79" i="10"/>
  <c r="AD79" i="10"/>
  <c r="AC79" i="10"/>
  <c r="AB79" i="10"/>
  <c r="AA79" i="10"/>
  <c r="Z79" i="10"/>
  <c r="Y79" i="10"/>
  <c r="X79" i="10"/>
  <c r="W79" i="10"/>
  <c r="AO78" i="10"/>
  <c r="AN78" i="10"/>
  <c r="AM78" i="10"/>
  <c r="AL78" i="10"/>
  <c r="AK78" i="10"/>
  <c r="AJ78" i="10"/>
  <c r="AI78" i="10"/>
  <c r="AH78" i="10"/>
  <c r="AG78" i="10"/>
  <c r="AF78" i="10"/>
  <c r="AE78" i="10"/>
  <c r="AD78" i="10"/>
  <c r="AC78" i="10"/>
  <c r="AB78" i="10"/>
  <c r="AA78" i="10"/>
  <c r="Z78" i="10"/>
  <c r="Y78" i="10"/>
  <c r="X78" i="10"/>
  <c r="W78" i="10"/>
  <c r="AO77" i="10"/>
  <c r="AN77" i="10"/>
  <c r="AM77" i="10"/>
  <c r="AL77" i="10"/>
  <c r="AK77" i="10"/>
  <c r="AJ77" i="10"/>
  <c r="AI77" i="10"/>
  <c r="AH77" i="10"/>
  <c r="AG77" i="10"/>
  <c r="AF77" i="10"/>
  <c r="AE77" i="10"/>
  <c r="AD77" i="10"/>
  <c r="AC77" i="10"/>
  <c r="AB77" i="10"/>
  <c r="AA77" i="10"/>
  <c r="Z77" i="10"/>
  <c r="Y77" i="10"/>
  <c r="X77" i="10"/>
  <c r="W77" i="10"/>
  <c r="AO76" i="10"/>
  <c r="AN76" i="10"/>
  <c r="AM76" i="10"/>
  <c r="AL76" i="10"/>
  <c r="AK76" i="10"/>
  <c r="AJ76" i="10"/>
  <c r="AI76" i="10"/>
  <c r="AH76" i="10"/>
  <c r="AG76" i="10"/>
  <c r="AF76" i="10"/>
  <c r="AE76" i="10"/>
  <c r="AD76" i="10"/>
  <c r="AC76" i="10"/>
  <c r="AB76" i="10"/>
  <c r="AA76" i="10"/>
  <c r="Z76" i="10"/>
  <c r="Y76" i="10"/>
  <c r="X76" i="10"/>
  <c r="W76" i="10"/>
  <c r="AN75" i="10"/>
  <c r="AL75" i="10"/>
  <c r="AJ75" i="10"/>
  <c r="AH75" i="10"/>
  <c r="AF75" i="10"/>
  <c r="AD75" i="10"/>
  <c r="AB75" i="10"/>
  <c r="Z75" i="10"/>
  <c r="X75" i="10"/>
  <c r="AN74" i="10"/>
  <c r="AL74" i="10"/>
  <c r="AJ74" i="10"/>
  <c r="AH74" i="10"/>
  <c r="AF74" i="10"/>
  <c r="AD74" i="10"/>
  <c r="AB74" i="10"/>
  <c r="Z74" i="10"/>
  <c r="X74" i="10"/>
  <c r="AO73" i="10"/>
  <c r="AM73" i="10"/>
  <c r="AK73" i="10"/>
  <c r="AH73" i="10"/>
  <c r="AF73" i="10"/>
  <c r="AD73" i="10"/>
  <c r="AB73" i="10"/>
  <c r="Z73" i="10"/>
  <c r="X73" i="10"/>
  <c r="AO45" i="10"/>
  <c r="AL45" i="10"/>
  <c r="AI45" i="10"/>
  <c r="AF45" i="10"/>
  <c r="AC45" i="10"/>
  <c r="Z45" i="10"/>
  <c r="W45" i="10"/>
  <c r="AM44" i="10"/>
  <c r="AJ44" i="10"/>
  <c r="AG44" i="10"/>
  <c r="AD44" i="10"/>
  <c r="AA44" i="10"/>
  <c r="X44" i="10"/>
  <c r="AO43" i="10"/>
  <c r="AK43" i="10"/>
  <c r="AG43" i="10"/>
  <c r="AE43" i="10"/>
  <c r="AB43" i="10"/>
  <c r="Y43" i="10"/>
  <c r="X43" i="10"/>
  <c r="AN42" i="10"/>
  <c r="AK42" i="10"/>
  <c r="AH42" i="10"/>
  <c r="AE42" i="10"/>
  <c r="AB42" i="10"/>
  <c r="Y42" i="10"/>
  <c r="AO41" i="10"/>
  <c r="AL41" i="10"/>
  <c r="AO65" i="10"/>
  <c r="AN65" i="10"/>
  <c r="AM65" i="10"/>
  <c r="AL65" i="10"/>
  <c r="AK65" i="10"/>
  <c r="AJ65" i="10"/>
  <c r="AI65" i="10"/>
  <c r="AH65" i="10"/>
  <c r="AG65" i="10"/>
  <c r="AF65" i="10"/>
  <c r="AE65" i="10"/>
  <c r="AD65" i="10"/>
  <c r="AC65" i="10"/>
  <c r="AB65" i="10"/>
  <c r="AA65" i="10"/>
  <c r="Z65" i="10"/>
  <c r="Y65" i="10"/>
  <c r="X65" i="10"/>
  <c r="W65" i="10"/>
  <c r="AO64" i="10"/>
  <c r="AN64" i="10"/>
  <c r="AM64" i="10"/>
  <c r="AL64" i="10"/>
  <c r="AK64" i="10"/>
  <c r="AJ64" i="10"/>
  <c r="AI64" i="10"/>
  <c r="AH64" i="10"/>
  <c r="AG64" i="10"/>
  <c r="AF64" i="10"/>
  <c r="AE64" i="10"/>
  <c r="AD64" i="10"/>
  <c r="AC64" i="10"/>
  <c r="AB64" i="10"/>
  <c r="AA64" i="10"/>
  <c r="Z64" i="10"/>
  <c r="Y64" i="10"/>
  <c r="X64" i="10"/>
  <c r="W64" i="10"/>
  <c r="AO63" i="10"/>
  <c r="AN63" i="10"/>
  <c r="AM63" i="10"/>
  <c r="AL63" i="10"/>
  <c r="AK63" i="10"/>
  <c r="AJ63" i="10"/>
  <c r="AI63" i="10"/>
  <c r="AH63" i="10"/>
  <c r="AG63" i="10"/>
  <c r="AF63" i="10"/>
  <c r="AE63" i="10"/>
  <c r="AD63" i="10"/>
  <c r="AC63" i="10"/>
  <c r="AB63" i="10"/>
  <c r="AA63" i="10"/>
  <c r="Z63" i="10"/>
  <c r="Y63" i="10"/>
  <c r="X63" i="10"/>
  <c r="W63" i="10"/>
  <c r="AO62" i="10"/>
  <c r="AN62" i="10"/>
  <c r="AM62" i="10"/>
  <c r="AL62" i="10"/>
  <c r="AK62" i="10"/>
  <c r="AJ62" i="10"/>
  <c r="AI62" i="10"/>
  <c r="AH62" i="10"/>
  <c r="AG62" i="10"/>
  <c r="AF62" i="10"/>
  <c r="AE62" i="10"/>
  <c r="AD62" i="10"/>
  <c r="AC62" i="10"/>
  <c r="AB62" i="10"/>
  <c r="AA62" i="10"/>
  <c r="Z62" i="10"/>
  <c r="Y62" i="10"/>
  <c r="X62" i="10"/>
  <c r="W62" i="10"/>
  <c r="AO61" i="10"/>
  <c r="AN61" i="10"/>
  <c r="AM61" i="10"/>
  <c r="AL61" i="10"/>
  <c r="AK61" i="10"/>
  <c r="AJ61" i="10"/>
  <c r="AI61" i="10"/>
  <c r="AH61" i="10"/>
  <c r="AG61" i="10"/>
  <c r="AF61" i="10"/>
  <c r="AE61" i="10"/>
  <c r="AD61" i="10"/>
  <c r="AC61" i="10"/>
  <c r="AB61" i="10"/>
  <c r="AA61" i="10"/>
  <c r="Z61" i="10"/>
  <c r="Y61" i="10"/>
  <c r="X61" i="10"/>
  <c r="W61" i="10"/>
  <c r="AO60" i="10"/>
  <c r="AN60" i="10"/>
  <c r="AM60" i="10"/>
  <c r="AL60" i="10"/>
  <c r="AK60" i="10"/>
  <c r="AJ60" i="10"/>
  <c r="AI60" i="10"/>
  <c r="AH60" i="10"/>
  <c r="AG60" i="10"/>
  <c r="AF60" i="10"/>
  <c r="AE60" i="10"/>
  <c r="AD60" i="10"/>
  <c r="AC60" i="10"/>
  <c r="AB60" i="10"/>
  <c r="AA60" i="10"/>
  <c r="Z60" i="10"/>
  <c r="Y60" i="10"/>
  <c r="X60" i="10"/>
  <c r="W60" i="10"/>
  <c r="AO59" i="10"/>
  <c r="AN59" i="10"/>
  <c r="AM59" i="10"/>
  <c r="AL59" i="10"/>
  <c r="AK59" i="10"/>
  <c r="AJ59" i="10"/>
  <c r="AI59" i="10"/>
  <c r="AH59" i="10"/>
  <c r="AG59" i="10"/>
  <c r="AF59" i="10"/>
  <c r="AE59" i="10"/>
  <c r="AD59" i="10"/>
  <c r="AC59" i="10"/>
  <c r="AB59" i="10"/>
  <c r="AA59" i="10"/>
  <c r="Z59" i="10"/>
  <c r="Y59" i="10"/>
  <c r="X59" i="10"/>
  <c r="W59" i="10"/>
  <c r="AO58" i="10"/>
  <c r="AN58" i="10"/>
  <c r="AM58" i="10"/>
  <c r="AL58" i="10"/>
  <c r="AK58" i="10"/>
  <c r="AJ58" i="10"/>
  <c r="AI58" i="10"/>
  <c r="AH58" i="10"/>
  <c r="AG58" i="10"/>
  <c r="AF58" i="10"/>
  <c r="AE58" i="10"/>
  <c r="AD58" i="10"/>
  <c r="AC58" i="10"/>
  <c r="AB58" i="10"/>
  <c r="AA58" i="10"/>
  <c r="Z58" i="10"/>
  <c r="Y58" i="10"/>
  <c r="X58" i="10"/>
  <c r="W58" i="10"/>
  <c r="AO57" i="10"/>
  <c r="AN57" i="10"/>
  <c r="AM57" i="10"/>
  <c r="AL57" i="10"/>
  <c r="AK57" i="10"/>
  <c r="AJ57" i="10"/>
  <c r="AI57" i="10"/>
  <c r="AH57" i="10"/>
  <c r="AG57" i="10"/>
  <c r="AF57" i="10"/>
  <c r="AE57" i="10"/>
  <c r="AD57" i="10"/>
  <c r="AC57" i="10"/>
  <c r="AB57" i="10"/>
  <c r="AA57" i="10"/>
  <c r="Z57" i="10"/>
  <c r="Y57" i="10"/>
  <c r="X57" i="10"/>
  <c r="W57" i="10"/>
  <c r="AO56" i="10"/>
  <c r="AN56" i="10"/>
  <c r="AM56" i="10"/>
  <c r="AL56" i="10"/>
  <c r="AK56" i="10"/>
  <c r="AJ56" i="10"/>
  <c r="AI56" i="10"/>
  <c r="AH56" i="10"/>
  <c r="AG56" i="10"/>
  <c r="AF56" i="10"/>
  <c r="AE56" i="10"/>
  <c r="AD56" i="10"/>
  <c r="AC56" i="10"/>
  <c r="AB56" i="10"/>
  <c r="AA56" i="10"/>
  <c r="Z56" i="10"/>
  <c r="Y56" i="10"/>
  <c r="X56" i="10"/>
  <c r="W56" i="10"/>
  <c r="AO55" i="10"/>
  <c r="AN55" i="10"/>
  <c r="AM55" i="10"/>
  <c r="AL55" i="10"/>
  <c r="AK55" i="10"/>
  <c r="AJ55" i="10"/>
  <c r="AI55" i="10"/>
  <c r="AH55" i="10"/>
  <c r="AG55" i="10"/>
  <c r="AF55" i="10"/>
  <c r="AE55" i="10"/>
  <c r="AD55" i="10"/>
  <c r="AC55" i="10"/>
  <c r="AB55" i="10"/>
  <c r="AA55" i="10"/>
  <c r="Z55" i="10"/>
  <c r="Y55" i="10"/>
  <c r="X55" i="10"/>
  <c r="W55" i="10"/>
  <c r="AO54" i="10"/>
  <c r="AN54" i="10"/>
  <c r="AM54" i="10"/>
  <c r="AL54" i="10"/>
  <c r="AK54" i="10"/>
  <c r="AJ54" i="10"/>
  <c r="AI54" i="10"/>
  <c r="AH54" i="10"/>
  <c r="AG54" i="10"/>
  <c r="AF54" i="10"/>
  <c r="AE54" i="10"/>
  <c r="AD54" i="10"/>
  <c r="AC54" i="10"/>
  <c r="AB54" i="10"/>
  <c r="AA54" i="10"/>
  <c r="Z54" i="10"/>
  <c r="Y54" i="10"/>
  <c r="X54" i="10"/>
  <c r="W54" i="10"/>
  <c r="AO53" i="10"/>
  <c r="AN53" i="10"/>
  <c r="AM53" i="10"/>
  <c r="AL53" i="10"/>
  <c r="AK53" i="10"/>
  <c r="AJ53" i="10"/>
  <c r="AI53" i="10"/>
  <c r="AH53" i="10"/>
  <c r="AG53" i="10"/>
  <c r="AF53" i="10"/>
  <c r="AE53" i="10"/>
  <c r="AD53" i="10"/>
  <c r="AC53" i="10"/>
  <c r="AB53" i="10"/>
  <c r="AA53" i="10"/>
  <c r="Z53" i="10"/>
  <c r="Y53" i="10"/>
  <c r="X53" i="10"/>
  <c r="W53" i="10"/>
  <c r="AO52" i="10"/>
  <c r="AN52" i="10"/>
  <c r="AM52" i="10"/>
  <c r="AL52" i="10"/>
  <c r="AK52" i="10"/>
  <c r="AJ52" i="10"/>
  <c r="AI52" i="10"/>
  <c r="AH52" i="10"/>
  <c r="AG52" i="10"/>
  <c r="AF52" i="10"/>
  <c r="AE52" i="10"/>
  <c r="AD52" i="10"/>
  <c r="AC52" i="10"/>
  <c r="AB52" i="10"/>
  <c r="AA52" i="10"/>
  <c r="Z52" i="10"/>
  <c r="Y52" i="10"/>
  <c r="X52" i="10"/>
  <c r="W52" i="10"/>
  <c r="AO51" i="10"/>
  <c r="AN51" i="10"/>
  <c r="AM51" i="10"/>
  <c r="AL51" i="10"/>
  <c r="AK51" i="10"/>
  <c r="AJ51" i="10"/>
  <c r="AI51" i="10"/>
  <c r="AH51" i="10"/>
  <c r="AG51" i="10"/>
  <c r="AF51" i="10"/>
  <c r="AE51" i="10"/>
  <c r="AD51" i="10"/>
  <c r="AC51" i="10"/>
  <c r="AB51" i="10"/>
  <c r="AA51" i="10"/>
  <c r="Z51" i="10"/>
  <c r="Y51" i="10"/>
  <c r="X51" i="10"/>
  <c r="W51" i="10"/>
  <c r="AO50" i="10"/>
  <c r="AN50" i="10"/>
  <c r="AM50" i="10"/>
  <c r="AL50" i="10"/>
  <c r="AK50" i="10"/>
  <c r="AJ50" i="10"/>
  <c r="AI50" i="10"/>
  <c r="AH50" i="10"/>
  <c r="AG50" i="10"/>
  <c r="AF50" i="10"/>
  <c r="AE50" i="10"/>
  <c r="AD50" i="10"/>
  <c r="AC50" i="10"/>
  <c r="AB50" i="10"/>
  <c r="AA50" i="10"/>
  <c r="Z50" i="10"/>
  <c r="Y50" i="10"/>
  <c r="X50" i="10"/>
  <c r="W50" i="10"/>
  <c r="AO49" i="10"/>
  <c r="AN49" i="10"/>
  <c r="AM49" i="10"/>
  <c r="AL49" i="10"/>
  <c r="AK49" i="10"/>
  <c r="AJ49" i="10"/>
  <c r="AI49" i="10"/>
  <c r="AH49" i="10"/>
  <c r="AG49" i="10"/>
  <c r="AF49" i="10"/>
  <c r="AE49" i="10"/>
  <c r="AD49" i="10"/>
  <c r="AC49" i="10"/>
  <c r="AB49" i="10"/>
  <c r="AA49" i="10"/>
  <c r="Z49" i="10"/>
  <c r="Y49" i="10"/>
  <c r="X49" i="10"/>
  <c r="W49" i="10"/>
  <c r="AO48" i="10"/>
  <c r="AN48" i="10"/>
  <c r="AM48" i="10"/>
  <c r="AL48" i="10"/>
  <c r="AK48" i="10"/>
  <c r="AJ48" i="10"/>
  <c r="AI48" i="10"/>
  <c r="AH48" i="10"/>
  <c r="AG48" i="10"/>
  <c r="AF48" i="10"/>
  <c r="AE48" i="10"/>
  <c r="AD48" i="10"/>
  <c r="AC48" i="10"/>
  <c r="AB48" i="10"/>
  <c r="AA48" i="10"/>
  <c r="Z48" i="10"/>
  <c r="Y48" i="10"/>
  <c r="X48" i="10"/>
  <c r="W48" i="10"/>
  <c r="AO47" i="10"/>
  <c r="AN47" i="10"/>
  <c r="AM47" i="10"/>
  <c r="AL47" i="10"/>
  <c r="AK47" i="10"/>
  <c r="AJ47" i="10"/>
  <c r="AI47" i="10"/>
  <c r="AH47" i="10"/>
  <c r="AG47" i="10"/>
  <c r="AF47" i="10"/>
  <c r="AE47" i="10"/>
  <c r="AD47" i="10"/>
  <c r="AC47" i="10"/>
  <c r="AB47" i="10"/>
  <c r="AA47" i="10"/>
  <c r="Z47" i="10"/>
  <c r="Y47" i="10"/>
  <c r="X47" i="10"/>
  <c r="W47" i="10"/>
  <c r="AO46" i="10"/>
  <c r="AN46" i="10"/>
  <c r="AM46" i="10"/>
  <c r="AL46" i="10"/>
  <c r="AK46" i="10"/>
  <c r="AJ46" i="10"/>
  <c r="AI46" i="10"/>
  <c r="AH46" i="10"/>
  <c r="AG46" i="10"/>
  <c r="AF46" i="10"/>
  <c r="AE46" i="10"/>
  <c r="AD46" i="10"/>
  <c r="AC46" i="10"/>
  <c r="AB46" i="10"/>
  <c r="AA46" i="10"/>
  <c r="Z46" i="10"/>
  <c r="Y46" i="10"/>
  <c r="X46" i="10"/>
  <c r="W46" i="10"/>
  <c r="AM45" i="10"/>
  <c r="AJ45" i="10"/>
  <c r="AG45" i="10"/>
  <c r="AD45" i="10"/>
  <c r="AA45" i="10"/>
  <c r="X45" i="10"/>
  <c r="AO44" i="10"/>
  <c r="AL44" i="10"/>
  <c r="AH44" i="10"/>
  <c r="AE44" i="10"/>
  <c r="AB44" i="10"/>
  <c r="Y44" i="10"/>
  <c r="AN43" i="10"/>
  <c r="AJ43" i="10"/>
  <c r="AH43" i="10"/>
  <c r="AD43" i="10"/>
  <c r="AA43" i="10"/>
  <c r="AM42" i="10"/>
  <c r="AJ42" i="10"/>
  <c r="AG42" i="10"/>
  <c r="AD42" i="10"/>
  <c r="AA42" i="10"/>
  <c r="X42" i="10"/>
  <c r="AN41" i="10"/>
  <c r="AK41" i="10"/>
  <c r="AJ34" i="10"/>
  <c r="AI34" i="10"/>
  <c r="AH34" i="10"/>
  <c r="AG34" i="10"/>
  <c r="AF34" i="10"/>
  <c r="AE34" i="10"/>
  <c r="AD34" i="10"/>
  <c r="AC34" i="10"/>
  <c r="AB34" i="10"/>
  <c r="AA34" i="10"/>
  <c r="Z34" i="10"/>
  <c r="Y34" i="10"/>
  <c r="X34" i="10"/>
  <c r="W34" i="10"/>
  <c r="AO33" i="10"/>
  <c r="AN33" i="10"/>
  <c r="AM33" i="10"/>
  <c r="AL33" i="10"/>
  <c r="AK33" i="10"/>
  <c r="AJ33" i="10"/>
  <c r="AI33" i="10"/>
  <c r="AH33" i="10"/>
  <c r="AG33" i="10"/>
  <c r="AF33" i="10"/>
  <c r="AE33" i="10"/>
  <c r="AD33" i="10"/>
  <c r="AC33" i="10"/>
  <c r="AB33" i="10"/>
  <c r="AA33" i="10"/>
  <c r="Z33" i="10"/>
  <c r="Y33" i="10"/>
  <c r="X33" i="10"/>
  <c r="W33" i="10"/>
  <c r="AO32" i="10"/>
  <c r="AN32" i="10"/>
  <c r="AM32" i="10"/>
  <c r="AL32" i="10"/>
  <c r="AK32" i="10"/>
  <c r="AJ32" i="10"/>
  <c r="AI32" i="10"/>
  <c r="AH32" i="10"/>
  <c r="AG32" i="10"/>
  <c r="AF32" i="10"/>
  <c r="AE32" i="10"/>
  <c r="AD32" i="10"/>
  <c r="AC32" i="10"/>
  <c r="AB32" i="10"/>
  <c r="AA32" i="10"/>
  <c r="Z32" i="10"/>
  <c r="Y32" i="10"/>
  <c r="X32" i="10"/>
  <c r="W32" i="10"/>
  <c r="AO31" i="10"/>
  <c r="AN31" i="10"/>
  <c r="AM31" i="10"/>
  <c r="AL31" i="10"/>
  <c r="AK31" i="10"/>
  <c r="AJ31" i="10"/>
  <c r="AI31" i="10"/>
  <c r="AH31" i="10"/>
  <c r="AG31" i="10"/>
  <c r="AF31" i="10"/>
  <c r="AE31" i="10"/>
  <c r="AD31" i="10"/>
  <c r="AC31" i="10"/>
  <c r="AB31" i="10"/>
  <c r="AA31" i="10"/>
  <c r="Z31" i="10"/>
  <c r="Y31" i="10"/>
  <c r="X31" i="10"/>
  <c r="W31" i="10"/>
  <c r="AO30" i="10"/>
  <c r="AN30" i="10"/>
  <c r="AM30" i="10"/>
  <c r="AL30" i="10"/>
  <c r="AK30" i="10"/>
  <c r="AJ30" i="10"/>
  <c r="AI30" i="10"/>
  <c r="AH30" i="10"/>
  <c r="AG30" i="10"/>
  <c r="AF30" i="10"/>
  <c r="AE30" i="10"/>
  <c r="AD30" i="10"/>
  <c r="AC30" i="10"/>
  <c r="AB30" i="10"/>
  <c r="AA30" i="10"/>
  <c r="Z30" i="10"/>
  <c r="Y30" i="10"/>
  <c r="X30" i="10"/>
  <c r="W30" i="10"/>
  <c r="AO29" i="10"/>
  <c r="AN29" i="10"/>
  <c r="AM29" i="10"/>
  <c r="AL29" i="10"/>
  <c r="AK29" i="10"/>
  <c r="AJ29" i="10"/>
  <c r="AI29" i="10"/>
  <c r="AH29" i="10"/>
  <c r="AG29" i="10"/>
  <c r="AF29" i="10"/>
  <c r="AE29" i="10"/>
  <c r="AD29" i="10"/>
  <c r="AC29" i="10"/>
  <c r="AB29" i="10"/>
  <c r="AA29" i="10"/>
  <c r="Z29" i="10"/>
  <c r="Y29" i="10"/>
  <c r="X29" i="10"/>
  <c r="W29" i="10"/>
  <c r="AO28" i="10"/>
  <c r="AN28" i="10"/>
  <c r="AM28" i="10"/>
  <c r="AL28" i="10"/>
  <c r="AK28" i="10"/>
  <c r="AJ28" i="10"/>
  <c r="AI28" i="10"/>
  <c r="AH28" i="10"/>
  <c r="AG28" i="10"/>
  <c r="AF28" i="10"/>
  <c r="AE28" i="10"/>
  <c r="AD28" i="10"/>
  <c r="AC28" i="10"/>
  <c r="AB28" i="10"/>
  <c r="AA28" i="10"/>
  <c r="Z28" i="10"/>
  <c r="Y28" i="10"/>
  <c r="X28" i="10"/>
  <c r="W28" i="10"/>
  <c r="AO27" i="10"/>
  <c r="AN27" i="10"/>
  <c r="AM27" i="10"/>
  <c r="AL27" i="10"/>
  <c r="AK27" i="10"/>
  <c r="AJ27" i="10"/>
  <c r="F19" i="11"/>
  <c r="D19" i="11"/>
  <c r="G19" i="11"/>
  <c r="B19" i="11"/>
  <c r="J19" i="11"/>
  <c r="C19" i="11"/>
  <c r="H19" i="11"/>
  <c r="E19" i="11"/>
  <c r="O18" i="11"/>
  <c r="V18" i="11"/>
  <c r="L18" i="11"/>
  <c r="I18" i="11"/>
  <c r="P18" i="11"/>
  <c r="T18" i="11"/>
  <c r="U18" i="11"/>
  <c r="E18" i="11"/>
  <c r="D18" i="11"/>
  <c r="R18" i="11"/>
  <c r="H18" i="11"/>
  <c r="F18" i="11"/>
  <c r="J18" i="11"/>
  <c r="B18" i="11"/>
  <c r="M18" i="11"/>
  <c r="C18" i="11"/>
  <c r="S18" i="11"/>
  <c r="G18" i="11"/>
  <c r="K18" i="11"/>
  <c r="Q18" i="11"/>
  <c r="S17" i="11"/>
  <c r="C17" i="11"/>
  <c r="I17" i="11"/>
  <c r="V17" i="11"/>
  <c r="T17" i="11"/>
  <c r="B17" i="11"/>
  <c r="U17" i="11"/>
  <c r="N17" i="11"/>
  <c r="J17" i="11"/>
  <c r="D17" i="11"/>
  <c r="K17" i="11"/>
  <c r="R17" i="11"/>
  <c r="O17" i="11"/>
  <c r="G17" i="11"/>
  <c r="Q17" i="11"/>
  <c r="F17" i="11"/>
  <c r="L17" i="11"/>
  <c r="E17" i="11"/>
  <c r="P17" i="11"/>
  <c r="H17" i="11"/>
  <c r="B16" i="11"/>
  <c r="T16" i="11"/>
  <c r="C16" i="11"/>
  <c r="K16" i="11"/>
  <c r="R16" i="11"/>
  <c r="Q16" i="11"/>
  <c r="I16" i="11"/>
  <c r="U16" i="11"/>
  <c r="M16" i="11"/>
  <c r="E16" i="11"/>
  <c r="S16" i="11"/>
  <c r="J16" i="11"/>
  <c r="P16" i="11"/>
  <c r="H16" i="11"/>
  <c r="D16" i="11"/>
  <c r="N16" i="11"/>
  <c r="F16" i="11"/>
  <c r="V16" i="11"/>
  <c r="O16" i="11"/>
  <c r="G16" i="11"/>
  <c r="O15" i="11"/>
  <c r="V15" i="11"/>
  <c r="C15" i="11"/>
  <c r="P15" i="11"/>
  <c r="H15" i="11"/>
  <c r="S15" i="11"/>
  <c r="L15" i="11"/>
  <c r="T15" i="11"/>
  <c r="M15" i="11"/>
  <c r="I15" i="11"/>
  <c r="E15" i="11"/>
  <c r="D15" i="11"/>
  <c r="B15" i="11"/>
  <c r="J15" i="11"/>
  <c r="Q15" i="11"/>
  <c r="R15" i="11"/>
  <c r="G15" i="11"/>
  <c r="U15" i="11"/>
  <c r="N15" i="11"/>
  <c r="F15" i="11"/>
  <c r="I14" i="11"/>
  <c r="B14" i="11"/>
  <c r="D14" i="11"/>
  <c r="S14" i="11"/>
  <c r="L14" i="11"/>
  <c r="E14" i="11"/>
  <c r="C14" i="11"/>
  <c r="H14" i="11"/>
  <c r="P14" i="11"/>
  <c r="M14" i="11"/>
  <c r="U14" i="11"/>
  <c r="G14" i="11"/>
  <c r="V14" i="11"/>
  <c r="O14" i="11"/>
  <c r="Q14" i="11"/>
  <c r="K14" i="11"/>
  <c r="R14" i="11"/>
  <c r="T14" i="11"/>
  <c r="N14" i="11"/>
  <c r="F14" i="11"/>
  <c r="E13" i="11"/>
  <c r="G13" i="11"/>
  <c r="O13" i="11"/>
  <c r="B13" i="11"/>
  <c r="V13" i="11"/>
  <c r="H13" i="11"/>
  <c r="P13" i="11"/>
  <c r="J13" i="11"/>
  <c r="Q13" i="11"/>
  <c r="U13" i="11"/>
  <c r="N13" i="11"/>
  <c r="F13" i="11"/>
  <c r="R13" i="11"/>
  <c r="K13" i="11"/>
  <c r="C13" i="11"/>
  <c r="S13" i="11"/>
  <c r="L13" i="11"/>
  <c r="D13" i="11"/>
  <c r="T13" i="11"/>
  <c r="M13" i="11"/>
  <c r="R12" i="11"/>
  <c r="T12" i="11"/>
  <c r="N12" i="11"/>
  <c r="U12" i="11"/>
  <c r="M12" i="11"/>
  <c r="O12" i="11"/>
  <c r="V12" i="11"/>
  <c r="P12" i="11"/>
  <c r="Q12" i="11"/>
  <c r="S12" i="11"/>
  <c r="AH97" i="10"/>
  <c r="AG97" i="10"/>
  <c r="AF97" i="10"/>
  <c r="AE97" i="10"/>
  <c r="AD97" i="10"/>
  <c r="AC97" i="10"/>
  <c r="AB97" i="10"/>
  <c r="AO72" i="10"/>
  <c r="AN72" i="10"/>
  <c r="AM72" i="10"/>
  <c r="AL72" i="10"/>
  <c r="AK72" i="10"/>
  <c r="AJ72" i="10"/>
  <c r="AI72" i="10"/>
  <c r="AH72" i="10"/>
  <c r="AG72" i="10"/>
  <c r="AF72" i="10"/>
  <c r="AE72" i="10"/>
  <c r="AD72" i="10"/>
  <c r="AC72" i="10"/>
  <c r="AB72" i="10"/>
  <c r="AA72" i="10"/>
  <c r="Z72" i="10"/>
  <c r="Y72" i="10"/>
  <c r="X72" i="10"/>
  <c r="W72" i="10"/>
  <c r="AO71" i="10"/>
  <c r="AN71" i="10"/>
  <c r="AM71" i="10"/>
  <c r="AL71" i="10"/>
  <c r="AK71" i="10"/>
  <c r="AJ71" i="10"/>
  <c r="AI71" i="10"/>
  <c r="AH71" i="10"/>
  <c r="AG71" i="10"/>
  <c r="AF71" i="10"/>
  <c r="AE71" i="10"/>
  <c r="AD71" i="10"/>
  <c r="AC71" i="10"/>
  <c r="AB98" i="10"/>
  <c r="AB71" i="10"/>
  <c r="AA71" i="10"/>
  <c r="Z71" i="10"/>
  <c r="Y71" i="10"/>
  <c r="X71" i="10"/>
  <c r="W71" i="10"/>
  <c r="AO70" i="10"/>
  <c r="AN70" i="10"/>
  <c r="AM70" i="10"/>
  <c r="AL70" i="10"/>
  <c r="AK70" i="10"/>
  <c r="AJ70" i="10"/>
  <c r="AI70" i="10"/>
  <c r="AH70" i="10"/>
  <c r="AG70" i="10"/>
  <c r="AF70" i="10"/>
  <c r="AE70" i="10"/>
  <c r="AD70" i="10"/>
  <c r="AC70" i="10"/>
  <c r="AB70" i="10"/>
  <c r="AA70" i="10"/>
  <c r="Z70" i="10"/>
  <c r="Y70" i="10"/>
  <c r="X70" i="10"/>
  <c r="W70" i="10"/>
  <c r="AO69" i="10"/>
  <c r="AN69" i="10"/>
  <c r="AM69" i="10"/>
  <c r="AL69" i="10"/>
  <c r="AE135" i="10"/>
  <c r="AD135" i="10"/>
  <c r="AC135" i="10"/>
  <c r="AB135" i="10"/>
  <c r="AA135" i="10"/>
  <c r="Z135" i="10"/>
  <c r="Y135" i="10"/>
  <c r="X135" i="10"/>
  <c r="W135" i="10"/>
  <c r="AO134" i="10"/>
  <c r="AN134" i="10"/>
  <c r="AM134" i="10"/>
  <c r="AL134" i="10"/>
  <c r="AK134" i="10"/>
  <c r="AJ134" i="10"/>
  <c r="AI134" i="10"/>
  <c r="AH134" i="10"/>
  <c r="AG134" i="10"/>
  <c r="AF134" i="10"/>
  <c r="AE134" i="10"/>
  <c r="AD134" i="10"/>
  <c r="AC134" i="10"/>
  <c r="AB134" i="10"/>
  <c r="AA134" i="10"/>
  <c r="Z134" i="10"/>
  <c r="Y134" i="10"/>
  <c r="X134" i="10"/>
  <c r="W134" i="10"/>
  <c r="AO133" i="10"/>
  <c r="AN133" i="10"/>
  <c r="AM133" i="10"/>
  <c r="AL133" i="10"/>
  <c r="AK133" i="10"/>
  <c r="AJ133" i="10"/>
  <c r="AI133" i="10"/>
  <c r="AH133" i="10"/>
  <c r="AG133" i="10"/>
  <c r="AF133" i="10"/>
  <c r="AE133" i="10"/>
  <c r="AD133" i="10"/>
  <c r="AC133" i="10"/>
  <c r="AB133" i="10"/>
  <c r="AA133" i="10"/>
  <c r="Z133" i="10"/>
  <c r="Y133" i="10"/>
  <c r="X133" i="10"/>
  <c r="W133" i="10"/>
  <c r="AO132" i="10"/>
  <c r="AN132" i="10"/>
  <c r="AM132" i="10"/>
  <c r="AL132" i="10"/>
  <c r="AK132" i="10"/>
  <c r="AJ132" i="10"/>
  <c r="AI132" i="10"/>
  <c r="AH132" i="10"/>
  <c r="AG132" i="10"/>
  <c r="AF132" i="10"/>
  <c r="AE132" i="10"/>
  <c r="AD132" i="10"/>
  <c r="AC132" i="10"/>
  <c r="AB132" i="10"/>
  <c r="AA132" i="10"/>
  <c r="Z132" i="10"/>
  <c r="Y132" i="10"/>
  <c r="X132" i="10"/>
  <c r="W132" i="10"/>
  <c r="AO131" i="10"/>
  <c r="AN131" i="10"/>
  <c r="AM131" i="10"/>
  <c r="AL131" i="10"/>
  <c r="AK131" i="10"/>
  <c r="AJ131" i="10"/>
  <c r="AI131" i="10"/>
  <c r="AH131" i="10"/>
  <c r="AG131" i="10"/>
  <c r="AF131" i="10"/>
  <c r="AE131" i="10"/>
  <c r="AD131" i="10"/>
  <c r="AC131" i="10"/>
  <c r="AB131" i="10"/>
  <c r="AA131" i="10"/>
  <c r="Z131" i="10"/>
  <c r="Y131" i="10"/>
  <c r="X131" i="10"/>
  <c r="W131" i="10"/>
  <c r="AO130" i="10"/>
  <c r="AN130" i="10"/>
  <c r="AM130" i="10"/>
  <c r="AL130" i="10"/>
  <c r="AK130" i="10"/>
  <c r="AJ130" i="10"/>
  <c r="AI130" i="10"/>
  <c r="AH130" i="10"/>
  <c r="AG130" i="10"/>
  <c r="AF130" i="10"/>
  <c r="AE130" i="10"/>
  <c r="AD130" i="10"/>
  <c r="AC130" i="10"/>
  <c r="AB130" i="10"/>
  <c r="AA130" i="10"/>
  <c r="Z130" i="10"/>
  <c r="Y130" i="10"/>
  <c r="X130" i="10"/>
  <c r="W130" i="10"/>
  <c r="AO129" i="10"/>
  <c r="AN129" i="10"/>
  <c r="AM129" i="10"/>
  <c r="AL129" i="10"/>
  <c r="AK129" i="10"/>
  <c r="AJ129" i="10"/>
  <c r="AI129" i="10"/>
  <c r="AH129" i="10"/>
  <c r="AG129" i="10"/>
  <c r="AF129" i="10"/>
  <c r="AE129" i="10"/>
  <c r="AD129" i="10"/>
  <c r="AC129" i="10"/>
  <c r="AB129" i="10"/>
  <c r="AA129" i="10"/>
  <c r="Z129" i="10"/>
  <c r="Y129" i="10"/>
  <c r="X129" i="10"/>
  <c r="W129" i="10"/>
  <c r="AO128" i="10"/>
  <c r="AN128" i="10"/>
  <c r="AM128" i="10"/>
  <c r="AL128" i="10"/>
  <c r="AK128" i="10"/>
  <c r="AJ128" i="10"/>
  <c r="AI128" i="10"/>
  <c r="AH128" i="10"/>
  <c r="AE41" i="10"/>
  <c r="AD41" i="10"/>
  <c r="AC41" i="10"/>
  <c r="AB41" i="10"/>
  <c r="AA41" i="10"/>
  <c r="Z41" i="10"/>
  <c r="Y41" i="10"/>
  <c r="X41" i="10"/>
  <c r="W41" i="10"/>
  <c r="AO40" i="10"/>
  <c r="AN40" i="10"/>
  <c r="AM40" i="10"/>
  <c r="AL40" i="10"/>
  <c r="AK40" i="10"/>
  <c r="AJ40" i="10"/>
  <c r="AI40" i="10"/>
  <c r="AK69" i="10"/>
  <c r="AG40" i="10"/>
  <c r="AF40" i="10"/>
  <c r="AE40" i="10"/>
  <c r="AD40" i="10"/>
  <c r="AC40" i="10"/>
  <c r="AB40" i="10"/>
  <c r="AA40" i="10"/>
  <c r="Z40" i="10"/>
  <c r="Y40" i="10"/>
  <c r="X40" i="10"/>
  <c r="W40" i="10"/>
  <c r="AO39" i="10"/>
  <c r="AN39" i="10"/>
  <c r="AM39" i="10"/>
  <c r="AL39" i="10"/>
  <c r="AK39" i="10"/>
  <c r="AJ39" i="10"/>
  <c r="AI39" i="10"/>
  <c r="AH39" i="10"/>
  <c r="AG39" i="10"/>
  <c r="AF39" i="10"/>
  <c r="AE39" i="10"/>
  <c r="AD39" i="10"/>
  <c r="AC39" i="10"/>
  <c r="AB39" i="10"/>
  <c r="AA39" i="10"/>
  <c r="Z39" i="10"/>
  <c r="Y39" i="10"/>
  <c r="X39" i="10"/>
  <c r="W39" i="10"/>
  <c r="AO38" i="10"/>
  <c r="AN38" i="10"/>
  <c r="AM38" i="10"/>
  <c r="AL38" i="10"/>
  <c r="AK38" i="10"/>
  <c r="AJ38" i="10"/>
  <c r="AI38" i="10"/>
  <c r="AH38" i="10"/>
  <c r="AG38" i="10"/>
  <c r="AF38" i="10"/>
  <c r="AE38" i="10"/>
  <c r="AD38" i="10"/>
  <c r="AC38" i="10"/>
  <c r="AB38" i="10"/>
  <c r="AA38" i="10"/>
  <c r="Z38" i="10"/>
  <c r="Y38" i="10"/>
  <c r="X38" i="10"/>
  <c r="W38" i="10"/>
  <c r="AO37" i="10"/>
  <c r="AN37" i="10"/>
  <c r="AM37" i="10"/>
  <c r="AL37" i="10"/>
  <c r="AK37" i="10"/>
  <c r="AJ37" i="10"/>
  <c r="AI37" i="10"/>
  <c r="AH37" i="10"/>
  <c r="AG37" i="10"/>
  <c r="AF37" i="10"/>
  <c r="AE37" i="10"/>
  <c r="AD37" i="10"/>
  <c r="AC37" i="10"/>
  <c r="AB37" i="10"/>
  <c r="AA37" i="10"/>
  <c r="Z37" i="10"/>
  <c r="Y37" i="10"/>
  <c r="X37" i="10"/>
  <c r="W37" i="10"/>
  <c r="AO36" i="10"/>
  <c r="AN36" i="10"/>
  <c r="AM36" i="10"/>
  <c r="AL36" i="10"/>
  <c r="AK36" i="10"/>
  <c r="AJ36" i="10"/>
  <c r="AI36" i="10"/>
  <c r="AH36" i="10"/>
  <c r="AG36" i="10"/>
  <c r="AF36" i="10"/>
  <c r="AE36" i="10"/>
  <c r="AD36" i="10"/>
  <c r="AC36" i="10"/>
  <c r="AB36" i="10"/>
  <c r="AA36" i="10"/>
  <c r="Z36" i="10"/>
  <c r="Y36" i="10"/>
  <c r="X36" i="10"/>
  <c r="W36" i="10"/>
  <c r="AO35" i="10"/>
  <c r="AN35" i="10"/>
  <c r="AM35" i="10"/>
  <c r="AL35" i="10"/>
  <c r="AK35" i="10"/>
  <c r="AJ35" i="10"/>
  <c r="AI35" i="10"/>
  <c r="AH35" i="10"/>
  <c r="AG35" i="10"/>
  <c r="AF35" i="10"/>
  <c r="AE35" i="10"/>
  <c r="AD35" i="10"/>
  <c r="AC35" i="10"/>
  <c r="AB35" i="10"/>
  <c r="AA35" i="10"/>
  <c r="Z35" i="10"/>
  <c r="Y35" i="10"/>
  <c r="X35" i="10"/>
  <c r="W35" i="10"/>
  <c r="AO34" i="10"/>
  <c r="AN34" i="10"/>
  <c r="AM34" i="10"/>
  <c r="AL34" i="10"/>
  <c r="AK34" i="10"/>
  <c r="AH40" i="10"/>
  <c r="AD68" i="10"/>
  <c r="AE68" i="10"/>
  <c r="AK68" i="10"/>
  <c r="AJ68" i="10"/>
  <c r="AI68" i="10"/>
  <c r="AJ41" i="10"/>
  <c r="AH68" i="10"/>
  <c r="AG68" i="10"/>
  <c r="AF68" i="10"/>
  <c r="AH100" i="10"/>
  <c r="AG100" i="10"/>
  <c r="AF100" i="10"/>
  <c r="AE100" i="10"/>
  <c r="AD100" i="10"/>
  <c r="AC100" i="10"/>
  <c r="AB100" i="10"/>
  <c r="AA100" i="10"/>
  <c r="Z100" i="10"/>
  <c r="Y100" i="10"/>
  <c r="X100" i="10"/>
  <c r="W100" i="10"/>
  <c r="AO99" i="10"/>
  <c r="AN99" i="10"/>
  <c r="AM99" i="10"/>
  <c r="AL99" i="10"/>
  <c r="AK99" i="10"/>
  <c r="X10" i="10"/>
  <c r="W10" i="10"/>
  <c r="AO9" i="10"/>
  <c r="AN9" i="10"/>
  <c r="AM9" i="10"/>
  <c r="AL9" i="10"/>
  <c r="AK9" i="10"/>
  <c r="AJ9" i="10"/>
  <c r="AI9" i="10"/>
  <c r="AH9" i="10"/>
  <c r="AG9" i="10"/>
  <c r="AF9" i="10"/>
  <c r="AE9" i="10"/>
  <c r="AD9" i="10"/>
  <c r="AC9" i="10"/>
  <c r="AB9" i="10"/>
  <c r="AA9" i="10"/>
  <c r="Z9" i="10"/>
  <c r="Y9" i="10"/>
  <c r="X9" i="10"/>
  <c r="W9" i="10"/>
  <c r="AO8" i="10"/>
  <c r="AN8" i="10"/>
  <c r="AM8" i="10"/>
  <c r="AL8" i="10"/>
  <c r="AK8" i="10"/>
  <c r="AJ8" i="10"/>
  <c r="AI8" i="10"/>
  <c r="AH8" i="10"/>
  <c r="AG8" i="10"/>
  <c r="AF8" i="10"/>
  <c r="AE8" i="10"/>
  <c r="AD8" i="10"/>
  <c r="AC8" i="10"/>
  <c r="AB8" i="10"/>
  <c r="AA8" i="10"/>
  <c r="Z8" i="10"/>
  <c r="Y8" i="10"/>
  <c r="X8" i="10"/>
  <c r="W8" i="10"/>
  <c r="AO7" i="10"/>
  <c r="AN7" i="10"/>
  <c r="AM7" i="10"/>
  <c r="AL7" i="10"/>
  <c r="AK7" i="10"/>
  <c r="AJ7" i="10"/>
  <c r="AI7" i="10"/>
  <c r="AH7" i="10"/>
  <c r="AG7" i="10"/>
  <c r="AF7" i="10"/>
  <c r="AE7" i="10"/>
  <c r="AD7" i="10"/>
  <c r="AC7" i="10"/>
  <c r="AB7" i="10"/>
  <c r="AA7" i="10"/>
  <c r="Z7" i="10"/>
  <c r="Y7" i="10"/>
  <c r="X7" i="10"/>
  <c r="W7" i="10"/>
  <c r="AO6" i="10"/>
  <c r="AN6" i="10"/>
  <c r="AM6" i="10"/>
  <c r="AL6" i="10"/>
  <c r="AK6" i="10"/>
  <c r="AJ6" i="10"/>
  <c r="AI6" i="10"/>
  <c r="AH6" i="10"/>
  <c r="AG6" i="10"/>
  <c r="AF6" i="10"/>
  <c r="AE6" i="10"/>
  <c r="AD6" i="10"/>
  <c r="AC6" i="10"/>
  <c r="AB6" i="10"/>
  <c r="AA6" i="10"/>
  <c r="Z6" i="10"/>
  <c r="Y6" i="10"/>
  <c r="X6" i="10"/>
  <c r="W6" i="10"/>
  <c r="AO5" i="10"/>
  <c r="AN5" i="10"/>
  <c r="AM5" i="10"/>
  <c r="AL5" i="10"/>
  <c r="AK5" i="10"/>
  <c r="AJ5" i="10"/>
  <c r="AI5" i="10"/>
  <c r="AH5" i="10"/>
  <c r="AG5" i="10"/>
  <c r="AF5" i="10"/>
  <c r="AE5" i="10"/>
  <c r="AD5" i="10"/>
  <c r="AC5" i="10"/>
  <c r="AB5" i="10"/>
  <c r="AA5" i="10"/>
  <c r="Z5" i="10"/>
  <c r="Y5" i="10"/>
  <c r="X5" i="10"/>
  <c r="W5" i="10"/>
  <c r="AO4" i="10"/>
  <c r="AN4" i="10"/>
  <c r="AM4" i="10"/>
  <c r="AL4" i="10"/>
  <c r="AK4" i="10"/>
  <c r="AJ4" i="10"/>
  <c r="AI4" i="10"/>
  <c r="AH4" i="10"/>
  <c r="AG4" i="10"/>
  <c r="AF4" i="10"/>
  <c r="AE4" i="10"/>
  <c r="AD4" i="10"/>
  <c r="AC4" i="10"/>
  <c r="AB4" i="10"/>
  <c r="AA4" i="10"/>
  <c r="AJ99" i="10"/>
  <c r="Y4" i="10"/>
  <c r="X4" i="10"/>
  <c r="W4" i="10"/>
  <c r="AO3" i="10"/>
  <c r="AN3" i="10"/>
  <c r="AM3" i="10"/>
  <c r="AL3" i="10"/>
  <c r="AK3" i="10"/>
  <c r="AJ3" i="10"/>
  <c r="AI3" i="10"/>
  <c r="AH3" i="10"/>
  <c r="AG3" i="10"/>
  <c r="AF3" i="10"/>
  <c r="AE3" i="10"/>
  <c r="AD3" i="10"/>
  <c r="AC3" i="10"/>
  <c r="AB3" i="10"/>
  <c r="AA3" i="10"/>
  <c r="AI41" i="10"/>
  <c r="AH41" i="10"/>
  <c r="AG41" i="10"/>
  <c r="AF41" i="10"/>
  <c r="W66" i="10"/>
  <c r="AJ69" i="10"/>
  <c r="X66" i="10"/>
  <c r="Y66" i="10"/>
  <c r="AI69" i="10"/>
  <c r="Z66" i="10"/>
  <c r="AH69" i="10"/>
  <c r="AA66" i="10"/>
  <c r="AG69" i="10"/>
  <c r="AB66" i="10"/>
  <c r="AF69" i="10"/>
  <c r="AC66" i="10"/>
  <c r="AE69" i="10"/>
  <c r="AD66" i="10"/>
  <c r="AD69" i="10"/>
  <c r="AE66" i="10"/>
  <c r="AC69" i="10"/>
  <c r="AF66" i="10"/>
  <c r="AB69" i="10"/>
  <c r="AG66" i="10"/>
  <c r="AA69" i="10"/>
  <c r="AH66" i="10"/>
  <c r="Z69" i="10"/>
  <c r="AI66" i="10"/>
  <c r="Y69" i="10"/>
  <c r="AJ66" i="10"/>
  <c r="X69" i="10"/>
  <c r="AK66" i="10"/>
  <c r="W69" i="10"/>
  <c r="AL66" i="10"/>
  <c r="AO68" i="10"/>
  <c r="AM66" i="10"/>
  <c r="AN68" i="10"/>
  <c r="AN66" i="10"/>
  <c r="AM68" i="10"/>
  <c r="AO66" i="10"/>
  <c r="AL68" i="10"/>
  <c r="W67" i="10"/>
  <c r="X67" i="10"/>
  <c r="Y67" i="10"/>
  <c r="Z67" i="10"/>
  <c r="AA67" i="10"/>
  <c r="AB67" i="10"/>
  <c r="AC67" i="10"/>
  <c r="AD67" i="10"/>
  <c r="AE67" i="10"/>
  <c r="AF67" i="10"/>
  <c r="AG67" i="10"/>
  <c r="AH67" i="10"/>
  <c r="AI67" i="10"/>
  <c r="AJ67" i="10"/>
  <c r="AK67" i="10"/>
  <c r="AL67" i="10"/>
  <c r="AM67" i="10"/>
  <c r="AN67" i="10"/>
  <c r="AO67" i="10"/>
  <c r="W68" i="10"/>
  <c r="X68" i="10"/>
  <c r="Y68" i="10"/>
  <c r="Z68" i="10"/>
  <c r="AA68" i="10"/>
  <c r="AB68" i="10"/>
  <c r="AC68" i="10"/>
  <c r="AI100" i="10"/>
  <c r="AJ100" i="10"/>
  <c r="AK100" i="10"/>
  <c r="AL100" i="10"/>
  <c r="AM100" i="10"/>
  <c r="AN100" i="10"/>
  <c r="AO100" i="10"/>
  <c r="W101" i="10"/>
  <c r="X101" i="10"/>
  <c r="Y101" i="10"/>
  <c r="Z101" i="10"/>
  <c r="AA101" i="10"/>
  <c r="AB101" i="10"/>
  <c r="AC101" i="10"/>
  <c r="AD101" i="10"/>
  <c r="AE101" i="10"/>
  <c r="Z4" i="10"/>
  <c r="AG101" i="10"/>
  <c r="AH101" i="10"/>
  <c r="AI101" i="10"/>
  <c r="AJ101" i="10"/>
  <c r="AK101" i="10"/>
  <c r="AL101" i="10"/>
  <c r="AM101" i="10"/>
  <c r="AN101" i="10"/>
  <c r="AO101" i="10"/>
  <c r="W102" i="10"/>
  <c r="X102" i="10"/>
  <c r="Y102" i="10"/>
  <c r="Z102" i="10"/>
  <c r="AA102" i="10"/>
  <c r="AB102" i="10"/>
  <c r="AC102" i="10"/>
  <c r="AD102" i="10"/>
  <c r="AE102" i="10"/>
  <c r="AF102" i="10"/>
  <c r="AG102" i="10"/>
  <c r="AH102" i="10"/>
  <c r="AI102" i="10"/>
  <c r="AJ102" i="10"/>
  <c r="AK102" i="10"/>
  <c r="AL102" i="10"/>
  <c r="AM102" i="10"/>
  <c r="AN102" i="10"/>
  <c r="AO102" i="10"/>
  <c r="W103" i="10"/>
  <c r="X103" i="10"/>
  <c r="Y103" i="10"/>
  <c r="Z103" i="10"/>
  <c r="AA103" i="10"/>
  <c r="AB103" i="10"/>
  <c r="AC103" i="10"/>
  <c r="AD103" i="10"/>
  <c r="AE103" i="10"/>
  <c r="AF103" i="10"/>
  <c r="AG103" i="10"/>
  <c r="AH103" i="10"/>
  <c r="AI103" i="10"/>
  <c r="AJ103" i="10"/>
  <c r="AK103" i="10"/>
  <c r="AL103" i="10"/>
  <c r="AM103" i="10"/>
  <c r="AN103" i="10"/>
  <c r="AO103" i="10"/>
  <c r="AI99" i="10"/>
  <c r="AH99" i="10"/>
  <c r="AG99" i="10"/>
  <c r="AF99" i="10"/>
  <c r="AE99" i="10"/>
  <c r="AD99" i="10"/>
  <c r="AC99" i="10"/>
  <c r="AB99" i="10"/>
  <c r="AA99" i="10"/>
  <c r="Z99" i="10"/>
  <c r="Y99" i="10"/>
  <c r="X99" i="10"/>
  <c r="W99" i="10"/>
  <c r="AO98" i="10"/>
  <c r="AN98" i="10"/>
  <c r="AM98" i="10"/>
  <c r="AL98" i="10"/>
  <c r="AK98" i="10"/>
  <c r="AJ98" i="10"/>
  <c r="W128" i="10"/>
  <c r="X128" i="10"/>
  <c r="Y128" i="10"/>
  <c r="Z128" i="10"/>
  <c r="AA128" i="10"/>
  <c r="AB128" i="10"/>
  <c r="AC128" i="10"/>
  <c r="AD128" i="10"/>
  <c r="AE128" i="10"/>
  <c r="AF128" i="10"/>
  <c r="AG128" i="10"/>
  <c r="AI98" i="10"/>
  <c r="AH98" i="10"/>
  <c r="AG98" i="10"/>
  <c r="AF98" i="10"/>
  <c r="AE98" i="10"/>
  <c r="AD98" i="10"/>
  <c r="AC98" i="10"/>
  <c r="AA98" i="10"/>
  <c r="Z98" i="10"/>
  <c r="Y98" i="10"/>
  <c r="X98" i="10"/>
  <c r="W98" i="10"/>
  <c r="AO97" i="10"/>
  <c r="AN97" i="10"/>
  <c r="AM97" i="10"/>
  <c r="AL97" i="10"/>
  <c r="AK97" i="10"/>
  <c r="AJ97" i="10"/>
  <c r="AI97" i="10"/>
  <c r="AF101" i="10"/>
  <c r="E20" i="11"/>
  <c r="D20" i="11"/>
  <c r="F20" i="11"/>
  <c r="C20" i="11"/>
  <c r="B20" i="11"/>
  <c r="M19" i="11"/>
  <c r="I19" i="11"/>
  <c r="N19" i="11"/>
  <c r="Q19" i="11"/>
  <c r="S19" i="11"/>
  <c r="V19" i="11"/>
  <c r="L19" i="11"/>
  <c r="U19" i="11"/>
  <c r="P19" i="11"/>
  <c r="K19" i="11"/>
  <c r="T19" i="11"/>
  <c r="R19" i="11"/>
  <c r="J26" i="11"/>
  <c r="H26" i="11"/>
  <c r="F26" i="11"/>
  <c r="D26" i="11"/>
  <c r="T26" i="11"/>
  <c r="U26" i="11"/>
  <c r="S26" i="11"/>
  <c r="P26" i="11"/>
  <c r="N26" i="11"/>
  <c r="K26" i="11"/>
  <c r="I26" i="11"/>
  <c r="G26" i="11"/>
  <c r="E26" i="11"/>
  <c r="C26" i="11"/>
  <c r="Q26" i="11"/>
  <c r="B26" i="11"/>
  <c r="R26" i="11"/>
  <c r="O26" i="11"/>
  <c r="M26" i="11"/>
  <c r="L26" i="11"/>
  <c r="S25" i="11"/>
  <c r="B25" i="11"/>
  <c r="K25" i="11"/>
  <c r="J25" i="11"/>
  <c r="L25" i="11"/>
  <c r="N25" i="11"/>
  <c r="P25" i="11"/>
  <c r="G25" i="11"/>
  <c r="V25" i="11"/>
  <c r="R25" i="11"/>
  <c r="I25" i="11"/>
  <c r="E25" i="11"/>
  <c r="F25" i="11"/>
  <c r="C25" i="11"/>
  <c r="M25" i="11"/>
  <c r="O25" i="11"/>
  <c r="D25" i="11"/>
  <c r="T25" i="11"/>
  <c r="Q25" i="11"/>
  <c r="H25" i="11"/>
  <c r="V24" i="11"/>
  <c r="Q24" i="11"/>
  <c r="U24" i="11"/>
  <c r="J24" i="11"/>
  <c r="N24" i="11"/>
  <c r="K24" i="11"/>
  <c r="H24" i="11"/>
  <c r="E24" i="11"/>
  <c r="B24" i="11"/>
  <c r="D24" i="11"/>
  <c r="G24" i="11"/>
  <c r="R24" i="11"/>
  <c r="L24" i="11"/>
  <c r="C24" i="11"/>
  <c r="I24" i="11"/>
  <c r="O24" i="11"/>
  <c r="F24" i="11"/>
  <c r="S24" i="11"/>
  <c r="P24" i="11"/>
  <c r="M24" i="11"/>
  <c r="L23" i="11"/>
  <c r="T23" i="11"/>
  <c r="J23" i="11"/>
  <c r="M23" i="11"/>
  <c r="C23" i="11"/>
  <c r="G23" i="11"/>
  <c r="D23" i="11"/>
  <c r="F23" i="11"/>
  <c r="H23" i="11"/>
  <c r="K23" i="11"/>
  <c r="N23" i="11"/>
  <c r="R23" i="11"/>
  <c r="P23" i="11"/>
  <c r="V23" i="11"/>
  <c r="U23" i="11"/>
  <c r="Q23" i="11"/>
  <c r="O23" i="11"/>
  <c r="I23" i="11"/>
  <c r="E23" i="11"/>
  <c r="B23" i="11"/>
  <c r="T22" i="11"/>
  <c r="Q22" i="11"/>
  <c r="N22" i="11"/>
  <c r="K22" i="11"/>
  <c r="B22" i="11"/>
  <c r="H22" i="11"/>
  <c r="V22" i="11"/>
  <c r="S22" i="11"/>
  <c r="O22" i="11"/>
  <c r="L22" i="11"/>
  <c r="E22" i="11"/>
  <c r="I22" i="11"/>
  <c r="F22" i="11"/>
  <c r="C22" i="11"/>
  <c r="U22" i="11"/>
  <c r="P22" i="11"/>
  <c r="M22" i="11"/>
  <c r="J22" i="11"/>
  <c r="G22" i="11"/>
  <c r="D22" i="11"/>
  <c r="K21" i="11"/>
  <c r="I21" i="11"/>
  <c r="F21" i="11"/>
  <c r="C21" i="11"/>
  <c r="D21" i="11"/>
  <c r="U21" i="11"/>
  <c r="S21" i="11"/>
  <c r="P21" i="11"/>
  <c r="V21" i="11"/>
  <c r="T21" i="11"/>
  <c r="O21" i="11"/>
  <c r="L21" i="11"/>
  <c r="H21" i="11"/>
  <c r="E21" i="11"/>
  <c r="B21" i="11"/>
  <c r="R21" i="11"/>
  <c r="N21" i="11"/>
  <c r="M21" i="11"/>
  <c r="J21" i="11"/>
  <c r="G21" i="11"/>
  <c r="U20" i="11"/>
  <c r="Q20" i="11"/>
  <c r="M20" i="11"/>
  <c r="J20" i="11"/>
  <c r="K20" i="11"/>
  <c r="N20" i="11"/>
  <c r="R20" i="11"/>
  <c r="T20" i="11"/>
  <c r="S20" i="11"/>
  <c r="O20" i="11"/>
  <c r="L20" i="11"/>
  <c r="I20" i="11"/>
  <c r="V20" i="11"/>
  <c r="G20" i="11"/>
  <c r="C11" i="11"/>
  <c r="B11" i="11"/>
  <c r="F11" i="11"/>
  <c r="E11" i="11"/>
  <c r="D11" i="11"/>
  <c r="V10" i="11"/>
  <c r="K10" i="11"/>
  <c r="B10" i="11"/>
  <c r="C10" i="11"/>
  <c r="D10" i="11"/>
  <c r="E10" i="11"/>
  <c r="G10" i="11"/>
  <c r="H10" i="11"/>
  <c r="I10" i="11"/>
  <c r="J10" i="11"/>
  <c r="L10" i="11"/>
  <c r="M10" i="11"/>
  <c r="N10" i="11"/>
  <c r="O10" i="11"/>
  <c r="P10" i="11"/>
  <c r="Q10" i="11"/>
  <c r="R10" i="11"/>
  <c r="S10" i="11"/>
  <c r="T10" i="11"/>
  <c r="U10" i="11"/>
  <c r="K9" i="11"/>
  <c r="Q9" i="11"/>
  <c r="S9" i="11"/>
  <c r="T9" i="11"/>
  <c r="U9" i="11"/>
  <c r="D9" i="11"/>
  <c r="F9" i="11"/>
  <c r="G9" i="11"/>
  <c r="H9" i="11"/>
  <c r="I9" i="11"/>
  <c r="J9" i="11"/>
  <c r="O9" i="11"/>
  <c r="L9" i="11"/>
  <c r="M9" i="11"/>
  <c r="N9" i="11"/>
  <c r="V9" i="11"/>
  <c r="P9" i="11"/>
  <c r="R9" i="11"/>
  <c r="C9" i="11"/>
  <c r="B9" i="11"/>
  <c r="O8" i="11"/>
  <c r="N8" i="11"/>
  <c r="M8" i="11"/>
  <c r="L8" i="11"/>
  <c r="K8" i="11"/>
  <c r="J8" i="11"/>
  <c r="I8" i="11"/>
  <c r="H8" i="11"/>
  <c r="G8" i="11"/>
  <c r="F8" i="11"/>
  <c r="E8" i="11"/>
  <c r="C8" i="11"/>
  <c r="B8" i="11"/>
  <c r="R8" i="11"/>
  <c r="T8" i="11"/>
  <c r="S8" i="11"/>
  <c r="Q8" i="11"/>
  <c r="P8" i="11"/>
  <c r="V8" i="11"/>
  <c r="U8" i="11"/>
  <c r="O7" i="11"/>
  <c r="N7" i="11"/>
  <c r="M7" i="11"/>
  <c r="K7" i="11"/>
  <c r="J7" i="11"/>
  <c r="I7" i="11"/>
  <c r="V7" i="11"/>
  <c r="H7" i="11"/>
  <c r="G7" i="11"/>
  <c r="F7" i="11"/>
  <c r="E7" i="11"/>
  <c r="D7" i="11"/>
  <c r="U7" i="11"/>
  <c r="T7" i="11"/>
  <c r="L7" i="11"/>
  <c r="S7" i="11"/>
  <c r="R7" i="11"/>
  <c r="Q7" i="11"/>
  <c r="P7" i="11"/>
  <c r="B7" i="11"/>
  <c r="O6" i="11"/>
  <c r="N6" i="11"/>
  <c r="M6" i="11"/>
  <c r="L6" i="11"/>
  <c r="K6" i="11"/>
  <c r="J6" i="11"/>
  <c r="I6" i="11"/>
  <c r="H6" i="11"/>
  <c r="G6" i="11"/>
  <c r="E6" i="11"/>
  <c r="D6" i="11"/>
  <c r="C6" i="11"/>
  <c r="V6" i="11"/>
  <c r="S6" i="11"/>
  <c r="U6" i="11"/>
  <c r="T6" i="11"/>
  <c r="R6" i="11"/>
  <c r="Q6" i="11"/>
  <c r="P6" i="11"/>
  <c r="F6" i="11"/>
  <c r="K12" i="11"/>
  <c r="L12" i="11"/>
  <c r="C12" i="11"/>
  <c r="B12" i="11"/>
  <c r="D12" i="11"/>
  <c r="F12" i="11"/>
  <c r="I12" i="11"/>
  <c r="J12" i="11"/>
  <c r="G12" i="11"/>
  <c r="E12" i="11"/>
  <c r="S11" i="11"/>
  <c r="R11" i="11"/>
  <c r="P11" i="11"/>
  <c r="O11" i="11"/>
  <c r="N11" i="11"/>
  <c r="M11" i="11"/>
  <c r="L11" i="11"/>
  <c r="K11" i="11"/>
  <c r="J11" i="11"/>
  <c r="I11" i="11"/>
  <c r="H11" i="11"/>
  <c r="Q11" i="11"/>
  <c r="V11" i="11"/>
  <c r="U11" i="11"/>
  <c r="T11" i="11"/>
  <c r="H46" i="6"/>
  <c r="E47" i="8"/>
  <c r="AG47" i="7"/>
  <c r="E46" i="6"/>
  <c r="D46" i="6"/>
  <c r="AH47" i="7"/>
  <c r="E46" i="8"/>
  <c r="H45" i="6"/>
  <c r="AG46" i="7"/>
  <c r="E45" i="6"/>
  <c r="D45" i="6"/>
  <c r="AH46" i="7"/>
  <c r="E45" i="8"/>
  <c r="H44" i="6"/>
  <c r="AG45" i="7"/>
  <c r="E44" i="6"/>
  <c r="AH45" i="7"/>
  <c r="D44" i="6"/>
  <c r="E44" i="8"/>
  <c r="H43" i="6"/>
  <c r="AG44" i="7"/>
  <c r="E43" i="6"/>
  <c r="AH44" i="7"/>
  <c r="D43" i="6"/>
  <c r="H42" i="6"/>
  <c r="E43" i="8"/>
  <c r="AG43" i="7"/>
  <c r="E42" i="6"/>
  <c r="D42" i="6"/>
  <c r="AH43" i="7"/>
  <c r="E42" i="8"/>
  <c r="H41" i="6"/>
  <c r="AG42" i="7"/>
  <c r="E41" i="6"/>
  <c r="D41" i="6"/>
  <c r="AH42" i="7"/>
  <c r="E41" i="8"/>
  <c r="H40" i="6"/>
  <c r="AG41" i="7"/>
  <c r="E40" i="6"/>
  <c r="AH41" i="7"/>
  <c r="D40" i="6"/>
  <c r="E40" i="8"/>
  <c r="H39" i="6"/>
  <c r="AG40" i="7"/>
  <c r="E39" i="6"/>
  <c r="AH40" i="7"/>
  <c r="D39" i="6"/>
  <c r="E39" i="8"/>
  <c r="H38" i="6"/>
  <c r="AG39" i="7"/>
  <c r="E38" i="6"/>
  <c r="AH39" i="7"/>
  <c r="D38" i="6"/>
  <c r="H37" i="6"/>
  <c r="E38" i="8"/>
  <c r="AG38" i="7"/>
  <c r="E37" i="6"/>
  <c r="AH38" i="7"/>
  <c r="D37" i="6"/>
  <c r="H36" i="6"/>
  <c r="E37" i="8"/>
  <c r="AG37" i="7"/>
  <c r="E36" i="6"/>
  <c r="D36" i="6"/>
  <c r="AH37" i="7"/>
  <c r="H35" i="6"/>
  <c r="E36" i="8"/>
  <c r="AG36" i="7"/>
  <c r="E35" i="6"/>
  <c r="D35" i="6"/>
  <c r="AH36" i="7"/>
  <c r="H34" i="6"/>
  <c r="E35" i="8"/>
  <c r="AG35" i="7"/>
  <c r="E34" i="6"/>
  <c r="D34" i="6"/>
  <c r="AH35" i="7"/>
  <c r="H33" i="6"/>
  <c r="E34" i="8"/>
  <c r="AG34" i="7"/>
  <c r="E33" i="6"/>
  <c r="AH34" i="7"/>
  <c r="D33" i="6"/>
  <c r="E33" i="8"/>
  <c r="H32" i="6"/>
  <c r="AG33" i="7"/>
  <c r="E32" i="6"/>
  <c r="AH33" i="7"/>
  <c r="D32" i="6"/>
  <c r="E32" i="8"/>
  <c r="H31" i="6"/>
  <c r="AG32" i="7"/>
  <c r="E31" i="6"/>
  <c r="AH32" i="7"/>
  <c r="D31" i="6"/>
  <c r="E31" i="8"/>
  <c r="H30" i="6"/>
  <c r="AG31" i="7"/>
  <c r="E30" i="6"/>
  <c r="D30" i="6"/>
  <c r="AH31" i="7"/>
  <c r="E26" i="2"/>
  <c r="J29" i="6"/>
  <c r="E24" i="2"/>
  <c r="I29" i="6"/>
  <c r="E25" i="2"/>
  <c r="E30" i="8"/>
  <c r="H29" i="6"/>
  <c r="AG30" i="7"/>
  <c r="E29" i="6"/>
  <c r="D30" i="8"/>
  <c r="G29" i="6"/>
  <c r="AG29" i="7"/>
  <c r="E28" i="6"/>
  <c r="D29" i="8"/>
  <c r="G28" i="6"/>
  <c r="AG28" i="7"/>
  <c r="E27" i="6"/>
  <c r="D28" i="8"/>
  <c r="G27" i="6"/>
  <c r="AG27" i="7"/>
  <c r="E26" i="6"/>
  <c r="D27" i="8"/>
  <c r="G26" i="6"/>
  <c r="AG26" i="7"/>
  <c r="E25" i="6"/>
  <c r="D26" i="8"/>
  <c r="G25" i="6"/>
  <c r="AG25" i="7"/>
  <c r="E24" i="6"/>
  <c r="D25" i="8"/>
  <c r="G24" i="6"/>
  <c r="AG24" i="7"/>
  <c r="E23" i="6"/>
  <c r="D24" i="8"/>
  <c r="G23" i="6"/>
  <c r="AG23" i="7"/>
  <c r="E22" i="6"/>
  <c r="D23" i="8"/>
  <c r="G22" i="6"/>
  <c r="AG22" i="7"/>
  <c r="E21" i="6"/>
  <c r="D22" i="8"/>
  <c r="G21" i="6"/>
  <c r="AG21" i="7"/>
  <c r="E20" i="6"/>
  <c r="D21" i="8"/>
  <c r="G20" i="6"/>
  <c r="AG20" i="7"/>
  <c r="E19" i="6"/>
  <c r="D20" i="8"/>
  <c r="G19" i="6"/>
  <c r="AG19" i="7"/>
  <c r="E18" i="6"/>
  <c r="D19" i="8"/>
  <c r="G18" i="6"/>
  <c r="AG18" i="7"/>
  <c r="E17" i="6"/>
  <c r="D18" i="8"/>
  <c r="G17" i="6"/>
  <c r="AG17" i="7"/>
  <c r="E16" i="6"/>
  <c r="D17" i="8"/>
  <c r="G16" i="6"/>
  <c r="AG16" i="7"/>
  <c r="E15" i="6"/>
  <c r="D16" i="8"/>
  <c r="G15" i="6"/>
  <c r="AG15" i="7"/>
  <c r="E14" i="6"/>
  <c r="D15" i="8"/>
  <c r="G14" i="6"/>
  <c r="AG14" i="7"/>
  <c r="E13" i="6"/>
  <c r="D14" i="8"/>
  <c r="G13" i="6"/>
  <c r="AG13" i="7"/>
  <c r="E12" i="6"/>
  <c r="D13" i="8"/>
  <c r="G12" i="6"/>
  <c r="AG12" i="7"/>
  <c r="E11" i="6"/>
  <c r="D12" i="8"/>
  <c r="G11" i="6"/>
  <c r="AG11" i="7"/>
  <c r="E10" i="6"/>
  <c r="D11" i="8"/>
  <c r="G10" i="6"/>
  <c r="AG10" i="7"/>
  <c r="E9" i="6"/>
  <c r="D10" i="8"/>
  <c r="G9" i="6"/>
  <c r="AG9" i="7"/>
  <c r="E8" i="6"/>
  <c r="D9" i="8"/>
  <c r="G8" i="6"/>
  <c r="AG8" i="7"/>
  <c r="E7" i="6"/>
  <c r="D8" i="8"/>
  <c r="G7" i="6"/>
  <c r="AG7" i="7"/>
  <c r="E6" i="6"/>
  <c r="D7" i="8"/>
  <c r="G6" i="6"/>
  <c r="AG6" i="7"/>
  <c r="E5" i="6"/>
  <c r="D6" i="8"/>
  <c r="G5" i="6"/>
  <c r="AG5" i="7"/>
  <c r="E4" i="6"/>
  <c r="D5" i="8"/>
  <c r="G4" i="6"/>
  <c r="AG4" i="7"/>
  <c r="E3" i="6"/>
  <c r="D4" i="8"/>
  <c r="G3" i="6"/>
  <c r="AG3" i="7"/>
  <c r="E2" i="6"/>
  <c r="D3" i="8"/>
  <c r="E23" i="2"/>
  <c r="G2" i="6"/>
  <c r="I44" i="3"/>
  <c r="J44" i="3"/>
  <c r="J41" i="3"/>
  <c r="I41" i="3"/>
  <c r="I40" i="3"/>
  <c r="I34" i="3"/>
  <c r="J34" i="3"/>
  <c r="I33" i="3"/>
  <c r="J33" i="3"/>
  <c r="I29" i="3"/>
  <c r="J29" i="3"/>
  <c r="I28" i="3"/>
  <c r="I27" i="3"/>
  <c r="J27" i="3"/>
  <c r="I26" i="3"/>
  <c r="J26" i="3"/>
  <c r="J25" i="3"/>
  <c r="G49" i="3"/>
  <c r="I25" i="3"/>
  <c r="I21" i="3"/>
  <c r="J21" i="3"/>
  <c r="I20" i="3"/>
  <c r="J20" i="3"/>
  <c r="I19" i="3"/>
  <c r="J19" i="3"/>
  <c r="I18" i="3"/>
  <c r="J18" i="3"/>
  <c r="I17" i="3"/>
  <c r="J17" i="3"/>
  <c r="I16" i="3"/>
  <c r="J16" i="3"/>
  <c r="J15" i="3"/>
  <c r="I15" i="3"/>
  <c r="I14" i="3"/>
  <c r="J14" i="3"/>
  <c r="I45" i="4"/>
  <c r="P45" i="4" s="1"/>
  <c r="F13" i="3"/>
  <c r="G13" i="3" s="1"/>
  <c r="I44" i="4"/>
  <c r="P44" i="4" s="1"/>
  <c r="F39" i="3"/>
  <c r="G39" i="3" s="1"/>
  <c r="I43" i="4"/>
  <c r="P43" i="4" s="1"/>
  <c r="F38" i="3"/>
  <c r="G38" i="3" s="1"/>
  <c r="I39" i="4"/>
  <c r="P39" i="4" s="1"/>
  <c r="F42" i="3"/>
  <c r="G42" i="3" s="1"/>
  <c r="I15" i="4"/>
  <c r="P15" i="4" s="1"/>
  <c r="F32" i="3"/>
  <c r="G32" i="3" s="1"/>
  <c r="I14" i="4"/>
  <c r="P14" i="4" s="1"/>
  <c r="F37" i="3"/>
  <c r="G37" i="3" s="1"/>
  <c r="I13" i="4"/>
  <c r="P13" i="4" s="1"/>
  <c r="F30" i="3"/>
  <c r="G30" i="3" s="1"/>
  <c r="I12" i="4"/>
  <c r="P12" i="4" s="1"/>
  <c r="F12" i="3"/>
  <c r="G12" i="3" s="1"/>
  <c r="I11" i="4"/>
  <c r="P11" i="4" s="1"/>
  <c r="F11" i="3"/>
  <c r="G11" i="3" s="1"/>
  <c r="I10" i="4"/>
  <c r="P10" i="4" s="1"/>
  <c r="F10" i="3"/>
  <c r="G10" i="3" s="1"/>
  <c r="F43" i="3"/>
  <c r="G43" i="3" s="1"/>
  <c r="I9" i="4"/>
  <c r="P9" i="4" s="1"/>
  <c r="F9" i="3"/>
  <c r="G9" i="3" s="1"/>
  <c r="F31" i="3"/>
  <c r="G31" i="3" s="1"/>
  <c r="I8" i="4"/>
  <c r="P8" i="4" s="1"/>
  <c r="F8" i="3"/>
  <c r="G8" i="3" s="1"/>
  <c r="I7" i="4"/>
  <c r="P7" i="4" s="1"/>
  <c r="F7" i="3"/>
  <c r="G7" i="3" s="1"/>
  <c r="I6" i="4"/>
  <c r="P6" i="4" s="1"/>
  <c r="F6" i="3"/>
  <c r="G6" i="3" s="1"/>
  <c r="F36" i="3"/>
  <c r="G36" i="3" s="1"/>
  <c r="I5" i="4"/>
  <c r="P5" i="4" s="1"/>
  <c r="F5" i="3"/>
  <c r="G5" i="3" s="1"/>
  <c r="I4" i="4"/>
  <c r="P4" i="4" s="1"/>
  <c r="F4" i="3"/>
  <c r="G4" i="3" s="1"/>
  <c r="F35" i="3"/>
  <c r="G35" i="3" s="1"/>
  <c r="I3" i="4"/>
  <c r="F3" i="3"/>
  <c r="G3" i="3" s="1"/>
  <c r="Q19" i="8"/>
  <c r="P32" i="4"/>
  <c r="P27" i="4"/>
  <c r="P18" i="4"/>
  <c r="P29" i="4"/>
  <c r="P25" i="4"/>
  <c r="P42" i="4"/>
  <c r="P41" i="4"/>
  <c r="P33" i="4"/>
  <c r="P31" i="4"/>
  <c r="P23" i="4"/>
  <c r="P19" i="4"/>
  <c r="P17" i="4"/>
  <c r="P34" i="4"/>
  <c r="Q20" i="8"/>
  <c r="AG23" i="11" l="1"/>
  <c r="AG9" i="11"/>
  <c r="G3" i="12"/>
  <c r="F3" i="12"/>
  <c r="C47" i="8"/>
  <c r="F46" i="6"/>
  <c r="D47" i="8"/>
  <c r="G46" i="6"/>
  <c r="C46" i="8"/>
  <c r="F45" i="6"/>
  <c r="D46" i="8"/>
  <c r="G45" i="6"/>
  <c r="C45" i="8"/>
  <c r="F44" i="6"/>
  <c r="D45" i="8"/>
  <c r="G44" i="6"/>
  <c r="C44" i="8"/>
  <c r="F43" i="6"/>
  <c r="D44" i="8"/>
  <c r="G43" i="6"/>
  <c r="C43" i="8"/>
  <c r="F42" i="6"/>
  <c r="D43" i="8"/>
  <c r="G42" i="6"/>
  <c r="C42" i="8"/>
  <c r="F41" i="6"/>
  <c r="D42" i="8"/>
  <c r="G41" i="6"/>
  <c r="C41" i="8"/>
  <c r="F40" i="6"/>
  <c r="D41" i="8"/>
  <c r="G40" i="6"/>
  <c r="C40" i="8"/>
  <c r="R40" i="8" s="1"/>
  <c r="S40" i="8" s="1"/>
  <c r="F39" i="6"/>
  <c r="D40" i="8"/>
  <c r="G39" i="6"/>
  <c r="C39" i="8"/>
  <c r="F38" i="6"/>
  <c r="D39" i="8"/>
  <c r="G38" i="6"/>
  <c r="C38" i="8"/>
  <c r="F37" i="6"/>
  <c r="D38" i="8"/>
  <c r="G37" i="6"/>
  <c r="C37" i="8"/>
  <c r="F36" i="6"/>
  <c r="D37" i="8"/>
  <c r="G36" i="6"/>
  <c r="C36" i="8"/>
  <c r="F35" i="6"/>
  <c r="D36" i="8"/>
  <c r="G35" i="6"/>
  <c r="C35" i="8"/>
  <c r="F34" i="6"/>
  <c r="D35" i="8"/>
  <c r="G34" i="6"/>
  <c r="C34" i="8"/>
  <c r="F33" i="6"/>
  <c r="D34" i="8"/>
  <c r="G33" i="6"/>
  <c r="C33" i="8"/>
  <c r="R33" i="8" s="1"/>
  <c r="S33" i="8" s="1"/>
  <c r="F32" i="6"/>
  <c r="D33" i="8"/>
  <c r="G32" i="6"/>
  <c r="C32" i="8"/>
  <c r="F31" i="6"/>
  <c r="D32" i="8"/>
  <c r="G31" i="6"/>
  <c r="C31" i="8"/>
  <c r="F30" i="6"/>
  <c r="D31" i="8"/>
  <c r="G30" i="6"/>
  <c r="C30" i="8"/>
  <c r="R30" i="8" s="1"/>
  <c r="S30" i="8" s="1"/>
  <c r="F29" i="6"/>
  <c r="C29" i="8"/>
  <c r="R29" i="8" s="1"/>
  <c r="S29" i="8" s="1"/>
  <c r="F28" i="6"/>
  <c r="C28" i="8"/>
  <c r="R28" i="8" s="1"/>
  <c r="S28" i="8" s="1"/>
  <c r="F27" i="6"/>
  <c r="C27" i="8"/>
  <c r="R27" i="8" s="1"/>
  <c r="S27" i="8" s="1"/>
  <c r="F26" i="6"/>
  <c r="C26" i="8"/>
  <c r="R26" i="8" s="1"/>
  <c r="S26" i="8" s="1"/>
  <c r="F25" i="6"/>
  <c r="C25" i="8"/>
  <c r="R25" i="8" s="1"/>
  <c r="S25" i="8" s="1"/>
  <c r="F24" i="6"/>
  <c r="C24" i="8"/>
  <c r="R24" i="8" s="1"/>
  <c r="S24" i="8" s="1"/>
  <c r="F23" i="6"/>
  <c r="C23" i="8"/>
  <c r="R23" i="8" s="1"/>
  <c r="S23" i="8" s="1"/>
  <c r="F22" i="6"/>
  <c r="C22" i="8"/>
  <c r="R22" i="8" s="1"/>
  <c r="S22" i="8" s="1"/>
  <c r="F21" i="6"/>
  <c r="C21" i="8"/>
  <c r="R21" i="8" s="1"/>
  <c r="S21" i="8" s="1"/>
  <c r="F20" i="6"/>
  <c r="C20" i="8"/>
  <c r="R20" i="8" s="1"/>
  <c r="S20" i="8" s="1"/>
  <c r="F19" i="6"/>
  <c r="C19" i="8"/>
  <c r="R19" i="8" s="1"/>
  <c r="S19" i="8" s="1"/>
  <c r="F18" i="6"/>
  <c r="C18" i="8"/>
  <c r="R18" i="8" s="1"/>
  <c r="S18" i="8" s="1"/>
  <c r="F17" i="6"/>
  <c r="C17" i="8"/>
  <c r="R17" i="8" s="1"/>
  <c r="S17" i="8" s="1"/>
  <c r="F16" i="6"/>
  <c r="C16" i="8"/>
  <c r="R16" i="8" s="1"/>
  <c r="S16" i="8" s="1"/>
  <c r="F15" i="6"/>
  <c r="C15" i="8"/>
  <c r="R15" i="8" s="1"/>
  <c r="S15" i="8" s="1"/>
  <c r="F14" i="6"/>
  <c r="C14" i="8"/>
  <c r="R14" i="8" s="1"/>
  <c r="S14" i="8" s="1"/>
  <c r="F13" i="6"/>
  <c r="C13" i="8"/>
  <c r="R13" i="8" s="1"/>
  <c r="S13" i="8" s="1"/>
  <c r="F12" i="6"/>
  <c r="C12" i="8"/>
  <c r="R12" i="8" s="1"/>
  <c r="S12" i="8" s="1"/>
  <c r="F11" i="6"/>
  <c r="C11" i="8"/>
  <c r="R11" i="8" s="1"/>
  <c r="S11" i="8" s="1"/>
  <c r="F10" i="6"/>
  <c r="C10" i="8"/>
  <c r="R10" i="8" s="1"/>
  <c r="S10" i="8" s="1"/>
  <c r="F9" i="6"/>
  <c r="C9" i="8"/>
  <c r="R9" i="8" s="1"/>
  <c r="S9" i="8" s="1"/>
  <c r="F8" i="6"/>
  <c r="C8" i="8"/>
  <c r="R8" i="8" s="1"/>
  <c r="S8" i="8" s="1"/>
  <c r="F7" i="6"/>
  <c r="C7" i="8"/>
  <c r="R7" i="8" s="1"/>
  <c r="S7" i="8" s="1"/>
  <c r="F6" i="6"/>
  <c r="C6" i="8"/>
  <c r="R6" i="8" s="1"/>
  <c r="S6" i="8" s="1"/>
  <c r="F5" i="6"/>
  <c r="C5" i="8"/>
  <c r="R5" i="8" s="1"/>
  <c r="S5" i="8" s="1"/>
  <c r="F4" i="6"/>
  <c r="C4" i="8"/>
  <c r="R4" i="8" s="1"/>
  <c r="S4" i="8" s="1"/>
  <c r="F3" i="6"/>
  <c r="C3" i="8"/>
  <c r="R3" i="8" s="1"/>
  <c r="F2" i="6"/>
  <c r="I49" i="3"/>
  <c r="I13" i="3"/>
  <c r="J13" i="3"/>
  <c r="K13" i="3"/>
  <c r="L13" i="3"/>
  <c r="I39" i="3"/>
  <c r="K39" i="3"/>
  <c r="L39" i="3"/>
  <c r="I38" i="3"/>
  <c r="K38" i="3"/>
  <c r="L38" i="3"/>
  <c r="I42" i="3"/>
  <c r="K42" i="3"/>
  <c r="L42" i="3"/>
  <c r="I32" i="3"/>
  <c r="J32" i="3"/>
  <c r="K32" i="3"/>
  <c r="L32" i="3"/>
  <c r="I37" i="3"/>
  <c r="J37" i="3"/>
  <c r="K37" i="3"/>
  <c r="L37" i="3"/>
  <c r="I30" i="3"/>
  <c r="J30" i="3"/>
  <c r="K30" i="3"/>
  <c r="L30" i="3"/>
  <c r="I12" i="3"/>
  <c r="J12" i="3"/>
  <c r="K12" i="3"/>
  <c r="L12" i="3"/>
  <c r="I11" i="3"/>
  <c r="J11" i="3"/>
  <c r="K11" i="3"/>
  <c r="L11" i="3"/>
  <c r="I10" i="3"/>
  <c r="J10" i="3"/>
  <c r="K10" i="3"/>
  <c r="L10" i="3"/>
  <c r="I43" i="3"/>
  <c r="J43" i="3"/>
  <c r="K43" i="3"/>
  <c r="L43" i="3"/>
  <c r="I9" i="3"/>
  <c r="J9" i="3"/>
  <c r="K9" i="3"/>
  <c r="L9" i="3"/>
  <c r="I31" i="3"/>
  <c r="J31" i="3"/>
  <c r="K31" i="3"/>
  <c r="L31" i="3"/>
  <c r="I8" i="3"/>
  <c r="J8" i="3"/>
  <c r="K8" i="3"/>
  <c r="L8" i="3"/>
  <c r="I7" i="3"/>
  <c r="J7" i="3"/>
  <c r="K7" i="3"/>
  <c r="L7" i="3"/>
  <c r="I6" i="3"/>
  <c r="J6" i="3"/>
  <c r="K6" i="3"/>
  <c r="L6" i="3"/>
  <c r="I36" i="3"/>
  <c r="J36" i="3"/>
  <c r="K36" i="3"/>
  <c r="L36" i="3"/>
  <c r="I5" i="3"/>
  <c r="J5" i="3"/>
  <c r="K5" i="3"/>
  <c r="L5" i="3"/>
  <c r="I4" i="3"/>
  <c r="J4" i="3"/>
  <c r="K4" i="3"/>
  <c r="L4" i="3"/>
  <c r="I35" i="3"/>
  <c r="J35" i="3"/>
  <c r="K35" i="3"/>
  <c r="L35" i="3"/>
  <c r="I3" i="3"/>
  <c r="J3" i="3"/>
  <c r="K3" i="3"/>
  <c r="L3" i="3"/>
  <c r="G22" i="3"/>
  <c r="G48" i="3"/>
  <c r="L49" i="3" s="1"/>
  <c r="AG16" i="11"/>
  <c r="AG22" i="11"/>
  <c r="AG11" i="11"/>
  <c r="AG14" i="11"/>
  <c r="AG21" i="11"/>
  <c r="AG17" i="11"/>
  <c r="AG10" i="11"/>
  <c r="AG19" i="11"/>
  <c r="AG18" i="11"/>
  <c r="AG25" i="11"/>
  <c r="AG24" i="11"/>
  <c r="AG20" i="11"/>
  <c r="AG26" i="11"/>
  <c r="AG8" i="11"/>
  <c r="AG7" i="11"/>
  <c r="AG6" i="11"/>
  <c r="AG12" i="11"/>
  <c r="AG15" i="11"/>
  <c r="AG13" i="11"/>
  <c r="K44" i="3"/>
  <c r="K26" i="3"/>
  <c r="K41" i="3"/>
  <c r="K29" i="3"/>
  <c r="K40" i="3"/>
  <c r="K27" i="3"/>
  <c r="K34" i="3"/>
  <c r="K28" i="3"/>
  <c r="K33" i="3"/>
  <c r="G45" i="3"/>
  <c r="K25" i="3"/>
  <c r="L40" i="3"/>
  <c r="L34" i="3"/>
  <c r="L33" i="3"/>
  <c r="L29" i="3"/>
  <c r="L28" i="3"/>
  <c r="L27" i="3"/>
  <c r="L26" i="3"/>
  <c r="L25" i="3"/>
  <c r="L44" i="3"/>
  <c r="L41" i="3"/>
  <c r="K21" i="3"/>
  <c r="L21" i="3"/>
  <c r="K20" i="3"/>
  <c r="L20" i="3"/>
  <c r="K19" i="3"/>
  <c r="L19" i="3"/>
  <c r="K18" i="3"/>
  <c r="L18" i="3"/>
  <c r="K17" i="3"/>
  <c r="L17" i="3"/>
  <c r="K16" i="3"/>
  <c r="L16" i="3"/>
  <c r="K15" i="3"/>
  <c r="L15" i="3"/>
  <c r="K14" i="3"/>
  <c r="L14" i="3"/>
  <c r="J2" i="11" l="1"/>
  <c r="K45" i="3"/>
  <c r="S3" i="8"/>
  <c r="I22" i="3"/>
  <c r="I48" i="3"/>
  <c r="R47" i="8"/>
  <c r="S47" i="8" s="1"/>
  <c r="R46" i="8"/>
  <c r="R45" i="8"/>
  <c r="S45" i="8" s="1"/>
  <c r="R44" i="8"/>
  <c r="S44" i="8" s="1"/>
  <c r="R43" i="8"/>
  <c r="S43" i="8" s="1"/>
  <c r="R42" i="8"/>
  <c r="S42" i="8" s="1"/>
  <c r="R41" i="8"/>
  <c r="S41" i="8" s="1"/>
  <c r="R39" i="8"/>
  <c r="S39" i="8" s="1"/>
  <c r="R38" i="8"/>
  <c r="S38" i="8" s="1"/>
  <c r="R37" i="8"/>
  <c r="S37" i="8" s="1"/>
  <c r="R36" i="8"/>
  <c r="S36" i="8" s="1"/>
  <c r="R35" i="8"/>
  <c r="S35" i="8" s="1"/>
  <c r="R34" i="8"/>
  <c r="S34" i="8" s="1"/>
  <c r="R32" i="8"/>
  <c r="S32" i="8" s="1"/>
  <c r="R31" i="8"/>
  <c r="S31" i="8" s="1"/>
  <c r="I45" i="3"/>
  <c r="L22" i="3"/>
  <c r="L45" i="3"/>
  <c r="K22" i="3"/>
  <c r="E15" i="2" l="1"/>
  <c r="J3" i="11"/>
  <c r="E14" i="2" s="1"/>
  <c r="J22" i="3"/>
  <c r="J23" i="3"/>
  <c r="J45" i="3"/>
  <c r="J46" i="3"/>
  <c r="S46" i="8"/>
  <c r="E2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F2" authorId="0" shapeId="0" xr:uid="{00000000-0006-0000-0200-000001000000}">
      <text>
        <r>
          <rPr>
            <sz val="10"/>
            <rFont val="Arial"/>
            <family val="2"/>
          </rPr>
          <t>Live-wired to Monitor &amp; Recheck Triggers' Current Price (col H, a STOCKHISTORY formula) when this ticker is tracked there (i.e. a scored Landry position). Falls back to the last manually-refreshed price if Monitor doesn't have this ticker (dry-powder ETFs) or if STOCKHISTORY can't resolve (e.g. this session's LibreOffice-based recalc, which cannot evaluate STOCKHISTORY -- verify live pricing by opening in real Excel, not by local recalc). Added 9/8/26.</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G5" authorId="0" shapeId="0" xr:uid="{00000000-0006-0000-0A00-000001000000}">
      <text>
        <r>
          <rPr>
            <sz val="10"/>
            <rFont val="Arial"/>
            <family val="2"/>
          </rPr>
          <t>10 blank columns are reserved to the left (cols W-AF) so new tickers can be added without relocating this column. When they run out: extend the buffer, move this column further right, and update the two summary formulas above (row 2/3) plus Action Items' references to them.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4" authorId="0" shapeId="0" xr:uid="{00000000-0006-0000-1100-000001000000}">
      <text>
        <r>
          <rPr>
            <sz val="10"/>
            <rFont val="Arial"/>
            <family val="2"/>
          </rPr>
          <t>Event must match a value in Journal col B exactly (case-sensitive) for the Event Due Date lookup to resolve -- e.g. 'DCA-CATCHUP-7', not 'Catchup 7' or 'DCA CATCHUP 7'. If Journal's event codes ever get renamed, update here too.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4" authorId="0" shapeId="0" xr:uid="{00000000-0006-0000-1200-000001000000}">
      <text>
        <r>
          <rPr>
            <sz val="10"/>
            <rFont val="Arial"/>
            <family val="2"/>
          </rPr>
          <t>Priority order, not a stable ticket ID -- fine to renumber when priorities change or a new item gets inserted partway down the list.</t>
        </r>
      </text>
    </comment>
  </commentList>
</comments>
</file>

<file path=xl/sharedStrings.xml><?xml version="1.0" encoding="utf-8"?>
<sst xmlns="http://schemas.openxmlformats.org/spreadsheetml/2006/main" count="1899" uniqueCount="739">
  <si>
    <t>Companion workbook to Landry System v1.02. Aligned to: Version 1.02 (49 Hard Rules, Parts 1–12).</t>
  </si>
  <si>
    <t>If the Word document's rule numbers ever change in a future revision, check this line and the rule</t>
  </si>
  <si>
    <t>references throughout this workbook before relying on them.</t>
  </si>
  <si>
    <t>HOW TO USE THIS WORKBOOK</t>
  </si>
  <si>
    <t>1. Market Data tab — enter or refresh price, volume, market cap, P/E, 52-week range, and dividend</t>
  </si>
  <si>
    <t>yield for each tracked ticker. Blue cells only. See that tab's note on optional live-data refresh.</t>
  </si>
  <si>
    <t>2. Scoring tab — during a scoring session, enter each Tier 1/2/3 indicator's score (1–5) and Confidence</t>
  </si>
  <si>
    <t>tag (H/M/L) per Part 2's rubrics. The Composite Score, decision classification, and hard-rule flags</t>
  </si>
  <si>
    <t>(Rules 1–4) calculate automatically.</t>
  </si>
  <si>
    <t>3. Dashboard tab — read-only summary of every tracked stock, sortable by Composite Score.</t>
  </si>
  <si>
    <t>4. Price History / Returns (Calc) / Correlation Matrix tabs — enter weekly closing prices for current</t>
  </si>
  <si>
    <t>holdings (ex-cash-sweep); pairwise correlation and the Rule 36 per-position violation flag calculate automatically.</t>
  </si>
  <si>
    <t>5. Portfolio Drawdown Log tab — enter portfolio value at each review date; running peak, drawdown %,</t>
  </si>
  <si>
    <t>and the Part 7 response status (Normal/Elevated/Severe/Critical) calculate automatically.</t>
  </si>
  <si>
    <t>RULE REFERENCE (Landry System v1.02)</t>
  </si>
  <si>
    <t>Rules 1–4 (Part 3) — Tier 1 floor of 3.0, mandatory review of any Tier 1 score of 1, automatic Avoid if</t>
  </si>
  <si>
    <t>two or more Tier 1 indicators score 2.0 or below, and the Strong Buy cap when two or more Tier 1</t>
  </si>
  <si>
    <t>indicators are tagged Low Confidence.</t>
  </si>
  <si>
    <t>Rule 36 (Part 7) — Correlation Cap: no position may carry pairwise correlation above 0.70 with more</t>
  </si>
  <si>
    <t>than one other holding at the same time.</t>
  </si>
  <si>
    <t>Rule 37 (Part 7) — Portfolio drawdown response levels apply automatically; only a documented Tier 1</t>
  </si>
  <si>
    <t>re-score restores normal sizing for an affected security.</t>
  </si>
  <si>
    <t>Decision thresholds (Part 3): 80–100 Strong Buy | 65–79 Buy | 50–64 Watch List | 35–49 Avoid | &lt;35 Pass.</t>
  </si>
  <si>
    <t>Drawdown response (Part 7): 0–10% Normal | 10–20% Elevated | 20–30% Severe | 30%+ Critical.</t>
  </si>
  <si>
    <t>COLOR LEGEND</t>
  </si>
  <si>
    <t>Dark blue text on light blue fill = input cell (type here). Black text, no fill = calculated (do not overwrite -- formulas live here). Colored fill on Decision/Status/Recheck cells reflects the classification band (green/yellow/orange/red), separate from the input/formula distinction above.</t>
  </si>
  <si>
    <t>reflects the classification band.</t>
  </si>
  <si>
    <t>SCHEMA REFERENCE</t>
  </si>
  <si>
    <t>See the Schema Reference tab (last tab) for the exact column layout of every tab -- built for handoff to Claude Code or any future programmatic access.</t>
  </si>
  <si>
    <t>WORKFLOW POLICY (established 8/12/26)</t>
  </si>
  <si>
    <t>Watch List Tracker: entries added when a scored position (owned or candidate) lands in Probationary</t>
  </si>
  <si>
    <t>Hold/Exit Review, or an owned position's re-score triggers Rule 3. Claude flags it; the analyst confirms</t>
  </si>
  <si>
    <t>the classification and any remediation decision.</t>
  </si>
  <si>
    <t>Implied-Return Calculator: populated when a candidate moves from screened toward actual entry</t>
  </si>
  <si>
    <t>consideration (Rules 11-13 prep).</t>
  </si>
  <si>
    <t>Holding Monitor: populated during scheduled quarterly reviews / fundamental refreshes (see Journal for</t>
  </si>
  <si>
    <t>the standing calendar).</t>
  </si>
  <si>
    <t>Performance Tracking: populated the same moment a confirmed trade updates Current Positions.</t>
  </si>
  <si>
    <t>Monitor &amp; Recheck Triggers: col G (Price at Last Score) is stamped every time a ticker is re-scored on the Scoring tab -- not tied to a fixed review cadence, since re-scores happen for reasons beyond scheduled reviews (see Journal, e.g. VRTX 8/7/26). Col H (Current Price) is a live</t>
  </si>
  <si>
    <t>STOCKHISTORY formula, manual recalc. Col J (Next Earnings Date) is Claude-populated via yfinance on the same cadence as Price History, since Excel has no native earnings-date field without a 3rd-party add-in (confirmed 2026-08-26).</t>
  </si>
  <si>
    <t>Price History: ticker list tracks current holdings (ex-cash-sweep) exactly, added/removed when a</t>
  </si>
  <si>
    <t>position opens/fully exits. Weekly closes are Claude-populated (fetch_daily/weekly_closes in</t>
  </si>
  <si>
    <t>landry.data_auto, same tooling as Market Data) as of 2026-08-26 -- previously Alan pulled via</t>
  </si>
  <si>
    <t>yFinance and handed it to Claude to enter; now Claude fetches and writes directly, refreshed</t>
  </si>
  <si>
    <t>periodically, not live. Only write fully-completed weeks (week-ending Friday has occurred) --</t>
  </si>
  <si>
    <t>a partial current week resamples to a misleading "Friday" label before Friday actually happens.</t>
  </si>
  <si>
    <t>ACTION ITEMS — everything requiring your decision, pulled live from every other tab. Everything else in this workbook is reference; this is what to open.</t>
  </si>
  <si>
    <t>Refresh by opening the workbook (F9 recalculates); all cells below are live formulas, nothing here is typed.</t>
  </si>
  <si>
    <t>1. WATCH LIST — Rules 31-34 (see Watch List Tracker tab for detail)</t>
  </si>
  <si>
    <t>Deadlines passed (sell required within 30 days):</t>
  </si>
  <si>
    <t>Deadlines approaching (within 14 days):</t>
  </si>
  <si>
    <t>Recovered — ready to remove/reclassify:</t>
  </si>
  <si>
    <t>2. ACTIVE SELL TRIGGERS — Rules 21-30 (see Holding Monitor tab for detail)</t>
  </si>
  <si>
    <t>Holdings with action required within 30 days:</t>
  </si>
  <si>
    <t>Holdings under Hold Through (monitor only, no action):</t>
  </si>
  <si>
    <t>3. CORRELATION CAP — Rule 36 (see Correlation Matrix tab for detail)</t>
  </si>
  <si>
    <t>Rule 36 status:</t>
  </si>
  <si>
    <t>Positions exceeding cap:</t>
  </si>
  <si>
    <t>4. PORTFOLIO DRAWDOWN STATUS — Rule 37 (see Portfolio Drawdown Log tab for detail)</t>
  </si>
  <si>
    <t>Most recent recorded status:</t>
  </si>
  <si>
    <t>Most recent drawdown %:</t>
  </si>
  <si>
    <t>Required cash floor at this level:</t>
  </si>
  <si>
    <t>5. CANDIDATE SCORING FLAGS — Rules 1-4 (see Scoring tab for detail)</t>
  </si>
  <si>
    <t>Candidates failing the Tier 1 floor, 3.0 (Rule 1):</t>
  </si>
  <si>
    <t>Candidates auto-classified Avoid (Rule 3):</t>
  </si>
  <si>
    <t>Candidates flagged for mandatory Tier 1 review (Rule 2):</t>
  </si>
  <si>
    <t>Candidates capped at Buy despite Strong Buy score (Rule 4):</t>
  </si>
  <si>
    <t>6. ENTRY AUTHORIZATION — Rules 5-13 (see Entry Checklist tab for detail)</t>
  </si>
  <si>
    <t>Candidates NOT authorized to enter (failing one or more Entry Rules):</t>
  </si>
  <si>
    <t>Candidates authorized, staged at reduced size (50%, per Rules 8-9):</t>
  </si>
  <si>
    <t>7. PIOTROSKI CROSS-CHECKS -- RETIRED 9/11/26. Tested on an 8-ticker diagnostic batch, dropped as redundant for how this system is actually used (see Journal row 42-43). Historical data left in place at Scoring cols AN-AS as a record of the experiment; no longer live-tallied here.</t>
  </si>
  <si>
    <t>Candidates flagged LOW CONF on Accruals (CFO does not exceed Net Income):</t>
  </si>
  <si>
    <t>Candidates with Debt/FCF trending up year-over-year:</t>
  </si>
  <si>
    <t>Combined current positions, both accounts, as of 09/08/2026 (DCA-TRANCHE-2 executed) -- JT ULTRA (Fidelity); Self-Directed, Chase — cash sweep custodied at Schwab, swept to VMFXX for yield. 
Source: uploaded brokerage exports + confirmed trade executions, aggregated by ticker. 
Update this tab at each quarterly/annual review; use it with Part 5 sizing modifiers and the Holding Monitor tab to prescribe classifications and follow-up actions.</t>
  </si>
  <si>
    <t>TAX-LOSS CARRYFORWARD (update annually)</t>
  </si>
  <si>
    <t>Account</t>
  </si>
  <si>
    <t>Ticker</t>
  </si>
  <si>
    <t>Description</t>
  </si>
  <si>
    <t>Asset Class</t>
  </si>
  <si>
    <t>Quantity</t>
  </si>
  <si>
    <t>Price
($)</t>
  </si>
  <si>
    <t>Market Value
($)</t>
  </si>
  <si>
    <t>Cost Basis
($)</t>
  </si>
  <si>
    <t>Unrealized G/L ($)</t>
  </si>
  <si>
    <t>Unrealized G/L (%)</t>
  </si>
  <si>
    <t>% of Account</t>
  </si>
  <si>
    <t>% of Combined Portfolio</t>
  </si>
  <si>
    <t>Classification / Notes (fill at review)</t>
  </si>
  <si>
    <t>Short-Term Loss Carryforward:</t>
  </si>
  <si>
    <t>JT ULTRA (Fidelity)</t>
  </si>
  <si>
    <t>ADBE</t>
  </si>
  <si>
    <t>Adobe Inc.</t>
  </si>
  <si>
    <t>Equity</t>
  </si>
  <si>
    <t>BOUGHT +20sh 8/7/26 @ $266.38 -- DCA tranche 1 diversifier add</t>
  </si>
  <si>
    <t>Long-Term Loss Carryforward:</t>
  </si>
  <si>
    <t>ANET</t>
  </si>
  <si>
    <t>Arista Networks</t>
  </si>
  <si>
    <t>ASML</t>
  </si>
  <si>
    <t>ASML Holding</t>
  </si>
  <si>
    <t>CRWD</t>
  </si>
  <si>
    <t>CrowdStrike Holdings</t>
  </si>
  <si>
    <t>KLAC</t>
  </si>
  <si>
    <t>KLA Corporation</t>
  </si>
  <si>
    <t>MU</t>
  </si>
  <si>
    <t>Micron Technology</t>
  </si>
  <si>
    <t>NVDA</t>
  </si>
  <si>
    <t>NVIDIA Corporation</t>
  </si>
  <si>
    <t>PLTR</t>
  </si>
  <si>
    <t>Palantir Technologies</t>
  </si>
  <si>
    <t>TSM</t>
  </si>
  <si>
    <t>Taiwan Semiconductor</t>
  </si>
  <si>
    <t>VRT</t>
  </si>
  <si>
    <t>Vertiv Holdings</t>
  </si>
  <si>
    <t>V</t>
  </si>
  <si>
    <t>Visa Inc.</t>
  </si>
  <si>
    <t>NEW position 9/8/26 -- DCA-TRANCHE-2, opened per Entry Checklist authorization (Composite 86.4, STRONG BUY). 2 lots: 25sh @ $368.38 + 25sh @ $369.565.</t>
  </si>
  <si>
    <t>FZDXX</t>
  </si>
  <si>
    <t>Fidelity Money Market Premium</t>
  </si>
  <si>
    <t>Cash</t>
  </si>
  <si>
    <t>FZFXX</t>
  </si>
  <si>
    <t>Fidelity Core Money Market</t>
  </si>
  <si>
    <t>DVY</t>
  </si>
  <si>
    <t>iShares Select Dividend ETF</t>
  </si>
  <si>
    <t>NEW position since 8/5/26 -- cash/dry powder per Alan 9/7/26, not a scored Landry position.</t>
  </si>
  <si>
    <t>VFLO</t>
  </si>
  <si>
    <t>VictoryShares Free Cash Flow ETF</t>
  </si>
  <si>
    <t>NEW to this account since 8/5/26 (already held in Self-Directed) -- cash/dry powder per Alan 9/7/26, not a scored Landry position.</t>
  </si>
  <si>
    <t>SCHD</t>
  </si>
  <si>
    <t>Schwab US Dividend Equity ETF</t>
  </si>
  <si>
    <t>VYM</t>
  </si>
  <si>
    <t>Vanguard High Dividend Yield ETF</t>
  </si>
  <si>
    <t>MLPI</t>
  </si>
  <si>
    <t>NEOS MLP &amp; Energy Income ETF</t>
  </si>
  <si>
    <t>SPMO</t>
  </si>
  <si>
    <t>Invesco S&amp;P 500 Momentum ETF</t>
  </si>
  <si>
    <t>Positions</t>
  </si>
  <si>
    <t>JT ULTRA (Fidelity) SUBTOTAL</t>
  </si>
  <si>
    <t>Excluding Cash</t>
  </si>
  <si>
    <t>Self-Directed (Chase)</t>
  </si>
  <si>
    <t>VMFXX</t>
  </si>
  <si>
    <t>Vanguard Federal Money Market</t>
  </si>
  <si>
    <t>JEPQ</t>
  </si>
  <si>
    <t>JPMorgan Nasdaq Equity Premium Income ETF</t>
  </si>
  <si>
    <t>Alternative Assets</t>
  </si>
  <si>
    <t>Qty 840.4-&gt;850.4sh since 8/5, likely DRIP reinvestment. Reclassified as cash/dry powder per Alan 9/7/26, not a scored Landry position.</t>
  </si>
  <si>
    <t>AVUV</t>
  </si>
  <si>
    <t>Avantis US Small Cap Value ETF</t>
  </si>
  <si>
    <t>BOUGHT +193.58sh 8/7/26 @ $126.66 -- consolidation target from CALF</t>
  </si>
  <si>
    <t>CALF</t>
  </si>
  <si>
    <t>Pacer US Small Cap Cash Cows ETF</t>
  </si>
  <si>
    <t>SOLD 8/7/26 -- confirmed: -409.55sh, $23,016.52 proceeds. Consolidated into AVUV.</t>
  </si>
  <si>
    <t>HELO</t>
  </si>
  <si>
    <t>JPMorgan Hedged Equity Laddered Overlay ETF</t>
  </si>
  <si>
    <t>BOUGHT +200sh since 8/5 (300-&gt;500sh) -- expanding income sleeve. Reclassified as cash/dry powder per Alan 9/7/26, not a scored Landry position.</t>
  </si>
  <si>
    <t>AVGO</t>
  </si>
  <si>
    <t>Broadcom Inc.</t>
  </si>
  <si>
    <t>VRTX</t>
  </si>
  <si>
    <t>Vertex Pharmaceuticals</t>
  </si>
  <si>
    <t>BOUGHT +15sh 9/8/26 @ ~$527.47 ($7,912.09) -- DCA-TRANCHE-2 diversifier add.</t>
  </si>
  <si>
    <t>PLD</t>
  </si>
  <si>
    <t>Prologis Inc.</t>
  </si>
  <si>
    <t>BOUGHT +64sh 8/7/26 @ $139.92 -- DCA tranche 1 diversifier add</t>
  </si>
  <si>
    <t>SFM</t>
  </si>
  <si>
    <t>Sprouts Farmers Market</t>
  </si>
  <si>
    <t>SOLD 08/07/26 -- confirmed: -65 sh, $5,601.58 proceeds. Rule 3 Avoid. Proceeds added to VMFXX.</t>
  </si>
  <si>
    <t>TSLA</t>
  </si>
  <si>
    <t>Tesla Inc.</t>
  </si>
  <si>
    <t>SOLD 08/07/26 -- confirmed: -15 sh, $4,783.25 proceeds. Rule 3 Avoid. Proceeds added to VMFXX.</t>
  </si>
  <si>
    <t>VGT</t>
  </si>
  <si>
    <t>Vanguard Information Technology ETF</t>
  </si>
  <si>
    <t>SOLD 8/7/26 -- confirmed: -40.18sh, $4,851.48 proceeds. Worst correlation offender (5 violations), cleared per plan.</t>
  </si>
  <si>
    <t>QACDS</t>
  </si>
  <si>
    <t>Schwab Cash Features (Sweep)</t>
  </si>
  <si>
    <t>ONON</t>
  </si>
  <si>
    <t>On Holding AG</t>
  </si>
  <si>
    <t>SOLD 08/07/26 -- confirmed: -100 sh, $3,764.92 proceeds. Rule 3 Avoid. Proceeds added to VMFXX.</t>
  </si>
  <si>
    <t>JEPI</t>
  </si>
  <si>
    <t>JPMorgan Equity Premium Income ETF</t>
  </si>
  <si>
    <t>Self-Directed (Chase) SUBTOTAL</t>
  </si>
  <si>
    <t>COMBINED PORTFOLIO TOTAL</t>
  </si>
  <si>
    <t>Cash / Cash Equivalents</t>
  </si>
  <si>
    <t>Actual cash (FZDXX+FZFXX+VMFXX+QACDS) + temporary yield-bearing cash buckets (AVUV, SPMO x2, VFLO x2, DVY, SCHD, VYM, MLPI, JEPQ, HELO, JEPI) held for liquidity/dry powder, not scored as long-term Landry positions. Policy confirmed by Alan 9/7/26. V (Visa) is NOT in this bucket -- it's a real, Entry-Checklist-authorized Landry position (Composite 86.4, STRONG BUY).</t>
  </si>
  <si>
    <t>NOTE: JT ULTRA's ASML/PLTR/MU quantities reflect trims already executed from the earlier rebalance session; 
SWAN is not currently held in this export (flagging in case that wasn't intentional). 
9/7/26: refreshed both accounts from fresh Fidelity/Chase exports (as of 9/4/26 close). Alan confirmed the new/expanded positions (DVY, SCHD, VYM, MLPI, JEPI, plus additions to HELO/JEPQ and VFLO/SPMO now in both accounts) are a deliberate move of idle cash into better-paying temporary buckets -- no strategy change. See Journal and [[price_history_ownership]]/[[etf_scope_todo]] memory for context.
9/8/26: DCA-TRANCHE-2 executed. VRTX +15sh @ ~$527.47 ($7,912.09, Chase). V (Visa) opened new, 50sh across 2 lots ($9,209.50 + $9,239.13 = $18,448.63, Fidelity). PLD skipped this tranche -- Fidelity's Equity Summary Score (LSEG StarMine) showed Very Bearish (0.7/10) with 2 recent Sell opinions; traditional sell-side consensus stayed clean, but Alan chose to wait/watch rather than add. Total tranche $26,360.72 vs. $24,000 target. See Journal 9/8/26.</t>
  </si>
  <si>
    <t>Recheck triggers for every name that's been scored, not just Watch List holdings. Current Price, Insider Activity, and Analyst Shift are Claude-populated (STOCKHISTORY formula + manual recalc for price; SEC EDGAR and yfinance consensus data for the other two, refreshed periodically, not live). Recheck Status calculates automatically from all signals together.</t>
  </si>
  <si>
    <t>Category</t>
  </si>
  <si>
    <t>Last Score
Date</t>
  </si>
  <si>
    <t>Last
Composite</t>
  </si>
  <si>
    <t>Last Tier 1
Wtd Avg</t>
  </si>
  <si>
    <t>Last
Decision</t>
  </si>
  <si>
    <t>Price at
Last Score</t>
  </si>
  <si>
    <t>Current
Price</t>
  </si>
  <si>
    <t>% Price
Change</t>
  </si>
  <si>
    <t>Next/Last
Earnings Date</t>
  </si>
  <si>
    <t>Insider
Activity? (Y/N)</t>
  </si>
  <si>
    <t>Insider Note</t>
  </si>
  <si>
    <t>Analyst
Shift? (Y/N)</t>
  </si>
  <si>
    <t>Analyst Shift
Note</t>
  </si>
  <si>
    <t>Days Since
Last Score</t>
  </si>
  <si>
    <t>Recheck Status</t>
  </si>
  <si>
    <t>Notes</t>
  </si>
  <si>
    <t>Owned</t>
  </si>
  <si>
    <t>STRONG BUY</t>
  </si>
  <si>
    <t>N</t>
  </si>
  <si>
    <t>Y</t>
  </si>
  <si>
    <t>2026-09-03: Breithaupt Chantelle Yvette (Senior Vice President, CFO) sold $119,811, 1% of holding (+55 more in last 30d)</t>
  </si>
  <si>
    <t>BUY</t>
  </si>
  <si>
    <t>2026-09-04: Kurtz George (PRESIDENT AND CEO) sold $472,759, 0% of holding (+126 more in last 30d)</t>
  </si>
  <si>
    <t>2026-08-14: Lorig Brian (EVP, KLA Global Services) sold $12,401,634, 43% of holding (+7 more in last 30d)</t>
  </si>
  <si>
    <t>2026-08-25: MEHROTRA SANJAY (President and CEO) sold $138,116, 0% of holding (+26 more in last 30d)</t>
  </si>
  <si>
    <t>2026-09-02: STEVENS MARK A (Director) sold $98,470,906, 9% of holding (+9 more in last 30d)</t>
  </si>
  <si>
    <t>2026-09-03: Stat Lauren Elaina Friedman (Director) sold $244,915, 2% of holding (+20 more in last 30d)</t>
  </si>
  <si>
    <t>2026-09-04: Fang Shu-Hua (SVP and GC) bought $77,090, 16% of holding (+11 more in last 30d)</t>
  </si>
  <si>
    <t>2026-09-02: MONSER EDWARD L (Director) sold $219,497, 3% of holding (+7 more in last 30d)</t>
  </si>
  <si>
    <t>Re-scored 8/7/26: original Avoid was bad source data, corrected. See Journal.</t>
  </si>
  <si>
    <t>AAP</t>
  </si>
  <si>
    <t>Tier-1 Avoid (external)</t>
  </si>
  <si>
    <t>BABA</t>
  </si>
  <si>
    <t>2026-08-25: Tsai Joseph C (Other) bought $10,418,400, 1% of holding (+2 more in last 30d)</t>
  </si>
  <si>
    <t>CE</t>
  </si>
  <si>
    <t>CLF</t>
  </si>
  <si>
    <t>CMG</t>
  </si>
  <si>
    <t>Watch List</t>
  </si>
  <si>
    <t>COST</t>
  </si>
  <si>
    <t>CRK</t>
  </si>
  <si>
    <t>DEO</t>
  </si>
  <si>
    <t>DIS</t>
  </si>
  <si>
    <t>2026-08-20: Roeder Paul M (Sr EVP and Chief Comm Officer) sold $382,327, 100% of holding (+1 more in last 30d)</t>
  </si>
  <si>
    <t>DPZ</t>
  </si>
  <si>
    <t>EL</t>
  </si>
  <si>
    <t>2026-08-25: La Lande Rashida (Exec VP &amp; General Counsel) sold $553,896, 100% of holding</t>
  </si>
  <si>
    <t>ET</t>
  </si>
  <si>
    <t>2026-08-20: WARREN KELCY L (Other) bought $7,487,721, 0% of holding (+2 more in last 30d)</t>
  </si>
  <si>
    <t>ETN</t>
  </si>
  <si>
    <t>2026-08-13: Monesmith Heath B. (See Remarks below.) sold $8,261,224, 26% of holding (+1 more in last 30d)</t>
  </si>
  <si>
    <t>ETSY</t>
  </si>
  <si>
    <t>2026-08-19: Buckley Merilee (CHIEF ACCOUNTING OFFICER) sold $18,850, 59% of holding (+9 more in last 30d)</t>
  </si>
  <si>
    <t>GE</t>
  </si>
  <si>
    <t>2026-08-12: Giglietti Robert M. (Vice President) sold $1,976,639, 18% of holding (+7 more in last 30d)</t>
  </si>
  <si>
    <t>GOOS</t>
  </si>
  <si>
    <t>HRL</t>
  </si>
  <si>
    <t>LBRT</t>
  </si>
  <si>
    <t>2026-07-30: Murti Arjun N (Director) bought $250,009, 51% of holding</t>
  </si>
  <si>
    <t>LIN</t>
  </si>
  <si>
    <t>2026-08-19: Reynolds Paula Rosput (Director) bought $47,912, 14% of holding</t>
  </si>
  <si>
    <t>NEE</t>
  </si>
  <si>
    <t>NFLX</t>
  </si>
  <si>
    <t>2026-08-10: Neumann Spencer Adam (Chief Financial Officer) sold $700,907, 11% of holding (+6 more in last 30d)</t>
  </si>
  <si>
    <t>NKE</t>
  </si>
  <si>
    <t>2026-08-11: Montagne Amy (PRESIDENT, NIKE) sold $204,657, 8% of holding (+1 more in last 30d)</t>
  </si>
  <si>
    <t>Consensus declined 0.19 (1-5 scale) over 3 months (3.39 -&gt; 3.21, 39 analysts currently)</t>
  </si>
  <si>
    <t>NOV</t>
  </si>
  <si>
    <t>2026-07-31: HARRISON DAVID D (Other) sold $184,301, 7% of holding</t>
  </si>
  <si>
    <t>Consensus improved 0.21 (1-5 scale) over 3 months (3.19 -&gt; 3.40, 20 analysts currently)</t>
  </si>
  <si>
    <t>2026-08-17: Bernhard Olivier (Executive Officer) bought $1,993,790, 1% of holding (+1 more in last 30d)</t>
  </si>
  <si>
    <t>PG</t>
  </si>
  <si>
    <t>2026-08-24: Janzaruk Matthew W. (SVP - Chief Accounting Officer) sold $52,141, 22% of holding (+12 more in last 30d)</t>
  </si>
  <si>
    <t>PH</t>
  </si>
  <si>
    <t>2026-08-19: Scott Patrick (VP &amp; Pres-Fluid Conn. Grp.) sold $1,294,800, 25% of holding (+12 more in last 30d)</t>
  </si>
  <si>
    <t>PZZA</t>
  </si>
  <si>
    <t>Consensus declined 0.29 (1-5 scale) over 3 months (3.29 -&gt; 3.00, 14 analysts currently)</t>
  </si>
  <si>
    <t>2026-08-17: O'Leary Joseph D (Director) sold $214,440, 15% of holding (+2 more in last 30d)</t>
  </si>
  <si>
    <t>2026-09-02: MCINERNEY RYAN (Chief Executive Officer) sold $2,230,444, 28% of holding (+3 more in last 30d)</t>
  </si>
  <si>
    <t>VFC</t>
  </si>
  <si>
    <t>2026-08-17: Carucci Richard (Director) bought $294,600, 6% of holding (+1 more in last 30d)</t>
  </si>
  <si>
    <t>YUM</t>
  </si>
  <si>
    <t>2026-08-24: Skeans Tracy L (COO and CPO) sold $552,052, 100% of holding (+2 more in last 30d)</t>
  </si>
  <si>
    <t>KGS</t>
  </si>
  <si>
    <t>Diversification candidate (Energy -- gas compression services, contract-based revenue, not upstream E&amp;P). Fresh Tier 1 quant screen 9/11/26; Moat/Rev Visibility not yet assessed (Part 12).</t>
  </si>
  <si>
    <t>Weekly closing price ($), week-ending Friday (Rule 36: weekly total returns, 24-month target, 12-month minimum, 36-month max). 20 slots: 13 stocks + 7 held ETFs + headroom.</t>
  </si>
  <si>
    <t>Week Ending</t>
  </si>
  <si>
    <t>Company</t>
  </si>
  <si>
    <t>Date Scored</t>
  </si>
  <si>
    <t>Tier 1 Wtd Avg</t>
  </si>
  <si>
    <t>Composite Score</t>
  </si>
  <si>
    <t>Decision</t>
  </si>
  <si>
    <t>Rule 1</t>
  </si>
  <si>
    <t>Rule 2</t>
  </si>
  <si>
    <t>Rule 3</t>
  </si>
  <si>
    <t>Rule 4</t>
  </si>
  <si>
    <t>This tab mirrors the Scoring tab automatically — do not type here. You can sort this tab directly (Data &gt; Sort by Composite Score); Excel moves whole rows, so each row's links stay correct.</t>
  </si>
  <si>
    <t>Tickers</t>
  </si>
  <si>
    <t>TIER 1 — 70% of Decision</t>
  </si>
  <si>
    <t>TIER 2 — 25% of Decision</t>
  </si>
  <si>
    <t>TIER 3 — 5% of Decision</t>
  </si>
  <si>
    <t>RULE FLAGS (1–4)</t>
  </si>
  <si>
    <t>CLASSIFICATION</t>
  </si>
  <si>
    <t>PIOTROSKI-DERIVED CROSS-CHECKS 
(confidence-tagging inputs only — do not feed Composite Score)</t>
  </si>
  <si>
    <t>Date
Scored</t>
  </si>
  <si>
    <t>FCF Yield &amp;
Trend (20%)
Score</t>
  </si>
  <si>
    <t>Conf
(H/M/L)</t>
  </si>
  <si>
    <t>Rev Growth
Consist. (15%)
Score</t>
  </si>
  <si>
    <t>Moat
Quality (15%)
Score</t>
  </si>
  <si>
    <t>Rev
Visibility (10%)
Score</t>
  </si>
  <si>
    <t>FCF Margin
Trend (10%)
Score</t>
  </si>
  <si>
    <t>Confidence
(H/M/L)</t>
  </si>
  <si>
    <t>Tier 1
Wtd Avg
(÷0.70)</t>
  </si>
  <si>
    <t>Tier 1
Contrib.</t>
  </si>
  <si>
    <t>Mgmt Quality
&amp; Cap Alloc (8%)
Score</t>
  </si>
  <si>
    <t>ROIC vs
WACC (6%)
Score</t>
  </si>
  <si>
    <t>Rel Strength
vs SPY (3%)
Score</t>
  </si>
  <si>
    <t>Valuation
Multiples (8%)
Score</t>
  </si>
  <si>
    <t>Tier 2
Contrib.</t>
  </si>
  <si>
    <t>Technical
Trend (2%)
Score</t>
  </si>
  <si>
    <t>Analyst
Consensus (2%)
Score</t>
  </si>
  <si>
    <t>Volume &amp;
Accum. (1%)
Score</t>
  </si>
  <si>
    <t>Tier 3
Contrib.</t>
  </si>
  <si>
    <t>Composite
Score</t>
  </si>
  <si>
    <t>Rule 1
Tier1&lt;3.0</t>
  </si>
  <si>
    <t>Rule 2
Any=1</t>
  </si>
  <si>
    <t>Sector</t>
  </si>
  <si>
    <t>Industry</t>
  </si>
  <si>
    <t>CFO
($)</t>
  </si>
  <si>
    <t>Net Income
($)</t>
  </si>
  <si>
    <t>Accruals
Check</t>
  </si>
  <si>
    <t>Debt/FCF
(current)</t>
  </si>
  <si>
    <t>Debt/FCF
(prior yr)</t>
  </si>
  <si>
    <t>Leverage
Trajectory</t>
  </si>
  <si>
    <t>M</t>
  </si>
  <si>
    <t>H</t>
  </si>
  <si>
    <t>L</t>
  </si>
  <si>
    <t>Technology</t>
  </si>
  <si>
    <t>Semiconductors</t>
  </si>
  <si>
    <t>Software - Infrastructure</t>
  </si>
  <si>
    <t>Healthcare</t>
  </si>
  <si>
    <t>Biotechnology</t>
  </si>
  <si>
    <t>Prologis Inc. (REIT-adapted)</t>
  </si>
  <si>
    <t>Real Estate</t>
  </si>
  <si>
    <t>REIT - Industrial</t>
  </si>
  <si>
    <t>Consumer Defensive</t>
  </si>
  <si>
    <t>Grocery Stores</t>
  </si>
  <si>
    <t>Consumer Cyclical</t>
  </si>
  <si>
    <t>Footwear &amp; Accessories</t>
  </si>
  <si>
    <t>Auto Manufacturers</t>
  </si>
  <si>
    <t>Software - Application</t>
  </si>
  <si>
    <t>Computer Hardware</t>
  </si>
  <si>
    <t>Semiconductor Equipment &amp; Materials</t>
  </si>
  <si>
    <t>Taiwan Semiconductor Mfg.</t>
  </si>
  <si>
    <t>Industrials</t>
  </si>
  <si>
    <t>Electrical Equipment &amp; Parts</t>
  </si>
  <si>
    <t>Costco Wholesale Corp.</t>
  </si>
  <si>
    <t>Discount Stores</t>
  </si>
  <si>
    <t>Financial Services</t>
  </si>
  <si>
    <t>Credit Services</t>
  </si>
  <si>
    <t>NextEra Energy Inc.</t>
  </si>
  <si>
    <t>Utilities</t>
  </si>
  <si>
    <t>Utilities - Regulated Electric</t>
  </si>
  <si>
    <t>Comstock Resources Inc.</t>
  </si>
  <si>
    <t>Energy</t>
  </si>
  <si>
    <t>Oil &amp; Gas E&amp;P</t>
  </si>
  <si>
    <t>Energy Transfer LP</t>
  </si>
  <si>
    <t>Oil &amp; Gas Midstream</t>
  </si>
  <si>
    <t>Liberty Energy Inc.</t>
  </si>
  <si>
    <t>Oil &amp; Gas Equipment &amp; Services</t>
  </si>
  <si>
    <t>NOV Inc.</t>
  </si>
  <si>
    <t>Celanese Corp.</t>
  </si>
  <si>
    <t>Basic Materials</t>
  </si>
  <si>
    <t>Chemicals</t>
  </si>
  <si>
    <t>Cleveland-Cliffs Inc.</t>
  </si>
  <si>
    <t>Steel</t>
  </si>
  <si>
    <t>Linde plc</t>
  </si>
  <si>
    <t>Specialty Chemicals</t>
  </si>
  <si>
    <t>Diageo plc</t>
  </si>
  <si>
    <t>Beverages - Wineries &amp; Distilleries</t>
  </si>
  <si>
    <t>Estee Lauder Companies</t>
  </si>
  <si>
    <t>Household &amp; Personal Products</t>
  </si>
  <si>
    <t>Hormel Foods Corp.</t>
  </si>
  <si>
    <t>Packaged Foods</t>
  </si>
  <si>
    <t>Procter &amp; Gamble Co.</t>
  </si>
  <si>
    <t>Chipotle Mexican Grill</t>
  </si>
  <si>
    <t>Restaurants</t>
  </si>
  <si>
    <t>Domino's Pizza Inc.</t>
  </si>
  <si>
    <t>Papa John's Intl.</t>
  </si>
  <si>
    <t>Yum! Brands Inc.</t>
  </si>
  <si>
    <t>Nike Inc.</t>
  </si>
  <si>
    <t>V.F. Corporation</t>
  </si>
  <si>
    <t>Apparel Manufacturing</t>
  </si>
  <si>
    <t>Canada Goose Holdings</t>
  </si>
  <si>
    <t>Advance Auto Parts Inc.</t>
  </si>
  <si>
    <t>Auto Parts</t>
  </si>
  <si>
    <t>Alibaba Group Holding Ltd.</t>
  </si>
  <si>
    <t>Internet Retail</t>
  </si>
  <si>
    <t>Etsy Inc.</t>
  </si>
  <si>
    <t>GE Aerospace</t>
  </si>
  <si>
    <t>Aerospace &amp; Defense</t>
  </si>
  <si>
    <t>Parker-Hannifin Corporation</t>
  </si>
  <si>
    <t>Specialty Industrial Machinery</t>
  </si>
  <si>
    <t>Eaton Corporation plc</t>
  </si>
  <si>
    <t>The Walt Disney Company</t>
  </si>
  <si>
    <t>Communication Services</t>
  </si>
  <si>
    <t>Entertainment</t>
  </si>
  <si>
    <t>Netflix, Inc.</t>
  </si>
  <si>
    <t>Kodiak Gas Services, Inc.</t>
  </si>
  <si>
    <t>Part 4 Entry Rules (5-10, 13). Rules 5-7 pull from the Scoring tab; Rules 11-12 pull from the Implied-Return Calculator; Rules 8-9-10-13 are entered here. Keep this tab's row order matching Scoring/Dashboard/Implied-Return Calculator for the same stock (row 3 = same stock across all four).</t>
  </si>
  <si>
    <t>Rule 5
Composite
≥65?</t>
  </si>
  <si>
    <t>Rule 6
Tier1
≥3.0?</t>
  </si>
  <si>
    <t>Rule 7
No Tier1
=1?</t>
  </si>
  <si>
    <t>Staging
Result
(Rules 8-9)</t>
  </si>
  <si>
    <t>Rule 10
Binary event
risk present?
(Y/N)</t>
  </si>
  <si>
    <t>Risk included
in thesis?
(Y/N)</t>
  </si>
  <si>
    <t>Rule 10
Result</t>
  </si>
  <si>
    <t>Base Case
&gt;10%?</t>
  </si>
  <si>
    <t>Rule 11
Bear Case
≥0%?</t>
  </si>
  <si>
    <t>Rule 12
Scenario tags
OK?</t>
  </si>
  <si>
    <t>P/FCF
(current)</t>
  </si>
  <si>
    <t>Consensus FCF
growth, 2-yr
annualized</t>
  </si>
  <si>
    <t>Rule 13
Valuation
Ceiling</t>
  </si>
  <si>
    <t>ENTRY
AUTHORIZED?</t>
  </si>
  <si>
    <t>Recommended Action</t>
  </si>
  <si>
    <t>Market Data -- Claude-populated via yfinance (landry.data_auto.market_snapshot), refreshed periodically, not live. Scope: current holdings (excluding cash-sweep vehicles) plus any Scoring candidate that has cleared Tier 1 and is sitting on the bench -- not names already screened out. See Instructions WORKFLOW POLICY for detail.</t>
  </si>
  <si>
    <t>Price ($)</t>
  </si>
  <si>
    <t>Volume</t>
  </si>
  <si>
    <t>Market Cap ($M)</t>
  </si>
  <si>
    <t>P/E</t>
  </si>
  <si>
    <t>52-Wk Low</t>
  </si>
  <si>
    <t>52-Wk High</t>
  </si>
  <si>
    <t>Div Yield (%)</t>
  </si>
  <si>
    <t>Weekly return, calculated from Price History. Do not edit — formulas only.</t>
  </si>
  <si>
    <t>ADBE trend</t>
  </si>
  <si>
    <t>ANET trend</t>
  </si>
  <si>
    <t>ASML trend</t>
  </si>
  <si>
    <t>AVGO trend</t>
  </si>
  <si>
    <t>CRWD trend</t>
  </si>
  <si>
    <t>KLAC trend</t>
  </si>
  <si>
    <t>MU trend</t>
  </si>
  <si>
    <t>NVDA trend</t>
  </si>
  <si>
    <t>PLD trend</t>
  </si>
  <si>
    <t>PLTR trend</t>
  </si>
  <si>
    <t>TSM trend</t>
  </si>
  <si>
    <t>VRT trend</t>
  </si>
  <si>
    <t>VRTX trend</t>
  </si>
  <si>
    <t>AVUV trend</t>
  </si>
  <si>
    <t>HELO trend</t>
  </si>
  <si>
    <t>JEPQ trend</t>
  </si>
  <si>
    <t>SPMO trend</t>
  </si>
  <si>
    <t>VFLO trend</t>
  </si>
  <si>
    <t>V trend</t>
  </si>
  <si>
    <t>Pairwise correlation of weekly returns, 12-36 month window (Rule 36, Part 7). Covers stocks and held ETFs together. Recalculate quarterly.</t>
  </si>
  <si>
    <t>Positions exceeding cap (correlated &gt;0.70 with 2+ other holdings):</t>
  </si>
  <si>
    <t>Rule 36 status (no position may exceed 0.70 with more than one other holding):</t>
  </si>
  <si>
    <t>Positions &gt;0.70 with</t>
  </si>
  <si>
    <t>Portfolio-level drawdown tracking (Part 7, Rules 36-37). Enter Date and Portfolio Value; all other columns calculate automatically.</t>
  </si>
  <si>
    <t>Date</t>
  </si>
  <si>
    <t>Portfolio Value ($)</t>
  </si>
  <si>
    <t>Running Peak ($)</t>
  </si>
  <si>
    <t>Drawdown %</t>
  </si>
  <si>
    <t>Status</t>
  </si>
  <si>
    <t>Required Cash Floor</t>
  </si>
  <si>
    <t>New Position Initiation</t>
  </si>
  <si>
    <t>DCA-TRANCHE-2 prerequisite check, 9/7/26 -- see Journal.</t>
  </si>
  <si>
    <t>Tracks every holding in Probationary Hold (50-64) or Exit Review (35-49) per Part 6. The 90-day deadline and its consequence are calculated automatically — this tab is what makes Rules 31-34 enforceable rather than a manual judgment call.</t>
  </si>
  <si>
    <t>Status
(Probationary/
Exit Review)</t>
  </si>
  <si>
    <t>Entry Date
(band entered)</t>
  </si>
  <si>
    <t>Entry
Score</t>
  </si>
  <si>
    <t>Current
Score</t>
  </si>
  <si>
    <t>Current Score
Date</t>
  </si>
  <si>
    <t>Credible
Remediation Plan?
(Y/N)</t>
  </si>
  <si>
    <t>90-Day
Deadline</t>
  </si>
  <si>
    <t>Days
Remaining</t>
  </si>
  <si>
    <t>Action Status</t>
  </si>
  <si>
    <t>Remediation Plan Notes</t>
  </si>
  <si>
    <t>BASE CASE</t>
  </si>
  <si>
    <t>BEAR CASE</t>
  </si>
  <si>
    <t>BULL CASE</t>
  </si>
  <si>
    <t>RULE 11 / 12 CHECKS</t>
  </si>
  <si>
    <t>Current
Price ($)</t>
  </si>
  <si>
    <t>Yr-5 FCF
/sh ($)</t>
  </si>
  <si>
    <t>Terminal
P/FCF</t>
  </si>
  <si>
    <t>Cum.
Distrib/sh</t>
  </si>
  <si>
    <t>Implied
Annual Return</t>
  </si>
  <si>
    <t>Tag (L/P/U)</t>
  </si>
  <si>
    <t>Base&gt;10%?</t>
  </si>
  <si>
    <t>Bear≥0%?</t>
  </si>
  <si>
    <t>Exactly 1
Likely?</t>
  </si>
  <si>
    <t>Costco Wholesale Corporation</t>
  </si>
  <si>
    <t>Possible</t>
  </si>
  <si>
    <t>Likely</t>
  </si>
  <si>
    <t>FUNDAMENTAL TRIGGERS (Rules 21-25) — flags if declined 2 consecutive periods</t>
  </si>
  <si>
    <t>VALUATION / SIZING TRIGGERS (Rules 26-30)</t>
  </si>
  <si>
    <t>Position Pct</t>
  </si>
  <si>
    <t>Max Full Pct</t>
  </si>
  <si>
    <t>FCF Yield
Prior</t>
  </si>
  <si>
    <t>FCF Yield
Current</t>
  </si>
  <si>
    <t>Flag</t>
  </si>
  <si>
    <t>Moat
Prior</t>
  </si>
  <si>
    <t>Moat
Current</t>
  </si>
  <si>
    <t>ROIC-WACC
Spread
Prior</t>
  </si>
  <si>
    <t>ROIC-WACC
Spread
Current</t>
  </si>
  <si>
    <t>Mgmt
Quality
Prior</t>
  </si>
  <si>
    <t>Mgmt
Quality
Current</t>
  </si>
  <si>
    <t>Rev Growth
Prior</t>
  </si>
  <si>
    <t>Rev Growth
Current</t>
  </si>
  <si>
    <t>FCF Growth
%</t>
  </si>
  <si>
    <t>Current
Tier</t>
  </si>
  <si>
    <t>Prior
Tier</t>
  </si>
  <si>
    <t>Valuation
Flags</t>
  </si>
  <si>
    <t>Hold Through
Applies? (Y/N)</t>
  </si>
  <si>
    <t>Entry
Date</t>
  </si>
  <si>
    <t>Entry
Price</t>
  </si>
  <si>
    <t>Entry
Confidence</t>
  </si>
  <si>
    <t>Entry
Decision Band</t>
  </si>
  <si>
    <t>SPY Price
at Entry</t>
  </si>
  <si>
    <t>Status
(Held/Exited)</t>
  </si>
  <si>
    <t>Exit
Date</t>
  </si>
  <si>
    <t>Exit
Price</t>
  </si>
  <si>
    <t>Exit
Reason</t>
  </si>
  <si>
    <t>Current/
Exit Price</t>
  </si>
  <si>
    <t>SPY Price
(current/exit)</t>
  </si>
  <si>
    <t>Total Return
Since Entry</t>
  </si>
  <si>
    <t>SPY Return
Same Period</t>
  </si>
  <si>
    <t>Excess
Return</t>
  </si>
  <si>
    <t>Strong Buy</t>
  </si>
  <si>
    <t>Held</t>
  </si>
  <si>
    <t>Buy</t>
  </si>
  <si>
    <t>Total Return Since Entry is a simple price return (excludes dividends unless you fold them into Current/Exit Price manually). At each annual review, snapshot the return here rather than trying to back-calculate historical 1/3/5-year prices Excel doesn't have.</t>
  </si>
  <si>
    <t>Sold -- Rule 3 Avoid (same-store sales growth collapsed 11.5%-&gt;1.6% YoY, FCF margin compressed), small gain, no credible remediation path identified.</t>
  </si>
  <si>
    <t>Sold -- Rule 3 Avoid confirmed on 2nd consecutive scoring pass. FCF negative funding AI/robotics capex; not the profile this System rewards. Small gain.</t>
  </si>
  <si>
    <t>Sold -- small position, clearing the deck rather than carrying a Tier 1 Avoid. Small gain, FCF trend declining despite strong revenue growth.</t>
  </si>
  <si>
    <t>RE-SCORED, NOT sold. Original Avoid call (8/6/26) was based on unreliable FCF data from MacroTrends. Reconstructed actual cash-flow-statement FCF: $3.19B (2024), $3.71B (2025), growing, ~31% margin -- 2023 was a one-year dip, not a trend. Corrected Composite = 75.6, BUY. Holding.</t>
  </si>
  <si>
    <t>SFM,TSLA,ONON</t>
  </si>
  <si>
    <t>Sells confirmed executed. Removed from Current Positions (qty/cost basis zeroed) and Monitor &amp; Recheck Triggers (marked Closed). Sale proceeds shown as estimates using last known market price -- true up cash balances with next fresh account export.</t>
  </si>
  <si>
    <t>Confirmed actual proceeds: ONON -100sh $3,764.92 | SFM -65sh $5,601.58 | TSLA -15sh $4,783.25. Total $14,149.75 added to VMFXX. Combined portfolio now $700,739.19.</t>
  </si>
  <si>
    <t>VGT,CALF,AVUV</t>
  </si>
  <si>
    <t>ETF cleanup executed: VGT sold (-40.18sh, $4,851.48, worst correlation offender). CALF sold (-409.55sh, $23,016.52), consolidated into AVUV (+193.58sh, $24,518.64) per correlation/flow/quality comparison. AVUV now 400.0sh, $51,496 combined value.</t>
  </si>
  <si>
    <t>PLD,VRTX,ADBE</t>
  </si>
  <si>
    <t>DCA tranche 1 executed, weighted toward diversifiers: PLD +64sh $8,954.88, VRTX +25sh $12,219.25, ADBE +20sh $5,327.60. Total $26,501.73 (target was $24,000, actual fills ran slightly over).</t>
  </si>
  <si>
    <t>Label corrected: VFLO is VictoryShares Free Cash Flow ETF (large-cap FCF-focused), not Vanguard US Multifactor ETF as previously mislabeled. Not redundant with AVUV/CALF as originally framed -- different market-cap segment. Kept on its own merits.</t>
  </si>
  <si>
    <t>DCA-TRANCHE-2</t>
  </si>
  <si>
    <t>Target: ~$24,000. PREREQUISITES before executing: (1) Pull fresh prices for all held positions -- update Current Positions col F and Monitor &amp; Recheck Triggers col H. (2) Log this month's total portfolio value into Portfolio Drawdown Log -- regime determines whether tranche proceeds at all: Normal=full tranche, Elevated=Strong-Buy-only, Severe/Critical=SKIP and hold cash per Rule 18. (3) Scan Monitor &amp; Recheck Triggers Recheck Status for anything DUE -- re-score before adding to it, not after. (4) Check remaining diversifier headroom (VRTX/PLD/ADBE) against tranche size -- ~$64,174 left after Tranche 1, should still be sufficient here. (5) Confirm Correlation Matrix status hasn't moved unfavorably. [Rescheduled from 9/7 to 9/8: 9/7/2026 is Labor Day, a market holiday -- no trading. Kept the ~7-day-after-month-end spacing, shifted to the next trading day.]</t>
  </si>
  <si>
    <t>QTR-REVIEW-1</t>
  </si>
  <si>
    <t>Standardized quarterly review, calendar quarter-end (price/date-driven items only -- no benefit to delaying these). ACTIONS: (1) Portfolio Drawdown Log -- log quarter-end portfolio value, confirm regime. (2) Correlation Matrix -- full refresh with latest Price History data, confirm Rule 36 status. (3) Watch List Tracker -- check all 90-day deadlines (Rule 33), flag any DEADLINE PASSED / APPROACHING. (4) Begin COST/Visa prep for Tranche 3 headroom gap (see 10/7 note) -- populate Price History with 12+ months weekly closes, run Entry Checklist Rules 8-13 for both.</t>
  </si>
  <si>
    <t>DCA-TRANCHE-3</t>
  </si>
  <si>
    <t>Target: ~$24,000. Same 5-step prerequisite checklist as Tranche 2 (fresh prices, Drawdown Log regime check, Monitor DUE scan, headroom check, Correlation Matrix confirm). IMPORTANT: diversifier headroom (VRTX/PLD/ADBE) likely runs thin around this tranche (~$64,174 remaining after Tranche 1, minus Tranche 2). If insufficient, this is where COST and/or Visa enter the deployment -- confirm both have completed Price History population and Entry Checklist authorization (started at 9/30 review) before allocating to either. SUPERSEDED 9/7/26 -- see DCA-CATCHUP-PLAN (9/7/26 entry below) for the revised ~$33,413/tranche, twice-monthly schedule.</t>
  </si>
  <si>
    <t>FUND-REFRESH-1</t>
  </si>
  <si>
    <t>Fundamental refresh, ~3-4 weeks after Sep 30 quarter-end to allow Q3 earnings to land. ACTIONS: (1) Re-score Tier 1 indicators (FCF Yield, Revenue Growth, Moat, Rev Visibility, FCF Margin) for existing holdings using new Q3 results -- update Scoring tab for anything material, not a full re-research unless flagged by Monitor &amp; Recheck Triggers. (2) Complete COST/Visa Entry Checklist work if not finished at 9/30 review. (3) Holding Monitor -- for each held ticker, snapshot pre-refresh Tier 1 sub-scores (FCF Yield, Moat, ROIC-WACC Spread, Mgmt Quality, Rev Growth) into the Prior columns, then populate Current columns with the post-refresh values; also populate Position Pct, Max Full Pct, Debt/FCF, P/FCF, FCF Growth%, Implied Return, and Current/Prior Tier. First cycle, so Prior = pre-refresh baseline, not a true prior period. NOTE: Costco's fiscal year ends in August, not December -- its earnings won't align with this calendar-quarter cadence; don't expect a fresh COST report here.</t>
  </si>
  <si>
    <t>DCA-TRANCHE-4</t>
  </si>
  <si>
    <t>Target: ~$24,000. Same 5-step prerequisite checklist as prior tranches (fresh prices, Drawdown Log regime check, Monitor DUE scan, headroom check, Correlation Matrix confirm). By this point COST and/or Visa should be live deployment candidates if diversifier headroom ran out at Tranche 3. [Rescheduled from 11/7 to 11/9: 11/7/2026 is a Saturday. Kept the ~7-day-after-month-end spacing, shifted to the next trading day.] SUPERSEDED 9/7/26 -- see DCA-CATCHUP-PLAN (9/7/26 entry below) for the revised ~$33,413/tranche, twice-monthly schedule.</t>
  </si>
  <si>
    <t>QTR-REVIEW-2</t>
  </si>
  <si>
    <t>Standardized quarterly review, calendar quarter-end. Same actions as 9/30 (QTR-REVIEW-1): Portfolio Drawdown Log entry, Correlation Matrix refresh, Watch List 90-day deadline check.</t>
  </si>
  <si>
    <t>FUND-REFRESH-2</t>
  </si>
  <si>
    <t>Fundamental refresh, ~3-4 weeks after Dec 31 quarter-end. Re-score Tier 1 indicators using Q4/FY results. Holding Monitor: shift each held ticker's Current columns into Prior, then populate Current with the newly re-scored Tier 1 sub-scores and refreshed valuation/sizing metrics (Debt/FCF, P/FCF, FCF Growth%, Implied Return, Current/Prior Tier, Position Pct, Max Full Pct); review any resulting TRIGGER/ACTION REQUIRED flags. NOTE: Q4/full-year earnings tend to land later than other quarters (audited annuals, proxy statements) -- may catch fewer names fully reported than the October refresh does; some re-scoring may need to wait into February.</t>
  </si>
  <si>
    <t>DARRYL-SCREEN-METHOD</t>
  </si>
  <si>
    <t>Darryl-list screening used GICS-sector Tier A/B/C categorization (from the original candidate-sequencing plan) as a proxy for diversification value -- e.g. Utilities called "zero AI capex exposure." NRG/VST screening (8/18) showed this doesn't hold: both are AI-power-narrative names that correlate 0.74 with EACH OTHER and sold off together on AI-capex-overbuild concerns -- the sector label was never the System's real diversification test. Built correlation_vs_holdings() (landry/data_auto.py) to run the actual Rule 36 test -- correlation vs REAL current holdings, not a sector-label assumption -- automatically on every `landry draft`. Backfilled it for every already-screened Darryl candidate plus NRG/VST: none flag against real holdings (highest is VST at 0.61 vs VRT, under the 0.70 threshold). Going forward: sector labels are a sequencing convenience only -- Rule 36 vs actual holdings is what decides diversification value.</t>
  </si>
  <si>
    <t>ETF-CASH-BUCKET-TODO</t>
  </si>
  <si>
    <t>AVUV, SPMO, VFLO are held as temporary cash buckets (liquidity reserve to be drawn on when cash is needed), not as scored Landry positions -- they sit outside the system's scope (Part 1.3 excludes ETFs) and have no Scoring tab entry. Added a "Cash / Cash Equivalents" row to Current Positions (row 39, under the Combined Portfolio Total) rolling up actual cash plus these three ETFs: $398,882 combined, 56.9% of the $700,751 portfolio, with $9,533 of embedded unrealized gain in the ETF portion (a real tax cost if liquidated). TO DO: formalize how ETFs should be treated as portfolio positions -- current treatment (temporary cash proxy, outside Landry scoring) is a working assumption, not a documented rule.</t>
  </si>
  <si>
    <t>PRE-TRANCHE-SCORING-TODO</t>
  </si>
  <si>
    <t>Reviewed Current Positions' note flagging 12 Self-Directed (Chase) tickers as unscored -- it was stale. Checked each against the current Scoring tab and actual holdings: VRTX, PLD, SFM, ONON, and TSLA are already scored (VRTX/PLD as diversifiers, SFM/ONON/TSLA as historical entries on now-zero positions); AVUV, SPMO, and VFLO are ETF cash-buckets, correctly out of Landry scope per Part 1.3 (see ETF-CASH-BUCKET-TODO, 8/24); CALF and VGT are zero-quantity, no longer held. Only JEPQ ($50,056) and HELO ($20,877) are real, currently-held positions with zero Scoring tab presence -- score both before DCA-TRANCHE-2 (9/8/2026). Separately, lower priority: added a PENDING fallback to Dashboard col F (Decision) for any ticker that cleared Tier 1 but has no Composite Score yet -- this surfaced 10 such tickers (ET, LIN, PG, CMG, DPZ, YUM, ETSY, GE, PH, ETN, NFLX), none of which are currently held, so none block the tranche. Worth finishing their Tier 2/3 scoring at some point, just not before 9/8.</t>
  </si>
  <si>
    <t>DCA-CATCHUP-PLAN-V1</t>
  </si>
  <si>
    <t>Agreed with Alan: blend increased cadence with an explicit catch-up amount to address dry-powder buildup, rather than just resuming flat $24K tranches. Diagnosis: combined portfolio $751,223 (9/4/26), cash/dry-powder $513,634 (68.4%) -- the $24K target was sized against a much smaller cash base and was never rescaled; at that pace, full deployment would take 20+ months. Plan: (1) 6-month catch-up phase, twice-monthly tranches. Excess over Part 5's 15% cash ceiling (15% of $751,223 = $112,683) is $400,950; split across 12 tranches = ~$33,413 each (see DCA-CATCHUP-1 through -12 below; dates approximate, shift for weekends/holidays same as prior tranches). (2) After the catch-up completes (~March 2027), downshift to steady-state twice-monthly tranches sized as a % of portfolio rather than a flat $, so this doesn't go stale again. Guardrail: pace does NOT override the Composite&gt;=65 / Tier 1 qualifying-candidate gate (Part 5 -- insufficient qualifying candidates means hold the difference in cash, don't lower the bar). Each catch-up tranche still runs the full 5-step prerequisite checklist. DCA-TRANCHE-2 (9/8/26, $24K) proceeds as already planned/checklisted -- this new cadence starts with the first tranche after it, not with Tranche 2 itself. Rationale for accelerating now, per Alan: no acute macro threat identified (election uncertainty noted but not treated as a reason to slow bottom-up deployment -- consistent with Part 7's macro-overlay guidance that macro views are a temporary modifier, not an override). SUPERSEDED 9/11/26 -- see DCA-CATCHUP-PLAN-2 for the revised ~4-month/8-tranche, $40K-$50K/tranche schedule.</t>
  </si>
  <si>
    <t>DCA-CATCHUP-1-V1</t>
  </si>
  <si>
    <t>Target: ~$33,413 (catch-up plan, see DCA-CATCHUP-PLAN 9/7/26). Same 5-step prerequisite checklist as prior tranches (fresh prices, Drawdown Log regime check, Monitor DUE scan, headroom check, Correlation Matrix confirm). Date approximate -- confirm against actual trading calendar and shift for weekends/holidays, same convention as Tranches 1-2. SUPERSEDED 9/11/26 -- see DCA-CATCHUP-PLAN-2 for the revised ~4-month/8-tranche, $40K-$50K/tranche schedule.</t>
  </si>
  <si>
    <t>DCA-CATCHUP-2-V1</t>
  </si>
  <si>
    <t>DCA-CATCHUP-3-V1</t>
  </si>
  <si>
    <t>DCA-CATCHUP-4-V1</t>
  </si>
  <si>
    <t>DCA-CATCHUP-5-V1</t>
  </si>
  <si>
    <t>DCA-CATCHUP-6-V1</t>
  </si>
  <si>
    <t>DCA-CATCHUP-7-V1</t>
  </si>
  <si>
    <t>DCA-CATCHUP-8-V1</t>
  </si>
  <si>
    <t>DCA-CATCHUP-9-V1</t>
  </si>
  <si>
    <t>DCA-CATCHUP-10-V1</t>
  </si>
  <si>
    <t>DCA-CATCHUP-11-V1</t>
  </si>
  <si>
    <t>DCA-CATCHUP-12-V1</t>
  </si>
  <si>
    <t>Target: ~$33,413 (catch-up plan, see DCA-CATCHUP-PLAN 9/7/26). Same 5-step prerequisite checklist as prior tranches (fresh prices, Drawdown Log regime check, Monitor DUE scan, headroom check, Correlation Matrix confirm). Date approximate -- confirm against actual trading calendar and shift for weekends/holidays, same convention as Tranches 1-2. Last catch-up tranche -- after this, downshift to steady-state cadence per DCA-CATCHUP-PLAN. SUPERSEDED 9/11/26 -- see DCA-CATCHUP-PLAN-2 for the revised ~4-month/8-tranche, $40K-$50K/tranche schedule.</t>
  </si>
  <si>
    <t>VRTX,V,PLD</t>
  </si>
  <si>
    <t>DCA-TRANCHE-2 executed. VRTX +15sh @ ~$527.47 ($7,912.09, Chase) -- diversifier add, now 65sh total. V (Visa) opened as a brand-new position: 50sh across 2 lots, $9,209.50 @ $368.38 + $9,239.13 @ $369.565 = $18,448.63 (Fidelity) -- Entry Checklist authorized (Composite 86.4, STRONG BUY), zero prior Financial Services exposure, correlation checked clean against all current holdings (max 0.46 vs VFLO, live CORREL formula) before buying. PLD skipped this tranche -- Fidelity's Equity Summary Score (LSEG StarMine) showed Very Bearish (0.7/10) with 2 recent Sell opinions (Trading Central 9/4, McLean Capital Mgmt 9/6) against 3 Neutral and 2 Buy; traditional sell-side consensus stayed clean (0 Sell ratings, improving vs 3mo ago) -- Alan chose to wait/watch rather than add given the split signal. Total tranche $26,360.72 vs. $24,000 target (ran over, same pattern as Tranche 1). Source: Tranche_EXECUTIONS.xlsx (Alan's new standing execution-log file, updated each tranche going forward). Recorded in Current Positions, Performance Tracking (V, new row), Price History + Returns (Calc) + Correlation Matrix (V added as a new tracked ticker, live formulas throughout).</t>
  </si>
  <si>
    <t>DCA-ACCELERATION-POLICY</t>
  </si>
  <si>
    <t>DCA acceleration policy for the current dry-powder pile (tactical, NOT a Part 7 rule change) -- source: "Landry System DOLLAR COST AVERAGING Strategy.docx" (docs/, added 9/11/26), proposing DCA tranche-size acceleration tiered to the S&amp;P 500's distance from its all-time high: Routine Pullback (-5% to -9%) = baseline/0%, Market Correction (-10% to -14%) = +25%, Severe Correction (-15% to -19%) = +50%, Bear Market (-20%+) = +100% (double). This runs in tension with Part 7's existing Portfolio Drawdown Response (Elevated=Strong-Buy-only, Severe/Critical=skip), since one measures the S&amp;P's condition and the other measures the portfolio's own -- they usually move together but don't have to. RECONCILED 9/11/26: for the DCA-CATCHUP-1 through 12 tranches specifically (the $337,606 ETF dry-powder pile, ~43.5% of the portfolio as of this date), apply the S&amp;P-ATH acceleration tier to set tranche size, UNLESS the Portfolio Drawdown Log's own regime is Severe or worse, which overrides and skips the tranche regardless of the S&amp;P tier; if the portfolio regime is Elevated, the acceleration still applies to size but new entries stay restricted to Strong-Buy-quality names only (matching Part 7's existing Elevated rule). This is a near-term, tactical application to the current pile -- not a change to Part 7's Hard Rule text or the Instructions tab. Grounding numbers at the time of this decision: S&amp;P 500 at 7676.09, only -1.58% from its recent ATH (7798.99, 8/13/26) -- this tier framework is not currently active (baseline pace applies today); this is policy for later, not a live override. Process Checklist's DCA-CATCHUP step list updated same day to apply this.</t>
  </si>
  <si>
    <t>ETF-CASH-BUCKET-TODO,PRE-TRANCHE-SCORING-TODO</t>
  </si>
  <si>
    <t>CLARIFIED 9/11/26 (during Journal review -- corrects an overstated "RESOLVED" framing written moments earlier in a first pass at this same entry): the 8/24 ETF-CASH-BUCKET-TODO ("formalize how ETFs should be treated as portfolio positions") is NOT resolved -- it remains a genuine open To-Do, grouped with DB development as a "later" item per Alan (9/11/26). What IS settled, narrowly: the specific 8/26 tactical question (score JEPQ/HELO before DCA-TRANCHE-2?). These 10 yield ETFs (AVUV, SPMO, VFLO, DVY, SCHD, VYM, MLPI, JEPQ, HELO, JEPI) are being treated as temporary cash-equivalents, outside Landry's scoring scope, for now -- confirmed JEPQ/HELO are still absent from the Scoring tab, consistent with this temporary treatment. This is a stopgap working assumption, not the formal ETF policy the original TODO asked for -- that formalization is still pending, no target date set.</t>
  </si>
  <si>
    <t>WILDCARD-ALLOCATION-TODO</t>
  </si>
  <si>
    <t>Alan raised for future consideration -- not decided, not scoped, no target date: a 5%-10% portfolio allocation to a "wild card" sleeve -- rule-disregarding, or governed by a new/separate rule set still to be defined -- for exceptional opportunities that fall outside the current Landry Strategy's normal Entry Checklist / Tier 1-3 scoring gates. Genuinely undefined at this stage (his own framing): what qualifies as "exceptional," how it would be sized and tracked separately from the scored portfolio, whether it needs its own sell discipline, and how it interacts with Part 5's existing position/sector caps and Part 7's drawdown response. Grouped with the other standing To-Dos (ETF treatment policy, DB migration) as a future discussion item, not active work.</t>
  </si>
  <si>
    <t>PIOTROSKI-DIAGNOSTIC-BATCH</t>
  </si>
  <si>
    <t>Ran the agreed 4-ticker validity test (SFM, TSLA, ONON, VRTX) against real, dated cash-flow-statement data (not a third-party aggregator). Results: Accruals Check diverged from existing FCF-Yield confidence for VRTX only (existing=High, Accruals=LOW CONF -- FY2025 CFO .63B came in below Net Income .95B); SFM/TSLA/ONON's Accruals agreed with existing state (no new signal). Leverage Trajectory could NOT be evaluated for any of the 4 -- none has a Management Quality score on record to compare the flag against (SFM/ONON/TSLA were all sold before reaching that stage of scoring). NOT a final verdict -- sample is too thin, especially on Leverage Trajectory (0 of 4 testable). Plan: add 1-2 currently-held, fully-scored tickers to get real Leverage Trajectory signal before deciding keep/drop; investigate why VRTX's CFO&lt;NI happened (one-time item vs. genuine quality concern) before treating that divergence as conclusive on its own. If kept: fold AN-AS population into the standing FUND-REFRESH checklist for every held ticker, not just diagnostic-batch ones. If dropped: stop populating, leave the historical data in place as a record of the experiment. Also resolved in this pass: TSLA's "FCF negative" sell rationale (row 4, 8/7/26) doesn't match today's data (FCF was solidly positive both FY2024 and FY2025) -- Alan's separate 7/31/26 analysis (possibly predating the chat-to-code migration, exact methodology now uncertain per his own recollection) independently confirms the actual trigger was a Tier 1 floor failure (1.71 vs 3.0 minimum), most likely driven by low FCF YIELD given Tesla's enormous market cap rather than negative FCF in dollar terms -- the sell decision looks solidly grounded, the write-up's phrasing was just imprecise. Data now populated in Scoring cols AN-AS for all 4 tickers (rows 7, 9, 10, 11).</t>
  </si>
  <si>
    <t>Extended the batch with 2 currently-held, Management-Quality-scored tickers (MU, VRT) specifically to make the Leverage Trajectory check testable -- the first 4 (SFM/TSLA/ONON/VRTX) left it untestable for 3 of 4. Picked capital-intensive businesses with real debt dynamics rather than low-debt software names; skipped PLD (REIT, no standard CapEx line item -- "Purchase of Investment Properties" isn't a clean analog) and TSM/ASML (foreign issuers reporting in local currency -- caught TSM's figures were in Taiwan dollars, trillions not billions, before writing anything). Results: MU Accruals=OK, Leverage=Decreased (existing Mgmt Quality 4/M -- consistent, no divergence). VRT Accruals=OK, Leverage=Decreased (existing Mgmt Quality 4/M -- same, consistent). Note: MU's fiscal year ends August 31, not December -- same non-calendar-FYE quirk as COST, worth remembering for FUND-REFRESH timing. Running batch tally, 6 tickers total: Accruals testable for all 6, 1 divergence (VRTX only), 5 agree. Leverage Trajectory now testable for 3 of 6 (VRTX, MU, VRT), 0 divergences -- all three agree with existing Mgmt Quality. Still not a final verdict -- 0 divergences on Leverage Trajectory could mean it's redundant (per the original decision rule) or just that 3 data points isn't enough yet; leaning toward needing a few more before calling it either way.</t>
  </si>
  <si>
    <t>Diagnosed the Piotroski Accruals divergence flagged in the diagnostic batch (FY2025 CFO .63B under Net Income .95B). Traced the full cash-flow reconciliation: every non-cash addback points the normal direction (D&amp;A +.8M, stock comp +.9M, asset impairment +.0M all push CFO above NI, as usual), but a ,199.1M working-capital consumption overwhelms them -- concentrated in inventory (-.2M), prepaid assets (-.0M), and receivables (-.3M). Revenue grew a real 8.9% YoY (.02B-&gt;.00B) over the same period, and this coincides with the Journavx (suzetrigine) launch, VRTX's first non-opioid pain drug -- inventory build ahead of a major launch and receivables growth from ramping sales are the expected pattern, not a red flag on their own. One thing worth actually watching, not alarming: receivables grew about 35% as fast as revenue, somewhat more than stable collection terms alone would suggest -- check whether this normalizes over the next quarter or two. CONCLUSION: reads as growth/launch-driven working capital consumption, not a hidden earnings-quality problem. The Accruals check did its job -- it correctly flagged a real, mechanically-true divergence -- but interpreting it needed a human read, consistent with how the check is designed to work (confidence-tagging only, not an automatic verdict). Status: diagnosed, monitor the receivables trend at the next fundamental refresh, not currently treated as a red flag on VRTX's BUY classification.</t>
  </si>
  <si>
    <t>Added KLAC and V specifically to test worsening leverage -- the 5 prior testable cases were all "Decreased" (improving), leaving the more diagnostic scenario (leverage worsening despite an already-good score) untested. Results: KLAC Accruals=LOW CONF (existing FCF-Yield conf=M -- a mild divergence, not yet diagnosed), Leverage=Increased but essentially flat (1.625-&gt;1.633, existing Mgmt Quality=4/H). V Accruals=OK (agrees), Leverage=Increased and real (1.115-&gt;1.167, existing Mgmt Quality=4/M). FINAL TALLY, 8 tickers: Accruals testable for all 8, 2 divergences (VRTX -- diagnosed benign, growth/launch-driven; KLAC -- not yet diagnosed but same profile as a growing semiconductor-equipment maker), 6 agree. Leverage Trajectory testable for 5 of 8, 2 show "Increased" but both against already-imperfect scores (4, not 5) rather than contradicting a high-confidence claim -- neither is the clean "caught something the existing score missed" case the test was designed to find, and one (KLAC) is economically trivial rather than a real deterioration. Assessment: across 8 tickers, the mechanism has correctly detected real mechanical divergences twice, but in the one case fully diagnosed (VRTX) the underlying cause was benign, normal business activity, not something that should have lowered confidence -- meaning the check adds diagnostic overhead without changing the conclusion. Leverage Trajectory has never once produced a result that meaningfully contradicts an existing assessment. Leaning toward DROP as redundant for how this system is actually used, per the original decision rule -- Alan's own expectation going into this last check. Awaiting his final call.</t>
  </si>
  <si>
    <t>PIOTROSKI-VERDICT</t>
  </si>
  <si>
    <t>FINAL DECISION: DROP. Alan confirmed 9/11/26 ("Yes, proceed - well done") after reviewing the complete 8-ticker diagnostic batch (VRTX, SFM, ONON, TSLA, MU, VRT, KLAC, V). The two Piotroski cross-checks (Accruals Quality, Leverage Trajectory) do not add reliable signal beyond the existing Confidence-tagging process, per the decision rule agreed 9/8/26. Reasoning: Accruals Check correctly detected 2 real mechanical divergences (VRTX, KLAC) across 8 tickers, but the one fully diagnosed (VRTX) turned out to be benign, growth/launch-driven working-capital consumption, not a genuine earnings-quality concern -- the flag creates diagnostic overhead without changing the conclusion. Leverage Trajectory was tested against 5 tickers with an existing Management Quality baseline and never once produced a result that meaningfully contradicted the existing assessment -- both "Increased" results were against already-imperfect (4, not 5) scores, and one (KLAC) was economically trivial (a 0.008 change in the ratio, essentially noise). Also confirmed before finalizing: the Accruals flag (Scoring col AP) was never actually wired into any live formula -- Rule 4's cap only counts the original Tier 1/2 confidence columns (E:M), not AP -- so this decision changes nothing about any ticker's current classification; it was a pure documentation/annotation column this whole time. DISPOSITION: stop populating Scoring cols AN-AS for any further tickers. Historical data for the 8 tested tickers stays in place as a record of the experiment, not scrubbed. Action Items' Piotroski tally section (rows 31-33) retired same day, in place of becoming a permanently-stale, partial-coverage counter in a tab meant to reflect live state. The rubric additions remain documented in Landry System v1.02 as a tested-and-retired enhancement, not erased from the record.</t>
  </si>
  <si>
    <t>DCA-CATCHUP-PLAN-2</t>
  </si>
  <si>
    <t>Revised catch-up cadence, replacing the 9/7/26 plan (rows 22-34, now superseded). Agreed with Alan after discussing Vanguard's lump-sum-vs-DCA research (lump sum beats DCA ~67-75% of the time) against his stated discomfort with current macro uncertainty (elections, war, politics). Reasoning for leaning accelerated despite that discomfort: (1) this is already-committed capital that's been sitting idle specifically because the original pace was too slow, so the time-in-market argument applies more cleanly than to a fresh lump-sum decision; (2) the system already has reactive protection against bad timing that doesn't depend on slow pacing -- Part 7's Drawdown Response can pause/shrink tranches if things actually deteriorate, and the 9/11/26 S&amp;P-ATH acceleration policy actually leans into weakness rather than avoiding it; (3) DCA's real value is regret minimization, not expected return, so some smoothing still makes sense given Alan's stated discomfort is about comfort, not a market-timing thesis. NEW PLAN: 4 months, 8 tranches (down from 6 months/12), twice monthly on the 7th and 22nd (not 15th/31st -- avoids month-end index/institutional rebalancing noise and stays consistent with the original plan's early-month/mid-month spirit). Target $40,000-$50,000/tranche, deliberately a loose range rather than a precise figure (a precise calc -- excess over Part 5's 15% cash ceiling, less a planned $20,000 personal withdrawal, /8 -- comes out to ~$47,517 as of 9/11/26, comfortably inside the range). Same 5-step-plus prerequisite checklist as before every tranche (now tracked in Process Checklist). Guardrail unchanged: pace never overrides the Composite&gt;=65/Tier-1-qualifying-candidate gate.</t>
  </si>
  <si>
    <t>DCA-CATCHUP-1</t>
  </si>
  <si>
    <t>Target: $40,000-$50,000 (see DCA-CATCHUP-PLAN-2). Shifted from 9/22 (the plan's regular cadence date) to 9/30 -- Alan traveling abroad last week of September, no market access. Same prerequisite checklist as prior tranches.</t>
  </si>
  <si>
    <t>DCA-CATCHUP-2</t>
  </si>
  <si>
    <t>Target: $40,000-$50,000 (see DCA-CATCHUP-PLAN-2). Only 7 days after DCA-CATCHUP-1 (which itself shifted to 9/30) -- a shorter-than-usual gap, kept as-is rather than reflowing the whole schedule, same convention as prior holiday/weekend shifts. Same prerequisite checklist as prior tranches.</t>
  </si>
  <si>
    <t>DCA-CATCHUP-3</t>
  </si>
  <si>
    <t>Target: $40,000-$50,000 (see DCA-CATCHUP-PLAN-2). Same prerequisite checklist as prior tranches.</t>
  </si>
  <si>
    <t>DCA-CATCHUP-4</t>
  </si>
  <si>
    <t>Target: $40,000-$50,000 (see DCA-CATCHUP-PLAN-2). Rescheduled from 11/7 to 11/9: 11/7/2026 is a Saturday. Same prerequisite checklist as prior tranches.</t>
  </si>
  <si>
    <t>DCA-CATCHUP-5</t>
  </si>
  <si>
    <t>Target: $40,000-$50,000 (see DCA-CATCHUP-PLAN-2). Rescheduled from 11/22 to 11/23: 11/22/2026 is a Sunday. Same prerequisite checklist as prior tranches.</t>
  </si>
  <si>
    <t>DCA-CATCHUP-6</t>
  </si>
  <si>
    <t>DCA-CATCHUP-7</t>
  </si>
  <si>
    <t>DCA-CATCHUP-8</t>
  </si>
  <si>
    <t>Target: $40,000-$50,000 (see DCA-CATCHUP-PLAN-2). Last tranche of the revised catch-up cadence -- after this, downshift to steady-state twice-monthly tranches sized as a % of portfolio, same as originally planned. Same prerequisite checklist as prior tranches.</t>
  </si>
  <si>
    <t>LIN,ET,KGS</t>
  </si>
  <si>
    <t>Started the Scoring completion queue with LIN (see scoring_completion_queue) -- refreshed Tier 1 via the auto-draft pipeline since the 8/11/26 scores were a month old. Found real deterioration: Tier 1 Wtd Avg fell from 4.5 to 3.07 (Revenue Growth Consistency 4-&gt;2, FCF Margin Trend 5-&gt;2, driven by a genuine ~0.6% 3-year revenue CAGR and FCF margin compression from a heavy CapEx cycle -- verified directly against real revenue/CFO/CapEx figures, not a data glitch). Checked ET (same 8/11 batch) for the same issue on a hunch and found the identical pattern: 4.0 -&gt; 3.07 (Revenue Growth Consistency 4-&gt;1 on a newly-negative CAGR, FCF Margin Trend 4-&gt;2). Both approved and written into Scoring at their rescored values. Alan's call for both: leave them rescored, don't advance further right now -- below the ~4.0 bar he's using for what's worth prioritizing this early. Worth rechecking DPZ, PG, and GE (same 8/11-13 batch, still fully untouched) before trusting their recorded scores -- the auto-draft pipeline matured after 8/11 (confirmed via git history the same day), so this may not be company-specific deterioration so much as the original batch having been scored with something less rigorous than what's available now. Added to Open Items.
Separately, picked 2 diversification candidates and began tracking: ET (already tracked, now rescored) and KGS (Kodiak Gas Services, Energy -- gas compression services, contract-based revenue, not upstream E&amp;P). Energy is the one sector genuinely untouched by both current holdings and the rest of the Scoring queue. KGS screened clean: Tier 1 quant = 4.0 on its 3 known indicators (Moat/Rev Visibility not yet assessed, Part 12), relative strength +78.6% over 12mo, analyst consensus 15/15 buy-equivalent, correlation vs holdings only 0.48 (vs AVUV) -- genuinely diversifying, not just a different label (same check that caught the NRG/VST correlation trap). One caution: ROIC vs WACC is negative (-2.0pp), not currently earning its cost of capital -- may be structural to compression-equipment economics, worth watching not ignoring. Added to Scoring (row 48) and Monitor &amp; Recheck Triggers (Watch List, row 48); Candidates pipeline status updated to "Ready for Tier 1".
Real bug found and fixed in passing: Scoring's Tier 1 Wtd Avg formula only handled "all 5 indicators populated" or "none" correctly -- KGS's partial state (3 of 5) exposed that missing indicators were silently treated as zero rather than excluded, which would have shown KGS failing Tier 1 at 2.57 instead of its honest 4.0. Fixed across all 45 rows, verified zero regressions on every already-complete ticker. Also fixed: extending Monitor &amp; Recheck Triggers to row 48 (for KGS) left all 35 of Current Positions' live-price lookup formulas one row short of the new boundary -- extended, verified no held position's resolved price changed.</t>
  </si>
  <si>
    <t>Checklist, not prose -- one row per required step for every recurring event (tranches, quarterly reviews, fundamental refreshes). Mark Done=Y when a step is actually complete; Status auto-flags OVERDUE once the event's Journal date has passed with any step still unchecked. Event Due Date is looked up live from the Journal tab (matches this tab's Event value against Journal col B) -- don't hand-type it, it'll drift.</t>
  </si>
  <si>
    <t>Steps currently overdue (event date passed, not marked Done):</t>
  </si>
  <si>
    <t>Event</t>
  </si>
  <si>
    <t>Step</t>
  </si>
  <si>
    <t>Done (Y/N)</t>
  </si>
  <si>
    <t>Date Done</t>
  </si>
  <si>
    <t>Event Due Date</t>
  </si>
  <si>
    <t>Portfolio Drawdown Log -- log quarter-end portfolio value, confirm regime</t>
  </si>
  <si>
    <t>Correlation Matrix -- full refresh with latest Price History data, confirm Rule 36 status</t>
  </si>
  <si>
    <t>Watch List Tracker -- check all 90-day deadlines (Rule 33), flag any DEADLINE PASSED / APPROACHING</t>
  </si>
  <si>
    <t>Log any conversational (non-CLI-draft) scoring to landry_scores.json (source=manual, approved_by=Alan)</t>
  </si>
  <si>
    <t>Run `python -m landry audit`, confirm clean or explain any failures</t>
  </si>
  <si>
    <t>Run `python -m landry.xlsx_recalc` after any workbook edit</t>
  </si>
  <si>
    <t>Re-score Tier 1 indicators (FCF Yield, Revenue Growth, Moat, Rev Visibility, FCF Margin) for existing holdings using new Q3 results -- update Scoring tab for anything material</t>
  </si>
  <si>
    <t>Complete COST/Visa Entry Checklist work if not finished at 9/30 review</t>
  </si>
  <si>
    <t>Holding Monitor -- snapshot pre-refresh Tier 1 sub-scores into Prior columns, then populate Current columns with post-refresh values; also populate Position Pct, Max Full Pct, Debt/FCF, P/FCF, FCF Growth%, Implied Return, Current/Prior Tier</t>
  </si>
  <si>
    <t>Re-score Tier 1 indicators using Q4/FY results</t>
  </si>
  <si>
    <t>Holding Monitor -- shift each held ticker's Current columns into Prior, then populate Current with newly re-scored Tier 1 sub-scores and refreshed valuation/sizing metrics; review any TRIGGER/ACTION REQUIRED flags</t>
  </si>
  <si>
    <t>Pull fresh prices for all held positions -- update Current Positions col F</t>
  </si>
  <si>
    <t>Log this month's total portfolio value into Portfolio Drawdown Log -- note the resulting regime (Normal/Elevated/Severe/Critical)</t>
  </si>
  <si>
    <t>Check S&amp;P 500 % from ATH and apply the DCA acceleration tier to this tranche's size: Routine(-5 to -9%)=baseline, Correction(-10 to -14%)=+25%, Severe Correction(-15 to -19%)=+50%, Bear(-20%+)=+100%. Portfolio regime from the step above overrides: Severe/Critical=skip this tranche regardless of S&amp;P tier; Elevated=Strong-Buy-quality entries only, multiplier still applies. See Journal 9/11/26 for full reasoning</t>
  </si>
  <si>
    <t>Scan Monitor &amp; Recheck Triggers Recheck Status -- re-score whatever's DUE before adding to it, not after</t>
  </si>
  <si>
    <t>Check remaining diversifier headroom (VRTX/PLD/ADBE, or COST/Visa once active) against tranche size</t>
  </si>
  <si>
    <t>Confirm Correlation Matrix status hasn't moved unfavorably before buying</t>
  </si>
  <si>
    <t>Open items backlog -- especially non-critical ones that don't have a natural home in a recurring checklist. Numbered in priority order (1 = highest) -- renumber freely as priorities shift, this list is short enough that it's a non-issue. Mark Done=Y and fill Date Resolved when closed; resolved rows stay in place as a record rather than being deleted. Full reasoning behind any entry lives in Journal -- Notes here just points to it.</t>
  </si>
  <si>
    <t>Open (unresolved) items:</t>
  </si>
  <si>
    <t>#</t>
  </si>
  <si>
    <t>Item</t>
  </si>
  <si>
    <t>Date Raised</t>
  </si>
  <si>
    <t>Date Resolved</t>
  </si>
  <si>
    <t>Piotroski: add 1-2 currently-held, Management-Quality-scored tickers to the diagnostic batch, specifically to make the Leverage Trajectory check testable (0 of the first 4 tickers had a Mgmt Quality score on record to compare against).</t>
  </si>
  <si>
    <t>Added MU and VRT -- both now testable, both agree with existing Mgmt Quality (no divergence). See Journal row 40.</t>
  </si>
  <si>
    <t>Piotroski: diagnose why VRTX's FY2025 CFO ($3.63B) came in under Net Income ($3.95B) -- one-time item vs. a genuine earnings-quality concern -- before treating that divergence as conclusive on its own.</t>
  </si>
  <si>
    <t>Growth/launch-driven working-capital build (Journavx launch), not an earnings-quality concern. See Journal row 41.</t>
  </si>
  <si>
    <t>Scoring completion queue: LIN, NFLX, DPZ, PG, GE cleared Tier 1 months ago but never got Tier 2/3 scoring. Complete one at a time, starting with LIN.</t>
  </si>
  <si>
    <t>Implied-Return backfill: 16 pre-existing holdings (13 held, 3 sold) entered the portfolio before the Rules 11-13 gate existed and have never been run through it.</t>
  </si>
  <si>
    <t>Action Items E25/E26: same truncated-range bug already fixed in E28/E29 (Entry Authorization tallies) also exists here (Rule 2/4 candidate-flag tallies against Scoring, still capped at row 27).</t>
  </si>
  <si>
    <t>Holding Monitor's template caps at 20 tickers; Implied-Return Calculator extends to the full 45-ticker universe. Not urgent today (14 non-ETF holdings), but a real ceiling if holdings keep growing.</t>
  </si>
  <si>
    <t>Formalize how ETFs should be treated as portfolio positions. Current holdings are being treated as dry powder for now (a tactical decision), but the general policy question is still genuinely undecided.</t>
  </si>
  <si>
    <t>See Journal row 37.</t>
  </si>
  <si>
    <t>Database migration: Phase A shipped 8/18/26; Phases B/C (cutting the CLI/webapp over to the DB, generated-report export) were paused pending Tranche 2. That gate cleared 9/8/26 but resuming hasn't been asked for.</t>
  </si>
  <si>
    <t>Consider a 5-10% "wild card" portfolio allocation -- rule-disregarding, or governed by a new/separate rule set -- for exceptional opportunities outside the current Landry Strategy's normal gates. Genuinely undefined, discussion-only for now.</t>
  </si>
  <si>
    <t>See Journal row 38.</t>
  </si>
  <si>
    <t>Reconcile the Instructions tab's print layout with Alan's separately reformatted _copy version (one page wide). Recommended Alan do this directly on the live file to avoid cross-contamination from a _copy file.</t>
  </si>
  <si>
    <t>Recheck DPZ, PG, and GE (same 8/11-13 Scoring batch as LIN/ET) before trusting their recorded Tier 1 scores. LIN and ET both showed real deterioration on rescore (Tier 1 Wtd Avg ~4.5/4.0 -&gt; 3.07 for both) once run through the current, more rigorous auto-draft pipeline -- which matured after 8/11/26. May not be company-specific weakening so much as the whole batch having been scored with something less rigorous than what's available now.</t>
  </si>
  <si>
    <t>See Journal row 53.</t>
  </si>
  <si>
    <t>SCHEMA REFERENCE — for future programmatic access (Claude Code or otherwise)</t>
  </si>
  <si>
    <t>Every tab's structure documented in one place, so an agent reading this workbook doesn't have to reverse-engineer it. Tabs marked 'Table' below are registered Excel Tables (structured references, e.g. =CurrentPositionsTable[Ticker] work directly). Tabs marked 'Fixed range' have stable column positions but a merged multi-row header, so address by column letter + row number instead.</t>
  </si>
  <si>
    <t>Instructions</t>
  </si>
  <si>
    <t>Structure Type</t>
  </si>
  <si>
    <t>Table/Range Name</t>
  </si>
  <si>
    <t>Data Rows</t>
  </si>
  <si>
    <t>Key Reference</t>
  </si>
  <si>
    <t>Reference text (no data)</t>
  </si>
  <si>
    <t>n/a</t>
  </si>
  <si>
    <t>How-to and rule reference. No structured data.</t>
  </si>
  <si>
    <t>Action Items</t>
  </si>
  <si>
    <t>Formulas pulling from other tabs</t>
  </si>
  <si>
    <t>Rows 4-31, sections by row</t>
  </si>
  <si>
    <t>Read-only summary; do not write here, it recalculates from source tabs.</t>
  </si>
  <si>
    <t>Current Positions</t>
  </si>
  <si>
    <t>Table</t>
  </si>
  <si>
    <t>CurrentPositionsTable</t>
  </si>
  <si>
    <t>A2:M49. JT ULTRA rows 3-21 (19 positions), subtotal row 22, 'Excluding Cash' % row 23. Self-Directed/Chase rows 25-44 (20 positions), subtotal row 45, 'Excluding Cash' % row 46. Combined Portfolio Total row 48, Cash/Cash Equivalents row 49 -- both inside the table range. These row numbers shift every time a position is added/removed -- re-verify against the live Table ref before relying on them, don't hardcode downstream references to specific rows.</t>
  </si>
  <si>
    <t>A=Account,B=Ticker,C=Description,D=AssetClass,E=Quantity,F=Price,G=MarketValue,H=CostBasis,I=UnrealizedGL$,J=UnrealizedGL%,K=%ofAccount,L=%ofCombined,M=Classification. Tax-loss carryforward reference cells at O2/P2 (Short-term), O3/P3 (Long-term) -- outside the table. Notes row (50) also outside the table, freeform.</t>
  </si>
  <si>
    <t>Monitor &amp; Recheck Triggers</t>
  </si>
  <si>
    <t>MonitorTable</t>
  </si>
  <si>
    <t>A2:Q48 (col N=Analyst Shift Note, mirrors K/L; RecheckStatus now P, Notes now Q; row 48 added 2026-09-11 for KGS, a tracked non-owned candidate)</t>
  </si>
  <si>
    <t>A=Ticker,B=Category,C=LastScoreDate,D=LastComposite,E=LastT1WtdAvg,F=LastDecision,G=PriceAtLastScore,H=CurrentPrice,I=%PriceChange,J=EarningsDate,K=InsiderY/N,L=InsiderNote,M=AnalystShiftY/N,N=AnalystShiftNote,O=DaysSinceScore,P=RecheckStatus,Q=Notes. Category values: Owned / Owned - Tier1 AVOID / Watch List / Tier-1 Avoid (external) / Near-Miss.</t>
  </si>
  <si>
    <t>Price History</t>
  </si>
  <si>
    <t>Fixed range, single header</t>
  </si>
  <si>
    <t>Rows 3-162, cols A + B-V (21 ticker-column slots). 19 tickers currently populated (14 stocks, 5 ETFs); 2 slots free at cols P and U. Weekly closes, week-ending Friday (Rule 36). 24-month target ~104 rows, 12-month minimum ~52 rows, 36-month max ~156 rows. Manual entry. V added 2026-09-08 (Tranche 2) at col V, appended past the original 20-slot range rather than reusing a freed slot -- the 2 free slots (P, U) predate V and are still open.</t>
  </si>
  <si>
    <t>A=Week Ending, B onward=one column per tracked ticker (order matches Returns (Calc) and Correlation Matrix).</t>
  </si>
  <si>
    <t>Dashboard</t>
  </si>
  <si>
    <t>DashboardTable</t>
  </si>
  <si>
    <t>A1:J46 (header is row 1 here, not row 2 like most other tabs)</t>
  </si>
  <si>
    <t>A=Ticker,B=Company,C=DateScored,D=Tier1WtdAvg,E=Composite,F=Decision,G=Rule1,H=Rule2,I=Rule3,J=Rule4. Formula-mirrors Scoring row-for-row (=IF(Scoring!A3="","",Scoring!A3) pattern) -- read-only, do not edit directly. 19 Rule-3-Avoid rows manually hidden; the ticker-count footnote uses SUBTOTAL(103,...) so it only counts visible (non-hidden) rows.</t>
  </si>
  <si>
    <t>Scoring</t>
  </si>
  <si>
    <t>Fixed range, 2-row merged header</t>
  </si>
  <si>
    <t>n/a (not a Table -- Tier1/2/3 group headers span multiple columns in row 1)</t>
  </si>
  <si>
    <t>Rows 3-47 populated (45 tickers), formulas/formatting run through row 60 for headroom; row 62 holds a visible-ticker-count subtotal (SUBTOTAL 103, respects collapsed groups).</t>
  </si>
  <si>
    <t>A=Ticker,B=Company,C=Date. D-M=Tier1 (5 indicators x [Score,Conf]). N=Tier1WtdAvg,O=Tier1Contrib. P-W=Tier2 (4 x [Score,Conf]). X=Tier2Contrib. Y-AD=Tier3 (3 x [Score,Conf]). AE=Tier3Contrib. AF=Composite,AG=Decision. AH=Rule1,AI=Rule2,AJ=Rule3,AK=Rule4 flags. AL=Sector,AM=Industry (added 2026-08-18; yfinance sector/industry, refined sub-class e.g. "Utilities - Independent Power Producers" not just "Utilities" -- reference/diversification-screening field, not a Hard Rule input or part of the Composite calc) AN-AS=Piotroski-derived cross-checks (added 2026-08-25, confidence-tagging inputs only, do NOT feed Composite Score): AN=CFO,AO=NetIncome,AP=AccrualsCheck(OK/LOW CONF, feeds FCF Yield &amp; Trend confidence tag),AQ=Debt/FCF current,AR=Debt/FCF prior year,AS=LeverageTrajectory(Decreased/Flat/Increased, feeds Management Quality confidence tag and score per System v1.02 Part 2). Indicator key names used by landry.scoring.INDICATORS (for programmatic access) don't match these column letters 1:1 -- see landry/scoring.py if writing code against this tab rather than reading it.</t>
  </si>
  <si>
    <t>Entry Checklist</t>
  </si>
  <si>
    <t>EntryChecklistTable</t>
  </si>
  <si>
    <t>A2:S47</t>
  </si>
  <si>
    <t>A=Ticker,B=Company (both formula-mirror Scoring, same =IF(Scoring!A3="","",Scoring!A3) pattern as Dashboard). C=Rule5(Composite&gt;=65),D=Rule6(Tier1&gt;=3.0),E=Rule7(NoTier1=1),F=Rule8(200wkMA Y/N),G=Rule9(MonthlyMACD Y/N),H=StagingResult(Rules8-9). I=Rule10(BinaryEventRiskPresent Y/N),J=RiskIncludedInThesis(Y/N),K=Rule10Result. L=BaseCase&gt;10%check (added 2026-09-08; mirrors 'Implied-Return Calculator'!S with a +1 row offset -- Entry Checklist row 3 = that tab's row 4, same ticker). M=Rule11-BearCase&gt;=0%check (mirrors ...!T, same +1 offset), N=Rule12-ScenarioTagsOK (mirrors ...!U, same +1 offset). O=P/FCF(current),P=ConsensusFCFgrowth(2-yr annualized),Q=Rule13-ValuationCeiling. R=ENTRYAUTHORIZED (aggregates C,D,E,K,L,M,N,Q -- YES only if all pass), S=RecommendedAction (reads R).</t>
  </si>
  <si>
    <t>Market Data</t>
  </si>
  <si>
    <t>Rows 3-38 (36 tickers: held equities/ETFs ex-cash + Tier-1-passed bench candidates), cols A-I. Manual entry, refreshed periodically via landry.data_auto.market_snapshot() -- not a live formula.</t>
  </si>
  <si>
    <t>A=Ticker,B=Company,C=Price,D=Volume,E=MarketCap,F=P/E,G=52wkLow,H=52wkHigh,I=DivYield.</t>
  </si>
  <si>
    <t>Returns (Calc)</t>
  </si>
  <si>
    <t>Fixed range, formula-derived</t>
  </si>
  <si>
    <t>Rows 3-161, cols A-V and W-AO</t>
  </si>
  <si>
    <t>Cols A-V mirror Price History's layout (same column order, same 2 blank gap columns) -- every cell there is a formula computing week-over-week %% return off Price History; do not edit directly. Cols W-AO (23-41) are a SEPARATE block: one 'trend' column per real ticker (19, packed contiguously, skipping Price History's 2 blank gaps), each an IFERROR(...+INDEX/MATCH(9.99E+307,...)...) formula that finds Price History's actual last row and computes that chart's dynamic trendline endpoint -- this is what lets each trendline auto-extend as new weekly closes are added, without FILTER/UNIQUE (this environment's LibreOffice recalc can't evaluate those). Feeds charts 1-19 directly; not a return calculation. Don't assume cols 23+ are unused placeholders -- they're live and load-bearing (a past session assumed exactly that from a shallow check and had to self-correct).</t>
  </si>
  <si>
    <t>Correlation Matrix</t>
  </si>
  <si>
    <t>Fixed range, formula-derived headers</t>
  </si>
  <si>
    <t>Rows 1-27, cols A-AG</t>
  </si>
  <si>
    <t>Restructured 2026-09-08 (Alan's 4-point spec). Row1=banner (merged A1:AG1). Rows2-3=summary, moved above the grid: A2/A3=labels, J2=violation count (COUNTIF of the count-col &gt;1), J3=Rule 36 status (OK/REVIEW REQUIRED, conditionally formatted red/green). Row4=blank spacer. Row5=header: A='Ticker', B-V=21 ticker columns (mirrors Price History/Returns (Calc) column order, including their 2 blank gaps). Rows6-26=21 ticker rows (same tickers, same order, as Price History). Cols W-AF (23-32)=10 blank buffer columns, reserved so new tickers don't force the count column to keep moving -- see the cell comment on AG5 before using up the last one. Col AG(33)='Positions &gt;0.70 with' -- per-row COUNTIF of that ticker's pairwise correlations &gt;0.7, conditionally formatted red if &gt;1 (that's the actual Rule 36 violation, tallied into J2).</t>
  </si>
  <si>
    <t>Portfolio Drawdown Log</t>
  </si>
  <si>
    <t>DrawdownLogTable</t>
  </si>
  <si>
    <t>A2:H42 as of 2026-09-08; grows one row per quarterly review, re-verify against the live Table ref</t>
  </si>
  <si>
    <t>A=Date,B=PortfolioValue,C=RunningPeak,D=Drawdown%,E=Status,F=RequiredCashFloor,G=NewPositionInitiation,H=Notes. Enter Date + PortfolioValue only; C-G calculate automatically (Part 7, Rules 36-37 drawdown-response tiers).</t>
  </si>
  <si>
    <t>Watch List Tracker</t>
  </si>
  <si>
    <t>WatchListTable</t>
  </si>
  <si>
    <t>A2:L22</t>
  </si>
  <si>
    <t>A=Ticker,B=Company,C=Status,D=EntryDate,E=EntryScore,F=CurrentScore,G=CurrentScoreDate,H=CredibleRemediationPlan(Y/N),I=90DayDeadline,J=DaysRemaining,K=ActionStatus,L=Notes.</t>
  </si>
  <si>
    <t>Implied-Return Calculator</t>
  </si>
  <si>
    <t>n/a (Base/Bear/Bull scenario groups span multiple columns in row 2)</t>
  </si>
  <si>
    <t>Template exists for the full 45-ticker universe, rows 4-48 (same row as Entry Checklist +1 -- Entry Checklist row 3 = this tab's row 4, same ticker, all the way through row 47/48). Only rows 20-21 (COST, V) currently have real data; the rest are genuinely empty (no data AND no stray formulas) -- populated on demand when a candidate moves toward actual entry (Rules 11-13 prep), not for the whole universe up front.</t>
  </si>
  <si>
    <t>A=Ticker,B=Company,C=Price. D-H=Base[FCF5,Mult,Dist,Return,Tag]. I-M=Bear[same]. N-R=Bull[same]. S=Base&gt;10%check,T=Bear&gt;=0%check,U=ExactlyOneLikelyCheck.</t>
  </si>
  <si>
    <t>Holding Monitor</t>
  </si>
  <si>
    <t>n/a (Fundamental-trigger group header spans multiple columns in row 2)</t>
  </si>
  <si>
    <t>Template only covers rows 4-23 (20 tickers) -- unlike Implied-Return Calculator, this does NOT extend to the full 45-ticker universe; sheet max_row is genuinely 23. Currently 14 non-ETF holdings, so there's headroom for now, but extending the template is a real to-do before holdings count gets much closer to 20. 100%% empty as of 2026-09-08 -- correct, not a gap: only populates during scheduled quarterly reviews/fundamental refreshes (see Journal's FUND-REFRESH entries), and the first one hadn't happened yet as of that date. All input columns (Ticker, Company, Position Pct, Max Full Pct, every Prior/Current metric) are pure manual entry, no formulas at all except the Flag/Valuation-Flags/Action-Status columns below.</t>
  </si>
  <si>
    <t>A=Ticker,B=Company,C=PositionPct,D=MaxFullPct. E-S=5 fundamental indicators x [Prior,Current,Flag]. T=Debt/FCF,U=P/FCF,V=FCFGrowth,W=ImpliedReturn,X=CurrentTier,Y=PriorTier,Z=ValuationFlags,AA=HoldThroughY/N,AB=ActionStatus.</t>
  </si>
  <si>
    <t>Performance Tracking</t>
  </si>
  <si>
    <t>PerformanceTrackingTable</t>
  </si>
  <si>
    <t>A2:Q33</t>
  </si>
  <si>
    <t>A=Ticker,B=Company,C=EntryDate,D=EntryPrice,E=EntryScore,F=EntryConfidence,G=EntryBand,H=SPYatEntry,I=Status,J=ExitDate,K=ExitPrice,L=ExitReason,M=CurrentOrExitPrice,N=SPYcurrentOrExit,O=TotalReturn,P=SPYReturnSamePeriod,Q=ExcessReturn. Only tickers that went through a real formal entry get a row (Part 9) -- legacy pre-System holdings and sold Rule-3-Avoid names are deliberately excluded, never backfilled with a fabricated entry score.</t>
  </si>
  <si>
    <t>Journal</t>
  </si>
  <si>
    <t>JournalTable</t>
  </si>
  <si>
    <t>A2:C302</t>
  </si>
  <si>
    <t>A=Date,B=Ticker,C=Notes. Freeform; filter/sort via the Table's built-in header dropdowns.</t>
  </si>
  <si>
    <t>Process Checklist</t>
  </si>
  <si>
    <t>ProcessChecklistTable</t>
  </si>
  <si>
    <t>A4:F99 as of 2026-09-11 (12 events x their own step count; shrank from A4:F135 when DCA-CATCHUP moved from a 12-tranche to an 8-tranche plan, see Journal row 44) -- grows or shrinks whenever a recurring event is added/removed from the Journal calendar or an existing event's step list changes</t>
  </si>
  <si>
    <t>A=Event (must match Journal col B exactly), B=Step, C=Done(Y/N, manual), D=DateDone(manual), E=EventDueDate (live lookup into Journal, do not hand-type), F=Status (Done/OVERDUE/Pending, formula). Added 2026-09-08 -- built to make "missed a checklist step" structurally visible (Status flips OVERDUE) rather than something you have to remember to check.</t>
  </si>
  <si>
    <t>Open Items</t>
  </si>
  <si>
    <t>OpenItemsTable</t>
  </si>
  <si>
    <t>A4:F15 as of 2026-09-11 (11 items) -- grows as new open items get added, shrinks only if a row is deliberately removed (resolved items stay, marked Done, not deleted)</t>
  </si>
  <si>
    <t>A=# (priority order, renumber freely), B=Item, C=Done(Y/N, manual), D=DateRaised, E=DateResolved, F=Notes (points to the Journal entry with full reasoning, doesn't duplicate it). Added 2026-09-11 -- ad hoc/one-off open items backlog, complements Process Checklist (which is for recurring scheduled events only).</t>
  </si>
  <si>
    <t>Market Data: Claude-populated via yfinance (landry.data_auto.market_snapshot), refreshed periodically, not a live formula -- corrected 2026-08-26; the STOCKHISTORY/Stocks-data-type approach previously documented here was never actually implemented (the tab sat empty). Scope: current holdings (excluding cash-sweep vehicles FZDXX/FZFXX/VMFXX/QACDS) plus any candidate that has cleared Tier 1 and is sitting on the bench -- not names already screened out.</t>
  </si>
  <si>
    <t>Journal: for decisions, reasoning, and corrections that don't have a natural home in a structured tab -- not a duplicate of what the Scoring/Correlation/Drawdown tabs already record as data.</t>
  </si>
  <si>
    <t>THE LANDRY FAMILY EQUITY INVESTMENT OPERATING SYSTEM — 
STOCK SCORING &amp; PORTFOLIO RISK WORKBOOK</t>
  </si>
  <si>
    <t>Weeks</t>
  </si>
  <si>
    <t>Rule 3
2+≤2=
Avoid</t>
  </si>
  <si>
    <t>Rule 4
2+Low=
Cap Buy</t>
  </si>
  <si>
    <t>Rule 9
Monthly MACD
positive / turning?
(Y/N)</t>
  </si>
  <si>
    <t>Rule 8
Above / reclaimed
200-wk MA?
(Y/N)</t>
  </si>
  <si>
    <r>
      <t>Standardized Implied-Return Methodology</t>
    </r>
    <r>
      <rPr>
        <b/>
        <i/>
        <sz val="11"/>
        <color rgb="FF000000"/>
        <rFont val="Arial Narrow"/>
        <family val="2"/>
        <charset val="1"/>
      </rPr>
      <t xml:space="preserve"> (Rule 11, Part 4): Expected annualized return = [(Year-5 equity value + cumulative distributions) ÷ current equity value]^(1/5) − 1. Run Base, Bear, and Bull cases together (Rule 12) — exactly one gets the Likely tag.</t>
    </r>
  </si>
  <si>
    <t xml:space="preserve">For positions actually held (not screening candidates). Tracks Part 6's ten sell triggers (Rules 21-30). Enter this-period and prior-period Tier 1 sub-scores to auto-detect the 'two consecutive periods' fundamental triggers; enter current valuation/position metrics for the rest. Any trigger firing without a Hold Through condition applying requires action within 30 days. </t>
  </si>
  <si>
    <t>Debt/FCF
(&gt;6x=
trigger)</t>
  </si>
  <si>
    <t>P/FCF
(&gt;50x+gr
&lt;15%)</t>
  </si>
  <si>
    <t>Implied Return
(&lt;7%=
trigger)</t>
  </si>
  <si>
    <r>
      <t>Every initiated position from entry date forward, per Part 9 -- including still-held positions, not only exited ones (avoids the exit-only selection bias the System was specifically built to prevent). Feeds the Rule-46 cohort review once 10+ entries in a decision band reach five years.</t>
    </r>
    <r>
      <rPr>
        <i/>
        <u/>
        <sz val="11"/>
        <color rgb="FF000000"/>
        <rFont val="Arial Narrow"/>
        <family val="2"/>
      </rPr>
      <t xml:space="preserve"> Legacy positions (held before the System existed, retained because they currently conform on ongoing review rather than because they were originally scored/selected through it) are deliberately NOT backfilled </t>
    </r>
    <r>
      <rPr>
        <i/>
        <sz val="11"/>
        <color rgb="FF000000"/>
        <rFont val="Arial Narrow"/>
        <family val="2"/>
        <charset val="1"/>
      </rPr>
      <t>with a fabricated entry score -- that would feed the cohort review with invented history. If a legacy position is ever entered here, leave Entry Score/Confidence/Decision Band blank rather than guess; a blank Decision Band naturally excludes it from Rule-46's per-band cohort grouping. (Agreed with Alan 2026-08-26.)</t>
    </r>
  </si>
  <si>
    <t>Freeform notes log — no required structure or length. Date and Ticker are there so you can sort or filter (Data &gt; Filter, or click the column dropdown arrows) by symbol or date range. 
Leave Ticker blank for portfolio-level or general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</si>
</sst>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0.0%"/>
    <numFmt numFmtId="165" formatCode="\$#,##0.00"/>
    <numFmt numFmtId="166" formatCode="yyyy\-mm\-dd"/>
    <numFmt numFmtId="167" formatCode="mm/dd/yyyy"/>
    <numFmt numFmtId="168" formatCode="0.0"/>
    <numFmt numFmtId="169" formatCode="0.000"/>
    <numFmt numFmtId="170" formatCode="\$#,##0"/>
    <numFmt numFmtId="171" formatCode="0.0\x"/>
  </numFmts>
  <fonts count="76" x14ac:knownFonts="1">
    <font>
      <sz val="11"/>
      <color theme="1"/>
      <name val="Calibri"/>
      <family val="2"/>
      <charset val="1"/>
    </font>
    <font>
      <sz val="10"/>
      <color theme="1"/>
      <name val="Arial Narrow"/>
      <family val="2"/>
    </font>
    <font>
      <sz val="10"/>
      <name val="Arial"/>
    </font>
    <font>
      <b/>
      <sz val="13"/>
      <color rgb="FF1F3864"/>
      <name val="Arial"/>
      <family val="2"/>
      <charset val="1"/>
    </font>
    <font>
      <sz val="9"/>
      <color rgb="FF000000"/>
      <name val="Arial"/>
      <family val="2"/>
      <charset val="1"/>
    </font>
    <font>
      <i/>
      <sz val="9"/>
      <color rgb="FF000000"/>
      <name val="Arial"/>
      <family val="2"/>
      <charset val="1"/>
    </font>
    <font>
      <b/>
      <sz val="10"/>
      <color rgb="FF1F3864"/>
      <name val="Arial"/>
      <family val="2"/>
      <charset val="1"/>
    </font>
    <font>
      <sz val="9"/>
      <name val="Arial"/>
      <family val="2"/>
      <charset val="1"/>
    </font>
    <font>
      <b/>
      <sz val="12"/>
      <color rgb="FF1F3864"/>
      <name val="Arial"/>
      <family val="2"/>
      <charset val="1"/>
    </font>
    <font>
      <i/>
      <sz val="10"/>
      <color rgb="FF808080"/>
      <name val="Arial"/>
      <family val="2"/>
      <charset val="1"/>
    </font>
    <font>
      <b/>
      <sz val="11"/>
      <color rgb="FFFFFFFF"/>
      <name val="Arial"/>
      <family val="2"/>
      <charset val="1"/>
    </font>
    <font>
      <sz val="10"/>
      <color rgb="FF000000"/>
      <name val="Arial"/>
      <family val="2"/>
      <charset val="1"/>
    </font>
    <font>
      <b/>
      <sz val="10"/>
      <color rgb="FF000000"/>
      <name val="Arial"/>
      <family val="2"/>
      <charset val="1"/>
    </font>
    <font>
      <sz val="10"/>
      <color theme="1"/>
      <name val="Calibri"/>
      <family val="2"/>
      <charset val="1"/>
    </font>
    <font>
      <i/>
      <sz val="10"/>
      <color rgb="FF000000"/>
      <name val="Arial Narrow"/>
      <family val="2"/>
      <charset val="1"/>
    </font>
    <font>
      <b/>
      <sz val="11"/>
      <color rgb="FFFFFFFF"/>
      <name val="Arial Narrow"/>
      <family val="2"/>
      <charset val="1"/>
    </font>
    <font>
      <sz val="8"/>
      <color rgb="FF002060"/>
      <name val="Arial Narrow"/>
      <family val="2"/>
      <charset val="1"/>
    </font>
    <font>
      <b/>
      <sz val="10"/>
      <color rgb="FF002060"/>
      <name val="Arial Narrow"/>
      <family val="2"/>
      <charset val="1"/>
    </font>
    <font>
      <sz val="10"/>
      <color rgb="FF002060"/>
      <name val="Arial Narrow"/>
      <family val="2"/>
      <charset val="1"/>
    </font>
    <font>
      <b/>
      <sz val="10"/>
      <color rgb="FF000000"/>
      <name val="Arial Narrow"/>
      <family val="2"/>
      <charset val="1"/>
    </font>
    <font>
      <sz val="10"/>
      <color rgb="FF000000"/>
      <name val="Arial Narrow"/>
      <family val="2"/>
      <charset val="1"/>
    </font>
    <font>
      <sz val="10"/>
      <name val="Arial Narrow"/>
      <charset val="1"/>
    </font>
    <font>
      <i/>
      <sz val="10"/>
      <color rgb="FF808080"/>
      <name val="Arial Narrow"/>
      <family val="2"/>
      <charset val="1"/>
    </font>
    <font>
      <sz val="10"/>
      <name val="Arial"/>
      <family val="2"/>
    </font>
    <font>
      <b/>
      <sz val="11"/>
      <color theme="1"/>
      <name val="Calibri"/>
      <family val="2"/>
      <charset val="1"/>
    </font>
    <font>
      <i/>
      <sz val="11"/>
      <color rgb="FF000000"/>
      <name val="Arial Narrow"/>
      <family val="2"/>
      <charset val="1"/>
    </font>
    <font>
      <b/>
      <sz val="11"/>
      <color rgb="FF002060"/>
      <name val="Arial Narrow"/>
      <family val="2"/>
      <charset val="1"/>
    </font>
    <font>
      <sz val="11"/>
      <color rgb="FF000000"/>
      <name val="Arial Narrow"/>
      <family val="2"/>
      <charset val="1"/>
    </font>
    <font>
      <b/>
      <sz val="11"/>
      <color rgb="FF002060"/>
      <name val="Arial"/>
      <family val="2"/>
      <charset val="1"/>
    </font>
    <font>
      <sz val="10"/>
      <color rgb="FF002060"/>
      <name val="Arial"/>
      <family val="2"/>
      <charset val="1"/>
    </font>
    <font>
      <b/>
      <sz val="12"/>
      <color rgb="FFFFFFFF"/>
      <name val="Arial Narrow"/>
      <family val="2"/>
      <charset val="1"/>
    </font>
    <font>
      <b/>
      <sz val="11"/>
      <color rgb="FF000000"/>
      <name val="Arial Narrow"/>
      <family val="2"/>
      <charset val="1"/>
    </font>
    <font>
      <b/>
      <sz val="12"/>
      <color theme="1"/>
      <name val="Arial Narrow"/>
      <family val="2"/>
      <charset val="1"/>
    </font>
    <font>
      <sz val="11"/>
      <color theme="1"/>
      <name val="Arial Narrow"/>
      <family val="2"/>
      <charset val="1"/>
    </font>
    <font>
      <b/>
      <sz val="9"/>
      <color rgb="FFFFFFFF"/>
      <name val="Arial Narrow"/>
      <family val="2"/>
      <charset val="1"/>
    </font>
    <font>
      <sz val="11"/>
      <color rgb="FF002060"/>
      <name val="Arial Narrow"/>
      <family val="2"/>
      <charset val="1"/>
    </font>
    <font>
      <b/>
      <sz val="8"/>
      <color rgb="FF000000"/>
      <name val="Arial Narrow"/>
      <family val="2"/>
      <charset val="1"/>
    </font>
    <font>
      <sz val="9"/>
      <color rgb="FF002060"/>
      <name val="Arial Narrow"/>
      <family val="2"/>
      <charset val="1"/>
    </font>
    <font>
      <b/>
      <sz val="9"/>
      <color rgb="FF000000"/>
      <name val="Arial Narrow"/>
      <family val="2"/>
      <charset val="1"/>
    </font>
    <font>
      <b/>
      <sz val="10"/>
      <color rgb="FFFFFFFF"/>
      <name val="Arial Narrow"/>
      <family val="2"/>
      <charset val="1"/>
    </font>
    <font>
      <sz val="9"/>
      <color rgb="FF000000"/>
      <name val="Arial Narrow"/>
      <family val="2"/>
      <charset val="1"/>
    </font>
    <font>
      <sz val="8"/>
      <color rgb="FF000000"/>
      <name val="Arial Narrow"/>
      <family val="2"/>
      <charset val="1"/>
    </font>
    <font>
      <b/>
      <sz val="10"/>
      <name val="Arial Narrow"/>
      <charset val="1"/>
    </font>
    <font>
      <b/>
      <sz val="12"/>
      <color rgb="FF1F3864"/>
      <name val="Arial Narrow"/>
      <family val="2"/>
      <charset val="1"/>
    </font>
    <font>
      <i/>
      <sz val="12"/>
      <color rgb="FF000000"/>
      <name val="Arial Narrow"/>
      <family val="2"/>
      <charset val="1"/>
    </font>
    <font>
      <sz val="8"/>
      <color rgb="FF002060"/>
      <name val="Arial"/>
      <family val="2"/>
      <charset val="1"/>
    </font>
    <font>
      <b/>
      <sz val="8"/>
      <color rgb="FF000000"/>
      <name val="Arial"/>
      <family val="2"/>
      <charset val="1"/>
    </font>
    <font>
      <b/>
      <sz val="8"/>
      <color rgb="FF002060"/>
      <name val="Arial Narrow"/>
      <family val="2"/>
      <charset val="1"/>
    </font>
    <font>
      <i/>
      <sz val="11"/>
      <color rgb="FF808080"/>
      <name val="Arial Narrow"/>
      <family val="2"/>
      <charset val="1"/>
    </font>
    <font>
      <b/>
      <sz val="10"/>
      <color rgb="FFFFFFFF"/>
      <name val="Arial"/>
      <family val="2"/>
      <charset val="1"/>
    </font>
    <font>
      <b/>
      <sz val="9"/>
      <color rgb="FFFFFFFF"/>
      <name val="Arial"/>
      <family val="2"/>
      <charset val="1"/>
    </font>
    <font>
      <sz val="8"/>
      <color rgb="FF000000"/>
      <name val="Arial"/>
      <family val="2"/>
      <charset val="1"/>
    </font>
    <font>
      <b/>
      <sz val="14"/>
      <color rgb="FF1F3864"/>
      <name val="Arial"/>
      <family val="2"/>
      <charset val="1"/>
    </font>
    <font>
      <sz val="14"/>
      <color theme="1"/>
      <name val="Calibri"/>
      <family val="2"/>
      <charset val="1"/>
    </font>
    <font>
      <b/>
      <sz val="11"/>
      <color rgb="FFFFFFFF"/>
      <name val="Arial Narrow"/>
      <family val="2"/>
    </font>
    <font>
      <sz val="10"/>
      <name val="Arial Narrow"/>
      <family val="2"/>
    </font>
    <font>
      <sz val="10"/>
      <color rgb="FF002060"/>
      <name val="Arial Narrow"/>
      <family val="2"/>
    </font>
    <font>
      <sz val="11"/>
      <color theme="1"/>
      <name val="Arial Narrow"/>
      <family val="2"/>
    </font>
    <font>
      <b/>
      <sz val="10"/>
      <color rgb="FF002060"/>
      <name val="Arial Narrow"/>
      <family val="2"/>
    </font>
    <font>
      <b/>
      <sz val="10"/>
      <color rgb="FF000000"/>
      <name val="Arial Narrow"/>
      <family val="2"/>
    </font>
    <font>
      <i/>
      <sz val="10"/>
      <color rgb="FF000000"/>
      <name val="Arial Narrow"/>
      <family val="2"/>
    </font>
    <font>
      <i/>
      <sz val="12"/>
      <color rgb="FF000000"/>
      <name val="Arial Narrow"/>
      <family val="2"/>
    </font>
    <font>
      <b/>
      <sz val="11"/>
      <color theme="1"/>
      <name val="Arial Narrow"/>
      <family val="2"/>
    </font>
    <font>
      <b/>
      <sz val="12"/>
      <color theme="1"/>
      <name val="Arial Narrow"/>
      <family val="2"/>
    </font>
    <font>
      <b/>
      <sz val="16"/>
      <color rgb="FFFFFFFF"/>
      <name val="Arial Narrow"/>
      <family val="2"/>
      <charset val="1"/>
    </font>
    <font>
      <sz val="9"/>
      <color theme="1"/>
      <name val="Arial Narrow"/>
      <family val="2"/>
      <charset val="1"/>
    </font>
    <font>
      <b/>
      <i/>
      <sz val="11"/>
      <color rgb="FF000000"/>
      <name val="Arial Narrow"/>
      <family val="2"/>
    </font>
    <font>
      <b/>
      <i/>
      <sz val="11"/>
      <color rgb="FF000000"/>
      <name val="Arial Narrow"/>
      <family val="2"/>
      <charset val="1"/>
    </font>
    <font>
      <b/>
      <sz val="8"/>
      <color rgb="FF002060"/>
      <name val="Arial"/>
      <family val="2"/>
      <charset val="1"/>
    </font>
    <font>
      <b/>
      <sz val="10"/>
      <color rgb="FFFFFFFF"/>
      <name val="Arial Narrow"/>
      <family val="2"/>
    </font>
    <font>
      <b/>
      <sz val="8"/>
      <color rgb="FF002060"/>
      <name val="Arial Narrow"/>
      <family val="2"/>
    </font>
    <font>
      <i/>
      <u/>
      <sz val="11"/>
      <color rgb="FF000000"/>
      <name val="Arial Narrow"/>
      <family val="2"/>
    </font>
    <font>
      <b/>
      <sz val="10"/>
      <name val="Arial Narrow"/>
      <family val="2"/>
    </font>
    <font>
      <b/>
      <sz val="12"/>
      <color rgb="FFFFFFFF"/>
      <name val="Arial Narrow"/>
      <family val="2"/>
    </font>
    <font>
      <sz val="10"/>
      <color rgb="FF000000"/>
      <name val="Arial Narrow"/>
      <family val="2"/>
    </font>
    <font>
      <sz val="12"/>
      <color theme="1"/>
      <name val="Arial Narrow"/>
      <family val="2"/>
    </font>
  </fonts>
  <fills count="13">
    <fill>
      <patternFill patternType="none"/>
    </fill>
    <fill>
      <patternFill patternType="gray125"/>
    </fill>
    <fill>
      <patternFill patternType="solid">
        <fgColor rgb="FF2E5090"/>
        <bgColor rgb="FF1F3864"/>
      </patternFill>
    </fill>
    <fill>
      <patternFill patternType="solid">
        <fgColor rgb="FF1F3864"/>
        <bgColor rgb="FF2E5090"/>
      </patternFill>
    </fill>
    <fill>
      <patternFill patternType="solid">
        <fgColor rgb="FFDDEBF7"/>
        <bgColor rgb="FFDCE6F1"/>
      </patternFill>
    </fill>
    <fill>
      <patternFill patternType="solid">
        <fgColor rgb="FF833C0C"/>
        <bgColor rgb="FF632423"/>
      </patternFill>
    </fill>
    <fill>
      <patternFill patternType="solid">
        <fgColor rgb="FFDCE6F1"/>
        <bgColor rgb="FFDDEBF7"/>
      </patternFill>
    </fill>
    <fill>
      <patternFill patternType="solid">
        <fgColor rgb="FF375623"/>
        <bgColor rgb="FF006100"/>
      </patternFill>
    </fill>
    <fill>
      <patternFill patternType="solid">
        <fgColor rgb="FF632423"/>
        <bgColor rgb="FF833C0C"/>
      </patternFill>
    </fill>
    <fill>
      <patternFill patternType="solid">
        <fgColor theme="6" tint="0.79998168889431442"/>
        <bgColor indexed="64"/>
      </patternFill>
    </fill>
    <fill>
      <patternFill patternType="solid">
        <fgColor theme="2" tint="-9.9978637043366805E-2"/>
        <bgColor rgb="FFDCE6F1"/>
      </patternFill>
    </fill>
    <fill>
      <patternFill patternType="solid">
        <fgColor rgb="FFECF4FA"/>
        <bgColor rgb="FFDCE6F1"/>
      </patternFill>
    </fill>
    <fill>
      <patternFill patternType="solid">
        <fgColor indexed="19"/>
        <bgColor indexed="64"/>
      </patternFill>
    </fill>
  </fills>
  <borders count="11">
    <border>
      <left/>
      <right/>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medium">
        <color auto="1"/>
      </bottom>
      <diagonal/>
    </border>
    <border>
      <left style="thin">
        <color rgb="FF999999"/>
      </left>
      <right style="thin">
        <color rgb="FF999999"/>
      </right>
      <top/>
      <bottom style="thin">
        <color rgb="FF999999"/>
      </bottom>
      <diagonal/>
    </border>
    <border>
      <left/>
      <right/>
      <top style="thin">
        <color rgb="FF999999"/>
      </top>
      <bottom style="thin">
        <color rgb="FF999999"/>
      </bottom>
      <diagonal/>
    </border>
    <border>
      <left/>
      <right/>
      <top style="medium">
        <color auto="1"/>
      </top>
      <bottom/>
      <diagonal/>
    </border>
    <border>
      <left/>
      <right/>
      <top/>
      <bottom style="thin">
        <color rgb="FF999999"/>
      </bottom>
      <diagonal/>
    </border>
    <border>
      <left/>
      <right/>
      <top style="thin">
        <color theme="0" tint="-0.14996795556505021"/>
      </top>
      <bottom style="thin">
        <color theme="0" tint="-0.14996795556505021"/>
      </bottom>
      <diagonal/>
    </border>
    <border>
      <left/>
      <right/>
      <top style="thin">
        <color theme="0" tint="-0.14996795556505021"/>
      </top>
      <bottom style="medium">
        <color indexed="64"/>
      </bottom>
      <diagonal/>
    </border>
    <border>
      <left/>
      <right/>
      <top/>
      <bottom style="thin">
        <color theme="0" tint="-0.14996795556505021"/>
      </bottom>
      <diagonal/>
    </border>
    <border>
      <left/>
      <right/>
      <top style="dashed">
        <color auto="1"/>
      </top>
      <bottom style="dashed">
        <color auto="1"/>
      </bottom>
      <diagonal/>
    </border>
  </borders>
  <cellStyleXfs count="2">
    <xf numFmtId="0" fontId="0" fillId="0" borderId="0"/>
    <xf numFmtId="43" fontId="2" fillId="0" borderId="0" applyBorder="0" applyAlignment="0" applyProtection="0"/>
  </cellStyleXfs>
  <cellXfs count="254">
    <xf numFmtId="0" fontId="0" fillId="0" borderId="0" xfId="0"/>
    <xf numFmtId="0" fontId="15" fillId="2" borderId="1" xfId="0" applyFont="1" applyFill="1" applyBorder="1" applyAlignment="1">
      <alignment horizontal="center" vertical="center" wrapText="1"/>
    </xf>
    <xf numFmtId="0" fontId="22" fillId="0" borderId="0" xfId="0" applyFont="1" applyAlignment="1">
      <alignment horizontal="left" vertical="center" wrapText="1"/>
    </xf>
    <xf numFmtId="0" fontId="0" fillId="0" borderId="0" xfId="0"/>
    <xf numFmtId="0" fontId="14" fillId="0" borderId="0" xfId="0" applyFont="1" applyAlignment="1">
      <alignment horizontal="left" vertical="center" wrapText="1"/>
    </xf>
    <xf numFmtId="164" fontId="12" fillId="0" borderId="1" xfId="0" applyNumberFormat="1" applyFont="1" applyBorder="1" applyAlignment="1">
      <alignment horizontal="center" vertical="center"/>
    </xf>
    <xf numFmtId="1" fontId="12" fillId="0" borderId="1" xfId="0" applyNumberFormat="1" applyFont="1" applyBorder="1" applyAlignment="1">
      <alignment horizontal="center" vertical="center"/>
    </xf>
    <xf numFmtId="2" fontId="12" fillId="0" borderId="1" xfId="0" applyNumberFormat="1" applyFont="1" applyBorder="1" applyAlignment="1">
      <alignment horizontal="center" vertical="center"/>
    </xf>
    <xf numFmtId="0" fontId="12" fillId="0" borderId="1" xfId="0" applyFont="1" applyBorder="1" applyAlignment="1">
      <alignment horizontal="center" vertical="center"/>
    </xf>
    <xf numFmtId="0" fontId="11" fillId="0" borderId="0" xfId="0" applyFont="1" applyAlignment="1">
      <alignment horizontal="left" vertical="center"/>
    </xf>
    <xf numFmtId="0" fontId="10" fillId="2" borderId="0" xfId="0" applyFont="1" applyFill="1"/>
    <xf numFmtId="0" fontId="9" fillId="0" borderId="0" xfId="0" applyFont="1"/>
    <xf numFmtId="0" fontId="8" fillId="0" borderId="0" xfId="0" applyFont="1"/>
    <xf numFmtId="0" fontId="25" fillId="0" borderId="0" xfId="0" applyFont="1" applyAlignment="1">
      <alignment vertical="center" wrapText="1"/>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6" fillId="0" borderId="0" xfId="0" applyFont="1"/>
    <xf numFmtId="0" fontId="12" fillId="0" borderId="1" xfId="0" applyFont="1" applyBorder="1" applyAlignment="1">
      <alignment horizontal="center" vertical="center"/>
    </xf>
    <xf numFmtId="0" fontId="13" fillId="0" borderId="0" xfId="0" applyFont="1"/>
    <xf numFmtId="164" fontId="12" fillId="0" borderId="1" xfId="0" applyNumberFormat="1" applyFont="1" applyBorder="1" applyAlignment="1">
      <alignment horizontal="center" vertical="center"/>
    </xf>
    <xf numFmtId="0" fontId="15" fillId="3" borderId="0" xfId="0" applyFont="1" applyFill="1" applyAlignment="1">
      <alignment horizontal="center" vertical="top" wrapText="1"/>
    </xf>
    <xf numFmtId="0" fontId="16" fillId="0" borderId="0" xfId="0" applyFont="1"/>
    <xf numFmtId="0" fontId="18" fillId="0" borderId="0" xfId="0" applyFont="1"/>
    <xf numFmtId="165" fontId="19" fillId="0" borderId="0" xfId="0" applyNumberFormat="1" applyFont="1"/>
    <xf numFmtId="4" fontId="18" fillId="0" borderId="0" xfId="0" applyNumberFormat="1" applyFont="1"/>
    <xf numFmtId="165" fontId="18" fillId="0" borderId="0" xfId="0" applyNumberFormat="1" applyFont="1"/>
    <xf numFmtId="0" fontId="21" fillId="0" borderId="0" xfId="0" applyFont="1"/>
    <xf numFmtId="0" fontId="24" fillId="0" borderId="0" xfId="0" applyFont="1" applyAlignment="1">
      <alignment horizontal="center"/>
    </xf>
    <xf numFmtId="0" fontId="25" fillId="0" borderId="0" xfId="0" applyFont="1" applyAlignment="1">
      <alignment vertical="center" wrapText="1"/>
    </xf>
    <xf numFmtId="0" fontId="15" fillId="3" borderId="1" xfId="0" applyFont="1" applyFill="1" applyBorder="1" applyAlignment="1">
      <alignment horizontal="center" vertical="top" wrapText="1"/>
    </xf>
    <xf numFmtId="0" fontId="0" fillId="0" borderId="0" xfId="0" applyAlignment="1">
      <alignment vertical="top"/>
    </xf>
    <xf numFmtId="0" fontId="26" fillId="4" borderId="1" xfId="0" applyFont="1" applyFill="1" applyBorder="1" applyAlignment="1">
      <alignment horizontal="center" vertical="center"/>
    </xf>
    <xf numFmtId="0" fontId="18" fillId="4" borderId="1" xfId="0" applyFont="1" applyFill="1" applyBorder="1" applyAlignment="1">
      <alignment horizontal="center" vertical="center"/>
    </xf>
    <xf numFmtId="166" fontId="18" fillId="4" borderId="1" xfId="0" applyNumberFormat="1" applyFont="1" applyFill="1" applyBorder="1" applyAlignment="1">
      <alignment horizontal="center" vertical="center"/>
    </xf>
    <xf numFmtId="0" fontId="27" fillId="0" borderId="1" xfId="0" applyFont="1" applyBorder="1" applyAlignment="1">
      <alignment horizontal="center" vertical="center"/>
    </xf>
    <xf numFmtId="165" fontId="18" fillId="4" borderId="1" xfId="0" applyNumberFormat="1" applyFont="1" applyFill="1" applyBorder="1" applyAlignment="1">
      <alignment horizontal="center" vertical="center"/>
    </xf>
    <xf numFmtId="164" fontId="19" fillId="0" borderId="1" xfId="0" applyNumberFormat="1" applyFont="1" applyBorder="1" applyAlignment="1">
      <alignment horizontal="center" vertical="center"/>
    </xf>
    <xf numFmtId="167" fontId="18" fillId="4" borderId="1" xfId="0" applyNumberFormat="1" applyFont="1" applyFill="1" applyBorder="1" applyAlignment="1">
      <alignment horizontal="center" vertical="center"/>
    </xf>
    <xf numFmtId="0" fontId="18" fillId="4" borderId="1" xfId="0" applyFont="1" applyFill="1" applyBorder="1" applyAlignment="1">
      <alignment horizontal="left" vertical="center"/>
    </xf>
    <xf numFmtId="1" fontId="20" fillId="0" borderId="1" xfId="0" applyNumberFormat="1" applyFont="1" applyBorder="1" applyAlignment="1">
      <alignment horizontal="center" vertical="center"/>
    </xf>
    <xf numFmtId="0" fontId="19" fillId="0" borderId="1" xfId="0" applyFont="1" applyBorder="1" applyAlignment="1">
      <alignment horizontal="center" vertical="center"/>
    </xf>
    <xf numFmtId="0" fontId="28" fillId="4" borderId="1" xfId="0" applyFont="1" applyFill="1" applyBorder="1" applyAlignment="1">
      <alignment horizontal="center" vertical="center"/>
    </xf>
    <xf numFmtId="0" fontId="29" fillId="4" borderId="1" xfId="0" applyFont="1" applyFill="1" applyBorder="1" applyAlignment="1">
      <alignment horizontal="left" vertical="center"/>
    </xf>
    <xf numFmtId="166" fontId="29" fillId="4" borderId="1" xfId="0" applyNumberFormat="1" applyFont="1" applyFill="1" applyBorder="1" applyAlignment="1">
      <alignment horizontal="center" vertical="center"/>
    </xf>
    <xf numFmtId="0" fontId="29" fillId="4" borderId="1" xfId="0" applyFont="1" applyFill="1" applyBorder="1" applyAlignment="1">
      <alignment horizontal="center" vertical="center"/>
    </xf>
    <xf numFmtId="165" fontId="29" fillId="4" borderId="1" xfId="0" applyNumberFormat="1" applyFont="1" applyFill="1" applyBorder="1" applyAlignment="1">
      <alignment horizontal="center" vertical="center"/>
    </xf>
    <xf numFmtId="167" fontId="29" fillId="4" borderId="1" xfId="0" applyNumberFormat="1" applyFont="1" applyFill="1" applyBorder="1" applyAlignment="1">
      <alignment horizontal="center" vertical="center"/>
    </xf>
    <xf numFmtId="1" fontId="11" fillId="0" borderId="1" xfId="0" applyNumberFormat="1" applyFont="1" applyBorder="1" applyAlignment="1">
      <alignment horizontal="center" vertical="center"/>
    </xf>
    <xf numFmtId="0" fontId="30" fillId="3" borderId="1" xfId="0" applyFont="1" applyFill="1" applyBorder="1" applyAlignment="1">
      <alignment horizontal="center" vertical="top" wrapText="1"/>
    </xf>
    <xf numFmtId="0" fontId="30" fillId="3" borderId="1" xfId="0" applyFont="1" applyFill="1" applyBorder="1" applyAlignment="1">
      <alignment horizontal="center" vertical="center" wrapText="1"/>
    </xf>
    <xf numFmtId="0" fontId="31" fillId="0" borderId="1" xfId="0" applyFont="1" applyBorder="1" applyAlignment="1">
      <alignment horizontal="center" vertical="center"/>
    </xf>
    <xf numFmtId="0" fontId="27" fillId="0" borderId="1" xfId="0" applyFont="1" applyBorder="1" applyAlignment="1">
      <alignment horizontal="left" vertical="center"/>
    </xf>
    <xf numFmtId="167" fontId="27" fillId="0" borderId="1" xfId="0" applyNumberFormat="1" applyFont="1" applyBorder="1" applyAlignment="1">
      <alignment horizontal="center" vertical="center"/>
    </xf>
    <xf numFmtId="2" fontId="27" fillId="0" borderId="1" xfId="0" applyNumberFormat="1" applyFont="1" applyBorder="1" applyAlignment="1">
      <alignment horizontal="center" vertical="center"/>
    </xf>
    <xf numFmtId="168" fontId="31" fillId="0" borderId="1" xfId="0" applyNumberFormat="1" applyFont="1" applyBorder="1" applyAlignment="1">
      <alignment horizontal="center" vertical="center"/>
    </xf>
    <xf numFmtId="0" fontId="32" fillId="0" borderId="0" xfId="0" applyFont="1" applyAlignment="1">
      <alignment horizontal="center"/>
    </xf>
    <xf numFmtId="0" fontId="33" fillId="0" borderId="0" xfId="0" applyFont="1"/>
    <xf numFmtId="0" fontId="34" fillId="5"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35" fillId="4" borderId="1" xfId="0" applyFont="1" applyFill="1" applyBorder="1" applyAlignment="1">
      <alignment horizontal="center" vertical="center"/>
    </xf>
    <xf numFmtId="167" fontId="35" fillId="4" borderId="1" xfId="0" applyNumberFormat="1" applyFont="1" applyFill="1" applyBorder="1" applyAlignment="1">
      <alignment horizontal="center" vertical="center"/>
    </xf>
    <xf numFmtId="169" fontId="27" fillId="0" borderId="1" xfId="0" applyNumberFormat="1" applyFont="1" applyBorder="1" applyAlignment="1">
      <alignment horizontal="center" vertical="center"/>
    </xf>
    <xf numFmtId="2" fontId="31" fillId="0" borderId="1" xfId="0" applyNumberFormat="1" applyFont="1" applyBorder="1" applyAlignment="1">
      <alignment horizontal="center" vertical="center"/>
    </xf>
    <xf numFmtId="0" fontId="16" fillId="4" borderId="1" xfId="0" applyFont="1" applyFill="1" applyBorder="1" applyAlignment="1">
      <alignment horizontal="center" vertical="center"/>
    </xf>
    <xf numFmtId="3" fontId="35" fillId="4" borderId="1" xfId="0" applyNumberFormat="1" applyFont="1" applyFill="1" applyBorder="1" applyAlignment="1">
      <alignment horizontal="center" vertical="center"/>
    </xf>
    <xf numFmtId="3" fontId="31" fillId="0" borderId="1" xfId="0" applyNumberFormat="1" applyFont="1" applyBorder="1" applyAlignment="1">
      <alignment horizontal="center" vertical="center"/>
    </xf>
    <xf numFmtId="2" fontId="35" fillId="4" borderId="1" xfId="0" applyNumberFormat="1" applyFont="1" applyFill="1" applyBorder="1" applyAlignment="1">
      <alignment horizontal="center" vertical="center"/>
    </xf>
    <xf numFmtId="0" fontId="36" fillId="0" borderId="1" xfId="0" applyFont="1" applyBorder="1" applyAlignment="1">
      <alignment horizontal="center" vertical="center"/>
    </xf>
    <xf numFmtId="166" fontId="35" fillId="4" borderId="1" xfId="0" applyNumberFormat="1" applyFont="1" applyFill="1" applyBorder="1" applyAlignment="1">
      <alignment horizontal="center" vertical="center"/>
    </xf>
    <xf numFmtId="0" fontId="37" fillId="4" borderId="1" xfId="0" applyFont="1" applyFill="1" applyBorder="1" applyAlignment="1">
      <alignment horizontal="center" vertical="center"/>
    </xf>
    <xf numFmtId="0" fontId="38" fillId="0" borderId="1" xfId="0" applyFont="1" applyBorder="1" applyAlignment="1">
      <alignment horizontal="center" vertical="center"/>
    </xf>
    <xf numFmtId="0" fontId="32" fillId="0" borderId="0" xfId="0" applyFont="1"/>
    <xf numFmtId="0" fontId="39" fillId="3" borderId="0" xfId="0" applyFont="1" applyFill="1" applyAlignment="1">
      <alignment horizontal="center" vertical="top" wrapText="1"/>
    </xf>
    <xf numFmtId="0" fontId="19" fillId="0" borderId="0" xfId="0" applyFont="1"/>
    <xf numFmtId="165" fontId="35" fillId="4" borderId="1" xfId="0" applyNumberFormat="1" applyFont="1" applyFill="1" applyBorder="1" applyAlignment="1">
      <alignment horizontal="center" vertical="center"/>
    </xf>
    <xf numFmtId="170" fontId="35" fillId="4" borderId="1" xfId="0" applyNumberFormat="1" applyFont="1" applyFill="1" applyBorder="1" applyAlignment="1">
      <alignment horizontal="center" vertical="center"/>
    </xf>
    <xf numFmtId="168" fontId="35" fillId="4" borderId="1" xfId="0" applyNumberFormat="1" applyFont="1" applyFill="1" applyBorder="1" applyAlignment="1">
      <alignment horizontal="center" vertical="center"/>
    </xf>
    <xf numFmtId="0" fontId="25" fillId="0" borderId="0" xfId="0" applyFont="1" applyAlignment="1">
      <alignment vertical="center"/>
    </xf>
    <xf numFmtId="0" fontId="15" fillId="0" borderId="0" xfId="0" applyFont="1"/>
    <xf numFmtId="0" fontId="15" fillId="3" borderId="1" xfId="0" applyFont="1" applyFill="1" applyBorder="1" applyAlignment="1">
      <alignment horizontal="center" vertical="center"/>
    </xf>
    <xf numFmtId="167" fontId="40" fillId="0" borderId="1" xfId="0" applyNumberFormat="1" applyFont="1" applyBorder="1" applyAlignment="1">
      <alignment horizontal="center" vertical="center"/>
    </xf>
    <xf numFmtId="164" fontId="40" fillId="0" borderId="1" xfId="0" applyNumberFormat="1" applyFont="1" applyBorder="1" applyAlignment="1">
      <alignment horizontal="center" vertical="center"/>
    </xf>
    <xf numFmtId="164" fontId="40" fillId="0" borderId="0" xfId="0" applyNumberFormat="1" applyFont="1"/>
    <xf numFmtId="4" fontId="41" fillId="0" borderId="1" xfId="0" applyNumberFormat="1" applyFont="1" applyBorder="1" applyAlignment="1">
      <alignment horizontal="center" vertical="center"/>
    </xf>
    <xf numFmtId="4" fontId="41" fillId="0" borderId="0" xfId="0" applyNumberFormat="1" applyFont="1"/>
    <xf numFmtId="0" fontId="42" fillId="0" borderId="0" xfId="0" applyFont="1"/>
    <xf numFmtId="0" fontId="30" fillId="3" borderId="0" xfId="0" applyFont="1" applyFill="1" applyAlignment="1">
      <alignment horizontal="center" vertical="center" wrapText="1"/>
    </xf>
    <xf numFmtId="0" fontId="0" fillId="3" borderId="0" xfId="0" applyFill="1"/>
    <xf numFmtId="0" fontId="43" fillId="6" borderId="0" xfId="0" applyFont="1" applyFill="1"/>
    <xf numFmtId="0" fontId="20" fillId="0" borderId="0" xfId="0" applyFont="1"/>
    <xf numFmtId="170" fontId="27" fillId="0" borderId="1" xfId="0" applyNumberFormat="1" applyFont="1" applyBorder="1" applyAlignment="1">
      <alignment horizontal="center" vertical="center"/>
    </xf>
    <xf numFmtId="164" fontId="31" fillId="0" borderId="1" xfId="0" applyNumberFormat="1" applyFont="1" applyBorder="1" applyAlignment="1">
      <alignment horizontal="center" vertical="center"/>
    </xf>
    <xf numFmtId="167" fontId="37" fillId="4" borderId="1" xfId="0" applyNumberFormat="1" applyFont="1" applyFill="1" applyBorder="1" applyAlignment="1">
      <alignment horizontal="center" vertical="center"/>
    </xf>
    <xf numFmtId="1" fontId="40" fillId="0" borderId="1" xfId="0" applyNumberFormat="1" applyFont="1" applyBorder="1" applyAlignment="1">
      <alignment horizontal="center" vertical="center"/>
    </xf>
    <xf numFmtId="171" fontId="18" fillId="4" borderId="1" xfId="0" applyNumberFormat="1" applyFont="1" applyFill="1" applyBorder="1" applyAlignment="1">
      <alignment horizontal="center" vertical="center"/>
    </xf>
    <xf numFmtId="0" fontId="45" fillId="4" borderId="1" xfId="0" applyFont="1" applyFill="1" applyBorder="1" applyAlignment="1">
      <alignment horizontal="center" vertical="center"/>
    </xf>
    <xf numFmtId="165" fontId="45" fillId="4" borderId="1" xfId="0" applyNumberFormat="1" applyFont="1" applyFill="1" applyBorder="1" applyAlignment="1">
      <alignment horizontal="center" vertical="center"/>
    </xf>
    <xf numFmtId="171" fontId="45" fillId="4" borderId="1" xfId="0" applyNumberFormat="1" applyFont="1" applyFill="1" applyBorder="1" applyAlignment="1">
      <alignment horizontal="center" vertical="center"/>
    </xf>
    <xf numFmtId="164" fontId="46" fillId="0" borderId="1" xfId="0" applyNumberFormat="1" applyFont="1" applyBorder="1" applyAlignment="1">
      <alignment horizontal="center" vertical="center"/>
    </xf>
    <xf numFmtId="0" fontId="30" fillId="5" borderId="1" xfId="0" applyFont="1" applyFill="1" applyBorder="1" applyAlignment="1">
      <alignment horizontal="center" vertical="center" wrapText="1"/>
    </xf>
    <xf numFmtId="0" fontId="39" fillId="3" borderId="1" xfId="0" applyFont="1" applyFill="1" applyBorder="1" applyAlignment="1">
      <alignment horizontal="center" vertical="top" wrapText="1"/>
    </xf>
    <xf numFmtId="164" fontId="16" fillId="4" borderId="1" xfId="0" applyNumberFormat="1" applyFont="1" applyFill="1" applyBorder="1" applyAlignment="1">
      <alignment horizontal="center" vertical="center"/>
    </xf>
    <xf numFmtId="0" fontId="41" fillId="0" borderId="1" xfId="0" applyFont="1" applyBorder="1" applyAlignment="1">
      <alignment horizontal="center" vertical="center"/>
    </xf>
    <xf numFmtId="171" fontId="16" fillId="4" borderId="1" xfId="0" applyNumberFormat="1" applyFont="1" applyFill="1" applyBorder="1" applyAlignment="1">
      <alignment horizontal="center" vertical="center"/>
    </xf>
    <xf numFmtId="0" fontId="47" fillId="4" borderId="1" xfId="0" applyFont="1" applyFill="1" applyBorder="1" applyAlignment="1">
      <alignment horizontal="center" vertical="center"/>
    </xf>
    <xf numFmtId="167" fontId="16" fillId="4" borderId="1" xfId="0" applyNumberFormat="1" applyFont="1" applyFill="1" applyBorder="1" applyAlignment="1">
      <alignment horizontal="center" vertical="center"/>
    </xf>
    <xf numFmtId="165" fontId="16" fillId="4" borderId="1" xfId="0" applyNumberFormat="1" applyFont="1" applyFill="1" applyBorder="1" applyAlignment="1">
      <alignment horizontal="center" vertical="center"/>
    </xf>
    <xf numFmtId="164" fontId="36" fillId="0" borderId="1" xfId="0" applyNumberFormat="1" applyFont="1" applyBorder="1" applyAlignment="1">
      <alignment horizontal="center" vertical="center"/>
    </xf>
    <xf numFmtId="164" fontId="41" fillId="0" borderId="1" xfId="0" applyNumberFormat="1" applyFont="1" applyBorder="1" applyAlignment="1">
      <alignment horizontal="center" vertical="center"/>
    </xf>
    <xf numFmtId="0" fontId="0" fillId="0" borderId="0" xfId="0" applyAlignment="1">
      <alignment vertical="center"/>
    </xf>
    <xf numFmtId="0" fontId="50" fillId="3" borderId="0" xfId="0" applyFont="1" applyFill="1" applyAlignment="1">
      <alignment horizontal="center" vertical="center" wrapText="1"/>
    </xf>
    <xf numFmtId="0" fontId="51" fillId="0" borderId="0" xfId="0" applyFont="1" applyAlignment="1">
      <alignment horizontal="left" vertical="top" wrapText="1"/>
    </xf>
    <xf numFmtId="0" fontId="14" fillId="0" borderId="0" xfId="0" applyFont="1"/>
    <xf numFmtId="0" fontId="25" fillId="0" borderId="0" xfId="0" applyFont="1"/>
    <xf numFmtId="0" fontId="25" fillId="0" borderId="0" xfId="0" applyFont="1" applyAlignment="1">
      <alignment vertical="center"/>
    </xf>
    <xf numFmtId="0" fontId="44" fillId="0" borderId="0" xfId="0" applyFont="1" applyAlignment="1">
      <alignment vertical="center"/>
    </xf>
    <xf numFmtId="0" fontId="25" fillId="0" borderId="0" xfId="0" applyFont="1" applyAlignment="1">
      <alignment horizontal="left" vertical="center" wrapText="1"/>
    </xf>
    <xf numFmtId="0" fontId="39" fillId="2" borderId="1" xfId="0" applyFont="1" applyFill="1" applyBorder="1" applyAlignment="1">
      <alignment horizontal="center" vertical="center" wrapText="1"/>
    </xf>
    <xf numFmtId="0" fontId="39" fillId="5" borderId="1" xfId="0" applyFont="1" applyFill="1" applyBorder="1" applyAlignment="1">
      <alignment horizontal="center" vertical="center" wrapText="1"/>
    </xf>
    <xf numFmtId="0" fontId="39" fillId="7" borderId="1" xfId="0" applyFont="1" applyFill="1" applyBorder="1" applyAlignment="1">
      <alignment horizontal="center" vertical="center" wrapText="1"/>
    </xf>
    <xf numFmtId="0" fontId="39" fillId="8" borderId="1" xfId="0" applyFont="1" applyFill="1" applyBorder="1" applyAlignment="1">
      <alignment horizontal="center" vertical="center" wrapText="1"/>
    </xf>
    <xf numFmtId="0" fontId="30" fillId="5" borderId="1" xfId="0" applyFont="1" applyFill="1" applyBorder="1" applyAlignment="1">
      <alignment horizontal="center" vertical="center" wrapText="1"/>
    </xf>
    <xf numFmtId="0" fontId="30" fillId="8" borderId="1" xfId="0" applyFont="1" applyFill="1" applyBorder="1" applyAlignment="1">
      <alignment horizontal="center" vertical="center" wrapText="1"/>
    </xf>
    <xf numFmtId="0" fontId="48" fillId="0" borderId="0" xfId="0" applyFont="1" applyAlignment="1">
      <alignment horizontal="left" vertical="center"/>
    </xf>
    <xf numFmtId="0" fontId="14" fillId="0" borderId="0" xfId="0" applyFont="1" applyAlignment="1">
      <alignment vertical="top" wrapText="1"/>
    </xf>
    <xf numFmtId="0" fontId="5" fillId="0" borderId="0" xfId="0" applyFont="1"/>
    <xf numFmtId="0" fontId="49" fillId="2" borderId="0" xfId="0" applyFont="1" applyFill="1"/>
    <xf numFmtId="0" fontId="51" fillId="0" borderId="0" xfId="0" applyFont="1" applyAlignment="1">
      <alignment horizontal="left" vertical="top" wrapText="1"/>
    </xf>
    <xf numFmtId="0" fontId="0" fillId="0" borderId="0" xfId="0" applyAlignment="1">
      <alignment wrapText="1"/>
    </xf>
    <xf numFmtId="0" fontId="7" fillId="0" borderId="0" xfId="0" applyFont="1" applyAlignment="1">
      <alignment wrapText="1"/>
    </xf>
    <xf numFmtId="0" fontId="3" fillId="0" borderId="0" xfId="0" applyFont="1" applyAlignment="1">
      <alignment wrapText="1"/>
    </xf>
    <xf numFmtId="0" fontId="10" fillId="2" borderId="0" xfId="0" applyFont="1" applyFill="1" applyAlignment="1">
      <alignment wrapText="1"/>
    </xf>
    <xf numFmtId="0" fontId="11" fillId="0" borderId="0" xfId="0" applyFont="1" applyAlignment="1">
      <alignment horizontal="right" vertical="center"/>
    </xf>
    <xf numFmtId="0" fontId="11" fillId="0" borderId="0" xfId="0" applyFont="1" applyAlignment="1">
      <alignment horizontal="right" vertical="center" wrapText="1"/>
    </xf>
    <xf numFmtId="0" fontId="53" fillId="0" borderId="0" xfId="0" applyFont="1"/>
    <xf numFmtId="0" fontId="52" fillId="0" borderId="0" xfId="0" applyFont="1" applyAlignment="1">
      <alignment wrapText="1"/>
    </xf>
    <xf numFmtId="0" fontId="0" fillId="0" borderId="0" xfId="0" applyAlignment="1"/>
    <xf numFmtId="164" fontId="20" fillId="0" borderId="0" xfId="0" applyNumberFormat="1" applyFont="1" applyAlignment="1">
      <alignment horizontal="center"/>
    </xf>
    <xf numFmtId="164" fontId="21" fillId="0" borderId="0" xfId="0" applyNumberFormat="1" applyFont="1" applyAlignment="1">
      <alignment horizontal="center"/>
    </xf>
    <xf numFmtId="0" fontId="0" fillId="0" borderId="0" xfId="0" applyAlignment="1">
      <alignment horizontal="center"/>
    </xf>
    <xf numFmtId="0" fontId="54" fillId="3" borderId="0" xfId="0" applyFont="1" applyFill="1" applyAlignment="1">
      <alignment horizontal="center" vertical="top" wrapText="1"/>
    </xf>
    <xf numFmtId="43" fontId="55" fillId="0" borderId="0" xfId="1" applyFont="1"/>
    <xf numFmtId="0" fontId="56" fillId="0" borderId="0" xfId="0" applyFont="1"/>
    <xf numFmtId="0" fontId="57" fillId="0" borderId="0" xfId="0" applyFont="1"/>
    <xf numFmtId="0" fontId="17" fillId="0" borderId="0" xfId="0" applyFont="1" applyAlignment="1">
      <alignment horizontal="center"/>
    </xf>
    <xf numFmtId="0" fontId="18" fillId="0" borderId="0" xfId="0" applyFont="1" applyAlignment="1">
      <alignment horizontal="center"/>
    </xf>
    <xf numFmtId="0" fontId="21" fillId="0" borderId="0" xfId="0" applyFont="1" applyAlignment="1">
      <alignment horizontal="right"/>
    </xf>
    <xf numFmtId="0" fontId="37" fillId="0" borderId="5" xfId="0" applyFont="1" applyBorder="1" applyAlignment="1">
      <alignment horizontal="right"/>
    </xf>
    <xf numFmtId="0" fontId="17" fillId="0" borderId="5" xfId="0" applyFont="1" applyBorder="1" applyAlignment="1">
      <alignment horizontal="center"/>
    </xf>
    <xf numFmtId="0" fontId="58" fillId="0" borderId="5" xfId="0" applyFont="1" applyBorder="1" applyAlignment="1">
      <alignment horizontal="right"/>
    </xf>
    <xf numFmtId="0" fontId="18" fillId="0" borderId="5" xfId="0" applyFont="1" applyBorder="1" applyAlignment="1">
      <alignment horizontal="center"/>
    </xf>
    <xf numFmtId="0" fontId="18" fillId="0" borderId="5" xfId="0" applyFont="1" applyBorder="1"/>
    <xf numFmtId="43" fontId="55" fillId="0" borderId="5" xfId="1" applyFont="1" applyBorder="1"/>
    <xf numFmtId="165" fontId="19" fillId="0" borderId="5" xfId="0" applyNumberFormat="1" applyFont="1" applyBorder="1"/>
    <xf numFmtId="0" fontId="16" fillId="0" borderId="5" xfId="0" applyFont="1" applyBorder="1"/>
    <xf numFmtId="0" fontId="0" fillId="0" borderId="5" xfId="0" applyBorder="1"/>
    <xf numFmtId="4" fontId="58" fillId="0" borderId="5" xfId="0" applyNumberFormat="1" applyFont="1" applyBorder="1"/>
    <xf numFmtId="165" fontId="58" fillId="0" borderId="5" xfId="0" applyNumberFormat="1" applyFont="1" applyBorder="1"/>
    <xf numFmtId="164" fontId="59" fillId="0" borderId="5" xfId="0" applyNumberFormat="1" applyFont="1" applyBorder="1" applyAlignment="1">
      <alignment horizontal="center"/>
    </xf>
    <xf numFmtId="0" fontId="17" fillId="9" borderId="0" xfId="0" applyFont="1" applyFill="1" applyAlignment="1">
      <alignment horizontal="center"/>
    </xf>
    <xf numFmtId="4" fontId="15" fillId="3" borderId="1" xfId="0" applyNumberFormat="1" applyFont="1" applyFill="1" applyBorder="1" applyAlignment="1">
      <alignment horizontal="center" vertical="top" wrapText="1"/>
    </xf>
    <xf numFmtId="4" fontId="18" fillId="4" borderId="1" xfId="0" applyNumberFormat="1" applyFont="1" applyFill="1" applyBorder="1" applyAlignment="1">
      <alignment horizontal="center" vertical="center"/>
    </xf>
    <xf numFmtId="4" fontId="29" fillId="4" borderId="1" xfId="0" applyNumberFormat="1" applyFont="1" applyFill="1" applyBorder="1" applyAlignment="1">
      <alignment horizontal="center" vertical="center"/>
    </xf>
    <xf numFmtId="4" fontId="0" fillId="0" borderId="0" xfId="0" applyNumberFormat="1"/>
    <xf numFmtId="0" fontId="18" fillId="10" borderId="1" xfId="0" applyFont="1" applyFill="1" applyBorder="1" applyAlignment="1">
      <alignment horizontal="center" vertical="center"/>
    </xf>
    <xf numFmtId="0" fontId="18" fillId="10" borderId="1" xfId="0" applyFont="1" applyFill="1" applyBorder="1" applyAlignment="1">
      <alignment horizontal="left" vertical="center"/>
    </xf>
    <xf numFmtId="0" fontId="56" fillId="10" borderId="1" xfId="0" applyFont="1" applyFill="1" applyBorder="1" applyAlignment="1">
      <alignment horizontal="center" vertical="center"/>
    </xf>
    <xf numFmtId="0" fontId="1" fillId="0" borderId="0" xfId="0" applyFont="1"/>
    <xf numFmtId="0" fontId="58" fillId="4" borderId="2" xfId="0" applyFont="1" applyFill="1" applyBorder="1" applyAlignment="1">
      <alignment horizontal="center" vertical="center" wrapText="1"/>
    </xf>
    <xf numFmtId="167" fontId="56" fillId="4" borderId="3" xfId="0" applyNumberFormat="1" applyFont="1" applyFill="1" applyBorder="1" applyAlignment="1">
      <alignment horizontal="center" vertical="center"/>
    </xf>
    <xf numFmtId="4" fontId="56" fillId="4" borderId="3" xfId="0" applyNumberFormat="1" applyFont="1" applyFill="1" applyBorder="1" applyAlignment="1">
      <alignment horizontal="center" vertical="center"/>
    </xf>
    <xf numFmtId="167" fontId="56" fillId="4" borderId="1" xfId="0" applyNumberFormat="1" applyFont="1" applyFill="1" applyBorder="1" applyAlignment="1">
      <alignment horizontal="center" vertical="center"/>
    </xf>
    <xf numFmtId="4" fontId="56" fillId="4" borderId="1" xfId="0" applyNumberFormat="1" applyFont="1" applyFill="1" applyBorder="1" applyAlignment="1">
      <alignment horizontal="center" vertical="center"/>
    </xf>
    <xf numFmtId="2" fontId="56" fillId="4" borderId="1" xfId="0" applyNumberFormat="1" applyFont="1" applyFill="1" applyBorder="1" applyAlignment="1">
      <alignment horizontal="center" vertical="center"/>
    </xf>
    <xf numFmtId="0" fontId="60" fillId="0" borderId="0" xfId="0" applyFont="1" applyAlignment="1">
      <alignment vertical="center"/>
    </xf>
    <xf numFmtId="0" fontId="61" fillId="0" borderId="0" xfId="0" applyFont="1" applyAlignment="1">
      <alignment vertical="center"/>
    </xf>
    <xf numFmtId="0" fontId="1" fillId="0" borderId="0" xfId="0" applyFont="1" applyAlignment="1">
      <alignment horizontal="center"/>
    </xf>
    <xf numFmtId="0" fontId="63" fillId="0" borderId="5" xfId="0" applyFont="1" applyBorder="1" applyAlignment="1">
      <alignment horizontal="center"/>
    </xf>
    <xf numFmtId="0" fontId="32" fillId="0" borderId="5" xfId="0" applyFont="1" applyBorder="1" applyAlignment="1">
      <alignment horizontal="center"/>
    </xf>
    <xf numFmtId="0" fontId="32" fillId="0" borderId="5" xfId="0" applyFont="1" applyBorder="1" applyAlignment="1">
      <alignment horizontal="left"/>
    </xf>
    <xf numFmtId="0" fontId="64" fillId="2" borderId="1" xfId="0" applyFont="1" applyFill="1" applyBorder="1" applyAlignment="1">
      <alignment horizontal="center" vertical="center" wrapText="1"/>
    </xf>
    <xf numFmtId="0" fontId="35" fillId="4" borderId="1" xfId="0" applyFont="1" applyFill="1" applyBorder="1" applyAlignment="1">
      <alignment horizontal="left" vertical="center"/>
    </xf>
    <xf numFmtId="0" fontId="65" fillId="0" borderId="0" xfId="0" applyFont="1"/>
    <xf numFmtId="0" fontId="62" fillId="0" borderId="4" xfId="0" applyFont="1" applyBorder="1" applyAlignment="1">
      <alignment vertical="center" wrapText="1"/>
    </xf>
    <xf numFmtId="0" fontId="15" fillId="5" borderId="1" xfId="0" applyFont="1" applyFill="1" applyBorder="1" applyAlignment="1">
      <alignment horizontal="center" vertical="top" wrapText="1"/>
    </xf>
    <xf numFmtId="0" fontId="14" fillId="0" borderId="0" xfId="0" applyFont="1" applyAlignment="1"/>
    <xf numFmtId="0" fontId="14" fillId="0" borderId="0" xfId="0" applyFont="1" applyAlignment="1">
      <alignment horizontal="center"/>
    </xf>
    <xf numFmtId="0" fontId="19" fillId="0" borderId="0" xfId="0" applyFont="1" applyAlignment="1">
      <alignment horizontal="center"/>
    </xf>
    <xf numFmtId="0" fontId="0" fillId="0" borderId="0" xfId="0" applyAlignment="1">
      <alignment horizontal="left"/>
    </xf>
    <xf numFmtId="0" fontId="42" fillId="0" borderId="0" xfId="0" applyFont="1" applyAlignment="1">
      <alignment horizontal="center"/>
    </xf>
    <xf numFmtId="2" fontId="20" fillId="0" borderId="0" xfId="0" applyNumberFormat="1" applyFont="1" applyAlignment="1">
      <alignment horizontal="center"/>
    </xf>
    <xf numFmtId="0" fontId="66" fillId="0" borderId="0" xfId="0" applyFont="1" applyAlignment="1">
      <alignment vertical="center"/>
    </xf>
    <xf numFmtId="0" fontId="24" fillId="0" borderId="0" xfId="0" applyFont="1"/>
    <xf numFmtId="0" fontId="68" fillId="4" borderId="1" xfId="0" applyFont="1" applyFill="1" applyBorder="1" applyAlignment="1">
      <alignment horizontal="center" vertical="center"/>
    </xf>
    <xf numFmtId="0" fontId="54" fillId="3" borderId="1" xfId="0" applyFont="1" applyFill="1" applyBorder="1" applyAlignment="1">
      <alignment horizontal="center" vertical="center" wrapText="1"/>
    </xf>
    <xf numFmtId="0" fontId="45" fillId="4" borderId="1" xfId="0" applyFont="1" applyFill="1" applyBorder="1" applyAlignment="1">
      <alignment horizontal="left" vertical="center"/>
    </xf>
    <xf numFmtId="0" fontId="69" fillId="3" borderId="1" xfId="0" applyFont="1" applyFill="1" applyBorder="1" applyAlignment="1">
      <alignment horizontal="center" vertical="top" wrapText="1"/>
    </xf>
    <xf numFmtId="0" fontId="70" fillId="4" borderId="1" xfId="0" applyFont="1" applyFill="1" applyBorder="1" applyAlignment="1">
      <alignment horizontal="center" vertical="center"/>
    </xf>
    <xf numFmtId="0" fontId="25" fillId="0" borderId="6" xfId="0" applyFont="1" applyBorder="1" applyAlignment="1">
      <alignment horizontal="left" vertical="center" wrapText="1"/>
    </xf>
    <xf numFmtId="0" fontId="25" fillId="0" borderId="0" xfId="0" applyFont="1" applyAlignment="1">
      <alignment wrapText="1"/>
    </xf>
    <xf numFmtId="0" fontId="35" fillId="11" borderId="1" xfId="0" applyFont="1" applyFill="1" applyBorder="1" applyAlignment="1">
      <alignment horizontal="center" vertical="center"/>
    </xf>
    <xf numFmtId="0" fontId="18" fillId="11" borderId="1" xfId="0" applyFont="1" applyFill="1" applyBorder="1" applyAlignment="1">
      <alignment horizontal="left" vertical="top" wrapText="1"/>
    </xf>
    <xf numFmtId="0" fontId="35" fillId="11" borderId="1" xfId="0" applyFont="1" applyFill="1" applyBorder="1" applyAlignment="1">
      <alignment horizontal="center" vertical="center" wrapText="1"/>
    </xf>
    <xf numFmtId="167" fontId="18" fillId="11" borderId="1" xfId="0" applyNumberFormat="1" applyFont="1" applyFill="1" applyBorder="1" applyAlignment="1">
      <alignment horizontal="center" vertical="center"/>
    </xf>
    <xf numFmtId="0" fontId="72" fillId="0" borderId="0" xfId="0" applyFont="1"/>
    <xf numFmtId="0" fontId="73" fillId="3" borderId="0" xfId="0" applyFont="1" applyFill="1" applyAlignment="1">
      <alignment horizontal="center" vertical="center" wrapText="1"/>
    </xf>
    <xf numFmtId="14" fontId="73" fillId="3" borderId="0" xfId="0" applyNumberFormat="1" applyFont="1" applyFill="1" applyAlignment="1">
      <alignment horizontal="center" vertical="center" wrapText="1"/>
    </xf>
    <xf numFmtId="14" fontId="1" fillId="0" borderId="0" xfId="0" applyNumberFormat="1" applyFont="1"/>
    <xf numFmtId="0" fontId="75" fillId="0" borderId="0" xfId="0" applyFont="1"/>
    <xf numFmtId="0" fontId="55" fillId="0" borderId="0" xfId="0" applyFont="1" applyAlignment="1">
      <alignment horizontal="left"/>
    </xf>
    <xf numFmtId="0" fontId="60" fillId="0" borderId="0" xfId="0" applyFont="1" applyAlignment="1">
      <alignment horizontal="left" vertical="top" wrapText="1"/>
    </xf>
    <xf numFmtId="0" fontId="74" fillId="0" borderId="7" xfId="0" applyFont="1" applyFill="1" applyBorder="1" applyAlignment="1">
      <alignment horizontal="center" vertical="center"/>
    </xf>
    <xf numFmtId="0" fontId="74" fillId="0" borderId="7" xfId="0" applyFont="1" applyFill="1" applyBorder="1" applyAlignment="1">
      <alignment vertical="center" wrapText="1"/>
    </xf>
    <xf numFmtId="0" fontId="74" fillId="0" borderId="7" xfId="0" applyFont="1" applyFill="1" applyBorder="1" applyAlignment="1">
      <alignment vertical="center"/>
    </xf>
    <xf numFmtId="14" fontId="74" fillId="0" borderId="7" xfId="0" applyNumberFormat="1" applyFont="1" applyFill="1" applyBorder="1" applyAlignment="1">
      <alignment vertical="center"/>
    </xf>
    <xf numFmtId="167" fontId="74" fillId="0" borderId="7" xfId="0" applyNumberFormat="1" applyFont="1" applyFill="1" applyBorder="1" applyAlignment="1">
      <alignment horizontal="center" vertical="center"/>
    </xf>
    <xf numFmtId="0" fontId="1" fillId="0" borderId="7" xfId="0" applyFont="1" applyFill="1" applyBorder="1" applyAlignment="1">
      <alignment horizontal="center"/>
    </xf>
    <xf numFmtId="0" fontId="1" fillId="0" borderId="7" xfId="0" applyFont="1" applyFill="1" applyBorder="1"/>
    <xf numFmtId="14" fontId="1" fillId="0" borderId="7" xfId="0" applyNumberFormat="1" applyFont="1" applyFill="1" applyBorder="1"/>
    <xf numFmtId="0" fontId="74" fillId="12" borderId="7" xfId="0" applyFont="1" applyFill="1" applyBorder="1" applyAlignment="1">
      <alignment horizontal="center" vertical="center"/>
    </xf>
    <xf numFmtId="0" fontId="74" fillId="12" borderId="7" xfId="0" applyFont="1" applyFill="1" applyBorder="1" applyAlignment="1">
      <alignment vertical="center" wrapText="1"/>
    </xf>
    <xf numFmtId="0" fontId="74" fillId="12" borderId="7" xfId="0" applyFont="1" applyFill="1" applyBorder="1" applyAlignment="1">
      <alignment vertical="center"/>
    </xf>
    <xf numFmtId="14" fontId="74" fillId="12" borderId="7" xfId="0" applyNumberFormat="1" applyFont="1" applyFill="1" applyBorder="1" applyAlignment="1">
      <alignment vertical="center"/>
    </xf>
    <xf numFmtId="167" fontId="74" fillId="12" borderId="7" xfId="0" applyNumberFormat="1" applyFont="1" applyFill="1" applyBorder="1" applyAlignment="1">
      <alignment horizontal="center" vertical="center"/>
    </xf>
    <xf numFmtId="0" fontId="1" fillId="12" borderId="7" xfId="0" applyFont="1" applyFill="1" applyBorder="1" applyAlignment="1">
      <alignment horizontal="center"/>
    </xf>
    <xf numFmtId="0" fontId="1" fillId="12" borderId="7" xfId="0" applyFont="1" applyFill="1" applyBorder="1"/>
    <xf numFmtId="14" fontId="1" fillId="12" borderId="7" xfId="0" applyNumberFormat="1" applyFont="1" applyFill="1" applyBorder="1"/>
    <xf numFmtId="0" fontId="74" fillId="12" borderId="9" xfId="0" applyFont="1" applyFill="1" applyBorder="1" applyAlignment="1">
      <alignment horizontal="center" vertical="center"/>
    </xf>
    <xf numFmtId="0" fontId="74" fillId="12" borderId="9" xfId="0" applyFont="1" applyFill="1" applyBorder="1" applyAlignment="1">
      <alignment vertical="center" wrapText="1"/>
    </xf>
    <xf numFmtId="0" fontId="74" fillId="12" borderId="9" xfId="0" applyFont="1" applyFill="1" applyBorder="1" applyAlignment="1">
      <alignment vertical="center"/>
    </xf>
    <xf numFmtId="14" fontId="74" fillId="12" borderId="9" xfId="0" applyNumberFormat="1" applyFont="1" applyFill="1" applyBorder="1" applyAlignment="1">
      <alignment vertical="center"/>
    </xf>
    <xf numFmtId="167" fontId="74" fillId="12" borderId="9" xfId="0" applyNumberFormat="1" applyFont="1" applyFill="1" applyBorder="1" applyAlignment="1">
      <alignment horizontal="center" vertical="center"/>
    </xf>
    <xf numFmtId="0" fontId="74" fillId="0" borderId="8" xfId="0" applyFont="1" applyFill="1" applyBorder="1" applyAlignment="1">
      <alignment horizontal="center" vertical="center"/>
    </xf>
    <xf numFmtId="0" fontId="74" fillId="0" borderId="8" xfId="0" applyFont="1" applyFill="1" applyBorder="1" applyAlignment="1">
      <alignment vertical="center" wrapText="1"/>
    </xf>
    <xf numFmtId="0" fontId="74" fillId="0" borderId="8" xfId="0" applyFont="1" applyFill="1" applyBorder="1" applyAlignment="1">
      <alignment vertical="center"/>
    </xf>
    <xf numFmtId="14" fontId="74" fillId="0" borderId="8" xfId="0" applyNumberFormat="1" applyFont="1" applyFill="1" applyBorder="1" applyAlignment="1">
      <alignment vertical="center"/>
    </xf>
    <xf numFmtId="167" fontId="74" fillId="0" borderId="8" xfId="0" applyNumberFormat="1" applyFont="1" applyFill="1" applyBorder="1" applyAlignment="1">
      <alignment horizontal="center" vertical="center"/>
    </xf>
    <xf numFmtId="0" fontId="74" fillId="0" borderId="9" xfId="0" applyFont="1" applyFill="1" applyBorder="1" applyAlignment="1">
      <alignment horizontal="center" vertical="center"/>
    </xf>
    <xf numFmtId="0" fontId="74" fillId="0" borderId="9" xfId="0" applyFont="1" applyFill="1" applyBorder="1" applyAlignment="1">
      <alignment vertical="center" wrapText="1"/>
    </xf>
    <xf numFmtId="0" fontId="74" fillId="0" borderId="9" xfId="0" applyFont="1" applyFill="1" applyBorder="1" applyAlignment="1">
      <alignment vertical="center"/>
    </xf>
    <xf numFmtId="14" fontId="74" fillId="0" borderId="9" xfId="0" applyNumberFormat="1" applyFont="1" applyFill="1" applyBorder="1" applyAlignment="1">
      <alignment vertical="center"/>
    </xf>
    <xf numFmtId="167" fontId="74" fillId="0" borderId="9" xfId="0" applyNumberFormat="1" applyFont="1" applyFill="1" applyBorder="1" applyAlignment="1">
      <alignment horizontal="center" vertical="center"/>
    </xf>
    <xf numFmtId="0" fontId="74" fillId="12" borderId="8" xfId="0" applyFont="1" applyFill="1" applyBorder="1" applyAlignment="1">
      <alignment horizontal="center" vertical="center"/>
    </xf>
    <xf numFmtId="0" fontId="74" fillId="12" borderId="8" xfId="0" applyFont="1" applyFill="1" applyBorder="1" applyAlignment="1">
      <alignment vertical="center" wrapText="1"/>
    </xf>
    <xf numFmtId="0" fontId="74" fillId="12" borderId="8" xfId="0" applyFont="1" applyFill="1" applyBorder="1" applyAlignment="1">
      <alignment vertical="center"/>
    </xf>
    <xf numFmtId="14" fontId="74" fillId="12" borderId="8" xfId="0" applyNumberFormat="1" applyFont="1" applyFill="1" applyBorder="1" applyAlignment="1">
      <alignment vertical="center"/>
    </xf>
    <xf numFmtId="167" fontId="74" fillId="12" borderId="8" xfId="0" applyNumberFormat="1" applyFont="1" applyFill="1" applyBorder="1" applyAlignment="1">
      <alignment horizontal="center" vertical="center"/>
    </xf>
    <xf numFmtId="0" fontId="0" fillId="0" borderId="0" xfId="0" applyAlignment="1">
      <alignment vertical="top" wrapText="1"/>
    </xf>
    <xf numFmtId="0" fontId="20" fillId="0" borderId="10" xfId="0" applyFont="1" applyBorder="1" applyAlignment="1">
      <alignment horizontal="center" vertical="center"/>
    </xf>
    <xf numFmtId="0" fontId="20" fillId="0" borderId="10" xfId="0" applyFont="1" applyBorder="1" applyAlignment="1">
      <alignment vertical="center" wrapText="1"/>
    </xf>
    <xf numFmtId="0" fontId="0" fillId="0" borderId="10" xfId="0" applyBorder="1" applyAlignment="1">
      <alignment vertical="center"/>
    </xf>
    <xf numFmtId="167" fontId="20" fillId="0" borderId="10" xfId="0" applyNumberFormat="1" applyFont="1" applyBorder="1" applyAlignment="1">
      <alignment horizontal="center" vertical="center"/>
    </xf>
    <xf numFmtId="0" fontId="0" fillId="0" borderId="10" xfId="0" applyBorder="1" applyAlignment="1">
      <alignment horizontal="center" vertical="center"/>
    </xf>
  </cellXfs>
  <cellStyles count="2">
    <cellStyle name="Comma" xfId="1" builtinId="3"/>
    <cellStyle name="Normal" xfId="0" builtinId="0"/>
  </cellStyles>
  <dxfs count="115">
    <dxf>
      <alignment horizontal="center" vertical="center" textRotation="0" indent="0" justifyLastLine="0" shrinkToFit="0" readingOrder="0"/>
      <border diagonalUp="0" diagonalDown="0" outline="0">
        <left/>
        <right/>
        <top style="dashed">
          <color auto="1"/>
        </top>
        <bottom style="dashed">
          <color auto="1"/>
        </bottom>
      </border>
    </dxf>
    <dxf>
      <alignment vertical="center" textRotation="0" indent="0" justifyLastLine="0" shrinkToFit="0" readingOrder="0"/>
      <border diagonalUp="0" diagonalDown="0" outline="0">
        <left/>
        <right/>
        <top style="dashed">
          <color auto="1"/>
        </top>
        <bottom style="dashed">
          <color auto="1"/>
        </bottom>
      </border>
    </dxf>
    <dxf>
      <alignment horizontal="center" vertical="center" textRotation="0" wrapText="0" indent="0" justifyLastLine="0" shrinkToFit="0" readingOrder="0"/>
      <border diagonalUp="0" diagonalDown="0" outline="0">
        <left/>
        <right/>
        <top style="dashed">
          <color auto="1"/>
        </top>
        <bottom style="dashed">
          <color auto="1"/>
        </bottom>
      </border>
    </dxf>
    <dxf>
      <alignment vertical="center" textRotation="0" indent="0" justifyLastLine="0" shrinkToFit="0" readingOrder="0"/>
      <border diagonalUp="0" diagonalDown="0" outline="0">
        <left/>
        <right/>
        <top style="dashed">
          <color auto="1"/>
        </top>
        <bottom style="dashed">
          <color auto="1"/>
        </bottom>
      </border>
    </dxf>
    <dxf>
      <alignment vertical="center" textRotation="0" indent="0" justifyLastLine="0" shrinkToFit="0" readingOrder="0"/>
      <border diagonalUp="0" diagonalDown="0">
        <left/>
        <right/>
        <top style="dashed">
          <color auto="1"/>
        </top>
        <bottom style="dashed">
          <color auto="1"/>
        </bottom>
        <vertical/>
        <horizontal style="dashed">
          <color auto="1"/>
        </horizontal>
      </border>
    </dxf>
    <dxf>
      <alignment vertical="center" textRotation="0" indent="0" justifyLastLine="0" shrinkToFit="0" readingOrder="0"/>
      <border diagonalUp="0" diagonalDown="0">
        <left/>
        <right/>
        <top style="dashed">
          <color auto="1"/>
        </top>
        <bottom style="dashed">
          <color auto="1"/>
        </bottom>
        <vertical/>
        <horizontal style="dashed">
          <color auto="1"/>
        </horizontal>
      </border>
    </dxf>
    <dxf>
      <alignment vertical="center" textRotation="0" indent="0" justifyLastLine="0" shrinkToFit="0" readingOrder="0"/>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color rgb="FF9C0006"/>
      </font>
      <fill>
        <patternFill>
          <bgColor rgb="FFFFC7CE"/>
        </patternFill>
      </fill>
    </dxf>
    <dxf>
      <font>
        <b/>
        <color rgb="FF006100"/>
      </font>
      <fill>
        <patternFill>
          <bgColor rgb="FFC6EFCE"/>
        </patternFill>
      </fill>
    </dxf>
    <dxf>
      <font>
        <b/>
        <color rgb="FF9C6500"/>
      </font>
      <fill>
        <patternFill>
          <bgColor rgb="FFFFEB9C"/>
        </patternFill>
      </fill>
    </dxf>
    <dxf>
      <font>
        <b/>
        <color rgb="FF006100"/>
      </font>
      <fill>
        <patternFill>
          <bgColor rgb="FFC6EFCE"/>
        </patternFill>
      </fill>
    </dxf>
    <dxf>
      <font>
        <b/>
        <color rgb="FF9C0006"/>
      </font>
      <fill>
        <patternFill>
          <bgColor rgb="FFFFC7CE"/>
        </patternFill>
      </fill>
    </dxf>
    <dxf>
      <font>
        <b/>
        <color rgb="FF9C0006"/>
      </font>
      <fill>
        <patternFill>
          <bgColor rgb="FFFFC7CE"/>
        </patternFill>
      </fill>
    </dxf>
    <dxf>
      <font>
        <color rgb="FF006100"/>
      </font>
      <fill>
        <patternFill>
          <bgColor rgb="FFC6EFCE"/>
        </patternFill>
      </fill>
    </dxf>
    <dxf>
      <font>
        <b/>
        <color rgb="FF9C0006"/>
      </font>
      <fill>
        <patternFill>
          <bgColor rgb="FFFFC7CE"/>
        </patternFill>
      </fill>
    </dxf>
    <dxf>
      <font>
        <color rgb="FF006100"/>
      </font>
      <fill>
        <patternFill>
          <bgColor rgb="FFC6EFCE"/>
        </patternFill>
      </fill>
    </dxf>
    <dxf>
      <font>
        <b/>
        <color rgb="FF9C0006"/>
      </font>
      <fill>
        <patternFill>
          <bgColor rgb="FFFFC7CE"/>
        </patternFill>
      </fill>
    </dxf>
    <dxf>
      <font>
        <color rgb="FF006100"/>
      </font>
      <fill>
        <patternFill>
          <bgColor rgb="FFC6EFCE"/>
        </patternFill>
      </fill>
    </dxf>
    <dxf>
      <font>
        <b/>
        <color rgb="FF9C0006"/>
      </font>
      <fill>
        <patternFill>
          <bgColor rgb="FFFFC7CE"/>
        </patternFill>
      </fill>
    </dxf>
    <dxf>
      <font>
        <color rgb="FF006100"/>
      </font>
      <fill>
        <patternFill>
          <bgColor rgb="FFC6EFCE"/>
        </patternFill>
      </fill>
    </dxf>
    <dxf>
      <font>
        <b/>
        <color rgb="FF9C0006"/>
      </font>
      <fill>
        <patternFill>
          <bgColor rgb="FFFFC7CE"/>
        </patternFill>
      </fill>
    </dxf>
    <dxf>
      <font>
        <color rgb="FF006100"/>
      </font>
      <fill>
        <patternFill>
          <bgColor rgb="FFC6EFCE"/>
        </patternFill>
      </fill>
    </dxf>
    <dxf>
      <font>
        <b/>
        <color rgb="FF9C0006"/>
      </font>
      <fill>
        <patternFill>
          <bgColor rgb="FFFFC7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9C6500"/>
      </font>
      <fill>
        <patternFill>
          <bgColor rgb="FFFFEB9C"/>
        </patternFill>
      </fill>
    </dxf>
    <dxf>
      <font>
        <b/>
        <color rgb="FF006100"/>
      </font>
      <fill>
        <patternFill>
          <bgColor rgb="FFC6EFCE"/>
        </patternFill>
      </fill>
    </dxf>
    <dxf>
      <font>
        <b/>
        <color rgb="FF006100"/>
      </font>
      <fill>
        <patternFill>
          <bgColor rgb="FFC6EFCE"/>
        </patternFill>
      </fill>
    </dxf>
    <dxf>
      <font>
        <b/>
        <color rgb="FF9C0006"/>
      </font>
      <fill>
        <patternFill>
          <bgColor rgb="FFFFC7CE"/>
        </patternFill>
      </fill>
    </dxf>
    <dxf>
      <font>
        <b/>
        <color rgb="FFC65911"/>
      </font>
      <fill>
        <patternFill>
          <bgColor rgb="FFFCE4D6"/>
        </patternFill>
      </fill>
    </dxf>
    <dxf>
      <font>
        <b/>
        <color rgb="FF7F6000"/>
      </font>
      <fill>
        <patternFill>
          <bgColor rgb="FFFFF2CC"/>
        </patternFill>
      </fill>
    </dxf>
    <dxf>
      <font>
        <b/>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color rgb="FF9C6500"/>
      </font>
      <fill>
        <patternFill>
          <bgColor rgb="FFFFEB9C"/>
        </patternFill>
      </fill>
    </dxf>
    <dxf>
      <font>
        <color rgb="FF006100"/>
      </font>
      <fill>
        <patternFill>
          <bgColor rgb="FFC6EFCE"/>
        </patternFill>
      </fill>
    </dxf>
    <dxf>
      <font>
        <b/>
        <color rgb="FF9C6500"/>
      </font>
      <fill>
        <patternFill>
          <bgColor rgb="FFFFEB9C"/>
        </patternFill>
      </fill>
    </dxf>
    <dxf>
      <font>
        <b/>
        <color rgb="FF9C6500"/>
      </font>
      <fill>
        <patternFill>
          <bgColor rgb="FFFFEB9C"/>
        </patternFill>
      </fill>
    </dxf>
    <dxf>
      <font>
        <color rgb="FF006100"/>
      </font>
      <fill>
        <patternFill>
          <bgColor rgb="FFC6EFCE"/>
        </patternFill>
      </fill>
    </dxf>
    <dxf>
      <font>
        <b/>
        <color rgb="FF9C0006"/>
      </font>
      <fill>
        <patternFill>
          <bgColor rgb="FFFFC7CE"/>
        </patternFill>
      </fill>
    </dxf>
    <dxf>
      <font>
        <b/>
        <color rgb="FF9C6500"/>
      </font>
      <fill>
        <patternFill>
          <bgColor rgb="FFFFEB9C"/>
        </patternFill>
      </fill>
    </dxf>
    <dxf>
      <font>
        <color rgb="FF006100"/>
      </font>
      <fill>
        <patternFill>
          <bgColor rgb="FFC6EFCE"/>
        </patternFill>
      </fill>
    </dxf>
    <dxf>
      <font>
        <b/>
        <color rgb="FF9C0006"/>
      </font>
      <fill>
        <patternFill>
          <bgColor rgb="FFFFC7CE"/>
        </patternFill>
      </fill>
    </dxf>
    <dxf>
      <font>
        <b/>
        <color rgb="FF9C0006"/>
      </font>
      <fill>
        <patternFill>
          <bgColor rgb="FFFFC7CE"/>
        </patternFill>
      </fill>
    </dxf>
    <dxf>
      <font>
        <b/>
        <color rgb="FFC65911"/>
      </font>
      <fill>
        <patternFill>
          <bgColor rgb="FFFCE4D6"/>
        </patternFill>
      </fill>
    </dxf>
    <dxf>
      <font>
        <b/>
        <color rgb="FF9C6500"/>
      </font>
      <fill>
        <patternFill>
          <bgColor rgb="FFFFEB9C"/>
        </patternFill>
      </fill>
    </dxf>
    <dxf>
      <font>
        <b/>
        <color rgb="FF375623"/>
      </font>
      <fill>
        <patternFill>
          <bgColor rgb="FFE2EFDA"/>
        </patternFill>
      </fill>
    </dxf>
    <dxf>
      <font>
        <b/>
        <color rgb="FF006100"/>
      </font>
      <fill>
        <patternFill>
          <bgColor rgb="FFC6EFCE"/>
        </patternFill>
      </fill>
    </dxf>
    <dxf>
      <font>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9C6500"/>
      </font>
      <fill>
        <patternFill>
          <bgColor rgb="FFFFEB9C"/>
        </patternFill>
      </fill>
    </dxf>
    <dxf>
      <font>
        <b/>
        <color rgb="FF9C0006"/>
      </font>
      <fill>
        <patternFill>
          <bgColor rgb="FFFFC7CE"/>
        </patternFill>
      </fill>
    </dxf>
    <dxf>
      <font>
        <b/>
        <color rgb="FF9C0006"/>
      </font>
      <fill>
        <patternFill>
          <bgColor rgb="FFFFC7CE"/>
        </patternFill>
      </fill>
    </dxf>
    <dxf>
      <font>
        <b/>
        <color rgb="FFC65911"/>
      </font>
      <fill>
        <patternFill>
          <bgColor rgb="FFFCE4D6"/>
        </patternFill>
      </fill>
    </dxf>
    <dxf>
      <font>
        <b/>
        <color rgb="FF9C6500"/>
      </font>
      <fill>
        <patternFill>
          <bgColor rgb="FFFFEB9C"/>
        </patternFill>
      </fill>
    </dxf>
    <dxf>
      <font>
        <b/>
        <color rgb="FF375623"/>
      </font>
      <fill>
        <patternFill>
          <bgColor rgb="FFE2EFDA"/>
        </patternFill>
      </fill>
    </dxf>
    <dxf>
      <font>
        <b/>
        <color rgb="FF006100"/>
      </font>
      <fill>
        <patternFill>
          <bgColor rgb="FFC6EFCE"/>
        </patternFill>
      </fill>
    </dxf>
    <dxf>
      <font>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9C0006"/>
      </font>
      <fill>
        <patternFill>
          <bgColor rgb="FFFFC7CE"/>
        </patternFill>
      </fill>
    </dxf>
    <dxf>
      <font>
        <b/>
        <color rgb="FFC65911"/>
      </font>
      <fill>
        <patternFill>
          <bgColor rgb="FFFCE4D6"/>
        </patternFill>
      </fill>
    </dxf>
    <dxf>
      <font>
        <b/>
        <color rgb="FF9C6500"/>
      </font>
      <fill>
        <patternFill>
          <bgColor rgb="FFFFEB9C"/>
        </patternFill>
      </fill>
    </dxf>
    <dxf>
      <font>
        <b/>
        <color rgb="FF375623"/>
      </font>
      <fill>
        <patternFill>
          <bgColor rgb="FFE2EFDA"/>
        </patternFill>
      </fill>
    </dxf>
    <dxf>
      <font>
        <b/>
        <color rgb="FF006100"/>
      </font>
      <fill>
        <patternFill>
          <bgColor rgb="FFC6EFCE"/>
        </patternFill>
      </fill>
    </dxf>
    <dxf>
      <font>
        <b/>
        <color rgb="FFC65911"/>
      </font>
      <fill>
        <patternFill>
          <bgColor rgb="FFFCE4D6"/>
        </patternFill>
      </fill>
    </dxf>
    <dxf>
      <font>
        <color rgb="FF9C0006"/>
      </font>
    </dxf>
    <dxf>
      <font>
        <b/>
        <color rgb="FF9C0006"/>
      </font>
      <fill>
        <patternFill>
          <bgColor rgb="FFFFC7CE"/>
        </patternFill>
      </fill>
    </dxf>
    <dxf>
      <font>
        <b/>
        <color rgb="FF9C0006"/>
      </font>
      <fill>
        <patternFill>
          <bgColor rgb="FFFFC7CE"/>
        </patternFill>
      </fill>
    </dxf>
    <dxf>
      <font>
        <b/>
        <color rgb="FF9C0006"/>
      </font>
      <fill>
        <patternFill>
          <bgColor rgb="FFFFC7CE"/>
        </patternFill>
      </fill>
    </dxf>
    <dxf>
      <font>
        <b/>
        <color rgb="FF9C0006"/>
      </font>
      <fill>
        <patternFill>
          <bgColor rgb="FFFFC7CE"/>
        </patternFill>
      </fill>
    </dxf>
    <dxf>
      <font>
        <strike val="0"/>
        <outline val="0"/>
        <shadow val="0"/>
        <u val="none"/>
        <vertAlign val="baseline"/>
        <sz val="10"/>
        <name val="Arial Narrow"/>
        <family val="2"/>
        <scheme val="none"/>
      </font>
      <fill>
        <patternFill patternType="none">
          <fgColor indexed="64"/>
          <bgColor indexed="65"/>
        </patternFill>
      </fill>
      <alignment vertical="center" textRotation="0" indent="0" justifyLastLine="0" shrinkToFit="0" readingOrder="0"/>
    </dxf>
    <dxf>
      <font>
        <strike val="0"/>
        <outline val="0"/>
        <shadow val="0"/>
        <u val="none"/>
        <vertAlign val="baseline"/>
        <sz val="10"/>
        <name val="Arial Narrow"/>
        <family val="2"/>
        <scheme val="none"/>
      </font>
      <fill>
        <patternFill patternType="none">
          <fgColor indexed="64"/>
          <bgColor indexed="65"/>
        </patternFill>
      </fill>
      <alignment horizontal="center" vertical="center" textRotation="0" indent="0" justifyLastLine="0" shrinkToFit="0" readingOrder="0"/>
      <border diagonalUp="0" diagonalDown="0" outline="0">
        <left/>
        <right/>
        <top style="thin">
          <color theme="0" tint="-0.14996795556505021"/>
        </top>
        <bottom style="thin">
          <color theme="0" tint="-0.14996795556505021"/>
        </bottom>
      </border>
    </dxf>
    <dxf>
      <font>
        <strike val="0"/>
        <outline val="0"/>
        <shadow val="0"/>
        <u val="none"/>
        <vertAlign val="baseline"/>
        <sz val="10"/>
        <name val="Arial Narrow"/>
        <family val="2"/>
        <scheme val="none"/>
      </font>
      <fill>
        <patternFill patternType="none">
          <fgColor indexed="64"/>
          <bgColor indexed="65"/>
        </patternFill>
      </fill>
      <alignment horizontal="center" vertical="center" textRotation="0" indent="0" justifyLastLine="0" shrinkToFit="0" readingOrder="0"/>
      <border diagonalUp="0" diagonalDown="0" outline="0">
        <left/>
        <right/>
        <top style="thin">
          <color theme="0" tint="-0.14996795556505021"/>
        </top>
        <bottom style="thin">
          <color theme="0" tint="-0.14996795556505021"/>
        </bottom>
      </border>
    </dxf>
    <dxf>
      <font>
        <strike val="0"/>
        <outline val="0"/>
        <shadow val="0"/>
        <u val="none"/>
        <vertAlign val="baseline"/>
        <sz val="10"/>
        <name val="Arial Narrow"/>
        <family val="2"/>
        <scheme val="none"/>
      </font>
      <numFmt numFmtId="19" formatCode="m/d/yyyy"/>
      <fill>
        <patternFill patternType="none">
          <fgColor indexed="64"/>
          <bgColor indexed="65"/>
        </patternFill>
      </fill>
      <alignment vertical="center" textRotation="0" indent="0" justifyLastLine="0" shrinkToFit="0" readingOrder="0"/>
      <border diagonalUp="0" diagonalDown="0" outline="0">
        <left/>
        <right/>
        <top style="thin">
          <color theme="0" tint="-0.14996795556505021"/>
        </top>
        <bottom style="thin">
          <color theme="0" tint="-0.14996795556505021"/>
        </bottom>
      </border>
    </dxf>
    <dxf>
      <font>
        <strike val="0"/>
        <outline val="0"/>
        <shadow val="0"/>
        <u val="none"/>
        <vertAlign val="baseline"/>
        <sz val="10"/>
        <name val="Arial Narrow"/>
        <family val="2"/>
        <scheme val="none"/>
      </font>
      <fill>
        <patternFill patternType="none">
          <fgColor indexed="64"/>
          <bgColor indexed="65"/>
        </patternFill>
      </fill>
      <alignment vertical="center" textRotation="0" indent="0" justifyLastLine="0" shrinkToFit="0" readingOrder="0"/>
      <border diagonalUp="0" diagonalDown="0" outline="0">
        <left/>
        <right/>
        <top style="thin">
          <color theme="0" tint="-0.14996795556505021"/>
        </top>
        <bottom style="thin">
          <color theme="0" tint="-0.14996795556505021"/>
        </bottom>
      </border>
    </dxf>
    <dxf>
      <font>
        <strike val="0"/>
        <outline val="0"/>
        <shadow val="0"/>
        <u val="none"/>
        <vertAlign val="baseline"/>
        <sz val="10"/>
        <name val="Arial Narrow"/>
        <family val="2"/>
        <scheme val="none"/>
      </font>
      <fill>
        <patternFill patternType="none">
          <fgColor indexed="64"/>
          <bgColor indexed="65"/>
        </patternFill>
      </fill>
      <alignment vertical="center" textRotation="0" indent="0" justifyLastLine="0" shrinkToFit="0" readingOrder="0"/>
      <border diagonalUp="0" diagonalDown="0" outline="0">
        <left/>
        <right/>
        <top style="thin">
          <color theme="0" tint="-0.14996795556505021"/>
        </top>
        <bottom style="thin">
          <color theme="0" tint="-0.14996795556505021"/>
        </bottom>
      </border>
    </dxf>
    <dxf>
      <font>
        <strike val="0"/>
        <outline val="0"/>
        <shadow val="0"/>
        <u val="none"/>
        <vertAlign val="baseline"/>
        <sz val="10"/>
        <name val="Arial Narrow"/>
        <family val="2"/>
        <scheme val="none"/>
      </font>
      <fill>
        <patternFill patternType="none">
          <fgColor indexed="64"/>
          <bgColor indexed="65"/>
        </patternFill>
      </fill>
      <alignment horizontal="center" vertical="center" textRotation="0" indent="0" justifyLastLine="0" shrinkToFit="0" readingOrder="0"/>
      <border diagonalUp="0" diagonalDown="0" outline="0">
        <left/>
        <right/>
        <top style="thin">
          <color theme="0" tint="-0.14996795556505021"/>
        </top>
        <bottom style="thin">
          <color theme="0" tint="-0.14996795556505021"/>
        </bottom>
      </border>
    </dxf>
    <dxf>
      <font>
        <strike val="0"/>
        <outline val="0"/>
        <shadow val="0"/>
        <u val="none"/>
        <vertAlign val="baseline"/>
        <sz val="12"/>
        <name val="Arial Narrow"/>
        <family val="2"/>
        <scheme val="none"/>
      </font>
    </dxf>
    <dxf>
      <fill>
        <patternFill patternType="solid">
          <fgColor rgb="FFDCE6F1"/>
          <bgColor rgb="FFECF4FA"/>
        </patternFill>
      </fill>
    </dxf>
    <dxf>
      <font>
        <strike val="0"/>
        <outline val="0"/>
        <shadow val="0"/>
        <u val="none"/>
        <vertAlign val="baseline"/>
        <sz val="10"/>
        <color rgb="FF002060"/>
        <name val="Arial Narrow"/>
        <family val="2"/>
        <charset val="1"/>
        <scheme val="none"/>
      </font>
      <fill>
        <patternFill patternType="solid">
          <fgColor rgb="FFDCE6F1"/>
          <bgColor rgb="FFECF4FA"/>
        </patternFill>
      </fill>
    </dxf>
    <dxf>
      <fill>
        <patternFill patternType="solid">
          <fgColor rgb="FFDCE6F1"/>
          <bgColor rgb="FFECF4FA"/>
        </patternFill>
      </fill>
      <border outline="0">
        <right style="thin">
          <color rgb="FF999999"/>
        </right>
      </border>
    </dxf>
    <dxf>
      <fill>
        <patternFill patternType="solid">
          <fgColor rgb="FFDCE6F1"/>
          <bgColor rgb="FFECF4FA"/>
        </patternFill>
      </fill>
    </dxf>
    <dxf>
      <alignment horizontal="left"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numFmt numFmtId="4" formatCode="#,##0.00"/>
    </dxf>
    <dxf>
      <alignment horizontal="center" textRotation="0" indent="0" justifyLastLine="0" shrinkToFit="0" readingOrder="0"/>
    </dxf>
    <dxf>
      <alignment horizontal="center" textRotation="0" indent="0" justifyLastLine="0" shrinkToFit="0" readingOrder="0"/>
    </dxf>
    <dxf>
      <font>
        <strike val="0"/>
        <outline val="0"/>
        <shadow val="0"/>
        <u val="none"/>
        <vertAlign val="baseline"/>
        <name val="Arial Narrow"/>
        <family val="2"/>
        <scheme val="none"/>
      </font>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7F6000"/>
      <rgbColor rgb="FF800080"/>
      <rgbColor rgb="FF008080"/>
      <rgbColor rgb="FFB3B3B3"/>
      <rgbColor rgb="FF808080"/>
      <rgbColor rgb="FF9999FF"/>
      <rgbColor rgb="FF9C6500"/>
      <rgbColor rgb="FFFFF2CC"/>
      <rgbColor rgb="00ECF4FA"/>
      <rgbColor rgb="FF660066"/>
      <rgbColor rgb="FFFF8080"/>
      <rgbColor rgb="FF0066CC"/>
      <rgbColor rgb="FFD9D9D9"/>
      <rgbColor rgb="FF000080"/>
      <rgbColor rgb="FFFF00FF"/>
      <rgbColor rgb="FFFFFF00"/>
      <rgbColor rgb="FF00FFFF"/>
      <rgbColor rgb="FF800080"/>
      <rgbColor rgb="FF632423"/>
      <rgbColor rgb="FF008080"/>
      <rgbColor rgb="FF0000FF"/>
      <rgbColor rgb="FF00CCFF"/>
      <rgbColor rgb="FFE2EFDA"/>
      <rgbColor rgb="FFC6EFCE"/>
      <rgbColor rgb="FFFFEB9C"/>
      <rgbColor rgb="FFDCE6F1"/>
      <rgbColor rgb="FFFCE4D6"/>
      <rgbColor rgb="FFCC99FF"/>
      <rgbColor rgb="FFFFC7CE"/>
      <rgbColor rgb="FF3366FF"/>
      <rgbColor rgb="FF33CCCC"/>
      <rgbColor rgb="FF99CC00"/>
      <rgbColor rgb="FFFFCC00"/>
      <rgbColor rgb="FFFF9900"/>
      <rgbColor rgb="FFC65911"/>
      <rgbColor rgb="FF4F81BD"/>
      <rgbColor rgb="FF999999"/>
      <rgbColor rgb="FF002060"/>
      <rgbColor rgb="FF339966"/>
      <rgbColor rgb="FF003300"/>
      <rgbColor rgb="FF375623"/>
      <rgbColor rgb="FF833C0C"/>
      <rgbColor rgb="FF993366"/>
      <rgbColor rgb="FF2E5090"/>
      <rgbColor rgb="FF1F3864"/>
      <rgbColor rgb="00003366"/>
      <rgbColor rgb="00339966"/>
      <rgbColor rgb="00003300"/>
      <rgbColor rgb="00333300"/>
      <rgbColor rgb="00993300"/>
      <rgbColor rgb="00993366"/>
      <rgbColor rgb="00333399"/>
      <rgbColor rgb="00333333"/>
    </indexedColors>
    <mruColors>
      <color rgb="FFECF4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ADBE</a:t>
            </a:r>
          </a:p>
        </c:rich>
      </c:tx>
      <c:overlay val="0"/>
      <c:spPr>
        <a:noFill/>
        <a:ln w="0">
          <a:noFill/>
        </a:ln>
      </c:spPr>
    </c:title>
    <c:autoTitleDeleted val="0"/>
    <c:plotArea>
      <c:layout/>
      <c:barChart>
        <c:barDir val="col"/>
        <c:grouping val="clustered"/>
        <c:varyColors val="0"/>
        <c:ser>
          <c:idx val="0"/>
          <c:order val="0"/>
          <c:tx>
            <c:strRef>
              <c:f>'Returns (Calc)'!$B$2</c:f>
              <c:strCache>
                <c:ptCount val="1"/>
                <c:pt idx="0">
                  <c:v>ADBE</c:v>
                </c:pt>
              </c:strCache>
            </c:strRef>
          </c:tx>
          <c:spPr>
            <a:solidFill>
              <a:srgbClr val="4F81BD"/>
            </a:solidFill>
            <a:ln w="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45156</c:v>
                </c:pt>
                <c:pt idx="1">
                  <c:v>45163</c:v>
                </c:pt>
                <c:pt idx="2">
                  <c:v>45170</c:v>
                </c:pt>
                <c:pt idx="3">
                  <c:v>45177</c:v>
                </c:pt>
                <c:pt idx="4">
                  <c:v>45184</c:v>
                </c:pt>
                <c:pt idx="5">
                  <c:v>45191</c:v>
                </c:pt>
                <c:pt idx="6">
                  <c:v>45198</c:v>
                </c:pt>
                <c:pt idx="7">
                  <c:v>45205</c:v>
                </c:pt>
                <c:pt idx="8">
                  <c:v>45212</c:v>
                </c:pt>
                <c:pt idx="9">
                  <c:v>45219</c:v>
                </c:pt>
                <c:pt idx="10">
                  <c:v>45226</c:v>
                </c:pt>
                <c:pt idx="11">
                  <c:v>45233</c:v>
                </c:pt>
                <c:pt idx="12">
                  <c:v>45240</c:v>
                </c:pt>
                <c:pt idx="13">
                  <c:v>45247</c:v>
                </c:pt>
                <c:pt idx="14">
                  <c:v>45254</c:v>
                </c:pt>
                <c:pt idx="15">
                  <c:v>45261</c:v>
                </c:pt>
                <c:pt idx="16">
                  <c:v>45268</c:v>
                </c:pt>
                <c:pt idx="17">
                  <c:v>45275</c:v>
                </c:pt>
                <c:pt idx="18">
                  <c:v>45282</c:v>
                </c:pt>
                <c:pt idx="19">
                  <c:v>45289</c:v>
                </c:pt>
                <c:pt idx="20">
                  <c:v>45296</c:v>
                </c:pt>
                <c:pt idx="21">
                  <c:v>45303</c:v>
                </c:pt>
                <c:pt idx="22">
                  <c:v>45310</c:v>
                </c:pt>
                <c:pt idx="23">
                  <c:v>45317</c:v>
                </c:pt>
                <c:pt idx="24">
                  <c:v>45324</c:v>
                </c:pt>
                <c:pt idx="25">
                  <c:v>45331</c:v>
                </c:pt>
                <c:pt idx="26">
                  <c:v>45338</c:v>
                </c:pt>
                <c:pt idx="27">
                  <c:v>45345</c:v>
                </c:pt>
                <c:pt idx="28">
                  <c:v>45352</c:v>
                </c:pt>
                <c:pt idx="29">
                  <c:v>45359</c:v>
                </c:pt>
                <c:pt idx="30">
                  <c:v>45366</c:v>
                </c:pt>
                <c:pt idx="31">
                  <c:v>45373</c:v>
                </c:pt>
                <c:pt idx="32">
                  <c:v>45379</c:v>
                </c:pt>
                <c:pt idx="33">
                  <c:v>45387</c:v>
                </c:pt>
                <c:pt idx="34">
                  <c:v>45394</c:v>
                </c:pt>
                <c:pt idx="35">
                  <c:v>45401</c:v>
                </c:pt>
                <c:pt idx="36">
                  <c:v>45408</c:v>
                </c:pt>
                <c:pt idx="37">
                  <c:v>45415</c:v>
                </c:pt>
                <c:pt idx="38">
                  <c:v>45422</c:v>
                </c:pt>
                <c:pt idx="39">
                  <c:v>45429</c:v>
                </c:pt>
                <c:pt idx="40">
                  <c:v>45436</c:v>
                </c:pt>
                <c:pt idx="41">
                  <c:v>45443</c:v>
                </c:pt>
                <c:pt idx="42">
                  <c:v>45450</c:v>
                </c:pt>
                <c:pt idx="43">
                  <c:v>45457</c:v>
                </c:pt>
                <c:pt idx="44">
                  <c:v>45464</c:v>
                </c:pt>
                <c:pt idx="45">
                  <c:v>45471</c:v>
                </c:pt>
                <c:pt idx="46">
                  <c:v>45478</c:v>
                </c:pt>
                <c:pt idx="47">
                  <c:v>45485</c:v>
                </c:pt>
                <c:pt idx="48">
                  <c:v>45492</c:v>
                </c:pt>
                <c:pt idx="49">
                  <c:v>45499</c:v>
                </c:pt>
                <c:pt idx="50">
                  <c:v>45506</c:v>
                </c:pt>
                <c:pt idx="51">
                  <c:v>45513</c:v>
                </c:pt>
                <c:pt idx="52">
                  <c:v>45520</c:v>
                </c:pt>
                <c:pt idx="53">
                  <c:v>45527</c:v>
                </c:pt>
                <c:pt idx="54">
                  <c:v>45534</c:v>
                </c:pt>
                <c:pt idx="55">
                  <c:v>45541</c:v>
                </c:pt>
                <c:pt idx="56">
                  <c:v>45548</c:v>
                </c:pt>
                <c:pt idx="57">
                  <c:v>45555</c:v>
                </c:pt>
                <c:pt idx="58">
                  <c:v>45562</c:v>
                </c:pt>
                <c:pt idx="59">
                  <c:v>45569</c:v>
                </c:pt>
                <c:pt idx="60">
                  <c:v>45576</c:v>
                </c:pt>
                <c:pt idx="61">
                  <c:v>45583</c:v>
                </c:pt>
                <c:pt idx="62">
                  <c:v>45590</c:v>
                </c:pt>
                <c:pt idx="63">
                  <c:v>45597</c:v>
                </c:pt>
                <c:pt idx="64">
                  <c:v>45604</c:v>
                </c:pt>
                <c:pt idx="65">
                  <c:v>45611</c:v>
                </c:pt>
                <c:pt idx="66">
                  <c:v>45618</c:v>
                </c:pt>
                <c:pt idx="67">
                  <c:v>45625</c:v>
                </c:pt>
                <c:pt idx="68">
                  <c:v>45632</c:v>
                </c:pt>
                <c:pt idx="69">
                  <c:v>45639</c:v>
                </c:pt>
                <c:pt idx="70">
                  <c:v>45646</c:v>
                </c:pt>
                <c:pt idx="71">
                  <c:v>45653</c:v>
                </c:pt>
                <c:pt idx="72">
                  <c:v>45660</c:v>
                </c:pt>
                <c:pt idx="73">
                  <c:v>45667</c:v>
                </c:pt>
                <c:pt idx="74">
                  <c:v>45674</c:v>
                </c:pt>
                <c:pt idx="75">
                  <c:v>45681</c:v>
                </c:pt>
                <c:pt idx="76">
                  <c:v>45688</c:v>
                </c:pt>
                <c:pt idx="77">
                  <c:v>45695</c:v>
                </c:pt>
                <c:pt idx="78">
                  <c:v>45702</c:v>
                </c:pt>
                <c:pt idx="79">
                  <c:v>45709</c:v>
                </c:pt>
                <c:pt idx="80">
                  <c:v>45716</c:v>
                </c:pt>
                <c:pt idx="81">
                  <c:v>45723</c:v>
                </c:pt>
                <c:pt idx="82">
                  <c:v>45730</c:v>
                </c:pt>
                <c:pt idx="83">
                  <c:v>45737</c:v>
                </c:pt>
                <c:pt idx="84">
                  <c:v>45744</c:v>
                </c:pt>
                <c:pt idx="85">
                  <c:v>45751</c:v>
                </c:pt>
                <c:pt idx="86">
                  <c:v>45758</c:v>
                </c:pt>
                <c:pt idx="87">
                  <c:v>45764</c:v>
                </c:pt>
                <c:pt idx="88">
                  <c:v>45772</c:v>
                </c:pt>
                <c:pt idx="89">
                  <c:v>45779</c:v>
                </c:pt>
                <c:pt idx="90">
                  <c:v>45786</c:v>
                </c:pt>
                <c:pt idx="91">
                  <c:v>45793</c:v>
                </c:pt>
                <c:pt idx="92">
                  <c:v>45800</c:v>
                </c:pt>
                <c:pt idx="93">
                  <c:v>45807</c:v>
                </c:pt>
                <c:pt idx="94">
                  <c:v>45814</c:v>
                </c:pt>
                <c:pt idx="95">
                  <c:v>45821</c:v>
                </c:pt>
                <c:pt idx="96">
                  <c:v>45828</c:v>
                </c:pt>
                <c:pt idx="97">
                  <c:v>45835</c:v>
                </c:pt>
                <c:pt idx="98">
                  <c:v>45841</c:v>
                </c:pt>
                <c:pt idx="99">
                  <c:v>45849</c:v>
                </c:pt>
                <c:pt idx="100">
                  <c:v>45856</c:v>
                </c:pt>
                <c:pt idx="101">
                  <c:v>45863</c:v>
                </c:pt>
                <c:pt idx="102">
                  <c:v>45870</c:v>
                </c:pt>
                <c:pt idx="103">
                  <c:v>45877</c:v>
                </c:pt>
                <c:pt idx="104">
                  <c:v>45884</c:v>
                </c:pt>
                <c:pt idx="105">
                  <c:v>45891</c:v>
                </c:pt>
                <c:pt idx="106">
                  <c:v>45898</c:v>
                </c:pt>
                <c:pt idx="107">
                  <c:v>45905</c:v>
                </c:pt>
                <c:pt idx="108">
                  <c:v>45912</c:v>
                </c:pt>
                <c:pt idx="109">
                  <c:v>45919</c:v>
                </c:pt>
                <c:pt idx="110">
                  <c:v>45926</c:v>
                </c:pt>
                <c:pt idx="111">
                  <c:v>45933</c:v>
                </c:pt>
                <c:pt idx="112">
                  <c:v>45940</c:v>
                </c:pt>
                <c:pt idx="113">
                  <c:v>45947</c:v>
                </c:pt>
                <c:pt idx="114">
                  <c:v>45954</c:v>
                </c:pt>
                <c:pt idx="115">
                  <c:v>45961</c:v>
                </c:pt>
                <c:pt idx="116">
                  <c:v>45968</c:v>
                </c:pt>
                <c:pt idx="117">
                  <c:v>45975</c:v>
                </c:pt>
                <c:pt idx="118">
                  <c:v>45982</c:v>
                </c:pt>
                <c:pt idx="119">
                  <c:v>45989</c:v>
                </c:pt>
                <c:pt idx="120">
                  <c:v>45996</c:v>
                </c:pt>
                <c:pt idx="121">
                  <c:v>46003</c:v>
                </c:pt>
                <c:pt idx="122">
                  <c:v>46010</c:v>
                </c:pt>
                <c:pt idx="123">
                  <c:v>46017</c:v>
                </c:pt>
                <c:pt idx="124">
                  <c:v>46024</c:v>
                </c:pt>
                <c:pt idx="125">
                  <c:v>46031</c:v>
                </c:pt>
                <c:pt idx="126">
                  <c:v>46038</c:v>
                </c:pt>
                <c:pt idx="127">
                  <c:v>46045</c:v>
                </c:pt>
                <c:pt idx="128">
                  <c:v>46052</c:v>
                </c:pt>
                <c:pt idx="129">
                  <c:v>46059</c:v>
                </c:pt>
                <c:pt idx="130">
                  <c:v>46066</c:v>
                </c:pt>
                <c:pt idx="131">
                  <c:v>46073</c:v>
                </c:pt>
                <c:pt idx="132">
                  <c:v>46080</c:v>
                </c:pt>
                <c:pt idx="133">
                  <c:v>46087</c:v>
                </c:pt>
                <c:pt idx="134">
                  <c:v>46094</c:v>
                </c:pt>
                <c:pt idx="135">
                  <c:v>46101</c:v>
                </c:pt>
                <c:pt idx="136">
                  <c:v>46108</c:v>
                </c:pt>
                <c:pt idx="137">
                  <c:v>46114</c:v>
                </c:pt>
                <c:pt idx="138">
                  <c:v>46122</c:v>
                </c:pt>
                <c:pt idx="139">
                  <c:v>46129</c:v>
                </c:pt>
                <c:pt idx="140">
                  <c:v>46136</c:v>
                </c:pt>
                <c:pt idx="141">
                  <c:v>46143</c:v>
                </c:pt>
                <c:pt idx="142">
                  <c:v>46150</c:v>
                </c:pt>
                <c:pt idx="143">
                  <c:v>46157</c:v>
                </c:pt>
                <c:pt idx="144">
                  <c:v>46164</c:v>
                </c:pt>
                <c:pt idx="145">
                  <c:v>46171</c:v>
                </c:pt>
                <c:pt idx="146">
                  <c:v>46178</c:v>
                </c:pt>
                <c:pt idx="147">
                  <c:v>46185</c:v>
                </c:pt>
                <c:pt idx="148">
                  <c:v>46191</c:v>
                </c:pt>
                <c:pt idx="149">
                  <c:v>46199</c:v>
                </c:pt>
                <c:pt idx="150">
                  <c:v>46205</c:v>
                </c:pt>
                <c:pt idx="151">
                  <c:v>46213</c:v>
                </c:pt>
                <c:pt idx="152">
                  <c:v>46220</c:v>
                </c:pt>
                <c:pt idx="153">
                  <c:v>46227</c:v>
                </c:pt>
                <c:pt idx="154">
                  <c:v>46234</c:v>
                </c:pt>
                <c:pt idx="155">
                  <c:v>46241</c:v>
                </c:pt>
                <c:pt idx="156">
                  <c:v>46248</c:v>
                </c:pt>
                <c:pt idx="157">
                  <c:v>46255</c:v>
                </c:pt>
                <c:pt idx="158">
                  <c:v>46262</c:v>
                </c:pt>
                <c:pt idx="159">
                  <c:v>46269</c:v>
                </c:pt>
              </c:numCache>
            </c:numRef>
          </c:cat>
          <c:val>
            <c:numRef>
              <c:f>'Returns (Calc)'!$B$3:$B$500</c:f>
              <c:numCache>
                <c:formatCode>0.0%</c:formatCode>
                <c:ptCount val="498"/>
                <c:pt idx="0">
                  <c:v>-6.2936375258138E-4</c:v>
                </c:pt>
                <c:pt idx="1">
                  <c:v>3.3318245330919094E-2</c:v>
                </c:pt>
                <c:pt idx="2">
                  <c:v>7.2658362853769365E-2</c:v>
                </c:pt>
                <c:pt idx="3">
                  <c:v>-5.0602794694697417E-3</c:v>
                </c:pt>
                <c:pt idx="4">
                  <c:v>-5.6160325505032471E-2</c:v>
                </c:pt>
                <c:pt idx="5">
                  <c:v>-3.02331297623325E-2</c:v>
                </c:pt>
                <c:pt idx="6">
                  <c:v>-5.849093390524418E-3</c:v>
                </c:pt>
                <c:pt idx="7">
                  <c:v>3.2908413414394877E-2</c:v>
                </c:pt>
                <c:pt idx="8">
                  <c:v>4.1922989291410362E-2</c:v>
                </c:pt>
                <c:pt idx="9">
                  <c:v>-1.4213863984255282E-2</c:v>
                </c:pt>
                <c:pt idx="10">
                  <c:v>-6.0706891452233069E-2</c:v>
                </c:pt>
                <c:pt idx="11">
                  <c:v>0.10930488860899001</c:v>
                </c:pt>
                <c:pt idx="12">
                  <c:v>5.953943866870115E-2</c:v>
                </c:pt>
                <c:pt idx="13">
                  <c:v>9.1088711027760283E-3</c:v>
                </c:pt>
                <c:pt idx="14">
                  <c:v>2.7826635250389975E-2</c:v>
                </c:pt>
                <c:pt idx="15">
                  <c:v>-1.1236136448024681E-2</c:v>
                </c:pt>
                <c:pt idx="16">
                  <c:v>-4.0165232582820565E-3</c:v>
                </c:pt>
                <c:pt idx="17">
                  <c:v>-4.1523909444107554E-2</c:v>
                </c:pt>
                <c:pt idx="18">
                  <c:v>2.4064445508654497E-2</c:v>
                </c:pt>
                <c:pt idx="19">
                  <c:v>-3.5908141962421869E-3</c:v>
                </c:pt>
                <c:pt idx="20">
                  <c:v>-5.3637277908146208E-2</c:v>
                </c:pt>
                <c:pt idx="21">
                  <c:v>5.6571023733616554E-2</c:v>
                </c:pt>
                <c:pt idx="22">
                  <c:v>2.5161766185000101E-2</c:v>
                </c:pt>
                <c:pt idx="23">
                  <c:v>3.891750470116806E-3</c:v>
                </c:pt>
                <c:pt idx="24">
                  <c:v>3.3928949554509646E-2</c:v>
                </c:pt>
                <c:pt idx="25">
                  <c:v>-1.1894259247589578E-2</c:v>
                </c:pt>
                <c:pt idx="26">
                  <c:v>-0.12842588606686767</c:v>
                </c:pt>
                <c:pt idx="27">
                  <c:v>1.2402590275491399E-2</c:v>
                </c:pt>
                <c:pt idx="28">
                  <c:v>3.1602341717259064E-2</c:v>
                </c:pt>
                <c:pt idx="29">
                  <c:v>-3.3699402728880723E-2</c:v>
                </c:pt>
                <c:pt idx="30">
                  <c:v>-0.10736101796298658</c:v>
                </c:pt>
                <c:pt idx="31">
                  <c:v>1.4336189741298799E-2</c:v>
                </c:pt>
                <c:pt idx="32">
                  <c:v>1.0169762972453533E-2</c:v>
                </c:pt>
                <c:pt idx="33">
                  <c:v>-3.8604835513277869E-2</c:v>
                </c:pt>
                <c:pt idx="34">
                  <c:v>-2.2736642480211122E-2</c:v>
                </c:pt>
                <c:pt idx="35">
                  <c:v>-1.9131388554915696E-2</c:v>
                </c:pt>
                <c:pt idx="36">
                  <c:v>2.6966582082491142E-2</c:v>
                </c:pt>
                <c:pt idx="37">
                  <c:v>1.8050087947064197E-2</c:v>
                </c:pt>
                <c:pt idx="38">
                  <c:v>-8.0011518367681944E-3</c:v>
                </c:pt>
                <c:pt idx="39">
                  <c:v>2.3637230711812673E-3</c:v>
                </c:pt>
                <c:pt idx="40">
                  <c:v>-1.6548414455040072E-2</c:v>
                </c:pt>
                <c:pt idx="41">
                  <c:v>-6.4510022505942066E-2</c:v>
                </c:pt>
                <c:pt idx="42">
                  <c:v>4.6474503102797105E-2</c:v>
                </c:pt>
                <c:pt idx="43">
                  <c:v>0.12865522205272528</c:v>
                </c:pt>
                <c:pt idx="44">
                  <c:v>1.5476575736232068E-2</c:v>
                </c:pt>
                <c:pt idx="45">
                  <c:v>4.1429214157168381E-2</c:v>
                </c:pt>
                <c:pt idx="46">
                  <c:v>4.1041149152176493E-2</c:v>
                </c:pt>
                <c:pt idx="47">
                  <c:v>-3.3354082373690308E-2</c:v>
                </c:pt>
                <c:pt idx="48">
                  <c:v>-1.4399427600393477E-2</c:v>
                </c:pt>
                <c:pt idx="49">
                  <c:v>-1.55353901996369E-2</c:v>
                </c:pt>
                <c:pt idx="50">
                  <c:v>-2.9994100730034834E-2</c:v>
                </c:pt>
                <c:pt idx="51">
                  <c:v>1.9252332896212199E-2</c:v>
                </c:pt>
                <c:pt idx="52">
                  <c:v>3.1997016595189498E-2</c:v>
                </c:pt>
                <c:pt idx="53">
                  <c:v>8.7449860875219443E-3</c:v>
                </c:pt>
                <c:pt idx="54">
                  <c:v>2.8855454056958552E-2</c:v>
                </c:pt>
                <c:pt idx="55">
                  <c:v>-1.9150084434463199E-2</c:v>
                </c:pt>
                <c:pt idx="56">
                  <c:v>-4.7106015157700409E-2</c:v>
                </c:pt>
                <c:pt idx="57">
                  <c:v>-2.7138785925829412E-2</c:v>
                </c:pt>
                <c:pt idx="58">
                  <c:v>-1.305762971472324E-2</c:v>
                </c:pt>
                <c:pt idx="59">
                  <c:v>-1.6023900054318307E-2</c:v>
                </c:pt>
                <c:pt idx="60">
                  <c:v>-2.3264066874334577E-2</c:v>
                </c:pt>
                <c:pt idx="61">
                  <c:v>-1.049614468531801E-3</c:v>
                </c:pt>
                <c:pt idx="62">
                  <c:v>-2.2590422307536828E-2</c:v>
                </c:pt>
                <c:pt idx="63">
                  <c:v>-1.901926734474535E-3</c:v>
                </c:pt>
                <c:pt idx="64">
                  <c:v>2.4606462303231158E-2</c:v>
                </c:pt>
                <c:pt idx="65">
                  <c:v>1.7566911943074359E-2</c:v>
                </c:pt>
                <c:pt idx="66">
                  <c:v>1.7442437968095081E-2</c:v>
                </c:pt>
                <c:pt idx="67">
                  <c:v>7.3806502001365626E-3</c:v>
                </c:pt>
                <c:pt idx="68">
                  <c:v>7.1773302579807519E-2</c:v>
                </c:pt>
                <c:pt idx="69">
                  <c:v>-0.15782335069444453</c:v>
                </c:pt>
                <c:pt idx="70">
                  <c:v>-3.9768945006334655E-2</c:v>
                </c:pt>
                <c:pt idx="71">
                  <c:v>-1.5430373236129391E-3</c:v>
                </c:pt>
                <c:pt idx="72">
                  <c:v>-3.5634294929224208E-2</c:v>
                </c:pt>
                <c:pt idx="73">
                  <c:v>-5.7249692268388386E-2</c:v>
                </c:pt>
                <c:pt idx="74">
                  <c:v>5.9297398502167864E-2</c:v>
                </c:pt>
                <c:pt idx="75">
                  <c:v>1.2535175236633389E-2</c:v>
                </c:pt>
                <c:pt idx="76">
                  <c:v>4.7544673618447053E-3</c:v>
                </c:pt>
                <c:pt idx="77">
                  <c:v>-1.0012572865470304E-2</c:v>
                </c:pt>
                <c:pt idx="78">
                  <c:v>6.2553397834068436E-2</c:v>
                </c:pt>
                <c:pt idx="79">
                  <c:v>-3.4422809457580028E-2</c:v>
                </c:pt>
                <c:pt idx="80">
                  <c:v>-1.2963629816348576E-2</c:v>
                </c:pt>
                <c:pt idx="81">
                  <c:v>2.4717256475738747E-2</c:v>
                </c:pt>
                <c:pt idx="82">
                  <c:v>-0.12162883845126826</c:v>
                </c:pt>
                <c:pt idx="83">
                  <c:v>-1.8949181739879473E-2</c:v>
                </c:pt>
                <c:pt idx="84">
                  <c:v>-4.0024789547075112E-3</c:v>
                </c:pt>
                <c:pt idx="85">
                  <c:v>-9.4993648077571158E-2</c:v>
                </c:pt>
                <c:pt idx="86">
                  <c:v>9.7401667287364546E-3</c:v>
                </c:pt>
                <c:pt idx="87">
                  <c:v>-1.0412233665276549E-2</c:v>
                </c:pt>
                <c:pt idx="88">
                  <c:v>5.4243119266055073E-2</c:v>
                </c:pt>
                <c:pt idx="89">
                  <c:v>3.5760905036440693E-2</c:v>
                </c:pt>
                <c:pt idx="90">
                  <c:v>6.3276183474676451E-3</c:v>
                </c:pt>
                <c:pt idx="91">
                  <c:v>8.8316635357962969E-2</c:v>
                </c:pt>
                <c:pt idx="92">
                  <c:v>-2.2630834512022635E-2</c:v>
                </c:pt>
                <c:pt idx="93">
                  <c:v>1.8151046137997007E-2</c:v>
                </c:pt>
                <c:pt idx="94">
                  <c:v>4.4086824544076197E-3</c:v>
                </c:pt>
                <c:pt idx="95">
                  <c:v>-6.0539192171159995E-2</c:v>
                </c:pt>
                <c:pt idx="96">
                  <c:v>-3.7683823529411686E-2</c:v>
                </c:pt>
                <c:pt idx="97">
                  <c:v>2.3638968481375366E-2</c:v>
                </c:pt>
                <c:pt idx="98">
                  <c:v>-1.6898634113469591E-2</c:v>
                </c:pt>
                <c:pt idx="99">
                  <c:v>-4.207640188763806E-2</c:v>
                </c:pt>
                <c:pt idx="100">
                  <c:v>6.7152882895280541E-3</c:v>
                </c:pt>
                <c:pt idx="101">
                  <c:v>1.3532354629705479E-2</c:v>
                </c:pt>
                <c:pt idx="102">
                  <c:v>-6.187624750498999E-2</c:v>
                </c:pt>
                <c:pt idx="103">
                  <c:v>-1.9407705577918377E-2</c:v>
                </c:pt>
                <c:pt idx="104">
                  <c:v>4.0463275179592362E-2</c:v>
                </c:pt>
                <c:pt idx="105">
                  <c:v>2.0402987177680521E-2</c:v>
                </c:pt>
                <c:pt idx="106">
                  <c:v>-1.4885801872462578E-2</c:v>
                </c:pt>
                <c:pt idx="107">
                  <c:v>-2.1670871881132481E-2</c:v>
                </c:pt>
                <c:pt idx="108">
                  <c:v>1.1175745766112133E-3</c:v>
                </c:pt>
                <c:pt idx="109">
                  <c:v>4.734371422028838E-2</c:v>
                </c:pt>
                <c:pt idx="110">
                  <c:v>-1.5113418966930747E-2</c:v>
                </c:pt>
                <c:pt idx="111">
                  <c:v>-3.782223825512665E-2</c:v>
                </c:pt>
                <c:pt idx="112">
                  <c:v>-2.6619368979639013E-2</c:v>
                </c:pt>
                <c:pt idx="113">
                  <c:v>-1.2592219489792944E-2</c:v>
                </c:pt>
                <c:pt idx="114">
                  <c:v>6.0793374542399192E-2</c:v>
                </c:pt>
                <c:pt idx="115">
                  <c:v>-3.7367051369088022E-2</c:v>
                </c:pt>
                <c:pt idx="116">
                  <c:v>-3.9258323293467789E-2</c:v>
                </c:pt>
                <c:pt idx="117">
                  <c:v>1.2723658051689846E-2</c:v>
                </c:pt>
                <c:pt idx="118">
                  <c:v>-2.08993989912718E-2</c:v>
                </c:pt>
                <c:pt idx="119">
                  <c:v>-1.2523520157932122E-2</c:v>
                </c:pt>
                <c:pt idx="120">
                  <c:v>8.1623090619435734E-2</c:v>
                </c:pt>
                <c:pt idx="121">
                  <c:v>2.9370992895512149E-2</c:v>
                </c:pt>
                <c:pt idx="122">
                  <c:v>-1.599191987206483E-3</c:v>
                </c:pt>
                <c:pt idx="123">
                  <c:v>-5.788793345697707E-3</c:v>
                </c:pt>
                <c:pt idx="124">
                  <c:v>-5.7942340305257245E-2</c:v>
                </c:pt>
                <c:pt idx="125">
                  <c:v>1.950195019501777E-3</c:v>
                </c:pt>
                <c:pt idx="126">
                  <c:v>-0.11328043120227571</c:v>
                </c:pt>
                <c:pt idx="127">
                  <c:v>1.6716196136701278E-2</c:v>
                </c:pt>
                <c:pt idx="128">
                  <c:v>-2.5974025974025983E-2</c:v>
                </c:pt>
                <c:pt idx="129">
                  <c:v>-8.4808184143222554E-2</c:v>
                </c:pt>
                <c:pt idx="130">
                  <c:v>-1.6431924882629012E-2</c:v>
                </c:pt>
                <c:pt idx="131">
                  <c:v>-2.0305337727772099E-2</c:v>
                </c:pt>
                <c:pt idx="132">
                  <c:v>1.4693940682881657E-2</c:v>
                </c:pt>
                <c:pt idx="133">
                  <c:v>8.0827712358522819E-2</c:v>
                </c:pt>
                <c:pt idx="134">
                  <c:v>-0.12093646428319582</c:v>
                </c:pt>
                <c:pt idx="135">
                  <c:v>-4.6927643189474955E-3</c:v>
                </c:pt>
                <c:pt idx="136">
                  <c:v>-5.3636913157364519E-2</c:v>
                </c:pt>
                <c:pt idx="137">
                  <c:v>3.4406404360415532E-2</c:v>
                </c:pt>
                <c:pt idx="138">
                  <c:v>-7.2328338547669957E-2</c:v>
                </c:pt>
                <c:pt idx="139">
                  <c:v>8.4757044597293163E-2</c:v>
                </c:pt>
                <c:pt idx="140">
                  <c:v>4.0499079566373997E-3</c:v>
                </c:pt>
                <c:pt idx="141">
                  <c:v>2.1471642764015586E-2</c:v>
                </c:pt>
                <c:pt idx="142">
                  <c:v>9.2936061585098262E-3</c:v>
                </c:pt>
                <c:pt idx="143">
                  <c:v>-2.1498577300031574E-2</c:v>
                </c:pt>
                <c:pt idx="144">
                  <c:v>-1.1470113085621958E-2</c:v>
                </c:pt>
                <c:pt idx="145">
                  <c:v>5.9037424415754103E-2</c:v>
                </c:pt>
                <c:pt idx="146">
                  <c:v>-2.9975695382122525E-2</c:v>
                </c:pt>
                <c:pt idx="147">
                  <c:v>-0.18859370028635059</c:v>
                </c:pt>
                <c:pt idx="148">
                  <c:v>-4.3427114988726645E-2</c:v>
                </c:pt>
                <c:pt idx="149">
                  <c:v>3.8788686206189693E-2</c:v>
                </c:pt>
                <c:pt idx="150">
                  <c:v>8.3806047452276378E-2</c:v>
                </c:pt>
                <c:pt idx="151">
                  <c:v>1.7840888403422461E-2</c:v>
                </c:pt>
                <c:pt idx="152">
                  <c:v>6.0856734036844884E-2</c:v>
                </c:pt>
                <c:pt idx="153">
                  <c:v>-5.1169652265542598E-2</c:v>
                </c:pt>
                <c:pt idx="154">
                  <c:v>0.11238949846741586</c:v>
                </c:pt>
                <c:pt idx="155">
                  <c:v>5.9103070963619553E-2</c:v>
                </c:pt>
                <c:pt idx="156">
                  <c:v>-4.4870102937294432E-3</c:v>
                </c:pt>
                <c:pt idx="157">
                  <c:v>4.2724036057874448E-2</c:v>
                </c:pt>
                <c:pt idx="158">
                  <c:v>5.8917544496912333E-2</c:v>
                </c:pt>
                <c:pt idx="159">
                  <c:v>-8.579171240395167E-2</c:v>
                </c:pt>
              </c:numCache>
            </c:numRef>
          </c:val>
          <c:extLst>
            <c:ext xmlns:c16="http://schemas.microsoft.com/office/drawing/2014/chart" uri="{C3380CC4-5D6E-409C-BE32-E72D297353CC}">
              <c16:uniqueId val="{00000000-C85B-4BF5-8209-8491520C0B51}"/>
            </c:ext>
          </c:extLst>
        </c:ser>
        <c:dLbls>
          <c:showLegendKey val="0"/>
          <c:showVal val="0"/>
          <c:showCatName val="0"/>
          <c:showSerName val="0"/>
          <c:showPercent val="0"/>
          <c:showBubbleSize val="0"/>
        </c:dLbls>
        <c:gapWidth val="150"/>
        <c:axId val="46589831"/>
        <c:axId val="65065437"/>
      </c:barChart>
      <c:lineChart>
        <c:grouping val="standard"/>
        <c:varyColors val="0"/>
        <c:ser>
          <c:idx val="1"/>
          <c:order val="1"/>
          <c:tx>
            <c:strRef>
              <c:f>'Returns (Calc)'!$W$2</c:f>
              <c:strCache>
                <c:ptCount val="1"/>
                <c:pt idx="0">
                  <c:v>ADBE trend</c:v>
                </c:pt>
              </c:strCache>
            </c:strRef>
          </c:tx>
          <c:spPr>
            <a:ln w="201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45156</c:v>
                </c:pt>
                <c:pt idx="1">
                  <c:v>45163</c:v>
                </c:pt>
                <c:pt idx="2">
                  <c:v>45170</c:v>
                </c:pt>
                <c:pt idx="3">
                  <c:v>45177</c:v>
                </c:pt>
                <c:pt idx="4">
                  <c:v>45184</c:v>
                </c:pt>
                <c:pt idx="5">
                  <c:v>45191</c:v>
                </c:pt>
                <c:pt idx="6">
                  <c:v>45198</c:v>
                </c:pt>
                <c:pt idx="7">
                  <c:v>45205</c:v>
                </c:pt>
                <c:pt idx="8">
                  <c:v>45212</c:v>
                </c:pt>
                <c:pt idx="9">
                  <c:v>45219</c:v>
                </c:pt>
                <c:pt idx="10">
                  <c:v>45226</c:v>
                </c:pt>
                <c:pt idx="11">
                  <c:v>45233</c:v>
                </c:pt>
                <c:pt idx="12">
                  <c:v>45240</c:v>
                </c:pt>
                <c:pt idx="13">
                  <c:v>45247</c:v>
                </c:pt>
                <c:pt idx="14">
                  <c:v>45254</c:v>
                </c:pt>
                <c:pt idx="15">
                  <c:v>45261</c:v>
                </c:pt>
                <c:pt idx="16">
                  <c:v>45268</c:v>
                </c:pt>
                <c:pt idx="17">
                  <c:v>45275</c:v>
                </c:pt>
                <c:pt idx="18">
                  <c:v>45282</c:v>
                </c:pt>
                <c:pt idx="19">
                  <c:v>45289</c:v>
                </c:pt>
                <c:pt idx="20">
                  <c:v>45296</c:v>
                </c:pt>
                <c:pt idx="21">
                  <c:v>45303</c:v>
                </c:pt>
                <c:pt idx="22">
                  <c:v>45310</c:v>
                </c:pt>
                <c:pt idx="23">
                  <c:v>45317</c:v>
                </c:pt>
                <c:pt idx="24">
                  <c:v>45324</c:v>
                </c:pt>
                <c:pt idx="25">
                  <c:v>45331</c:v>
                </c:pt>
                <c:pt idx="26">
                  <c:v>45338</c:v>
                </c:pt>
                <c:pt idx="27">
                  <c:v>45345</c:v>
                </c:pt>
                <c:pt idx="28">
                  <c:v>45352</c:v>
                </c:pt>
                <c:pt idx="29">
                  <c:v>45359</c:v>
                </c:pt>
                <c:pt idx="30">
                  <c:v>45366</c:v>
                </c:pt>
                <c:pt idx="31">
                  <c:v>45373</c:v>
                </c:pt>
                <c:pt idx="32">
                  <c:v>45379</c:v>
                </c:pt>
                <c:pt idx="33">
                  <c:v>45387</c:v>
                </c:pt>
                <c:pt idx="34">
                  <c:v>45394</c:v>
                </c:pt>
                <c:pt idx="35">
                  <c:v>45401</c:v>
                </c:pt>
                <c:pt idx="36">
                  <c:v>45408</c:v>
                </c:pt>
                <c:pt idx="37">
                  <c:v>45415</c:v>
                </c:pt>
                <c:pt idx="38">
                  <c:v>45422</c:v>
                </c:pt>
                <c:pt idx="39">
                  <c:v>45429</c:v>
                </c:pt>
                <c:pt idx="40">
                  <c:v>45436</c:v>
                </c:pt>
                <c:pt idx="41">
                  <c:v>45443</c:v>
                </c:pt>
                <c:pt idx="42">
                  <c:v>45450</c:v>
                </c:pt>
                <c:pt idx="43">
                  <c:v>45457</c:v>
                </c:pt>
                <c:pt idx="44">
                  <c:v>45464</c:v>
                </c:pt>
                <c:pt idx="45">
                  <c:v>45471</c:v>
                </c:pt>
                <c:pt idx="46">
                  <c:v>45478</c:v>
                </c:pt>
                <c:pt idx="47">
                  <c:v>45485</c:v>
                </c:pt>
                <c:pt idx="48">
                  <c:v>45492</c:v>
                </c:pt>
                <c:pt idx="49">
                  <c:v>45499</c:v>
                </c:pt>
                <c:pt idx="50">
                  <c:v>45506</c:v>
                </c:pt>
                <c:pt idx="51">
                  <c:v>45513</c:v>
                </c:pt>
                <c:pt idx="52">
                  <c:v>45520</c:v>
                </c:pt>
                <c:pt idx="53">
                  <c:v>45527</c:v>
                </c:pt>
                <c:pt idx="54">
                  <c:v>45534</c:v>
                </c:pt>
                <c:pt idx="55">
                  <c:v>45541</c:v>
                </c:pt>
                <c:pt idx="56">
                  <c:v>45548</c:v>
                </c:pt>
                <c:pt idx="57">
                  <c:v>45555</c:v>
                </c:pt>
                <c:pt idx="58">
                  <c:v>45562</c:v>
                </c:pt>
                <c:pt idx="59">
                  <c:v>45569</c:v>
                </c:pt>
                <c:pt idx="60">
                  <c:v>45576</c:v>
                </c:pt>
                <c:pt idx="61">
                  <c:v>45583</c:v>
                </c:pt>
                <c:pt idx="62">
                  <c:v>45590</c:v>
                </c:pt>
                <c:pt idx="63">
                  <c:v>45597</c:v>
                </c:pt>
                <c:pt idx="64">
                  <c:v>45604</c:v>
                </c:pt>
                <c:pt idx="65">
                  <c:v>45611</c:v>
                </c:pt>
                <c:pt idx="66">
                  <c:v>45618</c:v>
                </c:pt>
                <c:pt idx="67">
                  <c:v>45625</c:v>
                </c:pt>
                <c:pt idx="68">
                  <c:v>45632</c:v>
                </c:pt>
                <c:pt idx="69">
                  <c:v>45639</c:v>
                </c:pt>
                <c:pt idx="70">
                  <c:v>45646</c:v>
                </c:pt>
                <c:pt idx="71">
                  <c:v>45653</c:v>
                </c:pt>
                <c:pt idx="72">
                  <c:v>45660</c:v>
                </c:pt>
                <c:pt idx="73">
                  <c:v>45667</c:v>
                </c:pt>
                <c:pt idx="74">
                  <c:v>45674</c:v>
                </c:pt>
                <c:pt idx="75">
                  <c:v>45681</c:v>
                </c:pt>
                <c:pt idx="76">
                  <c:v>45688</c:v>
                </c:pt>
                <c:pt idx="77">
                  <c:v>45695</c:v>
                </c:pt>
                <c:pt idx="78">
                  <c:v>45702</c:v>
                </c:pt>
                <c:pt idx="79">
                  <c:v>45709</c:v>
                </c:pt>
                <c:pt idx="80">
                  <c:v>45716</c:v>
                </c:pt>
                <c:pt idx="81">
                  <c:v>45723</c:v>
                </c:pt>
                <c:pt idx="82">
                  <c:v>45730</c:v>
                </c:pt>
                <c:pt idx="83">
                  <c:v>45737</c:v>
                </c:pt>
                <c:pt idx="84">
                  <c:v>45744</c:v>
                </c:pt>
                <c:pt idx="85">
                  <c:v>45751</c:v>
                </c:pt>
                <c:pt idx="86">
                  <c:v>45758</c:v>
                </c:pt>
                <c:pt idx="87">
                  <c:v>45764</c:v>
                </c:pt>
                <c:pt idx="88">
                  <c:v>45772</c:v>
                </c:pt>
                <c:pt idx="89">
                  <c:v>45779</c:v>
                </c:pt>
                <c:pt idx="90">
                  <c:v>45786</c:v>
                </c:pt>
                <c:pt idx="91">
                  <c:v>45793</c:v>
                </c:pt>
                <c:pt idx="92">
                  <c:v>45800</c:v>
                </c:pt>
                <c:pt idx="93">
                  <c:v>45807</c:v>
                </c:pt>
                <c:pt idx="94">
                  <c:v>45814</c:v>
                </c:pt>
                <c:pt idx="95">
                  <c:v>45821</c:v>
                </c:pt>
                <c:pt idx="96">
                  <c:v>45828</c:v>
                </c:pt>
                <c:pt idx="97">
                  <c:v>45835</c:v>
                </c:pt>
                <c:pt idx="98">
                  <c:v>45841</c:v>
                </c:pt>
                <c:pt idx="99">
                  <c:v>45849</c:v>
                </c:pt>
                <c:pt idx="100">
                  <c:v>45856</c:v>
                </c:pt>
                <c:pt idx="101">
                  <c:v>45863</c:v>
                </c:pt>
                <c:pt idx="102">
                  <c:v>45870</c:v>
                </c:pt>
                <c:pt idx="103">
                  <c:v>45877</c:v>
                </c:pt>
                <c:pt idx="104">
                  <c:v>45884</c:v>
                </c:pt>
                <c:pt idx="105">
                  <c:v>45891</c:v>
                </c:pt>
                <c:pt idx="106">
                  <c:v>45898</c:v>
                </c:pt>
                <c:pt idx="107">
                  <c:v>45905</c:v>
                </c:pt>
                <c:pt idx="108">
                  <c:v>45912</c:v>
                </c:pt>
                <c:pt idx="109">
                  <c:v>45919</c:v>
                </c:pt>
                <c:pt idx="110">
                  <c:v>45926</c:v>
                </c:pt>
                <c:pt idx="111">
                  <c:v>45933</c:v>
                </c:pt>
                <c:pt idx="112">
                  <c:v>45940</c:v>
                </c:pt>
                <c:pt idx="113">
                  <c:v>45947</c:v>
                </c:pt>
                <c:pt idx="114">
                  <c:v>45954</c:v>
                </c:pt>
                <c:pt idx="115">
                  <c:v>45961</c:v>
                </c:pt>
                <c:pt idx="116">
                  <c:v>45968</c:v>
                </c:pt>
                <c:pt idx="117">
                  <c:v>45975</c:v>
                </c:pt>
                <c:pt idx="118">
                  <c:v>45982</c:v>
                </c:pt>
                <c:pt idx="119">
                  <c:v>45989</c:v>
                </c:pt>
                <c:pt idx="120">
                  <c:v>45996</c:v>
                </c:pt>
                <c:pt idx="121">
                  <c:v>46003</c:v>
                </c:pt>
                <c:pt idx="122">
                  <c:v>46010</c:v>
                </c:pt>
                <c:pt idx="123">
                  <c:v>46017</c:v>
                </c:pt>
                <c:pt idx="124">
                  <c:v>46024</c:v>
                </c:pt>
                <c:pt idx="125">
                  <c:v>46031</c:v>
                </c:pt>
                <c:pt idx="126">
                  <c:v>46038</c:v>
                </c:pt>
                <c:pt idx="127">
                  <c:v>46045</c:v>
                </c:pt>
                <c:pt idx="128">
                  <c:v>46052</c:v>
                </c:pt>
                <c:pt idx="129">
                  <c:v>46059</c:v>
                </c:pt>
                <c:pt idx="130">
                  <c:v>46066</c:v>
                </c:pt>
                <c:pt idx="131">
                  <c:v>46073</c:v>
                </c:pt>
                <c:pt idx="132">
                  <c:v>46080</c:v>
                </c:pt>
                <c:pt idx="133">
                  <c:v>46087</c:v>
                </c:pt>
                <c:pt idx="134">
                  <c:v>46094</c:v>
                </c:pt>
                <c:pt idx="135">
                  <c:v>46101</c:v>
                </c:pt>
                <c:pt idx="136">
                  <c:v>46108</c:v>
                </c:pt>
                <c:pt idx="137">
                  <c:v>46114</c:v>
                </c:pt>
                <c:pt idx="138">
                  <c:v>46122</c:v>
                </c:pt>
                <c:pt idx="139">
                  <c:v>46129</c:v>
                </c:pt>
                <c:pt idx="140">
                  <c:v>46136</c:v>
                </c:pt>
                <c:pt idx="141">
                  <c:v>46143</c:v>
                </c:pt>
                <c:pt idx="142">
                  <c:v>46150</c:v>
                </c:pt>
                <c:pt idx="143">
                  <c:v>46157</c:v>
                </c:pt>
                <c:pt idx="144">
                  <c:v>46164</c:v>
                </c:pt>
                <c:pt idx="145">
                  <c:v>46171</c:v>
                </c:pt>
                <c:pt idx="146">
                  <c:v>46178</c:v>
                </c:pt>
                <c:pt idx="147">
                  <c:v>46185</c:v>
                </c:pt>
                <c:pt idx="148">
                  <c:v>46191</c:v>
                </c:pt>
                <c:pt idx="149">
                  <c:v>46199</c:v>
                </c:pt>
                <c:pt idx="150">
                  <c:v>46205</c:v>
                </c:pt>
                <c:pt idx="151">
                  <c:v>46213</c:v>
                </c:pt>
                <c:pt idx="152">
                  <c:v>46220</c:v>
                </c:pt>
                <c:pt idx="153">
                  <c:v>46227</c:v>
                </c:pt>
                <c:pt idx="154">
                  <c:v>46234</c:v>
                </c:pt>
                <c:pt idx="155">
                  <c:v>46241</c:v>
                </c:pt>
                <c:pt idx="156">
                  <c:v>46248</c:v>
                </c:pt>
                <c:pt idx="157">
                  <c:v>46255</c:v>
                </c:pt>
                <c:pt idx="158">
                  <c:v>46262</c:v>
                </c:pt>
                <c:pt idx="159">
                  <c:v>46269</c:v>
                </c:pt>
              </c:numCache>
            </c:numRef>
          </c:cat>
          <c:val>
            <c:numRef>
              <c:f>'Returns (Calc)'!$W$3:$W$500</c:f>
              <c:numCache>
                <c:formatCode>#,##0.00</c:formatCode>
                <c:ptCount val="49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numCache>
            </c:numRef>
          </c:val>
          <c:smooth val="0"/>
          <c:extLst>
            <c:ext xmlns:c16="http://schemas.microsoft.com/office/drawing/2014/chart" uri="{C3380CC4-5D6E-409C-BE32-E72D297353CC}">
              <c16:uniqueId val="{00000001-C85B-4BF5-8209-8491520C0B51}"/>
            </c:ext>
          </c:extLst>
        </c:ser>
        <c:dLbls>
          <c:showLegendKey val="0"/>
          <c:showVal val="0"/>
          <c:showCatName val="0"/>
          <c:showSerName val="0"/>
          <c:showPercent val="0"/>
          <c:showBubbleSize val="0"/>
        </c:dLbls>
        <c:hiLowLines>
          <c:spPr>
            <a:ln w="0">
              <a:noFill/>
            </a:ln>
          </c:spPr>
        </c:hiLowLines>
        <c:marker val="1"/>
        <c:smooth val="0"/>
        <c:axId val="17578638"/>
        <c:axId val="26871538"/>
      </c:lineChart>
      <c:dateAx>
        <c:axId val="46589831"/>
        <c:scaling>
          <c:orientation val="minMax"/>
        </c:scaling>
        <c:delete val="1"/>
        <c:axPos val="b"/>
        <c:numFmt formatCode="mm/dd/yyyy" sourceLinked="1"/>
        <c:majorTickMark val="none"/>
        <c:minorTickMark val="none"/>
        <c:tickLblPos val="nextTo"/>
        <c:crossAx val="65065437"/>
        <c:crosses val="autoZero"/>
        <c:auto val="1"/>
        <c:lblOffset val="100"/>
        <c:baseTimeUnit val="days"/>
      </c:dateAx>
      <c:valAx>
        <c:axId val="65065437"/>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46589831"/>
        <c:crosses val="autoZero"/>
        <c:crossBetween val="between"/>
      </c:valAx>
      <c:dateAx>
        <c:axId val="17578638"/>
        <c:scaling>
          <c:orientation val="minMax"/>
        </c:scaling>
        <c:delete val="1"/>
        <c:axPos val="b"/>
        <c:numFmt formatCode="mm/dd/yyyy" sourceLinked="1"/>
        <c:majorTickMark val="none"/>
        <c:minorTickMark val="none"/>
        <c:tickLblPos val="nextTo"/>
        <c:crossAx val="26871538"/>
        <c:crosses val="autoZero"/>
        <c:auto val="1"/>
        <c:lblOffset val="100"/>
        <c:baseTimeUnit val="days"/>
      </c:dateAx>
      <c:valAx>
        <c:axId val="26871538"/>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17578638"/>
        <c:crosses val="max"/>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ANET</a:t>
            </a:r>
          </a:p>
        </c:rich>
      </c:tx>
      <c:overlay val="0"/>
      <c:spPr>
        <a:noFill/>
        <a:ln w="0">
          <a:noFill/>
        </a:ln>
      </c:spPr>
    </c:title>
    <c:autoTitleDeleted val="0"/>
    <c:plotArea>
      <c:layout/>
      <c:barChart>
        <c:barDir val="col"/>
        <c:grouping val="clustered"/>
        <c:varyColors val="0"/>
        <c:ser>
          <c:idx val="0"/>
          <c:order val="0"/>
          <c:tx>
            <c:strRef>
              <c:f>'Returns (Calc)'!$C$2</c:f>
              <c:strCache>
                <c:ptCount val="1"/>
                <c:pt idx="0">
                  <c:v>ANET</c:v>
                </c:pt>
              </c:strCache>
            </c:strRef>
          </c:tx>
          <c:spPr>
            <a:solidFill>
              <a:srgbClr val="4F81BD"/>
            </a:solidFill>
            <a:ln w="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45156</c:v>
                </c:pt>
                <c:pt idx="1">
                  <c:v>45163</c:v>
                </c:pt>
                <c:pt idx="2">
                  <c:v>45170</c:v>
                </c:pt>
                <c:pt idx="3">
                  <c:v>45177</c:v>
                </c:pt>
                <c:pt idx="4">
                  <c:v>45184</c:v>
                </c:pt>
                <c:pt idx="5">
                  <c:v>45191</c:v>
                </c:pt>
                <c:pt idx="6">
                  <c:v>45198</c:v>
                </c:pt>
                <c:pt idx="7">
                  <c:v>45205</c:v>
                </c:pt>
                <c:pt idx="8">
                  <c:v>45212</c:v>
                </c:pt>
                <c:pt idx="9">
                  <c:v>45219</c:v>
                </c:pt>
                <c:pt idx="10">
                  <c:v>45226</c:v>
                </c:pt>
                <c:pt idx="11">
                  <c:v>45233</c:v>
                </c:pt>
                <c:pt idx="12">
                  <c:v>45240</c:v>
                </c:pt>
                <c:pt idx="13">
                  <c:v>45247</c:v>
                </c:pt>
                <c:pt idx="14">
                  <c:v>45254</c:v>
                </c:pt>
                <c:pt idx="15">
                  <c:v>45261</c:v>
                </c:pt>
                <c:pt idx="16">
                  <c:v>45268</c:v>
                </c:pt>
                <c:pt idx="17">
                  <c:v>45275</c:v>
                </c:pt>
                <c:pt idx="18">
                  <c:v>45282</c:v>
                </c:pt>
                <c:pt idx="19">
                  <c:v>45289</c:v>
                </c:pt>
                <c:pt idx="20">
                  <c:v>45296</c:v>
                </c:pt>
                <c:pt idx="21">
                  <c:v>45303</c:v>
                </c:pt>
                <c:pt idx="22">
                  <c:v>45310</c:v>
                </c:pt>
                <c:pt idx="23">
                  <c:v>45317</c:v>
                </c:pt>
                <c:pt idx="24">
                  <c:v>45324</c:v>
                </c:pt>
                <c:pt idx="25">
                  <c:v>45331</c:v>
                </c:pt>
                <c:pt idx="26">
                  <c:v>45338</c:v>
                </c:pt>
                <c:pt idx="27">
                  <c:v>45345</c:v>
                </c:pt>
                <c:pt idx="28">
                  <c:v>45352</c:v>
                </c:pt>
                <c:pt idx="29">
                  <c:v>45359</c:v>
                </c:pt>
                <c:pt idx="30">
                  <c:v>45366</c:v>
                </c:pt>
                <c:pt idx="31">
                  <c:v>45373</c:v>
                </c:pt>
                <c:pt idx="32">
                  <c:v>45379</c:v>
                </c:pt>
                <c:pt idx="33">
                  <c:v>45387</c:v>
                </c:pt>
                <c:pt idx="34">
                  <c:v>45394</c:v>
                </c:pt>
                <c:pt idx="35">
                  <c:v>45401</c:v>
                </c:pt>
                <c:pt idx="36">
                  <c:v>45408</c:v>
                </c:pt>
                <c:pt idx="37">
                  <c:v>45415</c:v>
                </c:pt>
                <c:pt idx="38">
                  <c:v>45422</c:v>
                </c:pt>
                <c:pt idx="39">
                  <c:v>45429</c:v>
                </c:pt>
                <c:pt idx="40">
                  <c:v>45436</c:v>
                </c:pt>
                <c:pt idx="41">
                  <c:v>45443</c:v>
                </c:pt>
                <c:pt idx="42">
                  <c:v>45450</c:v>
                </c:pt>
                <c:pt idx="43">
                  <c:v>45457</c:v>
                </c:pt>
                <c:pt idx="44">
                  <c:v>45464</c:v>
                </c:pt>
                <c:pt idx="45">
                  <c:v>45471</c:v>
                </c:pt>
                <c:pt idx="46">
                  <c:v>45478</c:v>
                </c:pt>
                <c:pt idx="47">
                  <c:v>45485</c:v>
                </c:pt>
                <c:pt idx="48">
                  <c:v>45492</c:v>
                </c:pt>
                <c:pt idx="49">
                  <c:v>45499</c:v>
                </c:pt>
                <c:pt idx="50">
                  <c:v>45506</c:v>
                </c:pt>
                <c:pt idx="51">
                  <c:v>45513</c:v>
                </c:pt>
                <c:pt idx="52">
                  <c:v>45520</c:v>
                </c:pt>
                <c:pt idx="53">
                  <c:v>45527</c:v>
                </c:pt>
                <c:pt idx="54">
                  <c:v>45534</c:v>
                </c:pt>
                <c:pt idx="55">
                  <c:v>45541</c:v>
                </c:pt>
                <c:pt idx="56">
                  <c:v>45548</c:v>
                </c:pt>
                <c:pt idx="57">
                  <c:v>45555</c:v>
                </c:pt>
                <c:pt idx="58">
                  <c:v>45562</c:v>
                </c:pt>
                <c:pt idx="59">
                  <c:v>45569</c:v>
                </c:pt>
                <c:pt idx="60">
                  <c:v>45576</c:v>
                </c:pt>
                <c:pt idx="61">
                  <c:v>45583</c:v>
                </c:pt>
                <c:pt idx="62">
                  <c:v>45590</c:v>
                </c:pt>
                <c:pt idx="63">
                  <c:v>45597</c:v>
                </c:pt>
                <c:pt idx="64">
                  <c:v>45604</c:v>
                </c:pt>
                <c:pt idx="65">
                  <c:v>45611</c:v>
                </c:pt>
                <c:pt idx="66">
                  <c:v>45618</c:v>
                </c:pt>
                <c:pt idx="67">
                  <c:v>45625</c:v>
                </c:pt>
                <c:pt idx="68">
                  <c:v>45632</c:v>
                </c:pt>
                <c:pt idx="69">
                  <c:v>45639</c:v>
                </c:pt>
                <c:pt idx="70">
                  <c:v>45646</c:v>
                </c:pt>
                <c:pt idx="71">
                  <c:v>45653</c:v>
                </c:pt>
                <c:pt idx="72">
                  <c:v>45660</c:v>
                </c:pt>
                <c:pt idx="73">
                  <c:v>45667</c:v>
                </c:pt>
                <c:pt idx="74">
                  <c:v>45674</c:v>
                </c:pt>
                <c:pt idx="75">
                  <c:v>45681</c:v>
                </c:pt>
                <c:pt idx="76">
                  <c:v>45688</c:v>
                </c:pt>
                <c:pt idx="77">
                  <c:v>45695</c:v>
                </c:pt>
                <c:pt idx="78">
                  <c:v>45702</c:v>
                </c:pt>
                <c:pt idx="79">
                  <c:v>45709</c:v>
                </c:pt>
                <c:pt idx="80">
                  <c:v>45716</c:v>
                </c:pt>
                <c:pt idx="81">
                  <c:v>45723</c:v>
                </c:pt>
                <c:pt idx="82">
                  <c:v>45730</c:v>
                </c:pt>
                <c:pt idx="83">
                  <c:v>45737</c:v>
                </c:pt>
                <c:pt idx="84">
                  <c:v>45744</c:v>
                </c:pt>
                <c:pt idx="85">
                  <c:v>45751</c:v>
                </c:pt>
                <c:pt idx="86">
                  <c:v>45758</c:v>
                </c:pt>
                <c:pt idx="87">
                  <c:v>45764</c:v>
                </c:pt>
                <c:pt idx="88">
                  <c:v>45772</c:v>
                </c:pt>
                <c:pt idx="89">
                  <c:v>45779</c:v>
                </c:pt>
                <c:pt idx="90">
                  <c:v>45786</c:v>
                </c:pt>
                <c:pt idx="91">
                  <c:v>45793</c:v>
                </c:pt>
                <c:pt idx="92">
                  <c:v>45800</c:v>
                </c:pt>
                <c:pt idx="93">
                  <c:v>45807</c:v>
                </c:pt>
                <c:pt idx="94">
                  <c:v>45814</c:v>
                </c:pt>
                <c:pt idx="95">
                  <c:v>45821</c:v>
                </c:pt>
                <c:pt idx="96">
                  <c:v>45828</c:v>
                </c:pt>
                <c:pt idx="97">
                  <c:v>45835</c:v>
                </c:pt>
                <c:pt idx="98">
                  <c:v>45841</c:v>
                </c:pt>
                <c:pt idx="99">
                  <c:v>45849</c:v>
                </c:pt>
                <c:pt idx="100">
                  <c:v>45856</c:v>
                </c:pt>
                <c:pt idx="101">
                  <c:v>45863</c:v>
                </c:pt>
                <c:pt idx="102">
                  <c:v>45870</c:v>
                </c:pt>
                <c:pt idx="103">
                  <c:v>45877</c:v>
                </c:pt>
                <c:pt idx="104">
                  <c:v>45884</c:v>
                </c:pt>
                <c:pt idx="105">
                  <c:v>45891</c:v>
                </c:pt>
                <c:pt idx="106">
                  <c:v>45898</c:v>
                </c:pt>
                <c:pt idx="107">
                  <c:v>45905</c:v>
                </c:pt>
                <c:pt idx="108">
                  <c:v>45912</c:v>
                </c:pt>
                <c:pt idx="109">
                  <c:v>45919</c:v>
                </c:pt>
                <c:pt idx="110">
                  <c:v>45926</c:v>
                </c:pt>
                <c:pt idx="111">
                  <c:v>45933</c:v>
                </c:pt>
                <c:pt idx="112">
                  <c:v>45940</c:v>
                </c:pt>
                <c:pt idx="113">
                  <c:v>45947</c:v>
                </c:pt>
                <c:pt idx="114">
                  <c:v>45954</c:v>
                </c:pt>
                <c:pt idx="115">
                  <c:v>45961</c:v>
                </c:pt>
                <c:pt idx="116">
                  <c:v>45968</c:v>
                </c:pt>
                <c:pt idx="117">
                  <c:v>45975</c:v>
                </c:pt>
                <c:pt idx="118">
                  <c:v>45982</c:v>
                </c:pt>
                <c:pt idx="119">
                  <c:v>45989</c:v>
                </c:pt>
                <c:pt idx="120">
                  <c:v>45996</c:v>
                </c:pt>
                <c:pt idx="121">
                  <c:v>46003</c:v>
                </c:pt>
                <c:pt idx="122">
                  <c:v>46010</c:v>
                </c:pt>
                <c:pt idx="123">
                  <c:v>46017</c:v>
                </c:pt>
                <c:pt idx="124">
                  <c:v>46024</c:v>
                </c:pt>
                <c:pt idx="125">
                  <c:v>46031</c:v>
                </c:pt>
                <c:pt idx="126">
                  <c:v>46038</c:v>
                </c:pt>
                <c:pt idx="127">
                  <c:v>46045</c:v>
                </c:pt>
                <c:pt idx="128">
                  <c:v>46052</c:v>
                </c:pt>
                <c:pt idx="129">
                  <c:v>46059</c:v>
                </c:pt>
                <c:pt idx="130">
                  <c:v>46066</c:v>
                </c:pt>
                <c:pt idx="131">
                  <c:v>46073</c:v>
                </c:pt>
                <c:pt idx="132">
                  <c:v>46080</c:v>
                </c:pt>
                <c:pt idx="133">
                  <c:v>46087</c:v>
                </c:pt>
                <c:pt idx="134">
                  <c:v>46094</c:v>
                </c:pt>
                <c:pt idx="135">
                  <c:v>46101</c:v>
                </c:pt>
                <c:pt idx="136">
                  <c:v>46108</c:v>
                </c:pt>
                <c:pt idx="137">
                  <c:v>46114</c:v>
                </c:pt>
                <c:pt idx="138">
                  <c:v>46122</c:v>
                </c:pt>
                <c:pt idx="139">
                  <c:v>46129</c:v>
                </c:pt>
                <c:pt idx="140">
                  <c:v>46136</c:v>
                </c:pt>
                <c:pt idx="141">
                  <c:v>46143</c:v>
                </c:pt>
                <c:pt idx="142">
                  <c:v>46150</c:v>
                </c:pt>
                <c:pt idx="143">
                  <c:v>46157</c:v>
                </c:pt>
                <c:pt idx="144">
                  <c:v>46164</c:v>
                </c:pt>
                <c:pt idx="145">
                  <c:v>46171</c:v>
                </c:pt>
                <c:pt idx="146">
                  <c:v>46178</c:v>
                </c:pt>
                <c:pt idx="147">
                  <c:v>46185</c:v>
                </c:pt>
                <c:pt idx="148">
                  <c:v>46191</c:v>
                </c:pt>
                <c:pt idx="149">
                  <c:v>46199</c:v>
                </c:pt>
                <c:pt idx="150">
                  <c:v>46205</c:v>
                </c:pt>
                <c:pt idx="151">
                  <c:v>46213</c:v>
                </c:pt>
                <c:pt idx="152">
                  <c:v>46220</c:v>
                </c:pt>
                <c:pt idx="153">
                  <c:v>46227</c:v>
                </c:pt>
                <c:pt idx="154">
                  <c:v>46234</c:v>
                </c:pt>
                <c:pt idx="155">
                  <c:v>46241</c:v>
                </c:pt>
                <c:pt idx="156">
                  <c:v>46248</c:v>
                </c:pt>
                <c:pt idx="157">
                  <c:v>46255</c:v>
                </c:pt>
                <c:pt idx="158">
                  <c:v>46262</c:v>
                </c:pt>
                <c:pt idx="159">
                  <c:v>46269</c:v>
                </c:pt>
              </c:numCache>
            </c:numRef>
          </c:cat>
          <c:val>
            <c:numRef>
              <c:f>'Returns (Calc)'!$C$3:$C$500</c:f>
              <c:numCache>
                <c:formatCode>0.0%</c:formatCode>
                <c:ptCount val="498"/>
                <c:pt idx="0">
                  <c:v>3.2007315957933269E-2</c:v>
                </c:pt>
                <c:pt idx="1">
                  <c:v>1.9937970757641921E-3</c:v>
                </c:pt>
                <c:pt idx="2">
                  <c:v>9.0868892328100914E-2</c:v>
                </c:pt>
                <c:pt idx="3">
                  <c:v>-4.4588569112283816E-3</c:v>
                </c:pt>
                <c:pt idx="4">
                  <c:v>-5.985342019543971E-2</c:v>
                </c:pt>
                <c:pt idx="5">
                  <c:v>-2.3603291468167975E-2</c:v>
                </c:pt>
                <c:pt idx="6">
                  <c:v>1.9738301175426853E-2</c:v>
                </c:pt>
                <c:pt idx="7">
                  <c:v>5.5023923444976086E-2</c:v>
                </c:pt>
                <c:pt idx="8">
                  <c:v>-2.1645021645021578E-2</c:v>
                </c:pt>
                <c:pt idx="9">
                  <c:v>-1.9595448798988668E-2</c:v>
                </c:pt>
                <c:pt idx="10">
                  <c:v>-5.3298946915968259E-2</c:v>
                </c:pt>
                <c:pt idx="11">
                  <c:v>0.20590238365493763</c:v>
                </c:pt>
                <c:pt idx="12">
                  <c:v>-2.654367469879515E-2</c:v>
                </c:pt>
                <c:pt idx="13">
                  <c:v>3.7710307484045469E-2</c:v>
                </c:pt>
                <c:pt idx="14">
                  <c:v>1.7517704062616657E-2</c:v>
                </c:pt>
                <c:pt idx="15">
                  <c:v>-8.058608058608141E-3</c:v>
                </c:pt>
                <c:pt idx="16">
                  <c:v>3.4158050221565706E-2</c:v>
                </c:pt>
                <c:pt idx="17">
                  <c:v>5.1597928941260474E-2</c:v>
                </c:pt>
                <c:pt idx="18">
                  <c:v>1.1375212224108644E-2</c:v>
                </c:pt>
                <c:pt idx="19">
                  <c:v>-1.158301158301156E-2</c:v>
                </c:pt>
                <c:pt idx="20">
                  <c:v>-1.9531250000000111E-2</c:v>
                </c:pt>
                <c:pt idx="21">
                  <c:v>9.1460245972631249E-2</c:v>
                </c:pt>
                <c:pt idx="22">
                  <c:v>4.5548325662593259E-2</c:v>
                </c:pt>
                <c:pt idx="23">
                  <c:v>3.3394049787491831E-3</c:v>
                </c:pt>
                <c:pt idx="24">
                  <c:v>3.2980332829046999E-2</c:v>
                </c:pt>
                <c:pt idx="25">
                  <c:v>3.4124194493263094E-2</c:v>
                </c:pt>
                <c:pt idx="26">
                  <c:v>-7.3219090780342722E-2</c:v>
                </c:pt>
                <c:pt idx="27">
                  <c:v>2.261613691931541E-2</c:v>
                </c:pt>
                <c:pt idx="28">
                  <c:v>7.5014943215780061E-2</c:v>
                </c:pt>
                <c:pt idx="29">
                  <c:v>-5.0875729774812251E-2</c:v>
                </c:pt>
                <c:pt idx="30">
                  <c:v>1.6842413591095617E-2</c:v>
                </c:pt>
                <c:pt idx="31">
                  <c:v>0.10341351001008192</c:v>
                </c:pt>
                <c:pt idx="32">
                  <c:v>-5.3648348779532729E-2</c:v>
                </c:pt>
                <c:pt idx="33">
                  <c:v>2.6206896551724146E-2</c:v>
                </c:pt>
                <c:pt idx="34">
                  <c:v>-8.8575268817204345E-2</c:v>
                </c:pt>
                <c:pt idx="35">
                  <c:v>-9.2759180061937729E-2</c:v>
                </c:pt>
                <c:pt idx="36">
                  <c:v>7.5747724317295262E-2</c:v>
                </c:pt>
                <c:pt idx="37">
                  <c:v>3.6566938652160541E-2</c:v>
                </c:pt>
                <c:pt idx="38">
                  <c:v>0.14446064139941717</c:v>
                </c:pt>
                <c:pt idx="39">
                  <c:v>1.8596357151955178E-2</c:v>
                </c:pt>
                <c:pt idx="40">
                  <c:v>-4.1640615230711497E-2</c:v>
                </c:pt>
                <c:pt idx="41">
                  <c:v>-2.9097077244258918E-2</c:v>
                </c:pt>
                <c:pt idx="42">
                  <c:v>-2.8222013170271509E-3</c:v>
                </c:pt>
                <c:pt idx="43">
                  <c:v>0.10687331536388123</c:v>
                </c:pt>
                <c:pt idx="44">
                  <c:v>2.6908559600633319E-2</c:v>
                </c:pt>
                <c:pt idx="45">
                  <c:v>3.8890206307801822E-2</c:v>
                </c:pt>
                <c:pt idx="46">
                  <c:v>4.4738644145172257E-2</c:v>
                </c:pt>
                <c:pt idx="47">
                  <c:v>-1.1579637317019942E-2</c:v>
                </c:pt>
                <c:pt idx="48">
                  <c:v>-8.6648983200707352E-2</c:v>
                </c:pt>
                <c:pt idx="49">
                  <c:v>-3.436592449177156E-2</c:v>
                </c:pt>
                <c:pt idx="50">
                  <c:v>3.7593984962414062E-4</c:v>
                </c:pt>
                <c:pt idx="51">
                  <c:v>5.1609670549918718E-2</c:v>
                </c:pt>
                <c:pt idx="52">
                  <c:v>5.384157236450271E-2</c:v>
                </c:pt>
                <c:pt idx="53">
                  <c:v>3.5040126596586063E-3</c:v>
                </c:pt>
                <c:pt idx="54">
                  <c:v>-4.8434332056770391E-3</c:v>
                </c:pt>
                <c:pt idx="55">
                  <c:v>-0.11058290888511602</c:v>
                </c:pt>
                <c:pt idx="56">
                  <c:v>0.1445660473402901</c:v>
                </c:pt>
                <c:pt idx="57">
                  <c:v>6.8712474983322336E-2</c:v>
                </c:pt>
                <c:pt idx="58">
                  <c:v>-1.0923845193508197E-2</c:v>
                </c:pt>
                <c:pt idx="59">
                  <c:v>4.1232775849374237E-2</c:v>
                </c:pt>
                <c:pt idx="60">
                  <c:v>5.2934639862612487E-2</c:v>
                </c:pt>
                <c:pt idx="61">
                  <c:v>-3.5786241964885335E-2</c:v>
                </c:pt>
                <c:pt idx="62">
                  <c:v>-1.9701492537313459E-2</c:v>
                </c:pt>
                <c:pt idx="63">
                  <c:v>2.0300446609833322E-4</c:v>
                </c:pt>
                <c:pt idx="64">
                  <c:v>1.5932616196468352E-2</c:v>
                </c:pt>
                <c:pt idx="65">
                  <c:v>-6.5028468684447116E-2</c:v>
                </c:pt>
                <c:pt idx="66">
                  <c:v>8.5683760683760823E-2</c:v>
                </c:pt>
                <c:pt idx="67">
                  <c:v>-1.5744932099981401E-3</c:v>
                </c:pt>
                <c:pt idx="68">
                  <c:v>6.6922925290755053E-2</c:v>
                </c:pt>
                <c:pt idx="69">
                  <c:v>3.8060046189376529E-2</c:v>
                </c:pt>
                <c:pt idx="70">
                  <c:v>3.9156358458662943E-3</c:v>
                </c:pt>
                <c:pt idx="71">
                  <c:v>1.9501817214786499E-3</c:v>
                </c:pt>
                <c:pt idx="72">
                  <c:v>1.9198442891267931E-2</c:v>
                </c:pt>
                <c:pt idx="73">
                  <c:v>-7.4652777777777235E-3</c:v>
                </c:pt>
                <c:pt idx="74">
                  <c:v>4.9064194507608905E-2</c:v>
                </c:pt>
                <c:pt idx="75">
                  <c:v>7.6865360566902741E-2</c:v>
                </c:pt>
                <c:pt idx="76">
                  <c:v>-0.10791979561817744</c:v>
                </c:pt>
                <c:pt idx="77">
                  <c:v>2.8117677688102027E-2</c:v>
                </c:pt>
                <c:pt idx="78">
                  <c:v>-9.7915083987507368E-2</c:v>
                </c:pt>
                <c:pt idx="79">
                  <c:v>-8.0190886123327476E-2</c:v>
                </c:pt>
                <c:pt idx="80">
                  <c:v>-5.3407934893184184E-2</c:v>
                </c:pt>
                <c:pt idx="81">
                  <c:v>-0.10413756045137024</c:v>
                </c:pt>
                <c:pt idx="82">
                  <c:v>1.7994241842611558E-3</c:v>
                </c:pt>
                <c:pt idx="83">
                  <c:v>-4.5503532511077527E-3</c:v>
                </c:pt>
                <c:pt idx="84">
                  <c:v>-6.2432334897149055E-2</c:v>
                </c:pt>
                <c:pt idx="85">
                  <c:v>-0.17410828842699499</c:v>
                </c:pt>
                <c:pt idx="86">
                  <c:v>0.12894205375174761</c:v>
                </c:pt>
                <c:pt idx="87">
                  <c:v>-2.0228429888537236E-2</c:v>
                </c:pt>
                <c:pt idx="88">
                  <c:v>9.4241573033707837E-2</c:v>
                </c:pt>
                <c:pt idx="89">
                  <c:v>0.16827108201771268</c:v>
                </c:pt>
                <c:pt idx="90">
                  <c:v>-4.9439683586025018E-2</c:v>
                </c:pt>
                <c:pt idx="91">
                  <c:v>0.11442441054091557</c:v>
                </c:pt>
                <c:pt idx="92">
                  <c:v>-5.4138145612943389E-2</c:v>
                </c:pt>
                <c:pt idx="93">
                  <c:v>-5.0000000000000044E-2</c:v>
                </c:pt>
                <c:pt idx="94">
                  <c:v>0.12246075715604809</c:v>
                </c:pt>
                <c:pt idx="95">
                  <c:v>-5.0385604113110549E-2</c:v>
                </c:pt>
                <c:pt idx="96">
                  <c:v>-6.6053059014618221E-2</c:v>
                </c:pt>
                <c:pt idx="97">
                  <c:v>0.15234782608695663</c:v>
                </c:pt>
                <c:pt idx="98">
                  <c:v>3.1492101821108731E-2</c:v>
                </c:pt>
                <c:pt idx="99">
                  <c:v>5.9012875536480713E-2</c:v>
                </c:pt>
                <c:pt idx="100">
                  <c:v>2.9566178502348883E-2</c:v>
                </c:pt>
                <c:pt idx="101">
                  <c:v>2.2365360529611689E-2</c:v>
                </c:pt>
                <c:pt idx="102">
                  <c:v>2.878893944697225E-2</c:v>
                </c:pt>
                <c:pt idx="103">
                  <c:v>0.18380539253210859</c:v>
                </c:pt>
                <c:pt idx="104">
                  <c:v>-1.35076878861905E-2</c:v>
                </c:pt>
                <c:pt idx="105">
                  <c:v>-2.949745083758204E-2</c:v>
                </c:pt>
                <c:pt idx="106">
                  <c:v>2.4765478424014997E-2</c:v>
                </c:pt>
                <c:pt idx="107">
                  <c:v>4.6136946173562565E-2</c:v>
                </c:pt>
                <c:pt idx="108">
                  <c:v>-2.4221211060553083E-2</c:v>
                </c:pt>
                <c:pt idx="109">
                  <c:v>7.3319463376139149E-2</c:v>
                </c:pt>
                <c:pt idx="110">
                  <c:v>-4.752356125927415E-2</c:v>
                </c:pt>
                <c:pt idx="111">
                  <c:v>2.1052631578947434E-2</c:v>
                </c:pt>
                <c:pt idx="112">
                  <c:v>5.9106529209622005E-2</c:v>
                </c:pt>
                <c:pt idx="113">
                  <c:v>-7.138221933809219E-2</c:v>
                </c:pt>
                <c:pt idx="114">
                  <c:v>7.4912648497554191E-2</c:v>
                </c:pt>
                <c:pt idx="115">
                  <c:v>2.5159277077103193E-2</c:v>
                </c:pt>
                <c:pt idx="116">
                  <c:v>-0.14610945526032082</c:v>
                </c:pt>
                <c:pt idx="117">
                  <c:v>-2.4359450427033025E-2</c:v>
                </c:pt>
                <c:pt idx="118">
                  <c:v>-0.10611250666057692</c:v>
                </c:pt>
                <c:pt idx="119">
                  <c:v>0.11283317721195596</c:v>
                </c:pt>
                <c:pt idx="120">
                  <c:v>-1.5993265993266004E-2</c:v>
                </c:pt>
                <c:pt idx="121">
                  <c:v>-2.9784586670814184E-2</c:v>
                </c:pt>
                <c:pt idx="122">
                  <c:v>5.0977877524847726E-2</c:v>
                </c:pt>
                <c:pt idx="123">
                  <c:v>5.4911531421597548E-3</c:v>
                </c:pt>
                <c:pt idx="124">
                  <c:v>1.3349514563106624E-2</c:v>
                </c:pt>
                <c:pt idx="125">
                  <c:v>-8.0164670658682602E-2</c:v>
                </c:pt>
                <c:pt idx="126">
                  <c:v>5.6473268776955132E-2</c:v>
                </c:pt>
                <c:pt idx="127">
                  <c:v>5.0142494030655405E-2</c:v>
                </c:pt>
                <c:pt idx="128">
                  <c:v>3.9606865189966367E-2</c:v>
                </c:pt>
                <c:pt idx="129">
                  <c:v>-2.998447862283049E-2</c:v>
                </c:pt>
                <c:pt idx="130">
                  <c:v>2.9820350570950671E-2</c:v>
                </c:pt>
                <c:pt idx="131">
                  <c:v>-6.2151281870188702E-2</c:v>
                </c:pt>
                <c:pt idx="132">
                  <c:v>5.3467881617592639E-3</c:v>
                </c:pt>
                <c:pt idx="133">
                  <c:v>-4.5692883895132042E-3</c:v>
                </c:pt>
                <c:pt idx="134">
                  <c:v>5.1170140717886614E-3</c:v>
                </c:pt>
                <c:pt idx="135">
                  <c:v>-1.7593771056374941E-2</c:v>
                </c:pt>
                <c:pt idx="136">
                  <c:v>-7.963725041914349E-2</c:v>
                </c:pt>
                <c:pt idx="137">
                  <c:v>4.8935994038254549E-2</c:v>
                </c:pt>
                <c:pt idx="138">
                  <c:v>0.16316703504894203</c:v>
                </c:pt>
                <c:pt idx="139">
                  <c:v>0.11455717678995581</c:v>
                </c:pt>
                <c:pt idx="140">
                  <c:v>7.7208792547037719E-2</c:v>
                </c:pt>
                <c:pt idx="141">
                  <c:v>-2.3797411112995381E-2</c:v>
                </c:pt>
                <c:pt idx="142">
                  <c:v>-0.17909669947886497</c:v>
                </c:pt>
                <c:pt idx="143">
                  <c:v>1.4107356986667874E-3</c:v>
                </c:pt>
                <c:pt idx="144">
                  <c:v>8.494752412481521E-2</c:v>
                </c:pt>
                <c:pt idx="145">
                  <c:v>3.5317795234694582E-2</c:v>
                </c:pt>
                <c:pt idx="146">
                  <c:v>-3.2608014046529021E-2</c:v>
                </c:pt>
                <c:pt idx="147">
                  <c:v>5.8144811045569345E-2</c:v>
                </c:pt>
                <c:pt idx="148">
                  <c:v>3.9389855427591103E-2</c:v>
                </c:pt>
                <c:pt idx="149">
                  <c:v>-7.1138091589556196E-2</c:v>
                </c:pt>
                <c:pt idx="150">
                  <c:v>1.5164974619289451E-2</c:v>
                </c:pt>
                <c:pt idx="151">
                  <c:v>0.16857303581473837</c:v>
                </c:pt>
                <c:pt idx="152">
                  <c:v>-9.8149336756525374E-2</c:v>
                </c:pt>
                <c:pt idx="153">
                  <c:v>3.1907953264930899E-2</c:v>
                </c:pt>
                <c:pt idx="154">
                  <c:v>3.6553824932467283E-2</c:v>
                </c:pt>
                <c:pt idx="155">
                  <c:v>4.6132520099805951E-2</c:v>
                </c:pt>
                <c:pt idx="156">
                  <c:v>5.3797636084168099E-2</c:v>
                </c:pt>
                <c:pt idx="157">
                  <c:v>-5.1151795594004512E-2</c:v>
                </c:pt>
                <c:pt idx="158">
                  <c:v>3.5674529552080614E-2</c:v>
                </c:pt>
                <c:pt idx="159">
                  <c:v>-8.1891698229091814E-3</c:v>
                </c:pt>
              </c:numCache>
            </c:numRef>
          </c:val>
          <c:extLst>
            <c:ext xmlns:c16="http://schemas.microsoft.com/office/drawing/2014/chart" uri="{C3380CC4-5D6E-409C-BE32-E72D297353CC}">
              <c16:uniqueId val="{00000000-8BB9-4F37-9C58-CE3A6E4EC6B4}"/>
            </c:ext>
          </c:extLst>
        </c:ser>
        <c:dLbls>
          <c:showLegendKey val="0"/>
          <c:showVal val="0"/>
          <c:showCatName val="0"/>
          <c:showSerName val="0"/>
          <c:showPercent val="0"/>
          <c:showBubbleSize val="0"/>
        </c:dLbls>
        <c:gapWidth val="150"/>
        <c:axId val="64508095"/>
        <c:axId val="8587568"/>
      </c:barChart>
      <c:lineChart>
        <c:grouping val="standard"/>
        <c:varyColors val="0"/>
        <c:ser>
          <c:idx val="1"/>
          <c:order val="1"/>
          <c:tx>
            <c:strRef>
              <c:f>'Returns (Calc)'!$X$2</c:f>
              <c:strCache>
                <c:ptCount val="1"/>
                <c:pt idx="0">
                  <c:v>ANET trend</c:v>
                </c:pt>
              </c:strCache>
            </c:strRef>
          </c:tx>
          <c:spPr>
            <a:ln w="201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45156</c:v>
                </c:pt>
                <c:pt idx="1">
                  <c:v>45163</c:v>
                </c:pt>
                <c:pt idx="2">
                  <c:v>45170</c:v>
                </c:pt>
                <c:pt idx="3">
                  <c:v>45177</c:v>
                </c:pt>
                <c:pt idx="4">
                  <c:v>45184</c:v>
                </c:pt>
                <c:pt idx="5">
                  <c:v>45191</c:v>
                </c:pt>
                <c:pt idx="6">
                  <c:v>45198</c:v>
                </c:pt>
                <c:pt idx="7">
                  <c:v>45205</c:v>
                </c:pt>
                <c:pt idx="8">
                  <c:v>45212</c:v>
                </c:pt>
                <c:pt idx="9">
                  <c:v>45219</c:v>
                </c:pt>
                <c:pt idx="10">
                  <c:v>45226</c:v>
                </c:pt>
                <c:pt idx="11">
                  <c:v>45233</c:v>
                </c:pt>
                <c:pt idx="12">
                  <c:v>45240</c:v>
                </c:pt>
                <c:pt idx="13">
                  <c:v>45247</c:v>
                </c:pt>
                <c:pt idx="14">
                  <c:v>45254</c:v>
                </c:pt>
                <c:pt idx="15">
                  <c:v>45261</c:v>
                </c:pt>
                <c:pt idx="16">
                  <c:v>45268</c:v>
                </c:pt>
                <c:pt idx="17">
                  <c:v>45275</c:v>
                </c:pt>
                <c:pt idx="18">
                  <c:v>45282</c:v>
                </c:pt>
                <c:pt idx="19">
                  <c:v>45289</c:v>
                </c:pt>
                <c:pt idx="20">
                  <c:v>45296</c:v>
                </c:pt>
                <c:pt idx="21">
                  <c:v>45303</c:v>
                </c:pt>
                <c:pt idx="22">
                  <c:v>45310</c:v>
                </c:pt>
                <c:pt idx="23">
                  <c:v>45317</c:v>
                </c:pt>
                <c:pt idx="24">
                  <c:v>45324</c:v>
                </c:pt>
                <c:pt idx="25">
                  <c:v>45331</c:v>
                </c:pt>
                <c:pt idx="26">
                  <c:v>45338</c:v>
                </c:pt>
                <c:pt idx="27">
                  <c:v>45345</c:v>
                </c:pt>
                <c:pt idx="28">
                  <c:v>45352</c:v>
                </c:pt>
                <c:pt idx="29">
                  <c:v>45359</c:v>
                </c:pt>
                <c:pt idx="30">
                  <c:v>45366</c:v>
                </c:pt>
                <c:pt idx="31">
                  <c:v>45373</c:v>
                </c:pt>
                <c:pt idx="32">
                  <c:v>45379</c:v>
                </c:pt>
                <c:pt idx="33">
                  <c:v>45387</c:v>
                </c:pt>
                <c:pt idx="34">
                  <c:v>45394</c:v>
                </c:pt>
                <c:pt idx="35">
                  <c:v>45401</c:v>
                </c:pt>
                <c:pt idx="36">
                  <c:v>45408</c:v>
                </c:pt>
                <c:pt idx="37">
                  <c:v>45415</c:v>
                </c:pt>
                <c:pt idx="38">
                  <c:v>45422</c:v>
                </c:pt>
                <c:pt idx="39">
                  <c:v>45429</c:v>
                </c:pt>
                <c:pt idx="40">
                  <c:v>45436</c:v>
                </c:pt>
                <c:pt idx="41">
                  <c:v>45443</c:v>
                </c:pt>
                <c:pt idx="42">
                  <c:v>45450</c:v>
                </c:pt>
                <c:pt idx="43">
                  <c:v>45457</c:v>
                </c:pt>
                <c:pt idx="44">
                  <c:v>45464</c:v>
                </c:pt>
                <c:pt idx="45">
                  <c:v>45471</c:v>
                </c:pt>
                <c:pt idx="46">
                  <c:v>45478</c:v>
                </c:pt>
                <c:pt idx="47">
                  <c:v>45485</c:v>
                </c:pt>
                <c:pt idx="48">
                  <c:v>45492</c:v>
                </c:pt>
                <c:pt idx="49">
                  <c:v>45499</c:v>
                </c:pt>
                <c:pt idx="50">
                  <c:v>45506</c:v>
                </c:pt>
                <c:pt idx="51">
                  <c:v>45513</c:v>
                </c:pt>
                <c:pt idx="52">
                  <c:v>45520</c:v>
                </c:pt>
                <c:pt idx="53">
                  <c:v>45527</c:v>
                </c:pt>
                <c:pt idx="54">
                  <c:v>45534</c:v>
                </c:pt>
                <c:pt idx="55">
                  <c:v>45541</c:v>
                </c:pt>
                <c:pt idx="56">
                  <c:v>45548</c:v>
                </c:pt>
                <c:pt idx="57">
                  <c:v>45555</c:v>
                </c:pt>
                <c:pt idx="58">
                  <c:v>45562</c:v>
                </c:pt>
                <c:pt idx="59">
                  <c:v>45569</c:v>
                </c:pt>
                <c:pt idx="60">
                  <c:v>45576</c:v>
                </c:pt>
                <c:pt idx="61">
                  <c:v>45583</c:v>
                </c:pt>
                <c:pt idx="62">
                  <c:v>45590</c:v>
                </c:pt>
                <c:pt idx="63">
                  <c:v>45597</c:v>
                </c:pt>
                <c:pt idx="64">
                  <c:v>45604</c:v>
                </c:pt>
                <c:pt idx="65">
                  <c:v>45611</c:v>
                </c:pt>
                <c:pt idx="66">
                  <c:v>45618</c:v>
                </c:pt>
                <c:pt idx="67">
                  <c:v>45625</c:v>
                </c:pt>
                <c:pt idx="68">
                  <c:v>45632</c:v>
                </c:pt>
                <c:pt idx="69">
                  <c:v>45639</c:v>
                </c:pt>
                <c:pt idx="70">
                  <c:v>45646</c:v>
                </c:pt>
                <c:pt idx="71">
                  <c:v>45653</c:v>
                </c:pt>
                <c:pt idx="72">
                  <c:v>45660</c:v>
                </c:pt>
                <c:pt idx="73">
                  <c:v>45667</c:v>
                </c:pt>
                <c:pt idx="74">
                  <c:v>45674</c:v>
                </c:pt>
                <c:pt idx="75">
                  <c:v>45681</c:v>
                </c:pt>
                <c:pt idx="76">
                  <c:v>45688</c:v>
                </c:pt>
                <c:pt idx="77">
                  <c:v>45695</c:v>
                </c:pt>
                <c:pt idx="78">
                  <c:v>45702</c:v>
                </c:pt>
                <c:pt idx="79">
                  <c:v>45709</c:v>
                </c:pt>
                <c:pt idx="80">
                  <c:v>45716</c:v>
                </c:pt>
                <c:pt idx="81">
                  <c:v>45723</c:v>
                </c:pt>
                <c:pt idx="82">
                  <c:v>45730</c:v>
                </c:pt>
                <c:pt idx="83">
                  <c:v>45737</c:v>
                </c:pt>
                <c:pt idx="84">
                  <c:v>45744</c:v>
                </c:pt>
                <c:pt idx="85">
                  <c:v>45751</c:v>
                </c:pt>
                <c:pt idx="86">
                  <c:v>45758</c:v>
                </c:pt>
                <c:pt idx="87">
                  <c:v>45764</c:v>
                </c:pt>
                <c:pt idx="88">
                  <c:v>45772</c:v>
                </c:pt>
                <c:pt idx="89">
                  <c:v>45779</c:v>
                </c:pt>
                <c:pt idx="90">
                  <c:v>45786</c:v>
                </c:pt>
                <c:pt idx="91">
                  <c:v>45793</c:v>
                </c:pt>
                <c:pt idx="92">
                  <c:v>45800</c:v>
                </c:pt>
                <c:pt idx="93">
                  <c:v>45807</c:v>
                </c:pt>
                <c:pt idx="94">
                  <c:v>45814</c:v>
                </c:pt>
                <c:pt idx="95">
                  <c:v>45821</c:v>
                </c:pt>
                <c:pt idx="96">
                  <c:v>45828</c:v>
                </c:pt>
                <c:pt idx="97">
                  <c:v>45835</c:v>
                </c:pt>
                <c:pt idx="98">
                  <c:v>45841</c:v>
                </c:pt>
                <c:pt idx="99">
                  <c:v>45849</c:v>
                </c:pt>
                <c:pt idx="100">
                  <c:v>45856</c:v>
                </c:pt>
                <c:pt idx="101">
                  <c:v>45863</c:v>
                </c:pt>
                <c:pt idx="102">
                  <c:v>45870</c:v>
                </c:pt>
                <c:pt idx="103">
                  <c:v>45877</c:v>
                </c:pt>
                <c:pt idx="104">
                  <c:v>45884</c:v>
                </c:pt>
                <c:pt idx="105">
                  <c:v>45891</c:v>
                </c:pt>
                <c:pt idx="106">
                  <c:v>45898</c:v>
                </c:pt>
                <c:pt idx="107">
                  <c:v>45905</c:v>
                </c:pt>
                <c:pt idx="108">
                  <c:v>45912</c:v>
                </c:pt>
                <c:pt idx="109">
                  <c:v>45919</c:v>
                </c:pt>
                <c:pt idx="110">
                  <c:v>45926</c:v>
                </c:pt>
                <c:pt idx="111">
                  <c:v>45933</c:v>
                </c:pt>
                <c:pt idx="112">
                  <c:v>45940</c:v>
                </c:pt>
                <c:pt idx="113">
                  <c:v>45947</c:v>
                </c:pt>
                <c:pt idx="114">
                  <c:v>45954</c:v>
                </c:pt>
                <c:pt idx="115">
                  <c:v>45961</c:v>
                </c:pt>
                <c:pt idx="116">
                  <c:v>45968</c:v>
                </c:pt>
                <c:pt idx="117">
                  <c:v>45975</c:v>
                </c:pt>
                <c:pt idx="118">
                  <c:v>45982</c:v>
                </c:pt>
                <c:pt idx="119">
                  <c:v>45989</c:v>
                </c:pt>
                <c:pt idx="120">
                  <c:v>45996</c:v>
                </c:pt>
                <c:pt idx="121">
                  <c:v>46003</c:v>
                </c:pt>
                <c:pt idx="122">
                  <c:v>46010</c:v>
                </c:pt>
                <c:pt idx="123">
                  <c:v>46017</c:v>
                </c:pt>
                <c:pt idx="124">
                  <c:v>46024</c:v>
                </c:pt>
                <c:pt idx="125">
                  <c:v>46031</c:v>
                </c:pt>
                <c:pt idx="126">
                  <c:v>46038</c:v>
                </c:pt>
                <c:pt idx="127">
                  <c:v>46045</c:v>
                </c:pt>
                <c:pt idx="128">
                  <c:v>46052</c:v>
                </c:pt>
                <c:pt idx="129">
                  <c:v>46059</c:v>
                </c:pt>
                <c:pt idx="130">
                  <c:v>46066</c:v>
                </c:pt>
                <c:pt idx="131">
                  <c:v>46073</c:v>
                </c:pt>
                <c:pt idx="132">
                  <c:v>46080</c:v>
                </c:pt>
                <c:pt idx="133">
                  <c:v>46087</c:v>
                </c:pt>
                <c:pt idx="134">
                  <c:v>46094</c:v>
                </c:pt>
                <c:pt idx="135">
                  <c:v>46101</c:v>
                </c:pt>
                <c:pt idx="136">
                  <c:v>46108</c:v>
                </c:pt>
                <c:pt idx="137">
                  <c:v>46114</c:v>
                </c:pt>
                <c:pt idx="138">
                  <c:v>46122</c:v>
                </c:pt>
                <c:pt idx="139">
                  <c:v>46129</c:v>
                </c:pt>
                <c:pt idx="140">
                  <c:v>46136</c:v>
                </c:pt>
                <c:pt idx="141">
                  <c:v>46143</c:v>
                </c:pt>
                <c:pt idx="142">
                  <c:v>46150</c:v>
                </c:pt>
                <c:pt idx="143">
                  <c:v>46157</c:v>
                </c:pt>
                <c:pt idx="144">
                  <c:v>46164</c:v>
                </c:pt>
                <c:pt idx="145">
                  <c:v>46171</c:v>
                </c:pt>
                <c:pt idx="146">
                  <c:v>46178</c:v>
                </c:pt>
                <c:pt idx="147">
                  <c:v>46185</c:v>
                </c:pt>
                <c:pt idx="148">
                  <c:v>46191</c:v>
                </c:pt>
                <c:pt idx="149">
                  <c:v>46199</c:v>
                </c:pt>
                <c:pt idx="150">
                  <c:v>46205</c:v>
                </c:pt>
                <c:pt idx="151">
                  <c:v>46213</c:v>
                </c:pt>
                <c:pt idx="152">
                  <c:v>46220</c:v>
                </c:pt>
                <c:pt idx="153">
                  <c:v>46227</c:v>
                </c:pt>
                <c:pt idx="154">
                  <c:v>46234</c:v>
                </c:pt>
                <c:pt idx="155">
                  <c:v>46241</c:v>
                </c:pt>
                <c:pt idx="156">
                  <c:v>46248</c:v>
                </c:pt>
                <c:pt idx="157">
                  <c:v>46255</c:v>
                </c:pt>
                <c:pt idx="158">
                  <c:v>46262</c:v>
                </c:pt>
                <c:pt idx="159">
                  <c:v>46269</c:v>
                </c:pt>
              </c:numCache>
            </c:numRef>
          </c:cat>
          <c:val>
            <c:numRef>
              <c:f>'Returns (Calc)'!$X$3:$X$500</c:f>
              <c:numCache>
                <c:formatCode>#,##0.00</c:formatCode>
                <c:ptCount val="498"/>
                <c:pt idx="0">
                  <c:v>43.74</c:v>
                </c:pt>
                <c:pt idx="1">
                  <c:v>43.464905660377362</c:v>
                </c:pt>
                <c:pt idx="2">
                  <c:v>43.189811320754721</c:v>
                </c:pt>
                <c:pt idx="3">
                  <c:v>42.914716981132081</c:v>
                </c:pt>
                <c:pt idx="4">
                  <c:v>42.639622641509433</c:v>
                </c:pt>
                <c:pt idx="5">
                  <c:v>42.364528301886793</c:v>
                </c:pt>
                <c:pt idx="6">
                  <c:v>42.089433962264152</c:v>
                </c:pt>
                <c:pt idx="7">
                  <c:v>41.814339622641512</c:v>
                </c:pt>
                <c:pt idx="8">
                  <c:v>41.539245283018872</c:v>
                </c:pt>
                <c:pt idx="9">
                  <c:v>41.264150943396231</c:v>
                </c:pt>
                <c:pt idx="10">
                  <c:v>40.989056603773584</c:v>
                </c:pt>
                <c:pt idx="11">
                  <c:v>40.713962264150943</c:v>
                </c:pt>
                <c:pt idx="12">
                  <c:v>40.438867924528303</c:v>
                </c:pt>
                <c:pt idx="13">
                  <c:v>40.163773584905663</c:v>
                </c:pt>
                <c:pt idx="14">
                  <c:v>39.888679245283022</c:v>
                </c:pt>
                <c:pt idx="15">
                  <c:v>39.613584905660382</c:v>
                </c:pt>
                <c:pt idx="16">
                  <c:v>39.338490566037734</c:v>
                </c:pt>
                <c:pt idx="17">
                  <c:v>39.063396226415094</c:v>
                </c:pt>
                <c:pt idx="18">
                  <c:v>38.788301886792453</c:v>
                </c:pt>
                <c:pt idx="19">
                  <c:v>38.513207547169813</c:v>
                </c:pt>
                <c:pt idx="20">
                  <c:v>38.238113207547173</c:v>
                </c:pt>
                <c:pt idx="21">
                  <c:v>37.963018867924532</c:v>
                </c:pt>
                <c:pt idx="22">
                  <c:v>37.687924528301892</c:v>
                </c:pt>
                <c:pt idx="23">
                  <c:v>37.412830188679244</c:v>
                </c:pt>
                <c:pt idx="24">
                  <c:v>37.137735849056604</c:v>
                </c:pt>
                <c:pt idx="25">
                  <c:v>36.862641509433963</c:v>
                </c:pt>
                <c:pt idx="26">
                  <c:v>36.587547169811323</c:v>
                </c:pt>
                <c:pt idx="27">
                  <c:v>36.312452830188683</c:v>
                </c:pt>
                <c:pt idx="28">
                  <c:v>36.037358490566042</c:v>
                </c:pt>
                <c:pt idx="29">
                  <c:v>35.762264150943395</c:v>
                </c:pt>
                <c:pt idx="30">
                  <c:v>35.487169811320754</c:v>
                </c:pt>
                <c:pt idx="31">
                  <c:v>35.212075471698114</c:v>
                </c:pt>
                <c:pt idx="32">
                  <c:v>34.936981132075474</c:v>
                </c:pt>
                <c:pt idx="33">
                  <c:v>34.661886792452833</c:v>
                </c:pt>
                <c:pt idx="34">
                  <c:v>34.386792452830193</c:v>
                </c:pt>
                <c:pt idx="35">
                  <c:v>34.111698113207552</c:v>
                </c:pt>
                <c:pt idx="36">
                  <c:v>33.836603773584905</c:v>
                </c:pt>
                <c:pt idx="37">
                  <c:v>33.561509433962264</c:v>
                </c:pt>
                <c:pt idx="38">
                  <c:v>33.286415094339624</c:v>
                </c:pt>
                <c:pt idx="39">
                  <c:v>33.011320754716984</c:v>
                </c:pt>
                <c:pt idx="40">
                  <c:v>32.736226415094343</c:v>
                </c:pt>
                <c:pt idx="41">
                  <c:v>32.461132075471696</c:v>
                </c:pt>
                <c:pt idx="42">
                  <c:v>32.186037735849055</c:v>
                </c:pt>
                <c:pt idx="43">
                  <c:v>31.910943396226415</c:v>
                </c:pt>
                <c:pt idx="44">
                  <c:v>31.635849056603774</c:v>
                </c:pt>
                <c:pt idx="45">
                  <c:v>31.360754716981134</c:v>
                </c:pt>
                <c:pt idx="46">
                  <c:v>31.085660377358494</c:v>
                </c:pt>
                <c:pt idx="47">
                  <c:v>30.81056603773585</c:v>
                </c:pt>
                <c:pt idx="48">
                  <c:v>30.535471698113209</c:v>
                </c:pt>
                <c:pt idx="49">
                  <c:v>30.260377358490565</c:v>
                </c:pt>
                <c:pt idx="50">
                  <c:v>29.985283018867925</c:v>
                </c:pt>
                <c:pt idx="51">
                  <c:v>29.710188679245285</c:v>
                </c:pt>
                <c:pt idx="52">
                  <c:v>29.435094339622644</c:v>
                </c:pt>
                <c:pt idx="53">
                  <c:v>29.16</c:v>
                </c:pt>
                <c:pt idx="54">
                  <c:v>28.88490566037736</c:v>
                </c:pt>
                <c:pt idx="55">
                  <c:v>28.609811320754716</c:v>
                </c:pt>
                <c:pt idx="56">
                  <c:v>28.334716981132075</c:v>
                </c:pt>
                <c:pt idx="57">
                  <c:v>28.059622641509435</c:v>
                </c:pt>
                <c:pt idx="58">
                  <c:v>27.784528301886795</c:v>
                </c:pt>
                <c:pt idx="59">
                  <c:v>27.509433962264151</c:v>
                </c:pt>
                <c:pt idx="60">
                  <c:v>27.23433962264151</c:v>
                </c:pt>
                <c:pt idx="61">
                  <c:v>26.959245283018866</c:v>
                </c:pt>
                <c:pt idx="62">
                  <c:v>26.684150943396229</c:v>
                </c:pt>
                <c:pt idx="63">
                  <c:v>26.409056603773585</c:v>
                </c:pt>
                <c:pt idx="64">
                  <c:v>26.133962264150945</c:v>
                </c:pt>
                <c:pt idx="65">
                  <c:v>25.858867924528305</c:v>
                </c:pt>
                <c:pt idx="66">
                  <c:v>25.583773584905661</c:v>
                </c:pt>
                <c:pt idx="67">
                  <c:v>25.30867924528302</c:v>
                </c:pt>
                <c:pt idx="68">
                  <c:v>25.03358490566038</c:v>
                </c:pt>
                <c:pt idx="69">
                  <c:v>24.758490566037739</c:v>
                </c:pt>
                <c:pt idx="70">
                  <c:v>24.483396226415095</c:v>
                </c:pt>
                <c:pt idx="71">
                  <c:v>24.208301886792455</c:v>
                </c:pt>
                <c:pt idx="72">
                  <c:v>23.933207547169811</c:v>
                </c:pt>
                <c:pt idx="73">
                  <c:v>23.658113207547171</c:v>
                </c:pt>
                <c:pt idx="74">
                  <c:v>23.38301886792453</c:v>
                </c:pt>
                <c:pt idx="75">
                  <c:v>23.10792452830189</c:v>
                </c:pt>
                <c:pt idx="76">
                  <c:v>22.832830188679246</c:v>
                </c:pt>
                <c:pt idx="77">
                  <c:v>22.557735849056606</c:v>
                </c:pt>
                <c:pt idx="78">
                  <c:v>22.282641509433962</c:v>
                </c:pt>
                <c:pt idx="79">
                  <c:v>22.007547169811321</c:v>
                </c:pt>
                <c:pt idx="80">
                  <c:v>21.732452830188681</c:v>
                </c:pt>
                <c:pt idx="81">
                  <c:v>21.45735849056604</c:v>
                </c:pt>
                <c:pt idx="82">
                  <c:v>21.182264150943396</c:v>
                </c:pt>
                <c:pt idx="83">
                  <c:v>20.907169811320756</c:v>
                </c:pt>
                <c:pt idx="84">
                  <c:v>20.632075471698112</c:v>
                </c:pt>
                <c:pt idx="85">
                  <c:v>20.356981132075472</c:v>
                </c:pt>
                <c:pt idx="86">
                  <c:v>20.081886792452831</c:v>
                </c:pt>
                <c:pt idx="87">
                  <c:v>19.806792452830191</c:v>
                </c:pt>
                <c:pt idx="88">
                  <c:v>19.531698113207547</c:v>
                </c:pt>
                <c:pt idx="89">
                  <c:v>19.256603773584906</c:v>
                </c:pt>
                <c:pt idx="90">
                  <c:v>18.981509433962263</c:v>
                </c:pt>
                <c:pt idx="91">
                  <c:v>18.706415094339622</c:v>
                </c:pt>
                <c:pt idx="92">
                  <c:v>18.431320754716982</c:v>
                </c:pt>
                <c:pt idx="93">
                  <c:v>18.156226415094341</c:v>
                </c:pt>
                <c:pt idx="94">
                  <c:v>17.881132075471697</c:v>
                </c:pt>
                <c:pt idx="95">
                  <c:v>17.606037735849057</c:v>
                </c:pt>
                <c:pt idx="96">
                  <c:v>17.330943396226417</c:v>
                </c:pt>
                <c:pt idx="97">
                  <c:v>17.055849056603776</c:v>
                </c:pt>
                <c:pt idx="98">
                  <c:v>16.780754716981132</c:v>
                </c:pt>
                <c:pt idx="99">
                  <c:v>16.505660377358492</c:v>
                </c:pt>
                <c:pt idx="100">
                  <c:v>16.230566037735851</c:v>
                </c:pt>
                <c:pt idx="101">
                  <c:v>15.955471698113211</c:v>
                </c:pt>
                <c:pt idx="102">
                  <c:v>15.680377358490563</c:v>
                </c:pt>
                <c:pt idx="103">
                  <c:v>15.405283018867927</c:v>
                </c:pt>
                <c:pt idx="104">
                  <c:v>15.130188679245286</c:v>
                </c:pt>
                <c:pt idx="105">
                  <c:v>14.855094339622646</c:v>
                </c:pt>
                <c:pt idx="106">
                  <c:v>14.579999999999998</c:v>
                </c:pt>
                <c:pt idx="107">
                  <c:v>14.304905660377358</c:v>
                </c:pt>
                <c:pt idx="108">
                  <c:v>14.029811320754717</c:v>
                </c:pt>
                <c:pt idx="109">
                  <c:v>13.754716981132077</c:v>
                </c:pt>
                <c:pt idx="110">
                  <c:v>13.479622641509433</c:v>
                </c:pt>
                <c:pt idx="111">
                  <c:v>13.204528301886793</c:v>
                </c:pt>
                <c:pt idx="112">
                  <c:v>12.929433962264152</c:v>
                </c:pt>
                <c:pt idx="113">
                  <c:v>12.654339622641512</c:v>
                </c:pt>
                <c:pt idx="114">
                  <c:v>12.379245283018868</c:v>
                </c:pt>
                <c:pt idx="115">
                  <c:v>12.104150943396228</c:v>
                </c:pt>
                <c:pt idx="116">
                  <c:v>11.829056603773587</c:v>
                </c:pt>
                <c:pt idx="117">
                  <c:v>11.553962264150947</c:v>
                </c:pt>
                <c:pt idx="118">
                  <c:v>11.278867924528299</c:v>
                </c:pt>
                <c:pt idx="119">
                  <c:v>11.003773584905659</c:v>
                </c:pt>
                <c:pt idx="120">
                  <c:v>10.728679245283018</c:v>
                </c:pt>
                <c:pt idx="121">
                  <c:v>10.453584905660378</c:v>
                </c:pt>
                <c:pt idx="122">
                  <c:v>10.178490566037731</c:v>
                </c:pt>
                <c:pt idx="123">
                  <c:v>9.9033962264150901</c:v>
                </c:pt>
                <c:pt idx="124">
                  <c:v>9.6283018867924568</c:v>
                </c:pt>
                <c:pt idx="125">
                  <c:v>9.3532075471698164</c:v>
                </c:pt>
                <c:pt idx="126">
                  <c:v>9.0781132075471689</c:v>
                </c:pt>
                <c:pt idx="127">
                  <c:v>8.8030188679245285</c:v>
                </c:pt>
                <c:pt idx="128">
                  <c:v>8.5279245283018881</c:v>
                </c:pt>
                <c:pt idx="129">
                  <c:v>8.2528301886792477</c:v>
                </c:pt>
                <c:pt idx="130">
                  <c:v>7.9777358490566073</c:v>
                </c:pt>
                <c:pt idx="131">
                  <c:v>7.7026415094339598</c:v>
                </c:pt>
                <c:pt idx="132">
                  <c:v>7.4275471698113193</c:v>
                </c:pt>
                <c:pt idx="133">
                  <c:v>7.1524528301886789</c:v>
                </c:pt>
                <c:pt idx="134">
                  <c:v>6.8773584905660385</c:v>
                </c:pt>
                <c:pt idx="135">
                  <c:v>6.6022641509433981</c:v>
                </c:pt>
                <c:pt idx="136">
                  <c:v>6.3271698113207577</c:v>
                </c:pt>
                <c:pt idx="137">
                  <c:v>6.0520754716981173</c:v>
                </c:pt>
                <c:pt idx="138">
                  <c:v>5.7769811320754769</c:v>
                </c:pt>
                <c:pt idx="139">
                  <c:v>5.5018867924528294</c:v>
                </c:pt>
                <c:pt idx="140">
                  <c:v>5.226792452830189</c:v>
                </c:pt>
                <c:pt idx="141">
                  <c:v>4.9516981132075486</c:v>
                </c:pt>
                <c:pt idx="142">
                  <c:v>4.6766037735849082</c:v>
                </c:pt>
                <c:pt idx="143">
                  <c:v>4.4015094339622607</c:v>
                </c:pt>
                <c:pt idx="144">
                  <c:v>4.1264150943396203</c:v>
                </c:pt>
                <c:pt idx="145">
                  <c:v>3.8513207547169799</c:v>
                </c:pt>
                <c:pt idx="146">
                  <c:v>3.5762264150943395</c:v>
                </c:pt>
                <c:pt idx="147">
                  <c:v>3.3011320754716991</c:v>
                </c:pt>
                <c:pt idx="148">
                  <c:v>3.0260377358490587</c:v>
                </c:pt>
                <c:pt idx="149">
                  <c:v>2.7509433962264183</c:v>
                </c:pt>
                <c:pt idx="150">
                  <c:v>2.4758490566037779</c:v>
                </c:pt>
                <c:pt idx="151">
                  <c:v>2.2007547169811303</c:v>
                </c:pt>
                <c:pt idx="152">
                  <c:v>1.9256603773584899</c:v>
                </c:pt>
                <c:pt idx="153">
                  <c:v>1.6505660377358495</c:v>
                </c:pt>
                <c:pt idx="154">
                  <c:v>1.3754716981132091</c:v>
                </c:pt>
                <c:pt idx="155">
                  <c:v>1.1003773584905616</c:v>
                </c:pt>
                <c:pt idx="156">
                  <c:v>0.82528301886792121</c:v>
                </c:pt>
                <c:pt idx="157">
                  <c:v>0.55018867924528081</c:v>
                </c:pt>
                <c:pt idx="158">
                  <c:v>0.2750943396226404</c:v>
                </c:pt>
                <c:pt idx="159">
                  <c:v>0</c:v>
                </c:pt>
              </c:numCache>
            </c:numRef>
          </c:val>
          <c:smooth val="0"/>
          <c:extLst>
            <c:ext xmlns:c16="http://schemas.microsoft.com/office/drawing/2014/chart" uri="{C3380CC4-5D6E-409C-BE32-E72D297353CC}">
              <c16:uniqueId val="{00000001-8BB9-4F37-9C58-CE3A6E4EC6B4}"/>
            </c:ext>
          </c:extLst>
        </c:ser>
        <c:dLbls>
          <c:showLegendKey val="0"/>
          <c:showVal val="0"/>
          <c:showCatName val="0"/>
          <c:showSerName val="0"/>
          <c:showPercent val="0"/>
          <c:showBubbleSize val="0"/>
        </c:dLbls>
        <c:hiLowLines>
          <c:spPr>
            <a:ln w="0">
              <a:noFill/>
            </a:ln>
          </c:spPr>
        </c:hiLowLines>
        <c:marker val="1"/>
        <c:smooth val="0"/>
        <c:axId val="68445807"/>
        <c:axId val="93346798"/>
      </c:lineChart>
      <c:dateAx>
        <c:axId val="64508095"/>
        <c:scaling>
          <c:orientation val="minMax"/>
        </c:scaling>
        <c:delete val="1"/>
        <c:axPos val="b"/>
        <c:numFmt formatCode="mm/dd/yyyy" sourceLinked="1"/>
        <c:majorTickMark val="none"/>
        <c:minorTickMark val="none"/>
        <c:tickLblPos val="nextTo"/>
        <c:crossAx val="8587568"/>
        <c:crosses val="autoZero"/>
        <c:auto val="1"/>
        <c:lblOffset val="100"/>
        <c:baseTimeUnit val="days"/>
      </c:dateAx>
      <c:valAx>
        <c:axId val="8587568"/>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64508095"/>
        <c:crosses val="autoZero"/>
        <c:crossBetween val="between"/>
      </c:valAx>
      <c:dateAx>
        <c:axId val="68445807"/>
        <c:scaling>
          <c:orientation val="minMax"/>
        </c:scaling>
        <c:delete val="1"/>
        <c:axPos val="b"/>
        <c:numFmt formatCode="mm/dd/yyyy" sourceLinked="1"/>
        <c:majorTickMark val="none"/>
        <c:minorTickMark val="none"/>
        <c:tickLblPos val="nextTo"/>
        <c:crossAx val="93346798"/>
        <c:crosses val="autoZero"/>
        <c:auto val="1"/>
        <c:lblOffset val="100"/>
        <c:baseTimeUnit val="days"/>
      </c:dateAx>
      <c:valAx>
        <c:axId val="93346798"/>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68445807"/>
        <c:crosses val="max"/>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ASML</a:t>
            </a:r>
          </a:p>
        </c:rich>
      </c:tx>
      <c:overlay val="0"/>
      <c:spPr>
        <a:noFill/>
        <a:ln w="0">
          <a:noFill/>
        </a:ln>
      </c:spPr>
    </c:title>
    <c:autoTitleDeleted val="0"/>
    <c:plotArea>
      <c:layout/>
      <c:barChart>
        <c:barDir val="col"/>
        <c:grouping val="clustered"/>
        <c:varyColors val="0"/>
        <c:ser>
          <c:idx val="0"/>
          <c:order val="0"/>
          <c:tx>
            <c:strRef>
              <c:f>'Returns (Calc)'!$D$2</c:f>
              <c:strCache>
                <c:ptCount val="1"/>
                <c:pt idx="0">
                  <c:v>ASML</c:v>
                </c:pt>
              </c:strCache>
            </c:strRef>
          </c:tx>
          <c:spPr>
            <a:solidFill>
              <a:srgbClr val="4F81BD"/>
            </a:solidFill>
            <a:ln w="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45156</c:v>
                </c:pt>
                <c:pt idx="1">
                  <c:v>45163</c:v>
                </c:pt>
                <c:pt idx="2">
                  <c:v>45170</c:v>
                </c:pt>
                <c:pt idx="3">
                  <c:v>45177</c:v>
                </c:pt>
                <c:pt idx="4">
                  <c:v>45184</c:v>
                </c:pt>
                <c:pt idx="5">
                  <c:v>45191</c:v>
                </c:pt>
                <c:pt idx="6">
                  <c:v>45198</c:v>
                </c:pt>
                <c:pt idx="7">
                  <c:v>45205</c:v>
                </c:pt>
                <c:pt idx="8">
                  <c:v>45212</c:v>
                </c:pt>
                <c:pt idx="9">
                  <c:v>45219</c:v>
                </c:pt>
                <c:pt idx="10">
                  <c:v>45226</c:v>
                </c:pt>
                <c:pt idx="11">
                  <c:v>45233</c:v>
                </c:pt>
                <c:pt idx="12">
                  <c:v>45240</c:v>
                </c:pt>
                <c:pt idx="13">
                  <c:v>45247</c:v>
                </c:pt>
                <c:pt idx="14">
                  <c:v>45254</c:v>
                </c:pt>
                <c:pt idx="15">
                  <c:v>45261</c:v>
                </c:pt>
                <c:pt idx="16">
                  <c:v>45268</c:v>
                </c:pt>
                <c:pt idx="17">
                  <c:v>45275</c:v>
                </c:pt>
                <c:pt idx="18">
                  <c:v>45282</c:v>
                </c:pt>
                <c:pt idx="19">
                  <c:v>45289</c:v>
                </c:pt>
                <c:pt idx="20">
                  <c:v>45296</c:v>
                </c:pt>
                <c:pt idx="21">
                  <c:v>45303</c:v>
                </c:pt>
                <c:pt idx="22">
                  <c:v>45310</c:v>
                </c:pt>
                <c:pt idx="23">
                  <c:v>45317</c:v>
                </c:pt>
                <c:pt idx="24">
                  <c:v>45324</c:v>
                </c:pt>
                <c:pt idx="25">
                  <c:v>45331</c:v>
                </c:pt>
                <c:pt idx="26">
                  <c:v>45338</c:v>
                </c:pt>
                <c:pt idx="27">
                  <c:v>45345</c:v>
                </c:pt>
                <c:pt idx="28">
                  <c:v>45352</c:v>
                </c:pt>
                <c:pt idx="29">
                  <c:v>45359</c:v>
                </c:pt>
                <c:pt idx="30">
                  <c:v>45366</c:v>
                </c:pt>
                <c:pt idx="31">
                  <c:v>45373</c:v>
                </c:pt>
                <c:pt idx="32">
                  <c:v>45379</c:v>
                </c:pt>
                <c:pt idx="33">
                  <c:v>45387</c:v>
                </c:pt>
                <c:pt idx="34">
                  <c:v>45394</c:v>
                </c:pt>
                <c:pt idx="35">
                  <c:v>45401</c:v>
                </c:pt>
                <c:pt idx="36">
                  <c:v>45408</c:v>
                </c:pt>
                <c:pt idx="37">
                  <c:v>45415</c:v>
                </c:pt>
                <c:pt idx="38">
                  <c:v>45422</c:v>
                </c:pt>
                <c:pt idx="39">
                  <c:v>45429</c:v>
                </c:pt>
                <c:pt idx="40">
                  <c:v>45436</c:v>
                </c:pt>
                <c:pt idx="41">
                  <c:v>45443</c:v>
                </c:pt>
                <c:pt idx="42">
                  <c:v>45450</c:v>
                </c:pt>
                <c:pt idx="43">
                  <c:v>45457</c:v>
                </c:pt>
                <c:pt idx="44">
                  <c:v>45464</c:v>
                </c:pt>
                <c:pt idx="45">
                  <c:v>45471</c:v>
                </c:pt>
                <c:pt idx="46">
                  <c:v>45478</c:v>
                </c:pt>
                <c:pt idx="47">
                  <c:v>45485</c:v>
                </c:pt>
                <c:pt idx="48">
                  <c:v>45492</c:v>
                </c:pt>
                <c:pt idx="49">
                  <c:v>45499</c:v>
                </c:pt>
                <c:pt idx="50">
                  <c:v>45506</c:v>
                </c:pt>
                <c:pt idx="51">
                  <c:v>45513</c:v>
                </c:pt>
                <c:pt idx="52">
                  <c:v>45520</c:v>
                </c:pt>
                <c:pt idx="53">
                  <c:v>45527</c:v>
                </c:pt>
                <c:pt idx="54">
                  <c:v>45534</c:v>
                </c:pt>
                <c:pt idx="55">
                  <c:v>45541</c:v>
                </c:pt>
                <c:pt idx="56">
                  <c:v>45548</c:v>
                </c:pt>
                <c:pt idx="57">
                  <c:v>45555</c:v>
                </c:pt>
                <c:pt idx="58">
                  <c:v>45562</c:v>
                </c:pt>
                <c:pt idx="59">
                  <c:v>45569</c:v>
                </c:pt>
                <c:pt idx="60">
                  <c:v>45576</c:v>
                </c:pt>
                <c:pt idx="61">
                  <c:v>45583</c:v>
                </c:pt>
                <c:pt idx="62">
                  <c:v>45590</c:v>
                </c:pt>
                <c:pt idx="63">
                  <c:v>45597</c:v>
                </c:pt>
                <c:pt idx="64">
                  <c:v>45604</c:v>
                </c:pt>
                <c:pt idx="65">
                  <c:v>45611</c:v>
                </c:pt>
                <c:pt idx="66">
                  <c:v>45618</c:v>
                </c:pt>
                <c:pt idx="67">
                  <c:v>45625</c:v>
                </c:pt>
                <c:pt idx="68">
                  <c:v>45632</c:v>
                </c:pt>
                <c:pt idx="69">
                  <c:v>45639</c:v>
                </c:pt>
                <c:pt idx="70">
                  <c:v>45646</c:v>
                </c:pt>
                <c:pt idx="71">
                  <c:v>45653</c:v>
                </c:pt>
                <c:pt idx="72">
                  <c:v>45660</c:v>
                </c:pt>
                <c:pt idx="73">
                  <c:v>45667</c:v>
                </c:pt>
                <c:pt idx="74">
                  <c:v>45674</c:v>
                </c:pt>
                <c:pt idx="75">
                  <c:v>45681</c:v>
                </c:pt>
                <c:pt idx="76">
                  <c:v>45688</c:v>
                </c:pt>
                <c:pt idx="77">
                  <c:v>45695</c:v>
                </c:pt>
                <c:pt idx="78">
                  <c:v>45702</c:v>
                </c:pt>
                <c:pt idx="79">
                  <c:v>45709</c:v>
                </c:pt>
                <c:pt idx="80">
                  <c:v>45716</c:v>
                </c:pt>
                <c:pt idx="81">
                  <c:v>45723</c:v>
                </c:pt>
                <c:pt idx="82">
                  <c:v>45730</c:v>
                </c:pt>
                <c:pt idx="83">
                  <c:v>45737</c:v>
                </c:pt>
                <c:pt idx="84">
                  <c:v>45744</c:v>
                </c:pt>
                <c:pt idx="85">
                  <c:v>45751</c:v>
                </c:pt>
                <c:pt idx="86">
                  <c:v>45758</c:v>
                </c:pt>
                <c:pt idx="87">
                  <c:v>45764</c:v>
                </c:pt>
                <c:pt idx="88">
                  <c:v>45772</c:v>
                </c:pt>
                <c:pt idx="89">
                  <c:v>45779</c:v>
                </c:pt>
                <c:pt idx="90">
                  <c:v>45786</c:v>
                </c:pt>
                <c:pt idx="91">
                  <c:v>45793</c:v>
                </c:pt>
                <c:pt idx="92">
                  <c:v>45800</c:v>
                </c:pt>
                <c:pt idx="93">
                  <c:v>45807</c:v>
                </c:pt>
                <c:pt idx="94">
                  <c:v>45814</c:v>
                </c:pt>
                <c:pt idx="95">
                  <c:v>45821</c:v>
                </c:pt>
                <c:pt idx="96">
                  <c:v>45828</c:v>
                </c:pt>
                <c:pt idx="97">
                  <c:v>45835</c:v>
                </c:pt>
                <c:pt idx="98">
                  <c:v>45841</c:v>
                </c:pt>
                <c:pt idx="99">
                  <c:v>45849</c:v>
                </c:pt>
                <c:pt idx="100">
                  <c:v>45856</c:v>
                </c:pt>
                <c:pt idx="101">
                  <c:v>45863</c:v>
                </c:pt>
                <c:pt idx="102">
                  <c:v>45870</c:v>
                </c:pt>
                <c:pt idx="103">
                  <c:v>45877</c:v>
                </c:pt>
                <c:pt idx="104">
                  <c:v>45884</c:v>
                </c:pt>
                <c:pt idx="105">
                  <c:v>45891</c:v>
                </c:pt>
                <c:pt idx="106">
                  <c:v>45898</c:v>
                </c:pt>
                <c:pt idx="107">
                  <c:v>45905</c:v>
                </c:pt>
                <c:pt idx="108">
                  <c:v>45912</c:v>
                </c:pt>
                <c:pt idx="109">
                  <c:v>45919</c:v>
                </c:pt>
                <c:pt idx="110">
                  <c:v>45926</c:v>
                </c:pt>
                <c:pt idx="111">
                  <c:v>45933</c:v>
                </c:pt>
                <c:pt idx="112">
                  <c:v>45940</c:v>
                </c:pt>
                <c:pt idx="113">
                  <c:v>45947</c:v>
                </c:pt>
                <c:pt idx="114">
                  <c:v>45954</c:v>
                </c:pt>
                <c:pt idx="115">
                  <c:v>45961</c:v>
                </c:pt>
                <c:pt idx="116">
                  <c:v>45968</c:v>
                </c:pt>
                <c:pt idx="117">
                  <c:v>45975</c:v>
                </c:pt>
                <c:pt idx="118">
                  <c:v>45982</c:v>
                </c:pt>
                <c:pt idx="119">
                  <c:v>45989</c:v>
                </c:pt>
                <c:pt idx="120">
                  <c:v>45996</c:v>
                </c:pt>
                <c:pt idx="121">
                  <c:v>46003</c:v>
                </c:pt>
                <c:pt idx="122">
                  <c:v>46010</c:v>
                </c:pt>
                <c:pt idx="123">
                  <c:v>46017</c:v>
                </c:pt>
                <c:pt idx="124">
                  <c:v>46024</c:v>
                </c:pt>
                <c:pt idx="125">
                  <c:v>46031</c:v>
                </c:pt>
                <c:pt idx="126">
                  <c:v>46038</c:v>
                </c:pt>
                <c:pt idx="127">
                  <c:v>46045</c:v>
                </c:pt>
                <c:pt idx="128">
                  <c:v>46052</c:v>
                </c:pt>
                <c:pt idx="129">
                  <c:v>46059</c:v>
                </c:pt>
                <c:pt idx="130">
                  <c:v>46066</c:v>
                </c:pt>
                <c:pt idx="131">
                  <c:v>46073</c:v>
                </c:pt>
                <c:pt idx="132">
                  <c:v>46080</c:v>
                </c:pt>
                <c:pt idx="133">
                  <c:v>46087</c:v>
                </c:pt>
                <c:pt idx="134">
                  <c:v>46094</c:v>
                </c:pt>
                <c:pt idx="135">
                  <c:v>46101</c:v>
                </c:pt>
                <c:pt idx="136">
                  <c:v>46108</c:v>
                </c:pt>
                <c:pt idx="137">
                  <c:v>46114</c:v>
                </c:pt>
                <c:pt idx="138">
                  <c:v>46122</c:v>
                </c:pt>
                <c:pt idx="139">
                  <c:v>46129</c:v>
                </c:pt>
                <c:pt idx="140">
                  <c:v>46136</c:v>
                </c:pt>
                <c:pt idx="141">
                  <c:v>46143</c:v>
                </c:pt>
                <c:pt idx="142">
                  <c:v>46150</c:v>
                </c:pt>
                <c:pt idx="143">
                  <c:v>46157</c:v>
                </c:pt>
                <c:pt idx="144">
                  <c:v>46164</c:v>
                </c:pt>
                <c:pt idx="145">
                  <c:v>46171</c:v>
                </c:pt>
                <c:pt idx="146">
                  <c:v>46178</c:v>
                </c:pt>
                <c:pt idx="147">
                  <c:v>46185</c:v>
                </c:pt>
                <c:pt idx="148">
                  <c:v>46191</c:v>
                </c:pt>
                <c:pt idx="149">
                  <c:v>46199</c:v>
                </c:pt>
                <c:pt idx="150">
                  <c:v>46205</c:v>
                </c:pt>
                <c:pt idx="151">
                  <c:v>46213</c:v>
                </c:pt>
                <c:pt idx="152">
                  <c:v>46220</c:v>
                </c:pt>
                <c:pt idx="153">
                  <c:v>46227</c:v>
                </c:pt>
                <c:pt idx="154">
                  <c:v>46234</c:v>
                </c:pt>
                <c:pt idx="155">
                  <c:v>46241</c:v>
                </c:pt>
                <c:pt idx="156">
                  <c:v>46248</c:v>
                </c:pt>
                <c:pt idx="157">
                  <c:v>46255</c:v>
                </c:pt>
                <c:pt idx="158">
                  <c:v>46262</c:v>
                </c:pt>
                <c:pt idx="159">
                  <c:v>46269</c:v>
                </c:pt>
              </c:numCache>
            </c:numRef>
          </c:cat>
          <c:val>
            <c:numRef>
              <c:f>'Returns (Calc)'!$D$3:$D$500</c:f>
              <c:numCache>
                <c:formatCode>0.0%</c:formatCode>
                <c:ptCount val="498"/>
                <c:pt idx="0">
                  <c:v>-9.7464414155761236E-3</c:v>
                </c:pt>
                <c:pt idx="1">
                  <c:v>-6.5920986373277923E-3</c:v>
                </c:pt>
                <c:pt idx="2">
                  <c:v>1.7680219965899191E-2</c:v>
                </c:pt>
                <c:pt idx="3">
                  <c:v>-5.2315401799190919E-2</c:v>
                </c:pt>
                <c:pt idx="4">
                  <c:v>-4.9692606632051772E-2</c:v>
                </c:pt>
                <c:pt idx="5">
                  <c:v>-1.6022525391345077E-2</c:v>
                </c:pt>
                <c:pt idx="6">
                  <c:v>2.6571282575369448E-3</c:v>
                </c:pt>
                <c:pt idx="7">
                  <c:v>1.4779329324227986E-2</c:v>
                </c:pt>
                <c:pt idx="8">
                  <c:v>4.0009374581491119E-3</c:v>
                </c:pt>
                <c:pt idx="9">
                  <c:v>-3.2763651521467207E-2</c:v>
                </c:pt>
                <c:pt idx="10">
                  <c:v>1.7066023099465477E-2</c:v>
                </c:pt>
                <c:pt idx="11">
                  <c:v>8.8830508474576186E-2</c:v>
                </c:pt>
                <c:pt idx="12">
                  <c:v>2.9373764418362036E-2</c:v>
                </c:pt>
                <c:pt idx="13">
                  <c:v>3.7518146624727855E-2</c:v>
                </c:pt>
                <c:pt idx="14">
                  <c:v>7.4188517541429189E-3</c:v>
                </c:pt>
                <c:pt idx="15">
                  <c:v>1.4757371451721291E-3</c:v>
                </c:pt>
                <c:pt idx="16">
                  <c:v>6.1109505923142571E-3</c:v>
                </c:pt>
                <c:pt idx="17">
                  <c:v>8.1171115546429862E-2</c:v>
                </c:pt>
                <c:pt idx="18">
                  <c:v>-5.7107947301326956E-4</c:v>
                </c:pt>
                <c:pt idx="19">
                  <c:v>5.8336544722470407E-3</c:v>
                </c:pt>
                <c:pt idx="20">
                  <c:v>-7.0786873117370308E-2</c:v>
                </c:pt>
                <c:pt idx="21">
                  <c:v>1.4047260215543034E-2</c:v>
                </c:pt>
                <c:pt idx="22">
                  <c:v>6.2547320602338807E-2</c:v>
                </c:pt>
                <c:pt idx="23">
                  <c:v>0.14504572265547666</c:v>
                </c:pt>
                <c:pt idx="24">
                  <c:v>2.6401613367905474E-2</c:v>
                </c:pt>
                <c:pt idx="25">
                  <c:v>6.6175645027283236E-2</c:v>
                </c:pt>
                <c:pt idx="26">
                  <c:v>-2.1756529064869357E-2</c:v>
                </c:pt>
                <c:pt idx="27">
                  <c:v>4.6396968587851806E-3</c:v>
                </c:pt>
                <c:pt idx="28">
                  <c:v>6.1816233592285164E-2</c:v>
                </c:pt>
                <c:pt idx="29">
                  <c:v>3.4209942075200672E-3</c:v>
                </c:pt>
                <c:pt idx="30">
                  <c:v>-5.4428610219947049E-2</c:v>
                </c:pt>
                <c:pt idx="31">
                  <c:v>4.227778900458401E-2</c:v>
                </c:pt>
                <c:pt idx="32">
                  <c:v>-9.684068737499496E-3</c:v>
                </c:pt>
                <c:pt idx="33">
                  <c:v>9.3562912815439159E-3</c:v>
                </c:pt>
                <c:pt idx="34">
                  <c:v>-1.8079730488489543E-2</c:v>
                </c:pt>
                <c:pt idx="35">
                  <c:v>-0.10635864592863686</c:v>
                </c:pt>
                <c:pt idx="36">
                  <c:v>6.9141633897200849E-2</c:v>
                </c:pt>
                <c:pt idx="37">
                  <c:v>-1.8868951108306109E-2</c:v>
                </c:pt>
                <c:pt idx="38">
                  <c:v>3.1786874882157923E-2</c:v>
                </c:pt>
                <c:pt idx="39">
                  <c:v>-5.7186468735554996E-3</c:v>
                </c:pt>
                <c:pt idx="40">
                  <c:v>3.3784879509605625E-2</c:v>
                </c:pt>
                <c:pt idx="41">
                  <c:v>4.3190897492209057E-3</c:v>
                </c:pt>
                <c:pt idx="42">
                  <c:v>7.0880408184516019E-2</c:v>
                </c:pt>
                <c:pt idx="43">
                  <c:v>-5.0562999552705712E-4</c:v>
                </c:pt>
                <c:pt idx="44">
                  <c:v>8.4638583519796029E-3</c:v>
                </c:pt>
                <c:pt idx="45">
                  <c:v>-1.3380281690140716E-2</c:v>
                </c:pt>
                <c:pt idx="46">
                  <c:v>5.0599865067026517E-2</c:v>
                </c:pt>
                <c:pt idx="47">
                  <c:v>1.0032760032760102E-2</c:v>
                </c:pt>
                <c:pt idx="48">
                  <c:v>-0.17497189613548825</c:v>
                </c:pt>
                <c:pt idx="49">
                  <c:v>-7.7956598947921396E-3</c:v>
                </c:pt>
                <c:pt idx="50">
                  <c:v>-8.8969934375668358E-2</c:v>
                </c:pt>
                <c:pt idx="51">
                  <c:v>6.3260641255328265E-2</c:v>
                </c:pt>
                <c:pt idx="52">
                  <c:v>6.7526581837197064E-2</c:v>
                </c:pt>
                <c:pt idx="53">
                  <c:v>-1.2409378877930921E-2</c:v>
                </c:pt>
                <c:pt idx="54">
                  <c:v>-3.736525362079246E-3</c:v>
                </c:pt>
                <c:pt idx="55">
                  <c:v>-0.16714793056523625</c:v>
                </c:pt>
                <c:pt idx="56">
                  <c:v>8.4445861395608501E-2</c:v>
                </c:pt>
                <c:pt idx="57">
                  <c:v>-2.5821941300406714E-2</c:v>
                </c:pt>
                <c:pt idx="58">
                  <c:v>5.8168192334775215E-2</c:v>
                </c:pt>
                <c:pt idx="59">
                  <c:v>-1.0148061886541271E-2</c:v>
                </c:pt>
                <c:pt idx="60">
                  <c:v>9.2316926770708019E-3</c:v>
                </c:pt>
                <c:pt idx="61">
                  <c:v>-0.13968287953942604</c:v>
                </c:pt>
                <c:pt idx="62">
                  <c:v>-1.5983187235572238E-2</c:v>
                </c:pt>
                <c:pt idx="63">
                  <c:v>-5.1946044681748016E-2</c:v>
                </c:pt>
                <c:pt idx="64">
                  <c:v>-7.795710876943307E-3</c:v>
                </c:pt>
                <c:pt idx="65">
                  <c:v>-1.6191913005810576E-2</c:v>
                </c:pt>
                <c:pt idx="66">
                  <c:v>2.1635819807782841E-2</c:v>
                </c:pt>
                <c:pt idx="67">
                  <c:v>2.0404827012245885E-2</c:v>
                </c:pt>
                <c:pt idx="68">
                  <c:v>3.2580358573280233E-2</c:v>
                </c:pt>
                <c:pt idx="69">
                  <c:v>1.3540579423961141E-2</c:v>
                </c:pt>
                <c:pt idx="70">
                  <c:v>-1.7952072142280784E-2</c:v>
                </c:pt>
                <c:pt idx="71">
                  <c:v>1.1209046593356975E-2</c:v>
                </c:pt>
                <c:pt idx="72">
                  <c:v>1.0790509956697392E-3</c:v>
                </c:pt>
                <c:pt idx="73">
                  <c:v>3.450641133322141E-2</c:v>
                </c:pt>
                <c:pt idx="74">
                  <c:v>2.3436759989716061E-2</c:v>
                </c:pt>
                <c:pt idx="75">
                  <c:v>-3.1837954332103791E-2</c:v>
                </c:pt>
                <c:pt idx="76">
                  <c:v>9.6415158757254815E-3</c:v>
                </c:pt>
                <c:pt idx="77">
                  <c:v>-1.5703831951414005E-2</c:v>
                </c:pt>
                <c:pt idx="78">
                  <c:v>3.27744949841966E-2</c:v>
                </c:pt>
                <c:pt idx="79">
                  <c:v>-1.9080566828554191E-2</c:v>
                </c:pt>
                <c:pt idx="80">
                  <c:v>-3.8157377138128834E-2</c:v>
                </c:pt>
                <c:pt idx="81">
                  <c:v>3.2633835392339439E-2</c:v>
                </c:pt>
                <c:pt idx="82">
                  <c:v>-2.4883231815574613E-2</c:v>
                </c:pt>
                <c:pt idx="83">
                  <c:v>3.1092436974791138E-3</c:v>
                </c:pt>
                <c:pt idx="84">
                  <c:v>-5.8138560777414749E-2</c:v>
                </c:pt>
                <c:pt idx="85">
                  <c:v>-0.10233033887752396</c:v>
                </c:pt>
                <c:pt idx="86">
                  <c:v>0.10446701345883902</c:v>
                </c:pt>
                <c:pt idx="87">
                  <c:v>-4.2837278150745339E-2</c:v>
                </c:pt>
                <c:pt idx="88">
                  <c:v>5.7969882529367744E-2</c:v>
                </c:pt>
                <c:pt idx="89">
                  <c:v>1.9283299127379028E-2</c:v>
                </c:pt>
                <c:pt idx="90">
                  <c:v>2.3003491083974259E-2</c:v>
                </c:pt>
                <c:pt idx="91">
                  <c:v>5.9316633862448898E-2</c:v>
                </c:pt>
                <c:pt idx="92">
                  <c:v>-2.0866194359042911E-2</c:v>
                </c:pt>
                <c:pt idx="93">
                  <c:v>5.8430831820228679E-3</c:v>
                </c:pt>
                <c:pt idx="94">
                  <c:v>2.2055729739267393E-2</c:v>
                </c:pt>
                <c:pt idx="95">
                  <c:v>1.0597328092215363E-2</c:v>
                </c:pt>
                <c:pt idx="96">
                  <c:v>-5.8738501971090651E-3</c:v>
                </c:pt>
                <c:pt idx="97">
                  <c:v>5.210632757458411E-2</c:v>
                </c:pt>
                <c:pt idx="98">
                  <c:v>-1.8217224700044499E-3</c:v>
                </c:pt>
                <c:pt idx="99">
                  <c:v>9.3517935808684616E-3</c:v>
                </c:pt>
                <c:pt idx="100">
                  <c:v>-8.3984886461411778E-2</c:v>
                </c:pt>
                <c:pt idx="101">
                  <c:v>-3.1759644967192191E-2</c:v>
                </c:pt>
                <c:pt idx="102">
                  <c:v>-3.0130052724077205E-2</c:v>
                </c:pt>
                <c:pt idx="103">
                  <c:v>4.7113739816183831E-2</c:v>
                </c:pt>
                <c:pt idx="104">
                  <c:v>2.7467050614685906E-2</c:v>
                </c:pt>
                <c:pt idx="105">
                  <c:v>1.7152635550285789E-2</c:v>
                </c:pt>
                <c:pt idx="106">
                  <c:v>-1.6254023765051806E-2</c:v>
                </c:pt>
                <c:pt idx="107">
                  <c:v>5.2624491664646778E-2</c:v>
                </c:pt>
                <c:pt idx="108">
                  <c:v>4.1153895356274672E-2</c:v>
                </c:pt>
                <c:pt idx="109">
                  <c:v>0.14533033531153627</c:v>
                </c:pt>
                <c:pt idx="110">
                  <c:v>2.0779917395268965E-2</c:v>
                </c:pt>
                <c:pt idx="111">
                  <c:v>8.4811669749453644E-2</c:v>
                </c:pt>
                <c:pt idx="112">
                  <c:v>-9.3032493073182065E-2</c:v>
                </c:pt>
                <c:pt idx="113">
                  <c:v>9.9424262169004018E-2</c:v>
                </c:pt>
                <c:pt idx="114">
                  <c:v>3.7210838749792696E-3</c:v>
                </c:pt>
                <c:pt idx="115">
                  <c:v>2.5292808053431592E-2</c:v>
                </c:pt>
                <c:pt idx="116">
                  <c:v>-3.9906347063432879E-2</c:v>
                </c:pt>
                <c:pt idx="117">
                  <c:v>-9.8135619886721148E-3</c:v>
                </c:pt>
                <c:pt idx="118">
                  <c:v>-4.0129893344455714E-2</c:v>
                </c:pt>
                <c:pt idx="119">
                  <c:v>9.6661390276958636E-2</c:v>
                </c:pt>
                <c:pt idx="120">
                  <c:v>3.723584905660382E-2</c:v>
                </c:pt>
                <c:pt idx="121">
                  <c:v>-1.693543252658114E-2</c:v>
                </c:pt>
                <c:pt idx="122">
                  <c:v>-2.2972660406161749E-2</c:v>
                </c:pt>
                <c:pt idx="123">
                  <c:v>1.5842502982898132E-2</c:v>
                </c:pt>
                <c:pt idx="124">
                  <c:v>8.4856676765322714E-2</c:v>
                </c:pt>
                <c:pt idx="125">
                  <c:v>9.4605509632404772E-2</c:v>
                </c:pt>
                <c:pt idx="126">
                  <c:v>6.6481929224102565E-2</c:v>
                </c:pt>
                <c:pt idx="127">
                  <c:v>2.2427994140898244E-2</c:v>
                </c:pt>
                <c:pt idx="128">
                  <c:v>2.4448539998848107E-2</c:v>
                </c:pt>
                <c:pt idx="129">
                  <c:v>-7.0203794799719166E-3</c:v>
                </c:pt>
                <c:pt idx="130">
                  <c:v>-4.5293380797022387E-3</c:v>
                </c:pt>
                <c:pt idx="131">
                  <c:v>4.4774315552996269E-2</c:v>
                </c:pt>
                <c:pt idx="132">
                  <c:v>-1.2949189910110959E-2</c:v>
                </c:pt>
                <c:pt idx="133">
                  <c:v>-0.10875799691153765</c:v>
                </c:pt>
                <c:pt idx="134">
                  <c:v>4.0911200495049593E-2</c:v>
                </c:pt>
                <c:pt idx="135">
                  <c:v>-2.1134139363449322E-2</c:v>
                </c:pt>
                <c:pt idx="136">
                  <c:v>-1.1220345416587563E-2</c:v>
                </c:pt>
                <c:pt idx="137">
                  <c:v>1.1332314755810202E-2</c:v>
                </c:pt>
                <c:pt idx="138">
                  <c:v>0.12226414521381979</c:v>
                </c:pt>
                <c:pt idx="139">
                  <c:v>-1.2501014692751E-2</c:v>
                </c:pt>
                <c:pt idx="140">
                  <c:v>-1.4385532264693524E-3</c:v>
                </c:pt>
                <c:pt idx="141">
                  <c:v>-2.1046854634012568E-2</c:v>
                </c:pt>
                <c:pt idx="142">
                  <c:v>0.1156255693683339</c:v>
                </c:pt>
                <c:pt idx="143">
                  <c:v>-5.6663861006771343E-2</c:v>
                </c:pt>
                <c:pt idx="144">
                  <c:v>8.7288005806327229E-2</c:v>
                </c:pt>
                <c:pt idx="145">
                  <c:v>-1.2333884499969416E-2</c:v>
                </c:pt>
                <c:pt idx="146">
                  <c:v>1.7969195664575111E-2</c:v>
                </c:pt>
                <c:pt idx="147">
                  <c:v>0.13510665513418685</c:v>
                </c:pt>
                <c:pt idx="148">
                  <c:v>3.5486034718682058E-2</c:v>
                </c:pt>
                <c:pt idx="149">
                  <c:v>-6.9990879316778054E-2</c:v>
                </c:pt>
                <c:pt idx="150">
                  <c:v>-1.4097691990504924E-2</c:v>
                </c:pt>
                <c:pt idx="151">
                  <c:v>1.5825288811520899E-2</c:v>
                </c:pt>
                <c:pt idx="152">
                  <c:v>-2.7674537644937991E-2</c:v>
                </c:pt>
                <c:pt idx="153">
                  <c:v>5.4418109614438048E-3</c:v>
                </c:pt>
                <c:pt idx="154">
                  <c:v>-7.2898940862448636E-2</c:v>
                </c:pt>
                <c:pt idx="155">
                  <c:v>6.8747697974217425E-2</c:v>
                </c:pt>
                <c:pt idx="156">
                  <c:v>5.9213436033521027E-2</c:v>
                </c:pt>
                <c:pt idx="157">
                  <c:v>-4.3555594117391849E-2</c:v>
                </c:pt>
                <c:pt idx="158">
                  <c:v>-3.8327210051254057E-2</c:v>
                </c:pt>
                <c:pt idx="159">
                  <c:v>1.1036694651447965E-2</c:v>
                </c:pt>
              </c:numCache>
            </c:numRef>
          </c:val>
          <c:extLst>
            <c:ext xmlns:c16="http://schemas.microsoft.com/office/drawing/2014/chart" uri="{C3380CC4-5D6E-409C-BE32-E72D297353CC}">
              <c16:uniqueId val="{00000000-D02A-444D-8B17-32107ADF2F4A}"/>
            </c:ext>
          </c:extLst>
        </c:ser>
        <c:dLbls>
          <c:showLegendKey val="0"/>
          <c:showVal val="0"/>
          <c:showCatName val="0"/>
          <c:showSerName val="0"/>
          <c:showPercent val="0"/>
          <c:showBubbleSize val="0"/>
        </c:dLbls>
        <c:gapWidth val="150"/>
        <c:axId val="7111872"/>
        <c:axId val="88079310"/>
      </c:barChart>
      <c:lineChart>
        <c:grouping val="standard"/>
        <c:varyColors val="0"/>
        <c:ser>
          <c:idx val="1"/>
          <c:order val="1"/>
          <c:tx>
            <c:strRef>
              <c:f>'Returns (Calc)'!$Y$2</c:f>
              <c:strCache>
                <c:ptCount val="1"/>
                <c:pt idx="0">
                  <c:v>ASML trend</c:v>
                </c:pt>
              </c:strCache>
            </c:strRef>
          </c:tx>
          <c:spPr>
            <a:ln w="201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45156</c:v>
                </c:pt>
                <c:pt idx="1">
                  <c:v>45163</c:v>
                </c:pt>
                <c:pt idx="2">
                  <c:v>45170</c:v>
                </c:pt>
                <c:pt idx="3">
                  <c:v>45177</c:v>
                </c:pt>
                <c:pt idx="4">
                  <c:v>45184</c:v>
                </c:pt>
                <c:pt idx="5">
                  <c:v>45191</c:v>
                </c:pt>
                <c:pt idx="6">
                  <c:v>45198</c:v>
                </c:pt>
                <c:pt idx="7">
                  <c:v>45205</c:v>
                </c:pt>
                <c:pt idx="8">
                  <c:v>45212</c:v>
                </c:pt>
                <c:pt idx="9">
                  <c:v>45219</c:v>
                </c:pt>
                <c:pt idx="10">
                  <c:v>45226</c:v>
                </c:pt>
                <c:pt idx="11">
                  <c:v>45233</c:v>
                </c:pt>
                <c:pt idx="12">
                  <c:v>45240</c:v>
                </c:pt>
                <c:pt idx="13">
                  <c:v>45247</c:v>
                </c:pt>
                <c:pt idx="14">
                  <c:v>45254</c:v>
                </c:pt>
                <c:pt idx="15">
                  <c:v>45261</c:v>
                </c:pt>
                <c:pt idx="16">
                  <c:v>45268</c:v>
                </c:pt>
                <c:pt idx="17">
                  <c:v>45275</c:v>
                </c:pt>
                <c:pt idx="18">
                  <c:v>45282</c:v>
                </c:pt>
                <c:pt idx="19">
                  <c:v>45289</c:v>
                </c:pt>
                <c:pt idx="20">
                  <c:v>45296</c:v>
                </c:pt>
                <c:pt idx="21">
                  <c:v>45303</c:v>
                </c:pt>
                <c:pt idx="22">
                  <c:v>45310</c:v>
                </c:pt>
                <c:pt idx="23">
                  <c:v>45317</c:v>
                </c:pt>
                <c:pt idx="24">
                  <c:v>45324</c:v>
                </c:pt>
                <c:pt idx="25">
                  <c:v>45331</c:v>
                </c:pt>
                <c:pt idx="26">
                  <c:v>45338</c:v>
                </c:pt>
                <c:pt idx="27">
                  <c:v>45345</c:v>
                </c:pt>
                <c:pt idx="28">
                  <c:v>45352</c:v>
                </c:pt>
                <c:pt idx="29">
                  <c:v>45359</c:v>
                </c:pt>
                <c:pt idx="30">
                  <c:v>45366</c:v>
                </c:pt>
                <c:pt idx="31">
                  <c:v>45373</c:v>
                </c:pt>
                <c:pt idx="32">
                  <c:v>45379</c:v>
                </c:pt>
                <c:pt idx="33">
                  <c:v>45387</c:v>
                </c:pt>
                <c:pt idx="34">
                  <c:v>45394</c:v>
                </c:pt>
                <c:pt idx="35">
                  <c:v>45401</c:v>
                </c:pt>
                <c:pt idx="36">
                  <c:v>45408</c:v>
                </c:pt>
                <c:pt idx="37">
                  <c:v>45415</c:v>
                </c:pt>
                <c:pt idx="38">
                  <c:v>45422</c:v>
                </c:pt>
                <c:pt idx="39">
                  <c:v>45429</c:v>
                </c:pt>
                <c:pt idx="40">
                  <c:v>45436</c:v>
                </c:pt>
                <c:pt idx="41">
                  <c:v>45443</c:v>
                </c:pt>
                <c:pt idx="42">
                  <c:v>45450</c:v>
                </c:pt>
                <c:pt idx="43">
                  <c:v>45457</c:v>
                </c:pt>
                <c:pt idx="44">
                  <c:v>45464</c:v>
                </c:pt>
                <c:pt idx="45">
                  <c:v>45471</c:v>
                </c:pt>
                <c:pt idx="46">
                  <c:v>45478</c:v>
                </c:pt>
                <c:pt idx="47">
                  <c:v>45485</c:v>
                </c:pt>
                <c:pt idx="48">
                  <c:v>45492</c:v>
                </c:pt>
                <c:pt idx="49">
                  <c:v>45499</c:v>
                </c:pt>
                <c:pt idx="50">
                  <c:v>45506</c:v>
                </c:pt>
                <c:pt idx="51">
                  <c:v>45513</c:v>
                </c:pt>
                <c:pt idx="52">
                  <c:v>45520</c:v>
                </c:pt>
                <c:pt idx="53">
                  <c:v>45527</c:v>
                </c:pt>
                <c:pt idx="54">
                  <c:v>45534</c:v>
                </c:pt>
                <c:pt idx="55">
                  <c:v>45541</c:v>
                </c:pt>
                <c:pt idx="56">
                  <c:v>45548</c:v>
                </c:pt>
                <c:pt idx="57">
                  <c:v>45555</c:v>
                </c:pt>
                <c:pt idx="58">
                  <c:v>45562</c:v>
                </c:pt>
                <c:pt idx="59">
                  <c:v>45569</c:v>
                </c:pt>
                <c:pt idx="60">
                  <c:v>45576</c:v>
                </c:pt>
                <c:pt idx="61">
                  <c:v>45583</c:v>
                </c:pt>
                <c:pt idx="62">
                  <c:v>45590</c:v>
                </c:pt>
                <c:pt idx="63">
                  <c:v>45597</c:v>
                </c:pt>
                <c:pt idx="64">
                  <c:v>45604</c:v>
                </c:pt>
                <c:pt idx="65">
                  <c:v>45611</c:v>
                </c:pt>
                <c:pt idx="66">
                  <c:v>45618</c:v>
                </c:pt>
                <c:pt idx="67">
                  <c:v>45625</c:v>
                </c:pt>
                <c:pt idx="68">
                  <c:v>45632</c:v>
                </c:pt>
                <c:pt idx="69">
                  <c:v>45639</c:v>
                </c:pt>
                <c:pt idx="70">
                  <c:v>45646</c:v>
                </c:pt>
                <c:pt idx="71">
                  <c:v>45653</c:v>
                </c:pt>
                <c:pt idx="72">
                  <c:v>45660</c:v>
                </c:pt>
                <c:pt idx="73">
                  <c:v>45667</c:v>
                </c:pt>
                <c:pt idx="74">
                  <c:v>45674</c:v>
                </c:pt>
                <c:pt idx="75">
                  <c:v>45681</c:v>
                </c:pt>
                <c:pt idx="76">
                  <c:v>45688</c:v>
                </c:pt>
                <c:pt idx="77">
                  <c:v>45695</c:v>
                </c:pt>
                <c:pt idx="78">
                  <c:v>45702</c:v>
                </c:pt>
                <c:pt idx="79">
                  <c:v>45709</c:v>
                </c:pt>
                <c:pt idx="80">
                  <c:v>45716</c:v>
                </c:pt>
                <c:pt idx="81">
                  <c:v>45723</c:v>
                </c:pt>
                <c:pt idx="82">
                  <c:v>45730</c:v>
                </c:pt>
                <c:pt idx="83">
                  <c:v>45737</c:v>
                </c:pt>
                <c:pt idx="84">
                  <c:v>45744</c:v>
                </c:pt>
                <c:pt idx="85">
                  <c:v>45751</c:v>
                </c:pt>
                <c:pt idx="86">
                  <c:v>45758</c:v>
                </c:pt>
                <c:pt idx="87">
                  <c:v>45764</c:v>
                </c:pt>
                <c:pt idx="88">
                  <c:v>45772</c:v>
                </c:pt>
                <c:pt idx="89">
                  <c:v>45779</c:v>
                </c:pt>
                <c:pt idx="90">
                  <c:v>45786</c:v>
                </c:pt>
                <c:pt idx="91">
                  <c:v>45793</c:v>
                </c:pt>
                <c:pt idx="92">
                  <c:v>45800</c:v>
                </c:pt>
                <c:pt idx="93">
                  <c:v>45807</c:v>
                </c:pt>
                <c:pt idx="94">
                  <c:v>45814</c:v>
                </c:pt>
                <c:pt idx="95">
                  <c:v>45821</c:v>
                </c:pt>
                <c:pt idx="96">
                  <c:v>45828</c:v>
                </c:pt>
                <c:pt idx="97">
                  <c:v>45835</c:v>
                </c:pt>
                <c:pt idx="98">
                  <c:v>45841</c:v>
                </c:pt>
                <c:pt idx="99">
                  <c:v>45849</c:v>
                </c:pt>
                <c:pt idx="100">
                  <c:v>45856</c:v>
                </c:pt>
                <c:pt idx="101">
                  <c:v>45863</c:v>
                </c:pt>
                <c:pt idx="102">
                  <c:v>45870</c:v>
                </c:pt>
                <c:pt idx="103">
                  <c:v>45877</c:v>
                </c:pt>
                <c:pt idx="104">
                  <c:v>45884</c:v>
                </c:pt>
                <c:pt idx="105">
                  <c:v>45891</c:v>
                </c:pt>
                <c:pt idx="106">
                  <c:v>45898</c:v>
                </c:pt>
                <c:pt idx="107">
                  <c:v>45905</c:v>
                </c:pt>
                <c:pt idx="108">
                  <c:v>45912</c:v>
                </c:pt>
                <c:pt idx="109">
                  <c:v>45919</c:v>
                </c:pt>
                <c:pt idx="110">
                  <c:v>45926</c:v>
                </c:pt>
                <c:pt idx="111">
                  <c:v>45933</c:v>
                </c:pt>
                <c:pt idx="112">
                  <c:v>45940</c:v>
                </c:pt>
                <c:pt idx="113">
                  <c:v>45947</c:v>
                </c:pt>
                <c:pt idx="114">
                  <c:v>45954</c:v>
                </c:pt>
                <c:pt idx="115">
                  <c:v>45961</c:v>
                </c:pt>
                <c:pt idx="116">
                  <c:v>45968</c:v>
                </c:pt>
                <c:pt idx="117">
                  <c:v>45975</c:v>
                </c:pt>
                <c:pt idx="118">
                  <c:v>45982</c:v>
                </c:pt>
                <c:pt idx="119">
                  <c:v>45989</c:v>
                </c:pt>
                <c:pt idx="120">
                  <c:v>45996</c:v>
                </c:pt>
                <c:pt idx="121">
                  <c:v>46003</c:v>
                </c:pt>
                <c:pt idx="122">
                  <c:v>46010</c:v>
                </c:pt>
                <c:pt idx="123">
                  <c:v>46017</c:v>
                </c:pt>
                <c:pt idx="124">
                  <c:v>46024</c:v>
                </c:pt>
                <c:pt idx="125">
                  <c:v>46031</c:v>
                </c:pt>
                <c:pt idx="126">
                  <c:v>46038</c:v>
                </c:pt>
                <c:pt idx="127">
                  <c:v>46045</c:v>
                </c:pt>
                <c:pt idx="128">
                  <c:v>46052</c:v>
                </c:pt>
                <c:pt idx="129">
                  <c:v>46059</c:v>
                </c:pt>
                <c:pt idx="130">
                  <c:v>46066</c:v>
                </c:pt>
                <c:pt idx="131">
                  <c:v>46073</c:v>
                </c:pt>
                <c:pt idx="132">
                  <c:v>46080</c:v>
                </c:pt>
                <c:pt idx="133">
                  <c:v>46087</c:v>
                </c:pt>
                <c:pt idx="134">
                  <c:v>46094</c:v>
                </c:pt>
                <c:pt idx="135">
                  <c:v>46101</c:v>
                </c:pt>
                <c:pt idx="136">
                  <c:v>46108</c:v>
                </c:pt>
                <c:pt idx="137">
                  <c:v>46114</c:v>
                </c:pt>
                <c:pt idx="138">
                  <c:v>46122</c:v>
                </c:pt>
                <c:pt idx="139">
                  <c:v>46129</c:v>
                </c:pt>
                <c:pt idx="140">
                  <c:v>46136</c:v>
                </c:pt>
                <c:pt idx="141">
                  <c:v>46143</c:v>
                </c:pt>
                <c:pt idx="142">
                  <c:v>46150</c:v>
                </c:pt>
                <c:pt idx="143">
                  <c:v>46157</c:v>
                </c:pt>
                <c:pt idx="144">
                  <c:v>46164</c:v>
                </c:pt>
                <c:pt idx="145">
                  <c:v>46171</c:v>
                </c:pt>
                <c:pt idx="146">
                  <c:v>46178</c:v>
                </c:pt>
                <c:pt idx="147">
                  <c:v>46185</c:v>
                </c:pt>
                <c:pt idx="148">
                  <c:v>46191</c:v>
                </c:pt>
                <c:pt idx="149">
                  <c:v>46199</c:v>
                </c:pt>
                <c:pt idx="150">
                  <c:v>46205</c:v>
                </c:pt>
                <c:pt idx="151">
                  <c:v>46213</c:v>
                </c:pt>
                <c:pt idx="152">
                  <c:v>46220</c:v>
                </c:pt>
                <c:pt idx="153">
                  <c:v>46227</c:v>
                </c:pt>
                <c:pt idx="154">
                  <c:v>46234</c:v>
                </c:pt>
                <c:pt idx="155">
                  <c:v>46241</c:v>
                </c:pt>
                <c:pt idx="156">
                  <c:v>46248</c:v>
                </c:pt>
                <c:pt idx="157">
                  <c:v>46255</c:v>
                </c:pt>
                <c:pt idx="158">
                  <c:v>46262</c:v>
                </c:pt>
                <c:pt idx="159">
                  <c:v>46269</c:v>
                </c:pt>
              </c:numCache>
            </c:numRef>
          </c:cat>
          <c:val>
            <c:numRef>
              <c:f>'Returns (Calc)'!$Y$3:$Y$500</c:f>
              <c:numCache>
                <c:formatCode>#,##0.00</c:formatCode>
                <c:ptCount val="498"/>
                <c:pt idx="0">
                  <c:v>661.78</c:v>
                </c:pt>
                <c:pt idx="1">
                  <c:v>657.61786163522015</c:v>
                </c:pt>
                <c:pt idx="2">
                  <c:v>653.45572327044022</c:v>
                </c:pt>
                <c:pt idx="3">
                  <c:v>649.2935849056604</c:v>
                </c:pt>
                <c:pt idx="4">
                  <c:v>645.13144654088046</c:v>
                </c:pt>
                <c:pt idx="5">
                  <c:v>640.96930817610064</c:v>
                </c:pt>
                <c:pt idx="6">
                  <c:v>636.8071698113207</c:v>
                </c:pt>
                <c:pt idx="7">
                  <c:v>632.64503144654088</c:v>
                </c:pt>
                <c:pt idx="8">
                  <c:v>628.48289308176095</c:v>
                </c:pt>
                <c:pt idx="9">
                  <c:v>624.32075471698113</c:v>
                </c:pt>
                <c:pt idx="10">
                  <c:v>620.15861635220119</c:v>
                </c:pt>
                <c:pt idx="11">
                  <c:v>615.99647798742137</c:v>
                </c:pt>
                <c:pt idx="12">
                  <c:v>611.83433962264144</c:v>
                </c:pt>
                <c:pt idx="13">
                  <c:v>607.67220125786162</c:v>
                </c:pt>
                <c:pt idx="14">
                  <c:v>603.51006289308168</c:v>
                </c:pt>
                <c:pt idx="15">
                  <c:v>599.34792452830186</c:v>
                </c:pt>
                <c:pt idx="16">
                  <c:v>595.18578616352193</c:v>
                </c:pt>
                <c:pt idx="17">
                  <c:v>591.0236477987421</c:v>
                </c:pt>
                <c:pt idx="18">
                  <c:v>586.86150943396228</c:v>
                </c:pt>
                <c:pt idx="19">
                  <c:v>582.69937106918235</c:v>
                </c:pt>
                <c:pt idx="20">
                  <c:v>578.53723270440253</c:v>
                </c:pt>
                <c:pt idx="21">
                  <c:v>574.37509433962259</c:v>
                </c:pt>
                <c:pt idx="22">
                  <c:v>570.21295597484277</c:v>
                </c:pt>
                <c:pt idx="23">
                  <c:v>566.05081761006284</c:v>
                </c:pt>
                <c:pt idx="24">
                  <c:v>561.88867924528302</c:v>
                </c:pt>
                <c:pt idx="25">
                  <c:v>557.72654088050308</c:v>
                </c:pt>
                <c:pt idx="26">
                  <c:v>553.56440251572326</c:v>
                </c:pt>
                <c:pt idx="27">
                  <c:v>549.40226415094344</c:v>
                </c:pt>
                <c:pt idx="28">
                  <c:v>545.2401257861635</c:v>
                </c:pt>
                <c:pt idx="29">
                  <c:v>541.07798742138357</c:v>
                </c:pt>
                <c:pt idx="30">
                  <c:v>536.91584905660375</c:v>
                </c:pt>
                <c:pt idx="31">
                  <c:v>532.75371069182393</c:v>
                </c:pt>
                <c:pt idx="32">
                  <c:v>528.59157232704399</c:v>
                </c:pt>
                <c:pt idx="33">
                  <c:v>524.42943396226417</c:v>
                </c:pt>
                <c:pt idx="34">
                  <c:v>520.26729559748424</c:v>
                </c:pt>
                <c:pt idx="35">
                  <c:v>516.10515723270441</c:v>
                </c:pt>
                <c:pt idx="36">
                  <c:v>511.94301886792448</c:v>
                </c:pt>
                <c:pt idx="37">
                  <c:v>507.78088050314466</c:v>
                </c:pt>
                <c:pt idx="38">
                  <c:v>503.61874213836472</c:v>
                </c:pt>
                <c:pt idx="39">
                  <c:v>499.4566037735849</c:v>
                </c:pt>
                <c:pt idx="40">
                  <c:v>495.29446540880502</c:v>
                </c:pt>
                <c:pt idx="41">
                  <c:v>491.13232704402515</c:v>
                </c:pt>
                <c:pt idx="42">
                  <c:v>486.97018867924527</c:v>
                </c:pt>
                <c:pt idx="43">
                  <c:v>482.80805031446539</c:v>
                </c:pt>
                <c:pt idx="44">
                  <c:v>478.64591194968551</c:v>
                </c:pt>
                <c:pt idx="45">
                  <c:v>474.48377358490563</c:v>
                </c:pt>
                <c:pt idx="46">
                  <c:v>470.32163522012581</c:v>
                </c:pt>
                <c:pt idx="47">
                  <c:v>466.15949685534588</c:v>
                </c:pt>
                <c:pt idx="48">
                  <c:v>461.99735849056606</c:v>
                </c:pt>
                <c:pt idx="49">
                  <c:v>457.83522012578612</c:v>
                </c:pt>
                <c:pt idx="50">
                  <c:v>453.6730817610063</c:v>
                </c:pt>
                <c:pt idx="51">
                  <c:v>449.51094339622637</c:v>
                </c:pt>
                <c:pt idx="52">
                  <c:v>445.34880503144655</c:v>
                </c:pt>
                <c:pt idx="53">
                  <c:v>441.18666666666667</c:v>
                </c:pt>
                <c:pt idx="54">
                  <c:v>437.02452830188679</c:v>
                </c:pt>
                <c:pt idx="55">
                  <c:v>432.86238993710685</c:v>
                </c:pt>
                <c:pt idx="56">
                  <c:v>428.70025157232703</c:v>
                </c:pt>
                <c:pt idx="57">
                  <c:v>424.53811320754716</c:v>
                </c:pt>
                <c:pt idx="58">
                  <c:v>420.37597484276728</c:v>
                </c:pt>
                <c:pt idx="59">
                  <c:v>416.21383647798746</c:v>
                </c:pt>
                <c:pt idx="60">
                  <c:v>412.05169811320752</c:v>
                </c:pt>
                <c:pt idx="61">
                  <c:v>407.88955974842764</c:v>
                </c:pt>
                <c:pt idx="62">
                  <c:v>403.72742138364777</c:v>
                </c:pt>
                <c:pt idx="63">
                  <c:v>399.56528301886789</c:v>
                </c:pt>
                <c:pt idx="64">
                  <c:v>395.40314465408801</c:v>
                </c:pt>
                <c:pt idx="65">
                  <c:v>391.24100628930819</c:v>
                </c:pt>
                <c:pt idx="66">
                  <c:v>387.07886792452831</c:v>
                </c:pt>
                <c:pt idx="67">
                  <c:v>382.91672955974843</c:v>
                </c:pt>
                <c:pt idx="68">
                  <c:v>378.7545911949685</c:v>
                </c:pt>
                <c:pt idx="69">
                  <c:v>374.59245283018868</c:v>
                </c:pt>
                <c:pt idx="70">
                  <c:v>370.4303144654088</c:v>
                </c:pt>
                <c:pt idx="71">
                  <c:v>366.26817610062892</c:v>
                </c:pt>
                <c:pt idx="72">
                  <c:v>362.10603773584904</c:v>
                </c:pt>
                <c:pt idx="73">
                  <c:v>357.94389937106916</c:v>
                </c:pt>
                <c:pt idx="74">
                  <c:v>353.78176100628929</c:v>
                </c:pt>
                <c:pt idx="75">
                  <c:v>349.61962264150941</c:v>
                </c:pt>
                <c:pt idx="76">
                  <c:v>345.45748427672953</c:v>
                </c:pt>
                <c:pt idx="77">
                  <c:v>341.29534591194965</c:v>
                </c:pt>
                <c:pt idx="78">
                  <c:v>337.13320754716983</c:v>
                </c:pt>
                <c:pt idx="79">
                  <c:v>332.97106918238995</c:v>
                </c:pt>
                <c:pt idx="80">
                  <c:v>328.80893081761008</c:v>
                </c:pt>
                <c:pt idx="81">
                  <c:v>324.64679245283014</c:v>
                </c:pt>
                <c:pt idx="82">
                  <c:v>320.48465408805032</c:v>
                </c:pt>
                <c:pt idx="83">
                  <c:v>316.32251572327044</c:v>
                </c:pt>
                <c:pt idx="84">
                  <c:v>312.16037735849056</c:v>
                </c:pt>
                <c:pt idx="85">
                  <c:v>307.99823899371069</c:v>
                </c:pt>
                <c:pt idx="86">
                  <c:v>303.83610062893081</c:v>
                </c:pt>
                <c:pt idx="87">
                  <c:v>299.67396226415093</c:v>
                </c:pt>
                <c:pt idx="88">
                  <c:v>295.51182389937105</c:v>
                </c:pt>
                <c:pt idx="89">
                  <c:v>291.34968553459117</c:v>
                </c:pt>
                <c:pt idx="90">
                  <c:v>287.1875471698113</c:v>
                </c:pt>
                <c:pt idx="91">
                  <c:v>283.02540880503142</c:v>
                </c:pt>
                <c:pt idx="92">
                  <c:v>278.8632704402516</c:v>
                </c:pt>
                <c:pt idx="93">
                  <c:v>274.70113207547166</c:v>
                </c:pt>
                <c:pt idx="94">
                  <c:v>270.53899371069178</c:v>
                </c:pt>
                <c:pt idx="95">
                  <c:v>266.37685534591191</c:v>
                </c:pt>
                <c:pt idx="96">
                  <c:v>262.21471698113209</c:v>
                </c:pt>
                <c:pt idx="97">
                  <c:v>258.05257861635221</c:v>
                </c:pt>
                <c:pt idx="98">
                  <c:v>253.89044025157233</c:v>
                </c:pt>
                <c:pt idx="99">
                  <c:v>249.72830188679245</c:v>
                </c:pt>
                <c:pt idx="100">
                  <c:v>245.56616352201257</c:v>
                </c:pt>
                <c:pt idx="101">
                  <c:v>241.4040251572327</c:v>
                </c:pt>
                <c:pt idx="102">
                  <c:v>237.24188679245282</c:v>
                </c:pt>
                <c:pt idx="103">
                  <c:v>233.07974842767294</c:v>
                </c:pt>
                <c:pt idx="104">
                  <c:v>228.91761006289306</c:v>
                </c:pt>
                <c:pt idx="105">
                  <c:v>224.75547169811324</c:v>
                </c:pt>
                <c:pt idx="106">
                  <c:v>220.59333333333336</c:v>
                </c:pt>
                <c:pt idx="107">
                  <c:v>216.43119496855348</c:v>
                </c:pt>
                <c:pt idx="108">
                  <c:v>212.26905660377361</c:v>
                </c:pt>
                <c:pt idx="109">
                  <c:v>208.10691823899367</c:v>
                </c:pt>
                <c:pt idx="110">
                  <c:v>203.94477987421379</c:v>
                </c:pt>
                <c:pt idx="111">
                  <c:v>199.78264150943392</c:v>
                </c:pt>
                <c:pt idx="112">
                  <c:v>195.62050314465404</c:v>
                </c:pt>
                <c:pt idx="113">
                  <c:v>191.45836477987422</c:v>
                </c:pt>
                <c:pt idx="114">
                  <c:v>187.29622641509434</c:v>
                </c:pt>
                <c:pt idx="115">
                  <c:v>183.13408805031446</c:v>
                </c:pt>
                <c:pt idx="116">
                  <c:v>178.97194968553458</c:v>
                </c:pt>
                <c:pt idx="117">
                  <c:v>174.8098113207547</c:v>
                </c:pt>
                <c:pt idx="118">
                  <c:v>170.64767295597488</c:v>
                </c:pt>
                <c:pt idx="119">
                  <c:v>166.48553459119501</c:v>
                </c:pt>
                <c:pt idx="120">
                  <c:v>162.32339622641513</c:v>
                </c:pt>
                <c:pt idx="121">
                  <c:v>158.16125786163525</c:v>
                </c:pt>
                <c:pt idx="122">
                  <c:v>153.99911949685531</c:v>
                </c:pt>
                <c:pt idx="123">
                  <c:v>149.83698113207544</c:v>
                </c:pt>
                <c:pt idx="124">
                  <c:v>145.67484276729556</c:v>
                </c:pt>
                <c:pt idx="125">
                  <c:v>141.51270440251574</c:v>
                </c:pt>
                <c:pt idx="126">
                  <c:v>137.3505660377358</c:v>
                </c:pt>
                <c:pt idx="127">
                  <c:v>133.18842767295598</c:v>
                </c:pt>
                <c:pt idx="128">
                  <c:v>129.02628930817605</c:v>
                </c:pt>
                <c:pt idx="129">
                  <c:v>124.86415094339623</c:v>
                </c:pt>
                <c:pt idx="130">
                  <c:v>120.7020125786164</c:v>
                </c:pt>
                <c:pt idx="131">
                  <c:v>116.53987421383647</c:v>
                </c:pt>
                <c:pt idx="132">
                  <c:v>112.37773584905665</c:v>
                </c:pt>
                <c:pt idx="133">
                  <c:v>108.21559748427671</c:v>
                </c:pt>
                <c:pt idx="134">
                  <c:v>104.05345911949689</c:v>
                </c:pt>
                <c:pt idx="135">
                  <c:v>99.891320754716958</c:v>
                </c:pt>
                <c:pt idx="136">
                  <c:v>95.729182389937023</c:v>
                </c:pt>
                <c:pt idx="137">
                  <c:v>91.567044025157202</c:v>
                </c:pt>
                <c:pt idx="138">
                  <c:v>87.404905660377381</c:v>
                </c:pt>
                <c:pt idx="139">
                  <c:v>83.242767295597446</c:v>
                </c:pt>
                <c:pt idx="140">
                  <c:v>79.080628930817625</c:v>
                </c:pt>
                <c:pt idx="141">
                  <c:v>74.91849056603769</c:v>
                </c:pt>
                <c:pt idx="142">
                  <c:v>70.756352201257869</c:v>
                </c:pt>
                <c:pt idx="143">
                  <c:v>66.594213836478048</c:v>
                </c:pt>
                <c:pt idx="144">
                  <c:v>62.432075471698113</c:v>
                </c:pt>
                <c:pt idx="145">
                  <c:v>58.269937106918292</c:v>
                </c:pt>
                <c:pt idx="146">
                  <c:v>54.107798742138357</c:v>
                </c:pt>
                <c:pt idx="147">
                  <c:v>49.945660377358536</c:v>
                </c:pt>
                <c:pt idx="148">
                  <c:v>45.783522012578601</c:v>
                </c:pt>
                <c:pt idx="149">
                  <c:v>41.621383647798666</c:v>
                </c:pt>
                <c:pt idx="150">
                  <c:v>37.459245283018845</c:v>
                </c:pt>
                <c:pt idx="151">
                  <c:v>33.297106918239024</c:v>
                </c:pt>
                <c:pt idx="152">
                  <c:v>29.134968553459089</c:v>
                </c:pt>
                <c:pt idx="153">
                  <c:v>24.972830188679268</c:v>
                </c:pt>
                <c:pt idx="154">
                  <c:v>20.810691823899333</c:v>
                </c:pt>
                <c:pt idx="155">
                  <c:v>16.648553459119512</c:v>
                </c:pt>
                <c:pt idx="156">
                  <c:v>12.486415094339691</c:v>
                </c:pt>
                <c:pt idx="157">
                  <c:v>8.3242767295597559</c:v>
                </c:pt>
                <c:pt idx="158">
                  <c:v>4.1621383647799348</c:v>
                </c:pt>
                <c:pt idx="159">
                  <c:v>0</c:v>
                </c:pt>
              </c:numCache>
            </c:numRef>
          </c:val>
          <c:smooth val="0"/>
          <c:extLst>
            <c:ext xmlns:c16="http://schemas.microsoft.com/office/drawing/2014/chart" uri="{C3380CC4-5D6E-409C-BE32-E72D297353CC}">
              <c16:uniqueId val="{00000001-D02A-444D-8B17-32107ADF2F4A}"/>
            </c:ext>
          </c:extLst>
        </c:ser>
        <c:dLbls>
          <c:showLegendKey val="0"/>
          <c:showVal val="0"/>
          <c:showCatName val="0"/>
          <c:showSerName val="0"/>
          <c:showPercent val="0"/>
          <c:showBubbleSize val="0"/>
        </c:dLbls>
        <c:hiLowLines>
          <c:spPr>
            <a:ln w="0">
              <a:noFill/>
            </a:ln>
          </c:spPr>
        </c:hiLowLines>
        <c:marker val="1"/>
        <c:smooth val="0"/>
        <c:axId val="56638616"/>
        <c:axId val="95311670"/>
      </c:lineChart>
      <c:dateAx>
        <c:axId val="7111872"/>
        <c:scaling>
          <c:orientation val="minMax"/>
        </c:scaling>
        <c:delete val="1"/>
        <c:axPos val="b"/>
        <c:numFmt formatCode="mm/dd/yyyy" sourceLinked="1"/>
        <c:majorTickMark val="none"/>
        <c:minorTickMark val="none"/>
        <c:tickLblPos val="nextTo"/>
        <c:crossAx val="88079310"/>
        <c:crosses val="autoZero"/>
        <c:auto val="1"/>
        <c:lblOffset val="100"/>
        <c:baseTimeUnit val="days"/>
      </c:dateAx>
      <c:valAx>
        <c:axId val="88079310"/>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7111872"/>
        <c:crosses val="autoZero"/>
        <c:crossBetween val="between"/>
      </c:valAx>
      <c:dateAx>
        <c:axId val="56638616"/>
        <c:scaling>
          <c:orientation val="minMax"/>
        </c:scaling>
        <c:delete val="1"/>
        <c:axPos val="b"/>
        <c:numFmt formatCode="mm/dd/yyyy" sourceLinked="1"/>
        <c:majorTickMark val="none"/>
        <c:minorTickMark val="none"/>
        <c:tickLblPos val="nextTo"/>
        <c:crossAx val="95311670"/>
        <c:crosses val="autoZero"/>
        <c:auto val="1"/>
        <c:lblOffset val="100"/>
        <c:baseTimeUnit val="days"/>
      </c:dateAx>
      <c:valAx>
        <c:axId val="95311670"/>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56638616"/>
        <c:crosses val="max"/>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AVGO</a:t>
            </a:r>
          </a:p>
        </c:rich>
      </c:tx>
      <c:overlay val="0"/>
      <c:spPr>
        <a:noFill/>
        <a:ln w="0">
          <a:noFill/>
        </a:ln>
      </c:spPr>
    </c:title>
    <c:autoTitleDeleted val="0"/>
    <c:plotArea>
      <c:layout/>
      <c:barChart>
        <c:barDir val="col"/>
        <c:grouping val="clustered"/>
        <c:varyColors val="0"/>
        <c:ser>
          <c:idx val="0"/>
          <c:order val="0"/>
          <c:tx>
            <c:strRef>
              <c:f>'Returns (Calc)'!$E$2</c:f>
              <c:strCache>
                <c:ptCount val="1"/>
                <c:pt idx="0">
                  <c:v>AVGO</c:v>
                </c:pt>
              </c:strCache>
            </c:strRef>
          </c:tx>
          <c:spPr>
            <a:solidFill>
              <a:srgbClr val="4F81BD"/>
            </a:solidFill>
            <a:ln w="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45156</c:v>
                </c:pt>
                <c:pt idx="1">
                  <c:v>45163</c:v>
                </c:pt>
                <c:pt idx="2">
                  <c:v>45170</c:v>
                </c:pt>
                <c:pt idx="3">
                  <c:v>45177</c:v>
                </c:pt>
                <c:pt idx="4">
                  <c:v>45184</c:v>
                </c:pt>
                <c:pt idx="5">
                  <c:v>45191</c:v>
                </c:pt>
                <c:pt idx="6">
                  <c:v>45198</c:v>
                </c:pt>
                <c:pt idx="7">
                  <c:v>45205</c:v>
                </c:pt>
                <c:pt idx="8">
                  <c:v>45212</c:v>
                </c:pt>
                <c:pt idx="9">
                  <c:v>45219</c:v>
                </c:pt>
                <c:pt idx="10">
                  <c:v>45226</c:v>
                </c:pt>
                <c:pt idx="11">
                  <c:v>45233</c:v>
                </c:pt>
                <c:pt idx="12">
                  <c:v>45240</c:v>
                </c:pt>
                <c:pt idx="13">
                  <c:v>45247</c:v>
                </c:pt>
                <c:pt idx="14">
                  <c:v>45254</c:v>
                </c:pt>
                <c:pt idx="15">
                  <c:v>45261</c:v>
                </c:pt>
                <c:pt idx="16">
                  <c:v>45268</c:v>
                </c:pt>
                <c:pt idx="17">
                  <c:v>45275</c:v>
                </c:pt>
                <c:pt idx="18">
                  <c:v>45282</c:v>
                </c:pt>
                <c:pt idx="19">
                  <c:v>45289</c:v>
                </c:pt>
                <c:pt idx="20">
                  <c:v>45296</c:v>
                </c:pt>
                <c:pt idx="21">
                  <c:v>45303</c:v>
                </c:pt>
                <c:pt idx="22">
                  <c:v>45310</c:v>
                </c:pt>
                <c:pt idx="23">
                  <c:v>45317</c:v>
                </c:pt>
                <c:pt idx="24">
                  <c:v>45324</c:v>
                </c:pt>
                <c:pt idx="25">
                  <c:v>45331</c:v>
                </c:pt>
                <c:pt idx="26">
                  <c:v>45338</c:v>
                </c:pt>
                <c:pt idx="27">
                  <c:v>45345</c:v>
                </c:pt>
                <c:pt idx="28">
                  <c:v>45352</c:v>
                </c:pt>
                <c:pt idx="29">
                  <c:v>45359</c:v>
                </c:pt>
                <c:pt idx="30">
                  <c:v>45366</c:v>
                </c:pt>
                <c:pt idx="31">
                  <c:v>45373</c:v>
                </c:pt>
                <c:pt idx="32">
                  <c:v>45379</c:v>
                </c:pt>
                <c:pt idx="33">
                  <c:v>45387</c:v>
                </c:pt>
                <c:pt idx="34">
                  <c:v>45394</c:v>
                </c:pt>
                <c:pt idx="35">
                  <c:v>45401</c:v>
                </c:pt>
                <c:pt idx="36">
                  <c:v>45408</c:v>
                </c:pt>
                <c:pt idx="37">
                  <c:v>45415</c:v>
                </c:pt>
                <c:pt idx="38">
                  <c:v>45422</c:v>
                </c:pt>
                <c:pt idx="39">
                  <c:v>45429</c:v>
                </c:pt>
                <c:pt idx="40">
                  <c:v>45436</c:v>
                </c:pt>
                <c:pt idx="41">
                  <c:v>45443</c:v>
                </c:pt>
                <c:pt idx="42">
                  <c:v>45450</c:v>
                </c:pt>
                <c:pt idx="43">
                  <c:v>45457</c:v>
                </c:pt>
                <c:pt idx="44">
                  <c:v>45464</c:v>
                </c:pt>
                <c:pt idx="45">
                  <c:v>45471</c:v>
                </c:pt>
                <c:pt idx="46">
                  <c:v>45478</c:v>
                </c:pt>
                <c:pt idx="47">
                  <c:v>45485</c:v>
                </c:pt>
                <c:pt idx="48">
                  <c:v>45492</c:v>
                </c:pt>
                <c:pt idx="49">
                  <c:v>45499</c:v>
                </c:pt>
                <c:pt idx="50">
                  <c:v>45506</c:v>
                </c:pt>
                <c:pt idx="51">
                  <c:v>45513</c:v>
                </c:pt>
                <c:pt idx="52">
                  <c:v>45520</c:v>
                </c:pt>
                <c:pt idx="53">
                  <c:v>45527</c:v>
                </c:pt>
                <c:pt idx="54">
                  <c:v>45534</c:v>
                </c:pt>
                <c:pt idx="55">
                  <c:v>45541</c:v>
                </c:pt>
                <c:pt idx="56">
                  <c:v>45548</c:v>
                </c:pt>
                <c:pt idx="57">
                  <c:v>45555</c:v>
                </c:pt>
                <c:pt idx="58">
                  <c:v>45562</c:v>
                </c:pt>
                <c:pt idx="59">
                  <c:v>45569</c:v>
                </c:pt>
                <c:pt idx="60">
                  <c:v>45576</c:v>
                </c:pt>
                <c:pt idx="61">
                  <c:v>45583</c:v>
                </c:pt>
                <c:pt idx="62">
                  <c:v>45590</c:v>
                </c:pt>
                <c:pt idx="63">
                  <c:v>45597</c:v>
                </c:pt>
                <c:pt idx="64">
                  <c:v>45604</c:v>
                </c:pt>
                <c:pt idx="65">
                  <c:v>45611</c:v>
                </c:pt>
                <c:pt idx="66">
                  <c:v>45618</c:v>
                </c:pt>
                <c:pt idx="67">
                  <c:v>45625</c:v>
                </c:pt>
                <c:pt idx="68">
                  <c:v>45632</c:v>
                </c:pt>
                <c:pt idx="69">
                  <c:v>45639</c:v>
                </c:pt>
                <c:pt idx="70">
                  <c:v>45646</c:v>
                </c:pt>
                <c:pt idx="71">
                  <c:v>45653</c:v>
                </c:pt>
                <c:pt idx="72">
                  <c:v>45660</c:v>
                </c:pt>
                <c:pt idx="73">
                  <c:v>45667</c:v>
                </c:pt>
                <c:pt idx="74">
                  <c:v>45674</c:v>
                </c:pt>
                <c:pt idx="75">
                  <c:v>45681</c:v>
                </c:pt>
                <c:pt idx="76">
                  <c:v>45688</c:v>
                </c:pt>
                <c:pt idx="77">
                  <c:v>45695</c:v>
                </c:pt>
                <c:pt idx="78">
                  <c:v>45702</c:v>
                </c:pt>
                <c:pt idx="79">
                  <c:v>45709</c:v>
                </c:pt>
                <c:pt idx="80">
                  <c:v>45716</c:v>
                </c:pt>
                <c:pt idx="81">
                  <c:v>45723</c:v>
                </c:pt>
                <c:pt idx="82">
                  <c:v>45730</c:v>
                </c:pt>
                <c:pt idx="83">
                  <c:v>45737</c:v>
                </c:pt>
                <c:pt idx="84">
                  <c:v>45744</c:v>
                </c:pt>
                <c:pt idx="85">
                  <c:v>45751</c:v>
                </c:pt>
                <c:pt idx="86">
                  <c:v>45758</c:v>
                </c:pt>
                <c:pt idx="87">
                  <c:v>45764</c:v>
                </c:pt>
                <c:pt idx="88">
                  <c:v>45772</c:v>
                </c:pt>
                <c:pt idx="89">
                  <c:v>45779</c:v>
                </c:pt>
                <c:pt idx="90">
                  <c:v>45786</c:v>
                </c:pt>
                <c:pt idx="91">
                  <c:v>45793</c:v>
                </c:pt>
                <c:pt idx="92">
                  <c:v>45800</c:v>
                </c:pt>
                <c:pt idx="93">
                  <c:v>45807</c:v>
                </c:pt>
                <c:pt idx="94">
                  <c:v>45814</c:v>
                </c:pt>
                <c:pt idx="95">
                  <c:v>45821</c:v>
                </c:pt>
                <c:pt idx="96">
                  <c:v>45828</c:v>
                </c:pt>
                <c:pt idx="97">
                  <c:v>45835</c:v>
                </c:pt>
                <c:pt idx="98">
                  <c:v>45841</c:v>
                </c:pt>
                <c:pt idx="99">
                  <c:v>45849</c:v>
                </c:pt>
                <c:pt idx="100">
                  <c:v>45856</c:v>
                </c:pt>
                <c:pt idx="101">
                  <c:v>45863</c:v>
                </c:pt>
                <c:pt idx="102">
                  <c:v>45870</c:v>
                </c:pt>
                <c:pt idx="103">
                  <c:v>45877</c:v>
                </c:pt>
                <c:pt idx="104">
                  <c:v>45884</c:v>
                </c:pt>
                <c:pt idx="105">
                  <c:v>45891</c:v>
                </c:pt>
                <c:pt idx="106">
                  <c:v>45898</c:v>
                </c:pt>
                <c:pt idx="107">
                  <c:v>45905</c:v>
                </c:pt>
                <c:pt idx="108">
                  <c:v>45912</c:v>
                </c:pt>
                <c:pt idx="109">
                  <c:v>45919</c:v>
                </c:pt>
                <c:pt idx="110">
                  <c:v>45926</c:v>
                </c:pt>
                <c:pt idx="111">
                  <c:v>45933</c:v>
                </c:pt>
                <c:pt idx="112">
                  <c:v>45940</c:v>
                </c:pt>
                <c:pt idx="113">
                  <c:v>45947</c:v>
                </c:pt>
                <c:pt idx="114">
                  <c:v>45954</c:v>
                </c:pt>
                <c:pt idx="115">
                  <c:v>45961</c:v>
                </c:pt>
                <c:pt idx="116">
                  <c:v>45968</c:v>
                </c:pt>
                <c:pt idx="117">
                  <c:v>45975</c:v>
                </c:pt>
                <c:pt idx="118">
                  <c:v>45982</c:v>
                </c:pt>
                <c:pt idx="119">
                  <c:v>45989</c:v>
                </c:pt>
                <c:pt idx="120">
                  <c:v>45996</c:v>
                </c:pt>
                <c:pt idx="121">
                  <c:v>46003</c:v>
                </c:pt>
                <c:pt idx="122">
                  <c:v>46010</c:v>
                </c:pt>
                <c:pt idx="123">
                  <c:v>46017</c:v>
                </c:pt>
                <c:pt idx="124">
                  <c:v>46024</c:v>
                </c:pt>
                <c:pt idx="125">
                  <c:v>46031</c:v>
                </c:pt>
                <c:pt idx="126">
                  <c:v>46038</c:v>
                </c:pt>
                <c:pt idx="127">
                  <c:v>46045</c:v>
                </c:pt>
                <c:pt idx="128">
                  <c:v>46052</c:v>
                </c:pt>
                <c:pt idx="129">
                  <c:v>46059</c:v>
                </c:pt>
                <c:pt idx="130">
                  <c:v>46066</c:v>
                </c:pt>
                <c:pt idx="131">
                  <c:v>46073</c:v>
                </c:pt>
                <c:pt idx="132">
                  <c:v>46080</c:v>
                </c:pt>
                <c:pt idx="133">
                  <c:v>46087</c:v>
                </c:pt>
                <c:pt idx="134">
                  <c:v>46094</c:v>
                </c:pt>
                <c:pt idx="135">
                  <c:v>46101</c:v>
                </c:pt>
                <c:pt idx="136">
                  <c:v>46108</c:v>
                </c:pt>
                <c:pt idx="137">
                  <c:v>46114</c:v>
                </c:pt>
                <c:pt idx="138">
                  <c:v>46122</c:v>
                </c:pt>
                <c:pt idx="139">
                  <c:v>46129</c:v>
                </c:pt>
                <c:pt idx="140">
                  <c:v>46136</c:v>
                </c:pt>
                <c:pt idx="141">
                  <c:v>46143</c:v>
                </c:pt>
                <c:pt idx="142">
                  <c:v>46150</c:v>
                </c:pt>
                <c:pt idx="143">
                  <c:v>46157</c:v>
                </c:pt>
                <c:pt idx="144">
                  <c:v>46164</c:v>
                </c:pt>
                <c:pt idx="145">
                  <c:v>46171</c:v>
                </c:pt>
                <c:pt idx="146">
                  <c:v>46178</c:v>
                </c:pt>
                <c:pt idx="147">
                  <c:v>46185</c:v>
                </c:pt>
                <c:pt idx="148">
                  <c:v>46191</c:v>
                </c:pt>
                <c:pt idx="149">
                  <c:v>46199</c:v>
                </c:pt>
                <c:pt idx="150">
                  <c:v>46205</c:v>
                </c:pt>
                <c:pt idx="151">
                  <c:v>46213</c:v>
                </c:pt>
                <c:pt idx="152">
                  <c:v>46220</c:v>
                </c:pt>
                <c:pt idx="153">
                  <c:v>46227</c:v>
                </c:pt>
                <c:pt idx="154">
                  <c:v>46234</c:v>
                </c:pt>
                <c:pt idx="155">
                  <c:v>46241</c:v>
                </c:pt>
                <c:pt idx="156">
                  <c:v>46248</c:v>
                </c:pt>
                <c:pt idx="157">
                  <c:v>46255</c:v>
                </c:pt>
                <c:pt idx="158">
                  <c:v>46262</c:v>
                </c:pt>
                <c:pt idx="159">
                  <c:v>46269</c:v>
                </c:pt>
              </c:numCache>
            </c:numRef>
          </c:cat>
          <c:val>
            <c:numRef>
              <c:f>'Returns (Calc)'!$E$3:$E$500</c:f>
              <c:numCache>
                <c:formatCode>0.0%</c:formatCode>
                <c:ptCount val="498"/>
                <c:pt idx="0">
                  <c:v>-4.8204386599181026E-3</c:v>
                </c:pt>
                <c:pt idx="1">
                  <c:v>3.1484620973601496E-2</c:v>
                </c:pt>
                <c:pt idx="2">
                  <c:v>2.4301479220474098E-2</c:v>
                </c:pt>
                <c:pt idx="3">
                  <c:v>-1.7077363896848108E-2</c:v>
                </c:pt>
                <c:pt idx="4">
                  <c:v>-6.8796641791045721E-3</c:v>
                </c:pt>
                <c:pt idx="5">
                  <c:v>-2.6535164964189284E-2</c:v>
                </c:pt>
                <c:pt idx="6">
                  <c:v>1.8091906886985587E-3</c:v>
                </c:pt>
                <c:pt idx="7">
                  <c:v>1.769804960269683E-2</c:v>
                </c:pt>
                <c:pt idx="8">
                  <c:v>4.4836152845143751E-2</c:v>
                </c:pt>
                <c:pt idx="9">
                  <c:v>-3.3514492753623171E-2</c:v>
                </c:pt>
                <c:pt idx="10">
                  <c:v>-1.7806935332708496E-2</c:v>
                </c:pt>
                <c:pt idx="11">
                  <c:v>5.2838740458015288E-2</c:v>
                </c:pt>
                <c:pt idx="12">
                  <c:v>8.4740002265775605E-2</c:v>
                </c:pt>
                <c:pt idx="13">
                  <c:v>2.1096605744125307E-2</c:v>
                </c:pt>
                <c:pt idx="14">
                  <c:v>1.227370359005775E-3</c:v>
                </c:pt>
                <c:pt idx="15">
                  <c:v>-4.995403003371135E-2</c:v>
                </c:pt>
                <c:pt idx="16">
                  <c:v>1.5376344086021509E-2</c:v>
                </c:pt>
                <c:pt idx="17">
                  <c:v>0.19633591019803021</c:v>
                </c:pt>
                <c:pt idx="18">
                  <c:v>-6.8159688412852137E-3</c:v>
                </c:pt>
                <c:pt idx="19">
                  <c:v>-5.080213903743358E-3</c:v>
                </c:pt>
                <c:pt idx="20">
                  <c:v>-6.0019707963808955E-2</c:v>
                </c:pt>
                <c:pt idx="21">
                  <c:v>5.5656151720194336E-2</c:v>
                </c:pt>
                <c:pt idx="22">
                  <c:v>9.3436851132978394E-2</c:v>
                </c:pt>
                <c:pt idx="23">
                  <c:v>-5.201453104359377E-3</c:v>
                </c:pt>
                <c:pt idx="24">
                  <c:v>1.6100921238277222E-2</c:v>
                </c:pt>
                <c:pt idx="25">
                  <c:v>4.827248223474645E-2</c:v>
                </c:pt>
                <c:pt idx="26">
                  <c:v>-2.9530933458002284E-2</c:v>
                </c:pt>
                <c:pt idx="27">
                  <c:v>4.0867121637896409E-2</c:v>
                </c:pt>
                <c:pt idx="28">
                  <c:v>7.9296513421783343E-2</c:v>
                </c:pt>
                <c:pt idx="29">
                  <c:v>-6.4679817038307497E-2</c:v>
                </c:pt>
                <c:pt idx="30">
                  <c:v>-5.593336899212964E-2</c:v>
                </c:pt>
                <c:pt idx="31">
                  <c:v>9.5507891541885881E-2</c:v>
                </c:pt>
                <c:pt idx="32">
                  <c:v>-2.076099002585885E-2</c:v>
                </c:pt>
                <c:pt idx="33">
                  <c:v>1.056284895126014E-2</c:v>
                </c:pt>
                <c:pt idx="34">
                  <c:v>3.5090338957741718E-3</c:v>
                </c:pt>
                <c:pt idx="35">
                  <c:v>-0.10371252138977749</c:v>
                </c:pt>
                <c:pt idx="36">
                  <c:v>0.11571345563210755</c:v>
                </c:pt>
                <c:pt idx="37">
                  <c:v>-4.9103489323711003E-2</c:v>
                </c:pt>
                <c:pt idx="38">
                  <c:v>4.2797903137469673E-2</c:v>
                </c:pt>
                <c:pt idx="39">
                  <c:v>4.6893757503001288E-2</c:v>
                </c:pt>
                <c:pt idx="40">
                  <c:v>8.958646885974364E-3</c:v>
                </c:pt>
                <c:pt idx="41">
                  <c:v>-5.6329024009092232E-2</c:v>
                </c:pt>
                <c:pt idx="42">
                  <c:v>5.8788106887467162E-2</c:v>
                </c:pt>
                <c:pt idx="43">
                  <c:v>0.23347078060571591</c:v>
                </c:pt>
                <c:pt idx="44">
                  <c:v>-4.4034582132564726E-2</c:v>
                </c:pt>
                <c:pt idx="45">
                  <c:v>-3.2014952369468275E-2</c:v>
                </c:pt>
                <c:pt idx="46">
                  <c:v>6.0915602616007369E-2</c:v>
                </c:pt>
                <c:pt idx="47">
                  <c:v>-1.5264486584866122E-3</c:v>
                </c:pt>
                <c:pt idx="48">
                  <c:v>-7.4792732404304063E-2</c:v>
                </c:pt>
                <c:pt idx="49">
                  <c:v>-3.6352081347314935E-2</c:v>
                </c:pt>
                <c:pt idx="50">
                  <c:v>-5.1506957726043634E-2</c:v>
                </c:pt>
                <c:pt idx="51">
                  <c:v>3.0871923237379972E-2</c:v>
                </c:pt>
                <c:pt idx="52">
                  <c:v>0.11776608660461352</c:v>
                </c:pt>
                <c:pt idx="53">
                  <c:v>3.8619357953175726E-3</c:v>
                </c:pt>
                <c:pt idx="54">
                  <c:v>-2.1279153642702719E-2</c:v>
                </c:pt>
                <c:pt idx="55">
                  <c:v>-0.1585800270237071</c:v>
                </c:pt>
                <c:pt idx="56">
                  <c:v>0.22401459854014605</c:v>
                </c:pt>
                <c:pt idx="57">
                  <c:v>2.0335142226727942E-2</c:v>
                </c:pt>
                <c:pt idx="58">
                  <c:v>9.292811221507824E-3</c:v>
                </c:pt>
                <c:pt idx="59">
                  <c:v>2.2873356882274543E-2</c:v>
                </c:pt>
                <c:pt idx="60">
                  <c:v>2.7400362318840576E-2</c:v>
                </c:pt>
                <c:pt idx="61">
                  <c:v>-8.7612960105797333E-3</c:v>
                </c:pt>
                <c:pt idx="62">
                  <c:v>-3.8301184056923621E-2</c:v>
                </c:pt>
                <c:pt idx="63">
                  <c:v>-2.3583815028901833E-2</c:v>
                </c:pt>
                <c:pt idx="64">
                  <c:v>8.7141842292209226E-2</c:v>
                </c:pt>
                <c:pt idx="65">
                  <c:v>-0.10237421041167494</c:v>
                </c:pt>
                <c:pt idx="66">
                  <c:v>-3.7005581169620161E-3</c:v>
                </c:pt>
                <c:pt idx="67">
                  <c:v>-1.3091396212628448E-2</c:v>
                </c:pt>
                <c:pt idx="68">
                  <c:v>0.10766288252714706</c:v>
                </c:pt>
                <c:pt idx="69">
                  <c:v>0.2521584136356041</c:v>
                </c:pt>
                <c:pt idx="70">
                  <c:v>-1.7838078291815052E-2</c:v>
                </c:pt>
                <c:pt idx="71">
                  <c:v>9.4931835680963861E-2</c:v>
                </c:pt>
                <c:pt idx="72">
                  <c:v>-3.8055842812823149E-2</c:v>
                </c:pt>
                <c:pt idx="73">
                  <c:v>-3.5433240163405766E-2</c:v>
                </c:pt>
                <c:pt idx="74">
                  <c:v>5.8535063082341354E-2</c:v>
                </c:pt>
                <c:pt idx="75">
                  <c:v>3.0576145552560607E-2</c:v>
                </c:pt>
                <c:pt idx="76">
                  <c:v>-9.5749897834082498E-2</c:v>
                </c:pt>
                <c:pt idx="77">
                  <c:v>1.6269715731911161E-2</c:v>
                </c:pt>
                <c:pt idx="78">
                  <c:v>3.6332102992840287E-2</c:v>
                </c:pt>
                <c:pt idx="79">
                  <c:v>-6.1706144867833879E-2</c:v>
                </c:pt>
                <c:pt idx="80">
                  <c:v>-8.794475441324423E-2</c:v>
                </c:pt>
                <c:pt idx="81">
                  <c:v>-2.2413879556736682E-2</c:v>
                </c:pt>
                <c:pt idx="82">
                  <c:v>2.9749692244562809E-3</c:v>
                </c:pt>
                <c:pt idx="83">
                  <c:v>-1.984248747059425E-2</c:v>
                </c:pt>
                <c:pt idx="84">
                  <c:v>-0.11760409057706356</c:v>
                </c:pt>
                <c:pt idx="85">
                  <c:v>-0.13499290444654688</c:v>
                </c:pt>
                <c:pt idx="86">
                  <c:v>0.24369403240139453</c:v>
                </c:pt>
                <c:pt idx="87">
                  <c:v>-6.018467626690116E-2</c:v>
                </c:pt>
                <c:pt idx="88">
                  <c:v>0.12468565413182042</c:v>
                </c:pt>
                <c:pt idx="89">
                  <c:v>5.8915293016483794E-2</c:v>
                </c:pt>
                <c:pt idx="90">
                  <c:v>2.2392457277548683E-2</c:v>
                </c:pt>
                <c:pt idx="91">
                  <c:v>9.8030739673391043E-2</c:v>
                </c:pt>
                <c:pt idx="92">
                  <c:v>4.8116880276438678E-4</c:v>
                </c:pt>
                <c:pt idx="93">
                  <c:v>5.8368310598111206E-2</c:v>
                </c:pt>
                <c:pt idx="94">
                  <c:v>2.0076837278473203E-2</c:v>
                </c:pt>
                <c:pt idx="95">
                  <c:v>7.1680233264486137E-3</c:v>
                </c:pt>
                <c:pt idx="96">
                  <c:v>5.1869722557298381E-3</c:v>
                </c:pt>
                <c:pt idx="97">
                  <c:v>7.7443097723909116E-2</c:v>
                </c:pt>
                <c:pt idx="98">
                  <c:v>2.1644700204195289E-2</c:v>
                </c:pt>
                <c:pt idx="99">
                  <c:v>-2.9071880223854318E-3</c:v>
                </c:pt>
                <c:pt idx="100">
                  <c:v>3.2655441358699466E-2</c:v>
                </c:pt>
                <c:pt idx="101">
                  <c:v>2.4140608456271639E-2</c:v>
                </c:pt>
                <c:pt idx="102">
                  <c:v>-5.3070507960576441E-3</c:v>
                </c:pt>
                <c:pt idx="103">
                  <c:v>5.6575665188470126E-2</c:v>
                </c:pt>
                <c:pt idx="104">
                  <c:v>4.4922451388660356E-3</c:v>
                </c:pt>
                <c:pt idx="105">
                  <c:v>-4.028203956388321E-2</c:v>
                </c:pt>
                <c:pt idx="106">
                  <c:v>1.1530612244897931E-2</c:v>
                </c:pt>
                <c:pt idx="107">
                  <c:v>0.12609704428528201</c:v>
                </c:pt>
                <c:pt idx="108">
                  <c:v>7.4591656961987551E-2</c:v>
                </c:pt>
                <c:pt idx="109">
                  <c:v>-4.1487203712451737E-2</c:v>
                </c:pt>
                <c:pt idx="110">
                  <c:v>-3.017916159332068E-2</c:v>
                </c:pt>
                <c:pt idx="111">
                  <c:v>1.1478791139808209E-2</c:v>
                </c:pt>
                <c:pt idx="112">
                  <c:v>-4.0606436740845853E-2</c:v>
                </c:pt>
                <c:pt idx="113">
                  <c:v>7.6086621692388334E-2</c:v>
                </c:pt>
                <c:pt idx="114">
                  <c:v>1.3740589127758884E-2</c:v>
                </c:pt>
                <c:pt idx="115">
                  <c:v>4.3769237285742557E-2</c:v>
                </c:pt>
                <c:pt idx="116">
                  <c:v>-5.4649243838432948E-2</c:v>
                </c:pt>
                <c:pt idx="117">
                  <c:v>-1.9946770454740692E-2</c:v>
                </c:pt>
                <c:pt idx="118">
                  <c:v>-6.599310868422581E-3</c:v>
                </c:pt>
                <c:pt idx="119">
                  <c:v>0.18447971781305106</c:v>
                </c:pt>
                <c:pt idx="120">
                  <c:v>-3.1566408576533589E-2</c:v>
                </c:pt>
                <c:pt idx="121">
                  <c:v>-7.7670151701517032E-2</c:v>
                </c:pt>
                <c:pt idx="122">
                  <c:v>-5.4371683382880009E-2</c:v>
                </c:pt>
                <c:pt idx="123">
                  <c:v>3.4581031848630817E-2</c:v>
                </c:pt>
                <c:pt idx="124">
                  <c:v>-1.2807769857723028E-2</c:v>
                </c:pt>
                <c:pt idx="125">
                  <c:v>-7.6232667855703484E-3</c:v>
                </c:pt>
                <c:pt idx="126">
                  <c:v>1.953793083456512E-2</c:v>
                </c:pt>
                <c:pt idx="127">
                  <c:v>-9.0017343834408958E-2</c:v>
                </c:pt>
                <c:pt idx="128">
                  <c:v>3.5150757694110357E-2</c:v>
                </c:pt>
                <c:pt idx="129">
                  <c:v>4.8898279504980824E-3</c:v>
                </c:pt>
                <c:pt idx="130">
                  <c:v>-2.3278865793584069E-2</c:v>
                </c:pt>
                <c:pt idx="131">
                  <c:v>2.3003352092751284E-2</c:v>
                </c:pt>
                <c:pt idx="132">
                  <c:v>-3.9380730497519778E-2</c:v>
                </c:pt>
                <c:pt idx="133">
                  <c:v>3.4204349867000383E-2</c:v>
                </c:pt>
                <c:pt idx="134">
                  <c:v>-2.5175502299685237E-2</c:v>
                </c:pt>
                <c:pt idx="135">
                  <c:v>-3.6162155450707778E-2</c:v>
                </c:pt>
                <c:pt idx="136">
                  <c:v>-3.1657595568580721E-2</c:v>
                </c:pt>
                <c:pt idx="137">
                  <c:v>4.6128774777171699E-2</c:v>
                </c:pt>
                <c:pt idx="138">
                  <c:v>0.18121125417262762</c:v>
                </c:pt>
                <c:pt idx="139">
                  <c:v>9.4173058807697441E-2</c:v>
                </c:pt>
                <c:pt idx="140">
                  <c:v>3.9897673045702575E-2</c:v>
                </c:pt>
                <c:pt idx="141">
                  <c:v>-3.5008042388117167E-3</c:v>
                </c:pt>
                <c:pt idx="142">
                  <c:v>2.0698822635776715E-2</c:v>
                </c:pt>
                <c:pt idx="143">
                  <c:v>-1.1186046511627912E-2</c:v>
                </c:pt>
                <c:pt idx="144">
                  <c:v>-2.5988381664667548E-2</c:v>
                </c:pt>
                <c:pt idx="145">
                  <c:v>7.8789781233399303E-2</c:v>
                </c:pt>
                <c:pt idx="146">
                  <c:v>-0.13662510911654757</c:v>
                </c:pt>
                <c:pt idx="147">
                  <c:v>-9.4885023202758711E-3</c:v>
                </c:pt>
                <c:pt idx="148">
                  <c:v>7.6635171565420102E-2</c:v>
                </c:pt>
                <c:pt idx="149">
                  <c:v>-0.11262914792755574</c:v>
                </c:pt>
                <c:pt idx="150">
                  <c:v>-1.251986192537391E-2</c:v>
                </c:pt>
                <c:pt idx="151">
                  <c:v>0.10964072686919146</c:v>
                </c:pt>
                <c:pt idx="152">
                  <c:v>-7.2855464159812144E-2</c:v>
                </c:pt>
                <c:pt idx="153">
                  <c:v>2.9905886794488135E-2</c:v>
                </c:pt>
                <c:pt idx="154">
                  <c:v>1.9271051529115901E-2</c:v>
                </c:pt>
                <c:pt idx="155">
                  <c:v>9.8849157418824607E-2</c:v>
                </c:pt>
                <c:pt idx="156">
                  <c:v>-8.1283897512623882E-2</c:v>
                </c:pt>
                <c:pt idx="157">
                  <c:v>-6.2444337006030692E-2</c:v>
                </c:pt>
                <c:pt idx="158">
                  <c:v>9.2278463834993829E-4</c:v>
                </c:pt>
                <c:pt idx="159">
                  <c:v>-2.9529000244041481E-2</c:v>
                </c:pt>
              </c:numCache>
            </c:numRef>
          </c:val>
          <c:extLst>
            <c:ext xmlns:c16="http://schemas.microsoft.com/office/drawing/2014/chart" uri="{C3380CC4-5D6E-409C-BE32-E72D297353CC}">
              <c16:uniqueId val="{00000000-8FE5-430B-8125-B8F590E4D830}"/>
            </c:ext>
          </c:extLst>
        </c:ser>
        <c:dLbls>
          <c:showLegendKey val="0"/>
          <c:showVal val="0"/>
          <c:showCatName val="0"/>
          <c:showSerName val="0"/>
          <c:showPercent val="0"/>
          <c:showBubbleSize val="0"/>
        </c:dLbls>
        <c:gapWidth val="150"/>
        <c:axId val="96722011"/>
        <c:axId val="22815366"/>
      </c:barChart>
      <c:lineChart>
        <c:grouping val="standard"/>
        <c:varyColors val="0"/>
        <c:ser>
          <c:idx val="1"/>
          <c:order val="1"/>
          <c:tx>
            <c:strRef>
              <c:f>'Returns (Calc)'!$Z$2</c:f>
              <c:strCache>
                <c:ptCount val="1"/>
                <c:pt idx="0">
                  <c:v>AVGO trend</c:v>
                </c:pt>
              </c:strCache>
            </c:strRef>
          </c:tx>
          <c:spPr>
            <a:ln w="201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45156</c:v>
                </c:pt>
                <c:pt idx="1">
                  <c:v>45163</c:v>
                </c:pt>
                <c:pt idx="2">
                  <c:v>45170</c:v>
                </c:pt>
                <c:pt idx="3">
                  <c:v>45177</c:v>
                </c:pt>
                <c:pt idx="4">
                  <c:v>45184</c:v>
                </c:pt>
                <c:pt idx="5">
                  <c:v>45191</c:v>
                </c:pt>
                <c:pt idx="6">
                  <c:v>45198</c:v>
                </c:pt>
                <c:pt idx="7">
                  <c:v>45205</c:v>
                </c:pt>
                <c:pt idx="8">
                  <c:v>45212</c:v>
                </c:pt>
                <c:pt idx="9">
                  <c:v>45219</c:v>
                </c:pt>
                <c:pt idx="10">
                  <c:v>45226</c:v>
                </c:pt>
                <c:pt idx="11">
                  <c:v>45233</c:v>
                </c:pt>
                <c:pt idx="12">
                  <c:v>45240</c:v>
                </c:pt>
                <c:pt idx="13">
                  <c:v>45247</c:v>
                </c:pt>
                <c:pt idx="14">
                  <c:v>45254</c:v>
                </c:pt>
                <c:pt idx="15">
                  <c:v>45261</c:v>
                </c:pt>
                <c:pt idx="16">
                  <c:v>45268</c:v>
                </c:pt>
                <c:pt idx="17">
                  <c:v>45275</c:v>
                </c:pt>
                <c:pt idx="18">
                  <c:v>45282</c:v>
                </c:pt>
                <c:pt idx="19">
                  <c:v>45289</c:v>
                </c:pt>
                <c:pt idx="20">
                  <c:v>45296</c:v>
                </c:pt>
                <c:pt idx="21">
                  <c:v>45303</c:v>
                </c:pt>
                <c:pt idx="22">
                  <c:v>45310</c:v>
                </c:pt>
                <c:pt idx="23">
                  <c:v>45317</c:v>
                </c:pt>
                <c:pt idx="24">
                  <c:v>45324</c:v>
                </c:pt>
                <c:pt idx="25">
                  <c:v>45331</c:v>
                </c:pt>
                <c:pt idx="26">
                  <c:v>45338</c:v>
                </c:pt>
                <c:pt idx="27">
                  <c:v>45345</c:v>
                </c:pt>
                <c:pt idx="28">
                  <c:v>45352</c:v>
                </c:pt>
                <c:pt idx="29">
                  <c:v>45359</c:v>
                </c:pt>
                <c:pt idx="30">
                  <c:v>45366</c:v>
                </c:pt>
                <c:pt idx="31">
                  <c:v>45373</c:v>
                </c:pt>
                <c:pt idx="32">
                  <c:v>45379</c:v>
                </c:pt>
                <c:pt idx="33">
                  <c:v>45387</c:v>
                </c:pt>
                <c:pt idx="34">
                  <c:v>45394</c:v>
                </c:pt>
                <c:pt idx="35">
                  <c:v>45401</c:v>
                </c:pt>
                <c:pt idx="36">
                  <c:v>45408</c:v>
                </c:pt>
                <c:pt idx="37">
                  <c:v>45415</c:v>
                </c:pt>
                <c:pt idx="38">
                  <c:v>45422</c:v>
                </c:pt>
                <c:pt idx="39">
                  <c:v>45429</c:v>
                </c:pt>
                <c:pt idx="40">
                  <c:v>45436</c:v>
                </c:pt>
                <c:pt idx="41">
                  <c:v>45443</c:v>
                </c:pt>
                <c:pt idx="42">
                  <c:v>45450</c:v>
                </c:pt>
                <c:pt idx="43">
                  <c:v>45457</c:v>
                </c:pt>
                <c:pt idx="44">
                  <c:v>45464</c:v>
                </c:pt>
                <c:pt idx="45">
                  <c:v>45471</c:v>
                </c:pt>
                <c:pt idx="46">
                  <c:v>45478</c:v>
                </c:pt>
                <c:pt idx="47">
                  <c:v>45485</c:v>
                </c:pt>
                <c:pt idx="48">
                  <c:v>45492</c:v>
                </c:pt>
                <c:pt idx="49">
                  <c:v>45499</c:v>
                </c:pt>
                <c:pt idx="50">
                  <c:v>45506</c:v>
                </c:pt>
                <c:pt idx="51">
                  <c:v>45513</c:v>
                </c:pt>
                <c:pt idx="52">
                  <c:v>45520</c:v>
                </c:pt>
                <c:pt idx="53">
                  <c:v>45527</c:v>
                </c:pt>
                <c:pt idx="54">
                  <c:v>45534</c:v>
                </c:pt>
                <c:pt idx="55">
                  <c:v>45541</c:v>
                </c:pt>
                <c:pt idx="56">
                  <c:v>45548</c:v>
                </c:pt>
                <c:pt idx="57">
                  <c:v>45555</c:v>
                </c:pt>
                <c:pt idx="58">
                  <c:v>45562</c:v>
                </c:pt>
                <c:pt idx="59">
                  <c:v>45569</c:v>
                </c:pt>
                <c:pt idx="60">
                  <c:v>45576</c:v>
                </c:pt>
                <c:pt idx="61">
                  <c:v>45583</c:v>
                </c:pt>
                <c:pt idx="62">
                  <c:v>45590</c:v>
                </c:pt>
                <c:pt idx="63">
                  <c:v>45597</c:v>
                </c:pt>
                <c:pt idx="64">
                  <c:v>45604</c:v>
                </c:pt>
                <c:pt idx="65">
                  <c:v>45611</c:v>
                </c:pt>
                <c:pt idx="66">
                  <c:v>45618</c:v>
                </c:pt>
                <c:pt idx="67">
                  <c:v>45625</c:v>
                </c:pt>
                <c:pt idx="68">
                  <c:v>45632</c:v>
                </c:pt>
                <c:pt idx="69">
                  <c:v>45639</c:v>
                </c:pt>
                <c:pt idx="70">
                  <c:v>45646</c:v>
                </c:pt>
                <c:pt idx="71">
                  <c:v>45653</c:v>
                </c:pt>
                <c:pt idx="72">
                  <c:v>45660</c:v>
                </c:pt>
                <c:pt idx="73">
                  <c:v>45667</c:v>
                </c:pt>
                <c:pt idx="74">
                  <c:v>45674</c:v>
                </c:pt>
                <c:pt idx="75">
                  <c:v>45681</c:v>
                </c:pt>
                <c:pt idx="76">
                  <c:v>45688</c:v>
                </c:pt>
                <c:pt idx="77">
                  <c:v>45695</c:v>
                </c:pt>
                <c:pt idx="78">
                  <c:v>45702</c:v>
                </c:pt>
                <c:pt idx="79">
                  <c:v>45709</c:v>
                </c:pt>
                <c:pt idx="80">
                  <c:v>45716</c:v>
                </c:pt>
                <c:pt idx="81">
                  <c:v>45723</c:v>
                </c:pt>
                <c:pt idx="82">
                  <c:v>45730</c:v>
                </c:pt>
                <c:pt idx="83">
                  <c:v>45737</c:v>
                </c:pt>
                <c:pt idx="84">
                  <c:v>45744</c:v>
                </c:pt>
                <c:pt idx="85">
                  <c:v>45751</c:v>
                </c:pt>
                <c:pt idx="86">
                  <c:v>45758</c:v>
                </c:pt>
                <c:pt idx="87">
                  <c:v>45764</c:v>
                </c:pt>
                <c:pt idx="88">
                  <c:v>45772</c:v>
                </c:pt>
                <c:pt idx="89">
                  <c:v>45779</c:v>
                </c:pt>
                <c:pt idx="90">
                  <c:v>45786</c:v>
                </c:pt>
                <c:pt idx="91">
                  <c:v>45793</c:v>
                </c:pt>
                <c:pt idx="92">
                  <c:v>45800</c:v>
                </c:pt>
                <c:pt idx="93">
                  <c:v>45807</c:v>
                </c:pt>
                <c:pt idx="94">
                  <c:v>45814</c:v>
                </c:pt>
                <c:pt idx="95">
                  <c:v>45821</c:v>
                </c:pt>
                <c:pt idx="96">
                  <c:v>45828</c:v>
                </c:pt>
                <c:pt idx="97">
                  <c:v>45835</c:v>
                </c:pt>
                <c:pt idx="98">
                  <c:v>45841</c:v>
                </c:pt>
                <c:pt idx="99">
                  <c:v>45849</c:v>
                </c:pt>
                <c:pt idx="100">
                  <c:v>45856</c:v>
                </c:pt>
                <c:pt idx="101">
                  <c:v>45863</c:v>
                </c:pt>
                <c:pt idx="102">
                  <c:v>45870</c:v>
                </c:pt>
                <c:pt idx="103">
                  <c:v>45877</c:v>
                </c:pt>
                <c:pt idx="104">
                  <c:v>45884</c:v>
                </c:pt>
                <c:pt idx="105">
                  <c:v>45891</c:v>
                </c:pt>
                <c:pt idx="106">
                  <c:v>45898</c:v>
                </c:pt>
                <c:pt idx="107">
                  <c:v>45905</c:v>
                </c:pt>
                <c:pt idx="108">
                  <c:v>45912</c:v>
                </c:pt>
                <c:pt idx="109">
                  <c:v>45919</c:v>
                </c:pt>
                <c:pt idx="110">
                  <c:v>45926</c:v>
                </c:pt>
                <c:pt idx="111">
                  <c:v>45933</c:v>
                </c:pt>
                <c:pt idx="112">
                  <c:v>45940</c:v>
                </c:pt>
                <c:pt idx="113">
                  <c:v>45947</c:v>
                </c:pt>
                <c:pt idx="114">
                  <c:v>45954</c:v>
                </c:pt>
                <c:pt idx="115">
                  <c:v>45961</c:v>
                </c:pt>
                <c:pt idx="116">
                  <c:v>45968</c:v>
                </c:pt>
                <c:pt idx="117">
                  <c:v>45975</c:v>
                </c:pt>
                <c:pt idx="118">
                  <c:v>45982</c:v>
                </c:pt>
                <c:pt idx="119">
                  <c:v>45989</c:v>
                </c:pt>
                <c:pt idx="120">
                  <c:v>45996</c:v>
                </c:pt>
                <c:pt idx="121">
                  <c:v>46003</c:v>
                </c:pt>
                <c:pt idx="122">
                  <c:v>46010</c:v>
                </c:pt>
                <c:pt idx="123">
                  <c:v>46017</c:v>
                </c:pt>
                <c:pt idx="124">
                  <c:v>46024</c:v>
                </c:pt>
                <c:pt idx="125">
                  <c:v>46031</c:v>
                </c:pt>
                <c:pt idx="126">
                  <c:v>46038</c:v>
                </c:pt>
                <c:pt idx="127">
                  <c:v>46045</c:v>
                </c:pt>
                <c:pt idx="128">
                  <c:v>46052</c:v>
                </c:pt>
                <c:pt idx="129">
                  <c:v>46059</c:v>
                </c:pt>
                <c:pt idx="130">
                  <c:v>46066</c:v>
                </c:pt>
                <c:pt idx="131">
                  <c:v>46073</c:v>
                </c:pt>
                <c:pt idx="132">
                  <c:v>46080</c:v>
                </c:pt>
                <c:pt idx="133">
                  <c:v>46087</c:v>
                </c:pt>
                <c:pt idx="134">
                  <c:v>46094</c:v>
                </c:pt>
                <c:pt idx="135">
                  <c:v>46101</c:v>
                </c:pt>
                <c:pt idx="136">
                  <c:v>46108</c:v>
                </c:pt>
                <c:pt idx="137">
                  <c:v>46114</c:v>
                </c:pt>
                <c:pt idx="138">
                  <c:v>46122</c:v>
                </c:pt>
                <c:pt idx="139">
                  <c:v>46129</c:v>
                </c:pt>
                <c:pt idx="140">
                  <c:v>46136</c:v>
                </c:pt>
                <c:pt idx="141">
                  <c:v>46143</c:v>
                </c:pt>
                <c:pt idx="142">
                  <c:v>46150</c:v>
                </c:pt>
                <c:pt idx="143">
                  <c:v>46157</c:v>
                </c:pt>
                <c:pt idx="144">
                  <c:v>46164</c:v>
                </c:pt>
                <c:pt idx="145">
                  <c:v>46171</c:v>
                </c:pt>
                <c:pt idx="146">
                  <c:v>46178</c:v>
                </c:pt>
                <c:pt idx="147">
                  <c:v>46185</c:v>
                </c:pt>
                <c:pt idx="148">
                  <c:v>46191</c:v>
                </c:pt>
                <c:pt idx="149">
                  <c:v>46199</c:v>
                </c:pt>
                <c:pt idx="150">
                  <c:v>46205</c:v>
                </c:pt>
                <c:pt idx="151">
                  <c:v>46213</c:v>
                </c:pt>
                <c:pt idx="152">
                  <c:v>46220</c:v>
                </c:pt>
                <c:pt idx="153">
                  <c:v>46227</c:v>
                </c:pt>
                <c:pt idx="154">
                  <c:v>46234</c:v>
                </c:pt>
                <c:pt idx="155">
                  <c:v>46241</c:v>
                </c:pt>
                <c:pt idx="156">
                  <c:v>46248</c:v>
                </c:pt>
                <c:pt idx="157">
                  <c:v>46255</c:v>
                </c:pt>
                <c:pt idx="158">
                  <c:v>46262</c:v>
                </c:pt>
                <c:pt idx="159">
                  <c:v>46269</c:v>
                </c:pt>
              </c:numCache>
            </c:numRef>
          </c:cat>
          <c:val>
            <c:numRef>
              <c:f>'Returns (Calc)'!$Z$3:$Z$500</c:f>
              <c:numCache>
                <c:formatCode>#,##0.00</c:formatCode>
                <c:ptCount val="498"/>
                <c:pt idx="0">
                  <c:v>82.98</c:v>
                </c:pt>
                <c:pt idx="1">
                  <c:v>82.458113207547171</c:v>
                </c:pt>
                <c:pt idx="2">
                  <c:v>81.936226415094339</c:v>
                </c:pt>
                <c:pt idx="3">
                  <c:v>81.414339622641506</c:v>
                </c:pt>
                <c:pt idx="4">
                  <c:v>80.892452830188688</c:v>
                </c:pt>
                <c:pt idx="5">
                  <c:v>80.370566037735856</c:v>
                </c:pt>
                <c:pt idx="6">
                  <c:v>79.848679245283023</c:v>
                </c:pt>
                <c:pt idx="7">
                  <c:v>79.32679245283019</c:v>
                </c:pt>
                <c:pt idx="8">
                  <c:v>78.804905660377358</c:v>
                </c:pt>
                <c:pt idx="9">
                  <c:v>78.283018867924525</c:v>
                </c:pt>
                <c:pt idx="10">
                  <c:v>77.761132075471707</c:v>
                </c:pt>
                <c:pt idx="11">
                  <c:v>77.239245283018874</c:v>
                </c:pt>
                <c:pt idx="12">
                  <c:v>76.717358490566042</c:v>
                </c:pt>
                <c:pt idx="13">
                  <c:v>76.195471698113209</c:v>
                </c:pt>
                <c:pt idx="14">
                  <c:v>75.673584905660377</c:v>
                </c:pt>
                <c:pt idx="15">
                  <c:v>75.151698113207544</c:v>
                </c:pt>
                <c:pt idx="16">
                  <c:v>74.629811320754726</c:v>
                </c:pt>
                <c:pt idx="17">
                  <c:v>74.107924528301893</c:v>
                </c:pt>
                <c:pt idx="18">
                  <c:v>73.586037735849061</c:v>
                </c:pt>
                <c:pt idx="19">
                  <c:v>73.064150943396228</c:v>
                </c:pt>
                <c:pt idx="20">
                  <c:v>72.542264150943396</c:v>
                </c:pt>
                <c:pt idx="21">
                  <c:v>72.020377358490563</c:v>
                </c:pt>
                <c:pt idx="22">
                  <c:v>71.498490566037731</c:v>
                </c:pt>
                <c:pt idx="23">
                  <c:v>70.976603773584912</c:v>
                </c:pt>
                <c:pt idx="24">
                  <c:v>70.45471698113208</c:v>
                </c:pt>
                <c:pt idx="25">
                  <c:v>69.932830188679247</c:v>
                </c:pt>
                <c:pt idx="26">
                  <c:v>69.410943396226415</c:v>
                </c:pt>
                <c:pt idx="27">
                  <c:v>68.889056603773582</c:v>
                </c:pt>
                <c:pt idx="28">
                  <c:v>68.367169811320764</c:v>
                </c:pt>
                <c:pt idx="29">
                  <c:v>67.845283018867931</c:v>
                </c:pt>
                <c:pt idx="30">
                  <c:v>67.323396226415099</c:v>
                </c:pt>
                <c:pt idx="31">
                  <c:v>66.801509433962266</c:v>
                </c:pt>
                <c:pt idx="32">
                  <c:v>66.279622641509434</c:v>
                </c:pt>
                <c:pt idx="33">
                  <c:v>65.757735849056616</c:v>
                </c:pt>
                <c:pt idx="34">
                  <c:v>65.235849056603769</c:v>
                </c:pt>
                <c:pt idx="35">
                  <c:v>64.71396226415095</c:v>
                </c:pt>
                <c:pt idx="36">
                  <c:v>64.192075471698118</c:v>
                </c:pt>
                <c:pt idx="37">
                  <c:v>63.670188679245285</c:v>
                </c:pt>
                <c:pt idx="38">
                  <c:v>63.148301886792453</c:v>
                </c:pt>
                <c:pt idx="39">
                  <c:v>62.62641509433962</c:v>
                </c:pt>
                <c:pt idx="40">
                  <c:v>62.104528301886795</c:v>
                </c:pt>
                <c:pt idx="41">
                  <c:v>61.582641509433969</c:v>
                </c:pt>
                <c:pt idx="42">
                  <c:v>61.060754716981137</c:v>
                </c:pt>
                <c:pt idx="43">
                  <c:v>60.538867924528304</c:v>
                </c:pt>
                <c:pt idx="44">
                  <c:v>60.016981132075472</c:v>
                </c:pt>
                <c:pt idx="45">
                  <c:v>59.495094339622639</c:v>
                </c:pt>
                <c:pt idx="46">
                  <c:v>58.973207547169814</c:v>
                </c:pt>
                <c:pt idx="47">
                  <c:v>58.451320754716981</c:v>
                </c:pt>
                <c:pt idx="48">
                  <c:v>57.929433962264156</c:v>
                </c:pt>
                <c:pt idx="49">
                  <c:v>57.407547169811323</c:v>
                </c:pt>
                <c:pt idx="50">
                  <c:v>56.885660377358491</c:v>
                </c:pt>
                <c:pt idx="51">
                  <c:v>56.363773584905658</c:v>
                </c:pt>
                <c:pt idx="52">
                  <c:v>55.841886792452833</c:v>
                </c:pt>
                <c:pt idx="53">
                  <c:v>55.32</c:v>
                </c:pt>
                <c:pt idx="54">
                  <c:v>54.798113207547175</c:v>
                </c:pt>
                <c:pt idx="55">
                  <c:v>54.276226415094342</c:v>
                </c:pt>
                <c:pt idx="56">
                  <c:v>53.75433962264151</c:v>
                </c:pt>
                <c:pt idx="57">
                  <c:v>53.232452830188677</c:v>
                </c:pt>
                <c:pt idx="58">
                  <c:v>52.710566037735852</c:v>
                </c:pt>
                <c:pt idx="59">
                  <c:v>52.188679245283019</c:v>
                </c:pt>
                <c:pt idx="60">
                  <c:v>51.666792452830194</c:v>
                </c:pt>
                <c:pt idx="61">
                  <c:v>51.144905660377361</c:v>
                </c:pt>
                <c:pt idx="62">
                  <c:v>50.623018867924529</c:v>
                </c:pt>
                <c:pt idx="63">
                  <c:v>50.101132075471696</c:v>
                </c:pt>
                <c:pt idx="64">
                  <c:v>49.579245283018871</c:v>
                </c:pt>
                <c:pt idx="65">
                  <c:v>49.057358490566045</c:v>
                </c:pt>
                <c:pt idx="66">
                  <c:v>48.535471698113213</c:v>
                </c:pt>
                <c:pt idx="67">
                  <c:v>48.01358490566038</c:v>
                </c:pt>
                <c:pt idx="68">
                  <c:v>47.491698113207548</c:v>
                </c:pt>
                <c:pt idx="69">
                  <c:v>46.969811320754722</c:v>
                </c:pt>
                <c:pt idx="70">
                  <c:v>46.44792452830189</c:v>
                </c:pt>
                <c:pt idx="71">
                  <c:v>45.926037735849064</c:v>
                </c:pt>
                <c:pt idx="72">
                  <c:v>45.404150943396225</c:v>
                </c:pt>
                <c:pt idx="73">
                  <c:v>44.882264150943399</c:v>
                </c:pt>
                <c:pt idx="74">
                  <c:v>44.360377358490567</c:v>
                </c:pt>
                <c:pt idx="75">
                  <c:v>43.838490566037741</c:v>
                </c:pt>
                <c:pt idx="76">
                  <c:v>43.316603773584909</c:v>
                </c:pt>
                <c:pt idx="77">
                  <c:v>42.794716981132076</c:v>
                </c:pt>
                <c:pt idx="78">
                  <c:v>42.272830188679244</c:v>
                </c:pt>
                <c:pt idx="79">
                  <c:v>41.750943396226418</c:v>
                </c:pt>
                <c:pt idx="80">
                  <c:v>41.229056603773586</c:v>
                </c:pt>
                <c:pt idx="81">
                  <c:v>40.70716981132076</c:v>
                </c:pt>
                <c:pt idx="82">
                  <c:v>40.185283018867928</c:v>
                </c:pt>
                <c:pt idx="83">
                  <c:v>39.663396226415095</c:v>
                </c:pt>
                <c:pt idx="84">
                  <c:v>39.141509433962263</c:v>
                </c:pt>
                <c:pt idx="85">
                  <c:v>38.619622641509437</c:v>
                </c:pt>
                <c:pt idx="86">
                  <c:v>38.097735849056605</c:v>
                </c:pt>
                <c:pt idx="87">
                  <c:v>37.575849056603779</c:v>
                </c:pt>
                <c:pt idx="88">
                  <c:v>37.05396226415094</c:v>
                </c:pt>
                <c:pt idx="89">
                  <c:v>36.532075471698114</c:v>
                </c:pt>
                <c:pt idx="90">
                  <c:v>36.010188679245282</c:v>
                </c:pt>
                <c:pt idx="91">
                  <c:v>35.488301886792456</c:v>
                </c:pt>
                <c:pt idx="92">
                  <c:v>34.966415094339624</c:v>
                </c:pt>
                <c:pt idx="93">
                  <c:v>34.444528301886791</c:v>
                </c:pt>
                <c:pt idx="94">
                  <c:v>33.922641509433959</c:v>
                </c:pt>
                <c:pt idx="95">
                  <c:v>33.400754716981133</c:v>
                </c:pt>
                <c:pt idx="96">
                  <c:v>32.878867924528308</c:v>
                </c:pt>
                <c:pt idx="97">
                  <c:v>32.356981132075475</c:v>
                </c:pt>
                <c:pt idx="98">
                  <c:v>31.835094339622643</c:v>
                </c:pt>
                <c:pt idx="99">
                  <c:v>31.31320754716981</c:v>
                </c:pt>
                <c:pt idx="100">
                  <c:v>30.791320754716985</c:v>
                </c:pt>
                <c:pt idx="101">
                  <c:v>30.269433962264159</c:v>
                </c:pt>
                <c:pt idx="102">
                  <c:v>29.74754716981132</c:v>
                </c:pt>
                <c:pt idx="103">
                  <c:v>29.225660377358494</c:v>
                </c:pt>
                <c:pt idx="104">
                  <c:v>28.703773584905662</c:v>
                </c:pt>
                <c:pt idx="105">
                  <c:v>28.181886792452836</c:v>
                </c:pt>
                <c:pt idx="106">
                  <c:v>27.659999999999997</c:v>
                </c:pt>
                <c:pt idx="107">
                  <c:v>27.138113207547171</c:v>
                </c:pt>
                <c:pt idx="108">
                  <c:v>26.616226415094346</c:v>
                </c:pt>
                <c:pt idx="109">
                  <c:v>26.094339622641513</c:v>
                </c:pt>
                <c:pt idx="110">
                  <c:v>25.572452830188674</c:v>
                </c:pt>
                <c:pt idx="111">
                  <c:v>25.050566037735848</c:v>
                </c:pt>
                <c:pt idx="112">
                  <c:v>24.528679245283023</c:v>
                </c:pt>
                <c:pt idx="113">
                  <c:v>24.006792452830197</c:v>
                </c:pt>
                <c:pt idx="114">
                  <c:v>23.484905660377358</c:v>
                </c:pt>
                <c:pt idx="115">
                  <c:v>22.963018867924525</c:v>
                </c:pt>
                <c:pt idx="116">
                  <c:v>22.4411320754717</c:v>
                </c:pt>
                <c:pt idx="117">
                  <c:v>21.919245283018874</c:v>
                </c:pt>
                <c:pt idx="118">
                  <c:v>21.397358490566035</c:v>
                </c:pt>
                <c:pt idx="119">
                  <c:v>20.875471698113209</c:v>
                </c:pt>
                <c:pt idx="120">
                  <c:v>20.353584905660377</c:v>
                </c:pt>
                <c:pt idx="121">
                  <c:v>19.831698113207551</c:v>
                </c:pt>
                <c:pt idx="122">
                  <c:v>19.309811320754712</c:v>
                </c:pt>
                <c:pt idx="123">
                  <c:v>18.787924528301886</c:v>
                </c:pt>
                <c:pt idx="124">
                  <c:v>18.266037735849054</c:v>
                </c:pt>
                <c:pt idx="125">
                  <c:v>17.744150943396235</c:v>
                </c:pt>
                <c:pt idx="126">
                  <c:v>17.222264150943388</c:v>
                </c:pt>
                <c:pt idx="127">
                  <c:v>16.70037735849057</c:v>
                </c:pt>
                <c:pt idx="128">
                  <c:v>16.178490566037738</c:v>
                </c:pt>
                <c:pt idx="129">
                  <c:v>15.656603773584905</c:v>
                </c:pt>
                <c:pt idx="130">
                  <c:v>15.134716981132087</c:v>
                </c:pt>
                <c:pt idx="131">
                  <c:v>14.61283018867924</c:v>
                </c:pt>
                <c:pt idx="132">
                  <c:v>14.090943396226422</c:v>
                </c:pt>
                <c:pt idx="133">
                  <c:v>13.569056603773589</c:v>
                </c:pt>
                <c:pt idx="134">
                  <c:v>13.047169811320757</c:v>
                </c:pt>
                <c:pt idx="135">
                  <c:v>12.525283018867924</c:v>
                </c:pt>
                <c:pt idx="136">
                  <c:v>12.003396226415092</c:v>
                </c:pt>
                <c:pt idx="137">
                  <c:v>11.481509433962273</c:v>
                </c:pt>
                <c:pt idx="138">
                  <c:v>10.959622641509441</c:v>
                </c:pt>
                <c:pt idx="139">
                  <c:v>10.437735849056594</c:v>
                </c:pt>
                <c:pt idx="140">
                  <c:v>9.9158490566037756</c:v>
                </c:pt>
                <c:pt idx="141">
                  <c:v>9.393962264150943</c:v>
                </c:pt>
                <c:pt idx="142">
                  <c:v>8.8720754716981247</c:v>
                </c:pt>
                <c:pt idx="143">
                  <c:v>8.350188679245278</c:v>
                </c:pt>
                <c:pt idx="144">
                  <c:v>7.8283018867924454</c:v>
                </c:pt>
                <c:pt idx="145">
                  <c:v>7.3064150943396271</c:v>
                </c:pt>
                <c:pt idx="146">
                  <c:v>6.7845283018867946</c:v>
                </c:pt>
                <c:pt idx="147">
                  <c:v>6.262641509433962</c:v>
                </c:pt>
                <c:pt idx="148">
                  <c:v>5.7407547169811295</c:v>
                </c:pt>
                <c:pt idx="149">
                  <c:v>5.218867924528297</c:v>
                </c:pt>
                <c:pt idx="150">
                  <c:v>4.6969811320754786</c:v>
                </c:pt>
                <c:pt idx="151">
                  <c:v>4.1750943396226319</c:v>
                </c:pt>
                <c:pt idx="152">
                  <c:v>3.6532075471698136</c:v>
                </c:pt>
                <c:pt idx="153">
                  <c:v>3.131320754716981</c:v>
                </c:pt>
                <c:pt idx="154">
                  <c:v>2.6094339622641485</c:v>
                </c:pt>
                <c:pt idx="155">
                  <c:v>2.0875471698113159</c:v>
                </c:pt>
                <c:pt idx="156">
                  <c:v>1.5656603773584834</c:v>
                </c:pt>
                <c:pt idx="157">
                  <c:v>1.0437735849056651</c:v>
                </c:pt>
                <c:pt idx="158">
                  <c:v>0.52188679245283254</c:v>
                </c:pt>
                <c:pt idx="159">
                  <c:v>0</c:v>
                </c:pt>
              </c:numCache>
            </c:numRef>
          </c:val>
          <c:smooth val="0"/>
          <c:extLst>
            <c:ext xmlns:c16="http://schemas.microsoft.com/office/drawing/2014/chart" uri="{C3380CC4-5D6E-409C-BE32-E72D297353CC}">
              <c16:uniqueId val="{00000001-8FE5-430B-8125-B8F590E4D830}"/>
            </c:ext>
          </c:extLst>
        </c:ser>
        <c:dLbls>
          <c:showLegendKey val="0"/>
          <c:showVal val="0"/>
          <c:showCatName val="0"/>
          <c:showSerName val="0"/>
          <c:showPercent val="0"/>
          <c:showBubbleSize val="0"/>
        </c:dLbls>
        <c:hiLowLines>
          <c:spPr>
            <a:ln w="0">
              <a:noFill/>
            </a:ln>
          </c:spPr>
        </c:hiLowLines>
        <c:marker val="1"/>
        <c:smooth val="0"/>
        <c:axId val="86909060"/>
        <c:axId val="79260073"/>
      </c:lineChart>
      <c:dateAx>
        <c:axId val="96722011"/>
        <c:scaling>
          <c:orientation val="minMax"/>
        </c:scaling>
        <c:delete val="1"/>
        <c:axPos val="b"/>
        <c:numFmt formatCode="mm/dd/yyyy" sourceLinked="1"/>
        <c:majorTickMark val="none"/>
        <c:minorTickMark val="none"/>
        <c:tickLblPos val="nextTo"/>
        <c:crossAx val="22815366"/>
        <c:crosses val="autoZero"/>
        <c:auto val="1"/>
        <c:lblOffset val="100"/>
        <c:baseTimeUnit val="days"/>
      </c:dateAx>
      <c:valAx>
        <c:axId val="22815366"/>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96722011"/>
        <c:crosses val="autoZero"/>
        <c:crossBetween val="between"/>
      </c:valAx>
      <c:dateAx>
        <c:axId val="86909060"/>
        <c:scaling>
          <c:orientation val="minMax"/>
        </c:scaling>
        <c:delete val="1"/>
        <c:axPos val="b"/>
        <c:numFmt formatCode="mm/dd/yyyy" sourceLinked="1"/>
        <c:majorTickMark val="none"/>
        <c:minorTickMark val="none"/>
        <c:tickLblPos val="nextTo"/>
        <c:crossAx val="79260073"/>
        <c:crosses val="autoZero"/>
        <c:auto val="1"/>
        <c:lblOffset val="100"/>
        <c:baseTimeUnit val="days"/>
      </c:dateAx>
      <c:valAx>
        <c:axId val="79260073"/>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86909060"/>
        <c:crosses val="max"/>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CRWD</a:t>
            </a:r>
          </a:p>
        </c:rich>
      </c:tx>
      <c:overlay val="0"/>
      <c:spPr>
        <a:noFill/>
        <a:ln w="0">
          <a:noFill/>
        </a:ln>
      </c:spPr>
    </c:title>
    <c:autoTitleDeleted val="0"/>
    <c:plotArea>
      <c:layout/>
      <c:barChart>
        <c:barDir val="col"/>
        <c:grouping val="clustered"/>
        <c:varyColors val="0"/>
        <c:ser>
          <c:idx val="0"/>
          <c:order val="0"/>
          <c:tx>
            <c:strRef>
              <c:f>'Returns (Calc)'!$F$2</c:f>
              <c:strCache>
                <c:ptCount val="1"/>
                <c:pt idx="0">
                  <c:v>CRWD</c:v>
                </c:pt>
              </c:strCache>
            </c:strRef>
          </c:tx>
          <c:spPr>
            <a:solidFill>
              <a:srgbClr val="4F81BD"/>
            </a:solidFill>
            <a:ln w="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45156</c:v>
                </c:pt>
                <c:pt idx="1">
                  <c:v>45163</c:v>
                </c:pt>
                <c:pt idx="2">
                  <c:v>45170</c:v>
                </c:pt>
                <c:pt idx="3">
                  <c:v>45177</c:v>
                </c:pt>
                <c:pt idx="4">
                  <c:v>45184</c:v>
                </c:pt>
                <c:pt idx="5">
                  <c:v>45191</c:v>
                </c:pt>
                <c:pt idx="6">
                  <c:v>45198</c:v>
                </c:pt>
                <c:pt idx="7">
                  <c:v>45205</c:v>
                </c:pt>
                <c:pt idx="8">
                  <c:v>45212</c:v>
                </c:pt>
                <c:pt idx="9">
                  <c:v>45219</c:v>
                </c:pt>
                <c:pt idx="10">
                  <c:v>45226</c:v>
                </c:pt>
                <c:pt idx="11">
                  <c:v>45233</c:v>
                </c:pt>
                <c:pt idx="12">
                  <c:v>45240</c:v>
                </c:pt>
                <c:pt idx="13">
                  <c:v>45247</c:v>
                </c:pt>
                <c:pt idx="14">
                  <c:v>45254</c:v>
                </c:pt>
                <c:pt idx="15">
                  <c:v>45261</c:v>
                </c:pt>
                <c:pt idx="16">
                  <c:v>45268</c:v>
                </c:pt>
                <c:pt idx="17">
                  <c:v>45275</c:v>
                </c:pt>
                <c:pt idx="18">
                  <c:v>45282</c:v>
                </c:pt>
                <c:pt idx="19">
                  <c:v>45289</c:v>
                </c:pt>
                <c:pt idx="20">
                  <c:v>45296</c:v>
                </c:pt>
                <c:pt idx="21">
                  <c:v>45303</c:v>
                </c:pt>
                <c:pt idx="22">
                  <c:v>45310</c:v>
                </c:pt>
                <c:pt idx="23">
                  <c:v>45317</c:v>
                </c:pt>
                <c:pt idx="24">
                  <c:v>45324</c:v>
                </c:pt>
                <c:pt idx="25">
                  <c:v>45331</c:v>
                </c:pt>
                <c:pt idx="26">
                  <c:v>45338</c:v>
                </c:pt>
                <c:pt idx="27">
                  <c:v>45345</c:v>
                </c:pt>
                <c:pt idx="28">
                  <c:v>45352</c:v>
                </c:pt>
                <c:pt idx="29">
                  <c:v>45359</c:v>
                </c:pt>
                <c:pt idx="30">
                  <c:v>45366</c:v>
                </c:pt>
                <c:pt idx="31">
                  <c:v>45373</c:v>
                </c:pt>
                <c:pt idx="32">
                  <c:v>45379</c:v>
                </c:pt>
                <c:pt idx="33">
                  <c:v>45387</c:v>
                </c:pt>
                <c:pt idx="34">
                  <c:v>45394</c:v>
                </c:pt>
                <c:pt idx="35">
                  <c:v>45401</c:v>
                </c:pt>
                <c:pt idx="36">
                  <c:v>45408</c:v>
                </c:pt>
                <c:pt idx="37">
                  <c:v>45415</c:v>
                </c:pt>
                <c:pt idx="38">
                  <c:v>45422</c:v>
                </c:pt>
                <c:pt idx="39">
                  <c:v>45429</c:v>
                </c:pt>
                <c:pt idx="40">
                  <c:v>45436</c:v>
                </c:pt>
                <c:pt idx="41">
                  <c:v>45443</c:v>
                </c:pt>
                <c:pt idx="42">
                  <c:v>45450</c:v>
                </c:pt>
                <c:pt idx="43">
                  <c:v>45457</c:v>
                </c:pt>
                <c:pt idx="44">
                  <c:v>45464</c:v>
                </c:pt>
                <c:pt idx="45">
                  <c:v>45471</c:v>
                </c:pt>
                <c:pt idx="46">
                  <c:v>45478</c:v>
                </c:pt>
                <c:pt idx="47">
                  <c:v>45485</c:v>
                </c:pt>
                <c:pt idx="48">
                  <c:v>45492</c:v>
                </c:pt>
                <c:pt idx="49">
                  <c:v>45499</c:v>
                </c:pt>
                <c:pt idx="50">
                  <c:v>45506</c:v>
                </c:pt>
                <c:pt idx="51">
                  <c:v>45513</c:v>
                </c:pt>
                <c:pt idx="52">
                  <c:v>45520</c:v>
                </c:pt>
                <c:pt idx="53">
                  <c:v>45527</c:v>
                </c:pt>
                <c:pt idx="54">
                  <c:v>45534</c:v>
                </c:pt>
                <c:pt idx="55">
                  <c:v>45541</c:v>
                </c:pt>
                <c:pt idx="56">
                  <c:v>45548</c:v>
                </c:pt>
                <c:pt idx="57">
                  <c:v>45555</c:v>
                </c:pt>
                <c:pt idx="58">
                  <c:v>45562</c:v>
                </c:pt>
                <c:pt idx="59">
                  <c:v>45569</c:v>
                </c:pt>
                <c:pt idx="60">
                  <c:v>45576</c:v>
                </c:pt>
                <c:pt idx="61">
                  <c:v>45583</c:v>
                </c:pt>
                <c:pt idx="62">
                  <c:v>45590</c:v>
                </c:pt>
                <c:pt idx="63">
                  <c:v>45597</c:v>
                </c:pt>
                <c:pt idx="64">
                  <c:v>45604</c:v>
                </c:pt>
                <c:pt idx="65">
                  <c:v>45611</c:v>
                </c:pt>
                <c:pt idx="66">
                  <c:v>45618</c:v>
                </c:pt>
                <c:pt idx="67">
                  <c:v>45625</c:v>
                </c:pt>
                <c:pt idx="68">
                  <c:v>45632</c:v>
                </c:pt>
                <c:pt idx="69">
                  <c:v>45639</c:v>
                </c:pt>
                <c:pt idx="70">
                  <c:v>45646</c:v>
                </c:pt>
                <c:pt idx="71">
                  <c:v>45653</c:v>
                </c:pt>
                <c:pt idx="72">
                  <c:v>45660</c:v>
                </c:pt>
                <c:pt idx="73">
                  <c:v>45667</c:v>
                </c:pt>
                <c:pt idx="74">
                  <c:v>45674</c:v>
                </c:pt>
                <c:pt idx="75">
                  <c:v>45681</c:v>
                </c:pt>
                <c:pt idx="76">
                  <c:v>45688</c:v>
                </c:pt>
                <c:pt idx="77">
                  <c:v>45695</c:v>
                </c:pt>
                <c:pt idx="78">
                  <c:v>45702</c:v>
                </c:pt>
                <c:pt idx="79">
                  <c:v>45709</c:v>
                </c:pt>
                <c:pt idx="80">
                  <c:v>45716</c:v>
                </c:pt>
                <c:pt idx="81">
                  <c:v>45723</c:v>
                </c:pt>
                <c:pt idx="82">
                  <c:v>45730</c:v>
                </c:pt>
                <c:pt idx="83">
                  <c:v>45737</c:v>
                </c:pt>
                <c:pt idx="84">
                  <c:v>45744</c:v>
                </c:pt>
                <c:pt idx="85">
                  <c:v>45751</c:v>
                </c:pt>
                <c:pt idx="86">
                  <c:v>45758</c:v>
                </c:pt>
                <c:pt idx="87">
                  <c:v>45764</c:v>
                </c:pt>
                <c:pt idx="88">
                  <c:v>45772</c:v>
                </c:pt>
                <c:pt idx="89">
                  <c:v>45779</c:v>
                </c:pt>
                <c:pt idx="90">
                  <c:v>45786</c:v>
                </c:pt>
                <c:pt idx="91">
                  <c:v>45793</c:v>
                </c:pt>
                <c:pt idx="92">
                  <c:v>45800</c:v>
                </c:pt>
                <c:pt idx="93">
                  <c:v>45807</c:v>
                </c:pt>
                <c:pt idx="94">
                  <c:v>45814</c:v>
                </c:pt>
                <c:pt idx="95">
                  <c:v>45821</c:v>
                </c:pt>
                <c:pt idx="96">
                  <c:v>45828</c:v>
                </c:pt>
                <c:pt idx="97">
                  <c:v>45835</c:v>
                </c:pt>
                <c:pt idx="98">
                  <c:v>45841</c:v>
                </c:pt>
                <c:pt idx="99">
                  <c:v>45849</c:v>
                </c:pt>
                <c:pt idx="100">
                  <c:v>45856</c:v>
                </c:pt>
                <c:pt idx="101">
                  <c:v>45863</c:v>
                </c:pt>
                <c:pt idx="102">
                  <c:v>45870</c:v>
                </c:pt>
                <c:pt idx="103">
                  <c:v>45877</c:v>
                </c:pt>
                <c:pt idx="104">
                  <c:v>45884</c:v>
                </c:pt>
                <c:pt idx="105">
                  <c:v>45891</c:v>
                </c:pt>
                <c:pt idx="106">
                  <c:v>45898</c:v>
                </c:pt>
                <c:pt idx="107">
                  <c:v>45905</c:v>
                </c:pt>
                <c:pt idx="108">
                  <c:v>45912</c:v>
                </c:pt>
                <c:pt idx="109">
                  <c:v>45919</c:v>
                </c:pt>
                <c:pt idx="110">
                  <c:v>45926</c:v>
                </c:pt>
                <c:pt idx="111">
                  <c:v>45933</c:v>
                </c:pt>
                <c:pt idx="112">
                  <c:v>45940</c:v>
                </c:pt>
                <c:pt idx="113">
                  <c:v>45947</c:v>
                </c:pt>
                <c:pt idx="114">
                  <c:v>45954</c:v>
                </c:pt>
                <c:pt idx="115">
                  <c:v>45961</c:v>
                </c:pt>
                <c:pt idx="116">
                  <c:v>45968</c:v>
                </c:pt>
                <c:pt idx="117">
                  <c:v>45975</c:v>
                </c:pt>
                <c:pt idx="118">
                  <c:v>45982</c:v>
                </c:pt>
                <c:pt idx="119">
                  <c:v>45989</c:v>
                </c:pt>
                <c:pt idx="120">
                  <c:v>45996</c:v>
                </c:pt>
                <c:pt idx="121">
                  <c:v>46003</c:v>
                </c:pt>
                <c:pt idx="122">
                  <c:v>46010</c:v>
                </c:pt>
                <c:pt idx="123">
                  <c:v>46017</c:v>
                </c:pt>
                <c:pt idx="124">
                  <c:v>46024</c:v>
                </c:pt>
                <c:pt idx="125">
                  <c:v>46031</c:v>
                </c:pt>
                <c:pt idx="126">
                  <c:v>46038</c:v>
                </c:pt>
                <c:pt idx="127">
                  <c:v>46045</c:v>
                </c:pt>
                <c:pt idx="128">
                  <c:v>46052</c:v>
                </c:pt>
                <c:pt idx="129">
                  <c:v>46059</c:v>
                </c:pt>
                <c:pt idx="130">
                  <c:v>46066</c:v>
                </c:pt>
                <c:pt idx="131">
                  <c:v>46073</c:v>
                </c:pt>
                <c:pt idx="132">
                  <c:v>46080</c:v>
                </c:pt>
                <c:pt idx="133">
                  <c:v>46087</c:v>
                </c:pt>
                <c:pt idx="134">
                  <c:v>46094</c:v>
                </c:pt>
                <c:pt idx="135">
                  <c:v>46101</c:v>
                </c:pt>
                <c:pt idx="136">
                  <c:v>46108</c:v>
                </c:pt>
                <c:pt idx="137">
                  <c:v>46114</c:v>
                </c:pt>
                <c:pt idx="138">
                  <c:v>46122</c:v>
                </c:pt>
                <c:pt idx="139">
                  <c:v>46129</c:v>
                </c:pt>
                <c:pt idx="140">
                  <c:v>46136</c:v>
                </c:pt>
                <c:pt idx="141">
                  <c:v>46143</c:v>
                </c:pt>
                <c:pt idx="142">
                  <c:v>46150</c:v>
                </c:pt>
                <c:pt idx="143">
                  <c:v>46157</c:v>
                </c:pt>
                <c:pt idx="144">
                  <c:v>46164</c:v>
                </c:pt>
                <c:pt idx="145">
                  <c:v>46171</c:v>
                </c:pt>
                <c:pt idx="146">
                  <c:v>46178</c:v>
                </c:pt>
                <c:pt idx="147">
                  <c:v>46185</c:v>
                </c:pt>
                <c:pt idx="148">
                  <c:v>46191</c:v>
                </c:pt>
                <c:pt idx="149">
                  <c:v>46199</c:v>
                </c:pt>
                <c:pt idx="150">
                  <c:v>46205</c:v>
                </c:pt>
                <c:pt idx="151">
                  <c:v>46213</c:v>
                </c:pt>
                <c:pt idx="152">
                  <c:v>46220</c:v>
                </c:pt>
                <c:pt idx="153">
                  <c:v>46227</c:v>
                </c:pt>
                <c:pt idx="154">
                  <c:v>46234</c:v>
                </c:pt>
                <c:pt idx="155">
                  <c:v>46241</c:v>
                </c:pt>
                <c:pt idx="156">
                  <c:v>46248</c:v>
                </c:pt>
                <c:pt idx="157">
                  <c:v>46255</c:v>
                </c:pt>
                <c:pt idx="158">
                  <c:v>46262</c:v>
                </c:pt>
                <c:pt idx="159">
                  <c:v>46269</c:v>
                </c:pt>
              </c:numCache>
            </c:numRef>
          </c:cat>
          <c:val>
            <c:numRef>
              <c:f>'Returns (Calc)'!$F$3:$F$500</c:f>
              <c:numCache>
                <c:formatCode>0.0%</c:formatCode>
                <c:ptCount val="498"/>
                <c:pt idx="0">
                  <c:v>-9.7139773340528812E-3</c:v>
                </c:pt>
                <c:pt idx="1">
                  <c:v>1.9073569482288777E-2</c:v>
                </c:pt>
                <c:pt idx="2">
                  <c:v>7.780748663101611E-2</c:v>
                </c:pt>
                <c:pt idx="3">
                  <c:v>4.242123542545273E-2</c:v>
                </c:pt>
                <c:pt idx="4">
                  <c:v>-1.5706806282722585E-2</c:v>
                </c:pt>
                <c:pt idx="5">
                  <c:v>-1.7408123791102459E-2</c:v>
                </c:pt>
                <c:pt idx="6">
                  <c:v>2.9773622047244208E-2</c:v>
                </c:pt>
                <c:pt idx="7">
                  <c:v>5.5436081242532964E-2</c:v>
                </c:pt>
                <c:pt idx="8">
                  <c:v>5.1165949739642169E-2</c:v>
                </c:pt>
                <c:pt idx="9">
                  <c:v>-3.7475769976308415E-2</c:v>
                </c:pt>
                <c:pt idx="10">
                  <c:v>-3.3117028417990579E-2</c:v>
                </c:pt>
                <c:pt idx="11">
                  <c:v>8.9099745429298771E-2</c:v>
                </c:pt>
                <c:pt idx="12">
                  <c:v>4.2923926901827336E-2</c:v>
                </c:pt>
                <c:pt idx="13">
                  <c:v>5.4808475957620395E-2</c:v>
                </c:pt>
                <c:pt idx="14">
                  <c:v>1.7384585667374886E-2</c:v>
                </c:pt>
                <c:pt idx="15">
                  <c:v>0.11562559331687861</c:v>
                </c:pt>
                <c:pt idx="16">
                  <c:v>3.1994554118447871E-2</c:v>
                </c:pt>
                <c:pt idx="17">
                  <c:v>7.2229551451187257E-2</c:v>
                </c:pt>
                <c:pt idx="18">
                  <c:v>-1.7071670255306093E-2</c:v>
                </c:pt>
                <c:pt idx="19">
                  <c:v>-1.2517602879048573E-3</c:v>
                </c:pt>
                <c:pt idx="20">
                  <c:v>-3.0706564311452356E-2</c:v>
                </c:pt>
                <c:pt idx="21">
                  <c:v>0.14498141263940534</c:v>
                </c:pt>
                <c:pt idx="22">
                  <c:v>2.5409373235460109E-2</c:v>
                </c:pt>
                <c:pt idx="23">
                  <c:v>-8.2599118942738858E-4</c:v>
                </c:pt>
                <c:pt idx="24">
                  <c:v>4.5604849820887416E-2</c:v>
                </c:pt>
                <c:pt idx="25">
                  <c:v>8.499143497166961E-2</c:v>
                </c:pt>
                <c:pt idx="26">
                  <c:v>-3.6434296818077527E-4</c:v>
                </c:pt>
                <c:pt idx="27">
                  <c:v>-5.3942412829546815E-2</c:v>
                </c:pt>
                <c:pt idx="28">
                  <c:v>1.001669449081799E-2</c:v>
                </c:pt>
                <c:pt idx="29">
                  <c:v>2.6191989828353357E-2</c:v>
                </c:pt>
                <c:pt idx="30">
                  <c:v>-2.2302069136414304E-2</c:v>
                </c:pt>
                <c:pt idx="31">
                  <c:v>3.7891268533772671E-2</c:v>
                </c:pt>
                <c:pt idx="32">
                  <c:v>-2.1367521367521403E-2</c:v>
                </c:pt>
                <c:pt idx="33">
                  <c:v>-1.5845290081098029E-2</c:v>
                </c:pt>
                <c:pt idx="34">
                  <c:v>-2.0537525354969444E-2</c:v>
                </c:pt>
                <c:pt idx="35">
                  <c:v>-8.5425834843386061E-2</c:v>
                </c:pt>
                <c:pt idx="36">
                  <c:v>7.5856212850268889E-2</c:v>
                </c:pt>
                <c:pt idx="37">
                  <c:v>2.0126282557221709E-2</c:v>
                </c:pt>
                <c:pt idx="38">
                  <c:v>3.4042553191489411E-2</c:v>
                </c:pt>
                <c:pt idx="39">
                  <c:v>7.8438708068337748E-2</c:v>
                </c:pt>
                <c:pt idx="40">
                  <c:v>1.6073080481036062E-2</c:v>
                </c:pt>
                <c:pt idx="41">
                  <c:v>-0.10754523728234899</c:v>
                </c:pt>
                <c:pt idx="42">
                  <c:v>0.11298138230043353</c:v>
                </c:pt>
                <c:pt idx="43">
                  <c:v>0.10403299725022919</c:v>
                </c:pt>
                <c:pt idx="44">
                  <c:v>-1.2453300124533051E-2</c:v>
                </c:pt>
                <c:pt idx="45">
                  <c:v>6.7255149222362753E-3</c:v>
                </c:pt>
                <c:pt idx="46">
                  <c:v>1.6910229645094033E-2</c:v>
                </c:pt>
                <c:pt idx="47">
                  <c:v>-4.711558201601318E-2</c:v>
                </c:pt>
                <c:pt idx="48">
                  <c:v>-0.17871377787353226</c:v>
                </c:pt>
                <c:pt idx="49">
                  <c:v>-0.16002098635886663</c:v>
                </c:pt>
                <c:pt idx="50">
                  <c:v>-0.14943785134291077</c:v>
                </c:pt>
                <c:pt idx="51">
                  <c:v>0.1057462823572608</c:v>
                </c:pt>
                <c:pt idx="52">
                  <c:v>8.9822347667275482E-2</c:v>
                </c:pt>
                <c:pt idx="53">
                  <c:v>3.427787934186477E-2</c:v>
                </c:pt>
                <c:pt idx="54">
                  <c:v>2.1063485049344521E-2</c:v>
                </c:pt>
                <c:pt idx="55">
                  <c:v>-0.11136757068667036</c:v>
                </c:pt>
                <c:pt idx="56">
                  <c:v>5.1623376623376682E-2</c:v>
                </c:pt>
                <c:pt idx="57">
                  <c:v>0.15714726767520837</c:v>
                </c:pt>
                <c:pt idx="58">
                  <c:v>-4.6558164354322251E-2</c:v>
                </c:pt>
                <c:pt idx="59">
                  <c:v>2.224709668392344E-2</c:v>
                </c:pt>
                <c:pt idx="60">
                  <c:v>9.5674787845606346E-2</c:v>
                </c:pt>
                <c:pt idx="61">
                  <c:v>-3.1355402873204152E-2</c:v>
                </c:pt>
                <c:pt idx="62">
                  <c:v>-3.0693835439773109E-2</c:v>
                </c:pt>
                <c:pt idx="63">
                  <c:v>8.2490686535392488E-3</c:v>
                </c:pt>
                <c:pt idx="64">
                  <c:v>8.8809712325151891E-2</c:v>
                </c:pt>
                <c:pt idx="65">
                  <c:v>2.0361168343230984E-2</c:v>
                </c:pt>
                <c:pt idx="66">
                  <c:v>0.10547570970424025</c:v>
                </c:pt>
                <c:pt idx="67">
                  <c:v>-7.0699473514558964E-2</c:v>
                </c:pt>
                <c:pt idx="68">
                  <c:v>5.6885189039195261E-2</c:v>
                </c:pt>
                <c:pt idx="69">
                  <c:v>6.5638332786348563E-3</c:v>
                </c:pt>
                <c:pt idx="70">
                  <c:v>-1.5650472774698554E-2</c:v>
                </c:pt>
                <c:pt idx="71">
                  <c:v>-2.0094954179087909E-2</c:v>
                </c:pt>
                <c:pt idx="72">
                  <c:v>1.1380281690140936E-2</c:v>
                </c:pt>
                <c:pt idx="73">
                  <c:v>-2.840909090909105E-2</c:v>
                </c:pt>
                <c:pt idx="74">
                  <c:v>2.3391812865497075E-2</c:v>
                </c:pt>
                <c:pt idx="75">
                  <c:v>5.0196078431372637E-2</c:v>
                </c:pt>
                <c:pt idx="76">
                  <c:v>6.1773178278032637E-2</c:v>
                </c:pt>
                <c:pt idx="77">
                  <c:v>5.9083601286173737E-2</c:v>
                </c:pt>
                <c:pt idx="78">
                  <c:v>7.1537001897533203E-2</c:v>
                </c:pt>
                <c:pt idx="79">
                  <c:v>-9.9787497786435253E-2</c:v>
                </c:pt>
                <c:pt idx="80">
                  <c:v>-4.1801908134159516E-2</c:v>
                </c:pt>
                <c:pt idx="81">
                  <c:v>-0.14411825087251084</c:v>
                </c:pt>
                <c:pt idx="82">
                  <c:v>6.0566082993523729E-2</c:v>
                </c:pt>
                <c:pt idx="83">
                  <c:v>2.4086848354630819E-2</c:v>
                </c:pt>
                <c:pt idx="84">
                  <c:v>-1.4134275618374548E-2</c:v>
                </c:pt>
                <c:pt idx="85">
                  <c:v>-9.9350358422939156E-2</c:v>
                </c:pt>
                <c:pt idx="86">
                  <c:v>0.17497823653774414</c:v>
                </c:pt>
                <c:pt idx="87">
                  <c:v>-6.0330228619814852E-3</c:v>
                </c:pt>
                <c:pt idx="88">
                  <c:v>0.13108295176232576</c:v>
                </c:pt>
                <c:pt idx="89">
                  <c:v>3.699868198079459E-2</c:v>
                </c:pt>
                <c:pt idx="90">
                  <c:v>-6.8179754879709509E-2</c:v>
                </c:pt>
                <c:pt idx="91">
                  <c:v>6.9953234606391135E-2</c:v>
                </c:pt>
                <c:pt idx="92">
                  <c:v>3.7151702786377916E-2</c:v>
                </c:pt>
                <c:pt idx="93">
                  <c:v>3.4591747146619722E-2</c:v>
                </c:pt>
                <c:pt idx="94">
                  <c:v>-6.2797012898846427E-3</c:v>
                </c:pt>
                <c:pt idx="95">
                  <c:v>2.6131511528608042E-2</c:v>
                </c:pt>
                <c:pt idx="96">
                  <c:v>-8.9880159786950298E-3</c:v>
                </c:pt>
                <c:pt idx="97">
                  <c:v>4.8286865972455573E-2</c:v>
                </c:pt>
                <c:pt idx="98">
                  <c:v>2.9640310822719007E-2</c:v>
                </c:pt>
                <c:pt idx="99">
                  <c:v>-6.9400140045125625E-2</c:v>
                </c:pt>
                <c:pt idx="100">
                  <c:v>-5.1835130841902943E-3</c:v>
                </c:pt>
                <c:pt idx="101">
                  <c:v>-1.6892175813093435E-2</c:v>
                </c:pt>
                <c:pt idx="102">
                  <c:v>-4.5392374764917087E-2</c:v>
                </c:pt>
                <c:pt idx="103">
                  <c:v>-4.970000895495652E-2</c:v>
                </c:pt>
                <c:pt idx="104">
                  <c:v>8.1040331699961943E-3</c:v>
                </c:pt>
                <c:pt idx="105">
                  <c:v>-1.7199476537670622E-2</c:v>
                </c:pt>
                <c:pt idx="106">
                  <c:v>7.5137911356286669E-3</c:v>
                </c:pt>
                <c:pt idx="107">
                  <c:v>-1.43490984612481E-2</c:v>
                </c:pt>
                <c:pt idx="108">
                  <c:v>4.4248635188200325E-2</c:v>
                </c:pt>
                <c:pt idx="109">
                  <c:v>0.15234339172704758</c:v>
                </c:pt>
                <c:pt idx="110">
                  <c:v>-4.2024832855778405E-2</c:v>
                </c:pt>
                <c:pt idx="111">
                  <c:v>1.7530741110003412E-2</c:v>
                </c:pt>
                <c:pt idx="112">
                  <c:v>7.7570017147057246E-3</c:v>
                </c:pt>
                <c:pt idx="113">
                  <c:v>-1.83114568141306E-2</c:v>
                </c:pt>
                <c:pt idx="114">
                  <c:v>8.8065368108286801E-2</c:v>
                </c:pt>
                <c:pt idx="115">
                  <c:v>2.9735265114162024E-2</c:v>
                </c:pt>
                <c:pt idx="116">
                  <c:v>-5.8931860036832706E-3</c:v>
                </c:pt>
                <c:pt idx="117">
                  <c:v>-4.1496850685439624E-3</c:v>
                </c:pt>
                <c:pt idx="118">
                  <c:v>-8.7208869707567471E-2</c:v>
                </c:pt>
                <c:pt idx="119">
                  <c:v>3.7662020053802925E-2</c:v>
                </c:pt>
                <c:pt idx="120">
                  <c:v>5.6563752062219752E-3</c:v>
                </c:pt>
                <c:pt idx="121">
                  <c:v>-1.4139520349972567E-2</c:v>
                </c:pt>
                <c:pt idx="122">
                  <c:v>-4.6592709984152214E-2</c:v>
                </c:pt>
                <c:pt idx="123">
                  <c:v>-1.6622340425531679E-4</c:v>
                </c:pt>
                <c:pt idx="124">
                  <c:v>-5.7356608478802973E-2</c:v>
                </c:pt>
                <c:pt idx="125">
                  <c:v>3.7477954144620851E-2</c:v>
                </c:pt>
                <c:pt idx="126">
                  <c:v>-3.5529111772205746E-2</c:v>
                </c:pt>
                <c:pt idx="127">
                  <c:v>-3.0845157310301907E-3</c:v>
                </c:pt>
                <c:pt idx="128">
                  <c:v>-2.4487270155587049E-2</c:v>
                </c:pt>
                <c:pt idx="129">
                  <c:v>-0.10394200271862253</c:v>
                </c:pt>
                <c:pt idx="130">
                  <c:v>8.6266181229773586E-2</c:v>
                </c:pt>
                <c:pt idx="131">
                  <c:v>-9.5521832231635684E-2</c:v>
                </c:pt>
                <c:pt idx="132">
                  <c:v>-4.2717447246526041E-2</c:v>
                </c:pt>
                <c:pt idx="133">
                  <c:v>0.15322580645161299</c:v>
                </c:pt>
                <c:pt idx="134">
                  <c:v>2.9836829836829892E-2</c:v>
                </c:pt>
                <c:pt idx="135">
                  <c:v>-7.4241738343141739E-2</c:v>
                </c:pt>
                <c:pt idx="136">
                  <c:v>-9.6332518337408302E-2</c:v>
                </c:pt>
                <c:pt idx="137">
                  <c:v>7.9870129870129869E-2</c:v>
                </c:pt>
                <c:pt idx="138">
                  <c:v>-5.0310683503708153E-2</c:v>
                </c:pt>
                <c:pt idx="139">
                  <c:v>0.11850991979738268</c:v>
                </c:pt>
                <c:pt idx="140">
                  <c:v>5.6986508161147365E-2</c:v>
                </c:pt>
                <c:pt idx="141">
                  <c:v>1.6781219316254425E-2</c:v>
                </c:pt>
                <c:pt idx="142">
                  <c:v>0.15828285488543581</c:v>
                </c:pt>
                <c:pt idx="143">
                  <c:v>0.12566318023343959</c:v>
                </c:pt>
                <c:pt idx="144">
                  <c:v>0.11681928359816851</c:v>
                </c:pt>
                <c:pt idx="145">
                  <c:v>0.10176644360040998</c:v>
                </c:pt>
                <c:pt idx="146">
                  <c:v>-8.2024623803009677E-2</c:v>
                </c:pt>
                <c:pt idx="147">
                  <c:v>1.7525035765379116E-2</c:v>
                </c:pt>
                <c:pt idx="148">
                  <c:v>3.0462800234329901E-3</c:v>
                </c:pt>
                <c:pt idx="149">
                  <c:v>2.365377876416308E-2</c:v>
                </c:pt>
                <c:pt idx="150">
                  <c:v>0.10674958635248455</c:v>
                </c:pt>
                <c:pt idx="151">
                  <c:v>-3.5055160325806689E-2</c:v>
                </c:pt>
                <c:pt idx="152">
                  <c:v>8.4944972753499437E-2</c:v>
                </c:pt>
                <c:pt idx="153">
                  <c:v>-9.7498522749655314E-2</c:v>
                </c:pt>
                <c:pt idx="154">
                  <c:v>4.1357485814055073E-2</c:v>
                </c:pt>
                <c:pt idx="155">
                  <c:v>0.12344126584931359</c:v>
                </c:pt>
                <c:pt idx="156">
                  <c:v>1.1799272455927712E-2</c:v>
                </c:pt>
                <c:pt idx="157">
                  <c:v>-0.11523392486748096</c:v>
                </c:pt>
                <c:pt idx="158">
                  <c:v>0.13779630112008334</c:v>
                </c:pt>
                <c:pt idx="159">
                  <c:v>-2.4267399267399292E-2</c:v>
                </c:pt>
              </c:numCache>
            </c:numRef>
          </c:val>
          <c:extLst>
            <c:ext xmlns:c16="http://schemas.microsoft.com/office/drawing/2014/chart" uri="{C3380CC4-5D6E-409C-BE32-E72D297353CC}">
              <c16:uniqueId val="{00000000-3F4A-4EC5-B2CA-AEEE17842FB5}"/>
            </c:ext>
          </c:extLst>
        </c:ser>
        <c:dLbls>
          <c:showLegendKey val="0"/>
          <c:showVal val="0"/>
          <c:showCatName val="0"/>
          <c:showSerName val="0"/>
          <c:showPercent val="0"/>
          <c:showBubbleSize val="0"/>
        </c:dLbls>
        <c:gapWidth val="150"/>
        <c:axId val="26208546"/>
        <c:axId val="36586111"/>
      </c:barChart>
      <c:lineChart>
        <c:grouping val="standard"/>
        <c:varyColors val="0"/>
        <c:ser>
          <c:idx val="1"/>
          <c:order val="1"/>
          <c:tx>
            <c:strRef>
              <c:f>'Returns (Calc)'!$AA$2</c:f>
              <c:strCache>
                <c:ptCount val="1"/>
                <c:pt idx="0">
                  <c:v>CRWD trend</c:v>
                </c:pt>
              </c:strCache>
            </c:strRef>
          </c:tx>
          <c:spPr>
            <a:ln w="201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45156</c:v>
                </c:pt>
                <c:pt idx="1">
                  <c:v>45163</c:v>
                </c:pt>
                <c:pt idx="2">
                  <c:v>45170</c:v>
                </c:pt>
                <c:pt idx="3">
                  <c:v>45177</c:v>
                </c:pt>
                <c:pt idx="4">
                  <c:v>45184</c:v>
                </c:pt>
                <c:pt idx="5">
                  <c:v>45191</c:v>
                </c:pt>
                <c:pt idx="6">
                  <c:v>45198</c:v>
                </c:pt>
                <c:pt idx="7">
                  <c:v>45205</c:v>
                </c:pt>
                <c:pt idx="8">
                  <c:v>45212</c:v>
                </c:pt>
                <c:pt idx="9">
                  <c:v>45219</c:v>
                </c:pt>
                <c:pt idx="10">
                  <c:v>45226</c:v>
                </c:pt>
                <c:pt idx="11">
                  <c:v>45233</c:v>
                </c:pt>
                <c:pt idx="12">
                  <c:v>45240</c:v>
                </c:pt>
                <c:pt idx="13">
                  <c:v>45247</c:v>
                </c:pt>
                <c:pt idx="14">
                  <c:v>45254</c:v>
                </c:pt>
                <c:pt idx="15">
                  <c:v>45261</c:v>
                </c:pt>
                <c:pt idx="16">
                  <c:v>45268</c:v>
                </c:pt>
                <c:pt idx="17">
                  <c:v>45275</c:v>
                </c:pt>
                <c:pt idx="18">
                  <c:v>45282</c:v>
                </c:pt>
                <c:pt idx="19">
                  <c:v>45289</c:v>
                </c:pt>
                <c:pt idx="20">
                  <c:v>45296</c:v>
                </c:pt>
                <c:pt idx="21">
                  <c:v>45303</c:v>
                </c:pt>
                <c:pt idx="22">
                  <c:v>45310</c:v>
                </c:pt>
                <c:pt idx="23">
                  <c:v>45317</c:v>
                </c:pt>
                <c:pt idx="24">
                  <c:v>45324</c:v>
                </c:pt>
                <c:pt idx="25">
                  <c:v>45331</c:v>
                </c:pt>
                <c:pt idx="26">
                  <c:v>45338</c:v>
                </c:pt>
                <c:pt idx="27">
                  <c:v>45345</c:v>
                </c:pt>
                <c:pt idx="28">
                  <c:v>45352</c:v>
                </c:pt>
                <c:pt idx="29">
                  <c:v>45359</c:v>
                </c:pt>
                <c:pt idx="30">
                  <c:v>45366</c:v>
                </c:pt>
                <c:pt idx="31">
                  <c:v>45373</c:v>
                </c:pt>
                <c:pt idx="32">
                  <c:v>45379</c:v>
                </c:pt>
                <c:pt idx="33">
                  <c:v>45387</c:v>
                </c:pt>
                <c:pt idx="34">
                  <c:v>45394</c:v>
                </c:pt>
                <c:pt idx="35">
                  <c:v>45401</c:v>
                </c:pt>
                <c:pt idx="36">
                  <c:v>45408</c:v>
                </c:pt>
                <c:pt idx="37">
                  <c:v>45415</c:v>
                </c:pt>
                <c:pt idx="38">
                  <c:v>45422</c:v>
                </c:pt>
                <c:pt idx="39">
                  <c:v>45429</c:v>
                </c:pt>
                <c:pt idx="40">
                  <c:v>45436</c:v>
                </c:pt>
                <c:pt idx="41">
                  <c:v>45443</c:v>
                </c:pt>
                <c:pt idx="42">
                  <c:v>45450</c:v>
                </c:pt>
                <c:pt idx="43">
                  <c:v>45457</c:v>
                </c:pt>
                <c:pt idx="44">
                  <c:v>45464</c:v>
                </c:pt>
                <c:pt idx="45">
                  <c:v>45471</c:v>
                </c:pt>
                <c:pt idx="46">
                  <c:v>45478</c:v>
                </c:pt>
                <c:pt idx="47">
                  <c:v>45485</c:v>
                </c:pt>
                <c:pt idx="48">
                  <c:v>45492</c:v>
                </c:pt>
                <c:pt idx="49">
                  <c:v>45499</c:v>
                </c:pt>
                <c:pt idx="50">
                  <c:v>45506</c:v>
                </c:pt>
                <c:pt idx="51">
                  <c:v>45513</c:v>
                </c:pt>
                <c:pt idx="52">
                  <c:v>45520</c:v>
                </c:pt>
                <c:pt idx="53">
                  <c:v>45527</c:v>
                </c:pt>
                <c:pt idx="54">
                  <c:v>45534</c:v>
                </c:pt>
                <c:pt idx="55">
                  <c:v>45541</c:v>
                </c:pt>
                <c:pt idx="56">
                  <c:v>45548</c:v>
                </c:pt>
                <c:pt idx="57">
                  <c:v>45555</c:v>
                </c:pt>
                <c:pt idx="58">
                  <c:v>45562</c:v>
                </c:pt>
                <c:pt idx="59">
                  <c:v>45569</c:v>
                </c:pt>
                <c:pt idx="60">
                  <c:v>45576</c:v>
                </c:pt>
                <c:pt idx="61">
                  <c:v>45583</c:v>
                </c:pt>
                <c:pt idx="62">
                  <c:v>45590</c:v>
                </c:pt>
                <c:pt idx="63">
                  <c:v>45597</c:v>
                </c:pt>
                <c:pt idx="64">
                  <c:v>45604</c:v>
                </c:pt>
                <c:pt idx="65">
                  <c:v>45611</c:v>
                </c:pt>
                <c:pt idx="66">
                  <c:v>45618</c:v>
                </c:pt>
                <c:pt idx="67">
                  <c:v>45625</c:v>
                </c:pt>
                <c:pt idx="68">
                  <c:v>45632</c:v>
                </c:pt>
                <c:pt idx="69">
                  <c:v>45639</c:v>
                </c:pt>
                <c:pt idx="70">
                  <c:v>45646</c:v>
                </c:pt>
                <c:pt idx="71">
                  <c:v>45653</c:v>
                </c:pt>
                <c:pt idx="72">
                  <c:v>45660</c:v>
                </c:pt>
                <c:pt idx="73">
                  <c:v>45667</c:v>
                </c:pt>
                <c:pt idx="74">
                  <c:v>45674</c:v>
                </c:pt>
                <c:pt idx="75">
                  <c:v>45681</c:v>
                </c:pt>
                <c:pt idx="76">
                  <c:v>45688</c:v>
                </c:pt>
                <c:pt idx="77">
                  <c:v>45695</c:v>
                </c:pt>
                <c:pt idx="78">
                  <c:v>45702</c:v>
                </c:pt>
                <c:pt idx="79">
                  <c:v>45709</c:v>
                </c:pt>
                <c:pt idx="80">
                  <c:v>45716</c:v>
                </c:pt>
                <c:pt idx="81">
                  <c:v>45723</c:v>
                </c:pt>
                <c:pt idx="82">
                  <c:v>45730</c:v>
                </c:pt>
                <c:pt idx="83">
                  <c:v>45737</c:v>
                </c:pt>
                <c:pt idx="84">
                  <c:v>45744</c:v>
                </c:pt>
                <c:pt idx="85">
                  <c:v>45751</c:v>
                </c:pt>
                <c:pt idx="86">
                  <c:v>45758</c:v>
                </c:pt>
                <c:pt idx="87">
                  <c:v>45764</c:v>
                </c:pt>
                <c:pt idx="88">
                  <c:v>45772</c:v>
                </c:pt>
                <c:pt idx="89">
                  <c:v>45779</c:v>
                </c:pt>
                <c:pt idx="90">
                  <c:v>45786</c:v>
                </c:pt>
                <c:pt idx="91">
                  <c:v>45793</c:v>
                </c:pt>
                <c:pt idx="92">
                  <c:v>45800</c:v>
                </c:pt>
                <c:pt idx="93">
                  <c:v>45807</c:v>
                </c:pt>
                <c:pt idx="94">
                  <c:v>45814</c:v>
                </c:pt>
                <c:pt idx="95">
                  <c:v>45821</c:v>
                </c:pt>
                <c:pt idx="96">
                  <c:v>45828</c:v>
                </c:pt>
                <c:pt idx="97">
                  <c:v>45835</c:v>
                </c:pt>
                <c:pt idx="98">
                  <c:v>45841</c:v>
                </c:pt>
                <c:pt idx="99">
                  <c:v>45849</c:v>
                </c:pt>
                <c:pt idx="100">
                  <c:v>45856</c:v>
                </c:pt>
                <c:pt idx="101">
                  <c:v>45863</c:v>
                </c:pt>
                <c:pt idx="102">
                  <c:v>45870</c:v>
                </c:pt>
                <c:pt idx="103">
                  <c:v>45877</c:v>
                </c:pt>
                <c:pt idx="104">
                  <c:v>45884</c:v>
                </c:pt>
                <c:pt idx="105">
                  <c:v>45891</c:v>
                </c:pt>
                <c:pt idx="106">
                  <c:v>45898</c:v>
                </c:pt>
                <c:pt idx="107">
                  <c:v>45905</c:v>
                </c:pt>
                <c:pt idx="108">
                  <c:v>45912</c:v>
                </c:pt>
                <c:pt idx="109">
                  <c:v>45919</c:v>
                </c:pt>
                <c:pt idx="110">
                  <c:v>45926</c:v>
                </c:pt>
                <c:pt idx="111">
                  <c:v>45933</c:v>
                </c:pt>
                <c:pt idx="112">
                  <c:v>45940</c:v>
                </c:pt>
                <c:pt idx="113">
                  <c:v>45947</c:v>
                </c:pt>
                <c:pt idx="114">
                  <c:v>45954</c:v>
                </c:pt>
                <c:pt idx="115">
                  <c:v>45961</c:v>
                </c:pt>
                <c:pt idx="116">
                  <c:v>45968</c:v>
                </c:pt>
                <c:pt idx="117">
                  <c:v>45975</c:v>
                </c:pt>
                <c:pt idx="118">
                  <c:v>45982</c:v>
                </c:pt>
                <c:pt idx="119">
                  <c:v>45989</c:v>
                </c:pt>
                <c:pt idx="120">
                  <c:v>45996</c:v>
                </c:pt>
                <c:pt idx="121">
                  <c:v>46003</c:v>
                </c:pt>
                <c:pt idx="122">
                  <c:v>46010</c:v>
                </c:pt>
                <c:pt idx="123">
                  <c:v>46017</c:v>
                </c:pt>
                <c:pt idx="124">
                  <c:v>46024</c:v>
                </c:pt>
                <c:pt idx="125">
                  <c:v>46031</c:v>
                </c:pt>
                <c:pt idx="126">
                  <c:v>46038</c:v>
                </c:pt>
                <c:pt idx="127">
                  <c:v>46045</c:v>
                </c:pt>
                <c:pt idx="128">
                  <c:v>46052</c:v>
                </c:pt>
                <c:pt idx="129">
                  <c:v>46059</c:v>
                </c:pt>
                <c:pt idx="130">
                  <c:v>46066</c:v>
                </c:pt>
                <c:pt idx="131">
                  <c:v>46073</c:v>
                </c:pt>
                <c:pt idx="132">
                  <c:v>46080</c:v>
                </c:pt>
                <c:pt idx="133">
                  <c:v>46087</c:v>
                </c:pt>
                <c:pt idx="134">
                  <c:v>46094</c:v>
                </c:pt>
                <c:pt idx="135">
                  <c:v>46101</c:v>
                </c:pt>
                <c:pt idx="136">
                  <c:v>46108</c:v>
                </c:pt>
                <c:pt idx="137">
                  <c:v>46114</c:v>
                </c:pt>
                <c:pt idx="138">
                  <c:v>46122</c:v>
                </c:pt>
                <c:pt idx="139">
                  <c:v>46129</c:v>
                </c:pt>
                <c:pt idx="140">
                  <c:v>46136</c:v>
                </c:pt>
                <c:pt idx="141">
                  <c:v>46143</c:v>
                </c:pt>
                <c:pt idx="142">
                  <c:v>46150</c:v>
                </c:pt>
                <c:pt idx="143">
                  <c:v>46157</c:v>
                </c:pt>
                <c:pt idx="144">
                  <c:v>46164</c:v>
                </c:pt>
                <c:pt idx="145">
                  <c:v>46171</c:v>
                </c:pt>
                <c:pt idx="146">
                  <c:v>46178</c:v>
                </c:pt>
                <c:pt idx="147">
                  <c:v>46185</c:v>
                </c:pt>
                <c:pt idx="148">
                  <c:v>46191</c:v>
                </c:pt>
                <c:pt idx="149">
                  <c:v>46199</c:v>
                </c:pt>
                <c:pt idx="150">
                  <c:v>46205</c:v>
                </c:pt>
                <c:pt idx="151">
                  <c:v>46213</c:v>
                </c:pt>
                <c:pt idx="152">
                  <c:v>46220</c:v>
                </c:pt>
                <c:pt idx="153">
                  <c:v>46227</c:v>
                </c:pt>
                <c:pt idx="154">
                  <c:v>46234</c:v>
                </c:pt>
                <c:pt idx="155">
                  <c:v>46241</c:v>
                </c:pt>
                <c:pt idx="156">
                  <c:v>46248</c:v>
                </c:pt>
                <c:pt idx="157">
                  <c:v>46255</c:v>
                </c:pt>
                <c:pt idx="158">
                  <c:v>46262</c:v>
                </c:pt>
                <c:pt idx="159">
                  <c:v>46269</c:v>
                </c:pt>
              </c:numCache>
            </c:numRef>
          </c:cat>
          <c:val>
            <c:numRef>
              <c:f>'Returns (Calc)'!$AA$3:$AA$500</c:f>
              <c:numCache>
                <c:formatCode>#,##0.00</c:formatCode>
                <c:ptCount val="498"/>
                <c:pt idx="0">
                  <c:v>37.06</c:v>
                </c:pt>
                <c:pt idx="1">
                  <c:v>36.826918238993713</c:v>
                </c:pt>
                <c:pt idx="2">
                  <c:v>36.593836477987423</c:v>
                </c:pt>
                <c:pt idx="3">
                  <c:v>36.360754716981134</c:v>
                </c:pt>
                <c:pt idx="4">
                  <c:v>36.127672955974845</c:v>
                </c:pt>
                <c:pt idx="5">
                  <c:v>35.894591194968555</c:v>
                </c:pt>
                <c:pt idx="6">
                  <c:v>35.661509433962266</c:v>
                </c:pt>
                <c:pt idx="7">
                  <c:v>35.428427672955976</c:v>
                </c:pt>
                <c:pt idx="8">
                  <c:v>35.195345911949687</c:v>
                </c:pt>
                <c:pt idx="9">
                  <c:v>34.962264150943398</c:v>
                </c:pt>
                <c:pt idx="10">
                  <c:v>34.729182389937108</c:v>
                </c:pt>
                <c:pt idx="11">
                  <c:v>34.496100628930819</c:v>
                </c:pt>
                <c:pt idx="12">
                  <c:v>34.263018867924529</c:v>
                </c:pt>
                <c:pt idx="13">
                  <c:v>34.02993710691824</c:v>
                </c:pt>
                <c:pt idx="14">
                  <c:v>33.796855345911951</c:v>
                </c:pt>
                <c:pt idx="15">
                  <c:v>33.563773584905661</c:v>
                </c:pt>
                <c:pt idx="16">
                  <c:v>33.330691823899372</c:v>
                </c:pt>
                <c:pt idx="17">
                  <c:v>33.097610062893082</c:v>
                </c:pt>
                <c:pt idx="18">
                  <c:v>32.864528301886793</c:v>
                </c:pt>
                <c:pt idx="19">
                  <c:v>32.631446540880503</c:v>
                </c:pt>
                <c:pt idx="20">
                  <c:v>32.398364779874214</c:v>
                </c:pt>
                <c:pt idx="21">
                  <c:v>32.165283018867925</c:v>
                </c:pt>
                <c:pt idx="22">
                  <c:v>31.932201257861635</c:v>
                </c:pt>
                <c:pt idx="23">
                  <c:v>31.699119496855346</c:v>
                </c:pt>
                <c:pt idx="24">
                  <c:v>31.466037735849056</c:v>
                </c:pt>
                <c:pt idx="25">
                  <c:v>31.232955974842771</c:v>
                </c:pt>
                <c:pt idx="26">
                  <c:v>30.999874213836481</c:v>
                </c:pt>
                <c:pt idx="27">
                  <c:v>30.766792452830188</c:v>
                </c:pt>
                <c:pt idx="28">
                  <c:v>30.533710691823902</c:v>
                </c:pt>
                <c:pt idx="29">
                  <c:v>30.300628930817613</c:v>
                </c:pt>
                <c:pt idx="30">
                  <c:v>30.06754716981132</c:v>
                </c:pt>
                <c:pt idx="31">
                  <c:v>29.834465408805034</c:v>
                </c:pt>
                <c:pt idx="32">
                  <c:v>29.601383647798745</c:v>
                </c:pt>
                <c:pt idx="33">
                  <c:v>29.368301886792455</c:v>
                </c:pt>
                <c:pt idx="34">
                  <c:v>29.135220125786166</c:v>
                </c:pt>
                <c:pt idx="35">
                  <c:v>28.902138364779876</c:v>
                </c:pt>
                <c:pt idx="36">
                  <c:v>28.669056603773587</c:v>
                </c:pt>
                <c:pt idx="37">
                  <c:v>28.435974842767298</c:v>
                </c:pt>
                <c:pt idx="38">
                  <c:v>28.202893081761008</c:v>
                </c:pt>
                <c:pt idx="39">
                  <c:v>27.969811320754719</c:v>
                </c:pt>
                <c:pt idx="40">
                  <c:v>27.736729559748429</c:v>
                </c:pt>
                <c:pt idx="41">
                  <c:v>27.50364779874214</c:v>
                </c:pt>
                <c:pt idx="42">
                  <c:v>27.270566037735854</c:v>
                </c:pt>
                <c:pt idx="43">
                  <c:v>27.037484276729561</c:v>
                </c:pt>
                <c:pt idx="44">
                  <c:v>26.804402515723272</c:v>
                </c:pt>
                <c:pt idx="45">
                  <c:v>26.571320754716982</c:v>
                </c:pt>
                <c:pt idx="46">
                  <c:v>26.338238993710693</c:v>
                </c:pt>
                <c:pt idx="47">
                  <c:v>26.105157232704403</c:v>
                </c:pt>
                <c:pt idx="48">
                  <c:v>25.872075471698114</c:v>
                </c:pt>
                <c:pt idx="49">
                  <c:v>25.638993710691828</c:v>
                </c:pt>
                <c:pt idx="50">
                  <c:v>25.405911949685539</c:v>
                </c:pt>
                <c:pt idx="51">
                  <c:v>25.172830188679246</c:v>
                </c:pt>
                <c:pt idx="52">
                  <c:v>24.93974842767296</c:v>
                </c:pt>
                <c:pt idx="53">
                  <c:v>24.706666666666671</c:v>
                </c:pt>
                <c:pt idx="54">
                  <c:v>24.473584905660378</c:v>
                </c:pt>
                <c:pt idx="55">
                  <c:v>24.240503144654092</c:v>
                </c:pt>
                <c:pt idx="56">
                  <c:v>24.007421383647802</c:v>
                </c:pt>
                <c:pt idx="57">
                  <c:v>23.774339622641513</c:v>
                </c:pt>
                <c:pt idx="58">
                  <c:v>23.541257861635223</c:v>
                </c:pt>
                <c:pt idx="59">
                  <c:v>23.308176100628934</c:v>
                </c:pt>
                <c:pt idx="60">
                  <c:v>23.075094339622641</c:v>
                </c:pt>
                <c:pt idx="61">
                  <c:v>22.842012578616352</c:v>
                </c:pt>
                <c:pt idx="62">
                  <c:v>22.608930817610066</c:v>
                </c:pt>
                <c:pt idx="63">
                  <c:v>22.375849056603776</c:v>
                </c:pt>
                <c:pt idx="64">
                  <c:v>22.142767295597487</c:v>
                </c:pt>
                <c:pt idx="65">
                  <c:v>21.909685534591198</c:v>
                </c:pt>
                <c:pt idx="66">
                  <c:v>21.676603773584908</c:v>
                </c:pt>
                <c:pt idx="67">
                  <c:v>21.443522012578619</c:v>
                </c:pt>
                <c:pt idx="68">
                  <c:v>21.210440251572329</c:v>
                </c:pt>
                <c:pt idx="69">
                  <c:v>20.977358490566036</c:v>
                </c:pt>
                <c:pt idx="70">
                  <c:v>20.744276729559751</c:v>
                </c:pt>
                <c:pt idx="71">
                  <c:v>20.511194968553461</c:v>
                </c:pt>
                <c:pt idx="72">
                  <c:v>20.278113207547172</c:v>
                </c:pt>
                <c:pt idx="73">
                  <c:v>20.045031446540882</c:v>
                </c:pt>
                <c:pt idx="74">
                  <c:v>19.811949685534593</c:v>
                </c:pt>
                <c:pt idx="75">
                  <c:v>19.578867924528303</c:v>
                </c:pt>
                <c:pt idx="76">
                  <c:v>19.345786163522014</c:v>
                </c:pt>
                <c:pt idx="77">
                  <c:v>19.112704402515725</c:v>
                </c:pt>
                <c:pt idx="78">
                  <c:v>18.879622641509435</c:v>
                </c:pt>
                <c:pt idx="79">
                  <c:v>18.646540880503146</c:v>
                </c:pt>
                <c:pt idx="80">
                  <c:v>18.413459119496856</c:v>
                </c:pt>
                <c:pt idx="81">
                  <c:v>18.180377358490567</c:v>
                </c:pt>
                <c:pt idx="82">
                  <c:v>17.947295597484278</c:v>
                </c:pt>
                <c:pt idx="83">
                  <c:v>17.714213836477988</c:v>
                </c:pt>
                <c:pt idx="84">
                  <c:v>17.481132075471702</c:v>
                </c:pt>
                <c:pt idx="85">
                  <c:v>17.248050314465409</c:v>
                </c:pt>
                <c:pt idx="86">
                  <c:v>17.01496855345912</c:v>
                </c:pt>
                <c:pt idx="87">
                  <c:v>16.781886792452831</c:v>
                </c:pt>
                <c:pt idx="88">
                  <c:v>16.548805031446541</c:v>
                </c:pt>
                <c:pt idx="89">
                  <c:v>16.315723270440252</c:v>
                </c:pt>
                <c:pt idx="90">
                  <c:v>16.082641509433962</c:v>
                </c:pt>
                <c:pt idx="91">
                  <c:v>15.849559748427676</c:v>
                </c:pt>
                <c:pt idx="92">
                  <c:v>15.616477987421383</c:v>
                </c:pt>
                <c:pt idx="93">
                  <c:v>15.383396226415094</c:v>
                </c:pt>
                <c:pt idx="94">
                  <c:v>15.150314465408805</c:v>
                </c:pt>
                <c:pt idx="95">
                  <c:v>14.917232704402515</c:v>
                </c:pt>
                <c:pt idx="96">
                  <c:v>14.684150943396226</c:v>
                </c:pt>
                <c:pt idx="97">
                  <c:v>14.45106918238994</c:v>
                </c:pt>
                <c:pt idx="98">
                  <c:v>14.217987421383651</c:v>
                </c:pt>
                <c:pt idx="99">
                  <c:v>13.984905660377361</c:v>
                </c:pt>
                <c:pt idx="100">
                  <c:v>13.751823899371072</c:v>
                </c:pt>
                <c:pt idx="101">
                  <c:v>13.518742138364779</c:v>
                </c:pt>
                <c:pt idx="102">
                  <c:v>13.285660377358489</c:v>
                </c:pt>
                <c:pt idx="103">
                  <c:v>13.0525786163522</c:v>
                </c:pt>
                <c:pt idx="104">
                  <c:v>12.819496855345914</c:v>
                </c:pt>
                <c:pt idx="105">
                  <c:v>12.586415094339625</c:v>
                </c:pt>
                <c:pt idx="106">
                  <c:v>12.353333333333335</c:v>
                </c:pt>
                <c:pt idx="107">
                  <c:v>12.120251572327046</c:v>
                </c:pt>
                <c:pt idx="108">
                  <c:v>11.887169811320753</c:v>
                </c:pt>
                <c:pt idx="109">
                  <c:v>11.654088050314463</c:v>
                </c:pt>
                <c:pt idx="110">
                  <c:v>11.421006289308178</c:v>
                </c:pt>
                <c:pt idx="111">
                  <c:v>11.187924528301888</c:v>
                </c:pt>
                <c:pt idx="112">
                  <c:v>10.954842767295599</c:v>
                </c:pt>
                <c:pt idx="113">
                  <c:v>10.721761006289306</c:v>
                </c:pt>
                <c:pt idx="114">
                  <c:v>10.48867924528302</c:v>
                </c:pt>
                <c:pt idx="115">
                  <c:v>10.255597484276727</c:v>
                </c:pt>
                <c:pt idx="116">
                  <c:v>10.022515723270441</c:v>
                </c:pt>
                <c:pt idx="117">
                  <c:v>9.7894339622641517</c:v>
                </c:pt>
                <c:pt idx="118">
                  <c:v>9.5563522012578659</c:v>
                </c:pt>
                <c:pt idx="119">
                  <c:v>9.3232704402515729</c:v>
                </c:pt>
                <c:pt idx="120">
                  <c:v>9.09018867924528</c:v>
                </c:pt>
                <c:pt idx="121">
                  <c:v>8.8571069182389941</c:v>
                </c:pt>
                <c:pt idx="122">
                  <c:v>8.6240251572327011</c:v>
                </c:pt>
                <c:pt idx="123">
                  <c:v>8.3909433962264153</c:v>
                </c:pt>
                <c:pt idx="124">
                  <c:v>8.1578616352201259</c:v>
                </c:pt>
                <c:pt idx="125">
                  <c:v>7.92477987421384</c:v>
                </c:pt>
                <c:pt idx="126">
                  <c:v>7.691698113207547</c:v>
                </c:pt>
                <c:pt idx="127">
                  <c:v>7.4586163522012612</c:v>
                </c:pt>
                <c:pt idx="128">
                  <c:v>7.2255345911949682</c:v>
                </c:pt>
                <c:pt idx="129">
                  <c:v>6.9924528301886788</c:v>
                </c:pt>
                <c:pt idx="130">
                  <c:v>6.7593710691823894</c:v>
                </c:pt>
                <c:pt idx="131">
                  <c:v>6.5262893081761</c:v>
                </c:pt>
                <c:pt idx="132">
                  <c:v>6.2932075471698141</c:v>
                </c:pt>
                <c:pt idx="133">
                  <c:v>6.0601257861635212</c:v>
                </c:pt>
                <c:pt idx="134">
                  <c:v>5.8270440251572353</c:v>
                </c:pt>
                <c:pt idx="135">
                  <c:v>5.5939622641509423</c:v>
                </c:pt>
                <c:pt idx="136">
                  <c:v>5.3608805031446565</c:v>
                </c:pt>
                <c:pt idx="137">
                  <c:v>5.1277987421383671</c:v>
                </c:pt>
                <c:pt idx="138">
                  <c:v>4.8947169811320705</c:v>
                </c:pt>
                <c:pt idx="139">
                  <c:v>4.6616352201257882</c:v>
                </c:pt>
                <c:pt idx="140">
                  <c:v>4.4285534591194988</c:v>
                </c:pt>
                <c:pt idx="141">
                  <c:v>4.1954716981132094</c:v>
                </c:pt>
                <c:pt idx="142">
                  <c:v>3.96238993710692</c:v>
                </c:pt>
                <c:pt idx="143">
                  <c:v>3.7293081761006306</c:v>
                </c:pt>
                <c:pt idx="144">
                  <c:v>3.4962264150943412</c:v>
                </c:pt>
                <c:pt idx="145">
                  <c:v>3.2631446540880447</c:v>
                </c:pt>
                <c:pt idx="146">
                  <c:v>3.0300628930817624</c:v>
                </c:pt>
                <c:pt idx="147">
                  <c:v>2.7969811320754729</c:v>
                </c:pt>
                <c:pt idx="148">
                  <c:v>2.5638993710691835</c:v>
                </c:pt>
                <c:pt idx="149">
                  <c:v>2.3308176100628941</c:v>
                </c:pt>
                <c:pt idx="150">
                  <c:v>2.0977358490566047</c:v>
                </c:pt>
                <c:pt idx="151">
                  <c:v>1.8646540880503153</c:v>
                </c:pt>
                <c:pt idx="152">
                  <c:v>1.6315723270440259</c:v>
                </c:pt>
                <c:pt idx="153">
                  <c:v>1.3984905660377365</c:v>
                </c:pt>
                <c:pt idx="154">
                  <c:v>1.1654088050314471</c:v>
                </c:pt>
                <c:pt idx="155">
                  <c:v>0.93232704402515765</c:v>
                </c:pt>
                <c:pt idx="156">
                  <c:v>0.69924528301886824</c:v>
                </c:pt>
                <c:pt idx="157">
                  <c:v>0.46616352201257882</c:v>
                </c:pt>
                <c:pt idx="158">
                  <c:v>0.23308176100628941</c:v>
                </c:pt>
                <c:pt idx="159">
                  <c:v>0</c:v>
                </c:pt>
              </c:numCache>
            </c:numRef>
          </c:val>
          <c:smooth val="0"/>
          <c:extLst>
            <c:ext xmlns:c16="http://schemas.microsoft.com/office/drawing/2014/chart" uri="{C3380CC4-5D6E-409C-BE32-E72D297353CC}">
              <c16:uniqueId val="{00000001-3F4A-4EC5-B2CA-AEEE17842FB5}"/>
            </c:ext>
          </c:extLst>
        </c:ser>
        <c:dLbls>
          <c:showLegendKey val="0"/>
          <c:showVal val="0"/>
          <c:showCatName val="0"/>
          <c:showSerName val="0"/>
          <c:showPercent val="0"/>
          <c:showBubbleSize val="0"/>
        </c:dLbls>
        <c:hiLowLines>
          <c:spPr>
            <a:ln w="0">
              <a:noFill/>
            </a:ln>
          </c:spPr>
        </c:hiLowLines>
        <c:marker val="1"/>
        <c:smooth val="0"/>
        <c:axId val="62373846"/>
        <c:axId val="17649748"/>
      </c:lineChart>
      <c:dateAx>
        <c:axId val="26208546"/>
        <c:scaling>
          <c:orientation val="minMax"/>
        </c:scaling>
        <c:delete val="1"/>
        <c:axPos val="b"/>
        <c:numFmt formatCode="mm/dd/yyyy" sourceLinked="1"/>
        <c:majorTickMark val="none"/>
        <c:minorTickMark val="none"/>
        <c:tickLblPos val="nextTo"/>
        <c:crossAx val="36586111"/>
        <c:crosses val="autoZero"/>
        <c:auto val="1"/>
        <c:lblOffset val="100"/>
        <c:baseTimeUnit val="days"/>
      </c:dateAx>
      <c:valAx>
        <c:axId val="36586111"/>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26208546"/>
        <c:crosses val="autoZero"/>
        <c:crossBetween val="between"/>
      </c:valAx>
      <c:dateAx>
        <c:axId val="62373846"/>
        <c:scaling>
          <c:orientation val="minMax"/>
        </c:scaling>
        <c:delete val="1"/>
        <c:axPos val="b"/>
        <c:numFmt formatCode="mm/dd/yyyy" sourceLinked="1"/>
        <c:majorTickMark val="none"/>
        <c:minorTickMark val="none"/>
        <c:tickLblPos val="nextTo"/>
        <c:crossAx val="17649748"/>
        <c:crosses val="autoZero"/>
        <c:auto val="1"/>
        <c:lblOffset val="100"/>
        <c:baseTimeUnit val="days"/>
      </c:dateAx>
      <c:valAx>
        <c:axId val="17649748"/>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62373846"/>
        <c:crosses val="max"/>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KLAC</a:t>
            </a:r>
          </a:p>
        </c:rich>
      </c:tx>
      <c:overlay val="0"/>
      <c:spPr>
        <a:noFill/>
        <a:ln w="0">
          <a:noFill/>
        </a:ln>
      </c:spPr>
    </c:title>
    <c:autoTitleDeleted val="0"/>
    <c:plotArea>
      <c:layout/>
      <c:barChart>
        <c:barDir val="col"/>
        <c:grouping val="clustered"/>
        <c:varyColors val="0"/>
        <c:ser>
          <c:idx val="0"/>
          <c:order val="0"/>
          <c:tx>
            <c:strRef>
              <c:f>'Returns (Calc)'!$G$2</c:f>
              <c:strCache>
                <c:ptCount val="1"/>
                <c:pt idx="0">
                  <c:v>KLAC</c:v>
                </c:pt>
              </c:strCache>
            </c:strRef>
          </c:tx>
          <c:spPr>
            <a:solidFill>
              <a:srgbClr val="4F81BD"/>
            </a:solidFill>
            <a:ln w="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45156</c:v>
                </c:pt>
                <c:pt idx="1">
                  <c:v>45163</c:v>
                </c:pt>
                <c:pt idx="2">
                  <c:v>45170</c:v>
                </c:pt>
                <c:pt idx="3">
                  <c:v>45177</c:v>
                </c:pt>
                <c:pt idx="4">
                  <c:v>45184</c:v>
                </c:pt>
                <c:pt idx="5">
                  <c:v>45191</c:v>
                </c:pt>
                <c:pt idx="6">
                  <c:v>45198</c:v>
                </c:pt>
                <c:pt idx="7">
                  <c:v>45205</c:v>
                </c:pt>
                <c:pt idx="8">
                  <c:v>45212</c:v>
                </c:pt>
                <c:pt idx="9">
                  <c:v>45219</c:v>
                </c:pt>
                <c:pt idx="10">
                  <c:v>45226</c:v>
                </c:pt>
                <c:pt idx="11">
                  <c:v>45233</c:v>
                </c:pt>
                <c:pt idx="12">
                  <c:v>45240</c:v>
                </c:pt>
                <c:pt idx="13">
                  <c:v>45247</c:v>
                </c:pt>
                <c:pt idx="14">
                  <c:v>45254</c:v>
                </c:pt>
                <c:pt idx="15">
                  <c:v>45261</c:v>
                </c:pt>
                <c:pt idx="16">
                  <c:v>45268</c:v>
                </c:pt>
                <c:pt idx="17">
                  <c:v>45275</c:v>
                </c:pt>
                <c:pt idx="18">
                  <c:v>45282</c:v>
                </c:pt>
                <c:pt idx="19">
                  <c:v>45289</c:v>
                </c:pt>
                <c:pt idx="20">
                  <c:v>45296</c:v>
                </c:pt>
                <c:pt idx="21">
                  <c:v>45303</c:v>
                </c:pt>
                <c:pt idx="22">
                  <c:v>45310</c:v>
                </c:pt>
                <c:pt idx="23">
                  <c:v>45317</c:v>
                </c:pt>
                <c:pt idx="24">
                  <c:v>45324</c:v>
                </c:pt>
                <c:pt idx="25">
                  <c:v>45331</c:v>
                </c:pt>
                <c:pt idx="26">
                  <c:v>45338</c:v>
                </c:pt>
                <c:pt idx="27">
                  <c:v>45345</c:v>
                </c:pt>
                <c:pt idx="28">
                  <c:v>45352</c:v>
                </c:pt>
                <c:pt idx="29">
                  <c:v>45359</c:v>
                </c:pt>
                <c:pt idx="30">
                  <c:v>45366</c:v>
                </c:pt>
                <c:pt idx="31">
                  <c:v>45373</c:v>
                </c:pt>
                <c:pt idx="32">
                  <c:v>45379</c:v>
                </c:pt>
                <c:pt idx="33">
                  <c:v>45387</c:v>
                </c:pt>
                <c:pt idx="34">
                  <c:v>45394</c:v>
                </c:pt>
                <c:pt idx="35">
                  <c:v>45401</c:v>
                </c:pt>
                <c:pt idx="36">
                  <c:v>45408</c:v>
                </c:pt>
                <c:pt idx="37">
                  <c:v>45415</c:v>
                </c:pt>
                <c:pt idx="38">
                  <c:v>45422</c:v>
                </c:pt>
                <c:pt idx="39">
                  <c:v>45429</c:v>
                </c:pt>
                <c:pt idx="40">
                  <c:v>45436</c:v>
                </c:pt>
                <c:pt idx="41">
                  <c:v>45443</c:v>
                </c:pt>
                <c:pt idx="42">
                  <c:v>45450</c:v>
                </c:pt>
                <c:pt idx="43">
                  <c:v>45457</c:v>
                </c:pt>
                <c:pt idx="44">
                  <c:v>45464</c:v>
                </c:pt>
                <c:pt idx="45">
                  <c:v>45471</c:v>
                </c:pt>
                <c:pt idx="46">
                  <c:v>45478</c:v>
                </c:pt>
                <c:pt idx="47">
                  <c:v>45485</c:v>
                </c:pt>
                <c:pt idx="48">
                  <c:v>45492</c:v>
                </c:pt>
                <c:pt idx="49">
                  <c:v>45499</c:v>
                </c:pt>
                <c:pt idx="50">
                  <c:v>45506</c:v>
                </c:pt>
                <c:pt idx="51">
                  <c:v>45513</c:v>
                </c:pt>
                <c:pt idx="52">
                  <c:v>45520</c:v>
                </c:pt>
                <c:pt idx="53">
                  <c:v>45527</c:v>
                </c:pt>
                <c:pt idx="54">
                  <c:v>45534</c:v>
                </c:pt>
                <c:pt idx="55">
                  <c:v>45541</c:v>
                </c:pt>
                <c:pt idx="56">
                  <c:v>45548</c:v>
                </c:pt>
                <c:pt idx="57">
                  <c:v>45555</c:v>
                </c:pt>
                <c:pt idx="58">
                  <c:v>45562</c:v>
                </c:pt>
                <c:pt idx="59">
                  <c:v>45569</c:v>
                </c:pt>
                <c:pt idx="60">
                  <c:v>45576</c:v>
                </c:pt>
                <c:pt idx="61">
                  <c:v>45583</c:v>
                </c:pt>
                <c:pt idx="62">
                  <c:v>45590</c:v>
                </c:pt>
                <c:pt idx="63">
                  <c:v>45597</c:v>
                </c:pt>
                <c:pt idx="64">
                  <c:v>45604</c:v>
                </c:pt>
                <c:pt idx="65">
                  <c:v>45611</c:v>
                </c:pt>
                <c:pt idx="66">
                  <c:v>45618</c:v>
                </c:pt>
                <c:pt idx="67">
                  <c:v>45625</c:v>
                </c:pt>
                <c:pt idx="68">
                  <c:v>45632</c:v>
                </c:pt>
                <c:pt idx="69">
                  <c:v>45639</c:v>
                </c:pt>
                <c:pt idx="70">
                  <c:v>45646</c:v>
                </c:pt>
                <c:pt idx="71">
                  <c:v>45653</c:v>
                </c:pt>
                <c:pt idx="72">
                  <c:v>45660</c:v>
                </c:pt>
                <c:pt idx="73">
                  <c:v>45667</c:v>
                </c:pt>
                <c:pt idx="74">
                  <c:v>45674</c:v>
                </c:pt>
                <c:pt idx="75">
                  <c:v>45681</c:v>
                </c:pt>
                <c:pt idx="76">
                  <c:v>45688</c:v>
                </c:pt>
                <c:pt idx="77">
                  <c:v>45695</c:v>
                </c:pt>
                <c:pt idx="78">
                  <c:v>45702</c:v>
                </c:pt>
                <c:pt idx="79">
                  <c:v>45709</c:v>
                </c:pt>
                <c:pt idx="80">
                  <c:v>45716</c:v>
                </c:pt>
                <c:pt idx="81">
                  <c:v>45723</c:v>
                </c:pt>
                <c:pt idx="82">
                  <c:v>45730</c:v>
                </c:pt>
                <c:pt idx="83">
                  <c:v>45737</c:v>
                </c:pt>
                <c:pt idx="84">
                  <c:v>45744</c:v>
                </c:pt>
                <c:pt idx="85">
                  <c:v>45751</c:v>
                </c:pt>
                <c:pt idx="86">
                  <c:v>45758</c:v>
                </c:pt>
                <c:pt idx="87">
                  <c:v>45764</c:v>
                </c:pt>
                <c:pt idx="88">
                  <c:v>45772</c:v>
                </c:pt>
                <c:pt idx="89">
                  <c:v>45779</c:v>
                </c:pt>
                <c:pt idx="90">
                  <c:v>45786</c:v>
                </c:pt>
                <c:pt idx="91">
                  <c:v>45793</c:v>
                </c:pt>
                <c:pt idx="92">
                  <c:v>45800</c:v>
                </c:pt>
                <c:pt idx="93">
                  <c:v>45807</c:v>
                </c:pt>
                <c:pt idx="94">
                  <c:v>45814</c:v>
                </c:pt>
                <c:pt idx="95">
                  <c:v>45821</c:v>
                </c:pt>
                <c:pt idx="96">
                  <c:v>45828</c:v>
                </c:pt>
                <c:pt idx="97">
                  <c:v>45835</c:v>
                </c:pt>
                <c:pt idx="98">
                  <c:v>45841</c:v>
                </c:pt>
                <c:pt idx="99">
                  <c:v>45849</c:v>
                </c:pt>
                <c:pt idx="100">
                  <c:v>45856</c:v>
                </c:pt>
                <c:pt idx="101">
                  <c:v>45863</c:v>
                </c:pt>
                <c:pt idx="102">
                  <c:v>45870</c:v>
                </c:pt>
                <c:pt idx="103">
                  <c:v>45877</c:v>
                </c:pt>
                <c:pt idx="104">
                  <c:v>45884</c:v>
                </c:pt>
                <c:pt idx="105">
                  <c:v>45891</c:v>
                </c:pt>
                <c:pt idx="106">
                  <c:v>45898</c:v>
                </c:pt>
                <c:pt idx="107">
                  <c:v>45905</c:v>
                </c:pt>
                <c:pt idx="108">
                  <c:v>45912</c:v>
                </c:pt>
                <c:pt idx="109">
                  <c:v>45919</c:v>
                </c:pt>
                <c:pt idx="110">
                  <c:v>45926</c:v>
                </c:pt>
                <c:pt idx="111">
                  <c:v>45933</c:v>
                </c:pt>
                <c:pt idx="112">
                  <c:v>45940</c:v>
                </c:pt>
                <c:pt idx="113">
                  <c:v>45947</c:v>
                </c:pt>
                <c:pt idx="114">
                  <c:v>45954</c:v>
                </c:pt>
                <c:pt idx="115">
                  <c:v>45961</c:v>
                </c:pt>
                <c:pt idx="116">
                  <c:v>45968</c:v>
                </c:pt>
                <c:pt idx="117">
                  <c:v>45975</c:v>
                </c:pt>
                <c:pt idx="118">
                  <c:v>45982</c:v>
                </c:pt>
                <c:pt idx="119">
                  <c:v>45989</c:v>
                </c:pt>
                <c:pt idx="120">
                  <c:v>45996</c:v>
                </c:pt>
                <c:pt idx="121">
                  <c:v>46003</c:v>
                </c:pt>
                <c:pt idx="122">
                  <c:v>46010</c:v>
                </c:pt>
                <c:pt idx="123">
                  <c:v>46017</c:v>
                </c:pt>
                <c:pt idx="124">
                  <c:v>46024</c:v>
                </c:pt>
                <c:pt idx="125">
                  <c:v>46031</c:v>
                </c:pt>
                <c:pt idx="126">
                  <c:v>46038</c:v>
                </c:pt>
                <c:pt idx="127">
                  <c:v>46045</c:v>
                </c:pt>
                <c:pt idx="128">
                  <c:v>46052</c:v>
                </c:pt>
                <c:pt idx="129">
                  <c:v>46059</c:v>
                </c:pt>
                <c:pt idx="130">
                  <c:v>46066</c:v>
                </c:pt>
                <c:pt idx="131">
                  <c:v>46073</c:v>
                </c:pt>
                <c:pt idx="132">
                  <c:v>46080</c:v>
                </c:pt>
                <c:pt idx="133">
                  <c:v>46087</c:v>
                </c:pt>
                <c:pt idx="134">
                  <c:v>46094</c:v>
                </c:pt>
                <c:pt idx="135">
                  <c:v>46101</c:v>
                </c:pt>
                <c:pt idx="136">
                  <c:v>46108</c:v>
                </c:pt>
                <c:pt idx="137">
                  <c:v>46114</c:v>
                </c:pt>
                <c:pt idx="138">
                  <c:v>46122</c:v>
                </c:pt>
                <c:pt idx="139">
                  <c:v>46129</c:v>
                </c:pt>
                <c:pt idx="140">
                  <c:v>46136</c:v>
                </c:pt>
                <c:pt idx="141">
                  <c:v>46143</c:v>
                </c:pt>
                <c:pt idx="142">
                  <c:v>46150</c:v>
                </c:pt>
                <c:pt idx="143">
                  <c:v>46157</c:v>
                </c:pt>
                <c:pt idx="144">
                  <c:v>46164</c:v>
                </c:pt>
                <c:pt idx="145">
                  <c:v>46171</c:v>
                </c:pt>
                <c:pt idx="146">
                  <c:v>46178</c:v>
                </c:pt>
                <c:pt idx="147">
                  <c:v>46185</c:v>
                </c:pt>
                <c:pt idx="148">
                  <c:v>46191</c:v>
                </c:pt>
                <c:pt idx="149">
                  <c:v>46199</c:v>
                </c:pt>
                <c:pt idx="150">
                  <c:v>46205</c:v>
                </c:pt>
                <c:pt idx="151">
                  <c:v>46213</c:v>
                </c:pt>
                <c:pt idx="152">
                  <c:v>46220</c:v>
                </c:pt>
                <c:pt idx="153">
                  <c:v>46227</c:v>
                </c:pt>
                <c:pt idx="154">
                  <c:v>46234</c:v>
                </c:pt>
                <c:pt idx="155">
                  <c:v>46241</c:v>
                </c:pt>
                <c:pt idx="156">
                  <c:v>46248</c:v>
                </c:pt>
                <c:pt idx="157">
                  <c:v>46255</c:v>
                </c:pt>
                <c:pt idx="158">
                  <c:v>46262</c:v>
                </c:pt>
                <c:pt idx="159">
                  <c:v>46269</c:v>
                </c:pt>
              </c:numCache>
            </c:numRef>
          </c:cat>
          <c:val>
            <c:numRef>
              <c:f>'Returns (Calc)'!$G$3:$G$500</c:f>
              <c:numCache>
                <c:formatCode>0.0%</c:formatCode>
                <c:ptCount val="498"/>
                <c:pt idx="0">
                  <c:v>-2.0876826722338038E-3</c:v>
                </c:pt>
                <c:pt idx="1">
                  <c:v>7.7405857740586725E-3</c:v>
                </c:pt>
                <c:pt idx="2">
                  <c:v>5.2522316794685553E-2</c:v>
                </c:pt>
                <c:pt idx="3">
                  <c:v>-1.834319526627215E-2</c:v>
                </c:pt>
                <c:pt idx="4">
                  <c:v>-8.7402049427365958E-2</c:v>
                </c:pt>
                <c:pt idx="5">
                  <c:v>-5.2840158520476299E-3</c:v>
                </c:pt>
                <c:pt idx="6">
                  <c:v>1.5272244355909681E-2</c:v>
                </c:pt>
                <c:pt idx="7">
                  <c:v>2.0492696751689632E-2</c:v>
                </c:pt>
                <c:pt idx="8">
                  <c:v>3.99487289040803E-2</c:v>
                </c:pt>
                <c:pt idx="9">
                  <c:v>-5.0123253903040177E-2</c:v>
                </c:pt>
                <c:pt idx="10">
                  <c:v>-9.7318339100346263E-3</c:v>
                </c:pt>
                <c:pt idx="11">
                  <c:v>9.1067918759554445E-2</c:v>
                </c:pt>
                <c:pt idx="12">
                  <c:v>6.9455564451561314E-2</c:v>
                </c:pt>
                <c:pt idx="13">
                  <c:v>1.9090398652442442E-2</c:v>
                </c:pt>
                <c:pt idx="14">
                  <c:v>2.0385674931129527E-2</c:v>
                </c:pt>
                <c:pt idx="15">
                  <c:v>-1.1879049676025932E-2</c:v>
                </c:pt>
                <c:pt idx="16">
                  <c:v>-2.6593806921675789E-2</c:v>
                </c:pt>
                <c:pt idx="17">
                  <c:v>9.4872754491017952E-2</c:v>
                </c:pt>
                <c:pt idx="18">
                  <c:v>-4.1018629294137243E-3</c:v>
                </c:pt>
                <c:pt idx="19">
                  <c:v>-2.402608546421825E-3</c:v>
                </c:pt>
                <c:pt idx="20">
                  <c:v>-6.36504386719422E-2</c:v>
                </c:pt>
                <c:pt idx="21">
                  <c:v>2.9946720558515549E-2</c:v>
                </c:pt>
                <c:pt idx="22">
                  <c:v>9.3471280770602849E-2</c:v>
                </c:pt>
                <c:pt idx="23">
                  <c:v>-2.2185970636215302E-2</c:v>
                </c:pt>
                <c:pt idx="24">
                  <c:v>8.1748415081748238E-3</c:v>
                </c:pt>
                <c:pt idx="25">
                  <c:v>7.5293728280655392E-2</c:v>
                </c:pt>
                <c:pt idx="26">
                  <c:v>1.7851646660510978E-2</c:v>
                </c:pt>
                <c:pt idx="27">
                  <c:v>1.1188388267311611E-2</c:v>
                </c:pt>
                <c:pt idx="28">
                  <c:v>7.2966507177033568E-2</c:v>
                </c:pt>
                <c:pt idx="29">
                  <c:v>-2.5641025641025661E-2</c:v>
                </c:pt>
                <c:pt idx="30">
                  <c:v>-2.1882151029748331E-2</c:v>
                </c:pt>
                <c:pt idx="31">
                  <c:v>3.9040795437929487E-2</c:v>
                </c:pt>
                <c:pt idx="32">
                  <c:v>-1.6887137630171689E-2</c:v>
                </c:pt>
                <c:pt idx="33">
                  <c:v>-2.2616661895218937E-2</c:v>
                </c:pt>
                <c:pt idx="34">
                  <c:v>-2.9291154071471315E-3</c:v>
                </c:pt>
                <c:pt idx="35">
                  <c:v>-7.726204465334896E-2</c:v>
                </c:pt>
                <c:pt idx="36">
                  <c:v>0.12432346386501103</c:v>
                </c:pt>
                <c:pt idx="37">
                  <c:v>-1.3733540988248638E-2</c:v>
                </c:pt>
                <c:pt idx="38">
                  <c:v>3.1151306345104768E-2</c:v>
                </c:pt>
                <c:pt idx="39">
                  <c:v>4.0929973548656573E-2</c:v>
                </c:pt>
                <c:pt idx="40">
                  <c:v>4.1995452721679927E-2</c:v>
                </c:pt>
                <c:pt idx="41">
                  <c:v>-2.5157232704402399E-2</c:v>
                </c:pt>
                <c:pt idx="42">
                  <c:v>1.2508229098090906E-2</c:v>
                </c:pt>
                <c:pt idx="43">
                  <c:v>7.2561768530559068E-2</c:v>
                </c:pt>
                <c:pt idx="44">
                  <c:v>-9.9418040737149216E-3</c:v>
                </c:pt>
                <c:pt idx="45">
                  <c:v>9.6742591231937514E-3</c:v>
                </c:pt>
                <c:pt idx="46">
                  <c:v>3.7234687689508661E-2</c:v>
                </c:pt>
                <c:pt idx="47">
                  <c:v>2.9232927970066491E-3</c:v>
                </c:pt>
                <c:pt idx="48">
                  <c:v>-0.110877929345925</c:v>
                </c:pt>
                <c:pt idx="49">
                  <c:v>3.2520325203251987E-2</c:v>
                </c:pt>
                <c:pt idx="50">
                  <c:v>-0.11582423164846323</c:v>
                </c:pt>
                <c:pt idx="51">
                  <c:v>7.2680264291870245E-2</c:v>
                </c:pt>
                <c:pt idx="52">
                  <c:v>9.7482592394215084E-2</c:v>
                </c:pt>
                <c:pt idx="53">
                  <c:v>-2.1961932650071958E-3</c:v>
                </c:pt>
                <c:pt idx="54">
                  <c:v>1.9564685742234911E-3</c:v>
                </c:pt>
                <c:pt idx="55">
                  <c:v>-0.14229924334879174</c:v>
                </c:pt>
                <c:pt idx="56">
                  <c:v>6.9294251565167997E-2</c:v>
                </c:pt>
                <c:pt idx="57">
                  <c:v>9.8469727212242564E-3</c:v>
                </c:pt>
                <c:pt idx="58">
                  <c:v>3.0965871656344568E-2</c:v>
                </c:pt>
                <c:pt idx="59">
                  <c:v>6.3905930470347094E-3</c:v>
                </c:pt>
                <c:pt idx="60">
                  <c:v>2.0701041402082954E-2</c:v>
                </c:pt>
                <c:pt idx="61">
                  <c:v>-0.15577951972128912</c:v>
                </c:pt>
                <c:pt idx="62">
                  <c:v>-7.9587324981575946E-3</c:v>
                </c:pt>
                <c:pt idx="63">
                  <c:v>-5.4969543901353113E-3</c:v>
                </c:pt>
                <c:pt idx="64">
                  <c:v>2.6889752016731272E-2</c:v>
                </c:pt>
                <c:pt idx="65">
                  <c:v>-0.10605178935117821</c:v>
                </c:pt>
                <c:pt idx="66">
                  <c:v>4.0846216436126959E-2</c:v>
                </c:pt>
                <c:pt idx="67">
                  <c:v>1.1569731081926271E-2</c:v>
                </c:pt>
                <c:pt idx="68">
                  <c:v>2.0092735703245435E-3</c:v>
                </c:pt>
                <c:pt idx="69">
                  <c:v>8.4837266697517233E-3</c:v>
                </c:pt>
                <c:pt idx="70">
                  <c:v>-3.7320281431630464E-2</c:v>
                </c:pt>
                <c:pt idx="71">
                  <c:v>2.4467747060692879E-2</c:v>
                </c:pt>
                <c:pt idx="72">
                  <c:v>1.8920595533498785E-2</c:v>
                </c:pt>
                <c:pt idx="73">
                  <c:v>3.9726027397260166E-2</c:v>
                </c:pt>
                <c:pt idx="74">
                  <c:v>0.1089152393500219</c:v>
                </c:pt>
                <c:pt idx="75">
                  <c:v>-1.0165016501650137E-2</c:v>
                </c:pt>
                <c:pt idx="76">
                  <c:v>-1.5470792211256468E-2</c:v>
                </c:pt>
                <c:pt idx="77">
                  <c:v>1.2869141154158825E-2</c:v>
                </c:pt>
                <c:pt idx="78">
                  <c:v>4.0123044001605379E-3</c:v>
                </c:pt>
                <c:pt idx="79">
                  <c:v>4.7955241774346735E-3</c:v>
                </c:pt>
                <c:pt idx="80">
                  <c:v>-6.0320827257059673E-2</c:v>
                </c:pt>
                <c:pt idx="81">
                  <c:v>3.5270880361173429E-3</c:v>
                </c:pt>
                <c:pt idx="82">
                  <c:v>2.389990158863986E-3</c:v>
                </c:pt>
                <c:pt idx="83">
                  <c:v>-9.1164095371667475E-3</c:v>
                </c:pt>
                <c:pt idx="84">
                  <c:v>-4.6567586694975294E-2</c:v>
                </c:pt>
                <c:pt idx="85">
                  <c:v>-0.14415083135391926</c:v>
                </c:pt>
                <c:pt idx="86">
                  <c:v>0.16253252385082395</c:v>
                </c:pt>
                <c:pt idx="87">
                  <c:v>-5.3416890480453616E-2</c:v>
                </c:pt>
                <c:pt idx="88">
                  <c:v>9.4892812105926705E-2</c:v>
                </c:pt>
                <c:pt idx="89">
                  <c:v>5.1828390440540328E-3</c:v>
                </c:pt>
                <c:pt idx="90">
                  <c:v>4.2967631051276101E-3</c:v>
                </c:pt>
                <c:pt idx="91">
                  <c:v>0.1283513976041073</c:v>
                </c:pt>
                <c:pt idx="92">
                  <c:v>-4.2972699696663397E-2</c:v>
                </c:pt>
                <c:pt idx="93">
                  <c:v>-3.961965134706702E-4</c:v>
                </c:pt>
                <c:pt idx="94">
                  <c:v>6.7512220901043696E-2</c:v>
                </c:pt>
                <c:pt idx="95">
                  <c:v>7.3886138613861396E-2</c:v>
                </c:pt>
                <c:pt idx="96">
                  <c:v>-2.0398755330183205E-2</c:v>
                </c:pt>
                <c:pt idx="97">
                  <c:v>4.6941176470588264E-2</c:v>
                </c:pt>
                <c:pt idx="98">
                  <c:v>3.8993145297224308E-2</c:v>
                </c:pt>
                <c:pt idx="99">
                  <c:v>0</c:v>
                </c:pt>
                <c:pt idx="100">
                  <c:v>7.0300670560243805E-3</c:v>
                </c:pt>
                <c:pt idx="101">
                  <c:v>-3.114595639566109E-2</c:v>
                </c:pt>
                <c:pt idx="102">
                  <c:v>-1.7182130584192379E-2</c:v>
                </c:pt>
                <c:pt idx="103">
                  <c:v>3.1806902774644819E-2</c:v>
                </c:pt>
                <c:pt idx="104">
                  <c:v>-4.3616090948841335E-2</c:v>
                </c:pt>
                <c:pt idx="105">
                  <c:v>-5.2577437421419404E-3</c:v>
                </c:pt>
                <c:pt idx="106">
                  <c:v>1.9533494197403467E-3</c:v>
                </c:pt>
                <c:pt idx="107">
                  <c:v>3.795871559633035E-2</c:v>
                </c:pt>
                <c:pt idx="108">
                  <c:v>6.5075682245055777E-2</c:v>
                </c:pt>
                <c:pt idx="109">
                  <c:v>8.381742738589204E-2</c:v>
                </c:pt>
                <c:pt idx="110">
                  <c:v>1.8663859111791803E-2</c:v>
                </c:pt>
                <c:pt idx="111">
                  <c:v>3.5046509442826279E-2</c:v>
                </c:pt>
                <c:pt idx="112">
                  <c:v>-0.10784313725490191</c:v>
                </c:pt>
                <c:pt idx="113">
                  <c:v>0.12606837606837606</c:v>
                </c:pt>
                <c:pt idx="114">
                  <c:v>6.8762989066594393E-2</c:v>
                </c:pt>
                <c:pt idx="115">
                  <c:v>2.1897193101116041E-2</c:v>
                </c:pt>
                <c:pt idx="116">
                  <c:v>-1.2658227848101222E-2</c:v>
                </c:pt>
                <c:pt idx="117">
                  <c:v>-4.9522373051784752E-2</c:v>
                </c:pt>
                <c:pt idx="118">
                  <c:v>-3.2795556731023634E-2</c:v>
                </c:pt>
                <c:pt idx="119">
                  <c:v>7.146112478352018E-2</c:v>
                </c:pt>
                <c:pt idx="120">
                  <c:v>3.3177371331348349E-2</c:v>
                </c:pt>
                <c:pt idx="121">
                  <c:v>-1.696171263894608E-2</c:v>
                </c:pt>
                <c:pt idx="122">
                  <c:v>4.3387218359996593E-2</c:v>
                </c:pt>
                <c:pt idx="123">
                  <c:v>2.7213614835032596E-2</c:v>
                </c:pt>
                <c:pt idx="124">
                  <c:v>-3.9856205064081607E-3</c:v>
                </c:pt>
                <c:pt idx="125">
                  <c:v>9.8469988230678762E-2</c:v>
                </c:pt>
                <c:pt idx="126">
                  <c:v>0.11985714285714288</c:v>
                </c:pt>
                <c:pt idx="127">
                  <c:v>-3.5081005230258921E-2</c:v>
                </c:pt>
                <c:pt idx="128">
                  <c:v>-5.6121099947118003E-2</c:v>
                </c:pt>
                <c:pt idx="129">
                  <c:v>1.0504937320540586E-2</c:v>
                </c:pt>
                <c:pt idx="130">
                  <c:v>1.4692632892092439E-2</c:v>
                </c:pt>
                <c:pt idx="131">
                  <c:v>2.1788129226145703E-2</c:v>
                </c:pt>
                <c:pt idx="132">
                  <c:v>1.9117647058823684E-2</c:v>
                </c:pt>
                <c:pt idx="133">
                  <c:v>-0.11806375442739081</c:v>
                </c:pt>
                <c:pt idx="134">
                  <c:v>5.5034954633348177E-2</c:v>
                </c:pt>
                <c:pt idx="135">
                  <c:v>5.6464119554490377E-2</c:v>
                </c:pt>
                <c:pt idx="136">
                  <c:v>-3.7032094481884381E-2</c:v>
                </c:pt>
                <c:pt idx="137">
                  <c:v>5.0997782705099803E-2</c:v>
                </c:pt>
                <c:pt idx="138">
                  <c:v>0.14537183544303778</c:v>
                </c:pt>
                <c:pt idx="139">
                  <c:v>3.1140275139584395E-2</c:v>
                </c:pt>
                <c:pt idx="140">
                  <c:v>8.0160768114324155E-2</c:v>
                </c:pt>
                <c:pt idx="141">
                  <c:v>-0.10785529715762276</c:v>
                </c:pt>
                <c:pt idx="142">
                  <c:v>8.2778196142037741E-2</c:v>
                </c:pt>
                <c:pt idx="143">
                  <c:v>-3.4720736143804776E-2</c:v>
                </c:pt>
                <c:pt idx="144">
                  <c:v>4.6610874023166771E-2</c:v>
                </c:pt>
                <c:pt idx="145">
                  <c:v>1.7633975852573425E-2</c:v>
                </c:pt>
                <c:pt idx="146">
                  <c:v>3.9027944007909987E-3</c:v>
                </c:pt>
                <c:pt idx="147">
                  <c:v>0.31940700808625344</c:v>
                </c:pt>
                <c:pt idx="148">
                  <c:v>1.9721851182525452E-2</c:v>
                </c:pt>
                <c:pt idx="149">
                  <c:v>-4.2071197411003292E-2</c:v>
                </c:pt>
                <c:pt idx="150">
                  <c:v>-5.2646396396396344E-2</c:v>
                </c:pt>
                <c:pt idx="151">
                  <c:v>-1.7108894077690562E-2</c:v>
                </c:pt>
                <c:pt idx="152">
                  <c:v>-8.1072909467864607E-2</c:v>
                </c:pt>
                <c:pt idx="153">
                  <c:v>-1.0481786133960003E-2</c:v>
                </c:pt>
                <c:pt idx="154">
                  <c:v>-0.13157894736842113</c:v>
                </c:pt>
                <c:pt idx="155">
                  <c:v>8.2430806257520972E-2</c:v>
                </c:pt>
                <c:pt idx="156">
                  <c:v>2.8298549699327991E-2</c:v>
                </c:pt>
                <c:pt idx="157">
                  <c:v>-9.5827804806132955E-2</c:v>
                </c:pt>
                <c:pt idx="158">
                  <c:v>-4.5926409043969829E-2</c:v>
                </c:pt>
                <c:pt idx="159">
                  <c:v>5.7308875469978426E-2</c:v>
                </c:pt>
              </c:numCache>
            </c:numRef>
          </c:val>
          <c:extLst>
            <c:ext xmlns:c16="http://schemas.microsoft.com/office/drawing/2014/chart" uri="{C3380CC4-5D6E-409C-BE32-E72D297353CC}">
              <c16:uniqueId val="{00000000-5BFD-4435-BEE7-DBBE01D24375}"/>
            </c:ext>
          </c:extLst>
        </c:ser>
        <c:dLbls>
          <c:showLegendKey val="0"/>
          <c:showVal val="0"/>
          <c:showCatName val="0"/>
          <c:showSerName val="0"/>
          <c:showPercent val="0"/>
          <c:showBubbleSize val="0"/>
        </c:dLbls>
        <c:gapWidth val="150"/>
        <c:axId val="60517388"/>
        <c:axId val="56285034"/>
      </c:barChart>
      <c:lineChart>
        <c:grouping val="standard"/>
        <c:varyColors val="0"/>
        <c:ser>
          <c:idx val="1"/>
          <c:order val="1"/>
          <c:tx>
            <c:strRef>
              <c:f>'Returns (Calc)'!$AB$2</c:f>
              <c:strCache>
                <c:ptCount val="1"/>
                <c:pt idx="0">
                  <c:v>KLAC trend</c:v>
                </c:pt>
              </c:strCache>
            </c:strRef>
          </c:tx>
          <c:spPr>
            <a:ln w="201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45156</c:v>
                </c:pt>
                <c:pt idx="1">
                  <c:v>45163</c:v>
                </c:pt>
                <c:pt idx="2">
                  <c:v>45170</c:v>
                </c:pt>
                <c:pt idx="3">
                  <c:v>45177</c:v>
                </c:pt>
                <c:pt idx="4">
                  <c:v>45184</c:v>
                </c:pt>
                <c:pt idx="5">
                  <c:v>45191</c:v>
                </c:pt>
                <c:pt idx="6">
                  <c:v>45198</c:v>
                </c:pt>
                <c:pt idx="7">
                  <c:v>45205</c:v>
                </c:pt>
                <c:pt idx="8">
                  <c:v>45212</c:v>
                </c:pt>
                <c:pt idx="9">
                  <c:v>45219</c:v>
                </c:pt>
                <c:pt idx="10">
                  <c:v>45226</c:v>
                </c:pt>
                <c:pt idx="11">
                  <c:v>45233</c:v>
                </c:pt>
                <c:pt idx="12">
                  <c:v>45240</c:v>
                </c:pt>
                <c:pt idx="13">
                  <c:v>45247</c:v>
                </c:pt>
                <c:pt idx="14">
                  <c:v>45254</c:v>
                </c:pt>
                <c:pt idx="15">
                  <c:v>45261</c:v>
                </c:pt>
                <c:pt idx="16">
                  <c:v>45268</c:v>
                </c:pt>
                <c:pt idx="17">
                  <c:v>45275</c:v>
                </c:pt>
                <c:pt idx="18">
                  <c:v>45282</c:v>
                </c:pt>
                <c:pt idx="19">
                  <c:v>45289</c:v>
                </c:pt>
                <c:pt idx="20">
                  <c:v>45296</c:v>
                </c:pt>
                <c:pt idx="21">
                  <c:v>45303</c:v>
                </c:pt>
                <c:pt idx="22">
                  <c:v>45310</c:v>
                </c:pt>
                <c:pt idx="23">
                  <c:v>45317</c:v>
                </c:pt>
                <c:pt idx="24">
                  <c:v>45324</c:v>
                </c:pt>
                <c:pt idx="25">
                  <c:v>45331</c:v>
                </c:pt>
                <c:pt idx="26">
                  <c:v>45338</c:v>
                </c:pt>
                <c:pt idx="27">
                  <c:v>45345</c:v>
                </c:pt>
                <c:pt idx="28">
                  <c:v>45352</c:v>
                </c:pt>
                <c:pt idx="29">
                  <c:v>45359</c:v>
                </c:pt>
                <c:pt idx="30">
                  <c:v>45366</c:v>
                </c:pt>
                <c:pt idx="31">
                  <c:v>45373</c:v>
                </c:pt>
                <c:pt idx="32">
                  <c:v>45379</c:v>
                </c:pt>
                <c:pt idx="33">
                  <c:v>45387</c:v>
                </c:pt>
                <c:pt idx="34">
                  <c:v>45394</c:v>
                </c:pt>
                <c:pt idx="35">
                  <c:v>45401</c:v>
                </c:pt>
                <c:pt idx="36">
                  <c:v>45408</c:v>
                </c:pt>
                <c:pt idx="37">
                  <c:v>45415</c:v>
                </c:pt>
                <c:pt idx="38">
                  <c:v>45422</c:v>
                </c:pt>
                <c:pt idx="39">
                  <c:v>45429</c:v>
                </c:pt>
                <c:pt idx="40">
                  <c:v>45436</c:v>
                </c:pt>
                <c:pt idx="41">
                  <c:v>45443</c:v>
                </c:pt>
                <c:pt idx="42">
                  <c:v>45450</c:v>
                </c:pt>
                <c:pt idx="43">
                  <c:v>45457</c:v>
                </c:pt>
                <c:pt idx="44">
                  <c:v>45464</c:v>
                </c:pt>
                <c:pt idx="45">
                  <c:v>45471</c:v>
                </c:pt>
                <c:pt idx="46">
                  <c:v>45478</c:v>
                </c:pt>
                <c:pt idx="47">
                  <c:v>45485</c:v>
                </c:pt>
                <c:pt idx="48">
                  <c:v>45492</c:v>
                </c:pt>
                <c:pt idx="49">
                  <c:v>45499</c:v>
                </c:pt>
                <c:pt idx="50">
                  <c:v>45506</c:v>
                </c:pt>
                <c:pt idx="51">
                  <c:v>45513</c:v>
                </c:pt>
                <c:pt idx="52">
                  <c:v>45520</c:v>
                </c:pt>
                <c:pt idx="53">
                  <c:v>45527</c:v>
                </c:pt>
                <c:pt idx="54">
                  <c:v>45534</c:v>
                </c:pt>
                <c:pt idx="55">
                  <c:v>45541</c:v>
                </c:pt>
                <c:pt idx="56">
                  <c:v>45548</c:v>
                </c:pt>
                <c:pt idx="57">
                  <c:v>45555</c:v>
                </c:pt>
                <c:pt idx="58">
                  <c:v>45562</c:v>
                </c:pt>
                <c:pt idx="59">
                  <c:v>45569</c:v>
                </c:pt>
                <c:pt idx="60">
                  <c:v>45576</c:v>
                </c:pt>
                <c:pt idx="61">
                  <c:v>45583</c:v>
                </c:pt>
                <c:pt idx="62">
                  <c:v>45590</c:v>
                </c:pt>
                <c:pt idx="63">
                  <c:v>45597</c:v>
                </c:pt>
                <c:pt idx="64">
                  <c:v>45604</c:v>
                </c:pt>
                <c:pt idx="65">
                  <c:v>45611</c:v>
                </c:pt>
                <c:pt idx="66">
                  <c:v>45618</c:v>
                </c:pt>
                <c:pt idx="67">
                  <c:v>45625</c:v>
                </c:pt>
                <c:pt idx="68">
                  <c:v>45632</c:v>
                </c:pt>
                <c:pt idx="69">
                  <c:v>45639</c:v>
                </c:pt>
                <c:pt idx="70">
                  <c:v>45646</c:v>
                </c:pt>
                <c:pt idx="71">
                  <c:v>45653</c:v>
                </c:pt>
                <c:pt idx="72">
                  <c:v>45660</c:v>
                </c:pt>
                <c:pt idx="73">
                  <c:v>45667</c:v>
                </c:pt>
                <c:pt idx="74">
                  <c:v>45674</c:v>
                </c:pt>
                <c:pt idx="75">
                  <c:v>45681</c:v>
                </c:pt>
                <c:pt idx="76">
                  <c:v>45688</c:v>
                </c:pt>
                <c:pt idx="77">
                  <c:v>45695</c:v>
                </c:pt>
                <c:pt idx="78">
                  <c:v>45702</c:v>
                </c:pt>
                <c:pt idx="79">
                  <c:v>45709</c:v>
                </c:pt>
                <c:pt idx="80">
                  <c:v>45716</c:v>
                </c:pt>
                <c:pt idx="81">
                  <c:v>45723</c:v>
                </c:pt>
                <c:pt idx="82">
                  <c:v>45730</c:v>
                </c:pt>
                <c:pt idx="83">
                  <c:v>45737</c:v>
                </c:pt>
                <c:pt idx="84">
                  <c:v>45744</c:v>
                </c:pt>
                <c:pt idx="85">
                  <c:v>45751</c:v>
                </c:pt>
                <c:pt idx="86">
                  <c:v>45758</c:v>
                </c:pt>
                <c:pt idx="87">
                  <c:v>45764</c:v>
                </c:pt>
                <c:pt idx="88">
                  <c:v>45772</c:v>
                </c:pt>
                <c:pt idx="89">
                  <c:v>45779</c:v>
                </c:pt>
                <c:pt idx="90">
                  <c:v>45786</c:v>
                </c:pt>
                <c:pt idx="91">
                  <c:v>45793</c:v>
                </c:pt>
                <c:pt idx="92">
                  <c:v>45800</c:v>
                </c:pt>
                <c:pt idx="93">
                  <c:v>45807</c:v>
                </c:pt>
                <c:pt idx="94">
                  <c:v>45814</c:v>
                </c:pt>
                <c:pt idx="95">
                  <c:v>45821</c:v>
                </c:pt>
                <c:pt idx="96">
                  <c:v>45828</c:v>
                </c:pt>
                <c:pt idx="97">
                  <c:v>45835</c:v>
                </c:pt>
                <c:pt idx="98">
                  <c:v>45841</c:v>
                </c:pt>
                <c:pt idx="99">
                  <c:v>45849</c:v>
                </c:pt>
                <c:pt idx="100">
                  <c:v>45856</c:v>
                </c:pt>
                <c:pt idx="101">
                  <c:v>45863</c:v>
                </c:pt>
                <c:pt idx="102">
                  <c:v>45870</c:v>
                </c:pt>
                <c:pt idx="103">
                  <c:v>45877</c:v>
                </c:pt>
                <c:pt idx="104">
                  <c:v>45884</c:v>
                </c:pt>
                <c:pt idx="105">
                  <c:v>45891</c:v>
                </c:pt>
                <c:pt idx="106">
                  <c:v>45898</c:v>
                </c:pt>
                <c:pt idx="107">
                  <c:v>45905</c:v>
                </c:pt>
                <c:pt idx="108">
                  <c:v>45912</c:v>
                </c:pt>
                <c:pt idx="109">
                  <c:v>45919</c:v>
                </c:pt>
                <c:pt idx="110">
                  <c:v>45926</c:v>
                </c:pt>
                <c:pt idx="111">
                  <c:v>45933</c:v>
                </c:pt>
                <c:pt idx="112">
                  <c:v>45940</c:v>
                </c:pt>
                <c:pt idx="113">
                  <c:v>45947</c:v>
                </c:pt>
                <c:pt idx="114">
                  <c:v>45954</c:v>
                </c:pt>
                <c:pt idx="115">
                  <c:v>45961</c:v>
                </c:pt>
                <c:pt idx="116">
                  <c:v>45968</c:v>
                </c:pt>
                <c:pt idx="117">
                  <c:v>45975</c:v>
                </c:pt>
                <c:pt idx="118">
                  <c:v>45982</c:v>
                </c:pt>
                <c:pt idx="119">
                  <c:v>45989</c:v>
                </c:pt>
                <c:pt idx="120">
                  <c:v>45996</c:v>
                </c:pt>
                <c:pt idx="121">
                  <c:v>46003</c:v>
                </c:pt>
                <c:pt idx="122">
                  <c:v>46010</c:v>
                </c:pt>
                <c:pt idx="123">
                  <c:v>46017</c:v>
                </c:pt>
                <c:pt idx="124">
                  <c:v>46024</c:v>
                </c:pt>
                <c:pt idx="125">
                  <c:v>46031</c:v>
                </c:pt>
                <c:pt idx="126">
                  <c:v>46038</c:v>
                </c:pt>
                <c:pt idx="127">
                  <c:v>46045</c:v>
                </c:pt>
                <c:pt idx="128">
                  <c:v>46052</c:v>
                </c:pt>
                <c:pt idx="129">
                  <c:v>46059</c:v>
                </c:pt>
                <c:pt idx="130">
                  <c:v>46066</c:v>
                </c:pt>
                <c:pt idx="131">
                  <c:v>46073</c:v>
                </c:pt>
                <c:pt idx="132">
                  <c:v>46080</c:v>
                </c:pt>
                <c:pt idx="133">
                  <c:v>46087</c:v>
                </c:pt>
                <c:pt idx="134">
                  <c:v>46094</c:v>
                </c:pt>
                <c:pt idx="135">
                  <c:v>46101</c:v>
                </c:pt>
                <c:pt idx="136">
                  <c:v>46108</c:v>
                </c:pt>
                <c:pt idx="137">
                  <c:v>46114</c:v>
                </c:pt>
                <c:pt idx="138">
                  <c:v>46122</c:v>
                </c:pt>
                <c:pt idx="139">
                  <c:v>46129</c:v>
                </c:pt>
                <c:pt idx="140">
                  <c:v>46136</c:v>
                </c:pt>
                <c:pt idx="141">
                  <c:v>46143</c:v>
                </c:pt>
                <c:pt idx="142">
                  <c:v>46150</c:v>
                </c:pt>
                <c:pt idx="143">
                  <c:v>46157</c:v>
                </c:pt>
                <c:pt idx="144">
                  <c:v>46164</c:v>
                </c:pt>
                <c:pt idx="145">
                  <c:v>46171</c:v>
                </c:pt>
                <c:pt idx="146">
                  <c:v>46178</c:v>
                </c:pt>
                <c:pt idx="147">
                  <c:v>46185</c:v>
                </c:pt>
                <c:pt idx="148">
                  <c:v>46191</c:v>
                </c:pt>
                <c:pt idx="149">
                  <c:v>46199</c:v>
                </c:pt>
                <c:pt idx="150">
                  <c:v>46205</c:v>
                </c:pt>
                <c:pt idx="151">
                  <c:v>46213</c:v>
                </c:pt>
                <c:pt idx="152">
                  <c:v>46220</c:v>
                </c:pt>
                <c:pt idx="153">
                  <c:v>46227</c:v>
                </c:pt>
                <c:pt idx="154">
                  <c:v>46234</c:v>
                </c:pt>
                <c:pt idx="155">
                  <c:v>46241</c:v>
                </c:pt>
                <c:pt idx="156">
                  <c:v>46248</c:v>
                </c:pt>
                <c:pt idx="157">
                  <c:v>46255</c:v>
                </c:pt>
                <c:pt idx="158">
                  <c:v>46262</c:v>
                </c:pt>
                <c:pt idx="159">
                  <c:v>46269</c:v>
                </c:pt>
              </c:numCache>
            </c:numRef>
          </c:cat>
          <c:val>
            <c:numRef>
              <c:f>'Returns (Calc)'!$AB$3:$AB$500</c:f>
              <c:numCache>
                <c:formatCode>#,##0.00</c:formatCode>
                <c:ptCount val="498"/>
                <c:pt idx="0">
                  <c:v>47.9</c:v>
                </c:pt>
                <c:pt idx="1">
                  <c:v>47.598742138364777</c:v>
                </c:pt>
                <c:pt idx="2">
                  <c:v>47.297484276729556</c:v>
                </c:pt>
                <c:pt idx="3">
                  <c:v>46.996226415094341</c:v>
                </c:pt>
                <c:pt idx="4">
                  <c:v>46.69496855345912</c:v>
                </c:pt>
                <c:pt idx="5">
                  <c:v>46.393710691823898</c:v>
                </c:pt>
                <c:pt idx="6">
                  <c:v>46.092452830188677</c:v>
                </c:pt>
                <c:pt idx="7">
                  <c:v>45.791194968553455</c:v>
                </c:pt>
                <c:pt idx="8">
                  <c:v>45.489937106918241</c:v>
                </c:pt>
                <c:pt idx="9">
                  <c:v>45.188679245283019</c:v>
                </c:pt>
                <c:pt idx="10">
                  <c:v>44.887421383647798</c:v>
                </c:pt>
                <c:pt idx="11">
                  <c:v>44.586163522012576</c:v>
                </c:pt>
                <c:pt idx="12">
                  <c:v>44.284905660377355</c:v>
                </c:pt>
                <c:pt idx="13">
                  <c:v>43.98364779874214</c:v>
                </c:pt>
                <c:pt idx="14">
                  <c:v>43.682389937106919</c:v>
                </c:pt>
                <c:pt idx="15">
                  <c:v>43.381132075471697</c:v>
                </c:pt>
                <c:pt idx="16">
                  <c:v>43.079874213836476</c:v>
                </c:pt>
                <c:pt idx="17">
                  <c:v>42.778616352201254</c:v>
                </c:pt>
                <c:pt idx="18">
                  <c:v>42.477358490566033</c:v>
                </c:pt>
                <c:pt idx="19">
                  <c:v>42.176100628930818</c:v>
                </c:pt>
                <c:pt idx="20">
                  <c:v>41.874842767295597</c:v>
                </c:pt>
                <c:pt idx="21">
                  <c:v>41.573584905660375</c:v>
                </c:pt>
                <c:pt idx="22">
                  <c:v>41.272327044025154</c:v>
                </c:pt>
                <c:pt idx="23">
                  <c:v>40.971069182389932</c:v>
                </c:pt>
                <c:pt idx="24">
                  <c:v>40.669811320754718</c:v>
                </c:pt>
                <c:pt idx="25">
                  <c:v>40.368553459119497</c:v>
                </c:pt>
                <c:pt idx="26">
                  <c:v>40.067295597484275</c:v>
                </c:pt>
                <c:pt idx="27">
                  <c:v>39.766037735849054</c:v>
                </c:pt>
                <c:pt idx="28">
                  <c:v>39.464779874213832</c:v>
                </c:pt>
                <c:pt idx="29">
                  <c:v>39.163522012578618</c:v>
                </c:pt>
                <c:pt idx="30">
                  <c:v>38.862264150943396</c:v>
                </c:pt>
                <c:pt idx="31">
                  <c:v>38.561006289308175</c:v>
                </c:pt>
                <c:pt idx="32">
                  <c:v>38.259748427672953</c:v>
                </c:pt>
                <c:pt idx="33">
                  <c:v>37.958490566037732</c:v>
                </c:pt>
                <c:pt idx="34">
                  <c:v>37.657232704402517</c:v>
                </c:pt>
                <c:pt idx="35">
                  <c:v>37.355974842767296</c:v>
                </c:pt>
                <c:pt idx="36">
                  <c:v>37.054716981132074</c:v>
                </c:pt>
                <c:pt idx="37">
                  <c:v>36.753459119496853</c:v>
                </c:pt>
                <c:pt idx="38">
                  <c:v>36.452201257861631</c:v>
                </c:pt>
                <c:pt idx="39">
                  <c:v>36.150943396226417</c:v>
                </c:pt>
                <c:pt idx="40">
                  <c:v>35.849685534591195</c:v>
                </c:pt>
                <c:pt idx="41">
                  <c:v>35.548427672955974</c:v>
                </c:pt>
                <c:pt idx="42">
                  <c:v>35.247169811320752</c:v>
                </c:pt>
                <c:pt idx="43">
                  <c:v>34.945911949685538</c:v>
                </c:pt>
                <c:pt idx="44">
                  <c:v>34.644654088050316</c:v>
                </c:pt>
                <c:pt idx="45">
                  <c:v>34.343396226415095</c:v>
                </c:pt>
                <c:pt idx="46">
                  <c:v>34.042138364779873</c:v>
                </c:pt>
                <c:pt idx="47">
                  <c:v>33.740880503144652</c:v>
                </c:pt>
                <c:pt idx="48">
                  <c:v>33.43962264150943</c:v>
                </c:pt>
                <c:pt idx="49">
                  <c:v>33.138364779874209</c:v>
                </c:pt>
                <c:pt idx="50">
                  <c:v>32.837106918238995</c:v>
                </c:pt>
                <c:pt idx="51">
                  <c:v>32.535849056603773</c:v>
                </c:pt>
                <c:pt idx="52">
                  <c:v>32.234591194968552</c:v>
                </c:pt>
                <c:pt idx="53">
                  <c:v>31.933333333333334</c:v>
                </c:pt>
                <c:pt idx="54">
                  <c:v>31.632075471698112</c:v>
                </c:pt>
                <c:pt idx="55">
                  <c:v>31.330817610062891</c:v>
                </c:pt>
                <c:pt idx="56">
                  <c:v>31.029559748427673</c:v>
                </c:pt>
                <c:pt idx="57">
                  <c:v>30.728301886792455</c:v>
                </c:pt>
                <c:pt idx="58">
                  <c:v>30.427044025157233</c:v>
                </c:pt>
                <c:pt idx="59">
                  <c:v>30.125786163522012</c:v>
                </c:pt>
                <c:pt idx="60">
                  <c:v>29.82452830188679</c:v>
                </c:pt>
                <c:pt idx="61">
                  <c:v>29.523270440251569</c:v>
                </c:pt>
                <c:pt idx="62">
                  <c:v>29.222012578616354</c:v>
                </c:pt>
                <c:pt idx="63">
                  <c:v>28.920754716981133</c:v>
                </c:pt>
                <c:pt idx="64">
                  <c:v>28.619496855345911</c:v>
                </c:pt>
                <c:pt idx="65">
                  <c:v>28.31823899371069</c:v>
                </c:pt>
                <c:pt idx="66">
                  <c:v>28.016981132075468</c:v>
                </c:pt>
                <c:pt idx="67">
                  <c:v>27.71572327044025</c:v>
                </c:pt>
                <c:pt idx="68">
                  <c:v>27.414465408805032</c:v>
                </c:pt>
                <c:pt idx="69">
                  <c:v>27.113207547169811</c:v>
                </c:pt>
                <c:pt idx="70">
                  <c:v>26.811949685534589</c:v>
                </c:pt>
                <c:pt idx="71">
                  <c:v>26.510691823899368</c:v>
                </c:pt>
                <c:pt idx="72">
                  <c:v>26.20943396226415</c:v>
                </c:pt>
                <c:pt idx="73">
                  <c:v>25.908176100628932</c:v>
                </c:pt>
                <c:pt idx="74">
                  <c:v>25.60691823899371</c:v>
                </c:pt>
                <c:pt idx="75">
                  <c:v>25.305660377358489</c:v>
                </c:pt>
                <c:pt idx="76">
                  <c:v>25.004402515723267</c:v>
                </c:pt>
                <c:pt idx="77">
                  <c:v>24.703144654088049</c:v>
                </c:pt>
                <c:pt idx="78">
                  <c:v>24.401886792452832</c:v>
                </c:pt>
                <c:pt idx="79">
                  <c:v>24.10062893081761</c:v>
                </c:pt>
                <c:pt idx="80">
                  <c:v>23.799371069182389</c:v>
                </c:pt>
                <c:pt idx="81">
                  <c:v>23.498113207547167</c:v>
                </c:pt>
                <c:pt idx="82">
                  <c:v>23.196855345911949</c:v>
                </c:pt>
                <c:pt idx="83">
                  <c:v>22.895597484276728</c:v>
                </c:pt>
                <c:pt idx="84">
                  <c:v>22.59433962264151</c:v>
                </c:pt>
                <c:pt idx="85">
                  <c:v>22.293081761006288</c:v>
                </c:pt>
                <c:pt idx="86">
                  <c:v>21.99182389937107</c:v>
                </c:pt>
                <c:pt idx="87">
                  <c:v>21.690566037735845</c:v>
                </c:pt>
                <c:pt idx="88">
                  <c:v>21.389308176100627</c:v>
                </c:pt>
                <c:pt idx="89">
                  <c:v>21.088050314465409</c:v>
                </c:pt>
                <c:pt idx="90">
                  <c:v>20.786792452830188</c:v>
                </c:pt>
                <c:pt idx="91">
                  <c:v>20.48553459119497</c:v>
                </c:pt>
                <c:pt idx="92">
                  <c:v>20.184276729559745</c:v>
                </c:pt>
                <c:pt idx="93">
                  <c:v>19.883018867924527</c:v>
                </c:pt>
                <c:pt idx="94">
                  <c:v>19.581761006289309</c:v>
                </c:pt>
                <c:pt idx="95">
                  <c:v>19.280503144654087</c:v>
                </c:pt>
                <c:pt idx="96">
                  <c:v>18.979245283018869</c:v>
                </c:pt>
                <c:pt idx="97">
                  <c:v>18.677987421383644</c:v>
                </c:pt>
                <c:pt idx="98">
                  <c:v>18.376729559748426</c:v>
                </c:pt>
                <c:pt idx="99">
                  <c:v>18.075471698113208</c:v>
                </c:pt>
                <c:pt idx="100">
                  <c:v>17.774213836477987</c:v>
                </c:pt>
                <c:pt idx="101">
                  <c:v>17.472955974842769</c:v>
                </c:pt>
                <c:pt idx="102">
                  <c:v>17.171698113207544</c:v>
                </c:pt>
                <c:pt idx="103">
                  <c:v>16.870440251572326</c:v>
                </c:pt>
                <c:pt idx="104">
                  <c:v>16.569182389937108</c:v>
                </c:pt>
                <c:pt idx="105">
                  <c:v>16.267924528301887</c:v>
                </c:pt>
                <c:pt idx="106">
                  <c:v>15.966666666666669</c:v>
                </c:pt>
                <c:pt idx="107">
                  <c:v>15.665408805031447</c:v>
                </c:pt>
                <c:pt idx="108">
                  <c:v>15.364150943396226</c:v>
                </c:pt>
                <c:pt idx="109">
                  <c:v>15.062893081761011</c:v>
                </c:pt>
                <c:pt idx="110">
                  <c:v>14.761635220125783</c:v>
                </c:pt>
                <c:pt idx="111">
                  <c:v>14.460377358490568</c:v>
                </c:pt>
                <c:pt idx="112">
                  <c:v>14.159119496855347</c:v>
                </c:pt>
                <c:pt idx="113">
                  <c:v>13.857861635220125</c:v>
                </c:pt>
                <c:pt idx="114">
                  <c:v>13.556603773584911</c:v>
                </c:pt>
                <c:pt idx="115">
                  <c:v>13.255345911949682</c:v>
                </c:pt>
                <c:pt idx="116">
                  <c:v>12.954088050314468</c:v>
                </c:pt>
                <c:pt idx="117">
                  <c:v>12.652830188679246</c:v>
                </c:pt>
                <c:pt idx="118">
                  <c:v>12.351572327044025</c:v>
                </c:pt>
                <c:pt idx="119">
                  <c:v>12.05031446540881</c:v>
                </c:pt>
                <c:pt idx="120">
                  <c:v>11.749056603773582</c:v>
                </c:pt>
                <c:pt idx="121">
                  <c:v>11.447798742138367</c:v>
                </c:pt>
                <c:pt idx="122">
                  <c:v>11.146540880503139</c:v>
                </c:pt>
                <c:pt idx="123">
                  <c:v>10.845283018867924</c:v>
                </c:pt>
                <c:pt idx="124">
                  <c:v>10.54402515723271</c:v>
                </c:pt>
                <c:pt idx="125">
                  <c:v>10.242767295597481</c:v>
                </c:pt>
                <c:pt idx="126">
                  <c:v>9.9415094339622669</c:v>
                </c:pt>
                <c:pt idx="127">
                  <c:v>9.6402515723270383</c:v>
                </c:pt>
                <c:pt idx="128">
                  <c:v>9.3389937106918239</c:v>
                </c:pt>
                <c:pt idx="129">
                  <c:v>9.0377358490566024</c:v>
                </c:pt>
                <c:pt idx="130">
                  <c:v>8.7364779874213809</c:v>
                </c:pt>
                <c:pt idx="131">
                  <c:v>8.4352201257861665</c:v>
                </c:pt>
                <c:pt idx="132">
                  <c:v>8.1339622641509379</c:v>
                </c:pt>
                <c:pt idx="133">
                  <c:v>7.8327044025157235</c:v>
                </c:pt>
                <c:pt idx="134">
                  <c:v>7.531446540880502</c:v>
                </c:pt>
                <c:pt idx="135">
                  <c:v>7.2301886792452805</c:v>
                </c:pt>
                <c:pt idx="136">
                  <c:v>6.9289308176100661</c:v>
                </c:pt>
                <c:pt idx="137">
                  <c:v>6.6276729559748375</c:v>
                </c:pt>
                <c:pt idx="138">
                  <c:v>6.3264150943396231</c:v>
                </c:pt>
                <c:pt idx="139">
                  <c:v>6.0251572327044016</c:v>
                </c:pt>
                <c:pt idx="140">
                  <c:v>5.7238993710691801</c:v>
                </c:pt>
                <c:pt idx="141">
                  <c:v>5.4226415094339657</c:v>
                </c:pt>
                <c:pt idx="142">
                  <c:v>5.1213836477987371</c:v>
                </c:pt>
                <c:pt idx="143">
                  <c:v>4.8201257861635227</c:v>
                </c:pt>
                <c:pt idx="144">
                  <c:v>4.5188679245283012</c:v>
                </c:pt>
                <c:pt idx="145">
                  <c:v>4.2176100628930797</c:v>
                </c:pt>
                <c:pt idx="146">
                  <c:v>3.9163522012578653</c:v>
                </c:pt>
                <c:pt idx="147">
                  <c:v>3.6150943396226367</c:v>
                </c:pt>
                <c:pt idx="148">
                  <c:v>3.3138364779874223</c:v>
                </c:pt>
                <c:pt idx="149">
                  <c:v>3.0125786163522008</c:v>
                </c:pt>
                <c:pt idx="150">
                  <c:v>2.7113207547169793</c:v>
                </c:pt>
                <c:pt idx="151">
                  <c:v>2.4100628930817649</c:v>
                </c:pt>
                <c:pt idx="152">
                  <c:v>2.1088050314465363</c:v>
                </c:pt>
                <c:pt idx="153">
                  <c:v>1.8075471698113219</c:v>
                </c:pt>
                <c:pt idx="154">
                  <c:v>1.5062893081761004</c:v>
                </c:pt>
                <c:pt idx="155">
                  <c:v>1.2050314465408789</c:v>
                </c:pt>
                <c:pt idx="156">
                  <c:v>0.90377358490566451</c:v>
                </c:pt>
                <c:pt idx="157">
                  <c:v>0.6025157232704359</c:v>
                </c:pt>
                <c:pt idx="158">
                  <c:v>0.3012578616352215</c:v>
                </c:pt>
                <c:pt idx="159">
                  <c:v>0</c:v>
                </c:pt>
              </c:numCache>
            </c:numRef>
          </c:val>
          <c:smooth val="0"/>
          <c:extLst>
            <c:ext xmlns:c16="http://schemas.microsoft.com/office/drawing/2014/chart" uri="{C3380CC4-5D6E-409C-BE32-E72D297353CC}">
              <c16:uniqueId val="{00000001-5BFD-4435-BEE7-DBBE01D24375}"/>
            </c:ext>
          </c:extLst>
        </c:ser>
        <c:dLbls>
          <c:showLegendKey val="0"/>
          <c:showVal val="0"/>
          <c:showCatName val="0"/>
          <c:showSerName val="0"/>
          <c:showPercent val="0"/>
          <c:showBubbleSize val="0"/>
        </c:dLbls>
        <c:hiLowLines>
          <c:spPr>
            <a:ln w="0">
              <a:noFill/>
            </a:ln>
          </c:spPr>
        </c:hiLowLines>
        <c:marker val="1"/>
        <c:smooth val="0"/>
        <c:axId val="39363991"/>
        <c:axId val="61856416"/>
      </c:lineChart>
      <c:dateAx>
        <c:axId val="60517388"/>
        <c:scaling>
          <c:orientation val="minMax"/>
        </c:scaling>
        <c:delete val="1"/>
        <c:axPos val="b"/>
        <c:numFmt formatCode="mm/dd/yyyy" sourceLinked="1"/>
        <c:majorTickMark val="none"/>
        <c:minorTickMark val="none"/>
        <c:tickLblPos val="nextTo"/>
        <c:crossAx val="56285034"/>
        <c:crosses val="autoZero"/>
        <c:auto val="1"/>
        <c:lblOffset val="100"/>
        <c:baseTimeUnit val="days"/>
      </c:dateAx>
      <c:valAx>
        <c:axId val="56285034"/>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60517388"/>
        <c:crosses val="autoZero"/>
        <c:crossBetween val="between"/>
      </c:valAx>
      <c:dateAx>
        <c:axId val="39363991"/>
        <c:scaling>
          <c:orientation val="minMax"/>
        </c:scaling>
        <c:delete val="1"/>
        <c:axPos val="b"/>
        <c:numFmt formatCode="mm/dd/yyyy" sourceLinked="1"/>
        <c:majorTickMark val="none"/>
        <c:minorTickMark val="none"/>
        <c:tickLblPos val="nextTo"/>
        <c:crossAx val="61856416"/>
        <c:crosses val="autoZero"/>
        <c:auto val="1"/>
        <c:lblOffset val="100"/>
        <c:baseTimeUnit val="days"/>
      </c:dateAx>
      <c:valAx>
        <c:axId val="61856416"/>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9363991"/>
        <c:crosses val="max"/>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MU</a:t>
            </a:r>
          </a:p>
        </c:rich>
      </c:tx>
      <c:overlay val="0"/>
      <c:spPr>
        <a:noFill/>
        <a:ln w="0">
          <a:noFill/>
        </a:ln>
      </c:spPr>
    </c:title>
    <c:autoTitleDeleted val="0"/>
    <c:plotArea>
      <c:layout/>
      <c:barChart>
        <c:barDir val="col"/>
        <c:grouping val="clustered"/>
        <c:varyColors val="0"/>
        <c:ser>
          <c:idx val="0"/>
          <c:order val="0"/>
          <c:tx>
            <c:strRef>
              <c:f>'Returns (Calc)'!$H$2</c:f>
              <c:strCache>
                <c:ptCount val="1"/>
                <c:pt idx="0">
                  <c:v>MU</c:v>
                </c:pt>
              </c:strCache>
            </c:strRef>
          </c:tx>
          <c:spPr>
            <a:solidFill>
              <a:srgbClr val="4F81BD"/>
            </a:solidFill>
            <a:ln w="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45156</c:v>
                </c:pt>
                <c:pt idx="1">
                  <c:v>45163</c:v>
                </c:pt>
                <c:pt idx="2">
                  <c:v>45170</c:v>
                </c:pt>
                <c:pt idx="3">
                  <c:v>45177</c:v>
                </c:pt>
                <c:pt idx="4">
                  <c:v>45184</c:v>
                </c:pt>
                <c:pt idx="5">
                  <c:v>45191</c:v>
                </c:pt>
                <c:pt idx="6">
                  <c:v>45198</c:v>
                </c:pt>
                <c:pt idx="7">
                  <c:v>45205</c:v>
                </c:pt>
                <c:pt idx="8">
                  <c:v>45212</c:v>
                </c:pt>
                <c:pt idx="9">
                  <c:v>45219</c:v>
                </c:pt>
                <c:pt idx="10">
                  <c:v>45226</c:v>
                </c:pt>
                <c:pt idx="11">
                  <c:v>45233</c:v>
                </c:pt>
                <c:pt idx="12">
                  <c:v>45240</c:v>
                </c:pt>
                <c:pt idx="13">
                  <c:v>45247</c:v>
                </c:pt>
                <c:pt idx="14">
                  <c:v>45254</c:v>
                </c:pt>
                <c:pt idx="15">
                  <c:v>45261</c:v>
                </c:pt>
                <c:pt idx="16">
                  <c:v>45268</c:v>
                </c:pt>
                <c:pt idx="17">
                  <c:v>45275</c:v>
                </c:pt>
                <c:pt idx="18">
                  <c:v>45282</c:v>
                </c:pt>
                <c:pt idx="19">
                  <c:v>45289</c:v>
                </c:pt>
                <c:pt idx="20">
                  <c:v>45296</c:v>
                </c:pt>
                <c:pt idx="21">
                  <c:v>45303</c:v>
                </c:pt>
                <c:pt idx="22">
                  <c:v>45310</c:v>
                </c:pt>
                <c:pt idx="23">
                  <c:v>45317</c:v>
                </c:pt>
                <c:pt idx="24">
                  <c:v>45324</c:v>
                </c:pt>
                <c:pt idx="25">
                  <c:v>45331</c:v>
                </c:pt>
                <c:pt idx="26">
                  <c:v>45338</c:v>
                </c:pt>
                <c:pt idx="27">
                  <c:v>45345</c:v>
                </c:pt>
                <c:pt idx="28">
                  <c:v>45352</c:v>
                </c:pt>
                <c:pt idx="29">
                  <c:v>45359</c:v>
                </c:pt>
                <c:pt idx="30">
                  <c:v>45366</c:v>
                </c:pt>
                <c:pt idx="31">
                  <c:v>45373</c:v>
                </c:pt>
                <c:pt idx="32">
                  <c:v>45379</c:v>
                </c:pt>
                <c:pt idx="33">
                  <c:v>45387</c:v>
                </c:pt>
                <c:pt idx="34">
                  <c:v>45394</c:v>
                </c:pt>
                <c:pt idx="35">
                  <c:v>45401</c:v>
                </c:pt>
                <c:pt idx="36">
                  <c:v>45408</c:v>
                </c:pt>
                <c:pt idx="37">
                  <c:v>45415</c:v>
                </c:pt>
                <c:pt idx="38">
                  <c:v>45422</c:v>
                </c:pt>
                <c:pt idx="39">
                  <c:v>45429</c:v>
                </c:pt>
                <c:pt idx="40">
                  <c:v>45436</c:v>
                </c:pt>
                <c:pt idx="41">
                  <c:v>45443</c:v>
                </c:pt>
                <c:pt idx="42">
                  <c:v>45450</c:v>
                </c:pt>
                <c:pt idx="43">
                  <c:v>45457</c:v>
                </c:pt>
                <c:pt idx="44">
                  <c:v>45464</c:v>
                </c:pt>
                <c:pt idx="45">
                  <c:v>45471</c:v>
                </c:pt>
                <c:pt idx="46">
                  <c:v>45478</c:v>
                </c:pt>
                <c:pt idx="47">
                  <c:v>45485</c:v>
                </c:pt>
                <c:pt idx="48">
                  <c:v>45492</c:v>
                </c:pt>
                <c:pt idx="49">
                  <c:v>45499</c:v>
                </c:pt>
                <c:pt idx="50">
                  <c:v>45506</c:v>
                </c:pt>
                <c:pt idx="51">
                  <c:v>45513</c:v>
                </c:pt>
                <c:pt idx="52">
                  <c:v>45520</c:v>
                </c:pt>
                <c:pt idx="53">
                  <c:v>45527</c:v>
                </c:pt>
                <c:pt idx="54">
                  <c:v>45534</c:v>
                </c:pt>
                <c:pt idx="55">
                  <c:v>45541</c:v>
                </c:pt>
                <c:pt idx="56">
                  <c:v>45548</c:v>
                </c:pt>
                <c:pt idx="57">
                  <c:v>45555</c:v>
                </c:pt>
                <c:pt idx="58">
                  <c:v>45562</c:v>
                </c:pt>
                <c:pt idx="59">
                  <c:v>45569</c:v>
                </c:pt>
                <c:pt idx="60">
                  <c:v>45576</c:v>
                </c:pt>
                <c:pt idx="61">
                  <c:v>45583</c:v>
                </c:pt>
                <c:pt idx="62">
                  <c:v>45590</c:v>
                </c:pt>
                <c:pt idx="63">
                  <c:v>45597</c:v>
                </c:pt>
                <c:pt idx="64">
                  <c:v>45604</c:v>
                </c:pt>
                <c:pt idx="65">
                  <c:v>45611</c:v>
                </c:pt>
                <c:pt idx="66">
                  <c:v>45618</c:v>
                </c:pt>
                <c:pt idx="67">
                  <c:v>45625</c:v>
                </c:pt>
                <c:pt idx="68">
                  <c:v>45632</c:v>
                </c:pt>
                <c:pt idx="69">
                  <c:v>45639</c:v>
                </c:pt>
                <c:pt idx="70">
                  <c:v>45646</c:v>
                </c:pt>
                <c:pt idx="71">
                  <c:v>45653</c:v>
                </c:pt>
                <c:pt idx="72">
                  <c:v>45660</c:v>
                </c:pt>
                <c:pt idx="73">
                  <c:v>45667</c:v>
                </c:pt>
                <c:pt idx="74">
                  <c:v>45674</c:v>
                </c:pt>
                <c:pt idx="75">
                  <c:v>45681</c:v>
                </c:pt>
                <c:pt idx="76">
                  <c:v>45688</c:v>
                </c:pt>
                <c:pt idx="77">
                  <c:v>45695</c:v>
                </c:pt>
                <c:pt idx="78">
                  <c:v>45702</c:v>
                </c:pt>
                <c:pt idx="79">
                  <c:v>45709</c:v>
                </c:pt>
                <c:pt idx="80">
                  <c:v>45716</c:v>
                </c:pt>
                <c:pt idx="81">
                  <c:v>45723</c:v>
                </c:pt>
                <c:pt idx="82">
                  <c:v>45730</c:v>
                </c:pt>
                <c:pt idx="83">
                  <c:v>45737</c:v>
                </c:pt>
                <c:pt idx="84">
                  <c:v>45744</c:v>
                </c:pt>
                <c:pt idx="85">
                  <c:v>45751</c:v>
                </c:pt>
                <c:pt idx="86">
                  <c:v>45758</c:v>
                </c:pt>
                <c:pt idx="87">
                  <c:v>45764</c:v>
                </c:pt>
                <c:pt idx="88">
                  <c:v>45772</c:v>
                </c:pt>
                <c:pt idx="89">
                  <c:v>45779</c:v>
                </c:pt>
                <c:pt idx="90">
                  <c:v>45786</c:v>
                </c:pt>
                <c:pt idx="91">
                  <c:v>45793</c:v>
                </c:pt>
                <c:pt idx="92">
                  <c:v>45800</c:v>
                </c:pt>
                <c:pt idx="93">
                  <c:v>45807</c:v>
                </c:pt>
                <c:pt idx="94">
                  <c:v>45814</c:v>
                </c:pt>
                <c:pt idx="95">
                  <c:v>45821</c:v>
                </c:pt>
                <c:pt idx="96">
                  <c:v>45828</c:v>
                </c:pt>
                <c:pt idx="97">
                  <c:v>45835</c:v>
                </c:pt>
                <c:pt idx="98">
                  <c:v>45841</c:v>
                </c:pt>
                <c:pt idx="99">
                  <c:v>45849</c:v>
                </c:pt>
                <c:pt idx="100">
                  <c:v>45856</c:v>
                </c:pt>
                <c:pt idx="101">
                  <c:v>45863</c:v>
                </c:pt>
                <c:pt idx="102">
                  <c:v>45870</c:v>
                </c:pt>
                <c:pt idx="103">
                  <c:v>45877</c:v>
                </c:pt>
                <c:pt idx="104">
                  <c:v>45884</c:v>
                </c:pt>
                <c:pt idx="105">
                  <c:v>45891</c:v>
                </c:pt>
                <c:pt idx="106">
                  <c:v>45898</c:v>
                </c:pt>
                <c:pt idx="107">
                  <c:v>45905</c:v>
                </c:pt>
                <c:pt idx="108">
                  <c:v>45912</c:v>
                </c:pt>
                <c:pt idx="109">
                  <c:v>45919</c:v>
                </c:pt>
                <c:pt idx="110">
                  <c:v>45926</c:v>
                </c:pt>
                <c:pt idx="111">
                  <c:v>45933</c:v>
                </c:pt>
                <c:pt idx="112">
                  <c:v>45940</c:v>
                </c:pt>
                <c:pt idx="113">
                  <c:v>45947</c:v>
                </c:pt>
                <c:pt idx="114">
                  <c:v>45954</c:v>
                </c:pt>
                <c:pt idx="115">
                  <c:v>45961</c:v>
                </c:pt>
                <c:pt idx="116">
                  <c:v>45968</c:v>
                </c:pt>
                <c:pt idx="117">
                  <c:v>45975</c:v>
                </c:pt>
                <c:pt idx="118">
                  <c:v>45982</c:v>
                </c:pt>
                <c:pt idx="119">
                  <c:v>45989</c:v>
                </c:pt>
                <c:pt idx="120">
                  <c:v>45996</c:v>
                </c:pt>
                <c:pt idx="121">
                  <c:v>46003</c:v>
                </c:pt>
                <c:pt idx="122">
                  <c:v>46010</c:v>
                </c:pt>
                <c:pt idx="123">
                  <c:v>46017</c:v>
                </c:pt>
                <c:pt idx="124">
                  <c:v>46024</c:v>
                </c:pt>
                <c:pt idx="125">
                  <c:v>46031</c:v>
                </c:pt>
                <c:pt idx="126">
                  <c:v>46038</c:v>
                </c:pt>
                <c:pt idx="127">
                  <c:v>46045</c:v>
                </c:pt>
                <c:pt idx="128">
                  <c:v>46052</c:v>
                </c:pt>
                <c:pt idx="129">
                  <c:v>46059</c:v>
                </c:pt>
                <c:pt idx="130">
                  <c:v>46066</c:v>
                </c:pt>
                <c:pt idx="131">
                  <c:v>46073</c:v>
                </c:pt>
                <c:pt idx="132">
                  <c:v>46080</c:v>
                </c:pt>
                <c:pt idx="133">
                  <c:v>46087</c:v>
                </c:pt>
                <c:pt idx="134">
                  <c:v>46094</c:v>
                </c:pt>
                <c:pt idx="135">
                  <c:v>46101</c:v>
                </c:pt>
                <c:pt idx="136">
                  <c:v>46108</c:v>
                </c:pt>
                <c:pt idx="137">
                  <c:v>46114</c:v>
                </c:pt>
                <c:pt idx="138">
                  <c:v>46122</c:v>
                </c:pt>
                <c:pt idx="139">
                  <c:v>46129</c:v>
                </c:pt>
                <c:pt idx="140">
                  <c:v>46136</c:v>
                </c:pt>
                <c:pt idx="141">
                  <c:v>46143</c:v>
                </c:pt>
                <c:pt idx="142">
                  <c:v>46150</c:v>
                </c:pt>
                <c:pt idx="143">
                  <c:v>46157</c:v>
                </c:pt>
                <c:pt idx="144">
                  <c:v>46164</c:v>
                </c:pt>
                <c:pt idx="145">
                  <c:v>46171</c:v>
                </c:pt>
                <c:pt idx="146">
                  <c:v>46178</c:v>
                </c:pt>
                <c:pt idx="147">
                  <c:v>46185</c:v>
                </c:pt>
                <c:pt idx="148">
                  <c:v>46191</c:v>
                </c:pt>
                <c:pt idx="149">
                  <c:v>46199</c:v>
                </c:pt>
                <c:pt idx="150">
                  <c:v>46205</c:v>
                </c:pt>
                <c:pt idx="151">
                  <c:v>46213</c:v>
                </c:pt>
                <c:pt idx="152">
                  <c:v>46220</c:v>
                </c:pt>
                <c:pt idx="153">
                  <c:v>46227</c:v>
                </c:pt>
                <c:pt idx="154">
                  <c:v>46234</c:v>
                </c:pt>
                <c:pt idx="155">
                  <c:v>46241</c:v>
                </c:pt>
                <c:pt idx="156">
                  <c:v>46248</c:v>
                </c:pt>
                <c:pt idx="157">
                  <c:v>46255</c:v>
                </c:pt>
                <c:pt idx="158">
                  <c:v>46262</c:v>
                </c:pt>
                <c:pt idx="159">
                  <c:v>46269</c:v>
                </c:pt>
              </c:numCache>
            </c:numRef>
          </c:cat>
          <c:val>
            <c:numRef>
              <c:f>'Returns (Calc)'!$H$3:$H$500</c:f>
              <c:numCache>
                <c:formatCode>0.0%</c:formatCode>
                <c:ptCount val="498"/>
                <c:pt idx="0">
                  <c:v>-1.2117446015224465E-2</c:v>
                </c:pt>
                <c:pt idx="1">
                  <c:v>2.0443465953765561E-3</c:v>
                </c:pt>
                <c:pt idx="2">
                  <c:v>0.10467671060891393</c:v>
                </c:pt>
                <c:pt idx="3">
                  <c:v>-2.9833783207841025E-3</c:v>
                </c:pt>
                <c:pt idx="4">
                  <c:v>-4.274722143060905E-3</c:v>
                </c:pt>
                <c:pt idx="5">
                  <c:v>-1.4310246136233551E-2</c:v>
                </c:pt>
                <c:pt idx="6">
                  <c:v>-1.2340301974448242E-2</c:v>
                </c:pt>
                <c:pt idx="7">
                  <c:v>2.8369836836689588E-2</c:v>
                </c:pt>
                <c:pt idx="8">
                  <c:v>-1.0720411663807883E-2</c:v>
                </c:pt>
                <c:pt idx="9">
                  <c:v>-2.8753070365554079E-2</c:v>
                </c:pt>
                <c:pt idx="10">
                  <c:v>-2.3356144004760382E-2</c:v>
                </c:pt>
                <c:pt idx="11">
                  <c:v>0.10555978674790545</c:v>
                </c:pt>
                <c:pt idx="12">
                  <c:v>3.8302562689446207E-2</c:v>
                </c:pt>
                <c:pt idx="13">
                  <c:v>2.9193205944798351E-2</c:v>
                </c:pt>
                <c:pt idx="14">
                  <c:v>-8.8963383187209422E-3</c:v>
                </c:pt>
                <c:pt idx="15">
                  <c:v>-1.2228437621959132E-2</c:v>
                </c:pt>
                <c:pt idx="16">
                  <c:v>-1.2774924272356269E-2</c:v>
                </c:pt>
                <c:pt idx="17">
                  <c:v>8.6045891141942388E-2</c:v>
                </c:pt>
                <c:pt idx="18">
                  <c:v>6.240019653605211E-2</c:v>
                </c:pt>
                <c:pt idx="19">
                  <c:v>-1.3296334836397139E-2</c:v>
                </c:pt>
                <c:pt idx="20">
                  <c:v>-2.2146707288493106E-2</c:v>
                </c:pt>
                <c:pt idx="21">
                  <c:v>-1.2702216896345098E-2</c:v>
                </c:pt>
                <c:pt idx="22">
                  <c:v>6.2143464012623051E-2</c:v>
                </c:pt>
                <c:pt idx="23">
                  <c:v>6.1707233459031841E-3</c:v>
                </c:pt>
                <c:pt idx="24">
                  <c:v>-1.7830777967064115E-2</c:v>
                </c:pt>
                <c:pt idx="25">
                  <c:v>-1.0638297872340496E-2</c:v>
                </c:pt>
                <c:pt idx="26">
                  <c:v>-7.0827489481065986E-2</c:v>
                </c:pt>
                <c:pt idx="27">
                  <c:v>8.1761006289308158E-2</c:v>
                </c:pt>
                <c:pt idx="28">
                  <c:v>0.10639534883720936</c:v>
                </c:pt>
                <c:pt idx="29">
                  <c:v>2.5959012086179678E-2</c:v>
                </c:pt>
                <c:pt idx="30">
                  <c:v>-4.4765416922761814E-2</c:v>
                </c:pt>
                <c:pt idx="31">
                  <c:v>0.18187667560321708</c:v>
                </c:pt>
                <c:pt idx="32">
                  <c:v>6.9685146538426723E-2</c:v>
                </c:pt>
                <c:pt idx="33">
                  <c:v>4.8265332089235669E-2</c:v>
                </c:pt>
                <c:pt idx="34">
                  <c:v>-8.5774397151643367E-3</c:v>
                </c:pt>
                <c:pt idx="35">
                  <c:v>-0.12855044074436828</c:v>
                </c:pt>
                <c:pt idx="36">
                  <c:v>7.5583028940713781E-2</c:v>
                </c:pt>
                <c:pt idx="37">
                  <c:v>-1.2190874259839779E-3</c:v>
                </c:pt>
                <c:pt idx="38">
                  <c:v>5.7018308631211712E-2</c:v>
                </c:pt>
                <c:pt idx="39">
                  <c:v>3.340481689211483E-2</c:v>
                </c:pt>
                <c:pt idx="40">
                  <c:v>3.3522228430042267E-2</c:v>
                </c:pt>
                <c:pt idx="41">
                  <c:v>-3.4674492238782939E-2</c:v>
                </c:pt>
                <c:pt idx="42">
                  <c:v>4.7520000000000007E-2</c:v>
                </c:pt>
                <c:pt idx="43">
                  <c:v>7.9578432870016869E-2</c:v>
                </c:pt>
                <c:pt idx="44">
                  <c:v>-1.2874929258630652E-2</c:v>
                </c:pt>
                <c:pt idx="45">
                  <c:v>-5.7402895227174899E-2</c:v>
                </c:pt>
                <c:pt idx="46">
                  <c:v>5.3219797764758603E-4</c:v>
                </c:pt>
                <c:pt idx="47">
                  <c:v>1.4817629179331382E-2</c:v>
                </c:pt>
                <c:pt idx="48">
                  <c:v>-0.14444028453762636</c:v>
                </c:pt>
                <c:pt idx="49">
                  <c:v>-4.2447050586381985E-2</c:v>
                </c:pt>
                <c:pt idx="50">
                  <c:v>-0.15272826981080334</c:v>
                </c:pt>
                <c:pt idx="51">
                  <c:v>4.0992448759438194E-3</c:v>
                </c:pt>
                <c:pt idx="52">
                  <c:v>0.16018478727975927</c:v>
                </c:pt>
                <c:pt idx="53">
                  <c:v>-4.7596999722196554E-2</c:v>
                </c:pt>
                <c:pt idx="54">
                  <c:v>-6.4268351968886694E-2</c:v>
                </c:pt>
                <c:pt idx="55">
                  <c:v>-0.10245220282626766</c:v>
                </c:pt>
                <c:pt idx="56">
                  <c:v>5.6031488770548865E-2</c:v>
                </c:pt>
                <c:pt idx="57">
                  <c:v>-3.5080026310019274E-3</c:v>
                </c:pt>
                <c:pt idx="58">
                  <c:v>0.18261826182618246</c:v>
                </c:pt>
                <c:pt idx="59">
                  <c:v>-4.8837209302325602E-2</c:v>
                </c:pt>
                <c:pt idx="60">
                  <c:v>4.5672371638141751E-2</c:v>
                </c:pt>
                <c:pt idx="61">
                  <c:v>3.9562289562289576E-2</c:v>
                </c:pt>
                <c:pt idx="62">
                  <c:v>-2.9149797570850233E-2</c:v>
                </c:pt>
                <c:pt idx="63">
                  <c:v>-7.5803910666295882E-2</c:v>
                </c:pt>
                <c:pt idx="64">
                  <c:v>0.12202947959490618</c:v>
                </c:pt>
                <c:pt idx="65">
                  <c:v>-0.13905272564789994</c:v>
                </c:pt>
                <c:pt idx="66">
                  <c:v>6.539339838073488E-2</c:v>
                </c:pt>
                <c:pt idx="67">
                  <c:v>-4.5693686671862799E-2</c:v>
                </c:pt>
                <c:pt idx="68">
                  <c:v>3.2873915262889186E-2</c:v>
                </c:pt>
                <c:pt idx="69">
                  <c:v>1.3146189581891843E-2</c:v>
                </c:pt>
                <c:pt idx="70">
                  <c:v>-0.12078048780487805</c:v>
                </c:pt>
                <c:pt idx="71">
                  <c:v>-1.6533510874389812E-2</c:v>
                </c:pt>
                <c:pt idx="72">
                  <c:v>1.3990748053706481E-2</c:v>
                </c:pt>
                <c:pt idx="73">
                  <c:v>0.10537442973183486</c:v>
                </c:pt>
                <c:pt idx="74">
                  <c:v>6.4525870746929614E-2</c:v>
                </c:pt>
                <c:pt idx="75">
                  <c:v>-2.4208037825059092E-2</c:v>
                </c:pt>
                <c:pt idx="76">
                  <c:v>-0.11580579513518752</c:v>
                </c:pt>
                <c:pt idx="77">
                  <c:v>1.1617711530030661E-2</c:v>
                </c:pt>
                <c:pt idx="78">
                  <c:v>7.8223185265438699E-2</c:v>
                </c:pt>
                <c:pt idx="79">
                  <c:v>-6.8327974276526371E-3</c:v>
                </c:pt>
                <c:pt idx="80">
                  <c:v>-5.2711452853095975E-2</c:v>
                </c:pt>
                <c:pt idx="81">
                  <c:v>-7.1558261241055909E-3</c:v>
                </c:pt>
                <c:pt idx="82">
                  <c:v>8.4229776247848775E-2</c:v>
                </c:pt>
                <c:pt idx="83">
                  <c:v>-6.0224228594106588E-2</c:v>
                </c:pt>
                <c:pt idx="84">
                  <c:v>-6.6300675675675658E-2</c:v>
                </c:pt>
                <c:pt idx="85">
                  <c:v>-0.26820443238353686</c:v>
                </c:pt>
                <c:pt idx="86">
                  <c:v>7.4629171817057971E-2</c:v>
                </c:pt>
                <c:pt idx="87">
                  <c:v>-1.0783608914450071E-2</c:v>
                </c:pt>
                <c:pt idx="88">
                  <c:v>0.15959302325581404</c:v>
                </c:pt>
                <c:pt idx="89">
                  <c:v>1.1782401604412129E-2</c:v>
                </c:pt>
                <c:pt idx="90">
                  <c:v>6.3676907829534279E-2</c:v>
                </c:pt>
                <c:pt idx="91">
                  <c:v>0.14139296529233647</c:v>
                </c:pt>
                <c:pt idx="92">
                  <c:v>-4.7244897959183629E-2</c:v>
                </c:pt>
                <c:pt idx="93">
                  <c:v>1.1673985220091998E-2</c:v>
                </c:pt>
                <c:pt idx="94">
                  <c:v>0.14926953207706983</c:v>
                </c:pt>
                <c:pt idx="95">
                  <c:v>6.4848931466469972E-2</c:v>
                </c:pt>
                <c:pt idx="96">
                  <c:v>6.9204152249134898E-2</c:v>
                </c:pt>
                <c:pt idx="97">
                  <c:v>9.3851132686084693E-3</c:v>
                </c:pt>
                <c:pt idx="98">
                  <c:v>-1.9798012183392055E-2</c:v>
                </c:pt>
                <c:pt idx="99">
                  <c:v>1.831711505437883E-2</c:v>
                </c:pt>
                <c:pt idx="100">
                  <c:v>-8.1426162370513144E-2</c:v>
                </c:pt>
                <c:pt idx="101">
                  <c:v>-2.7362531689832936E-2</c:v>
                </c:pt>
                <c:pt idx="102">
                  <c:v>-5.7343160165378437E-2</c:v>
                </c:pt>
                <c:pt idx="103">
                  <c:v>0.13358123569794045</c:v>
                </c:pt>
                <c:pt idx="104">
                  <c:v>1.6654049962149919E-2</c:v>
                </c:pt>
                <c:pt idx="105">
                  <c:v>-2.6391991395714354E-2</c:v>
                </c:pt>
                <c:pt idx="106">
                  <c:v>1.1301835486063894E-2</c:v>
                </c:pt>
                <c:pt idx="107">
                  <c:v>0.10385681875472641</c:v>
                </c:pt>
                <c:pt idx="108">
                  <c:v>0.19684859556976475</c:v>
                </c:pt>
                <c:pt idx="109">
                  <c:v>3.4980601666348754E-2</c:v>
                </c:pt>
                <c:pt idx="110">
                  <c:v>-3.355251029312345E-2</c:v>
                </c:pt>
                <c:pt idx="111">
                  <c:v>0.19431550836141676</c:v>
                </c:pt>
                <c:pt idx="112">
                  <c:v>-3.3168290475430018E-2</c:v>
                </c:pt>
                <c:pt idx="113">
                  <c:v>0.11442731277533036</c:v>
                </c:pt>
                <c:pt idx="114">
                  <c:v>8.2221563395592501E-2</c:v>
                </c:pt>
                <c:pt idx="115">
                  <c:v>2.168751712172412E-2</c:v>
                </c:pt>
                <c:pt idx="116">
                  <c:v>6.3234571211511659E-2</c:v>
                </c:pt>
                <c:pt idx="117">
                  <c:v>3.7449562878278497E-2</c:v>
                </c:pt>
                <c:pt idx="118">
                  <c:v>-0.15986711501843376</c:v>
                </c:pt>
                <c:pt idx="119">
                  <c:v>0.14037710372763645</c:v>
                </c:pt>
                <c:pt idx="120">
                  <c:v>3.1292286874153863E-3</c:v>
                </c:pt>
                <c:pt idx="121">
                  <c:v>1.652474496248213E-2</c:v>
                </c:pt>
                <c:pt idx="122">
                  <c:v>0.10276188106494155</c:v>
                </c:pt>
                <c:pt idx="123">
                  <c:v>7.0961191335740192E-2</c:v>
                </c:pt>
                <c:pt idx="124">
                  <c:v>0.10755293374065089</c:v>
                </c:pt>
                <c:pt idx="125">
                  <c:v>9.4065056115655077E-2</c:v>
                </c:pt>
                <c:pt idx="126">
                  <c:v>5.1175055782549661E-2</c:v>
                </c:pt>
                <c:pt idx="127">
                  <c:v>0.10172294968986906</c:v>
                </c:pt>
                <c:pt idx="128">
                  <c:v>3.8108344801701444E-2</c:v>
                </c:pt>
                <c:pt idx="129">
                  <c:v>-4.8664674122637863E-2</c:v>
                </c:pt>
                <c:pt idx="130">
                  <c:v>4.2995768831234793E-2</c:v>
                </c:pt>
                <c:pt idx="131">
                  <c:v>4.0105912646358544E-2</c:v>
                </c:pt>
                <c:pt idx="132">
                  <c:v>-3.6901230819534336E-2</c:v>
                </c:pt>
                <c:pt idx="133">
                  <c:v>-0.10202003055508402</c:v>
                </c:pt>
                <c:pt idx="134">
                  <c:v>0.1507696462327841</c:v>
                </c:pt>
                <c:pt idx="135">
                  <c:v>-7.5798465257082004E-3</c:v>
                </c:pt>
                <c:pt idx="136">
                  <c:v>-0.15530858358950095</c:v>
                </c:pt>
                <c:pt idx="137">
                  <c:v>2.5250545882089526E-2</c:v>
                </c:pt>
                <c:pt idx="138">
                  <c:v>0.14839995631280023</c:v>
                </c:pt>
                <c:pt idx="139">
                  <c:v>8.198007560807441E-2</c:v>
                </c:pt>
                <c:pt idx="140">
                  <c:v>9.1524380864482557E-2</c:v>
                </c:pt>
                <c:pt idx="141">
                  <c:v>9.1580769850217347E-2</c:v>
                </c:pt>
                <c:pt idx="142">
                  <c:v>0.37734457129156573</c:v>
                </c:pt>
                <c:pt idx="143">
                  <c:v>-2.9659485009574049E-2</c:v>
                </c:pt>
                <c:pt idx="144">
                  <c:v>3.6348080479121192E-2</c:v>
                </c:pt>
                <c:pt idx="145">
                  <c:v>0.29294274300932099</c:v>
                </c:pt>
                <c:pt idx="146">
                  <c:v>-0.11018537590113286</c:v>
                </c:pt>
                <c:pt idx="147">
                  <c:v>0.13610953576926188</c:v>
                </c:pt>
                <c:pt idx="148">
                  <c:v>0.15523476737197051</c:v>
                </c:pt>
                <c:pt idx="149">
                  <c:v>-1.4638577059763458E-3</c:v>
                </c:pt>
                <c:pt idx="150">
                  <c:v>-0.13844903870779723</c:v>
                </c:pt>
                <c:pt idx="151">
                  <c:v>3.8336955184714583E-3</c:v>
                </c:pt>
                <c:pt idx="152">
                  <c:v>-0.13310527928111904</c:v>
                </c:pt>
                <c:pt idx="153">
                  <c:v>8.4810648448082837E-2</c:v>
                </c:pt>
                <c:pt idx="154">
                  <c:v>-0.1063249904989414</c:v>
                </c:pt>
                <c:pt idx="155">
                  <c:v>6.6267329258957952E-2</c:v>
                </c:pt>
                <c:pt idx="156">
                  <c:v>0.10721651834041723</c:v>
                </c:pt>
                <c:pt idx="157">
                  <c:v>-5.0223329148055829E-3</c:v>
                </c:pt>
                <c:pt idx="158">
                  <c:v>-3.5085541695111577E-2</c:v>
                </c:pt>
                <c:pt idx="159">
                  <c:v>8.9756233518427209E-2</c:v>
                </c:pt>
              </c:numCache>
            </c:numRef>
          </c:val>
          <c:extLst>
            <c:ext xmlns:c16="http://schemas.microsoft.com/office/drawing/2014/chart" uri="{C3380CC4-5D6E-409C-BE32-E72D297353CC}">
              <c16:uniqueId val="{00000000-CE65-4FED-BABB-D978C96AAB19}"/>
            </c:ext>
          </c:extLst>
        </c:ser>
        <c:dLbls>
          <c:showLegendKey val="0"/>
          <c:showVal val="0"/>
          <c:showCatName val="0"/>
          <c:showSerName val="0"/>
          <c:showPercent val="0"/>
          <c:showBubbleSize val="0"/>
        </c:dLbls>
        <c:gapWidth val="150"/>
        <c:axId val="49299490"/>
        <c:axId val="22269369"/>
      </c:barChart>
      <c:lineChart>
        <c:grouping val="standard"/>
        <c:varyColors val="0"/>
        <c:ser>
          <c:idx val="1"/>
          <c:order val="1"/>
          <c:tx>
            <c:strRef>
              <c:f>'Returns (Calc)'!$AC$2</c:f>
              <c:strCache>
                <c:ptCount val="1"/>
                <c:pt idx="0">
                  <c:v>MU trend</c:v>
                </c:pt>
              </c:strCache>
            </c:strRef>
          </c:tx>
          <c:spPr>
            <a:ln w="201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45156</c:v>
                </c:pt>
                <c:pt idx="1">
                  <c:v>45163</c:v>
                </c:pt>
                <c:pt idx="2">
                  <c:v>45170</c:v>
                </c:pt>
                <c:pt idx="3">
                  <c:v>45177</c:v>
                </c:pt>
                <c:pt idx="4">
                  <c:v>45184</c:v>
                </c:pt>
                <c:pt idx="5">
                  <c:v>45191</c:v>
                </c:pt>
                <c:pt idx="6">
                  <c:v>45198</c:v>
                </c:pt>
                <c:pt idx="7">
                  <c:v>45205</c:v>
                </c:pt>
                <c:pt idx="8">
                  <c:v>45212</c:v>
                </c:pt>
                <c:pt idx="9">
                  <c:v>45219</c:v>
                </c:pt>
                <c:pt idx="10">
                  <c:v>45226</c:v>
                </c:pt>
                <c:pt idx="11">
                  <c:v>45233</c:v>
                </c:pt>
                <c:pt idx="12">
                  <c:v>45240</c:v>
                </c:pt>
                <c:pt idx="13">
                  <c:v>45247</c:v>
                </c:pt>
                <c:pt idx="14">
                  <c:v>45254</c:v>
                </c:pt>
                <c:pt idx="15">
                  <c:v>45261</c:v>
                </c:pt>
                <c:pt idx="16">
                  <c:v>45268</c:v>
                </c:pt>
                <c:pt idx="17">
                  <c:v>45275</c:v>
                </c:pt>
                <c:pt idx="18">
                  <c:v>45282</c:v>
                </c:pt>
                <c:pt idx="19">
                  <c:v>45289</c:v>
                </c:pt>
                <c:pt idx="20">
                  <c:v>45296</c:v>
                </c:pt>
                <c:pt idx="21">
                  <c:v>45303</c:v>
                </c:pt>
                <c:pt idx="22">
                  <c:v>45310</c:v>
                </c:pt>
                <c:pt idx="23">
                  <c:v>45317</c:v>
                </c:pt>
                <c:pt idx="24">
                  <c:v>45324</c:v>
                </c:pt>
                <c:pt idx="25">
                  <c:v>45331</c:v>
                </c:pt>
                <c:pt idx="26">
                  <c:v>45338</c:v>
                </c:pt>
                <c:pt idx="27">
                  <c:v>45345</c:v>
                </c:pt>
                <c:pt idx="28">
                  <c:v>45352</c:v>
                </c:pt>
                <c:pt idx="29">
                  <c:v>45359</c:v>
                </c:pt>
                <c:pt idx="30">
                  <c:v>45366</c:v>
                </c:pt>
                <c:pt idx="31">
                  <c:v>45373</c:v>
                </c:pt>
                <c:pt idx="32">
                  <c:v>45379</c:v>
                </c:pt>
                <c:pt idx="33">
                  <c:v>45387</c:v>
                </c:pt>
                <c:pt idx="34">
                  <c:v>45394</c:v>
                </c:pt>
                <c:pt idx="35">
                  <c:v>45401</c:v>
                </c:pt>
                <c:pt idx="36">
                  <c:v>45408</c:v>
                </c:pt>
                <c:pt idx="37">
                  <c:v>45415</c:v>
                </c:pt>
                <c:pt idx="38">
                  <c:v>45422</c:v>
                </c:pt>
                <c:pt idx="39">
                  <c:v>45429</c:v>
                </c:pt>
                <c:pt idx="40">
                  <c:v>45436</c:v>
                </c:pt>
                <c:pt idx="41">
                  <c:v>45443</c:v>
                </c:pt>
                <c:pt idx="42">
                  <c:v>45450</c:v>
                </c:pt>
                <c:pt idx="43">
                  <c:v>45457</c:v>
                </c:pt>
                <c:pt idx="44">
                  <c:v>45464</c:v>
                </c:pt>
                <c:pt idx="45">
                  <c:v>45471</c:v>
                </c:pt>
                <c:pt idx="46">
                  <c:v>45478</c:v>
                </c:pt>
                <c:pt idx="47">
                  <c:v>45485</c:v>
                </c:pt>
                <c:pt idx="48">
                  <c:v>45492</c:v>
                </c:pt>
                <c:pt idx="49">
                  <c:v>45499</c:v>
                </c:pt>
                <c:pt idx="50">
                  <c:v>45506</c:v>
                </c:pt>
                <c:pt idx="51">
                  <c:v>45513</c:v>
                </c:pt>
                <c:pt idx="52">
                  <c:v>45520</c:v>
                </c:pt>
                <c:pt idx="53">
                  <c:v>45527</c:v>
                </c:pt>
                <c:pt idx="54">
                  <c:v>45534</c:v>
                </c:pt>
                <c:pt idx="55">
                  <c:v>45541</c:v>
                </c:pt>
                <c:pt idx="56">
                  <c:v>45548</c:v>
                </c:pt>
                <c:pt idx="57">
                  <c:v>45555</c:v>
                </c:pt>
                <c:pt idx="58">
                  <c:v>45562</c:v>
                </c:pt>
                <c:pt idx="59">
                  <c:v>45569</c:v>
                </c:pt>
                <c:pt idx="60">
                  <c:v>45576</c:v>
                </c:pt>
                <c:pt idx="61">
                  <c:v>45583</c:v>
                </c:pt>
                <c:pt idx="62">
                  <c:v>45590</c:v>
                </c:pt>
                <c:pt idx="63">
                  <c:v>45597</c:v>
                </c:pt>
                <c:pt idx="64">
                  <c:v>45604</c:v>
                </c:pt>
                <c:pt idx="65">
                  <c:v>45611</c:v>
                </c:pt>
                <c:pt idx="66">
                  <c:v>45618</c:v>
                </c:pt>
                <c:pt idx="67">
                  <c:v>45625</c:v>
                </c:pt>
                <c:pt idx="68">
                  <c:v>45632</c:v>
                </c:pt>
                <c:pt idx="69">
                  <c:v>45639</c:v>
                </c:pt>
                <c:pt idx="70">
                  <c:v>45646</c:v>
                </c:pt>
                <c:pt idx="71">
                  <c:v>45653</c:v>
                </c:pt>
                <c:pt idx="72">
                  <c:v>45660</c:v>
                </c:pt>
                <c:pt idx="73">
                  <c:v>45667</c:v>
                </c:pt>
                <c:pt idx="74">
                  <c:v>45674</c:v>
                </c:pt>
                <c:pt idx="75">
                  <c:v>45681</c:v>
                </c:pt>
                <c:pt idx="76">
                  <c:v>45688</c:v>
                </c:pt>
                <c:pt idx="77">
                  <c:v>45695</c:v>
                </c:pt>
                <c:pt idx="78">
                  <c:v>45702</c:v>
                </c:pt>
                <c:pt idx="79">
                  <c:v>45709</c:v>
                </c:pt>
                <c:pt idx="80">
                  <c:v>45716</c:v>
                </c:pt>
                <c:pt idx="81">
                  <c:v>45723</c:v>
                </c:pt>
                <c:pt idx="82">
                  <c:v>45730</c:v>
                </c:pt>
                <c:pt idx="83">
                  <c:v>45737</c:v>
                </c:pt>
                <c:pt idx="84">
                  <c:v>45744</c:v>
                </c:pt>
                <c:pt idx="85">
                  <c:v>45751</c:v>
                </c:pt>
                <c:pt idx="86">
                  <c:v>45758</c:v>
                </c:pt>
                <c:pt idx="87">
                  <c:v>45764</c:v>
                </c:pt>
                <c:pt idx="88">
                  <c:v>45772</c:v>
                </c:pt>
                <c:pt idx="89">
                  <c:v>45779</c:v>
                </c:pt>
                <c:pt idx="90">
                  <c:v>45786</c:v>
                </c:pt>
                <c:pt idx="91">
                  <c:v>45793</c:v>
                </c:pt>
                <c:pt idx="92">
                  <c:v>45800</c:v>
                </c:pt>
                <c:pt idx="93">
                  <c:v>45807</c:v>
                </c:pt>
                <c:pt idx="94">
                  <c:v>45814</c:v>
                </c:pt>
                <c:pt idx="95">
                  <c:v>45821</c:v>
                </c:pt>
                <c:pt idx="96">
                  <c:v>45828</c:v>
                </c:pt>
                <c:pt idx="97">
                  <c:v>45835</c:v>
                </c:pt>
                <c:pt idx="98">
                  <c:v>45841</c:v>
                </c:pt>
                <c:pt idx="99">
                  <c:v>45849</c:v>
                </c:pt>
                <c:pt idx="100">
                  <c:v>45856</c:v>
                </c:pt>
                <c:pt idx="101">
                  <c:v>45863</c:v>
                </c:pt>
                <c:pt idx="102">
                  <c:v>45870</c:v>
                </c:pt>
                <c:pt idx="103">
                  <c:v>45877</c:v>
                </c:pt>
                <c:pt idx="104">
                  <c:v>45884</c:v>
                </c:pt>
                <c:pt idx="105">
                  <c:v>45891</c:v>
                </c:pt>
                <c:pt idx="106">
                  <c:v>45898</c:v>
                </c:pt>
                <c:pt idx="107">
                  <c:v>45905</c:v>
                </c:pt>
                <c:pt idx="108">
                  <c:v>45912</c:v>
                </c:pt>
                <c:pt idx="109">
                  <c:v>45919</c:v>
                </c:pt>
                <c:pt idx="110">
                  <c:v>45926</c:v>
                </c:pt>
                <c:pt idx="111">
                  <c:v>45933</c:v>
                </c:pt>
                <c:pt idx="112">
                  <c:v>45940</c:v>
                </c:pt>
                <c:pt idx="113">
                  <c:v>45947</c:v>
                </c:pt>
                <c:pt idx="114">
                  <c:v>45954</c:v>
                </c:pt>
                <c:pt idx="115">
                  <c:v>45961</c:v>
                </c:pt>
                <c:pt idx="116">
                  <c:v>45968</c:v>
                </c:pt>
                <c:pt idx="117">
                  <c:v>45975</c:v>
                </c:pt>
                <c:pt idx="118">
                  <c:v>45982</c:v>
                </c:pt>
                <c:pt idx="119">
                  <c:v>45989</c:v>
                </c:pt>
                <c:pt idx="120">
                  <c:v>45996</c:v>
                </c:pt>
                <c:pt idx="121">
                  <c:v>46003</c:v>
                </c:pt>
                <c:pt idx="122">
                  <c:v>46010</c:v>
                </c:pt>
                <c:pt idx="123">
                  <c:v>46017</c:v>
                </c:pt>
                <c:pt idx="124">
                  <c:v>46024</c:v>
                </c:pt>
                <c:pt idx="125">
                  <c:v>46031</c:v>
                </c:pt>
                <c:pt idx="126">
                  <c:v>46038</c:v>
                </c:pt>
                <c:pt idx="127">
                  <c:v>46045</c:v>
                </c:pt>
                <c:pt idx="128">
                  <c:v>46052</c:v>
                </c:pt>
                <c:pt idx="129">
                  <c:v>46059</c:v>
                </c:pt>
                <c:pt idx="130">
                  <c:v>46066</c:v>
                </c:pt>
                <c:pt idx="131">
                  <c:v>46073</c:v>
                </c:pt>
                <c:pt idx="132">
                  <c:v>46080</c:v>
                </c:pt>
                <c:pt idx="133">
                  <c:v>46087</c:v>
                </c:pt>
                <c:pt idx="134">
                  <c:v>46094</c:v>
                </c:pt>
                <c:pt idx="135">
                  <c:v>46101</c:v>
                </c:pt>
                <c:pt idx="136">
                  <c:v>46108</c:v>
                </c:pt>
                <c:pt idx="137">
                  <c:v>46114</c:v>
                </c:pt>
                <c:pt idx="138">
                  <c:v>46122</c:v>
                </c:pt>
                <c:pt idx="139">
                  <c:v>46129</c:v>
                </c:pt>
                <c:pt idx="140">
                  <c:v>46136</c:v>
                </c:pt>
                <c:pt idx="141">
                  <c:v>46143</c:v>
                </c:pt>
                <c:pt idx="142">
                  <c:v>46150</c:v>
                </c:pt>
                <c:pt idx="143">
                  <c:v>46157</c:v>
                </c:pt>
                <c:pt idx="144">
                  <c:v>46164</c:v>
                </c:pt>
                <c:pt idx="145">
                  <c:v>46171</c:v>
                </c:pt>
                <c:pt idx="146">
                  <c:v>46178</c:v>
                </c:pt>
                <c:pt idx="147">
                  <c:v>46185</c:v>
                </c:pt>
                <c:pt idx="148">
                  <c:v>46191</c:v>
                </c:pt>
                <c:pt idx="149">
                  <c:v>46199</c:v>
                </c:pt>
                <c:pt idx="150">
                  <c:v>46205</c:v>
                </c:pt>
                <c:pt idx="151">
                  <c:v>46213</c:v>
                </c:pt>
                <c:pt idx="152">
                  <c:v>46220</c:v>
                </c:pt>
                <c:pt idx="153">
                  <c:v>46227</c:v>
                </c:pt>
                <c:pt idx="154">
                  <c:v>46234</c:v>
                </c:pt>
                <c:pt idx="155">
                  <c:v>46241</c:v>
                </c:pt>
                <c:pt idx="156">
                  <c:v>46248</c:v>
                </c:pt>
                <c:pt idx="157">
                  <c:v>46255</c:v>
                </c:pt>
                <c:pt idx="158">
                  <c:v>46262</c:v>
                </c:pt>
                <c:pt idx="159">
                  <c:v>46269</c:v>
                </c:pt>
              </c:numCache>
            </c:numRef>
          </c:cat>
          <c:val>
            <c:numRef>
              <c:f>'Returns (Calc)'!$AC$3:$AC$500</c:f>
              <c:numCache>
                <c:formatCode>#,##0.00</c:formatCode>
                <c:ptCount val="498"/>
                <c:pt idx="0">
                  <c:v>64.37</c:v>
                </c:pt>
                <c:pt idx="1">
                  <c:v>63.965157232704406</c:v>
                </c:pt>
                <c:pt idx="2">
                  <c:v>63.560314465408808</c:v>
                </c:pt>
                <c:pt idx="3">
                  <c:v>63.15547169811321</c:v>
                </c:pt>
                <c:pt idx="4">
                  <c:v>62.750628930817612</c:v>
                </c:pt>
                <c:pt idx="5">
                  <c:v>62.345786163522014</c:v>
                </c:pt>
                <c:pt idx="6">
                  <c:v>61.940943396226416</c:v>
                </c:pt>
                <c:pt idx="7">
                  <c:v>61.536100628930825</c:v>
                </c:pt>
                <c:pt idx="8">
                  <c:v>61.131257861635227</c:v>
                </c:pt>
                <c:pt idx="9">
                  <c:v>60.726415094339629</c:v>
                </c:pt>
                <c:pt idx="10">
                  <c:v>60.321572327044031</c:v>
                </c:pt>
                <c:pt idx="11">
                  <c:v>59.916729559748433</c:v>
                </c:pt>
                <c:pt idx="12">
                  <c:v>59.511886792452835</c:v>
                </c:pt>
                <c:pt idx="13">
                  <c:v>59.107044025157236</c:v>
                </c:pt>
                <c:pt idx="14">
                  <c:v>58.702201257861638</c:v>
                </c:pt>
                <c:pt idx="15">
                  <c:v>58.29735849056604</c:v>
                </c:pt>
                <c:pt idx="16">
                  <c:v>57.892515723270442</c:v>
                </c:pt>
                <c:pt idx="17">
                  <c:v>57.487672955974844</c:v>
                </c:pt>
                <c:pt idx="18">
                  <c:v>57.082830188679253</c:v>
                </c:pt>
                <c:pt idx="19">
                  <c:v>56.677987421383648</c:v>
                </c:pt>
                <c:pt idx="20">
                  <c:v>56.273144654088057</c:v>
                </c:pt>
                <c:pt idx="21">
                  <c:v>55.868301886792459</c:v>
                </c:pt>
                <c:pt idx="22">
                  <c:v>55.463459119496861</c:v>
                </c:pt>
                <c:pt idx="23">
                  <c:v>55.058616352201263</c:v>
                </c:pt>
                <c:pt idx="24">
                  <c:v>54.653773584905665</c:v>
                </c:pt>
                <c:pt idx="25">
                  <c:v>54.248930817610066</c:v>
                </c:pt>
                <c:pt idx="26">
                  <c:v>53.844088050314468</c:v>
                </c:pt>
                <c:pt idx="27">
                  <c:v>53.43924528301887</c:v>
                </c:pt>
                <c:pt idx="28">
                  <c:v>53.034402515723272</c:v>
                </c:pt>
                <c:pt idx="29">
                  <c:v>52.629559748427681</c:v>
                </c:pt>
                <c:pt idx="30">
                  <c:v>52.224716981132076</c:v>
                </c:pt>
                <c:pt idx="31">
                  <c:v>51.819874213836485</c:v>
                </c:pt>
                <c:pt idx="32">
                  <c:v>51.41503144654088</c:v>
                </c:pt>
                <c:pt idx="33">
                  <c:v>51.010188679245289</c:v>
                </c:pt>
                <c:pt idx="34">
                  <c:v>50.605345911949691</c:v>
                </c:pt>
                <c:pt idx="35">
                  <c:v>50.200503144654093</c:v>
                </c:pt>
                <c:pt idx="36">
                  <c:v>49.795660377358494</c:v>
                </c:pt>
                <c:pt idx="37">
                  <c:v>49.390817610062896</c:v>
                </c:pt>
                <c:pt idx="38">
                  <c:v>48.985974842767298</c:v>
                </c:pt>
                <c:pt idx="39">
                  <c:v>48.5811320754717</c:v>
                </c:pt>
                <c:pt idx="40">
                  <c:v>48.176289308176109</c:v>
                </c:pt>
                <c:pt idx="41">
                  <c:v>47.771446540880504</c:v>
                </c:pt>
                <c:pt idx="42">
                  <c:v>47.366603773584913</c:v>
                </c:pt>
                <c:pt idx="43">
                  <c:v>46.961761006289308</c:v>
                </c:pt>
                <c:pt idx="44">
                  <c:v>46.556918238993717</c:v>
                </c:pt>
                <c:pt idx="45">
                  <c:v>46.152075471698119</c:v>
                </c:pt>
                <c:pt idx="46">
                  <c:v>45.747232704402521</c:v>
                </c:pt>
                <c:pt idx="47">
                  <c:v>45.342389937106915</c:v>
                </c:pt>
                <c:pt idx="48">
                  <c:v>44.937547169811324</c:v>
                </c:pt>
                <c:pt idx="49">
                  <c:v>44.532704402515726</c:v>
                </c:pt>
                <c:pt idx="50">
                  <c:v>44.127861635220128</c:v>
                </c:pt>
                <c:pt idx="51">
                  <c:v>43.72301886792453</c:v>
                </c:pt>
                <c:pt idx="52">
                  <c:v>43.318176100628932</c:v>
                </c:pt>
                <c:pt idx="53">
                  <c:v>42.913333333333341</c:v>
                </c:pt>
                <c:pt idx="54">
                  <c:v>42.508490566037736</c:v>
                </c:pt>
                <c:pt idx="55">
                  <c:v>42.103647798742145</c:v>
                </c:pt>
                <c:pt idx="56">
                  <c:v>41.69880503144654</c:v>
                </c:pt>
                <c:pt idx="57">
                  <c:v>41.293962264150949</c:v>
                </c:pt>
                <c:pt idx="58">
                  <c:v>40.889119496855351</c:v>
                </c:pt>
                <c:pt idx="59">
                  <c:v>40.484276729559753</c:v>
                </c:pt>
                <c:pt idx="60">
                  <c:v>40.079433962264154</c:v>
                </c:pt>
                <c:pt idx="61">
                  <c:v>39.674591194968556</c:v>
                </c:pt>
                <c:pt idx="62">
                  <c:v>39.269748427672958</c:v>
                </c:pt>
                <c:pt idx="63">
                  <c:v>38.86490566037736</c:v>
                </c:pt>
                <c:pt idx="64">
                  <c:v>38.460062893081762</c:v>
                </c:pt>
                <c:pt idx="65">
                  <c:v>38.055220125786164</c:v>
                </c:pt>
                <c:pt idx="66">
                  <c:v>37.650377358490573</c:v>
                </c:pt>
                <c:pt idx="67">
                  <c:v>37.245534591194975</c:v>
                </c:pt>
                <c:pt idx="68">
                  <c:v>36.840691823899377</c:v>
                </c:pt>
                <c:pt idx="69">
                  <c:v>36.435849056603772</c:v>
                </c:pt>
                <c:pt idx="70">
                  <c:v>36.031006289308181</c:v>
                </c:pt>
                <c:pt idx="71">
                  <c:v>35.626163522012575</c:v>
                </c:pt>
                <c:pt idx="72">
                  <c:v>35.221320754716984</c:v>
                </c:pt>
                <c:pt idx="73">
                  <c:v>34.816477987421386</c:v>
                </c:pt>
                <c:pt idx="74">
                  <c:v>34.411635220125788</c:v>
                </c:pt>
                <c:pt idx="75">
                  <c:v>34.006792452830197</c:v>
                </c:pt>
                <c:pt idx="76">
                  <c:v>33.601949685534592</c:v>
                </c:pt>
                <c:pt idx="77">
                  <c:v>33.197106918238994</c:v>
                </c:pt>
                <c:pt idx="78">
                  <c:v>32.792264150943396</c:v>
                </c:pt>
                <c:pt idx="79">
                  <c:v>32.387421383647805</c:v>
                </c:pt>
                <c:pt idx="80">
                  <c:v>31.982578616352207</c:v>
                </c:pt>
                <c:pt idx="81">
                  <c:v>31.577735849056609</c:v>
                </c:pt>
                <c:pt idx="82">
                  <c:v>31.172893081761011</c:v>
                </c:pt>
                <c:pt idx="83">
                  <c:v>30.768050314465412</c:v>
                </c:pt>
                <c:pt idx="84">
                  <c:v>30.363207547169814</c:v>
                </c:pt>
                <c:pt idx="85">
                  <c:v>29.958364779874216</c:v>
                </c:pt>
                <c:pt idx="86">
                  <c:v>29.553522012578618</c:v>
                </c:pt>
                <c:pt idx="87">
                  <c:v>29.14867924528302</c:v>
                </c:pt>
                <c:pt idx="88">
                  <c:v>28.743836477987422</c:v>
                </c:pt>
                <c:pt idx="89">
                  <c:v>28.338993710691824</c:v>
                </c:pt>
                <c:pt idx="90">
                  <c:v>27.934150943396233</c:v>
                </c:pt>
                <c:pt idx="91">
                  <c:v>27.529308176100635</c:v>
                </c:pt>
                <c:pt idx="92">
                  <c:v>27.12446540880503</c:v>
                </c:pt>
                <c:pt idx="93">
                  <c:v>26.719622641509432</c:v>
                </c:pt>
                <c:pt idx="94">
                  <c:v>26.314779874213833</c:v>
                </c:pt>
                <c:pt idx="95">
                  <c:v>25.909937106918242</c:v>
                </c:pt>
                <c:pt idx="96">
                  <c:v>25.505094339622644</c:v>
                </c:pt>
                <c:pt idx="97">
                  <c:v>25.100251572327046</c:v>
                </c:pt>
                <c:pt idx="98">
                  <c:v>24.695408805031448</c:v>
                </c:pt>
                <c:pt idx="99">
                  <c:v>24.29056603773585</c:v>
                </c:pt>
                <c:pt idx="100">
                  <c:v>23.885723270440259</c:v>
                </c:pt>
                <c:pt idx="101">
                  <c:v>23.480880503144654</c:v>
                </c:pt>
                <c:pt idx="102">
                  <c:v>23.076037735849056</c:v>
                </c:pt>
                <c:pt idx="103">
                  <c:v>22.671194968553458</c:v>
                </c:pt>
                <c:pt idx="104">
                  <c:v>22.266352201257867</c:v>
                </c:pt>
                <c:pt idx="105">
                  <c:v>21.861509433962269</c:v>
                </c:pt>
                <c:pt idx="106">
                  <c:v>21.456666666666671</c:v>
                </c:pt>
                <c:pt idx="107">
                  <c:v>21.051823899371072</c:v>
                </c:pt>
                <c:pt idx="108">
                  <c:v>20.646981132075467</c:v>
                </c:pt>
                <c:pt idx="109">
                  <c:v>20.242138364779876</c:v>
                </c:pt>
                <c:pt idx="110">
                  <c:v>19.837295597484278</c:v>
                </c:pt>
                <c:pt idx="111">
                  <c:v>19.43245283018868</c:v>
                </c:pt>
                <c:pt idx="112">
                  <c:v>19.027610062893082</c:v>
                </c:pt>
                <c:pt idx="113">
                  <c:v>18.622767295597484</c:v>
                </c:pt>
                <c:pt idx="114">
                  <c:v>18.217924528301893</c:v>
                </c:pt>
                <c:pt idx="115">
                  <c:v>17.813081761006295</c:v>
                </c:pt>
                <c:pt idx="116">
                  <c:v>17.408238993710697</c:v>
                </c:pt>
                <c:pt idx="117">
                  <c:v>17.003396226415092</c:v>
                </c:pt>
                <c:pt idx="118">
                  <c:v>16.598553459119493</c:v>
                </c:pt>
                <c:pt idx="119">
                  <c:v>16.193710691823902</c:v>
                </c:pt>
                <c:pt idx="120">
                  <c:v>15.788867924528304</c:v>
                </c:pt>
                <c:pt idx="121">
                  <c:v>15.384025157232706</c:v>
                </c:pt>
                <c:pt idx="122">
                  <c:v>14.979182389937108</c:v>
                </c:pt>
                <c:pt idx="123">
                  <c:v>14.57433962264151</c:v>
                </c:pt>
                <c:pt idx="124">
                  <c:v>14.169496855345912</c:v>
                </c:pt>
                <c:pt idx="125">
                  <c:v>13.764654088050314</c:v>
                </c:pt>
                <c:pt idx="126">
                  <c:v>13.359811320754716</c:v>
                </c:pt>
                <c:pt idx="127">
                  <c:v>12.954968553459118</c:v>
                </c:pt>
                <c:pt idx="128">
                  <c:v>12.55012578616352</c:v>
                </c:pt>
                <c:pt idx="129">
                  <c:v>12.145283018867921</c:v>
                </c:pt>
                <c:pt idx="130">
                  <c:v>11.740440251572331</c:v>
                </c:pt>
                <c:pt idx="131">
                  <c:v>11.335597484276725</c:v>
                </c:pt>
                <c:pt idx="132">
                  <c:v>10.930754716981134</c:v>
                </c:pt>
                <c:pt idx="133">
                  <c:v>10.525911949685536</c:v>
                </c:pt>
                <c:pt idx="134">
                  <c:v>10.121069182389945</c:v>
                </c:pt>
                <c:pt idx="135">
                  <c:v>9.71622641509434</c:v>
                </c:pt>
                <c:pt idx="136">
                  <c:v>9.3113836477987491</c:v>
                </c:pt>
                <c:pt idx="137">
                  <c:v>8.9065408805031439</c:v>
                </c:pt>
                <c:pt idx="138">
                  <c:v>8.5016981132075458</c:v>
                </c:pt>
                <c:pt idx="139">
                  <c:v>8.0968553459119548</c:v>
                </c:pt>
                <c:pt idx="140">
                  <c:v>7.6920125786163496</c:v>
                </c:pt>
                <c:pt idx="141">
                  <c:v>7.2871698113207586</c:v>
                </c:pt>
                <c:pt idx="142">
                  <c:v>6.8823270440251534</c:v>
                </c:pt>
                <c:pt idx="143">
                  <c:v>6.4774842767295624</c:v>
                </c:pt>
                <c:pt idx="144">
                  <c:v>6.0726415094339643</c:v>
                </c:pt>
                <c:pt idx="145">
                  <c:v>5.6677987421383591</c:v>
                </c:pt>
                <c:pt idx="146">
                  <c:v>5.2629559748427681</c:v>
                </c:pt>
                <c:pt idx="147">
                  <c:v>4.85811320754717</c:v>
                </c:pt>
                <c:pt idx="148">
                  <c:v>4.453270440251579</c:v>
                </c:pt>
                <c:pt idx="149">
                  <c:v>4.0484276729559738</c:v>
                </c:pt>
                <c:pt idx="150">
                  <c:v>3.6435849056603828</c:v>
                </c:pt>
                <c:pt idx="151">
                  <c:v>3.2387421383647776</c:v>
                </c:pt>
                <c:pt idx="152">
                  <c:v>2.8338993710691796</c:v>
                </c:pt>
                <c:pt idx="153">
                  <c:v>2.4290566037735886</c:v>
                </c:pt>
                <c:pt idx="154">
                  <c:v>2.0242138364779834</c:v>
                </c:pt>
                <c:pt idx="155">
                  <c:v>1.6193710691823924</c:v>
                </c:pt>
                <c:pt idx="156">
                  <c:v>1.2145283018867872</c:v>
                </c:pt>
                <c:pt idx="157">
                  <c:v>0.80968553459119619</c:v>
                </c:pt>
                <c:pt idx="158">
                  <c:v>0.40484276729559809</c:v>
                </c:pt>
                <c:pt idx="159">
                  <c:v>0</c:v>
                </c:pt>
              </c:numCache>
            </c:numRef>
          </c:val>
          <c:smooth val="0"/>
          <c:extLst>
            <c:ext xmlns:c16="http://schemas.microsoft.com/office/drawing/2014/chart" uri="{C3380CC4-5D6E-409C-BE32-E72D297353CC}">
              <c16:uniqueId val="{00000001-CE65-4FED-BABB-D978C96AAB19}"/>
            </c:ext>
          </c:extLst>
        </c:ser>
        <c:dLbls>
          <c:showLegendKey val="0"/>
          <c:showVal val="0"/>
          <c:showCatName val="0"/>
          <c:showSerName val="0"/>
          <c:showPercent val="0"/>
          <c:showBubbleSize val="0"/>
        </c:dLbls>
        <c:hiLowLines>
          <c:spPr>
            <a:ln w="0">
              <a:noFill/>
            </a:ln>
          </c:spPr>
        </c:hiLowLines>
        <c:marker val="1"/>
        <c:smooth val="0"/>
        <c:axId val="75943148"/>
        <c:axId val="49308283"/>
      </c:lineChart>
      <c:dateAx>
        <c:axId val="49299490"/>
        <c:scaling>
          <c:orientation val="minMax"/>
        </c:scaling>
        <c:delete val="1"/>
        <c:axPos val="b"/>
        <c:numFmt formatCode="mm/dd/yyyy" sourceLinked="1"/>
        <c:majorTickMark val="none"/>
        <c:minorTickMark val="none"/>
        <c:tickLblPos val="nextTo"/>
        <c:crossAx val="22269369"/>
        <c:crosses val="autoZero"/>
        <c:auto val="1"/>
        <c:lblOffset val="100"/>
        <c:baseTimeUnit val="days"/>
      </c:dateAx>
      <c:valAx>
        <c:axId val="22269369"/>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49299490"/>
        <c:crosses val="autoZero"/>
        <c:crossBetween val="between"/>
      </c:valAx>
      <c:dateAx>
        <c:axId val="75943148"/>
        <c:scaling>
          <c:orientation val="minMax"/>
        </c:scaling>
        <c:delete val="1"/>
        <c:axPos val="b"/>
        <c:numFmt formatCode="mm/dd/yyyy" sourceLinked="1"/>
        <c:majorTickMark val="none"/>
        <c:minorTickMark val="none"/>
        <c:tickLblPos val="nextTo"/>
        <c:crossAx val="49308283"/>
        <c:crosses val="autoZero"/>
        <c:auto val="1"/>
        <c:lblOffset val="100"/>
        <c:baseTimeUnit val="days"/>
      </c:dateAx>
      <c:valAx>
        <c:axId val="49308283"/>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75943148"/>
        <c:crosses val="max"/>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NVDA</a:t>
            </a:r>
          </a:p>
        </c:rich>
      </c:tx>
      <c:overlay val="0"/>
      <c:spPr>
        <a:noFill/>
        <a:ln w="0">
          <a:noFill/>
        </a:ln>
      </c:spPr>
    </c:title>
    <c:autoTitleDeleted val="0"/>
    <c:plotArea>
      <c:layout/>
      <c:barChart>
        <c:barDir val="col"/>
        <c:grouping val="clustered"/>
        <c:varyColors val="0"/>
        <c:ser>
          <c:idx val="0"/>
          <c:order val="0"/>
          <c:tx>
            <c:strRef>
              <c:f>'Returns (Calc)'!$I$2</c:f>
              <c:strCache>
                <c:ptCount val="1"/>
                <c:pt idx="0">
                  <c:v>NVDA</c:v>
                </c:pt>
              </c:strCache>
            </c:strRef>
          </c:tx>
          <c:spPr>
            <a:solidFill>
              <a:srgbClr val="4F81BD"/>
            </a:solidFill>
            <a:ln w="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45156</c:v>
                </c:pt>
                <c:pt idx="1">
                  <c:v>45163</c:v>
                </c:pt>
                <c:pt idx="2">
                  <c:v>45170</c:v>
                </c:pt>
                <c:pt idx="3">
                  <c:v>45177</c:v>
                </c:pt>
                <c:pt idx="4">
                  <c:v>45184</c:v>
                </c:pt>
                <c:pt idx="5">
                  <c:v>45191</c:v>
                </c:pt>
                <c:pt idx="6">
                  <c:v>45198</c:v>
                </c:pt>
                <c:pt idx="7">
                  <c:v>45205</c:v>
                </c:pt>
                <c:pt idx="8">
                  <c:v>45212</c:v>
                </c:pt>
                <c:pt idx="9">
                  <c:v>45219</c:v>
                </c:pt>
                <c:pt idx="10">
                  <c:v>45226</c:v>
                </c:pt>
                <c:pt idx="11">
                  <c:v>45233</c:v>
                </c:pt>
                <c:pt idx="12">
                  <c:v>45240</c:v>
                </c:pt>
                <c:pt idx="13">
                  <c:v>45247</c:v>
                </c:pt>
                <c:pt idx="14">
                  <c:v>45254</c:v>
                </c:pt>
                <c:pt idx="15">
                  <c:v>45261</c:v>
                </c:pt>
                <c:pt idx="16">
                  <c:v>45268</c:v>
                </c:pt>
                <c:pt idx="17">
                  <c:v>45275</c:v>
                </c:pt>
                <c:pt idx="18">
                  <c:v>45282</c:v>
                </c:pt>
                <c:pt idx="19">
                  <c:v>45289</c:v>
                </c:pt>
                <c:pt idx="20">
                  <c:v>45296</c:v>
                </c:pt>
                <c:pt idx="21">
                  <c:v>45303</c:v>
                </c:pt>
                <c:pt idx="22">
                  <c:v>45310</c:v>
                </c:pt>
                <c:pt idx="23">
                  <c:v>45317</c:v>
                </c:pt>
                <c:pt idx="24">
                  <c:v>45324</c:v>
                </c:pt>
                <c:pt idx="25">
                  <c:v>45331</c:v>
                </c:pt>
                <c:pt idx="26">
                  <c:v>45338</c:v>
                </c:pt>
                <c:pt idx="27">
                  <c:v>45345</c:v>
                </c:pt>
                <c:pt idx="28">
                  <c:v>45352</c:v>
                </c:pt>
                <c:pt idx="29">
                  <c:v>45359</c:v>
                </c:pt>
                <c:pt idx="30">
                  <c:v>45366</c:v>
                </c:pt>
                <c:pt idx="31">
                  <c:v>45373</c:v>
                </c:pt>
                <c:pt idx="32">
                  <c:v>45379</c:v>
                </c:pt>
                <c:pt idx="33">
                  <c:v>45387</c:v>
                </c:pt>
                <c:pt idx="34">
                  <c:v>45394</c:v>
                </c:pt>
                <c:pt idx="35">
                  <c:v>45401</c:v>
                </c:pt>
                <c:pt idx="36">
                  <c:v>45408</c:v>
                </c:pt>
                <c:pt idx="37">
                  <c:v>45415</c:v>
                </c:pt>
                <c:pt idx="38">
                  <c:v>45422</c:v>
                </c:pt>
                <c:pt idx="39">
                  <c:v>45429</c:v>
                </c:pt>
                <c:pt idx="40">
                  <c:v>45436</c:v>
                </c:pt>
                <c:pt idx="41">
                  <c:v>45443</c:v>
                </c:pt>
                <c:pt idx="42">
                  <c:v>45450</c:v>
                </c:pt>
                <c:pt idx="43">
                  <c:v>45457</c:v>
                </c:pt>
                <c:pt idx="44">
                  <c:v>45464</c:v>
                </c:pt>
                <c:pt idx="45">
                  <c:v>45471</c:v>
                </c:pt>
                <c:pt idx="46">
                  <c:v>45478</c:v>
                </c:pt>
                <c:pt idx="47">
                  <c:v>45485</c:v>
                </c:pt>
                <c:pt idx="48">
                  <c:v>45492</c:v>
                </c:pt>
                <c:pt idx="49">
                  <c:v>45499</c:v>
                </c:pt>
                <c:pt idx="50">
                  <c:v>45506</c:v>
                </c:pt>
                <c:pt idx="51">
                  <c:v>45513</c:v>
                </c:pt>
                <c:pt idx="52">
                  <c:v>45520</c:v>
                </c:pt>
                <c:pt idx="53">
                  <c:v>45527</c:v>
                </c:pt>
                <c:pt idx="54">
                  <c:v>45534</c:v>
                </c:pt>
                <c:pt idx="55">
                  <c:v>45541</c:v>
                </c:pt>
                <c:pt idx="56">
                  <c:v>45548</c:v>
                </c:pt>
                <c:pt idx="57">
                  <c:v>45555</c:v>
                </c:pt>
                <c:pt idx="58">
                  <c:v>45562</c:v>
                </c:pt>
                <c:pt idx="59">
                  <c:v>45569</c:v>
                </c:pt>
                <c:pt idx="60">
                  <c:v>45576</c:v>
                </c:pt>
                <c:pt idx="61">
                  <c:v>45583</c:v>
                </c:pt>
                <c:pt idx="62">
                  <c:v>45590</c:v>
                </c:pt>
                <c:pt idx="63">
                  <c:v>45597</c:v>
                </c:pt>
                <c:pt idx="64">
                  <c:v>45604</c:v>
                </c:pt>
                <c:pt idx="65">
                  <c:v>45611</c:v>
                </c:pt>
                <c:pt idx="66">
                  <c:v>45618</c:v>
                </c:pt>
                <c:pt idx="67">
                  <c:v>45625</c:v>
                </c:pt>
                <c:pt idx="68">
                  <c:v>45632</c:v>
                </c:pt>
                <c:pt idx="69">
                  <c:v>45639</c:v>
                </c:pt>
                <c:pt idx="70">
                  <c:v>45646</c:v>
                </c:pt>
                <c:pt idx="71">
                  <c:v>45653</c:v>
                </c:pt>
                <c:pt idx="72">
                  <c:v>45660</c:v>
                </c:pt>
                <c:pt idx="73">
                  <c:v>45667</c:v>
                </c:pt>
                <c:pt idx="74">
                  <c:v>45674</c:v>
                </c:pt>
                <c:pt idx="75">
                  <c:v>45681</c:v>
                </c:pt>
                <c:pt idx="76">
                  <c:v>45688</c:v>
                </c:pt>
                <c:pt idx="77">
                  <c:v>45695</c:v>
                </c:pt>
                <c:pt idx="78">
                  <c:v>45702</c:v>
                </c:pt>
                <c:pt idx="79">
                  <c:v>45709</c:v>
                </c:pt>
                <c:pt idx="80">
                  <c:v>45716</c:v>
                </c:pt>
                <c:pt idx="81">
                  <c:v>45723</c:v>
                </c:pt>
                <c:pt idx="82">
                  <c:v>45730</c:v>
                </c:pt>
                <c:pt idx="83">
                  <c:v>45737</c:v>
                </c:pt>
                <c:pt idx="84">
                  <c:v>45744</c:v>
                </c:pt>
                <c:pt idx="85">
                  <c:v>45751</c:v>
                </c:pt>
                <c:pt idx="86">
                  <c:v>45758</c:v>
                </c:pt>
                <c:pt idx="87">
                  <c:v>45764</c:v>
                </c:pt>
                <c:pt idx="88">
                  <c:v>45772</c:v>
                </c:pt>
                <c:pt idx="89">
                  <c:v>45779</c:v>
                </c:pt>
                <c:pt idx="90">
                  <c:v>45786</c:v>
                </c:pt>
                <c:pt idx="91">
                  <c:v>45793</c:v>
                </c:pt>
                <c:pt idx="92">
                  <c:v>45800</c:v>
                </c:pt>
                <c:pt idx="93">
                  <c:v>45807</c:v>
                </c:pt>
                <c:pt idx="94">
                  <c:v>45814</c:v>
                </c:pt>
                <c:pt idx="95">
                  <c:v>45821</c:v>
                </c:pt>
                <c:pt idx="96">
                  <c:v>45828</c:v>
                </c:pt>
                <c:pt idx="97">
                  <c:v>45835</c:v>
                </c:pt>
                <c:pt idx="98">
                  <c:v>45841</c:v>
                </c:pt>
                <c:pt idx="99">
                  <c:v>45849</c:v>
                </c:pt>
                <c:pt idx="100">
                  <c:v>45856</c:v>
                </c:pt>
                <c:pt idx="101">
                  <c:v>45863</c:v>
                </c:pt>
                <c:pt idx="102">
                  <c:v>45870</c:v>
                </c:pt>
                <c:pt idx="103">
                  <c:v>45877</c:v>
                </c:pt>
                <c:pt idx="104">
                  <c:v>45884</c:v>
                </c:pt>
                <c:pt idx="105">
                  <c:v>45891</c:v>
                </c:pt>
                <c:pt idx="106">
                  <c:v>45898</c:v>
                </c:pt>
                <c:pt idx="107">
                  <c:v>45905</c:v>
                </c:pt>
                <c:pt idx="108">
                  <c:v>45912</c:v>
                </c:pt>
                <c:pt idx="109">
                  <c:v>45919</c:v>
                </c:pt>
                <c:pt idx="110">
                  <c:v>45926</c:v>
                </c:pt>
                <c:pt idx="111">
                  <c:v>45933</c:v>
                </c:pt>
                <c:pt idx="112">
                  <c:v>45940</c:v>
                </c:pt>
                <c:pt idx="113">
                  <c:v>45947</c:v>
                </c:pt>
                <c:pt idx="114">
                  <c:v>45954</c:v>
                </c:pt>
                <c:pt idx="115">
                  <c:v>45961</c:v>
                </c:pt>
                <c:pt idx="116">
                  <c:v>45968</c:v>
                </c:pt>
                <c:pt idx="117">
                  <c:v>45975</c:v>
                </c:pt>
                <c:pt idx="118">
                  <c:v>45982</c:v>
                </c:pt>
                <c:pt idx="119">
                  <c:v>45989</c:v>
                </c:pt>
                <c:pt idx="120">
                  <c:v>45996</c:v>
                </c:pt>
                <c:pt idx="121">
                  <c:v>46003</c:v>
                </c:pt>
                <c:pt idx="122">
                  <c:v>46010</c:v>
                </c:pt>
                <c:pt idx="123">
                  <c:v>46017</c:v>
                </c:pt>
                <c:pt idx="124">
                  <c:v>46024</c:v>
                </c:pt>
                <c:pt idx="125">
                  <c:v>46031</c:v>
                </c:pt>
                <c:pt idx="126">
                  <c:v>46038</c:v>
                </c:pt>
                <c:pt idx="127">
                  <c:v>46045</c:v>
                </c:pt>
                <c:pt idx="128">
                  <c:v>46052</c:v>
                </c:pt>
                <c:pt idx="129">
                  <c:v>46059</c:v>
                </c:pt>
                <c:pt idx="130">
                  <c:v>46066</c:v>
                </c:pt>
                <c:pt idx="131">
                  <c:v>46073</c:v>
                </c:pt>
                <c:pt idx="132">
                  <c:v>46080</c:v>
                </c:pt>
                <c:pt idx="133">
                  <c:v>46087</c:v>
                </c:pt>
                <c:pt idx="134">
                  <c:v>46094</c:v>
                </c:pt>
                <c:pt idx="135">
                  <c:v>46101</c:v>
                </c:pt>
                <c:pt idx="136">
                  <c:v>46108</c:v>
                </c:pt>
                <c:pt idx="137">
                  <c:v>46114</c:v>
                </c:pt>
                <c:pt idx="138">
                  <c:v>46122</c:v>
                </c:pt>
                <c:pt idx="139">
                  <c:v>46129</c:v>
                </c:pt>
                <c:pt idx="140">
                  <c:v>46136</c:v>
                </c:pt>
                <c:pt idx="141">
                  <c:v>46143</c:v>
                </c:pt>
                <c:pt idx="142">
                  <c:v>46150</c:v>
                </c:pt>
                <c:pt idx="143">
                  <c:v>46157</c:v>
                </c:pt>
                <c:pt idx="144">
                  <c:v>46164</c:v>
                </c:pt>
                <c:pt idx="145">
                  <c:v>46171</c:v>
                </c:pt>
                <c:pt idx="146">
                  <c:v>46178</c:v>
                </c:pt>
                <c:pt idx="147">
                  <c:v>46185</c:v>
                </c:pt>
                <c:pt idx="148">
                  <c:v>46191</c:v>
                </c:pt>
                <c:pt idx="149">
                  <c:v>46199</c:v>
                </c:pt>
                <c:pt idx="150">
                  <c:v>46205</c:v>
                </c:pt>
                <c:pt idx="151">
                  <c:v>46213</c:v>
                </c:pt>
                <c:pt idx="152">
                  <c:v>46220</c:v>
                </c:pt>
                <c:pt idx="153">
                  <c:v>46227</c:v>
                </c:pt>
                <c:pt idx="154">
                  <c:v>46234</c:v>
                </c:pt>
                <c:pt idx="155">
                  <c:v>46241</c:v>
                </c:pt>
                <c:pt idx="156">
                  <c:v>46248</c:v>
                </c:pt>
                <c:pt idx="157">
                  <c:v>46255</c:v>
                </c:pt>
                <c:pt idx="158">
                  <c:v>46262</c:v>
                </c:pt>
                <c:pt idx="159">
                  <c:v>46269</c:v>
                </c:pt>
              </c:numCache>
            </c:numRef>
          </c:cat>
          <c:val>
            <c:numRef>
              <c:f>'Returns (Calc)'!$I$3:$I$500</c:f>
              <c:numCache>
                <c:formatCode>0.0%</c:formatCode>
                <c:ptCount val="498"/>
                <c:pt idx="0">
                  <c:v>5.9975520195838294E-2</c:v>
                </c:pt>
                <c:pt idx="1">
                  <c:v>6.2817551963048723E-2</c:v>
                </c:pt>
                <c:pt idx="2">
                  <c:v>5.4106910039113387E-2</c:v>
                </c:pt>
                <c:pt idx="3">
                  <c:v>-6.0606060606060552E-2</c:v>
                </c:pt>
                <c:pt idx="4">
                  <c:v>-3.6646916831248655E-2</c:v>
                </c:pt>
                <c:pt idx="5">
                  <c:v>-5.2164009111617338E-2</c:v>
                </c:pt>
                <c:pt idx="6">
                  <c:v>4.5421773612112526E-2</c:v>
                </c:pt>
                <c:pt idx="7">
                  <c:v>5.1954022988505599E-2</c:v>
                </c:pt>
                <c:pt idx="8">
                  <c:v>-6.5559440559439519E-3</c:v>
                </c:pt>
                <c:pt idx="9">
                  <c:v>-8.9529256489221276E-2</c:v>
                </c:pt>
                <c:pt idx="10">
                  <c:v>-2.1502778448900695E-2</c:v>
                </c:pt>
                <c:pt idx="11">
                  <c:v>0.11135802469135792</c:v>
                </c:pt>
                <c:pt idx="12">
                  <c:v>7.3983559209064742E-2</c:v>
                </c:pt>
                <c:pt idx="13">
                  <c:v>1.9859329747620835E-2</c:v>
                </c:pt>
                <c:pt idx="14">
                  <c:v>-3.0831643002028342E-2</c:v>
                </c:pt>
                <c:pt idx="15">
                  <c:v>-2.1138551695269903E-2</c:v>
                </c:pt>
                <c:pt idx="16">
                  <c:v>1.5822108189009976E-2</c:v>
                </c:pt>
                <c:pt idx="17">
                  <c:v>2.9046516522837296E-2</c:v>
                </c:pt>
                <c:pt idx="18">
                  <c:v>-1.227244835344643E-3</c:v>
                </c:pt>
                <c:pt idx="19">
                  <c:v>1.4130657382756651E-2</c:v>
                </c:pt>
                <c:pt idx="20">
                  <c:v>-8.4814216478190652E-3</c:v>
                </c:pt>
                <c:pt idx="21">
                  <c:v>0.11425661914460283</c:v>
                </c:pt>
                <c:pt idx="22">
                  <c:v>8.7369767866934733E-2</c:v>
                </c:pt>
                <c:pt idx="23">
                  <c:v>2.588670364767176E-2</c:v>
                </c:pt>
                <c:pt idx="24">
                  <c:v>8.4057021137145638E-2</c:v>
                </c:pt>
                <c:pt idx="25">
                  <c:v>9.0235792019347061E-2</c:v>
                </c:pt>
                <c:pt idx="26">
                  <c:v>6.6546513239984506E-3</c:v>
                </c:pt>
                <c:pt idx="27">
                  <c:v>8.5525409723178569E-2</c:v>
                </c:pt>
                <c:pt idx="28">
                  <c:v>4.3897487947221592E-2</c:v>
                </c:pt>
                <c:pt idx="29">
                  <c:v>6.3806514341273601E-2</c:v>
                </c:pt>
                <c:pt idx="30">
                  <c:v>3.5416428653034515E-3</c:v>
                </c:pt>
                <c:pt idx="31">
                  <c:v>7.3428961748633892E-2</c:v>
                </c:pt>
                <c:pt idx="32">
                  <c:v>-4.1679923639834637E-2</c:v>
                </c:pt>
                <c:pt idx="33">
                  <c:v>-2.6007082779991086E-2</c:v>
                </c:pt>
                <c:pt idx="34">
                  <c:v>2.045222133848279E-3</c:v>
                </c:pt>
                <c:pt idx="35">
                  <c:v>-0.13595645764825937</c:v>
                </c:pt>
                <c:pt idx="36">
                  <c:v>0.15144356955380567</c:v>
                </c:pt>
                <c:pt idx="37">
                  <c:v>1.1967175746524061E-2</c:v>
                </c:pt>
                <c:pt idx="38">
                  <c:v>1.2276157224912598E-2</c:v>
                </c:pt>
                <c:pt idx="39">
                  <c:v>2.8927458834000941E-2</c:v>
                </c:pt>
                <c:pt idx="40">
                  <c:v>0.15127595155709339</c:v>
                </c:pt>
                <c:pt idx="41">
                  <c:v>2.9679721987414309E-2</c:v>
                </c:pt>
                <c:pt idx="42">
                  <c:v>0.10270911246921477</c:v>
                </c:pt>
                <c:pt idx="43">
                  <c:v>9.0909090909090828E-2</c:v>
                </c:pt>
                <c:pt idx="44">
                  <c:v>-4.0263876251137365E-2</c:v>
                </c:pt>
                <c:pt idx="45">
                  <c:v>-2.3939322114244987E-2</c:v>
                </c:pt>
                <c:pt idx="46">
                  <c:v>1.8536506394689845E-2</c:v>
                </c:pt>
                <c:pt idx="47">
                  <c:v>2.7100055630612907E-2</c:v>
                </c:pt>
                <c:pt idx="48">
                  <c:v>-8.75116063138347E-2</c:v>
                </c:pt>
                <c:pt idx="49">
                  <c:v>-4.1295683880267942E-2</c:v>
                </c:pt>
                <c:pt idx="50">
                  <c:v>-5.1211745975588197E-2</c:v>
                </c:pt>
                <c:pt idx="51">
                  <c:v>-2.3492122681085026E-2</c:v>
                </c:pt>
                <c:pt idx="52">
                  <c:v>0.18930787589498799</c:v>
                </c:pt>
                <c:pt idx="53">
                  <c:v>3.8449189275967299E-2</c:v>
                </c:pt>
                <c:pt idx="54">
                  <c:v>-7.7297673340032458E-2</c:v>
                </c:pt>
                <c:pt idx="55">
                  <c:v>-0.13856077741476092</c:v>
                </c:pt>
                <c:pt idx="56">
                  <c:v>0.15822230866478648</c:v>
                </c:pt>
                <c:pt idx="57">
                  <c:v>-2.6028547439126748E-2</c:v>
                </c:pt>
                <c:pt idx="58">
                  <c:v>4.6551724137931183E-2</c:v>
                </c:pt>
                <c:pt idx="59">
                  <c:v>2.8995057660625934E-2</c:v>
                </c:pt>
                <c:pt idx="60">
                  <c:v>7.9090617995517309E-2</c:v>
                </c:pt>
                <c:pt idx="61">
                  <c:v>2.3738872403560762E-2</c:v>
                </c:pt>
                <c:pt idx="62">
                  <c:v>2.565217391304353E-2</c:v>
                </c:pt>
                <c:pt idx="63">
                  <c:v>-4.3379963261268806E-2</c:v>
                </c:pt>
                <c:pt idx="64">
                  <c:v>9.0324963072378139E-2</c:v>
                </c:pt>
                <c:pt idx="65">
                  <c:v>-3.8271354060827822E-2</c:v>
                </c:pt>
                <c:pt idx="66">
                  <c:v>-2.1129736582614633E-4</c:v>
                </c:pt>
                <c:pt idx="67">
                  <c:v>-2.6065516026769875E-2</c:v>
                </c:pt>
                <c:pt idx="68">
                  <c:v>3.0307414104882469E-2</c:v>
                </c:pt>
                <c:pt idx="69">
                  <c:v>-5.7497893850042114E-2</c:v>
                </c:pt>
                <c:pt idx="70">
                  <c:v>3.3519553072625108E-3</c:v>
                </c:pt>
                <c:pt idx="71">
                  <c:v>1.714922048997769E-2</c:v>
                </c:pt>
                <c:pt idx="72">
                  <c:v>5.4448580395591639E-2</c:v>
                </c:pt>
                <c:pt idx="73">
                  <c:v>-5.9251055582473899E-2</c:v>
                </c:pt>
                <c:pt idx="74">
                  <c:v>1.3244058568170125E-2</c:v>
                </c:pt>
                <c:pt idx="75">
                  <c:v>3.5654636555079389E-2</c:v>
                </c:pt>
                <c:pt idx="76">
                  <c:v>-0.15811246669471335</c:v>
                </c:pt>
                <c:pt idx="77">
                  <c:v>8.1369201299242189E-2</c:v>
                </c:pt>
                <c:pt idx="78">
                  <c:v>6.9393099199014152E-2</c:v>
                </c:pt>
                <c:pt idx="79">
                  <c:v>-3.1832913215700254E-2</c:v>
                </c:pt>
                <c:pt idx="80">
                  <c:v>-7.0743137692479419E-2</c:v>
                </c:pt>
                <c:pt idx="81">
                  <c:v>-9.7902657700928652E-2</c:v>
                </c:pt>
                <c:pt idx="82">
                  <c:v>7.9687638654716508E-2</c:v>
                </c:pt>
                <c:pt idx="83">
                  <c:v>-3.2629243034437372E-2</c:v>
                </c:pt>
                <c:pt idx="84">
                  <c:v>-6.8224299065420602E-2</c:v>
                </c:pt>
                <c:pt idx="85">
                  <c:v>-0.14005653323607181</c:v>
                </c:pt>
                <c:pt idx="86">
                  <c:v>0.17622733538331037</c:v>
                </c:pt>
                <c:pt idx="87">
                  <c:v>-8.5098710898765084E-2</c:v>
                </c:pt>
                <c:pt idx="88">
                  <c:v>9.3802345058626502E-2</c:v>
                </c:pt>
                <c:pt idx="89">
                  <c:v>3.1438609134312179E-2</c:v>
                </c:pt>
                <c:pt idx="90">
                  <c:v>1.8777292576419358E-2</c:v>
                </c:pt>
                <c:pt idx="91">
                  <c:v>0.16073724817831114</c:v>
                </c:pt>
                <c:pt idx="92">
                  <c:v>-3.0354505169867152E-2</c:v>
                </c:pt>
                <c:pt idx="93">
                  <c:v>2.924822911112801E-2</c:v>
                </c:pt>
                <c:pt idx="94">
                  <c:v>4.8767853178420806E-2</c:v>
                </c:pt>
                <c:pt idx="95">
                  <c:v>1.7640417725091062E-3</c:v>
                </c:pt>
                <c:pt idx="96">
                  <c:v>1.3242234274846831E-2</c:v>
                </c:pt>
                <c:pt idx="97">
                  <c:v>9.6628432394855857E-2</c:v>
                </c:pt>
                <c:pt idx="98">
                  <c:v>1.0079239302694054E-2</c:v>
                </c:pt>
                <c:pt idx="99">
                  <c:v>3.5019455252918164E-2</c:v>
                </c:pt>
                <c:pt idx="100">
                  <c:v>4.5415959252971261E-2</c:v>
                </c:pt>
                <c:pt idx="101">
                  <c:v>6.3221390870600302E-3</c:v>
                </c:pt>
                <c:pt idx="102">
                  <c:v>1.2680115273775439E-3</c:v>
                </c:pt>
                <c:pt idx="103">
                  <c:v>5.1692378540179496E-2</c:v>
                </c:pt>
                <c:pt idx="104">
                  <c:v>-1.2315270935960632E-2</c:v>
                </c:pt>
                <c:pt idx="105">
                  <c:v>-1.3632585203657399E-2</c:v>
                </c:pt>
                <c:pt idx="106">
                  <c:v>-2.1405696949266861E-2</c:v>
                </c:pt>
                <c:pt idx="107">
                  <c:v>-4.1106900907107558E-2</c:v>
                </c:pt>
                <c:pt idx="108">
                  <c:v>6.4662914621003376E-2</c:v>
                </c:pt>
                <c:pt idx="109">
                  <c:v>-6.46721403666628E-3</c:v>
                </c:pt>
                <c:pt idx="110">
                  <c:v>8.6036112526179931E-3</c:v>
                </c:pt>
                <c:pt idx="111">
                  <c:v>5.292103934003034E-2</c:v>
                </c:pt>
                <c:pt idx="112">
                  <c:v>-2.3771452936787174E-2</c:v>
                </c:pt>
                <c:pt idx="113">
                  <c:v>3.2758244158115346E-4</c:v>
                </c:pt>
                <c:pt idx="114">
                  <c:v>1.6592075100971382E-2</c:v>
                </c:pt>
                <c:pt idx="115">
                  <c:v>8.7136261140341453E-2</c:v>
                </c:pt>
                <c:pt idx="116">
                  <c:v>-7.0818312015408225E-2</c:v>
                </c:pt>
                <c:pt idx="117">
                  <c:v>1.0736114802019525E-2</c:v>
                </c:pt>
                <c:pt idx="118">
                  <c:v>-5.9367933953830776E-2</c:v>
                </c:pt>
                <c:pt idx="119">
                  <c:v>-1.0509838998211118E-2</c:v>
                </c:pt>
                <c:pt idx="120">
                  <c:v>3.0564971751412484E-2</c:v>
                </c:pt>
                <c:pt idx="121">
                  <c:v>-4.0513129762622557E-2</c:v>
                </c:pt>
                <c:pt idx="122">
                  <c:v>3.4110387384298946E-2</c:v>
                </c:pt>
                <c:pt idx="123">
                  <c:v>5.2710094480358016E-2</c:v>
                </c:pt>
                <c:pt idx="124">
                  <c:v>-8.817509053692385E-3</c:v>
                </c:pt>
                <c:pt idx="125">
                  <c:v>-2.1127879269261185E-2</c:v>
                </c:pt>
                <c:pt idx="126">
                  <c:v>7.4110137401275367E-3</c:v>
                </c:pt>
                <c:pt idx="127">
                  <c:v>7.7323739461956364E-3</c:v>
                </c:pt>
                <c:pt idx="128">
                  <c:v>1.8436617466830008E-2</c:v>
                </c:pt>
                <c:pt idx="129">
                  <c:v>-2.9927274629833134E-2</c:v>
                </c:pt>
                <c:pt idx="130">
                  <c:v>-1.4022976107006091E-2</c:v>
                </c:pt>
                <c:pt idx="131">
                  <c:v>3.8345823532629497E-2</c:v>
                </c:pt>
                <c:pt idx="132">
                  <c:v>-6.6536718996944466E-2</c:v>
                </c:pt>
                <c:pt idx="133">
                  <c:v>3.5555053896947353E-3</c:v>
                </c:pt>
                <c:pt idx="134">
                  <c:v>1.3665504442694987E-2</c:v>
                </c:pt>
                <c:pt idx="135">
                  <c:v>-4.1886269070735116E-2</c:v>
                </c:pt>
                <c:pt idx="136">
                  <c:v>-2.9994209612043909E-2</c:v>
                </c:pt>
                <c:pt idx="137">
                  <c:v>5.8918338108882473E-2</c:v>
                </c:pt>
                <c:pt idx="138">
                  <c:v>6.3363211004002551E-2</c:v>
                </c:pt>
                <c:pt idx="139">
                  <c:v>6.9183056777819107E-2</c:v>
                </c:pt>
                <c:pt idx="140">
                  <c:v>3.2675525585085241E-2</c:v>
                </c:pt>
                <c:pt idx="141">
                  <c:v>-4.715033370144539E-2</c:v>
                </c:pt>
                <c:pt idx="142">
                  <c:v>8.4404132023179645E-2</c:v>
                </c:pt>
                <c:pt idx="143">
                  <c:v>4.702602230483266E-2</c:v>
                </c:pt>
                <c:pt idx="144">
                  <c:v>-4.4336943014379515E-2</c:v>
                </c:pt>
                <c:pt idx="145">
                  <c:v>-1.9458505549621585E-2</c:v>
                </c:pt>
                <c:pt idx="146">
                  <c:v>-2.8606611726816333E-2</c:v>
                </c:pt>
                <c:pt idx="147">
                  <c:v>4.388103364212359E-4</c:v>
                </c:pt>
                <c:pt idx="148">
                  <c:v>2.6804425166918389E-2</c:v>
                </c:pt>
                <c:pt idx="149">
                  <c:v>-8.6192984954198137E-2</c:v>
                </c:pt>
                <c:pt idx="150">
                  <c:v>1.1946190204124019E-2</c:v>
                </c:pt>
                <c:pt idx="151">
                  <c:v>8.2790124724118508E-2</c:v>
                </c:pt>
                <c:pt idx="152">
                  <c:v>-3.8632916192643196E-2</c:v>
                </c:pt>
                <c:pt idx="153">
                  <c:v>1.9870815048567581E-2</c:v>
                </c:pt>
                <c:pt idx="154">
                  <c:v>-2.9443047766389507E-2</c:v>
                </c:pt>
                <c:pt idx="155">
                  <c:v>0.11561643835616442</c:v>
                </c:pt>
                <c:pt idx="156">
                  <c:v>5.3580996606537035E-3</c:v>
                </c:pt>
                <c:pt idx="157">
                  <c:v>-4.6367027891277335E-2</c:v>
                </c:pt>
                <c:pt idx="158">
                  <c:v>1.3179955290611112E-2</c:v>
                </c:pt>
                <c:pt idx="159">
                  <c:v>5.8883015398758953E-2</c:v>
                </c:pt>
              </c:numCache>
            </c:numRef>
          </c:val>
          <c:extLst>
            <c:ext xmlns:c16="http://schemas.microsoft.com/office/drawing/2014/chart" uri="{C3380CC4-5D6E-409C-BE32-E72D297353CC}">
              <c16:uniqueId val="{00000000-F8C3-44CD-93DE-BA063B8F7779}"/>
            </c:ext>
          </c:extLst>
        </c:ser>
        <c:dLbls>
          <c:showLegendKey val="0"/>
          <c:showVal val="0"/>
          <c:showCatName val="0"/>
          <c:showSerName val="0"/>
          <c:showPercent val="0"/>
          <c:showBubbleSize val="0"/>
        </c:dLbls>
        <c:gapWidth val="150"/>
        <c:axId val="49634491"/>
        <c:axId val="58629490"/>
      </c:barChart>
      <c:lineChart>
        <c:grouping val="standard"/>
        <c:varyColors val="0"/>
        <c:ser>
          <c:idx val="1"/>
          <c:order val="1"/>
          <c:tx>
            <c:strRef>
              <c:f>'Returns (Calc)'!$AD$2</c:f>
              <c:strCache>
                <c:ptCount val="1"/>
                <c:pt idx="0">
                  <c:v>NVDA trend</c:v>
                </c:pt>
              </c:strCache>
            </c:strRef>
          </c:tx>
          <c:spPr>
            <a:ln w="201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45156</c:v>
                </c:pt>
                <c:pt idx="1">
                  <c:v>45163</c:v>
                </c:pt>
                <c:pt idx="2">
                  <c:v>45170</c:v>
                </c:pt>
                <c:pt idx="3">
                  <c:v>45177</c:v>
                </c:pt>
                <c:pt idx="4">
                  <c:v>45184</c:v>
                </c:pt>
                <c:pt idx="5">
                  <c:v>45191</c:v>
                </c:pt>
                <c:pt idx="6">
                  <c:v>45198</c:v>
                </c:pt>
                <c:pt idx="7">
                  <c:v>45205</c:v>
                </c:pt>
                <c:pt idx="8">
                  <c:v>45212</c:v>
                </c:pt>
                <c:pt idx="9">
                  <c:v>45219</c:v>
                </c:pt>
                <c:pt idx="10">
                  <c:v>45226</c:v>
                </c:pt>
                <c:pt idx="11">
                  <c:v>45233</c:v>
                </c:pt>
                <c:pt idx="12">
                  <c:v>45240</c:v>
                </c:pt>
                <c:pt idx="13">
                  <c:v>45247</c:v>
                </c:pt>
                <c:pt idx="14">
                  <c:v>45254</c:v>
                </c:pt>
                <c:pt idx="15">
                  <c:v>45261</c:v>
                </c:pt>
                <c:pt idx="16">
                  <c:v>45268</c:v>
                </c:pt>
                <c:pt idx="17">
                  <c:v>45275</c:v>
                </c:pt>
                <c:pt idx="18">
                  <c:v>45282</c:v>
                </c:pt>
                <c:pt idx="19">
                  <c:v>45289</c:v>
                </c:pt>
                <c:pt idx="20">
                  <c:v>45296</c:v>
                </c:pt>
                <c:pt idx="21">
                  <c:v>45303</c:v>
                </c:pt>
                <c:pt idx="22">
                  <c:v>45310</c:v>
                </c:pt>
                <c:pt idx="23">
                  <c:v>45317</c:v>
                </c:pt>
                <c:pt idx="24">
                  <c:v>45324</c:v>
                </c:pt>
                <c:pt idx="25">
                  <c:v>45331</c:v>
                </c:pt>
                <c:pt idx="26">
                  <c:v>45338</c:v>
                </c:pt>
                <c:pt idx="27">
                  <c:v>45345</c:v>
                </c:pt>
                <c:pt idx="28">
                  <c:v>45352</c:v>
                </c:pt>
                <c:pt idx="29">
                  <c:v>45359</c:v>
                </c:pt>
                <c:pt idx="30">
                  <c:v>45366</c:v>
                </c:pt>
                <c:pt idx="31">
                  <c:v>45373</c:v>
                </c:pt>
                <c:pt idx="32">
                  <c:v>45379</c:v>
                </c:pt>
                <c:pt idx="33">
                  <c:v>45387</c:v>
                </c:pt>
                <c:pt idx="34">
                  <c:v>45394</c:v>
                </c:pt>
                <c:pt idx="35">
                  <c:v>45401</c:v>
                </c:pt>
                <c:pt idx="36">
                  <c:v>45408</c:v>
                </c:pt>
                <c:pt idx="37">
                  <c:v>45415</c:v>
                </c:pt>
                <c:pt idx="38">
                  <c:v>45422</c:v>
                </c:pt>
                <c:pt idx="39">
                  <c:v>45429</c:v>
                </c:pt>
                <c:pt idx="40">
                  <c:v>45436</c:v>
                </c:pt>
                <c:pt idx="41">
                  <c:v>45443</c:v>
                </c:pt>
                <c:pt idx="42">
                  <c:v>45450</c:v>
                </c:pt>
                <c:pt idx="43">
                  <c:v>45457</c:v>
                </c:pt>
                <c:pt idx="44">
                  <c:v>45464</c:v>
                </c:pt>
                <c:pt idx="45">
                  <c:v>45471</c:v>
                </c:pt>
                <c:pt idx="46">
                  <c:v>45478</c:v>
                </c:pt>
                <c:pt idx="47">
                  <c:v>45485</c:v>
                </c:pt>
                <c:pt idx="48">
                  <c:v>45492</c:v>
                </c:pt>
                <c:pt idx="49">
                  <c:v>45499</c:v>
                </c:pt>
                <c:pt idx="50">
                  <c:v>45506</c:v>
                </c:pt>
                <c:pt idx="51">
                  <c:v>45513</c:v>
                </c:pt>
                <c:pt idx="52">
                  <c:v>45520</c:v>
                </c:pt>
                <c:pt idx="53">
                  <c:v>45527</c:v>
                </c:pt>
                <c:pt idx="54">
                  <c:v>45534</c:v>
                </c:pt>
                <c:pt idx="55">
                  <c:v>45541</c:v>
                </c:pt>
                <c:pt idx="56">
                  <c:v>45548</c:v>
                </c:pt>
                <c:pt idx="57">
                  <c:v>45555</c:v>
                </c:pt>
                <c:pt idx="58">
                  <c:v>45562</c:v>
                </c:pt>
                <c:pt idx="59">
                  <c:v>45569</c:v>
                </c:pt>
                <c:pt idx="60">
                  <c:v>45576</c:v>
                </c:pt>
                <c:pt idx="61">
                  <c:v>45583</c:v>
                </c:pt>
                <c:pt idx="62">
                  <c:v>45590</c:v>
                </c:pt>
                <c:pt idx="63">
                  <c:v>45597</c:v>
                </c:pt>
                <c:pt idx="64">
                  <c:v>45604</c:v>
                </c:pt>
                <c:pt idx="65">
                  <c:v>45611</c:v>
                </c:pt>
                <c:pt idx="66">
                  <c:v>45618</c:v>
                </c:pt>
                <c:pt idx="67">
                  <c:v>45625</c:v>
                </c:pt>
                <c:pt idx="68">
                  <c:v>45632</c:v>
                </c:pt>
                <c:pt idx="69">
                  <c:v>45639</c:v>
                </c:pt>
                <c:pt idx="70">
                  <c:v>45646</c:v>
                </c:pt>
                <c:pt idx="71">
                  <c:v>45653</c:v>
                </c:pt>
                <c:pt idx="72">
                  <c:v>45660</c:v>
                </c:pt>
                <c:pt idx="73">
                  <c:v>45667</c:v>
                </c:pt>
                <c:pt idx="74">
                  <c:v>45674</c:v>
                </c:pt>
                <c:pt idx="75">
                  <c:v>45681</c:v>
                </c:pt>
                <c:pt idx="76">
                  <c:v>45688</c:v>
                </c:pt>
                <c:pt idx="77">
                  <c:v>45695</c:v>
                </c:pt>
                <c:pt idx="78">
                  <c:v>45702</c:v>
                </c:pt>
                <c:pt idx="79">
                  <c:v>45709</c:v>
                </c:pt>
                <c:pt idx="80">
                  <c:v>45716</c:v>
                </c:pt>
                <c:pt idx="81">
                  <c:v>45723</c:v>
                </c:pt>
                <c:pt idx="82">
                  <c:v>45730</c:v>
                </c:pt>
                <c:pt idx="83">
                  <c:v>45737</c:v>
                </c:pt>
                <c:pt idx="84">
                  <c:v>45744</c:v>
                </c:pt>
                <c:pt idx="85">
                  <c:v>45751</c:v>
                </c:pt>
                <c:pt idx="86">
                  <c:v>45758</c:v>
                </c:pt>
                <c:pt idx="87">
                  <c:v>45764</c:v>
                </c:pt>
                <c:pt idx="88">
                  <c:v>45772</c:v>
                </c:pt>
                <c:pt idx="89">
                  <c:v>45779</c:v>
                </c:pt>
                <c:pt idx="90">
                  <c:v>45786</c:v>
                </c:pt>
                <c:pt idx="91">
                  <c:v>45793</c:v>
                </c:pt>
                <c:pt idx="92">
                  <c:v>45800</c:v>
                </c:pt>
                <c:pt idx="93">
                  <c:v>45807</c:v>
                </c:pt>
                <c:pt idx="94">
                  <c:v>45814</c:v>
                </c:pt>
                <c:pt idx="95">
                  <c:v>45821</c:v>
                </c:pt>
                <c:pt idx="96">
                  <c:v>45828</c:v>
                </c:pt>
                <c:pt idx="97">
                  <c:v>45835</c:v>
                </c:pt>
                <c:pt idx="98">
                  <c:v>45841</c:v>
                </c:pt>
                <c:pt idx="99">
                  <c:v>45849</c:v>
                </c:pt>
                <c:pt idx="100">
                  <c:v>45856</c:v>
                </c:pt>
                <c:pt idx="101">
                  <c:v>45863</c:v>
                </c:pt>
                <c:pt idx="102">
                  <c:v>45870</c:v>
                </c:pt>
                <c:pt idx="103">
                  <c:v>45877</c:v>
                </c:pt>
                <c:pt idx="104">
                  <c:v>45884</c:v>
                </c:pt>
                <c:pt idx="105">
                  <c:v>45891</c:v>
                </c:pt>
                <c:pt idx="106">
                  <c:v>45898</c:v>
                </c:pt>
                <c:pt idx="107">
                  <c:v>45905</c:v>
                </c:pt>
                <c:pt idx="108">
                  <c:v>45912</c:v>
                </c:pt>
                <c:pt idx="109">
                  <c:v>45919</c:v>
                </c:pt>
                <c:pt idx="110">
                  <c:v>45926</c:v>
                </c:pt>
                <c:pt idx="111">
                  <c:v>45933</c:v>
                </c:pt>
                <c:pt idx="112">
                  <c:v>45940</c:v>
                </c:pt>
                <c:pt idx="113">
                  <c:v>45947</c:v>
                </c:pt>
                <c:pt idx="114">
                  <c:v>45954</c:v>
                </c:pt>
                <c:pt idx="115">
                  <c:v>45961</c:v>
                </c:pt>
                <c:pt idx="116">
                  <c:v>45968</c:v>
                </c:pt>
                <c:pt idx="117">
                  <c:v>45975</c:v>
                </c:pt>
                <c:pt idx="118">
                  <c:v>45982</c:v>
                </c:pt>
                <c:pt idx="119">
                  <c:v>45989</c:v>
                </c:pt>
                <c:pt idx="120">
                  <c:v>45996</c:v>
                </c:pt>
                <c:pt idx="121">
                  <c:v>46003</c:v>
                </c:pt>
                <c:pt idx="122">
                  <c:v>46010</c:v>
                </c:pt>
                <c:pt idx="123">
                  <c:v>46017</c:v>
                </c:pt>
                <c:pt idx="124">
                  <c:v>46024</c:v>
                </c:pt>
                <c:pt idx="125">
                  <c:v>46031</c:v>
                </c:pt>
                <c:pt idx="126">
                  <c:v>46038</c:v>
                </c:pt>
                <c:pt idx="127">
                  <c:v>46045</c:v>
                </c:pt>
                <c:pt idx="128">
                  <c:v>46052</c:v>
                </c:pt>
                <c:pt idx="129">
                  <c:v>46059</c:v>
                </c:pt>
                <c:pt idx="130">
                  <c:v>46066</c:v>
                </c:pt>
                <c:pt idx="131">
                  <c:v>46073</c:v>
                </c:pt>
                <c:pt idx="132">
                  <c:v>46080</c:v>
                </c:pt>
                <c:pt idx="133">
                  <c:v>46087</c:v>
                </c:pt>
                <c:pt idx="134">
                  <c:v>46094</c:v>
                </c:pt>
                <c:pt idx="135">
                  <c:v>46101</c:v>
                </c:pt>
                <c:pt idx="136">
                  <c:v>46108</c:v>
                </c:pt>
                <c:pt idx="137">
                  <c:v>46114</c:v>
                </c:pt>
                <c:pt idx="138">
                  <c:v>46122</c:v>
                </c:pt>
                <c:pt idx="139">
                  <c:v>46129</c:v>
                </c:pt>
                <c:pt idx="140">
                  <c:v>46136</c:v>
                </c:pt>
                <c:pt idx="141">
                  <c:v>46143</c:v>
                </c:pt>
                <c:pt idx="142">
                  <c:v>46150</c:v>
                </c:pt>
                <c:pt idx="143">
                  <c:v>46157</c:v>
                </c:pt>
                <c:pt idx="144">
                  <c:v>46164</c:v>
                </c:pt>
                <c:pt idx="145">
                  <c:v>46171</c:v>
                </c:pt>
                <c:pt idx="146">
                  <c:v>46178</c:v>
                </c:pt>
                <c:pt idx="147">
                  <c:v>46185</c:v>
                </c:pt>
                <c:pt idx="148">
                  <c:v>46191</c:v>
                </c:pt>
                <c:pt idx="149">
                  <c:v>46199</c:v>
                </c:pt>
                <c:pt idx="150">
                  <c:v>46205</c:v>
                </c:pt>
                <c:pt idx="151">
                  <c:v>46213</c:v>
                </c:pt>
                <c:pt idx="152">
                  <c:v>46220</c:v>
                </c:pt>
                <c:pt idx="153">
                  <c:v>46227</c:v>
                </c:pt>
                <c:pt idx="154">
                  <c:v>46234</c:v>
                </c:pt>
                <c:pt idx="155">
                  <c:v>46241</c:v>
                </c:pt>
                <c:pt idx="156">
                  <c:v>46248</c:v>
                </c:pt>
                <c:pt idx="157">
                  <c:v>46255</c:v>
                </c:pt>
                <c:pt idx="158">
                  <c:v>46262</c:v>
                </c:pt>
                <c:pt idx="159">
                  <c:v>46269</c:v>
                </c:pt>
              </c:numCache>
            </c:numRef>
          </c:cat>
          <c:val>
            <c:numRef>
              <c:f>'Returns (Calc)'!$AD$3:$AD$500</c:f>
              <c:numCache>
                <c:formatCode>#,##0.00</c:formatCode>
                <c:ptCount val="498"/>
                <c:pt idx="0">
                  <c:v>40.85</c:v>
                </c:pt>
                <c:pt idx="1">
                  <c:v>40.593081761006289</c:v>
                </c:pt>
                <c:pt idx="2">
                  <c:v>40.336163522012583</c:v>
                </c:pt>
                <c:pt idx="3">
                  <c:v>40.079245283018871</c:v>
                </c:pt>
                <c:pt idx="4">
                  <c:v>39.822327044025158</c:v>
                </c:pt>
                <c:pt idx="5">
                  <c:v>39.565408805031446</c:v>
                </c:pt>
                <c:pt idx="6">
                  <c:v>39.30849056603774</c:v>
                </c:pt>
                <c:pt idx="7">
                  <c:v>39.051572327044028</c:v>
                </c:pt>
                <c:pt idx="8">
                  <c:v>38.794654088050315</c:v>
                </c:pt>
                <c:pt idx="9">
                  <c:v>38.537735849056602</c:v>
                </c:pt>
                <c:pt idx="10">
                  <c:v>38.280817610062897</c:v>
                </c:pt>
                <c:pt idx="11">
                  <c:v>38.023899371069184</c:v>
                </c:pt>
                <c:pt idx="12">
                  <c:v>37.766981132075472</c:v>
                </c:pt>
                <c:pt idx="13">
                  <c:v>37.510062893081759</c:v>
                </c:pt>
                <c:pt idx="14">
                  <c:v>37.253144654088054</c:v>
                </c:pt>
                <c:pt idx="15">
                  <c:v>36.996226415094341</c:v>
                </c:pt>
                <c:pt idx="16">
                  <c:v>36.739308176100629</c:v>
                </c:pt>
                <c:pt idx="17">
                  <c:v>36.482389937106916</c:v>
                </c:pt>
                <c:pt idx="18">
                  <c:v>36.225471698113211</c:v>
                </c:pt>
                <c:pt idx="19">
                  <c:v>35.968553459119498</c:v>
                </c:pt>
                <c:pt idx="20">
                  <c:v>35.711635220125785</c:v>
                </c:pt>
                <c:pt idx="21">
                  <c:v>35.45471698113208</c:v>
                </c:pt>
                <c:pt idx="22">
                  <c:v>35.197798742138367</c:v>
                </c:pt>
                <c:pt idx="23">
                  <c:v>34.940880503144655</c:v>
                </c:pt>
                <c:pt idx="24">
                  <c:v>34.683962264150942</c:v>
                </c:pt>
                <c:pt idx="25">
                  <c:v>34.427044025157237</c:v>
                </c:pt>
                <c:pt idx="26">
                  <c:v>34.170125786163524</c:v>
                </c:pt>
                <c:pt idx="27">
                  <c:v>33.913207547169812</c:v>
                </c:pt>
                <c:pt idx="28">
                  <c:v>33.656289308176099</c:v>
                </c:pt>
                <c:pt idx="29">
                  <c:v>33.399371069182394</c:v>
                </c:pt>
                <c:pt idx="30">
                  <c:v>33.142452830188681</c:v>
                </c:pt>
                <c:pt idx="31">
                  <c:v>32.885534591194968</c:v>
                </c:pt>
                <c:pt idx="32">
                  <c:v>32.628616352201263</c:v>
                </c:pt>
                <c:pt idx="33">
                  <c:v>32.37169811320755</c:v>
                </c:pt>
                <c:pt idx="34">
                  <c:v>32.114779874213838</c:v>
                </c:pt>
                <c:pt idx="35">
                  <c:v>31.857861635220125</c:v>
                </c:pt>
                <c:pt idx="36">
                  <c:v>31.600943396226416</c:v>
                </c:pt>
                <c:pt idx="37">
                  <c:v>31.344025157232707</c:v>
                </c:pt>
                <c:pt idx="38">
                  <c:v>31.087106918238995</c:v>
                </c:pt>
                <c:pt idx="39">
                  <c:v>30.830188679245282</c:v>
                </c:pt>
                <c:pt idx="40">
                  <c:v>30.573270440251573</c:v>
                </c:pt>
                <c:pt idx="41">
                  <c:v>30.316352201257864</c:v>
                </c:pt>
                <c:pt idx="42">
                  <c:v>30.059433962264151</c:v>
                </c:pt>
                <c:pt idx="43">
                  <c:v>29.802515723270442</c:v>
                </c:pt>
                <c:pt idx="44">
                  <c:v>29.54559748427673</c:v>
                </c:pt>
                <c:pt idx="45">
                  <c:v>29.288679245283021</c:v>
                </c:pt>
                <c:pt idx="46">
                  <c:v>29.031761006289308</c:v>
                </c:pt>
                <c:pt idx="47">
                  <c:v>28.774842767295599</c:v>
                </c:pt>
                <c:pt idx="48">
                  <c:v>28.517924528301887</c:v>
                </c:pt>
                <c:pt idx="49">
                  <c:v>28.261006289308177</c:v>
                </c:pt>
                <c:pt idx="50">
                  <c:v>28.004088050314465</c:v>
                </c:pt>
                <c:pt idx="51">
                  <c:v>27.747169811320756</c:v>
                </c:pt>
                <c:pt idx="52">
                  <c:v>27.490251572327043</c:v>
                </c:pt>
                <c:pt idx="53">
                  <c:v>27.233333333333334</c:v>
                </c:pt>
                <c:pt idx="54">
                  <c:v>26.976415094339622</c:v>
                </c:pt>
                <c:pt idx="55">
                  <c:v>26.719496855345913</c:v>
                </c:pt>
                <c:pt idx="56">
                  <c:v>26.462578616352204</c:v>
                </c:pt>
                <c:pt idx="57">
                  <c:v>26.205660377358491</c:v>
                </c:pt>
                <c:pt idx="58">
                  <c:v>25.948742138364778</c:v>
                </c:pt>
                <c:pt idx="59">
                  <c:v>25.691823899371069</c:v>
                </c:pt>
                <c:pt idx="60">
                  <c:v>25.43490566037736</c:v>
                </c:pt>
                <c:pt idx="61">
                  <c:v>25.177987421383648</c:v>
                </c:pt>
                <c:pt idx="62">
                  <c:v>24.921069182389935</c:v>
                </c:pt>
                <c:pt idx="63">
                  <c:v>24.664150943396226</c:v>
                </c:pt>
                <c:pt idx="64">
                  <c:v>24.407232704402517</c:v>
                </c:pt>
                <c:pt idx="65">
                  <c:v>24.150314465408808</c:v>
                </c:pt>
                <c:pt idx="66">
                  <c:v>23.893396226415096</c:v>
                </c:pt>
                <c:pt idx="67">
                  <c:v>23.636477987421383</c:v>
                </c:pt>
                <c:pt idx="68">
                  <c:v>23.379559748427674</c:v>
                </c:pt>
                <c:pt idx="69">
                  <c:v>23.122641509433961</c:v>
                </c:pt>
                <c:pt idx="70">
                  <c:v>22.865723270440252</c:v>
                </c:pt>
                <c:pt idx="71">
                  <c:v>22.608805031446543</c:v>
                </c:pt>
                <c:pt idx="72">
                  <c:v>22.351886792452831</c:v>
                </c:pt>
                <c:pt idx="73">
                  <c:v>22.094968553459118</c:v>
                </c:pt>
                <c:pt idx="74">
                  <c:v>21.838050314465409</c:v>
                </c:pt>
                <c:pt idx="75">
                  <c:v>21.5811320754717</c:v>
                </c:pt>
                <c:pt idx="76">
                  <c:v>21.324213836477991</c:v>
                </c:pt>
                <c:pt idx="77">
                  <c:v>21.067295597484275</c:v>
                </c:pt>
                <c:pt idx="78">
                  <c:v>20.810377358490566</c:v>
                </c:pt>
                <c:pt idx="79">
                  <c:v>20.553459119496857</c:v>
                </c:pt>
                <c:pt idx="80">
                  <c:v>20.296540880503144</c:v>
                </c:pt>
                <c:pt idx="81">
                  <c:v>20.039622641509435</c:v>
                </c:pt>
                <c:pt idx="82">
                  <c:v>19.782704402515723</c:v>
                </c:pt>
                <c:pt idx="83">
                  <c:v>19.525786163522014</c:v>
                </c:pt>
                <c:pt idx="84">
                  <c:v>19.268867924528301</c:v>
                </c:pt>
                <c:pt idx="85">
                  <c:v>19.011949685534592</c:v>
                </c:pt>
                <c:pt idx="86">
                  <c:v>18.755031446540883</c:v>
                </c:pt>
                <c:pt idx="87">
                  <c:v>18.498113207547171</c:v>
                </c:pt>
                <c:pt idx="88">
                  <c:v>18.241194968553458</c:v>
                </c:pt>
                <c:pt idx="89">
                  <c:v>17.984276729559749</c:v>
                </c:pt>
                <c:pt idx="90">
                  <c:v>17.72735849056604</c:v>
                </c:pt>
                <c:pt idx="91">
                  <c:v>17.470440251572327</c:v>
                </c:pt>
                <c:pt idx="92">
                  <c:v>17.213522012578615</c:v>
                </c:pt>
                <c:pt idx="93">
                  <c:v>16.956603773584906</c:v>
                </c:pt>
                <c:pt idx="94">
                  <c:v>16.699685534591197</c:v>
                </c:pt>
                <c:pt idx="95">
                  <c:v>16.442767295597484</c:v>
                </c:pt>
                <c:pt idx="96">
                  <c:v>16.185849056603772</c:v>
                </c:pt>
                <c:pt idx="97">
                  <c:v>15.928930817610063</c:v>
                </c:pt>
                <c:pt idx="98">
                  <c:v>15.672012578616354</c:v>
                </c:pt>
                <c:pt idx="99">
                  <c:v>15.415094339622641</c:v>
                </c:pt>
                <c:pt idx="100">
                  <c:v>15.158176100628932</c:v>
                </c:pt>
                <c:pt idx="101">
                  <c:v>14.901257861635219</c:v>
                </c:pt>
                <c:pt idx="102">
                  <c:v>14.64433962264151</c:v>
                </c:pt>
                <c:pt idx="103">
                  <c:v>14.387421383647798</c:v>
                </c:pt>
                <c:pt idx="104">
                  <c:v>14.130503144654085</c:v>
                </c:pt>
                <c:pt idx="105">
                  <c:v>13.87358490566038</c:v>
                </c:pt>
                <c:pt idx="106">
                  <c:v>13.616666666666667</c:v>
                </c:pt>
                <c:pt idx="107">
                  <c:v>13.359748427672958</c:v>
                </c:pt>
                <c:pt idx="108">
                  <c:v>13.102830188679246</c:v>
                </c:pt>
                <c:pt idx="109">
                  <c:v>12.845911949685533</c:v>
                </c:pt>
                <c:pt idx="110">
                  <c:v>12.588993710691824</c:v>
                </c:pt>
                <c:pt idx="111">
                  <c:v>12.332075471698111</c:v>
                </c:pt>
                <c:pt idx="112">
                  <c:v>12.075157232704406</c:v>
                </c:pt>
                <c:pt idx="113">
                  <c:v>11.818238993710693</c:v>
                </c:pt>
                <c:pt idx="114">
                  <c:v>11.561320754716981</c:v>
                </c:pt>
                <c:pt idx="115">
                  <c:v>11.304402515723272</c:v>
                </c:pt>
                <c:pt idx="116">
                  <c:v>11.047484276729559</c:v>
                </c:pt>
                <c:pt idx="117">
                  <c:v>10.79056603773585</c:v>
                </c:pt>
                <c:pt idx="118">
                  <c:v>10.533647798742138</c:v>
                </c:pt>
                <c:pt idx="119">
                  <c:v>10.276729559748425</c:v>
                </c:pt>
                <c:pt idx="120">
                  <c:v>10.019811320754719</c:v>
                </c:pt>
                <c:pt idx="121">
                  <c:v>9.7628930817610069</c:v>
                </c:pt>
                <c:pt idx="122">
                  <c:v>9.5059748427672979</c:v>
                </c:pt>
                <c:pt idx="123">
                  <c:v>9.2490566037735853</c:v>
                </c:pt>
                <c:pt idx="124">
                  <c:v>8.9921383647798727</c:v>
                </c:pt>
                <c:pt idx="125">
                  <c:v>8.7352201257861637</c:v>
                </c:pt>
                <c:pt idx="126">
                  <c:v>8.4783018867924511</c:v>
                </c:pt>
                <c:pt idx="127">
                  <c:v>8.2213836477987456</c:v>
                </c:pt>
                <c:pt idx="128">
                  <c:v>7.9644654088050331</c:v>
                </c:pt>
                <c:pt idx="129">
                  <c:v>7.7075471698113205</c:v>
                </c:pt>
                <c:pt idx="130">
                  <c:v>7.450628930817615</c:v>
                </c:pt>
                <c:pt idx="131">
                  <c:v>7.1937106918238953</c:v>
                </c:pt>
                <c:pt idx="132">
                  <c:v>6.9367924528301899</c:v>
                </c:pt>
                <c:pt idx="133">
                  <c:v>6.6798742138364773</c:v>
                </c:pt>
                <c:pt idx="134">
                  <c:v>6.4229559748427647</c:v>
                </c:pt>
                <c:pt idx="135">
                  <c:v>6.1660377358490592</c:v>
                </c:pt>
                <c:pt idx="136">
                  <c:v>5.9091194968553467</c:v>
                </c:pt>
                <c:pt idx="137">
                  <c:v>5.6522012578616412</c:v>
                </c:pt>
                <c:pt idx="138">
                  <c:v>5.3952830188679215</c:v>
                </c:pt>
                <c:pt idx="139">
                  <c:v>5.1383647798742089</c:v>
                </c:pt>
                <c:pt idx="140">
                  <c:v>4.8814465408805034</c:v>
                </c:pt>
                <c:pt idx="141">
                  <c:v>4.6245283018867909</c:v>
                </c:pt>
                <c:pt idx="142">
                  <c:v>4.3676100628930854</c:v>
                </c:pt>
                <c:pt idx="143">
                  <c:v>4.1106918238993728</c:v>
                </c:pt>
                <c:pt idx="144">
                  <c:v>3.8537735849056602</c:v>
                </c:pt>
                <c:pt idx="145">
                  <c:v>3.5968553459119477</c:v>
                </c:pt>
                <c:pt idx="146">
                  <c:v>3.3399371069182351</c:v>
                </c:pt>
                <c:pt idx="147">
                  <c:v>3.0830188679245296</c:v>
                </c:pt>
                <c:pt idx="148">
                  <c:v>2.826100628930817</c:v>
                </c:pt>
                <c:pt idx="149">
                  <c:v>2.5691823899371045</c:v>
                </c:pt>
                <c:pt idx="150">
                  <c:v>2.312264150943399</c:v>
                </c:pt>
                <c:pt idx="151">
                  <c:v>2.0553459119496864</c:v>
                </c:pt>
                <c:pt idx="152">
                  <c:v>1.7984276729559809</c:v>
                </c:pt>
                <c:pt idx="153">
                  <c:v>1.5415094339622613</c:v>
                </c:pt>
                <c:pt idx="154">
                  <c:v>1.2845911949685487</c:v>
                </c:pt>
                <c:pt idx="155">
                  <c:v>1.0276729559748432</c:v>
                </c:pt>
                <c:pt idx="156">
                  <c:v>0.77075471698113063</c:v>
                </c:pt>
                <c:pt idx="157">
                  <c:v>0.51383647798742516</c:v>
                </c:pt>
                <c:pt idx="158">
                  <c:v>0.25691823899371258</c:v>
                </c:pt>
                <c:pt idx="159">
                  <c:v>0</c:v>
                </c:pt>
              </c:numCache>
            </c:numRef>
          </c:val>
          <c:smooth val="0"/>
          <c:extLst>
            <c:ext xmlns:c16="http://schemas.microsoft.com/office/drawing/2014/chart" uri="{C3380CC4-5D6E-409C-BE32-E72D297353CC}">
              <c16:uniqueId val="{00000001-F8C3-44CD-93DE-BA063B8F7779}"/>
            </c:ext>
          </c:extLst>
        </c:ser>
        <c:dLbls>
          <c:showLegendKey val="0"/>
          <c:showVal val="0"/>
          <c:showCatName val="0"/>
          <c:showSerName val="0"/>
          <c:showPercent val="0"/>
          <c:showBubbleSize val="0"/>
        </c:dLbls>
        <c:hiLowLines>
          <c:spPr>
            <a:ln w="0">
              <a:noFill/>
            </a:ln>
          </c:spPr>
        </c:hiLowLines>
        <c:marker val="1"/>
        <c:smooth val="0"/>
        <c:axId val="70823879"/>
        <c:axId val="26177846"/>
      </c:lineChart>
      <c:dateAx>
        <c:axId val="49634491"/>
        <c:scaling>
          <c:orientation val="minMax"/>
        </c:scaling>
        <c:delete val="1"/>
        <c:axPos val="b"/>
        <c:numFmt formatCode="mm/dd/yyyy" sourceLinked="1"/>
        <c:majorTickMark val="none"/>
        <c:minorTickMark val="none"/>
        <c:tickLblPos val="nextTo"/>
        <c:crossAx val="58629490"/>
        <c:crosses val="autoZero"/>
        <c:auto val="1"/>
        <c:lblOffset val="100"/>
        <c:baseTimeUnit val="days"/>
      </c:dateAx>
      <c:valAx>
        <c:axId val="58629490"/>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49634491"/>
        <c:crosses val="autoZero"/>
        <c:crossBetween val="between"/>
      </c:valAx>
      <c:dateAx>
        <c:axId val="70823879"/>
        <c:scaling>
          <c:orientation val="minMax"/>
        </c:scaling>
        <c:delete val="1"/>
        <c:axPos val="b"/>
        <c:numFmt formatCode="mm/dd/yyyy" sourceLinked="1"/>
        <c:majorTickMark val="none"/>
        <c:minorTickMark val="none"/>
        <c:tickLblPos val="nextTo"/>
        <c:crossAx val="26177846"/>
        <c:crosses val="autoZero"/>
        <c:auto val="1"/>
        <c:lblOffset val="100"/>
        <c:baseTimeUnit val="days"/>
      </c:dateAx>
      <c:valAx>
        <c:axId val="26177846"/>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70823879"/>
        <c:crosses val="max"/>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PLD</a:t>
            </a:r>
          </a:p>
        </c:rich>
      </c:tx>
      <c:overlay val="0"/>
      <c:spPr>
        <a:noFill/>
        <a:ln w="0">
          <a:noFill/>
        </a:ln>
      </c:spPr>
    </c:title>
    <c:autoTitleDeleted val="0"/>
    <c:plotArea>
      <c:layout/>
      <c:barChart>
        <c:barDir val="col"/>
        <c:grouping val="clustered"/>
        <c:varyColors val="0"/>
        <c:ser>
          <c:idx val="0"/>
          <c:order val="0"/>
          <c:tx>
            <c:strRef>
              <c:f>'Returns (Calc)'!$J$2</c:f>
              <c:strCache>
                <c:ptCount val="1"/>
                <c:pt idx="0">
                  <c:v>PLD</c:v>
                </c:pt>
              </c:strCache>
            </c:strRef>
          </c:tx>
          <c:spPr>
            <a:solidFill>
              <a:srgbClr val="4F81BD"/>
            </a:solidFill>
            <a:ln w="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45156</c:v>
                </c:pt>
                <c:pt idx="1">
                  <c:v>45163</c:v>
                </c:pt>
                <c:pt idx="2">
                  <c:v>45170</c:v>
                </c:pt>
                <c:pt idx="3">
                  <c:v>45177</c:v>
                </c:pt>
                <c:pt idx="4">
                  <c:v>45184</c:v>
                </c:pt>
                <c:pt idx="5">
                  <c:v>45191</c:v>
                </c:pt>
                <c:pt idx="6">
                  <c:v>45198</c:v>
                </c:pt>
                <c:pt idx="7">
                  <c:v>45205</c:v>
                </c:pt>
                <c:pt idx="8">
                  <c:v>45212</c:v>
                </c:pt>
                <c:pt idx="9">
                  <c:v>45219</c:v>
                </c:pt>
                <c:pt idx="10">
                  <c:v>45226</c:v>
                </c:pt>
                <c:pt idx="11">
                  <c:v>45233</c:v>
                </c:pt>
                <c:pt idx="12">
                  <c:v>45240</c:v>
                </c:pt>
                <c:pt idx="13">
                  <c:v>45247</c:v>
                </c:pt>
                <c:pt idx="14">
                  <c:v>45254</c:v>
                </c:pt>
                <c:pt idx="15">
                  <c:v>45261</c:v>
                </c:pt>
                <c:pt idx="16">
                  <c:v>45268</c:v>
                </c:pt>
                <c:pt idx="17">
                  <c:v>45275</c:v>
                </c:pt>
                <c:pt idx="18">
                  <c:v>45282</c:v>
                </c:pt>
                <c:pt idx="19">
                  <c:v>45289</c:v>
                </c:pt>
                <c:pt idx="20">
                  <c:v>45296</c:v>
                </c:pt>
                <c:pt idx="21">
                  <c:v>45303</c:v>
                </c:pt>
                <c:pt idx="22">
                  <c:v>45310</c:v>
                </c:pt>
                <c:pt idx="23">
                  <c:v>45317</c:v>
                </c:pt>
                <c:pt idx="24">
                  <c:v>45324</c:v>
                </c:pt>
                <c:pt idx="25">
                  <c:v>45331</c:v>
                </c:pt>
                <c:pt idx="26">
                  <c:v>45338</c:v>
                </c:pt>
                <c:pt idx="27">
                  <c:v>45345</c:v>
                </c:pt>
                <c:pt idx="28">
                  <c:v>45352</c:v>
                </c:pt>
                <c:pt idx="29">
                  <c:v>45359</c:v>
                </c:pt>
                <c:pt idx="30">
                  <c:v>45366</c:v>
                </c:pt>
                <c:pt idx="31">
                  <c:v>45373</c:v>
                </c:pt>
                <c:pt idx="32">
                  <c:v>45379</c:v>
                </c:pt>
                <c:pt idx="33">
                  <c:v>45387</c:v>
                </c:pt>
                <c:pt idx="34">
                  <c:v>45394</c:v>
                </c:pt>
                <c:pt idx="35">
                  <c:v>45401</c:v>
                </c:pt>
                <c:pt idx="36">
                  <c:v>45408</c:v>
                </c:pt>
                <c:pt idx="37">
                  <c:v>45415</c:v>
                </c:pt>
                <c:pt idx="38">
                  <c:v>45422</c:v>
                </c:pt>
                <c:pt idx="39">
                  <c:v>45429</c:v>
                </c:pt>
                <c:pt idx="40">
                  <c:v>45436</c:v>
                </c:pt>
                <c:pt idx="41">
                  <c:v>45443</c:v>
                </c:pt>
                <c:pt idx="42">
                  <c:v>45450</c:v>
                </c:pt>
                <c:pt idx="43">
                  <c:v>45457</c:v>
                </c:pt>
                <c:pt idx="44">
                  <c:v>45464</c:v>
                </c:pt>
                <c:pt idx="45">
                  <c:v>45471</c:v>
                </c:pt>
                <c:pt idx="46">
                  <c:v>45478</c:v>
                </c:pt>
                <c:pt idx="47">
                  <c:v>45485</c:v>
                </c:pt>
                <c:pt idx="48">
                  <c:v>45492</c:v>
                </c:pt>
                <c:pt idx="49">
                  <c:v>45499</c:v>
                </c:pt>
                <c:pt idx="50">
                  <c:v>45506</c:v>
                </c:pt>
                <c:pt idx="51">
                  <c:v>45513</c:v>
                </c:pt>
                <c:pt idx="52">
                  <c:v>45520</c:v>
                </c:pt>
                <c:pt idx="53">
                  <c:v>45527</c:v>
                </c:pt>
                <c:pt idx="54">
                  <c:v>45534</c:v>
                </c:pt>
                <c:pt idx="55">
                  <c:v>45541</c:v>
                </c:pt>
                <c:pt idx="56">
                  <c:v>45548</c:v>
                </c:pt>
                <c:pt idx="57">
                  <c:v>45555</c:v>
                </c:pt>
                <c:pt idx="58">
                  <c:v>45562</c:v>
                </c:pt>
                <c:pt idx="59">
                  <c:v>45569</c:v>
                </c:pt>
                <c:pt idx="60">
                  <c:v>45576</c:v>
                </c:pt>
                <c:pt idx="61">
                  <c:v>45583</c:v>
                </c:pt>
                <c:pt idx="62">
                  <c:v>45590</c:v>
                </c:pt>
                <c:pt idx="63">
                  <c:v>45597</c:v>
                </c:pt>
                <c:pt idx="64">
                  <c:v>45604</c:v>
                </c:pt>
                <c:pt idx="65">
                  <c:v>45611</c:v>
                </c:pt>
                <c:pt idx="66">
                  <c:v>45618</c:v>
                </c:pt>
                <c:pt idx="67">
                  <c:v>45625</c:v>
                </c:pt>
                <c:pt idx="68">
                  <c:v>45632</c:v>
                </c:pt>
                <c:pt idx="69">
                  <c:v>45639</c:v>
                </c:pt>
                <c:pt idx="70">
                  <c:v>45646</c:v>
                </c:pt>
                <c:pt idx="71">
                  <c:v>45653</c:v>
                </c:pt>
                <c:pt idx="72">
                  <c:v>45660</c:v>
                </c:pt>
                <c:pt idx="73">
                  <c:v>45667</c:v>
                </c:pt>
                <c:pt idx="74">
                  <c:v>45674</c:v>
                </c:pt>
                <c:pt idx="75">
                  <c:v>45681</c:v>
                </c:pt>
                <c:pt idx="76">
                  <c:v>45688</c:v>
                </c:pt>
                <c:pt idx="77">
                  <c:v>45695</c:v>
                </c:pt>
                <c:pt idx="78">
                  <c:v>45702</c:v>
                </c:pt>
                <c:pt idx="79">
                  <c:v>45709</c:v>
                </c:pt>
                <c:pt idx="80">
                  <c:v>45716</c:v>
                </c:pt>
                <c:pt idx="81">
                  <c:v>45723</c:v>
                </c:pt>
                <c:pt idx="82">
                  <c:v>45730</c:v>
                </c:pt>
                <c:pt idx="83">
                  <c:v>45737</c:v>
                </c:pt>
                <c:pt idx="84">
                  <c:v>45744</c:v>
                </c:pt>
                <c:pt idx="85">
                  <c:v>45751</c:v>
                </c:pt>
                <c:pt idx="86">
                  <c:v>45758</c:v>
                </c:pt>
                <c:pt idx="87">
                  <c:v>45764</c:v>
                </c:pt>
                <c:pt idx="88">
                  <c:v>45772</c:v>
                </c:pt>
                <c:pt idx="89">
                  <c:v>45779</c:v>
                </c:pt>
                <c:pt idx="90">
                  <c:v>45786</c:v>
                </c:pt>
                <c:pt idx="91">
                  <c:v>45793</c:v>
                </c:pt>
                <c:pt idx="92">
                  <c:v>45800</c:v>
                </c:pt>
                <c:pt idx="93">
                  <c:v>45807</c:v>
                </c:pt>
                <c:pt idx="94">
                  <c:v>45814</c:v>
                </c:pt>
                <c:pt idx="95">
                  <c:v>45821</c:v>
                </c:pt>
                <c:pt idx="96">
                  <c:v>45828</c:v>
                </c:pt>
                <c:pt idx="97">
                  <c:v>45835</c:v>
                </c:pt>
                <c:pt idx="98">
                  <c:v>45841</c:v>
                </c:pt>
                <c:pt idx="99">
                  <c:v>45849</c:v>
                </c:pt>
                <c:pt idx="100">
                  <c:v>45856</c:v>
                </c:pt>
                <c:pt idx="101">
                  <c:v>45863</c:v>
                </c:pt>
                <c:pt idx="102">
                  <c:v>45870</c:v>
                </c:pt>
                <c:pt idx="103">
                  <c:v>45877</c:v>
                </c:pt>
                <c:pt idx="104">
                  <c:v>45884</c:v>
                </c:pt>
                <c:pt idx="105">
                  <c:v>45891</c:v>
                </c:pt>
                <c:pt idx="106">
                  <c:v>45898</c:v>
                </c:pt>
                <c:pt idx="107">
                  <c:v>45905</c:v>
                </c:pt>
                <c:pt idx="108">
                  <c:v>45912</c:v>
                </c:pt>
                <c:pt idx="109">
                  <c:v>45919</c:v>
                </c:pt>
                <c:pt idx="110">
                  <c:v>45926</c:v>
                </c:pt>
                <c:pt idx="111">
                  <c:v>45933</c:v>
                </c:pt>
                <c:pt idx="112">
                  <c:v>45940</c:v>
                </c:pt>
                <c:pt idx="113">
                  <c:v>45947</c:v>
                </c:pt>
                <c:pt idx="114">
                  <c:v>45954</c:v>
                </c:pt>
                <c:pt idx="115">
                  <c:v>45961</c:v>
                </c:pt>
                <c:pt idx="116">
                  <c:v>45968</c:v>
                </c:pt>
                <c:pt idx="117">
                  <c:v>45975</c:v>
                </c:pt>
                <c:pt idx="118">
                  <c:v>45982</c:v>
                </c:pt>
                <c:pt idx="119">
                  <c:v>45989</c:v>
                </c:pt>
                <c:pt idx="120">
                  <c:v>45996</c:v>
                </c:pt>
                <c:pt idx="121">
                  <c:v>46003</c:v>
                </c:pt>
                <c:pt idx="122">
                  <c:v>46010</c:v>
                </c:pt>
                <c:pt idx="123">
                  <c:v>46017</c:v>
                </c:pt>
                <c:pt idx="124">
                  <c:v>46024</c:v>
                </c:pt>
                <c:pt idx="125">
                  <c:v>46031</c:v>
                </c:pt>
                <c:pt idx="126">
                  <c:v>46038</c:v>
                </c:pt>
                <c:pt idx="127">
                  <c:v>46045</c:v>
                </c:pt>
                <c:pt idx="128">
                  <c:v>46052</c:v>
                </c:pt>
                <c:pt idx="129">
                  <c:v>46059</c:v>
                </c:pt>
                <c:pt idx="130">
                  <c:v>46066</c:v>
                </c:pt>
                <c:pt idx="131">
                  <c:v>46073</c:v>
                </c:pt>
                <c:pt idx="132">
                  <c:v>46080</c:v>
                </c:pt>
                <c:pt idx="133">
                  <c:v>46087</c:v>
                </c:pt>
                <c:pt idx="134">
                  <c:v>46094</c:v>
                </c:pt>
                <c:pt idx="135">
                  <c:v>46101</c:v>
                </c:pt>
                <c:pt idx="136">
                  <c:v>46108</c:v>
                </c:pt>
                <c:pt idx="137">
                  <c:v>46114</c:v>
                </c:pt>
                <c:pt idx="138">
                  <c:v>46122</c:v>
                </c:pt>
                <c:pt idx="139">
                  <c:v>46129</c:v>
                </c:pt>
                <c:pt idx="140">
                  <c:v>46136</c:v>
                </c:pt>
                <c:pt idx="141">
                  <c:v>46143</c:v>
                </c:pt>
                <c:pt idx="142">
                  <c:v>46150</c:v>
                </c:pt>
                <c:pt idx="143">
                  <c:v>46157</c:v>
                </c:pt>
                <c:pt idx="144">
                  <c:v>46164</c:v>
                </c:pt>
                <c:pt idx="145">
                  <c:v>46171</c:v>
                </c:pt>
                <c:pt idx="146">
                  <c:v>46178</c:v>
                </c:pt>
                <c:pt idx="147">
                  <c:v>46185</c:v>
                </c:pt>
                <c:pt idx="148">
                  <c:v>46191</c:v>
                </c:pt>
                <c:pt idx="149">
                  <c:v>46199</c:v>
                </c:pt>
                <c:pt idx="150">
                  <c:v>46205</c:v>
                </c:pt>
                <c:pt idx="151">
                  <c:v>46213</c:v>
                </c:pt>
                <c:pt idx="152">
                  <c:v>46220</c:v>
                </c:pt>
                <c:pt idx="153">
                  <c:v>46227</c:v>
                </c:pt>
                <c:pt idx="154">
                  <c:v>46234</c:v>
                </c:pt>
                <c:pt idx="155">
                  <c:v>46241</c:v>
                </c:pt>
                <c:pt idx="156">
                  <c:v>46248</c:v>
                </c:pt>
                <c:pt idx="157">
                  <c:v>46255</c:v>
                </c:pt>
                <c:pt idx="158">
                  <c:v>46262</c:v>
                </c:pt>
                <c:pt idx="159">
                  <c:v>46269</c:v>
                </c:pt>
              </c:numCache>
            </c:numRef>
          </c:cat>
          <c:val>
            <c:numRef>
              <c:f>'Returns (Calc)'!$J$3:$J$500</c:f>
              <c:numCache>
                <c:formatCode>0.0%</c:formatCode>
                <c:ptCount val="498"/>
                <c:pt idx="0">
                  <c:v>-1.651688122419237E-2</c:v>
                </c:pt>
                <c:pt idx="1">
                  <c:v>9.7966576109327352E-3</c:v>
                </c:pt>
                <c:pt idx="2">
                  <c:v>1.5734550790803992E-2</c:v>
                </c:pt>
                <c:pt idx="3">
                  <c:v>-1.6935548599406047E-2</c:v>
                </c:pt>
                <c:pt idx="4">
                  <c:v>5.7152188112346014E-3</c:v>
                </c:pt>
                <c:pt idx="5">
                  <c:v>-7.3956811170644676E-2</c:v>
                </c:pt>
                <c:pt idx="6">
                  <c:v>-1.6305777154378864E-2</c:v>
                </c:pt>
                <c:pt idx="7">
                  <c:v>-2.9409143570091723E-2</c:v>
                </c:pt>
                <c:pt idx="8">
                  <c:v>6.7946010467359041E-3</c:v>
                </c:pt>
                <c:pt idx="9">
                  <c:v>-6.5845873233014163E-2</c:v>
                </c:pt>
                <c:pt idx="10">
                  <c:v>-4.9887728204627724E-2</c:v>
                </c:pt>
                <c:pt idx="11">
                  <c:v>9.4841759145088522E-2</c:v>
                </c:pt>
                <c:pt idx="12">
                  <c:v>-1.8770530267480101E-2</c:v>
                </c:pt>
                <c:pt idx="13">
                  <c:v>5.2797704447632654E-2</c:v>
                </c:pt>
                <c:pt idx="14">
                  <c:v>1.7534296356863877E-2</c:v>
                </c:pt>
                <c:pt idx="15">
                  <c:v>5.5892857142857189E-2</c:v>
                </c:pt>
                <c:pt idx="16">
                  <c:v>1.3444951801116156E-2</c:v>
                </c:pt>
                <c:pt idx="17">
                  <c:v>0.12023362536503956</c:v>
                </c:pt>
                <c:pt idx="18">
                  <c:v>-1.3853716669149252E-2</c:v>
                </c:pt>
                <c:pt idx="19">
                  <c:v>6.7975830815709681E-3</c:v>
                </c:pt>
                <c:pt idx="20">
                  <c:v>-2.0555138784696281E-2</c:v>
                </c:pt>
                <c:pt idx="21">
                  <c:v>7.5827205882352811E-3</c:v>
                </c:pt>
                <c:pt idx="22">
                  <c:v>-2.3641201064234285E-2</c:v>
                </c:pt>
                <c:pt idx="23">
                  <c:v>-1.2223606353160998E-2</c:v>
                </c:pt>
                <c:pt idx="24">
                  <c:v>1.875935997477729E-2</c:v>
                </c:pt>
                <c:pt idx="25">
                  <c:v>2.499032882011587E-2</c:v>
                </c:pt>
                <c:pt idx="26">
                  <c:v>6.8689613526569104E-3</c:v>
                </c:pt>
                <c:pt idx="27">
                  <c:v>-1.3494264937400358E-3</c:v>
                </c:pt>
                <c:pt idx="28">
                  <c:v>1.0434652053149085E-2</c:v>
                </c:pt>
                <c:pt idx="29">
                  <c:v>3.4918276374442669E-3</c:v>
                </c:pt>
                <c:pt idx="30">
                  <c:v>-4.4791589546161137E-2</c:v>
                </c:pt>
                <c:pt idx="31">
                  <c:v>-3.1002945279802185E-3</c:v>
                </c:pt>
                <c:pt idx="32">
                  <c:v>1.2439744985227819E-2</c:v>
                </c:pt>
                <c:pt idx="33">
                  <c:v>-4.2082629396406168E-2</c:v>
                </c:pt>
                <c:pt idx="34">
                  <c:v>-4.6015712682379362E-2</c:v>
                </c:pt>
                <c:pt idx="35">
                  <c:v>-0.13033613445378156</c:v>
                </c:pt>
                <c:pt idx="36">
                  <c:v>5.5077785293264903E-3</c:v>
                </c:pt>
                <c:pt idx="37">
                  <c:v>1.7586008072266068E-2</c:v>
                </c:pt>
                <c:pt idx="38">
                  <c:v>1.5110019831900967E-2</c:v>
                </c:pt>
                <c:pt idx="39">
                  <c:v>3.7305795887989657E-2</c:v>
                </c:pt>
                <c:pt idx="40">
                  <c:v>-6.0538116591928204E-2</c:v>
                </c:pt>
                <c:pt idx="41">
                  <c:v>5.4797136038186034E-2</c:v>
                </c:pt>
                <c:pt idx="42">
                  <c:v>-2.624671916010457E-3</c:v>
                </c:pt>
                <c:pt idx="43">
                  <c:v>1.8965517241379404E-2</c:v>
                </c:pt>
                <c:pt idx="44">
                  <c:v>-2.5736931160388332E-2</c:v>
                </c:pt>
                <c:pt idx="45">
                  <c:v>2.6599634369286917E-2</c:v>
                </c:pt>
                <c:pt idx="46">
                  <c:v>1.9143442258035659E-2</c:v>
                </c:pt>
                <c:pt idx="47">
                  <c:v>4.9711689673248349E-2</c:v>
                </c:pt>
                <c:pt idx="48">
                  <c:v>2.9962546816479252E-2</c:v>
                </c:pt>
                <c:pt idx="49">
                  <c:v>-8.6464646464645689E-3</c:v>
                </c:pt>
                <c:pt idx="50">
                  <c:v>1.0596674274535367E-2</c:v>
                </c:pt>
                <c:pt idx="51">
                  <c:v>-1.677689949991934E-2</c:v>
                </c:pt>
                <c:pt idx="52">
                  <c:v>7.7932731747332173E-3</c:v>
                </c:pt>
                <c:pt idx="53">
                  <c:v>4.8921448921449118E-2</c:v>
                </c:pt>
                <c:pt idx="54">
                  <c:v>-8.0707744839362272E-3</c:v>
                </c:pt>
                <c:pt idx="55">
                  <c:v>-4.6158660616490987E-3</c:v>
                </c:pt>
                <c:pt idx="56">
                  <c:v>2.1614399119704419E-2</c:v>
                </c:pt>
                <c:pt idx="57">
                  <c:v>-3.4697645791660237E-2</c:v>
                </c:pt>
                <c:pt idx="58">
                  <c:v>9.5640392125617701E-4</c:v>
                </c:pt>
                <c:pt idx="59">
                  <c:v>-2.5240863126045121E-2</c:v>
                </c:pt>
                <c:pt idx="60">
                  <c:v>-1.7807547786309441E-2</c:v>
                </c:pt>
                <c:pt idx="61">
                  <c:v>1.8795741849634062E-2</c:v>
                </c:pt>
                <c:pt idx="62">
                  <c:v>-4.0489795918367322E-2</c:v>
                </c:pt>
                <c:pt idx="63">
                  <c:v>-3.5222052067381271E-2</c:v>
                </c:pt>
                <c:pt idx="64">
                  <c:v>2.1428571428571352E-2</c:v>
                </c:pt>
                <c:pt idx="65">
                  <c:v>-2.0806354139687455E-2</c:v>
                </c:pt>
                <c:pt idx="66">
                  <c:v>2.0983953447363701E-2</c:v>
                </c:pt>
                <c:pt idx="67">
                  <c:v>8.4628670120898697E-3</c:v>
                </c:pt>
                <c:pt idx="68">
                  <c:v>-4.0931666381229692E-2</c:v>
                </c:pt>
                <c:pt idx="69">
                  <c:v>-7.7678571428572152E-3</c:v>
                </c:pt>
                <c:pt idx="70">
                  <c:v>-7.0278052731035712E-2</c:v>
                </c:pt>
                <c:pt idx="71">
                  <c:v>1.8583042973286945E-2</c:v>
                </c:pt>
                <c:pt idx="72">
                  <c:v>3.7058152793614241E-3</c:v>
                </c:pt>
                <c:pt idx="73">
                  <c:v>-1.9312695257029167E-2</c:v>
                </c:pt>
                <c:pt idx="74">
                  <c:v>5.6858770151559046E-2</c:v>
                </c:pt>
                <c:pt idx="75">
                  <c:v>8.6317135549872193E-2</c:v>
                </c:pt>
                <c:pt idx="76">
                  <c:v>2.6906583704700004E-3</c:v>
                </c:pt>
                <c:pt idx="77">
                  <c:v>-1.5932914046121627E-2</c:v>
                </c:pt>
                <c:pt idx="78">
                  <c:v>2.9825308904985137E-2</c:v>
                </c:pt>
                <c:pt idx="79">
                  <c:v>9.9296648738111948E-4</c:v>
                </c:pt>
                <c:pt idx="80">
                  <c:v>2.4386211457386064E-2</c:v>
                </c:pt>
                <c:pt idx="81">
                  <c:v>-3.2359586830213116E-2</c:v>
                </c:pt>
                <c:pt idx="82">
                  <c:v>-6.6883495955299743E-2</c:v>
                </c:pt>
                <c:pt idx="83">
                  <c:v>-3.1012601662346984E-2</c:v>
                </c:pt>
                <c:pt idx="84">
                  <c:v>1.8723482752259768E-2</c:v>
                </c:pt>
                <c:pt idx="85">
                  <c:v>-0.11063829787234036</c:v>
                </c:pt>
                <c:pt idx="86">
                  <c:v>-2.0360378703043858E-2</c:v>
                </c:pt>
                <c:pt idx="87">
                  <c:v>6.0999688246908379E-2</c:v>
                </c:pt>
                <c:pt idx="88">
                  <c:v>1.3712047012732764E-3</c:v>
                </c:pt>
                <c:pt idx="89">
                  <c:v>3.1005477308294171E-2</c:v>
                </c:pt>
                <c:pt idx="90">
                  <c:v>1.4230148942225629E-2</c:v>
                </c:pt>
                <c:pt idx="91">
                  <c:v>3.4047329529510728E-2</c:v>
                </c:pt>
                <c:pt idx="92">
                  <c:v>-5.8887381275440909E-2</c:v>
                </c:pt>
                <c:pt idx="93">
                  <c:v>4.3829296424451991E-2</c:v>
                </c:pt>
                <c:pt idx="94">
                  <c:v>1.7495395948434744E-3</c:v>
                </c:pt>
                <c:pt idx="95">
                  <c:v>-1.3879952201489187E-2</c:v>
                </c:pt>
                <c:pt idx="96">
                  <c:v>-1.4821029082774051E-2</c:v>
                </c:pt>
                <c:pt idx="97">
                  <c:v>-6.6231431545082931E-4</c:v>
                </c:pt>
                <c:pt idx="98">
                  <c:v>2.2722969134633564E-2</c:v>
                </c:pt>
                <c:pt idx="99">
                  <c:v>1.0646176633956728E-2</c:v>
                </c:pt>
                <c:pt idx="100">
                  <c:v>-2.1892461298891663E-2</c:v>
                </c:pt>
                <c:pt idx="101">
                  <c:v>3.2871324218018305E-2</c:v>
                </c:pt>
                <c:pt idx="102">
                  <c:v>-4.8780487804878092E-2</c:v>
                </c:pt>
                <c:pt idx="103">
                  <c:v>7.3396244399963617E-3</c:v>
                </c:pt>
                <c:pt idx="104">
                  <c:v>8.6109008327024394E-3</c:v>
                </c:pt>
                <c:pt idx="105">
                  <c:v>5.3382118397598211E-2</c:v>
                </c:pt>
                <c:pt idx="106">
                  <c:v>1.3359458496615684E-2</c:v>
                </c:pt>
                <c:pt idx="107">
                  <c:v>-1.1425558094567689E-3</c:v>
                </c:pt>
                <c:pt idx="108">
                  <c:v>1.4958205015398018E-2</c:v>
                </c:pt>
                <c:pt idx="109">
                  <c:v>-1.5951452102297314E-2</c:v>
                </c:pt>
                <c:pt idx="110">
                  <c:v>5.9906616157165971E-3</c:v>
                </c:pt>
                <c:pt idx="111">
                  <c:v>2.513354934757861E-2</c:v>
                </c:pt>
                <c:pt idx="112">
                  <c:v>-4.9803519562617415E-2</c:v>
                </c:pt>
                <c:pt idx="113">
                  <c:v>0.11552638676616023</c:v>
                </c:pt>
                <c:pt idx="114">
                  <c:v>1.8939393939394034E-2</c:v>
                </c:pt>
                <c:pt idx="115">
                  <c:v>-1.8508265443328398E-2</c:v>
                </c:pt>
                <c:pt idx="116">
                  <c:v>1.2168587315657842E-2</c:v>
                </c:pt>
                <c:pt idx="117">
                  <c:v>-2.2054140127388489E-2</c:v>
                </c:pt>
                <c:pt idx="118">
                  <c:v>2.4098347309289281E-2</c:v>
                </c:pt>
                <c:pt idx="119">
                  <c:v>2.1782335638762973E-2</c:v>
                </c:pt>
                <c:pt idx="120">
                  <c:v>-4.2791566171321849E-3</c:v>
                </c:pt>
                <c:pt idx="121">
                  <c:v>1.7190185966557303E-2</c:v>
                </c:pt>
                <c:pt idx="122">
                  <c:v>-2.2660931018589681E-2</c:v>
                </c:pt>
                <c:pt idx="123">
                  <c:v>1.1632476617150056E-2</c:v>
                </c:pt>
                <c:pt idx="124">
                  <c:v>2.6415973894802214E-3</c:v>
                </c:pt>
                <c:pt idx="125">
                  <c:v>2.7121270825261057E-3</c:v>
                </c:pt>
                <c:pt idx="126">
                  <c:v>2.9443585780525527E-2</c:v>
                </c:pt>
                <c:pt idx="127">
                  <c:v>-4.5492080174161065E-2</c:v>
                </c:pt>
                <c:pt idx="128">
                  <c:v>2.6818718049547829E-2</c:v>
                </c:pt>
                <c:pt idx="129">
                  <c:v>4.8943014705882248E-2</c:v>
                </c:pt>
                <c:pt idx="130">
                  <c:v>1.4749908725812499E-2</c:v>
                </c:pt>
                <c:pt idx="131">
                  <c:v>1.8277326041591602E-2</c:v>
                </c:pt>
                <c:pt idx="132">
                  <c:v>7.4906367041198685E-3</c:v>
                </c:pt>
                <c:pt idx="133">
                  <c:v>-5.6323209651399364E-2</c:v>
                </c:pt>
                <c:pt idx="134">
                  <c:v>-2.0737327188940058E-2</c:v>
                </c:pt>
                <c:pt idx="135">
                  <c:v>-2.8387096774193599E-2</c:v>
                </c:pt>
                <c:pt idx="136">
                  <c:v>6.9525818295446129E-3</c:v>
                </c:pt>
                <c:pt idx="137">
                  <c:v>3.7781225756400305E-2</c:v>
                </c:pt>
                <c:pt idx="138">
                  <c:v>2.5566270464229657E-2</c:v>
                </c:pt>
                <c:pt idx="139">
                  <c:v>5.7657263648954071E-2</c:v>
                </c:pt>
                <c:pt idx="140">
                  <c:v>-2.0675396278428626E-2</c:v>
                </c:pt>
                <c:pt idx="141">
                  <c:v>-4.8557353976073081E-3</c:v>
                </c:pt>
                <c:pt idx="142">
                  <c:v>1.8951983593805233E-2</c:v>
                </c:pt>
                <c:pt idx="143">
                  <c:v>-2.4706780484419433E-2</c:v>
                </c:pt>
                <c:pt idx="144">
                  <c:v>3.8212481320714531E-2</c:v>
                </c:pt>
                <c:pt idx="145">
                  <c:v>-1.6655243317340696E-2</c:v>
                </c:pt>
                <c:pt idx="146">
                  <c:v>7.4580051578727602E-3</c:v>
                </c:pt>
                <c:pt idx="147">
                  <c:v>2.9057700290577193E-2</c:v>
                </c:pt>
                <c:pt idx="148">
                  <c:v>-5.5129756622294024E-2</c:v>
                </c:pt>
                <c:pt idx="149">
                  <c:v>-4.0557848299416221E-3</c:v>
                </c:pt>
                <c:pt idx="150">
                  <c:v>-3.8579695649066936E-3</c:v>
                </c:pt>
                <c:pt idx="151">
                  <c:v>1.0327763035214765E-2</c:v>
                </c:pt>
                <c:pt idx="152">
                  <c:v>6.3320792219776934E-2</c:v>
                </c:pt>
                <c:pt idx="153">
                  <c:v>-1.4420188263568945E-2</c:v>
                </c:pt>
                <c:pt idx="154">
                  <c:v>-2.0456546772336104E-2</c:v>
                </c:pt>
                <c:pt idx="155">
                  <c:v>-3.0772422377429054E-2</c:v>
                </c:pt>
                <c:pt idx="156">
                  <c:v>6.2071917808219634E-3</c:v>
                </c:pt>
                <c:pt idx="157">
                  <c:v>5.4598312415798933E-3</c:v>
                </c:pt>
                <c:pt idx="158">
                  <c:v>-7.7574047954868108E-3</c:v>
                </c:pt>
                <c:pt idx="159">
                  <c:v>-2.3880597014925287E-2</c:v>
                </c:pt>
              </c:numCache>
            </c:numRef>
          </c:val>
          <c:extLst>
            <c:ext xmlns:c16="http://schemas.microsoft.com/office/drawing/2014/chart" uri="{C3380CC4-5D6E-409C-BE32-E72D297353CC}">
              <c16:uniqueId val="{00000000-0FA8-4235-85AC-94C4903D279D}"/>
            </c:ext>
          </c:extLst>
        </c:ser>
        <c:dLbls>
          <c:showLegendKey val="0"/>
          <c:showVal val="0"/>
          <c:showCatName val="0"/>
          <c:showSerName val="0"/>
          <c:showPercent val="0"/>
          <c:showBubbleSize val="0"/>
        </c:dLbls>
        <c:gapWidth val="150"/>
        <c:axId val="48410527"/>
        <c:axId val="53764002"/>
      </c:barChart>
      <c:lineChart>
        <c:grouping val="standard"/>
        <c:varyColors val="0"/>
        <c:ser>
          <c:idx val="1"/>
          <c:order val="1"/>
          <c:tx>
            <c:strRef>
              <c:f>'Returns (Calc)'!$AE$2</c:f>
              <c:strCache>
                <c:ptCount val="1"/>
                <c:pt idx="0">
                  <c:v>PLD trend</c:v>
                </c:pt>
              </c:strCache>
            </c:strRef>
          </c:tx>
          <c:spPr>
            <a:ln w="201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45156</c:v>
                </c:pt>
                <c:pt idx="1">
                  <c:v>45163</c:v>
                </c:pt>
                <c:pt idx="2">
                  <c:v>45170</c:v>
                </c:pt>
                <c:pt idx="3">
                  <c:v>45177</c:v>
                </c:pt>
                <c:pt idx="4">
                  <c:v>45184</c:v>
                </c:pt>
                <c:pt idx="5">
                  <c:v>45191</c:v>
                </c:pt>
                <c:pt idx="6">
                  <c:v>45198</c:v>
                </c:pt>
                <c:pt idx="7">
                  <c:v>45205</c:v>
                </c:pt>
                <c:pt idx="8">
                  <c:v>45212</c:v>
                </c:pt>
                <c:pt idx="9">
                  <c:v>45219</c:v>
                </c:pt>
                <c:pt idx="10">
                  <c:v>45226</c:v>
                </c:pt>
                <c:pt idx="11">
                  <c:v>45233</c:v>
                </c:pt>
                <c:pt idx="12">
                  <c:v>45240</c:v>
                </c:pt>
                <c:pt idx="13">
                  <c:v>45247</c:v>
                </c:pt>
                <c:pt idx="14">
                  <c:v>45254</c:v>
                </c:pt>
                <c:pt idx="15">
                  <c:v>45261</c:v>
                </c:pt>
                <c:pt idx="16">
                  <c:v>45268</c:v>
                </c:pt>
                <c:pt idx="17">
                  <c:v>45275</c:v>
                </c:pt>
                <c:pt idx="18">
                  <c:v>45282</c:v>
                </c:pt>
                <c:pt idx="19">
                  <c:v>45289</c:v>
                </c:pt>
                <c:pt idx="20">
                  <c:v>45296</c:v>
                </c:pt>
                <c:pt idx="21">
                  <c:v>45303</c:v>
                </c:pt>
                <c:pt idx="22">
                  <c:v>45310</c:v>
                </c:pt>
                <c:pt idx="23">
                  <c:v>45317</c:v>
                </c:pt>
                <c:pt idx="24">
                  <c:v>45324</c:v>
                </c:pt>
                <c:pt idx="25">
                  <c:v>45331</c:v>
                </c:pt>
                <c:pt idx="26">
                  <c:v>45338</c:v>
                </c:pt>
                <c:pt idx="27">
                  <c:v>45345</c:v>
                </c:pt>
                <c:pt idx="28">
                  <c:v>45352</c:v>
                </c:pt>
                <c:pt idx="29">
                  <c:v>45359</c:v>
                </c:pt>
                <c:pt idx="30">
                  <c:v>45366</c:v>
                </c:pt>
                <c:pt idx="31">
                  <c:v>45373</c:v>
                </c:pt>
                <c:pt idx="32">
                  <c:v>45379</c:v>
                </c:pt>
                <c:pt idx="33">
                  <c:v>45387</c:v>
                </c:pt>
                <c:pt idx="34">
                  <c:v>45394</c:v>
                </c:pt>
                <c:pt idx="35">
                  <c:v>45401</c:v>
                </c:pt>
                <c:pt idx="36">
                  <c:v>45408</c:v>
                </c:pt>
                <c:pt idx="37">
                  <c:v>45415</c:v>
                </c:pt>
                <c:pt idx="38">
                  <c:v>45422</c:v>
                </c:pt>
                <c:pt idx="39">
                  <c:v>45429</c:v>
                </c:pt>
                <c:pt idx="40">
                  <c:v>45436</c:v>
                </c:pt>
                <c:pt idx="41">
                  <c:v>45443</c:v>
                </c:pt>
                <c:pt idx="42">
                  <c:v>45450</c:v>
                </c:pt>
                <c:pt idx="43">
                  <c:v>45457</c:v>
                </c:pt>
                <c:pt idx="44">
                  <c:v>45464</c:v>
                </c:pt>
                <c:pt idx="45">
                  <c:v>45471</c:v>
                </c:pt>
                <c:pt idx="46">
                  <c:v>45478</c:v>
                </c:pt>
                <c:pt idx="47">
                  <c:v>45485</c:v>
                </c:pt>
                <c:pt idx="48">
                  <c:v>45492</c:v>
                </c:pt>
                <c:pt idx="49">
                  <c:v>45499</c:v>
                </c:pt>
                <c:pt idx="50">
                  <c:v>45506</c:v>
                </c:pt>
                <c:pt idx="51">
                  <c:v>45513</c:v>
                </c:pt>
                <c:pt idx="52">
                  <c:v>45520</c:v>
                </c:pt>
                <c:pt idx="53">
                  <c:v>45527</c:v>
                </c:pt>
                <c:pt idx="54">
                  <c:v>45534</c:v>
                </c:pt>
                <c:pt idx="55">
                  <c:v>45541</c:v>
                </c:pt>
                <c:pt idx="56">
                  <c:v>45548</c:v>
                </c:pt>
                <c:pt idx="57">
                  <c:v>45555</c:v>
                </c:pt>
                <c:pt idx="58">
                  <c:v>45562</c:v>
                </c:pt>
                <c:pt idx="59">
                  <c:v>45569</c:v>
                </c:pt>
                <c:pt idx="60">
                  <c:v>45576</c:v>
                </c:pt>
                <c:pt idx="61">
                  <c:v>45583</c:v>
                </c:pt>
                <c:pt idx="62">
                  <c:v>45590</c:v>
                </c:pt>
                <c:pt idx="63">
                  <c:v>45597</c:v>
                </c:pt>
                <c:pt idx="64">
                  <c:v>45604</c:v>
                </c:pt>
                <c:pt idx="65">
                  <c:v>45611</c:v>
                </c:pt>
                <c:pt idx="66">
                  <c:v>45618</c:v>
                </c:pt>
                <c:pt idx="67">
                  <c:v>45625</c:v>
                </c:pt>
                <c:pt idx="68">
                  <c:v>45632</c:v>
                </c:pt>
                <c:pt idx="69">
                  <c:v>45639</c:v>
                </c:pt>
                <c:pt idx="70">
                  <c:v>45646</c:v>
                </c:pt>
                <c:pt idx="71">
                  <c:v>45653</c:v>
                </c:pt>
                <c:pt idx="72">
                  <c:v>45660</c:v>
                </c:pt>
                <c:pt idx="73">
                  <c:v>45667</c:v>
                </c:pt>
                <c:pt idx="74">
                  <c:v>45674</c:v>
                </c:pt>
                <c:pt idx="75">
                  <c:v>45681</c:v>
                </c:pt>
                <c:pt idx="76">
                  <c:v>45688</c:v>
                </c:pt>
                <c:pt idx="77">
                  <c:v>45695</c:v>
                </c:pt>
                <c:pt idx="78">
                  <c:v>45702</c:v>
                </c:pt>
                <c:pt idx="79">
                  <c:v>45709</c:v>
                </c:pt>
                <c:pt idx="80">
                  <c:v>45716</c:v>
                </c:pt>
                <c:pt idx="81">
                  <c:v>45723</c:v>
                </c:pt>
                <c:pt idx="82">
                  <c:v>45730</c:v>
                </c:pt>
                <c:pt idx="83">
                  <c:v>45737</c:v>
                </c:pt>
                <c:pt idx="84">
                  <c:v>45744</c:v>
                </c:pt>
                <c:pt idx="85">
                  <c:v>45751</c:v>
                </c:pt>
                <c:pt idx="86">
                  <c:v>45758</c:v>
                </c:pt>
                <c:pt idx="87">
                  <c:v>45764</c:v>
                </c:pt>
                <c:pt idx="88">
                  <c:v>45772</c:v>
                </c:pt>
                <c:pt idx="89">
                  <c:v>45779</c:v>
                </c:pt>
                <c:pt idx="90">
                  <c:v>45786</c:v>
                </c:pt>
                <c:pt idx="91">
                  <c:v>45793</c:v>
                </c:pt>
                <c:pt idx="92">
                  <c:v>45800</c:v>
                </c:pt>
                <c:pt idx="93">
                  <c:v>45807</c:v>
                </c:pt>
                <c:pt idx="94">
                  <c:v>45814</c:v>
                </c:pt>
                <c:pt idx="95">
                  <c:v>45821</c:v>
                </c:pt>
                <c:pt idx="96">
                  <c:v>45828</c:v>
                </c:pt>
                <c:pt idx="97">
                  <c:v>45835</c:v>
                </c:pt>
                <c:pt idx="98">
                  <c:v>45841</c:v>
                </c:pt>
                <c:pt idx="99">
                  <c:v>45849</c:v>
                </c:pt>
                <c:pt idx="100">
                  <c:v>45856</c:v>
                </c:pt>
                <c:pt idx="101">
                  <c:v>45863</c:v>
                </c:pt>
                <c:pt idx="102">
                  <c:v>45870</c:v>
                </c:pt>
                <c:pt idx="103">
                  <c:v>45877</c:v>
                </c:pt>
                <c:pt idx="104">
                  <c:v>45884</c:v>
                </c:pt>
                <c:pt idx="105">
                  <c:v>45891</c:v>
                </c:pt>
                <c:pt idx="106">
                  <c:v>45898</c:v>
                </c:pt>
                <c:pt idx="107">
                  <c:v>45905</c:v>
                </c:pt>
                <c:pt idx="108">
                  <c:v>45912</c:v>
                </c:pt>
                <c:pt idx="109">
                  <c:v>45919</c:v>
                </c:pt>
                <c:pt idx="110">
                  <c:v>45926</c:v>
                </c:pt>
                <c:pt idx="111">
                  <c:v>45933</c:v>
                </c:pt>
                <c:pt idx="112">
                  <c:v>45940</c:v>
                </c:pt>
                <c:pt idx="113">
                  <c:v>45947</c:v>
                </c:pt>
                <c:pt idx="114">
                  <c:v>45954</c:v>
                </c:pt>
                <c:pt idx="115">
                  <c:v>45961</c:v>
                </c:pt>
                <c:pt idx="116">
                  <c:v>45968</c:v>
                </c:pt>
                <c:pt idx="117">
                  <c:v>45975</c:v>
                </c:pt>
                <c:pt idx="118">
                  <c:v>45982</c:v>
                </c:pt>
                <c:pt idx="119">
                  <c:v>45989</c:v>
                </c:pt>
                <c:pt idx="120">
                  <c:v>45996</c:v>
                </c:pt>
                <c:pt idx="121">
                  <c:v>46003</c:v>
                </c:pt>
                <c:pt idx="122">
                  <c:v>46010</c:v>
                </c:pt>
                <c:pt idx="123">
                  <c:v>46017</c:v>
                </c:pt>
                <c:pt idx="124">
                  <c:v>46024</c:v>
                </c:pt>
                <c:pt idx="125">
                  <c:v>46031</c:v>
                </c:pt>
                <c:pt idx="126">
                  <c:v>46038</c:v>
                </c:pt>
                <c:pt idx="127">
                  <c:v>46045</c:v>
                </c:pt>
                <c:pt idx="128">
                  <c:v>46052</c:v>
                </c:pt>
                <c:pt idx="129">
                  <c:v>46059</c:v>
                </c:pt>
                <c:pt idx="130">
                  <c:v>46066</c:v>
                </c:pt>
                <c:pt idx="131">
                  <c:v>46073</c:v>
                </c:pt>
                <c:pt idx="132">
                  <c:v>46080</c:v>
                </c:pt>
                <c:pt idx="133">
                  <c:v>46087</c:v>
                </c:pt>
                <c:pt idx="134">
                  <c:v>46094</c:v>
                </c:pt>
                <c:pt idx="135">
                  <c:v>46101</c:v>
                </c:pt>
                <c:pt idx="136">
                  <c:v>46108</c:v>
                </c:pt>
                <c:pt idx="137">
                  <c:v>46114</c:v>
                </c:pt>
                <c:pt idx="138">
                  <c:v>46122</c:v>
                </c:pt>
                <c:pt idx="139">
                  <c:v>46129</c:v>
                </c:pt>
                <c:pt idx="140">
                  <c:v>46136</c:v>
                </c:pt>
                <c:pt idx="141">
                  <c:v>46143</c:v>
                </c:pt>
                <c:pt idx="142">
                  <c:v>46150</c:v>
                </c:pt>
                <c:pt idx="143">
                  <c:v>46157</c:v>
                </c:pt>
                <c:pt idx="144">
                  <c:v>46164</c:v>
                </c:pt>
                <c:pt idx="145">
                  <c:v>46171</c:v>
                </c:pt>
                <c:pt idx="146">
                  <c:v>46178</c:v>
                </c:pt>
                <c:pt idx="147">
                  <c:v>46185</c:v>
                </c:pt>
                <c:pt idx="148">
                  <c:v>46191</c:v>
                </c:pt>
                <c:pt idx="149">
                  <c:v>46199</c:v>
                </c:pt>
                <c:pt idx="150">
                  <c:v>46205</c:v>
                </c:pt>
                <c:pt idx="151">
                  <c:v>46213</c:v>
                </c:pt>
                <c:pt idx="152">
                  <c:v>46220</c:v>
                </c:pt>
                <c:pt idx="153">
                  <c:v>46227</c:v>
                </c:pt>
                <c:pt idx="154">
                  <c:v>46234</c:v>
                </c:pt>
                <c:pt idx="155">
                  <c:v>46241</c:v>
                </c:pt>
                <c:pt idx="156">
                  <c:v>46248</c:v>
                </c:pt>
                <c:pt idx="157">
                  <c:v>46255</c:v>
                </c:pt>
                <c:pt idx="158">
                  <c:v>46262</c:v>
                </c:pt>
                <c:pt idx="159">
                  <c:v>46269</c:v>
                </c:pt>
              </c:numCache>
            </c:numRef>
          </c:cat>
          <c:val>
            <c:numRef>
              <c:f>'Returns (Calc)'!$AE$3:$AE$500</c:f>
              <c:numCache>
                <c:formatCode>#,##0.00</c:formatCode>
                <c:ptCount val="498"/>
                <c:pt idx="0">
                  <c:v>123.51</c:v>
                </c:pt>
                <c:pt idx="1">
                  <c:v>122.73320754716981</c:v>
                </c:pt>
                <c:pt idx="2">
                  <c:v>121.95641509433963</c:v>
                </c:pt>
                <c:pt idx="3">
                  <c:v>121.17962264150944</c:v>
                </c:pt>
                <c:pt idx="4">
                  <c:v>120.40283018867925</c:v>
                </c:pt>
                <c:pt idx="5">
                  <c:v>119.62603773584907</c:v>
                </c:pt>
                <c:pt idx="6">
                  <c:v>118.84924528301887</c:v>
                </c:pt>
                <c:pt idx="7">
                  <c:v>118.07245283018868</c:v>
                </c:pt>
                <c:pt idx="8">
                  <c:v>117.2956603773585</c:v>
                </c:pt>
                <c:pt idx="9">
                  <c:v>116.51886792452831</c:v>
                </c:pt>
                <c:pt idx="10">
                  <c:v>115.74207547169812</c:v>
                </c:pt>
                <c:pt idx="11">
                  <c:v>114.96528301886792</c:v>
                </c:pt>
                <c:pt idx="12">
                  <c:v>114.18849056603774</c:v>
                </c:pt>
                <c:pt idx="13">
                  <c:v>113.41169811320755</c:v>
                </c:pt>
                <c:pt idx="14">
                  <c:v>112.63490566037737</c:v>
                </c:pt>
                <c:pt idx="15">
                  <c:v>111.85811320754718</c:v>
                </c:pt>
                <c:pt idx="16">
                  <c:v>111.08132075471698</c:v>
                </c:pt>
                <c:pt idx="17">
                  <c:v>110.30452830188679</c:v>
                </c:pt>
                <c:pt idx="18">
                  <c:v>109.52773584905661</c:v>
                </c:pt>
                <c:pt idx="19">
                  <c:v>108.75094339622642</c:v>
                </c:pt>
                <c:pt idx="20">
                  <c:v>107.97415094339622</c:v>
                </c:pt>
                <c:pt idx="21">
                  <c:v>107.19735849056605</c:v>
                </c:pt>
                <c:pt idx="22">
                  <c:v>106.42056603773585</c:v>
                </c:pt>
                <c:pt idx="23">
                  <c:v>105.64377358490566</c:v>
                </c:pt>
                <c:pt idx="24">
                  <c:v>104.86698113207548</c:v>
                </c:pt>
                <c:pt idx="25">
                  <c:v>104.09018867924529</c:v>
                </c:pt>
                <c:pt idx="26">
                  <c:v>103.31339622641509</c:v>
                </c:pt>
                <c:pt idx="27">
                  <c:v>102.53660377358491</c:v>
                </c:pt>
                <c:pt idx="28">
                  <c:v>101.75981132075472</c:v>
                </c:pt>
                <c:pt idx="29">
                  <c:v>100.98301886792453</c:v>
                </c:pt>
                <c:pt idx="30">
                  <c:v>100.20622641509433</c:v>
                </c:pt>
                <c:pt idx="31">
                  <c:v>99.429433962264156</c:v>
                </c:pt>
                <c:pt idx="32">
                  <c:v>98.652641509433963</c:v>
                </c:pt>
                <c:pt idx="33">
                  <c:v>97.875849056603784</c:v>
                </c:pt>
                <c:pt idx="34">
                  <c:v>97.09905660377359</c:v>
                </c:pt>
                <c:pt idx="35">
                  <c:v>96.322264150943397</c:v>
                </c:pt>
                <c:pt idx="36">
                  <c:v>95.545471698113204</c:v>
                </c:pt>
                <c:pt idx="37">
                  <c:v>94.768679245283025</c:v>
                </c:pt>
                <c:pt idx="38">
                  <c:v>93.991886792452831</c:v>
                </c:pt>
                <c:pt idx="39">
                  <c:v>93.215094339622652</c:v>
                </c:pt>
                <c:pt idx="40">
                  <c:v>92.438301886792459</c:v>
                </c:pt>
                <c:pt idx="41">
                  <c:v>91.661509433962266</c:v>
                </c:pt>
                <c:pt idx="42">
                  <c:v>90.884716981132073</c:v>
                </c:pt>
                <c:pt idx="43">
                  <c:v>90.107924528301893</c:v>
                </c:pt>
                <c:pt idx="44">
                  <c:v>89.3311320754717</c:v>
                </c:pt>
                <c:pt idx="45">
                  <c:v>88.554339622641521</c:v>
                </c:pt>
                <c:pt idx="46">
                  <c:v>87.777547169811328</c:v>
                </c:pt>
                <c:pt idx="47">
                  <c:v>87.000754716981135</c:v>
                </c:pt>
                <c:pt idx="48">
                  <c:v>86.223962264150941</c:v>
                </c:pt>
                <c:pt idx="49">
                  <c:v>85.447169811320748</c:v>
                </c:pt>
                <c:pt idx="50">
                  <c:v>84.670377358490569</c:v>
                </c:pt>
                <c:pt idx="51">
                  <c:v>83.89358490566039</c:v>
                </c:pt>
                <c:pt idx="52">
                  <c:v>83.116792452830197</c:v>
                </c:pt>
                <c:pt idx="53">
                  <c:v>82.34</c:v>
                </c:pt>
                <c:pt idx="54">
                  <c:v>81.56320754716981</c:v>
                </c:pt>
                <c:pt idx="55">
                  <c:v>80.786415094339617</c:v>
                </c:pt>
                <c:pt idx="56">
                  <c:v>80.009622641509438</c:v>
                </c:pt>
                <c:pt idx="57">
                  <c:v>79.232830188679245</c:v>
                </c:pt>
                <c:pt idx="58">
                  <c:v>78.456037735849065</c:v>
                </c:pt>
                <c:pt idx="59">
                  <c:v>77.679245283018872</c:v>
                </c:pt>
                <c:pt idx="60">
                  <c:v>76.902452830188679</c:v>
                </c:pt>
                <c:pt idx="61">
                  <c:v>76.125660377358486</c:v>
                </c:pt>
                <c:pt idx="62">
                  <c:v>75.348867924528307</c:v>
                </c:pt>
                <c:pt idx="63">
                  <c:v>74.572075471698128</c:v>
                </c:pt>
                <c:pt idx="64">
                  <c:v>73.795283018867934</c:v>
                </c:pt>
                <c:pt idx="65">
                  <c:v>73.018490566037741</c:v>
                </c:pt>
                <c:pt idx="66">
                  <c:v>72.241698113207548</c:v>
                </c:pt>
                <c:pt idx="67">
                  <c:v>71.464905660377354</c:v>
                </c:pt>
                <c:pt idx="68">
                  <c:v>70.688113207547175</c:v>
                </c:pt>
                <c:pt idx="69">
                  <c:v>69.911320754716982</c:v>
                </c:pt>
                <c:pt idx="70">
                  <c:v>69.134528301886803</c:v>
                </c:pt>
                <c:pt idx="71">
                  <c:v>68.35773584905661</c:v>
                </c:pt>
                <c:pt idx="72">
                  <c:v>67.580943396226417</c:v>
                </c:pt>
                <c:pt idx="73">
                  <c:v>66.804150943396237</c:v>
                </c:pt>
                <c:pt idx="74">
                  <c:v>66.027358490566044</c:v>
                </c:pt>
                <c:pt idx="75">
                  <c:v>65.250566037735851</c:v>
                </c:pt>
                <c:pt idx="76">
                  <c:v>64.473773584905672</c:v>
                </c:pt>
                <c:pt idx="77">
                  <c:v>63.696981132075472</c:v>
                </c:pt>
                <c:pt idx="78">
                  <c:v>62.920188679245285</c:v>
                </c:pt>
                <c:pt idx="79">
                  <c:v>62.143396226415092</c:v>
                </c:pt>
                <c:pt idx="80">
                  <c:v>61.366603773584906</c:v>
                </c:pt>
                <c:pt idx="81">
                  <c:v>60.589811320754713</c:v>
                </c:pt>
                <c:pt idx="82">
                  <c:v>59.813018867924534</c:v>
                </c:pt>
                <c:pt idx="83">
                  <c:v>59.036226415094347</c:v>
                </c:pt>
                <c:pt idx="84">
                  <c:v>58.259433962264154</c:v>
                </c:pt>
                <c:pt idx="85">
                  <c:v>57.482641509433961</c:v>
                </c:pt>
                <c:pt idx="86">
                  <c:v>56.705849056603782</c:v>
                </c:pt>
                <c:pt idx="87">
                  <c:v>55.929056603773589</c:v>
                </c:pt>
                <c:pt idx="88">
                  <c:v>55.152264150943395</c:v>
                </c:pt>
                <c:pt idx="89">
                  <c:v>54.375471698113202</c:v>
                </c:pt>
                <c:pt idx="90">
                  <c:v>53.598679245283023</c:v>
                </c:pt>
                <c:pt idx="91">
                  <c:v>52.82188679245283</c:v>
                </c:pt>
                <c:pt idx="92">
                  <c:v>52.045094339622651</c:v>
                </c:pt>
                <c:pt idx="93">
                  <c:v>51.268301886792457</c:v>
                </c:pt>
                <c:pt idx="94">
                  <c:v>50.491509433962264</c:v>
                </c:pt>
                <c:pt idx="95">
                  <c:v>49.714716981132071</c:v>
                </c:pt>
                <c:pt idx="96">
                  <c:v>48.937924528301892</c:v>
                </c:pt>
                <c:pt idx="97">
                  <c:v>48.161132075471698</c:v>
                </c:pt>
                <c:pt idx="98">
                  <c:v>47.384339622641505</c:v>
                </c:pt>
                <c:pt idx="99">
                  <c:v>46.607547169811326</c:v>
                </c:pt>
                <c:pt idx="100">
                  <c:v>45.830754716981133</c:v>
                </c:pt>
                <c:pt idx="101">
                  <c:v>45.053962264150954</c:v>
                </c:pt>
                <c:pt idx="102">
                  <c:v>44.277169811320761</c:v>
                </c:pt>
                <c:pt idx="103">
                  <c:v>43.500377358490567</c:v>
                </c:pt>
                <c:pt idx="104">
                  <c:v>42.723584905660374</c:v>
                </c:pt>
                <c:pt idx="105">
                  <c:v>41.946792452830181</c:v>
                </c:pt>
                <c:pt idx="106">
                  <c:v>41.17</c:v>
                </c:pt>
                <c:pt idx="107">
                  <c:v>40.393207547169823</c:v>
                </c:pt>
                <c:pt idx="108">
                  <c:v>39.616415094339629</c:v>
                </c:pt>
                <c:pt idx="109">
                  <c:v>38.839622641509436</c:v>
                </c:pt>
                <c:pt idx="110">
                  <c:v>38.062830188679243</c:v>
                </c:pt>
                <c:pt idx="111">
                  <c:v>37.286037735849064</c:v>
                </c:pt>
                <c:pt idx="112">
                  <c:v>36.509245283018871</c:v>
                </c:pt>
                <c:pt idx="113">
                  <c:v>35.732452830188677</c:v>
                </c:pt>
                <c:pt idx="114">
                  <c:v>34.955660377358484</c:v>
                </c:pt>
                <c:pt idx="115">
                  <c:v>34.178867924528305</c:v>
                </c:pt>
                <c:pt idx="116">
                  <c:v>33.402075471698126</c:v>
                </c:pt>
                <c:pt idx="117">
                  <c:v>32.625283018867933</c:v>
                </c:pt>
                <c:pt idx="118">
                  <c:v>31.848490566037739</c:v>
                </c:pt>
                <c:pt idx="119">
                  <c:v>31.071698113207546</c:v>
                </c:pt>
                <c:pt idx="120">
                  <c:v>30.294905660377353</c:v>
                </c:pt>
                <c:pt idx="121">
                  <c:v>29.518113207547174</c:v>
                </c:pt>
                <c:pt idx="122">
                  <c:v>28.74132075471698</c:v>
                </c:pt>
                <c:pt idx="123">
                  <c:v>27.964528301886787</c:v>
                </c:pt>
                <c:pt idx="124">
                  <c:v>27.187735849056608</c:v>
                </c:pt>
                <c:pt idx="125">
                  <c:v>26.410943396226415</c:v>
                </c:pt>
                <c:pt idx="126">
                  <c:v>25.634150943396236</c:v>
                </c:pt>
                <c:pt idx="127">
                  <c:v>24.857358490566043</c:v>
                </c:pt>
                <c:pt idx="128">
                  <c:v>24.080566037735849</c:v>
                </c:pt>
                <c:pt idx="129">
                  <c:v>23.303773584905656</c:v>
                </c:pt>
                <c:pt idx="130">
                  <c:v>22.526981132075477</c:v>
                </c:pt>
                <c:pt idx="131">
                  <c:v>21.750188679245284</c:v>
                </c:pt>
                <c:pt idx="132">
                  <c:v>20.97339622641509</c:v>
                </c:pt>
                <c:pt idx="133">
                  <c:v>20.196603773584897</c:v>
                </c:pt>
                <c:pt idx="134">
                  <c:v>19.419811320754718</c:v>
                </c:pt>
                <c:pt idx="135">
                  <c:v>18.643018867924525</c:v>
                </c:pt>
                <c:pt idx="136">
                  <c:v>17.866226415094346</c:v>
                </c:pt>
                <c:pt idx="137">
                  <c:v>17.089433962264167</c:v>
                </c:pt>
                <c:pt idx="138">
                  <c:v>16.312641509433959</c:v>
                </c:pt>
                <c:pt idx="139">
                  <c:v>15.53584905660378</c:v>
                </c:pt>
                <c:pt idx="140">
                  <c:v>14.759056603773587</c:v>
                </c:pt>
                <c:pt idx="141">
                  <c:v>13.982264150943408</c:v>
                </c:pt>
                <c:pt idx="142">
                  <c:v>13.2054716981132</c:v>
                </c:pt>
                <c:pt idx="143">
                  <c:v>12.428679245283021</c:v>
                </c:pt>
                <c:pt idx="144">
                  <c:v>11.651886792452814</c:v>
                </c:pt>
                <c:pt idx="145">
                  <c:v>10.875094339622649</c:v>
                </c:pt>
                <c:pt idx="146">
                  <c:v>10.09830188679247</c:v>
                </c:pt>
                <c:pt idx="147">
                  <c:v>9.3215094339622624</c:v>
                </c:pt>
                <c:pt idx="148">
                  <c:v>8.5447169811320833</c:v>
                </c:pt>
                <c:pt idx="149">
                  <c:v>7.7679245283018759</c:v>
                </c:pt>
                <c:pt idx="150">
                  <c:v>6.9911320754716968</c:v>
                </c:pt>
                <c:pt idx="151">
                  <c:v>6.2143396226415035</c:v>
                </c:pt>
                <c:pt idx="152">
                  <c:v>5.4375471698113245</c:v>
                </c:pt>
                <c:pt idx="153">
                  <c:v>4.660754716981117</c:v>
                </c:pt>
                <c:pt idx="154">
                  <c:v>3.8839622641509379</c:v>
                </c:pt>
                <c:pt idx="155">
                  <c:v>3.1071698113207589</c:v>
                </c:pt>
                <c:pt idx="156">
                  <c:v>2.3303773584905656</c:v>
                </c:pt>
                <c:pt idx="157">
                  <c:v>1.5535849056603865</c:v>
                </c:pt>
                <c:pt idx="158">
                  <c:v>0.77679245283017906</c:v>
                </c:pt>
                <c:pt idx="159">
                  <c:v>0</c:v>
                </c:pt>
              </c:numCache>
            </c:numRef>
          </c:val>
          <c:smooth val="0"/>
          <c:extLst>
            <c:ext xmlns:c16="http://schemas.microsoft.com/office/drawing/2014/chart" uri="{C3380CC4-5D6E-409C-BE32-E72D297353CC}">
              <c16:uniqueId val="{00000001-0FA8-4235-85AC-94C4903D279D}"/>
            </c:ext>
          </c:extLst>
        </c:ser>
        <c:dLbls>
          <c:showLegendKey val="0"/>
          <c:showVal val="0"/>
          <c:showCatName val="0"/>
          <c:showSerName val="0"/>
          <c:showPercent val="0"/>
          <c:showBubbleSize val="0"/>
        </c:dLbls>
        <c:hiLowLines>
          <c:spPr>
            <a:ln w="0">
              <a:noFill/>
            </a:ln>
          </c:spPr>
        </c:hiLowLines>
        <c:marker val="1"/>
        <c:smooth val="0"/>
        <c:axId val="70088058"/>
        <c:axId val="1077162"/>
      </c:lineChart>
      <c:dateAx>
        <c:axId val="48410527"/>
        <c:scaling>
          <c:orientation val="minMax"/>
        </c:scaling>
        <c:delete val="1"/>
        <c:axPos val="b"/>
        <c:numFmt formatCode="mm/dd/yyyy" sourceLinked="1"/>
        <c:majorTickMark val="none"/>
        <c:minorTickMark val="none"/>
        <c:tickLblPos val="nextTo"/>
        <c:crossAx val="53764002"/>
        <c:crosses val="autoZero"/>
        <c:auto val="1"/>
        <c:lblOffset val="100"/>
        <c:baseTimeUnit val="days"/>
      </c:dateAx>
      <c:valAx>
        <c:axId val="53764002"/>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48410527"/>
        <c:crosses val="autoZero"/>
        <c:crossBetween val="between"/>
      </c:valAx>
      <c:dateAx>
        <c:axId val="70088058"/>
        <c:scaling>
          <c:orientation val="minMax"/>
        </c:scaling>
        <c:delete val="1"/>
        <c:axPos val="b"/>
        <c:numFmt formatCode="mm/dd/yyyy" sourceLinked="1"/>
        <c:majorTickMark val="none"/>
        <c:minorTickMark val="none"/>
        <c:tickLblPos val="nextTo"/>
        <c:crossAx val="1077162"/>
        <c:crosses val="autoZero"/>
        <c:auto val="1"/>
        <c:lblOffset val="100"/>
        <c:baseTimeUnit val="days"/>
      </c:dateAx>
      <c:valAx>
        <c:axId val="1077162"/>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70088058"/>
        <c:crosses val="max"/>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PLTR</a:t>
            </a:r>
          </a:p>
        </c:rich>
      </c:tx>
      <c:overlay val="0"/>
      <c:spPr>
        <a:noFill/>
        <a:ln w="0">
          <a:noFill/>
        </a:ln>
      </c:spPr>
    </c:title>
    <c:autoTitleDeleted val="0"/>
    <c:plotArea>
      <c:layout/>
      <c:barChart>
        <c:barDir val="col"/>
        <c:grouping val="clustered"/>
        <c:varyColors val="0"/>
        <c:ser>
          <c:idx val="0"/>
          <c:order val="0"/>
          <c:tx>
            <c:strRef>
              <c:f>'Returns (Calc)'!$K$2</c:f>
              <c:strCache>
                <c:ptCount val="1"/>
                <c:pt idx="0">
                  <c:v>PLTR</c:v>
                </c:pt>
              </c:strCache>
            </c:strRef>
          </c:tx>
          <c:spPr>
            <a:solidFill>
              <a:srgbClr val="4F81BD"/>
            </a:solidFill>
            <a:ln w="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45156</c:v>
                </c:pt>
                <c:pt idx="1">
                  <c:v>45163</c:v>
                </c:pt>
                <c:pt idx="2">
                  <c:v>45170</c:v>
                </c:pt>
                <c:pt idx="3">
                  <c:v>45177</c:v>
                </c:pt>
                <c:pt idx="4">
                  <c:v>45184</c:v>
                </c:pt>
                <c:pt idx="5">
                  <c:v>45191</c:v>
                </c:pt>
                <c:pt idx="6">
                  <c:v>45198</c:v>
                </c:pt>
                <c:pt idx="7">
                  <c:v>45205</c:v>
                </c:pt>
                <c:pt idx="8">
                  <c:v>45212</c:v>
                </c:pt>
                <c:pt idx="9">
                  <c:v>45219</c:v>
                </c:pt>
                <c:pt idx="10">
                  <c:v>45226</c:v>
                </c:pt>
                <c:pt idx="11">
                  <c:v>45233</c:v>
                </c:pt>
                <c:pt idx="12">
                  <c:v>45240</c:v>
                </c:pt>
                <c:pt idx="13">
                  <c:v>45247</c:v>
                </c:pt>
                <c:pt idx="14">
                  <c:v>45254</c:v>
                </c:pt>
                <c:pt idx="15">
                  <c:v>45261</c:v>
                </c:pt>
                <c:pt idx="16">
                  <c:v>45268</c:v>
                </c:pt>
                <c:pt idx="17">
                  <c:v>45275</c:v>
                </c:pt>
                <c:pt idx="18">
                  <c:v>45282</c:v>
                </c:pt>
                <c:pt idx="19">
                  <c:v>45289</c:v>
                </c:pt>
                <c:pt idx="20">
                  <c:v>45296</c:v>
                </c:pt>
                <c:pt idx="21">
                  <c:v>45303</c:v>
                </c:pt>
                <c:pt idx="22">
                  <c:v>45310</c:v>
                </c:pt>
                <c:pt idx="23">
                  <c:v>45317</c:v>
                </c:pt>
                <c:pt idx="24">
                  <c:v>45324</c:v>
                </c:pt>
                <c:pt idx="25">
                  <c:v>45331</c:v>
                </c:pt>
                <c:pt idx="26">
                  <c:v>45338</c:v>
                </c:pt>
                <c:pt idx="27">
                  <c:v>45345</c:v>
                </c:pt>
                <c:pt idx="28">
                  <c:v>45352</c:v>
                </c:pt>
                <c:pt idx="29">
                  <c:v>45359</c:v>
                </c:pt>
                <c:pt idx="30">
                  <c:v>45366</c:v>
                </c:pt>
                <c:pt idx="31">
                  <c:v>45373</c:v>
                </c:pt>
                <c:pt idx="32">
                  <c:v>45379</c:v>
                </c:pt>
                <c:pt idx="33">
                  <c:v>45387</c:v>
                </c:pt>
                <c:pt idx="34">
                  <c:v>45394</c:v>
                </c:pt>
                <c:pt idx="35">
                  <c:v>45401</c:v>
                </c:pt>
                <c:pt idx="36">
                  <c:v>45408</c:v>
                </c:pt>
                <c:pt idx="37">
                  <c:v>45415</c:v>
                </c:pt>
                <c:pt idx="38">
                  <c:v>45422</c:v>
                </c:pt>
                <c:pt idx="39">
                  <c:v>45429</c:v>
                </c:pt>
                <c:pt idx="40">
                  <c:v>45436</c:v>
                </c:pt>
                <c:pt idx="41">
                  <c:v>45443</c:v>
                </c:pt>
                <c:pt idx="42">
                  <c:v>45450</c:v>
                </c:pt>
                <c:pt idx="43">
                  <c:v>45457</c:v>
                </c:pt>
                <c:pt idx="44">
                  <c:v>45464</c:v>
                </c:pt>
                <c:pt idx="45">
                  <c:v>45471</c:v>
                </c:pt>
                <c:pt idx="46">
                  <c:v>45478</c:v>
                </c:pt>
                <c:pt idx="47">
                  <c:v>45485</c:v>
                </c:pt>
                <c:pt idx="48">
                  <c:v>45492</c:v>
                </c:pt>
                <c:pt idx="49">
                  <c:v>45499</c:v>
                </c:pt>
                <c:pt idx="50">
                  <c:v>45506</c:v>
                </c:pt>
                <c:pt idx="51">
                  <c:v>45513</c:v>
                </c:pt>
                <c:pt idx="52">
                  <c:v>45520</c:v>
                </c:pt>
                <c:pt idx="53">
                  <c:v>45527</c:v>
                </c:pt>
                <c:pt idx="54">
                  <c:v>45534</c:v>
                </c:pt>
                <c:pt idx="55">
                  <c:v>45541</c:v>
                </c:pt>
                <c:pt idx="56">
                  <c:v>45548</c:v>
                </c:pt>
                <c:pt idx="57">
                  <c:v>45555</c:v>
                </c:pt>
                <c:pt idx="58">
                  <c:v>45562</c:v>
                </c:pt>
                <c:pt idx="59">
                  <c:v>45569</c:v>
                </c:pt>
                <c:pt idx="60">
                  <c:v>45576</c:v>
                </c:pt>
                <c:pt idx="61">
                  <c:v>45583</c:v>
                </c:pt>
                <c:pt idx="62">
                  <c:v>45590</c:v>
                </c:pt>
                <c:pt idx="63">
                  <c:v>45597</c:v>
                </c:pt>
                <c:pt idx="64">
                  <c:v>45604</c:v>
                </c:pt>
                <c:pt idx="65">
                  <c:v>45611</c:v>
                </c:pt>
                <c:pt idx="66">
                  <c:v>45618</c:v>
                </c:pt>
                <c:pt idx="67">
                  <c:v>45625</c:v>
                </c:pt>
                <c:pt idx="68">
                  <c:v>45632</c:v>
                </c:pt>
                <c:pt idx="69">
                  <c:v>45639</c:v>
                </c:pt>
                <c:pt idx="70">
                  <c:v>45646</c:v>
                </c:pt>
                <c:pt idx="71">
                  <c:v>45653</c:v>
                </c:pt>
                <c:pt idx="72">
                  <c:v>45660</c:v>
                </c:pt>
                <c:pt idx="73">
                  <c:v>45667</c:v>
                </c:pt>
                <c:pt idx="74">
                  <c:v>45674</c:v>
                </c:pt>
                <c:pt idx="75">
                  <c:v>45681</c:v>
                </c:pt>
                <c:pt idx="76">
                  <c:v>45688</c:v>
                </c:pt>
                <c:pt idx="77">
                  <c:v>45695</c:v>
                </c:pt>
                <c:pt idx="78">
                  <c:v>45702</c:v>
                </c:pt>
                <c:pt idx="79">
                  <c:v>45709</c:v>
                </c:pt>
                <c:pt idx="80">
                  <c:v>45716</c:v>
                </c:pt>
                <c:pt idx="81">
                  <c:v>45723</c:v>
                </c:pt>
                <c:pt idx="82">
                  <c:v>45730</c:v>
                </c:pt>
                <c:pt idx="83">
                  <c:v>45737</c:v>
                </c:pt>
                <c:pt idx="84">
                  <c:v>45744</c:v>
                </c:pt>
                <c:pt idx="85">
                  <c:v>45751</c:v>
                </c:pt>
                <c:pt idx="86">
                  <c:v>45758</c:v>
                </c:pt>
                <c:pt idx="87">
                  <c:v>45764</c:v>
                </c:pt>
                <c:pt idx="88">
                  <c:v>45772</c:v>
                </c:pt>
                <c:pt idx="89">
                  <c:v>45779</c:v>
                </c:pt>
                <c:pt idx="90">
                  <c:v>45786</c:v>
                </c:pt>
                <c:pt idx="91">
                  <c:v>45793</c:v>
                </c:pt>
                <c:pt idx="92">
                  <c:v>45800</c:v>
                </c:pt>
                <c:pt idx="93">
                  <c:v>45807</c:v>
                </c:pt>
                <c:pt idx="94">
                  <c:v>45814</c:v>
                </c:pt>
                <c:pt idx="95">
                  <c:v>45821</c:v>
                </c:pt>
                <c:pt idx="96">
                  <c:v>45828</c:v>
                </c:pt>
                <c:pt idx="97">
                  <c:v>45835</c:v>
                </c:pt>
                <c:pt idx="98">
                  <c:v>45841</c:v>
                </c:pt>
                <c:pt idx="99">
                  <c:v>45849</c:v>
                </c:pt>
                <c:pt idx="100">
                  <c:v>45856</c:v>
                </c:pt>
                <c:pt idx="101">
                  <c:v>45863</c:v>
                </c:pt>
                <c:pt idx="102">
                  <c:v>45870</c:v>
                </c:pt>
                <c:pt idx="103">
                  <c:v>45877</c:v>
                </c:pt>
                <c:pt idx="104">
                  <c:v>45884</c:v>
                </c:pt>
                <c:pt idx="105">
                  <c:v>45891</c:v>
                </c:pt>
                <c:pt idx="106">
                  <c:v>45898</c:v>
                </c:pt>
                <c:pt idx="107">
                  <c:v>45905</c:v>
                </c:pt>
                <c:pt idx="108">
                  <c:v>45912</c:v>
                </c:pt>
                <c:pt idx="109">
                  <c:v>45919</c:v>
                </c:pt>
                <c:pt idx="110">
                  <c:v>45926</c:v>
                </c:pt>
                <c:pt idx="111">
                  <c:v>45933</c:v>
                </c:pt>
                <c:pt idx="112">
                  <c:v>45940</c:v>
                </c:pt>
                <c:pt idx="113">
                  <c:v>45947</c:v>
                </c:pt>
                <c:pt idx="114">
                  <c:v>45954</c:v>
                </c:pt>
                <c:pt idx="115">
                  <c:v>45961</c:v>
                </c:pt>
                <c:pt idx="116">
                  <c:v>45968</c:v>
                </c:pt>
                <c:pt idx="117">
                  <c:v>45975</c:v>
                </c:pt>
                <c:pt idx="118">
                  <c:v>45982</c:v>
                </c:pt>
                <c:pt idx="119">
                  <c:v>45989</c:v>
                </c:pt>
                <c:pt idx="120">
                  <c:v>45996</c:v>
                </c:pt>
                <c:pt idx="121">
                  <c:v>46003</c:v>
                </c:pt>
                <c:pt idx="122">
                  <c:v>46010</c:v>
                </c:pt>
                <c:pt idx="123">
                  <c:v>46017</c:v>
                </c:pt>
                <c:pt idx="124">
                  <c:v>46024</c:v>
                </c:pt>
                <c:pt idx="125">
                  <c:v>46031</c:v>
                </c:pt>
                <c:pt idx="126">
                  <c:v>46038</c:v>
                </c:pt>
                <c:pt idx="127">
                  <c:v>46045</c:v>
                </c:pt>
                <c:pt idx="128">
                  <c:v>46052</c:v>
                </c:pt>
                <c:pt idx="129">
                  <c:v>46059</c:v>
                </c:pt>
                <c:pt idx="130">
                  <c:v>46066</c:v>
                </c:pt>
                <c:pt idx="131">
                  <c:v>46073</c:v>
                </c:pt>
                <c:pt idx="132">
                  <c:v>46080</c:v>
                </c:pt>
                <c:pt idx="133">
                  <c:v>46087</c:v>
                </c:pt>
                <c:pt idx="134">
                  <c:v>46094</c:v>
                </c:pt>
                <c:pt idx="135">
                  <c:v>46101</c:v>
                </c:pt>
                <c:pt idx="136">
                  <c:v>46108</c:v>
                </c:pt>
                <c:pt idx="137">
                  <c:v>46114</c:v>
                </c:pt>
                <c:pt idx="138">
                  <c:v>46122</c:v>
                </c:pt>
                <c:pt idx="139">
                  <c:v>46129</c:v>
                </c:pt>
                <c:pt idx="140">
                  <c:v>46136</c:v>
                </c:pt>
                <c:pt idx="141">
                  <c:v>46143</c:v>
                </c:pt>
                <c:pt idx="142">
                  <c:v>46150</c:v>
                </c:pt>
                <c:pt idx="143">
                  <c:v>46157</c:v>
                </c:pt>
                <c:pt idx="144">
                  <c:v>46164</c:v>
                </c:pt>
                <c:pt idx="145">
                  <c:v>46171</c:v>
                </c:pt>
                <c:pt idx="146">
                  <c:v>46178</c:v>
                </c:pt>
                <c:pt idx="147">
                  <c:v>46185</c:v>
                </c:pt>
                <c:pt idx="148">
                  <c:v>46191</c:v>
                </c:pt>
                <c:pt idx="149">
                  <c:v>46199</c:v>
                </c:pt>
                <c:pt idx="150">
                  <c:v>46205</c:v>
                </c:pt>
                <c:pt idx="151">
                  <c:v>46213</c:v>
                </c:pt>
                <c:pt idx="152">
                  <c:v>46220</c:v>
                </c:pt>
                <c:pt idx="153">
                  <c:v>46227</c:v>
                </c:pt>
                <c:pt idx="154">
                  <c:v>46234</c:v>
                </c:pt>
                <c:pt idx="155">
                  <c:v>46241</c:v>
                </c:pt>
                <c:pt idx="156">
                  <c:v>46248</c:v>
                </c:pt>
                <c:pt idx="157">
                  <c:v>46255</c:v>
                </c:pt>
                <c:pt idx="158">
                  <c:v>46262</c:v>
                </c:pt>
                <c:pt idx="159">
                  <c:v>46269</c:v>
                </c:pt>
              </c:numCache>
            </c:numRef>
          </c:cat>
          <c:val>
            <c:numRef>
              <c:f>'Returns (Calc)'!$K$3:$K$500</c:f>
              <c:numCache>
                <c:formatCode>0.0%</c:formatCode>
                <c:ptCount val="498"/>
                <c:pt idx="0">
                  <c:v>-6.5541855937702787E-2</c:v>
                </c:pt>
                <c:pt idx="1">
                  <c:v>9.0277777777776347E-3</c:v>
                </c:pt>
                <c:pt idx="2">
                  <c:v>4.4735030970405987E-2</c:v>
                </c:pt>
                <c:pt idx="3">
                  <c:v>-3.2938076416336726E-3</c:v>
                </c:pt>
                <c:pt idx="4">
                  <c:v>1.3218770654329193E-2</c:v>
                </c:pt>
                <c:pt idx="5">
                  <c:v>-7.8277886497064575E-2</c:v>
                </c:pt>
                <c:pt idx="6">
                  <c:v>0.13234253361641901</c:v>
                </c:pt>
                <c:pt idx="7">
                  <c:v>3.8124999999999964E-2</c:v>
                </c:pt>
                <c:pt idx="8">
                  <c:v>4.5153521974714117E-2</c:v>
                </c:pt>
                <c:pt idx="9">
                  <c:v>-7.2004608294930827E-2</c:v>
                </c:pt>
                <c:pt idx="10">
                  <c:v>-6.4556176288019795E-2</c:v>
                </c:pt>
                <c:pt idx="11">
                  <c:v>0.25348374253483752</c:v>
                </c:pt>
                <c:pt idx="12">
                  <c:v>4.1291688724192754E-2</c:v>
                </c:pt>
                <c:pt idx="13">
                  <c:v>4.1687849517030751E-2</c:v>
                </c:pt>
                <c:pt idx="14">
                  <c:v>-6.2957540263543166E-2</c:v>
                </c:pt>
                <c:pt idx="15">
                  <c:v>5.5729166666666607E-2</c:v>
                </c:pt>
                <c:pt idx="16">
                  <c:v>-0.12333497779970404</c:v>
                </c:pt>
                <c:pt idx="17">
                  <c:v>2.4198086662915008E-2</c:v>
                </c:pt>
                <c:pt idx="18">
                  <c:v>-4.3406593406593363E-2</c:v>
                </c:pt>
                <c:pt idx="19">
                  <c:v>-1.378518093049963E-2</c:v>
                </c:pt>
                <c:pt idx="20">
                  <c:v>-6.9306930693069368E-2</c:v>
                </c:pt>
                <c:pt idx="21">
                  <c:v>4.8811013767209088E-2</c:v>
                </c:pt>
                <c:pt idx="22">
                  <c:v>1.1933174224343368E-3</c:v>
                </c:pt>
                <c:pt idx="23">
                  <c:v>-2.5625744934445804E-2</c:v>
                </c:pt>
                <c:pt idx="24">
                  <c:v>4.0978593272171127E-2</c:v>
                </c:pt>
                <c:pt idx="25">
                  <c:v>0.43243243243243246</c:v>
                </c:pt>
                <c:pt idx="26">
                  <c:v>2.4610336341264194E-3</c:v>
                </c:pt>
                <c:pt idx="27">
                  <c:v>-6.0147299509001773E-2</c:v>
                </c:pt>
                <c:pt idx="28">
                  <c:v>8.5328689595124185E-2</c:v>
                </c:pt>
                <c:pt idx="29">
                  <c:v>4.4524669073405576E-2</c:v>
                </c:pt>
                <c:pt idx="30">
                  <c:v>-9.7926267281105983E-2</c:v>
                </c:pt>
                <c:pt idx="31">
                  <c:v>2.9374201787994991E-2</c:v>
                </c:pt>
                <c:pt idx="32">
                  <c:v>-4.8387096774193505E-2</c:v>
                </c:pt>
                <c:pt idx="33">
                  <c:v>-2.1729682746631784E-3</c:v>
                </c:pt>
                <c:pt idx="34">
                  <c:v>-1.2630662020905903E-2</c:v>
                </c:pt>
                <c:pt idx="35">
                  <c:v>-9.7044552271724815E-2</c:v>
                </c:pt>
                <c:pt idx="36">
                  <c:v>0.10014655593551547</c:v>
                </c:pt>
                <c:pt idx="37">
                  <c:v>3.5968028419182785E-2</c:v>
                </c:pt>
                <c:pt idx="38">
                  <c:v>-0.11701671667381042</c:v>
                </c:pt>
                <c:pt idx="39">
                  <c:v>5.6310679611650594E-2</c:v>
                </c:pt>
                <c:pt idx="40">
                  <c:v>-3.4466911764705843E-2</c:v>
                </c:pt>
                <c:pt idx="41">
                  <c:v>3.188957639219403E-2</c:v>
                </c:pt>
                <c:pt idx="42">
                  <c:v>7.5184501845018348E-2</c:v>
                </c:pt>
                <c:pt idx="43">
                  <c:v>1.1154011154011156E-2</c:v>
                </c:pt>
                <c:pt idx="44">
                  <c:v>1.1455239711497756E-2</c:v>
                </c:pt>
                <c:pt idx="45">
                  <c:v>6.25E-2</c:v>
                </c:pt>
                <c:pt idx="46">
                  <c:v>7.500986971970014E-2</c:v>
                </c:pt>
                <c:pt idx="47">
                  <c:v>3.084832904884327E-2</c:v>
                </c:pt>
                <c:pt idx="48">
                  <c:v>1.8168863555397152E-2</c:v>
                </c:pt>
                <c:pt idx="49">
                  <c:v>-4.8985304408677321E-2</c:v>
                </c:pt>
                <c:pt idx="50">
                  <c:v>-8.9771891096394496E-2</c:v>
                </c:pt>
                <c:pt idx="51">
                  <c:v>0.21301535974130981</c:v>
                </c:pt>
                <c:pt idx="52">
                  <c:v>6.8977007664111856E-2</c:v>
                </c:pt>
                <c:pt idx="53">
                  <c:v>-9.3516209476308676E-3</c:v>
                </c:pt>
                <c:pt idx="54">
                  <c:v>-9.4398993077406956E-3</c:v>
                </c:pt>
                <c:pt idx="55">
                  <c:v>-3.6531130876747198E-2</c:v>
                </c:pt>
                <c:pt idx="56">
                  <c:v>0.17342565117045838</c:v>
                </c:pt>
                <c:pt idx="57">
                  <c:v>4.5237426243326828E-2</c:v>
                </c:pt>
                <c:pt idx="58">
                  <c:v>-9.6774193548386789E-3</c:v>
                </c:pt>
                <c:pt idx="59">
                  <c:v>8.6047774158523271E-2</c:v>
                </c:pt>
                <c:pt idx="60">
                  <c:v>8.7478130467383064E-2</c:v>
                </c:pt>
                <c:pt idx="61">
                  <c:v>-1.2410940013789951E-2</c:v>
                </c:pt>
                <c:pt idx="62">
                  <c:v>4.3984175005818082E-2</c:v>
                </c:pt>
                <c:pt idx="63">
                  <c:v>-6.553722692822106E-2</c:v>
                </c:pt>
                <c:pt idx="64">
                  <c:v>0.39289122137404586</c:v>
                </c:pt>
                <c:pt idx="65">
                  <c:v>0.1263915053947593</c:v>
                </c:pt>
                <c:pt idx="66">
                  <c:v>-2.1590390755663713E-2</c:v>
                </c:pt>
                <c:pt idx="67">
                  <c:v>4.2424242424242475E-2</c:v>
                </c:pt>
                <c:pt idx="68">
                  <c:v>0.13804412641621955</c:v>
                </c:pt>
                <c:pt idx="69">
                  <c:v>-3.5368090123134577E-3</c:v>
                </c:pt>
                <c:pt idx="70">
                  <c:v>5.889312475351649E-2</c:v>
                </c:pt>
                <c:pt idx="71">
                  <c:v>-1.8249534450651805E-2</c:v>
                </c:pt>
                <c:pt idx="72">
                  <c:v>1.0242792109256493E-2</c:v>
                </c:pt>
                <c:pt idx="73">
                  <c:v>-0.15809237701840029</c:v>
                </c:pt>
                <c:pt idx="74">
                  <c:v>6.7053226286053924E-2</c:v>
                </c:pt>
                <c:pt idx="75">
                  <c:v>0.10045980214574346</c:v>
                </c:pt>
                <c:pt idx="76">
                  <c:v>4.4441630792605658E-2</c:v>
                </c:pt>
                <c:pt idx="77">
                  <c:v>0.34379924839374465</c:v>
                </c:pt>
                <c:pt idx="78">
                  <c:v>7.4966170500676554E-2</c:v>
                </c:pt>
                <c:pt idx="79">
                  <c:v>-0.14946290701577714</c:v>
                </c:pt>
                <c:pt idx="80">
                  <c:v>-0.16211149481993092</c:v>
                </c:pt>
                <c:pt idx="81">
                  <c:v>-1.1775788977863577E-4</c:v>
                </c:pt>
                <c:pt idx="82">
                  <c:v>1.5663643858202736E-2</c:v>
                </c:pt>
                <c:pt idx="83">
                  <c:v>5.4730983302411884E-2</c:v>
                </c:pt>
                <c:pt idx="84">
                  <c:v>-5.6178540017590151E-2</c:v>
                </c:pt>
                <c:pt idx="85">
                  <c:v>-0.13791496796738489</c:v>
                </c:pt>
                <c:pt idx="86">
                  <c:v>0.19645993784623683</c:v>
                </c:pt>
                <c:pt idx="87">
                  <c:v>5.9062676453980778E-2</c:v>
                </c:pt>
                <c:pt idx="88">
                  <c:v>0.20260183407976107</c:v>
                </c:pt>
                <c:pt idx="89">
                  <c:v>0.10196843411952483</c:v>
                </c:pt>
                <c:pt idx="90">
                  <c:v>-5.6163501770196356E-2</c:v>
                </c:pt>
                <c:pt idx="91">
                  <c:v>0.10417732310315442</c:v>
                </c:pt>
                <c:pt idx="92">
                  <c:v>-4.7946263125386079E-2</c:v>
                </c:pt>
                <c:pt idx="93">
                  <c:v>6.8688670829616383E-2</c:v>
                </c:pt>
                <c:pt idx="94">
                  <c:v>-3.0808923964182777E-2</c:v>
                </c:pt>
                <c:pt idx="95">
                  <c:v>7.5790792358283898E-2</c:v>
                </c:pt>
                <c:pt idx="96">
                  <c:v>-7.2780203784561515E-4</c:v>
                </c:pt>
                <c:pt idx="97">
                  <c:v>-4.7778587035688269E-2</c:v>
                </c:pt>
                <c:pt idx="98">
                  <c:v>2.7688542144714834E-2</c:v>
                </c:pt>
                <c:pt idx="99">
                  <c:v>5.760643048526326E-2</c:v>
                </c:pt>
                <c:pt idx="100">
                  <c:v>8.0365939479239978E-2</c:v>
                </c:pt>
                <c:pt idx="101">
                  <c:v>3.4392912975508061E-2</c:v>
                </c:pt>
                <c:pt idx="102">
                  <c:v>-2.8526448362720447E-2</c:v>
                </c:pt>
                <c:pt idx="103">
                  <c:v>0.21190121216049773</c:v>
                </c:pt>
                <c:pt idx="104">
                  <c:v>-5.2364142062473418E-2</c:v>
                </c:pt>
                <c:pt idx="105">
                  <c:v>-0.10402438336061404</c:v>
                </c:pt>
                <c:pt idx="106">
                  <c:v>-1.2788207131157914E-2</c:v>
                </c:pt>
                <c:pt idx="107">
                  <c:v>-2.2972369344649302E-2</c:v>
                </c:pt>
                <c:pt idx="108">
                  <c:v>0.1196525373914179</c:v>
                </c:pt>
                <c:pt idx="109">
                  <c:v>6.3932800559995284E-2</c:v>
                </c:pt>
                <c:pt idx="110">
                  <c:v>-2.6426887439004343E-2</c:v>
                </c:pt>
                <c:pt idx="111">
                  <c:v>-2.5342118601115016E-2</c:v>
                </c:pt>
                <c:pt idx="112">
                  <c:v>1.3693881088576942E-2</c:v>
                </c:pt>
                <c:pt idx="113">
                  <c:v>1.5446876424988654E-2</c:v>
                </c:pt>
                <c:pt idx="114">
                  <c:v>3.6373842267751755E-2</c:v>
                </c:pt>
                <c:pt idx="115">
                  <c:v>8.5793208037697077E-2</c:v>
                </c:pt>
                <c:pt idx="116">
                  <c:v>-0.1124357759265725</c:v>
                </c:pt>
                <c:pt idx="117">
                  <c:v>-2.2031135839937099E-2</c:v>
                </c:pt>
                <c:pt idx="118">
                  <c:v>-0.11010861444744557</c:v>
                </c:pt>
                <c:pt idx="119">
                  <c:v>8.782692928640623E-2</c:v>
                </c:pt>
                <c:pt idx="120">
                  <c:v>7.9014544375185514E-2</c:v>
                </c:pt>
                <c:pt idx="121">
                  <c:v>9.9581866197182567E-3</c:v>
                </c:pt>
                <c:pt idx="122">
                  <c:v>5.3440104592253679E-2</c:v>
                </c:pt>
                <c:pt idx="123">
                  <c:v>-2.4149343261971157E-2</c:v>
                </c:pt>
                <c:pt idx="124">
                  <c:v>-0.1104869906205288</c:v>
                </c:pt>
                <c:pt idx="125">
                  <c:v>5.7369236268318913E-2</c:v>
                </c:pt>
                <c:pt idx="126">
                  <c:v>-3.6790805115781144E-2</c:v>
                </c:pt>
                <c:pt idx="127">
                  <c:v>-7.9550772110436041E-3</c:v>
                </c:pt>
                <c:pt idx="128">
                  <c:v>-0.13567216981132069</c:v>
                </c:pt>
                <c:pt idx="129">
                  <c:v>-7.2924483252609251E-2</c:v>
                </c:pt>
                <c:pt idx="130">
                  <c:v>-3.303899926416487E-2</c:v>
                </c:pt>
                <c:pt idx="131">
                  <c:v>2.9145422722776093E-2</c:v>
                </c:pt>
                <c:pt idx="132">
                  <c:v>1.4418811002661958E-2</c:v>
                </c:pt>
                <c:pt idx="133">
                  <c:v>0.14556454552081055</c:v>
                </c:pt>
                <c:pt idx="134">
                  <c:v>-3.9513871214049479E-2</c:v>
                </c:pt>
                <c:pt idx="135">
                  <c:v>-1.7886717456110368E-3</c:v>
                </c:pt>
                <c:pt idx="136">
                  <c:v>-5.0570745951685758E-2</c:v>
                </c:pt>
                <c:pt idx="137">
                  <c:v>3.7746400111841272E-2</c:v>
                </c:pt>
                <c:pt idx="138">
                  <c:v>-0.13741075037047024</c:v>
                </c:pt>
                <c:pt idx="139">
                  <c:v>0.14313602998594388</c:v>
                </c:pt>
                <c:pt idx="140">
                  <c:v>-2.2542523396406722E-2</c:v>
                </c:pt>
                <c:pt idx="141">
                  <c:v>6.8488363966734411E-3</c:v>
                </c:pt>
                <c:pt idx="142">
                  <c:v>-4.3520510862774864E-2</c:v>
                </c:pt>
                <c:pt idx="143">
                  <c:v>-2.7648766328011609E-2</c:v>
                </c:pt>
                <c:pt idx="144">
                  <c:v>2.1568773789088613E-2</c:v>
                </c:pt>
                <c:pt idx="145">
                  <c:v>0.14362945645821146</c:v>
                </c:pt>
                <c:pt idx="146">
                  <c:v>-0.13421489715088786</c:v>
                </c:pt>
                <c:pt idx="147">
                  <c:v>-5.5633439090976178E-2</c:v>
                </c:pt>
                <c:pt idx="148">
                  <c:v>3.7502929916399808E-3</c:v>
                </c:pt>
                <c:pt idx="149">
                  <c:v>-0.12096209231727251</c:v>
                </c:pt>
                <c:pt idx="150">
                  <c:v>0.14495705304170725</c:v>
                </c:pt>
                <c:pt idx="151">
                  <c:v>-1.9412219644238227E-2</c:v>
                </c:pt>
                <c:pt idx="152">
                  <c:v>4.4088650524489292E-2</c:v>
                </c:pt>
                <c:pt idx="153">
                  <c:v>-7.1460945762199635E-2</c:v>
                </c:pt>
                <c:pt idx="154">
                  <c:v>1.138952164009055E-3</c:v>
                </c:pt>
                <c:pt idx="155">
                  <c:v>0.39777344384852897</c:v>
                </c:pt>
                <c:pt idx="156">
                  <c:v>1.1801639439567468E-2</c:v>
                </c:pt>
                <c:pt idx="157">
                  <c:v>3.3900252815444842E-2</c:v>
                </c:pt>
                <c:pt idx="158">
                  <c:v>3.528954095809711E-2</c:v>
                </c:pt>
                <c:pt idx="159">
                  <c:v>-6.4200976971388601E-2</c:v>
                </c:pt>
              </c:numCache>
            </c:numRef>
          </c:val>
          <c:extLst>
            <c:ext xmlns:c16="http://schemas.microsoft.com/office/drawing/2014/chart" uri="{C3380CC4-5D6E-409C-BE32-E72D297353CC}">
              <c16:uniqueId val="{00000000-FCF7-4032-994F-0CE8F0106036}"/>
            </c:ext>
          </c:extLst>
        </c:ser>
        <c:dLbls>
          <c:showLegendKey val="0"/>
          <c:showVal val="0"/>
          <c:showCatName val="0"/>
          <c:showSerName val="0"/>
          <c:showPercent val="0"/>
          <c:showBubbleSize val="0"/>
        </c:dLbls>
        <c:gapWidth val="150"/>
        <c:axId val="91088363"/>
        <c:axId val="25190534"/>
      </c:barChart>
      <c:lineChart>
        <c:grouping val="standard"/>
        <c:varyColors val="0"/>
        <c:ser>
          <c:idx val="1"/>
          <c:order val="1"/>
          <c:tx>
            <c:strRef>
              <c:f>'Returns (Calc)'!$AF$2</c:f>
              <c:strCache>
                <c:ptCount val="1"/>
                <c:pt idx="0">
                  <c:v>PLTR trend</c:v>
                </c:pt>
              </c:strCache>
            </c:strRef>
          </c:tx>
          <c:spPr>
            <a:ln w="201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45156</c:v>
                </c:pt>
                <c:pt idx="1">
                  <c:v>45163</c:v>
                </c:pt>
                <c:pt idx="2">
                  <c:v>45170</c:v>
                </c:pt>
                <c:pt idx="3">
                  <c:v>45177</c:v>
                </c:pt>
                <c:pt idx="4">
                  <c:v>45184</c:v>
                </c:pt>
                <c:pt idx="5">
                  <c:v>45191</c:v>
                </c:pt>
                <c:pt idx="6">
                  <c:v>45198</c:v>
                </c:pt>
                <c:pt idx="7">
                  <c:v>45205</c:v>
                </c:pt>
                <c:pt idx="8">
                  <c:v>45212</c:v>
                </c:pt>
                <c:pt idx="9">
                  <c:v>45219</c:v>
                </c:pt>
                <c:pt idx="10">
                  <c:v>45226</c:v>
                </c:pt>
                <c:pt idx="11">
                  <c:v>45233</c:v>
                </c:pt>
                <c:pt idx="12">
                  <c:v>45240</c:v>
                </c:pt>
                <c:pt idx="13">
                  <c:v>45247</c:v>
                </c:pt>
                <c:pt idx="14">
                  <c:v>45254</c:v>
                </c:pt>
                <c:pt idx="15">
                  <c:v>45261</c:v>
                </c:pt>
                <c:pt idx="16">
                  <c:v>45268</c:v>
                </c:pt>
                <c:pt idx="17">
                  <c:v>45275</c:v>
                </c:pt>
                <c:pt idx="18">
                  <c:v>45282</c:v>
                </c:pt>
                <c:pt idx="19">
                  <c:v>45289</c:v>
                </c:pt>
                <c:pt idx="20">
                  <c:v>45296</c:v>
                </c:pt>
                <c:pt idx="21">
                  <c:v>45303</c:v>
                </c:pt>
                <c:pt idx="22">
                  <c:v>45310</c:v>
                </c:pt>
                <c:pt idx="23">
                  <c:v>45317</c:v>
                </c:pt>
                <c:pt idx="24">
                  <c:v>45324</c:v>
                </c:pt>
                <c:pt idx="25">
                  <c:v>45331</c:v>
                </c:pt>
                <c:pt idx="26">
                  <c:v>45338</c:v>
                </c:pt>
                <c:pt idx="27">
                  <c:v>45345</c:v>
                </c:pt>
                <c:pt idx="28">
                  <c:v>45352</c:v>
                </c:pt>
                <c:pt idx="29">
                  <c:v>45359</c:v>
                </c:pt>
                <c:pt idx="30">
                  <c:v>45366</c:v>
                </c:pt>
                <c:pt idx="31">
                  <c:v>45373</c:v>
                </c:pt>
                <c:pt idx="32">
                  <c:v>45379</c:v>
                </c:pt>
                <c:pt idx="33">
                  <c:v>45387</c:v>
                </c:pt>
                <c:pt idx="34">
                  <c:v>45394</c:v>
                </c:pt>
                <c:pt idx="35">
                  <c:v>45401</c:v>
                </c:pt>
                <c:pt idx="36">
                  <c:v>45408</c:v>
                </c:pt>
                <c:pt idx="37">
                  <c:v>45415</c:v>
                </c:pt>
                <c:pt idx="38">
                  <c:v>45422</c:v>
                </c:pt>
                <c:pt idx="39">
                  <c:v>45429</c:v>
                </c:pt>
                <c:pt idx="40">
                  <c:v>45436</c:v>
                </c:pt>
                <c:pt idx="41">
                  <c:v>45443</c:v>
                </c:pt>
                <c:pt idx="42">
                  <c:v>45450</c:v>
                </c:pt>
                <c:pt idx="43">
                  <c:v>45457</c:v>
                </c:pt>
                <c:pt idx="44">
                  <c:v>45464</c:v>
                </c:pt>
                <c:pt idx="45">
                  <c:v>45471</c:v>
                </c:pt>
                <c:pt idx="46">
                  <c:v>45478</c:v>
                </c:pt>
                <c:pt idx="47">
                  <c:v>45485</c:v>
                </c:pt>
                <c:pt idx="48">
                  <c:v>45492</c:v>
                </c:pt>
                <c:pt idx="49">
                  <c:v>45499</c:v>
                </c:pt>
                <c:pt idx="50">
                  <c:v>45506</c:v>
                </c:pt>
                <c:pt idx="51">
                  <c:v>45513</c:v>
                </c:pt>
                <c:pt idx="52">
                  <c:v>45520</c:v>
                </c:pt>
                <c:pt idx="53">
                  <c:v>45527</c:v>
                </c:pt>
                <c:pt idx="54">
                  <c:v>45534</c:v>
                </c:pt>
                <c:pt idx="55">
                  <c:v>45541</c:v>
                </c:pt>
                <c:pt idx="56">
                  <c:v>45548</c:v>
                </c:pt>
                <c:pt idx="57">
                  <c:v>45555</c:v>
                </c:pt>
                <c:pt idx="58">
                  <c:v>45562</c:v>
                </c:pt>
                <c:pt idx="59">
                  <c:v>45569</c:v>
                </c:pt>
                <c:pt idx="60">
                  <c:v>45576</c:v>
                </c:pt>
                <c:pt idx="61">
                  <c:v>45583</c:v>
                </c:pt>
                <c:pt idx="62">
                  <c:v>45590</c:v>
                </c:pt>
                <c:pt idx="63">
                  <c:v>45597</c:v>
                </c:pt>
                <c:pt idx="64">
                  <c:v>45604</c:v>
                </c:pt>
                <c:pt idx="65">
                  <c:v>45611</c:v>
                </c:pt>
                <c:pt idx="66">
                  <c:v>45618</c:v>
                </c:pt>
                <c:pt idx="67">
                  <c:v>45625</c:v>
                </c:pt>
                <c:pt idx="68">
                  <c:v>45632</c:v>
                </c:pt>
                <c:pt idx="69">
                  <c:v>45639</c:v>
                </c:pt>
                <c:pt idx="70">
                  <c:v>45646</c:v>
                </c:pt>
                <c:pt idx="71">
                  <c:v>45653</c:v>
                </c:pt>
                <c:pt idx="72">
                  <c:v>45660</c:v>
                </c:pt>
                <c:pt idx="73">
                  <c:v>45667</c:v>
                </c:pt>
                <c:pt idx="74">
                  <c:v>45674</c:v>
                </c:pt>
                <c:pt idx="75">
                  <c:v>45681</c:v>
                </c:pt>
                <c:pt idx="76">
                  <c:v>45688</c:v>
                </c:pt>
                <c:pt idx="77">
                  <c:v>45695</c:v>
                </c:pt>
                <c:pt idx="78">
                  <c:v>45702</c:v>
                </c:pt>
                <c:pt idx="79">
                  <c:v>45709</c:v>
                </c:pt>
                <c:pt idx="80">
                  <c:v>45716</c:v>
                </c:pt>
                <c:pt idx="81">
                  <c:v>45723</c:v>
                </c:pt>
                <c:pt idx="82">
                  <c:v>45730</c:v>
                </c:pt>
                <c:pt idx="83">
                  <c:v>45737</c:v>
                </c:pt>
                <c:pt idx="84">
                  <c:v>45744</c:v>
                </c:pt>
                <c:pt idx="85">
                  <c:v>45751</c:v>
                </c:pt>
                <c:pt idx="86">
                  <c:v>45758</c:v>
                </c:pt>
                <c:pt idx="87">
                  <c:v>45764</c:v>
                </c:pt>
                <c:pt idx="88">
                  <c:v>45772</c:v>
                </c:pt>
                <c:pt idx="89">
                  <c:v>45779</c:v>
                </c:pt>
                <c:pt idx="90">
                  <c:v>45786</c:v>
                </c:pt>
                <c:pt idx="91">
                  <c:v>45793</c:v>
                </c:pt>
                <c:pt idx="92">
                  <c:v>45800</c:v>
                </c:pt>
                <c:pt idx="93">
                  <c:v>45807</c:v>
                </c:pt>
                <c:pt idx="94">
                  <c:v>45814</c:v>
                </c:pt>
                <c:pt idx="95">
                  <c:v>45821</c:v>
                </c:pt>
                <c:pt idx="96">
                  <c:v>45828</c:v>
                </c:pt>
                <c:pt idx="97">
                  <c:v>45835</c:v>
                </c:pt>
                <c:pt idx="98">
                  <c:v>45841</c:v>
                </c:pt>
                <c:pt idx="99">
                  <c:v>45849</c:v>
                </c:pt>
                <c:pt idx="100">
                  <c:v>45856</c:v>
                </c:pt>
                <c:pt idx="101">
                  <c:v>45863</c:v>
                </c:pt>
                <c:pt idx="102">
                  <c:v>45870</c:v>
                </c:pt>
                <c:pt idx="103">
                  <c:v>45877</c:v>
                </c:pt>
                <c:pt idx="104">
                  <c:v>45884</c:v>
                </c:pt>
                <c:pt idx="105">
                  <c:v>45891</c:v>
                </c:pt>
                <c:pt idx="106">
                  <c:v>45898</c:v>
                </c:pt>
                <c:pt idx="107">
                  <c:v>45905</c:v>
                </c:pt>
                <c:pt idx="108">
                  <c:v>45912</c:v>
                </c:pt>
                <c:pt idx="109">
                  <c:v>45919</c:v>
                </c:pt>
                <c:pt idx="110">
                  <c:v>45926</c:v>
                </c:pt>
                <c:pt idx="111">
                  <c:v>45933</c:v>
                </c:pt>
                <c:pt idx="112">
                  <c:v>45940</c:v>
                </c:pt>
                <c:pt idx="113">
                  <c:v>45947</c:v>
                </c:pt>
                <c:pt idx="114">
                  <c:v>45954</c:v>
                </c:pt>
                <c:pt idx="115">
                  <c:v>45961</c:v>
                </c:pt>
                <c:pt idx="116">
                  <c:v>45968</c:v>
                </c:pt>
                <c:pt idx="117">
                  <c:v>45975</c:v>
                </c:pt>
                <c:pt idx="118">
                  <c:v>45982</c:v>
                </c:pt>
                <c:pt idx="119">
                  <c:v>45989</c:v>
                </c:pt>
                <c:pt idx="120">
                  <c:v>45996</c:v>
                </c:pt>
                <c:pt idx="121">
                  <c:v>46003</c:v>
                </c:pt>
                <c:pt idx="122">
                  <c:v>46010</c:v>
                </c:pt>
                <c:pt idx="123">
                  <c:v>46017</c:v>
                </c:pt>
                <c:pt idx="124">
                  <c:v>46024</c:v>
                </c:pt>
                <c:pt idx="125">
                  <c:v>46031</c:v>
                </c:pt>
                <c:pt idx="126">
                  <c:v>46038</c:v>
                </c:pt>
                <c:pt idx="127">
                  <c:v>46045</c:v>
                </c:pt>
                <c:pt idx="128">
                  <c:v>46052</c:v>
                </c:pt>
                <c:pt idx="129">
                  <c:v>46059</c:v>
                </c:pt>
                <c:pt idx="130">
                  <c:v>46066</c:v>
                </c:pt>
                <c:pt idx="131">
                  <c:v>46073</c:v>
                </c:pt>
                <c:pt idx="132">
                  <c:v>46080</c:v>
                </c:pt>
                <c:pt idx="133">
                  <c:v>46087</c:v>
                </c:pt>
                <c:pt idx="134">
                  <c:v>46094</c:v>
                </c:pt>
                <c:pt idx="135">
                  <c:v>46101</c:v>
                </c:pt>
                <c:pt idx="136">
                  <c:v>46108</c:v>
                </c:pt>
                <c:pt idx="137">
                  <c:v>46114</c:v>
                </c:pt>
                <c:pt idx="138">
                  <c:v>46122</c:v>
                </c:pt>
                <c:pt idx="139">
                  <c:v>46129</c:v>
                </c:pt>
                <c:pt idx="140">
                  <c:v>46136</c:v>
                </c:pt>
                <c:pt idx="141">
                  <c:v>46143</c:v>
                </c:pt>
                <c:pt idx="142">
                  <c:v>46150</c:v>
                </c:pt>
                <c:pt idx="143">
                  <c:v>46157</c:v>
                </c:pt>
                <c:pt idx="144">
                  <c:v>46164</c:v>
                </c:pt>
                <c:pt idx="145">
                  <c:v>46171</c:v>
                </c:pt>
                <c:pt idx="146">
                  <c:v>46178</c:v>
                </c:pt>
                <c:pt idx="147">
                  <c:v>46185</c:v>
                </c:pt>
                <c:pt idx="148">
                  <c:v>46191</c:v>
                </c:pt>
                <c:pt idx="149">
                  <c:v>46199</c:v>
                </c:pt>
                <c:pt idx="150">
                  <c:v>46205</c:v>
                </c:pt>
                <c:pt idx="151">
                  <c:v>46213</c:v>
                </c:pt>
                <c:pt idx="152">
                  <c:v>46220</c:v>
                </c:pt>
                <c:pt idx="153">
                  <c:v>46227</c:v>
                </c:pt>
                <c:pt idx="154">
                  <c:v>46234</c:v>
                </c:pt>
                <c:pt idx="155">
                  <c:v>46241</c:v>
                </c:pt>
                <c:pt idx="156">
                  <c:v>46248</c:v>
                </c:pt>
                <c:pt idx="157">
                  <c:v>46255</c:v>
                </c:pt>
                <c:pt idx="158">
                  <c:v>46262</c:v>
                </c:pt>
                <c:pt idx="159">
                  <c:v>46269</c:v>
                </c:pt>
              </c:numCache>
            </c:numRef>
          </c:cat>
          <c:val>
            <c:numRef>
              <c:f>'Returns (Calc)'!$AF$3:$AF$500</c:f>
              <c:numCache>
                <c:formatCode>#,##0.00</c:formatCode>
                <c:ptCount val="498"/>
                <c:pt idx="0">
                  <c:v>15.41</c:v>
                </c:pt>
                <c:pt idx="1">
                  <c:v>15.313081761006289</c:v>
                </c:pt>
                <c:pt idx="2">
                  <c:v>15.216163522012579</c:v>
                </c:pt>
                <c:pt idx="3">
                  <c:v>15.119245283018868</c:v>
                </c:pt>
                <c:pt idx="4">
                  <c:v>15.022327044025158</c:v>
                </c:pt>
                <c:pt idx="5">
                  <c:v>14.925408805031447</c:v>
                </c:pt>
                <c:pt idx="6">
                  <c:v>14.828490566037736</c:v>
                </c:pt>
                <c:pt idx="7">
                  <c:v>14.731572327044026</c:v>
                </c:pt>
                <c:pt idx="8">
                  <c:v>14.634654088050315</c:v>
                </c:pt>
                <c:pt idx="9">
                  <c:v>14.537735849056604</c:v>
                </c:pt>
                <c:pt idx="10">
                  <c:v>14.440817610062894</c:v>
                </c:pt>
                <c:pt idx="11">
                  <c:v>14.343899371069183</c:v>
                </c:pt>
                <c:pt idx="12">
                  <c:v>14.246981132075472</c:v>
                </c:pt>
                <c:pt idx="13">
                  <c:v>14.150062893081762</c:v>
                </c:pt>
                <c:pt idx="14">
                  <c:v>14.053144654088051</c:v>
                </c:pt>
                <c:pt idx="15">
                  <c:v>13.95622641509434</c:v>
                </c:pt>
                <c:pt idx="16">
                  <c:v>13.85930817610063</c:v>
                </c:pt>
                <c:pt idx="17">
                  <c:v>13.762389937106919</c:v>
                </c:pt>
                <c:pt idx="18">
                  <c:v>13.665471698113208</c:v>
                </c:pt>
                <c:pt idx="19">
                  <c:v>13.568553459119498</c:v>
                </c:pt>
                <c:pt idx="20">
                  <c:v>13.471635220125787</c:v>
                </c:pt>
                <c:pt idx="21">
                  <c:v>13.374716981132075</c:v>
                </c:pt>
                <c:pt idx="22">
                  <c:v>13.277798742138366</c:v>
                </c:pt>
                <c:pt idx="23">
                  <c:v>13.180880503144653</c:v>
                </c:pt>
                <c:pt idx="24">
                  <c:v>13.083962264150944</c:v>
                </c:pt>
                <c:pt idx="25">
                  <c:v>12.987044025157232</c:v>
                </c:pt>
                <c:pt idx="26">
                  <c:v>12.890125786163523</c:v>
                </c:pt>
                <c:pt idx="27">
                  <c:v>12.793207547169811</c:v>
                </c:pt>
                <c:pt idx="28">
                  <c:v>12.696289308176102</c:v>
                </c:pt>
                <c:pt idx="29">
                  <c:v>12.599371069182389</c:v>
                </c:pt>
                <c:pt idx="30">
                  <c:v>12.50245283018868</c:v>
                </c:pt>
                <c:pt idx="31">
                  <c:v>12.405534591194968</c:v>
                </c:pt>
                <c:pt idx="32">
                  <c:v>12.308616352201259</c:v>
                </c:pt>
                <c:pt idx="33">
                  <c:v>12.211698113207547</c:v>
                </c:pt>
                <c:pt idx="34">
                  <c:v>12.114779874213836</c:v>
                </c:pt>
                <c:pt idx="35">
                  <c:v>12.017861635220125</c:v>
                </c:pt>
                <c:pt idx="36">
                  <c:v>11.920943396226415</c:v>
                </c:pt>
                <c:pt idx="37">
                  <c:v>11.824025157232704</c:v>
                </c:pt>
                <c:pt idx="38">
                  <c:v>11.727106918238993</c:v>
                </c:pt>
                <c:pt idx="39">
                  <c:v>11.630188679245283</c:v>
                </c:pt>
                <c:pt idx="40">
                  <c:v>11.533270440251572</c:v>
                </c:pt>
                <c:pt idx="41">
                  <c:v>11.436352201257861</c:v>
                </c:pt>
                <c:pt idx="42">
                  <c:v>11.339433962264151</c:v>
                </c:pt>
                <c:pt idx="43">
                  <c:v>11.24251572327044</c:v>
                </c:pt>
                <c:pt idx="44">
                  <c:v>11.145597484276731</c:v>
                </c:pt>
                <c:pt idx="45">
                  <c:v>11.048679245283019</c:v>
                </c:pt>
                <c:pt idx="46">
                  <c:v>10.951761006289308</c:v>
                </c:pt>
                <c:pt idx="47">
                  <c:v>10.854842767295597</c:v>
                </c:pt>
                <c:pt idx="48">
                  <c:v>10.757924528301887</c:v>
                </c:pt>
                <c:pt idx="49">
                  <c:v>10.661006289308176</c:v>
                </c:pt>
                <c:pt idx="50">
                  <c:v>10.564088050314465</c:v>
                </c:pt>
                <c:pt idx="51">
                  <c:v>10.467169811320755</c:v>
                </c:pt>
                <c:pt idx="52">
                  <c:v>10.370251572327044</c:v>
                </c:pt>
                <c:pt idx="53">
                  <c:v>10.273333333333333</c:v>
                </c:pt>
                <c:pt idx="54">
                  <c:v>10.176415094339623</c:v>
                </c:pt>
                <c:pt idx="55">
                  <c:v>10.079496855345912</c:v>
                </c:pt>
                <c:pt idx="56">
                  <c:v>9.9825786163522015</c:v>
                </c:pt>
                <c:pt idx="57">
                  <c:v>9.8856603773584908</c:v>
                </c:pt>
                <c:pt idx="58">
                  <c:v>9.7887421383647801</c:v>
                </c:pt>
                <c:pt idx="59">
                  <c:v>9.6918238993710695</c:v>
                </c:pt>
                <c:pt idx="60">
                  <c:v>9.5949056603773588</c:v>
                </c:pt>
                <c:pt idx="61">
                  <c:v>9.4979874213836482</c:v>
                </c:pt>
                <c:pt idx="62">
                  <c:v>9.4010691823899375</c:v>
                </c:pt>
                <c:pt idx="63">
                  <c:v>9.3041509433962268</c:v>
                </c:pt>
                <c:pt idx="64">
                  <c:v>9.2072327044025162</c:v>
                </c:pt>
                <c:pt idx="65">
                  <c:v>9.1103144654088055</c:v>
                </c:pt>
                <c:pt idx="66">
                  <c:v>9.0133962264150931</c:v>
                </c:pt>
                <c:pt idx="67">
                  <c:v>8.9164779874213842</c:v>
                </c:pt>
                <c:pt idx="68">
                  <c:v>8.8195597484276718</c:v>
                </c:pt>
                <c:pt idx="69">
                  <c:v>8.7226415094339629</c:v>
                </c:pt>
                <c:pt idx="70">
                  <c:v>8.6257232704402504</c:v>
                </c:pt>
                <c:pt idx="71">
                  <c:v>8.5288050314465416</c:v>
                </c:pt>
                <c:pt idx="72">
                  <c:v>8.4318867924528291</c:v>
                </c:pt>
                <c:pt idx="73">
                  <c:v>8.3349685534591202</c:v>
                </c:pt>
                <c:pt idx="74">
                  <c:v>8.2380503144654096</c:v>
                </c:pt>
                <c:pt idx="75">
                  <c:v>8.1411320754716989</c:v>
                </c:pt>
                <c:pt idx="76">
                  <c:v>8.0442138364779865</c:v>
                </c:pt>
                <c:pt idx="77">
                  <c:v>7.9472955974842776</c:v>
                </c:pt>
                <c:pt idx="78">
                  <c:v>7.8503773584905661</c:v>
                </c:pt>
                <c:pt idx="79">
                  <c:v>7.7534591194968545</c:v>
                </c:pt>
                <c:pt idx="80">
                  <c:v>7.6565408805031447</c:v>
                </c:pt>
                <c:pt idx="81">
                  <c:v>7.5596226415094341</c:v>
                </c:pt>
                <c:pt idx="82">
                  <c:v>7.4627044025157225</c:v>
                </c:pt>
                <c:pt idx="83">
                  <c:v>7.3657861635220137</c:v>
                </c:pt>
                <c:pt idx="84">
                  <c:v>7.2688679245283012</c:v>
                </c:pt>
                <c:pt idx="85">
                  <c:v>7.1719496855345923</c:v>
                </c:pt>
                <c:pt idx="86">
                  <c:v>7.0750314465408799</c:v>
                </c:pt>
                <c:pt idx="87">
                  <c:v>6.9781132075471692</c:v>
                </c:pt>
                <c:pt idx="88">
                  <c:v>6.8811949685534604</c:v>
                </c:pt>
                <c:pt idx="89">
                  <c:v>6.7842767295597479</c:v>
                </c:pt>
                <c:pt idx="90">
                  <c:v>6.6873584905660373</c:v>
                </c:pt>
                <c:pt idx="91">
                  <c:v>6.5904402515723284</c:v>
                </c:pt>
                <c:pt idx="92">
                  <c:v>6.4935220125786159</c:v>
                </c:pt>
                <c:pt idx="93">
                  <c:v>6.3966037735849053</c:v>
                </c:pt>
                <c:pt idx="94">
                  <c:v>6.2996855345911946</c:v>
                </c:pt>
                <c:pt idx="95">
                  <c:v>6.202767295597484</c:v>
                </c:pt>
                <c:pt idx="96">
                  <c:v>6.1058490566037733</c:v>
                </c:pt>
                <c:pt idx="97">
                  <c:v>6.0089308176100626</c:v>
                </c:pt>
                <c:pt idx="98">
                  <c:v>5.912012578616352</c:v>
                </c:pt>
                <c:pt idx="99">
                  <c:v>5.8150943396226413</c:v>
                </c:pt>
                <c:pt idx="100">
                  <c:v>5.7181761006289307</c:v>
                </c:pt>
                <c:pt idx="101">
                  <c:v>5.62125786163522</c:v>
                </c:pt>
                <c:pt idx="102">
                  <c:v>5.5243396226415094</c:v>
                </c:pt>
                <c:pt idx="103">
                  <c:v>5.4274213836477987</c:v>
                </c:pt>
                <c:pt idx="104">
                  <c:v>5.330503144654088</c:v>
                </c:pt>
                <c:pt idx="105">
                  <c:v>5.2335849056603774</c:v>
                </c:pt>
                <c:pt idx="106">
                  <c:v>5.1366666666666667</c:v>
                </c:pt>
                <c:pt idx="107">
                  <c:v>5.0397484276729561</c:v>
                </c:pt>
                <c:pt idx="108">
                  <c:v>4.9428301886792454</c:v>
                </c:pt>
                <c:pt idx="109">
                  <c:v>4.8459119496855347</c:v>
                </c:pt>
                <c:pt idx="110">
                  <c:v>4.7489937106918241</c:v>
                </c:pt>
                <c:pt idx="111">
                  <c:v>4.6520754716981134</c:v>
                </c:pt>
                <c:pt idx="112">
                  <c:v>4.5551572327044028</c:v>
                </c:pt>
                <c:pt idx="113">
                  <c:v>4.4582389937106921</c:v>
                </c:pt>
                <c:pt idx="114">
                  <c:v>4.3613207547169814</c:v>
                </c:pt>
                <c:pt idx="115">
                  <c:v>4.2644025157232708</c:v>
                </c:pt>
                <c:pt idx="116">
                  <c:v>4.1674842767295601</c:v>
                </c:pt>
                <c:pt idx="117">
                  <c:v>4.0705660377358495</c:v>
                </c:pt>
                <c:pt idx="118">
                  <c:v>3.973647798742137</c:v>
                </c:pt>
                <c:pt idx="119">
                  <c:v>3.8767295597484281</c:v>
                </c:pt>
                <c:pt idx="120">
                  <c:v>3.7798113207547175</c:v>
                </c:pt>
                <c:pt idx="121">
                  <c:v>3.682893081761005</c:v>
                </c:pt>
                <c:pt idx="122">
                  <c:v>3.5859748427672962</c:v>
                </c:pt>
                <c:pt idx="123">
                  <c:v>3.4890566037735855</c:v>
                </c:pt>
                <c:pt idx="124">
                  <c:v>3.3921383647798748</c:v>
                </c:pt>
                <c:pt idx="125">
                  <c:v>3.2952201257861642</c:v>
                </c:pt>
                <c:pt idx="126">
                  <c:v>3.1983018867924518</c:v>
                </c:pt>
                <c:pt idx="127">
                  <c:v>3.1013836477987429</c:v>
                </c:pt>
                <c:pt idx="128">
                  <c:v>3.0044654088050322</c:v>
                </c:pt>
                <c:pt idx="129">
                  <c:v>2.9075471698113198</c:v>
                </c:pt>
                <c:pt idx="130">
                  <c:v>2.8106289308176109</c:v>
                </c:pt>
                <c:pt idx="131">
                  <c:v>2.7137106918238985</c:v>
                </c:pt>
                <c:pt idx="132">
                  <c:v>2.6167924528301878</c:v>
                </c:pt>
                <c:pt idx="133">
                  <c:v>2.5198742138364771</c:v>
                </c:pt>
                <c:pt idx="134">
                  <c:v>2.4229559748427665</c:v>
                </c:pt>
                <c:pt idx="135">
                  <c:v>2.3260377358490576</c:v>
                </c:pt>
                <c:pt idx="136">
                  <c:v>2.2291194968553452</c:v>
                </c:pt>
                <c:pt idx="137">
                  <c:v>2.1322012578616345</c:v>
                </c:pt>
                <c:pt idx="138">
                  <c:v>2.0352830188679256</c:v>
                </c:pt>
                <c:pt idx="139">
                  <c:v>1.9383647798742132</c:v>
                </c:pt>
                <c:pt idx="140">
                  <c:v>1.8414465408805025</c:v>
                </c:pt>
                <c:pt idx="141">
                  <c:v>1.7445283018867936</c:v>
                </c:pt>
                <c:pt idx="142">
                  <c:v>1.647610062893083</c:v>
                </c:pt>
                <c:pt idx="143">
                  <c:v>1.5506918238993705</c:v>
                </c:pt>
                <c:pt idx="144">
                  <c:v>1.4537735849056599</c:v>
                </c:pt>
                <c:pt idx="145">
                  <c:v>1.356855345911951</c:v>
                </c:pt>
                <c:pt idx="146">
                  <c:v>1.2599371069182386</c:v>
                </c:pt>
                <c:pt idx="147">
                  <c:v>1.1630188679245279</c:v>
                </c:pt>
                <c:pt idx="148">
                  <c:v>1.066100628930819</c:v>
                </c:pt>
                <c:pt idx="149">
                  <c:v>0.96918238993710659</c:v>
                </c:pt>
                <c:pt idx="150">
                  <c:v>0.87226415094339593</c:v>
                </c:pt>
                <c:pt idx="151">
                  <c:v>0.77534591194968705</c:v>
                </c:pt>
                <c:pt idx="152">
                  <c:v>0.67842767295597461</c:v>
                </c:pt>
                <c:pt idx="153">
                  <c:v>0.58150943396226396</c:v>
                </c:pt>
                <c:pt idx="154">
                  <c:v>0.48459119496855507</c:v>
                </c:pt>
                <c:pt idx="155">
                  <c:v>0.38767295597484264</c:v>
                </c:pt>
                <c:pt idx="156">
                  <c:v>0.29075471698113198</c:v>
                </c:pt>
                <c:pt idx="157">
                  <c:v>0.19383647798742309</c:v>
                </c:pt>
                <c:pt idx="158">
                  <c:v>9.6918238993708883E-2</c:v>
                </c:pt>
                <c:pt idx="159">
                  <c:v>0</c:v>
                </c:pt>
              </c:numCache>
            </c:numRef>
          </c:val>
          <c:smooth val="0"/>
          <c:extLst>
            <c:ext xmlns:c16="http://schemas.microsoft.com/office/drawing/2014/chart" uri="{C3380CC4-5D6E-409C-BE32-E72D297353CC}">
              <c16:uniqueId val="{00000001-FCF7-4032-994F-0CE8F0106036}"/>
            </c:ext>
          </c:extLst>
        </c:ser>
        <c:dLbls>
          <c:showLegendKey val="0"/>
          <c:showVal val="0"/>
          <c:showCatName val="0"/>
          <c:showSerName val="0"/>
          <c:showPercent val="0"/>
          <c:showBubbleSize val="0"/>
        </c:dLbls>
        <c:hiLowLines>
          <c:spPr>
            <a:ln w="0">
              <a:noFill/>
            </a:ln>
          </c:spPr>
        </c:hiLowLines>
        <c:marker val="1"/>
        <c:smooth val="0"/>
        <c:axId val="19762951"/>
        <c:axId val="60544229"/>
      </c:lineChart>
      <c:dateAx>
        <c:axId val="91088363"/>
        <c:scaling>
          <c:orientation val="minMax"/>
        </c:scaling>
        <c:delete val="1"/>
        <c:axPos val="b"/>
        <c:numFmt formatCode="mm/dd/yyyy" sourceLinked="1"/>
        <c:majorTickMark val="none"/>
        <c:minorTickMark val="none"/>
        <c:tickLblPos val="nextTo"/>
        <c:crossAx val="25190534"/>
        <c:crosses val="autoZero"/>
        <c:auto val="1"/>
        <c:lblOffset val="100"/>
        <c:baseTimeUnit val="days"/>
      </c:dateAx>
      <c:valAx>
        <c:axId val="25190534"/>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91088363"/>
        <c:crosses val="autoZero"/>
        <c:crossBetween val="between"/>
      </c:valAx>
      <c:dateAx>
        <c:axId val="19762951"/>
        <c:scaling>
          <c:orientation val="minMax"/>
        </c:scaling>
        <c:delete val="1"/>
        <c:axPos val="b"/>
        <c:numFmt formatCode="mm/dd/yyyy" sourceLinked="1"/>
        <c:majorTickMark val="none"/>
        <c:minorTickMark val="none"/>
        <c:tickLblPos val="nextTo"/>
        <c:crossAx val="60544229"/>
        <c:crosses val="autoZero"/>
        <c:auto val="1"/>
        <c:lblOffset val="100"/>
        <c:baseTimeUnit val="days"/>
      </c:dateAx>
      <c:valAx>
        <c:axId val="60544229"/>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19762951"/>
        <c:crosses val="max"/>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TSM</a:t>
            </a:r>
          </a:p>
        </c:rich>
      </c:tx>
      <c:overlay val="0"/>
      <c:spPr>
        <a:noFill/>
        <a:ln w="0">
          <a:noFill/>
        </a:ln>
      </c:spPr>
    </c:title>
    <c:autoTitleDeleted val="0"/>
    <c:plotArea>
      <c:layout/>
      <c:barChart>
        <c:barDir val="col"/>
        <c:grouping val="clustered"/>
        <c:varyColors val="0"/>
        <c:ser>
          <c:idx val="0"/>
          <c:order val="0"/>
          <c:tx>
            <c:strRef>
              <c:f>'Returns (Calc)'!$L$2</c:f>
              <c:strCache>
                <c:ptCount val="1"/>
                <c:pt idx="0">
                  <c:v>TSM</c:v>
                </c:pt>
              </c:strCache>
            </c:strRef>
          </c:tx>
          <c:spPr>
            <a:solidFill>
              <a:srgbClr val="4F81BD"/>
            </a:solidFill>
            <a:ln w="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45156</c:v>
                </c:pt>
                <c:pt idx="1">
                  <c:v>45163</c:v>
                </c:pt>
                <c:pt idx="2">
                  <c:v>45170</c:v>
                </c:pt>
                <c:pt idx="3">
                  <c:v>45177</c:v>
                </c:pt>
                <c:pt idx="4">
                  <c:v>45184</c:v>
                </c:pt>
                <c:pt idx="5">
                  <c:v>45191</c:v>
                </c:pt>
                <c:pt idx="6">
                  <c:v>45198</c:v>
                </c:pt>
                <c:pt idx="7">
                  <c:v>45205</c:v>
                </c:pt>
                <c:pt idx="8">
                  <c:v>45212</c:v>
                </c:pt>
                <c:pt idx="9">
                  <c:v>45219</c:v>
                </c:pt>
                <c:pt idx="10">
                  <c:v>45226</c:v>
                </c:pt>
                <c:pt idx="11">
                  <c:v>45233</c:v>
                </c:pt>
                <c:pt idx="12">
                  <c:v>45240</c:v>
                </c:pt>
                <c:pt idx="13">
                  <c:v>45247</c:v>
                </c:pt>
                <c:pt idx="14">
                  <c:v>45254</c:v>
                </c:pt>
                <c:pt idx="15">
                  <c:v>45261</c:v>
                </c:pt>
                <c:pt idx="16">
                  <c:v>45268</c:v>
                </c:pt>
                <c:pt idx="17">
                  <c:v>45275</c:v>
                </c:pt>
                <c:pt idx="18">
                  <c:v>45282</c:v>
                </c:pt>
                <c:pt idx="19">
                  <c:v>45289</c:v>
                </c:pt>
                <c:pt idx="20">
                  <c:v>45296</c:v>
                </c:pt>
                <c:pt idx="21">
                  <c:v>45303</c:v>
                </c:pt>
                <c:pt idx="22">
                  <c:v>45310</c:v>
                </c:pt>
                <c:pt idx="23">
                  <c:v>45317</c:v>
                </c:pt>
                <c:pt idx="24">
                  <c:v>45324</c:v>
                </c:pt>
                <c:pt idx="25">
                  <c:v>45331</c:v>
                </c:pt>
                <c:pt idx="26">
                  <c:v>45338</c:v>
                </c:pt>
                <c:pt idx="27">
                  <c:v>45345</c:v>
                </c:pt>
                <c:pt idx="28">
                  <c:v>45352</c:v>
                </c:pt>
                <c:pt idx="29">
                  <c:v>45359</c:v>
                </c:pt>
                <c:pt idx="30">
                  <c:v>45366</c:v>
                </c:pt>
                <c:pt idx="31">
                  <c:v>45373</c:v>
                </c:pt>
                <c:pt idx="32">
                  <c:v>45379</c:v>
                </c:pt>
                <c:pt idx="33">
                  <c:v>45387</c:v>
                </c:pt>
                <c:pt idx="34">
                  <c:v>45394</c:v>
                </c:pt>
                <c:pt idx="35">
                  <c:v>45401</c:v>
                </c:pt>
                <c:pt idx="36">
                  <c:v>45408</c:v>
                </c:pt>
                <c:pt idx="37">
                  <c:v>45415</c:v>
                </c:pt>
                <c:pt idx="38">
                  <c:v>45422</c:v>
                </c:pt>
                <c:pt idx="39">
                  <c:v>45429</c:v>
                </c:pt>
                <c:pt idx="40">
                  <c:v>45436</c:v>
                </c:pt>
                <c:pt idx="41">
                  <c:v>45443</c:v>
                </c:pt>
                <c:pt idx="42">
                  <c:v>45450</c:v>
                </c:pt>
                <c:pt idx="43">
                  <c:v>45457</c:v>
                </c:pt>
                <c:pt idx="44">
                  <c:v>45464</c:v>
                </c:pt>
                <c:pt idx="45">
                  <c:v>45471</c:v>
                </c:pt>
                <c:pt idx="46">
                  <c:v>45478</c:v>
                </c:pt>
                <c:pt idx="47">
                  <c:v>45485</c:v>
                </c:pt>
                <c:pt idx="48">
                  <c:v>45492</c:v>
                </c:pt>
                <c:pt idx="49">
                  <c:v>45499</c:v>
                </c:pt>
                <c:pt idx="50">
                  <c:v>45506</c:v>
                </c:pt>
                <c:pt idx="51">
                  <c:v>45513</c:v>
                </c:pt>
                <c:pt idx="52">
                  <c:v>45520</c:v>
                </c:pt>
                <c:pt idx="53">
                  <c:v>45527</c:v>
                </c:pt>
                <c:pt idx="54">
                  <c:v>45534</c:v>
                </c:pt>
                <c:pt idx="55">
                  <c:v>45541</c:v>
                </c:pt>
                <c:pt idx="56">
                  <c:v>45548</c:v>
                </c:pt>
                <c:pt idx="57">
                  <c:v>45555</c:v>
                </c:pt>
                <c:pt idx="58">
                  <c:v>45562</c:v>
                </c:pt>
                <c:pt idx="59">
                  <c:v>45569</c:v>
                </c:pt>
                <c:pt idx="60">
                  <c:v>45576</c:v>
                </c:pt>
                <c:pt idx="61">
                  <c:v>45583</c:v>
                </c:pt>
                <c:pt idx="62">
                  <c:v>45590</c:v>
                </c:pt>
                <c:pt idx="63">
                  <c:v>45597</c:v>
                </c:pt>
                <c:pt idx="64">
                  <c:v>45604</c:v>
                </c:pt>
                <c:pt idx="65">
                  <c:v>45611</c:v>
                </c:pt>
                <c:pt idx="66">
                  <c:v>45618</c:v>
                </c:pt>
                <c:pt idx="67">
                  <c:v>45625</c:v>
                </c:pt>
                <c:pt idx="68">
                  <c:v>45632</c:v>
                </c:pt>
                <c:pt idx="69">
                  <c:v>45639</c:v>
                </c:pt>
                <c:pt idx="70">
                  <c:v>45646</c:v>
                </c:pt>
                <c:pt idx="71">
                  <c:v>45653</c:v>
                </c:pt>
                <c:pt idx="72">
                  <c:v>45660</c:v>
                </c:pt>
                <c:pt idx="73">
                  <c:v>45667</c:v>
                </c:pt>
                <c:pt idx="74">
                  <c:v>45674</c:v>
                </c:pt>
                <c:pt idx="75">
                  <c:v>45681</c:v>
                </c:pt>
                <c:pt idx="76">
                  <c:v>45688</c:v>
                </c:pt>
                <c:pt idx="77">
                  <c:v>45695</c:v>
                </c:pt>
                <c:pt idx="78">
                  <c:v>45702</c:v>
                </c:pt>
                <c:pt idx="79">
                  <c:v>45709</c:v>
                </c:pt>
                <c:pt idx="80">
                  <c:v>45716</c:v>
                </c:pt>
                <c:pt idx="81">
                  <c:v>45723</c:v>
                </c:pt>
                <c:pt idx="82">
                  <c:v>45730</c:v>
                </c:pt>
                <c:pt idx="83">
                  <c:v>45737</c:v>
                </c:pt>
                <c:pt idx="84">
                  <c:v>45744</c:v>
                </c:pt>
                <c:pt idx="85">
                  <c:v>45751</c:v>
                </c:pt>
                <c:pt idx="86">
                  <c:v>45758</c:v>
                </c:pt>
                <c:pt idx="87">
                  <c:v>45764</c:v>
                </c:pt>
                <c:pt idx="88">
                  <c:v>45772</c:v>
                </c:pt>
                <c:pt idx="89">
                  <c:v>45779</c:v>
                </c:pt>
                <c:pt idx="90">
                  <c:v>45786</c:v>
                </c:pt>
                <c:pt idx="91">
                  <c:v>45793</c:v>
                </c:pt>
                <c:pt idx="92">
                  <c:v>45800</c:v>
                </c:pt>
                <c:pt idx="93">
                  <c:v>45807</c:v>
                </c:pt>
                <c:pt idx="94">
                  <c:v>45814</c:v>
                </c:pt>
                <c:pt idx="95">
                  <c:v>45821</c:v>
                </c:pt>
                <c:pt idx="96">
                  <c:v>45828</c:v>
                </c:pt>
                <c:pt idx="97">
                  <c:v>45835</c:v>
                </c:pt>
                <c:pt idx="98">
                  <c:v>45841</c:v>
                </c:pt>
                <c:pt idx="99">
                  <c:v>45849</c:v>
                </c:pt>
                <c:pt idx="100">
                  <c:v>45856</c:v>
                </c:pt>
                <c:pt idx="101">
                  <c:v>45863</c:v>
                </c:pt>
                <c:pt idx="102">
                  <c:v>45870</c:v>
                </c:pt>
                <c:pt idx="103">
                  <c:v>45877</c:v>
                </c:pt>
                <c:pt idx="104">
                  <c:v>45884</c:v>
                </c:pt>
                <c:pt idx="105">
                  <c:v>45891</c:v>
                </c:pt>
                <c:pt idx="106">
                  <c:v>45898</c:v>
                </c:pt>
                <c:pt idx="107">
                  <c:v>45905</c:v>
                </c:pt>
                <c:pt idx="108">
                  <c:v>45912</c:v>
                </c:pt>
                <c:pt idx="109">
                  <c:v>45919</c:v>
                </c:pt>
                <c:pt idx="110">
                  <c:v>45926</c:v>
                </c:pt>
                <c:pt idx="111">
                  <c:v>45933</c:v>
                </c:pt>
                <c:pt idx="112">
                  <c:v>45940</c:v>
                </c:pt>
                <c:pt idx="113">
                  <c:v>45947</c:v>
                </c:pt>
                <c:pt idx="114">
                  <c:v>45954</c:v>
                </c:pt>
                <c:pt idx="115">
                  <c:v>45961</c:v>
                </c:pt>
                <c:pt idx="116">
                  <c:v>45968</c:v>
                </c:pt>
                <c:pt idx="117">
                  <c:v>45975</c:v>
                </c:pt>
                <c:pt idx="118">
                  <c:v>45982</c:v>
                </c:pt>
                <c:pt idx="119">
                  <c:v>45989</c:v>
                </c:pt>
                <c:pt idx="120">
                  <c:v>45996</c:v>
                </c:pt>
                <c:pt idx="121">
                  <c:v>46003</c:v>
                </c:pt>
                <c:pt idx="122">
                  <c:v>46010</c:v>
                </c:pt>
                <c:pt idx="123">
                  <c:v>46017</c:v>
                </c:pt>
                <c:pt idx="124">
                  <c:v>46024</c:v>
                </c:pt>
                <c:pt idx="125">
                  <c:v>46031</c:v>
                </c:pt>
                <c:pt idx="126">
                  <c:v>46038</c:v>
                </c:pt>
                <c:pt idx="127">
                  <c:v>46045</c:v>
                </c:pt>
                <c:pt idx="128">
                  <c:v>46052</c:v>
                </c:pt>
                <c:pt idx="129">
                  <c:v>46059</c:v>
                </c:pt>
                <c:pt idx="130">
                  <c:v>46066</c:v>
                </c:pt>
                <c:pt idx="131">
                  <c:v>46073</c:v>
                </c:pt>
                <c:pt idx="132">
                  <c:v>46080</c:v>
                </c:pt>
                <c:pt idx="133">
                  <c:v>46087</c:v>
                </c:pt>
                <c:pt idx="134">
                  <c:v>46094</c:v>
                </c:pt>
                <c:pt idx="135">
                  <c:v>46101</c:v>
                </c:pt>
                <c:pt idx="136">
                  <c:v>46108</c:v>
                </c:pt>
                <c:pt idx="137">
                  <c:v>46114</c:v>
                </c:pt>
                <c:pt idx="138">
                  <c:v>46122</c:v>
                </c:pt>
                <c:pt idx="139">
                  <c:v>46129</c:v>
                </c:pt>
                <c:pt idx="140">
                  <c:v>46136</c:v>
                </c:pt>
                <c:pt idx="141">
                  <c:v>46143</c:v>
                </c:pt>
                <c:pt idx="142">
                  <c:v>46150</c:v>
                </c:pt>
                <c:pt idx="143">
                  <c:v>46157</c:v>
                </c:pt>
                <c:pt idx="144">
                  <c:v>46164</c:v>
                </c:pt>
                <c:pt idx="145">
                  <c:v>46171</c:v>
                </c:pt>
                <c:pt idx="146">
                  <c:v>46178</c:v>
                </c:pt>
                <c:pt idx="147">
                  <c:v>46185</c:v>
                </c:pt>
                <c:pt idx="148">
                  <c:v>46191</c:v>
                </c:pt>
                <c:pt idx="149">
                  <c:v>46199</c:v>
                </c:pt>
                <c:pt idx="150">
                  <c:v>46205</c:v>
                </c:pt>
                <c:pt idx="151">
                  <c:v>46213</c:v>
                </c:pt>
                <c:pt idx="152">
                  <c:v>46220</c:v>
                </c:pt>
                <c:pt idx="153">
                  <c:v>46227</c:v>
                </c:pt>
                <c:pt idx="154">
                  <c:v>46234</c:v>
                </c:pt>
                <c:pt idx="155">
                  <c:v>46241</c:v>
                </c:pt>
                <c:pt idx="156">
                  <c:v>46248</c:v>
                </c:pt>
                <c:pt idx="157">
                  <c:v>46255</c:v>
                </c:pt>
                <c:pt idx="158">
                  <c:v>46262</c:v>
                </c:pt>
                <c:pt idx="159">
                  <c:v>46269</c:v>
                </c:pt>
              </c:numCache>
            </c:numRef>
          </c:cat>
          <c:val>
            <c:numRef>
              <c:f>'Returns (Calc)'!$L$3:$L$500</c:f>
              <c:numCache>
                <c:formatCode>0.0%</c:formatCode>
                <c:ptCount val="498"/>
                <c:pt idx="0">
                  <c:v>-9.6749646700728942E-3</c:v>
                </c:pt>
                <c:pt idx="1">
                  <c:v>2.1953896816685026E-2</c:v>
                </c:pt>
                <c:pt idx="2">
                  <c:v>9.6670247046182212E-4</c:v>
                </c:pt>
                <c:pt idx="3">
                  <c:v>-3.8094216117609103E-2</c:v>
                </c:pt>
                <c:pt idx="4">
                  <c:v>-4.3507362784471759E-3</c:v>
                </c:pt>
                <c:pt idx="5">
                  <c:v>-4.0448179271708629E-2</c:v>
                </c:pt>
                <c:pt idx="6">
                  <c:v>1.4712751050910855E-2</c:v>
                </c:pt>
                <c:pt idx="7">
                  <c:v>2.7502876869965442E-2</c:v>
                </c:pt>
                <c:pt idx="8">
                  <c:v>1.3103371038190037E-2</c:v>
                </c:pt>
                <c:pt idx="9">
                  <c:v>9.3964183064338958E-3</c:v>
                </c:pt>
                <c:pt idx="10">
                  <c:v>-5.8263059905815484E-2</c:v>
                </c:pt>
                <c:pt idx="11">
                  <c:v>6.744970345389012E-2</c:v>
                </c:pt>
                <c:pt idx="12">
                  <c:v>6.155354613792352E-2</c:v>
                </c:pt>
                <c:pt idx="13">
                  <c:v>2.1962233169129819E-2</c:v>
                </c:pt>
                <c:pt idx="14">
                  <c:v>-1.7573810002008416E-2</c:v>
                </c:pt>
                <c:pt idx="15">
                  <c:v>7.3597056117755688E-3</c:v>
                </c:pt>
                <c:pt idx="16">
                  <c:v>1.8264840182648401E-2</c:v>
                </c:pt>
                <c:pt idx="17">
                  <c:v>2.1823617339312484E-2</c:v>
                </c:pt>
                <c:pt idx="18">
                  <c:v>5.9488979910278239E-3</c:v>
                </c:pt>
                <c:pt idx="19">
                  <c:v>8.2404265632574081E-3</c:v>
                </c:pt>
                <c:pt idx="20">
                  <c:v>-4.2211538461538467E-2</c:v>
                </c:pt>
                <c:pt idx="21">
                  <c:v>1.6363818893685433E-2</c:v>
                </c:pt>
                <c:pt idx="22">
                  <c:v>0.12801264322402228</c:v>
                </c:pt>
                <c:pt idx="23">
                  <c:v>2.6795096322241641E-2</c:v>
                </c:pt>
                <c:pt idx="24">
                  <c:v>-1.2877366535903212E-2</c:v>
                </c:pt>
                <c:pt idx="25">
                  <c:v>0.14997840172786181</c:v>
                </c:pt>
                <c:pt idx="26">
                  <c:v>-4.8230786567500683E-2</c:v>
                </c:pt>
                <c:pt idx="27">
                  <c:v>2.2416923198358196E-2</c:v>
                </c:pt>
                <c:pt idx="28">
                  <c:v>3.373735814097123E-2</c:v>
                </c:pt>
                <c:pt idx="29">
                  <c:v>9.3129200896191255E-2</c:v>
                </c:pt>
                <c:pt idx="30">
                  <c:v>-6.415249026439851E-2</c:v>
                </c:pt>
                <c:pt idx="31">
                  <c:v>2.5989195502993168E-2</c:v>
                </c:pt>
                <c:pt idx="32">
                  <c:v>-3.1948199800768351E-2</c:v>
                </c:pt>
                <c:pt idx="33">
                  <c:v>3.902976846747519E-2</c:v>
                </c:pt>
                <c:pt idx="34">
                  <c:v>8.2059988681379981E-3</c:v>
                </c:pt>
                <c:pt idx="35">
                  <c:v>-0.10398540555711488</c:v>
                </c:pt>
                <c:pt idx="36">
                  <c:v>8.3007047768206776E-2</c:v>
                </c:pt>
                <c:pt idx="37">
                  <c:v>2.357194504699911E-2</c:v>
                </c:pt>
                <c:pt idx="38">
                  <c:v>5.4393896580954948E-2</c:v>
                </c:pt>
                <c:pt idx="39">
                  <c:v>1.6213319040600416E-2</c:v>
                </c:pt>
                <c:pt idx="40">
                  <c:v>5.4852320675105481E-2</c:v>
                </c:pt>
                <c:pt idx="41">
                  <c:v>-5.600000000000005E-2</c:v>
                </c:pt>
                <c:pt idx="42">
                  <c:v>8.8387182203389703E-2</c:v>
                </c:pt>
                <c:pt idx="43">
                  <c:v>4.9394732039661715E-2</c:v>
                </c:pt>
                <c:pt idx="44">
                  <c:v>8.4053098371110746E-3</c:v>
                </c:pt>
                <c:pt idx="45">
                  <c:v>-8.6226718785931133E-4</c:v>
                </c:pt>
                <c:pt idx="46">
                  <c:v>5.856970254876015E-2</c:v>
                </c:pt>
                <c:pt idx="47">
                  <c:v>1.8261862057720402E-2</c:v>
                </c:pt>
                <c:pt idx="48">
                  <c:v>-0.11518548171870824</c:v>
                </c:pt>
                <c:pt idx="49">
                  <c:v>-2.3104301140133954E-2</c:v>
                </c:pt>
                <c:pt idx="50">
                  <c:v>-7.4595529208348665E-2</c:v>
                </c:pt>
                <c:pt idx="51">
                  <c:v>0.11517416255171486</c:v>
                </c:pt>
                <c:pt idx="52">
                  <c:v>4.4399234083293271E-2</c:v>
                </c:pt>
                <c:pt idx="53">
                  <c:v>-1.867766701042739E-2</c:v>
                </c:pt>
                <c:pt idx="54">
                  <c:v>2.4521251751516981E-3</c:v>
                </c:pt>
                <c:pt idx="55">
                  <c:v>-8.6662783925451348E-2</c:v>
                </c:pt>
                <c:pt idx="56">
                  <c:v>9.9987246524678053E-2</c:v>
                </c:pt>
                <c:pt idx="57">
                  <c:v>9.1594202898550581E-3</c:v>
                </c:pt>
                <c:pt idx="58">
                  <c:v>2.234604779411753E-2</c:v>
                </c:pt>
                <c:pt idx="59">
                  <c:v>1.792436927572072E-2</c:v>
                </c:pt>
                <c:pt idx="60">
                  <c:v>5.32678295429454E-2</c:v>
                </c:pt>
                <c:pt idx="61">
                  <c:v>5.225093024474603E-2</c:v>
                </c:pt>
                <c:pt idx="62">
                  <c:v>1.3248331507122124E-2</c:v>
                </c:pt>
                <c:pt idx="63">
                  <c:v>-5.1563114431773527E-2</c:v>
                </c:pt>
                <c:pt idx="64">
                  <c:v>4.275719098211983E-2</c:v>
                </c:pt>
                <c:pt idx="65">
                  <c:v>-7.549701789264418E-2</c:v>
                </c:pt>
                <c:pt idx="66">
                  <c:v>2.1880544056771312E-2</c:v>
                </c:pt>
                <c:pt idx="67">
                  <c:v>-2.8514309764309798E-2</c:v>
                </c:pt>
                <c:pt idx="68">
                  <c:v>9.9425972056752965E-2</c:v>
                </c:pt>
                <c:pt idx="69">
                  <c:v>-9.9990148753817953E-3</c:v>
                </c:pt>
                <c:pt idx="70">
                  <c:v>-1.8806905816209807E-2</c:v>
                </c:pt>
                <c:pt idx="71">
                  <c:v>2.2412656558997934E-2</c:v>
                </c:pt>
                <c:pt idx="72">
                  <c:v>3.4617864405098508E-2</c:v>
                </c:pt>
                <c:pt idx="73">
                  <c:v>-1.1504721729543865E-3</c:v>
                </c:pt>
                <c:pt idx="74">
                  <c:v>1.502135624130152E-2</c:v>
                </c:pt>
                <c:pt idx="75">
                  <c:v>4.9078014184397167E-2</c:v>
                </c:pt>
                <c:pt idx="76">
                  <c:v>-5.6607175049576353E-2</c:v>
                </c:pt>
                <c:pt idx="77">
                  <c:v>-1.528759793617418E-2</c:v>
                </c:pt>
                <c:pt idx="78">
                  <c:v>-1.0770424995148464E-2</c:v>
                </c:pt>
                <c:pt idx="79">
                  <c:v>-2.7758705247670434E-2</c:v>
                </c:pt>
                <c:pt idx="80">
                  <c:v>-8.9336158192090398E-2</c:v>
                </c:pt>
                <c:pt idx="81">
                  <c:v>-1.8999612252811215E-2</c:v>
                </c:pt>
                <c:pt idx="82">
                  <c:v>-1.6996047430829941E-2</c:v>
                </c:pt>
                <c:pt idx="83">
                  <c:v>1.5164570049974069E-2</c:v>
                </c:pt>
                <c:pt idx="84">
                  <c:v>-6.4957845300741224E-2</c:v>
                </c:pt>
                <c:pt idx="85">
                  <c:v>-0.11164901664145233</c:v>
                </c:pt>
                <c:pt idx="86">
                  <c:v>7.0027247956403249E-2</c:v>
                </c:pt>
                <c:pt idx="87">
                  <c:v>-3.3995416348357566E-2</c:v>
                </c:pt>
                <c:pt idx="88">
                  <c:v>8.804534071437975E-2</c:v>
                </c:pt>
                <c:pt idx="89">
                  <c:v>8.5887341005451256E-2</c:v>
                </c:pt>
                <c:pt idx="90">
                  <c:v>-1.53949129852744E-2</c:v>
                </c:pt>
                <c:pt idx="91">
                  <c:v>0.10027192386131878</c:v>
                </c:pt>
                <c:pt idx="92">
                  <c:v>-1.1533312738132073E-2</c:v>
                </c:pt>
                <c:pt idx="93">
                  <c:v>6.9798937389311533E-3</c:v>
                </c:pt>
                <c:pt idx="94">
                  <c:v>6.1349058555762559E-2</c:v>
                </c:pt>
                <c:pt idx="95">
                  <c:v>2.8852714689540759E-2</c:v>
                </c:pt>
                <c:pt idx="96">
                  <c:v>-7.531975367124577E-3</c:v>
                </c:pt>
                <c:pt idx="97">
                  <c:v>9.0974177843539783E-2</c:v>
                </c:pt>
                <c:pt idx="98">
                  <c:v>2.725642035262732E-2</c:v>
                </c:pt>
                <c:pt idx="99">
                  <c:v>-1.8739352640545159E-2</c:v>
                </c:pt>
                <c:pt idx="100">
                  <c:v>4.3402777777777679E-2</c:v>
                </c:pt>
                <c:pt idx="101">
                  <c:v>2.1630615640598982E-2</c:v>
                </c:pt>
                <c:pt idx="102">
                  <c:v>-4.2304560260586266E-2</c:v>
                </c:pt>
                <c:pt idx="103">
                  <c:v>2.8145061859614851E-2</c:v>
                </c:pt>
                <c:pt idx="104">
                  <c:v>-1.2198651945581673E-2</c:v>
                </c:pt>
                <c:pt idx="105">
                  <c:v>-2.4656731413261856E-2</c:v>
                </c:pt>
                <c:pt idx="106">
                  <c:v>-9.0991029657925271E-3</c:v>
                </c:pt>
                <c:pt idx="107">
                  <c:v>5.431628189024118E-2</c:v>
                </c:pt>
                <c:pt idx="108">
                  <c:v>6.5404050778521849E-2</c:v>
                </c:pt>
                <c:pt idx="109">
                  <c:v>2.1362742451702443E-2</c:v>
                </c:pt>
                <c:pt idx="110">
                  <c:v>3.2053460188016691E-2</c:v>
                </c:pt>
                <c:pt idx="111">
                  <c:v>6.8883523558677107E-2</c:v>
                </c:pt>
                <c:pt idx="112">
                  <c:v>-3.9460624935829358E-2</c:v>
                </c:pt>
                <c:pt idx="113">
                  <c:v>5.1378892610275617E-2</c:v>
                </c:pt>
                <c:pt idx="114">
                  <c:v>-4.0666937779587631E-4</c:v>
                </c:pt>
                <c:pt idx="115">
                  <c:v>1.8544887442365265E-2</c:v>
                </c:pt>
                <c:pt idx="116">
                  <c:v>-4.636687414705587E-2</c:v>
                </c:pt>
                <c:pt idx="117">
                  <c:v>-5.8638743455498021E-3</c:v>
                </c:pt>
                <c:pt idx="118">
                  <c:v>-3.4267256512885313E-2</c:v>
                </c:pt>
                <c:pt idx="119">
                  <c:v>5.9805133425434365E-2</c:v>
                </c:pt>
                <c:pt idx="120">
                  <c:v>1.1011629103632847E-2</c:v>
                </c:pt>
                <c:pt idx="121">
                  <c:v>-9.0933767643865959E-3</c:v>
                </c:pt>
                <c:pt idx="122">
                  <c:v>-1.0580742364059814E-2</c:v>
                </c:pt>
                <c:pt idx="123">
                  <c:v>4.8070600449904743E-2</c:v>
                </c:pt>
                <c:pt idx="124">
                  <c:v>5.5375775987320131E-2</c:v>
                </c:pt>
                <c:pt idx="125">
                  <c:v>1.2577829229373227E-2</c:v>
                </c:pt>
                <c:pt idx="126">
                  <c:v>5.7998331427865146E-2</c:v>
                </c:pt>
                <c:pt idx="127">
                  <c:v>-2.1991822429906493E-2</c:v>
                </c:pt>
                <c:pt idx="128">
                  <c:v>-1.2870666228685712E-2</c:v>
                </c:pt>
                <c:pt idx="129">
                  <c:v>5.5330348499516013E-2</c:v>
                </c:pt>
                <c:pt idx="130">
                  <c:v>5.0193492905260095E-2</c:v>
                </c:pt>
                <c:pt idx="131">
                  <c:v>1.1409542526476635E-2</c:v>
                </c:pt>
                <c:pt idx="132">
                  <c:v>1.0903006423058192E-2</c:v>
                </c:pt>
                <c:pt idx="133">
                  <c:v>-9.52800469859576E-2</c:v>
                </c:pt>
                <c:pt idx="134">
                  <c:v>-1.7114697984595972E-3</c:v>
                </c:pt>
                <c:pt idx="135">
                  <c:v>-2.6809730720345204E-2</c:v>
                </c:pt>
                <c:pt idx="136">
                  <c:v>-7.5932450492042225E-3</c:v>
                </c:pt>
                <c:pt idx="137">
                  <c:v>3.7644610393585243E-2</c:v>
                </c:pt>
                <c:pt idx="138">
                  <c:v>9.3086361491269365E-2</c:v>
                </c:pt>
                <c:pt idx="139">
                  <c:v>-2.6983270372371582E-4</c:v>
                </c:pt>
                <c:pt idx="140">
                  <c:v>8.6261808367071424E-2</c:v>
                </c:pt>
                <c:pt idx="141">
                  <c:v>-1.190180390597817E-2</c:v>
                </c:pt>
                <c:pt idx="142">
                  <c:v>3.523021600824805E-2</c:v>
                </c:pt>
                <c:pt idx="143">
                  <c:v>-1.7805091333074174E-2</c:v>
                </c:pt>
                <c:pt idx="144">
                  <c:v>4.2042784716200821E-4</c:v>
                </c:pt>
                <c:pt idx="145">
                  <c:v>3.4435874616829842E-2</c:v>
                </c:pt>
                <c:pt idx="146">
                  <c:v>-7.8384514278885264E-3</c:v>
                </c:pt>
                <c:pt idx="147">
                  <c:v>2.1099790447286715E-2</c:v>
                </c:pt>
                <c:pt idx="148">
                  <c:v>9.0085627344137054E-2</c:v>
                </c:pt>
                <c:pt idx="149">
                  <c:v>-6.4420496840647434E-2</c:v>
                </c:pt>
                <c:pt idx="150">
                  <c:v>4.186423036891318E-3</c:v>
                </c:pt>
                <c:pt idx="151">
                  <c:v>-1.1516491615992663E-4</c:v>
                </c:pt>
                <c:pt idx="152">
                  <c:v>-8.2329363525373789E-2</c:v>
                </c:pt>
                <c:pt idx="153">
                  <c:v>1.265155508697946E-2</c:v>
                </c:pt>
                <c:pt idx="154">
                  <c:v>2.0822488287348673E-3</c:v>
                </c:pt>
                <c:pt idx="155">
                  <c:v>3.905998763141616E-2</c:v>
                </c:pt>
                <c:pt idx="156">
                  <c:v>1.5022378821064608E-2</c:v>
                </c:pt>
                <c:pt idx="157">
                  <c:v>-1.7356631875219963E-2</c:v>
                </c:pt>
                <c:pt idx="158">
                  <c:v>-3.4132951426184555E-3</c:v>
                </c:pt>
                <c:pt idx="159">
                  <c:v>2.7280130293159788E-2</c:v>
                </c:pt>
              </c:numCache>
            </c:numRef>
          </c:val>
          <c:extLst>
            <c:ext xmlns:c16="http://schemas.microsoft.com/office/drawing/2014/chart" uri="{C3380CC4-5D6E-409C-BE32-E72D297353CC}">
              <c16:uniqueId val="{00000000-1DC0-414B-ABA7-518B65109B47}"/>
            </c:ext>
          </c:extLst>
        </c:ser>
        <c:dLbls>
          <c:showLegendKey val="0"/>
          <c:showVal val="0"/>
          <c:showCatName val="0"/>
          <c:showSerName val="0"/>
          <c:showPercent val="0"/>
          <c:showBubbleSize val="0"/>
        </c:dLbls>
        <c:gapWidth val="150"/>
        <c:axId val="47293385"/>
        <c:axId val="31146358"/>
      </c:barChart>
      <c:lineChart>
        <c:grouping val="standard"/>
        <c:varyColors val="0"/>
        <c:ser>
          <c:idx val="1"/>
          <c:order val="1"/>
          <c:tx>
            <c:strRef>
              <c:f>'Returns (Calc)'!$AG$2</c:f>
              <c:strCache>
                <c:ptCount val="1"/>
                <c:pt idx="0">
                  <c:v>TSM trend</c:v>
                </c:pt>
              </c:strCache>
            </c:strRef>
          </c:tx>
          <c:spPr>
            <a:ln w="201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45156</c:v>
                </c:pt>
                <c:pt idx="1">
                  <c:v>45163</c:v>
                </c:pt>
                <c:pt idx="2">
                  <c:v>45170</c:v>
                </c:pt>
                <c:pt idx="3">
                  <c:v>45177</c:v>
                </c:pt>
                <c:pt idx="4">
                  <c:v>45184</c:v>
                </c:pt>
                <c:pt idx="5">
                  <c:v>45191</c:v>
                </c:pt>
                <c:pt idx="6">
                  <c:v>45198</c:v>
                </c:pt>
                <c:pt idx="7">
                  <c:v>45205</c:v>
                </c:pt>
                <c:pt idx="8">
                  <c:v>45212</c:v>
                </c:pt>
                <c:pt idx="9">
                  <c:v>45219</c:v>
                </c:pt>
                <c:pt idx="10">
                  <c:v>45226</c:v>
                </c:pt>
                <c:pt idx="11">
                  <c:v>45233</c:v>
                </c:pt>
                <c:pt idx="12">
                  <c:v>45240</c:v>
                </c:pt>
                <c:pt idx="13">
                  <c:v>45247</c:v>
                </c:pt>
                <c:pt idx="14">
                  <c:v>45254</c:v>
                </c:pt>
                <c:pt idx="15">
                  <c:v>45261</c:v>
                </c:pt>
                <c:pt idx="16">
                  <c:v>45268</c:v>
                </c:pt>
                <c:pt idx="17">
                  <c:v>45275</c:v>
                </c:pt>
                <c:pt idx="18">
                  <c:v>45282</c:v>
                </c:pt>
                <c:pt idx="19">
                  <c:v>45289</c:v>
                </c:pt>
                <c:pt idx="20">
                  <c:v>45296</c:v>
                </c:pt>
                <c:pt idx="21">
                  <c:v>45303</c:v>
                </c:pt>
                <c:pt idx="22">
                  <c:v>45310</c:v>
                </c:pt>
                <c:pt idx="23">
                  <c:v>45317</c:v>
                </c:pt>
                <c:pt idx="24">
                  <c:v>45324</c:v>
                </c:pt>
                <c:pt idx="25">
                  <c:v>45331</c:v>
                </c:pt>
                <c:pt idx="26">
                  <c:v>45338</c:v>
                </c:pt>
                <c:pt idx="27">
                  <c:v>45345</c:v>
                </c:pt>
                <c:pt idx="28">
                  <c:v>45352</c:v>
                </c:pt>
                <c:pt idx="29">
                  <c:v>45359</c:v>
                </c:pt>
                <c:pt idx="30">
                  <c:v>45366</c:v>
                </c:pt>
                <c:pt idx="31">
                  <c:v>45373</c:v>
                </c:pt>
                <c:pt idx="32">
                  <c:v>45379</c:v>
                </c:pt>
                <c:pt idx="33">
                  <c:v>45387</c:v>
                </c:pt>
                <c:pt idx="34">
                  <c:v>45394</c:v>
                </c:pt>
                <c:pt idx="35">
                  <c:v>45401</c:v>
                </c:pt>
                <c:pt idx="36">
                  <c:v>45408</c:v>
                </c:pt>
                <c:pt idx="37">
                  <c:v>45415</c:v>
                </c:pt>
                <c:pt idx="38">
                  <c:v>45422</c:v>
                </c:pt>
                <c:pt idx="39">
                  <c:v>45429</c:v>
                </c:pt>
                <c:pt idx="40">
                  <c:v>45436</c:v>
                </c:pt>
                <c:pt idx="41">
                  <c:v>45443</c:v>
                </c:pt>
                <c:pt idx="42">
                  <c:v>45450</c:v>
                </c:pt>
                <c:pt idx="43">
                  <c:v>45457</c:v>
                </c:pt>
                <c:pt idx="44">
                  <c:v>45464</c:v>
                </c:pt>
                <c:pt idx="45">
                  <c:v>45471</c:v>
                </c:pt>
                <c:pt idx="46">
                  <c:v>45478</c:v>
                </c:pt>
                <c:pt idx="47">
                  <c:v>45485</c:v>
                </c:pt>
                <c:pt idx="48">
                  <c:v>45492</c:v>
                </c:pt>
                <c:pt idx="49">
                  <c:v>45499</c:v>
                </c:pt>
                <c:pt idx="50">
                  <c:v>45506</c:v>
                </c:pt>
                <c:pt idx="51">
                  <c:v>45513</c:v>
                </c:pt>
                <c:pt idx="52">
                  <c:v>45520</c:v>
                </c:pt>
                <c:pt idx="53">
                  <c:v>45527</c:v>
                </c:pt>
                <c:pt idx="54">
                  <c:v>45534</c:v>
                </c:pt>
                <c:pt idx="55">
                  <c:v>45541</c:v>
                </c:pt>
                <c:pt idx="56">
                  <c:v>45548</c:v>
                </c:pt>
                <c:pt idx="57">
                  <c:v>45555</c:v>
                </c:pt>
                <c:pt idx="58">
                  <c:v>45562</c:v>
                </c:pt>
                <c:pt idx="59">
                  <c:v>45569</c:v>
                </c:pt>
                <c:pt idx="60">
                  <c:v>45576</c:v>
                </c:pt>
                <c:pt idx="61">
                  <c:v>45583</c:v>
                </c:pt>
                <c:pt idx="62">
                  <c:v>45590</c:v>
                </c:pt>
                <c:pt idx="63">
                  <c:v>45597</c:v>
                </c:pt>
                <c:pt idx="64">
                  <c:v>45604</c:v>
                </c:pt>
                <c:pt idx="65">
                  <c:v>45611</c:v>
                </c:pt>
                <c:pt idx="66">
                  <c:v>45618</c:v>
                </c:pt>
                <c:pt idx="67">
                  <c:v>45625</c:v>
                </c:pt>
                <c:pt idx="68">
                  <c:v>45632</c:v>
                </c:pt>
                <c:pt idx="69">
                  <c:v>45639</c:v>
                </c:pt>
                <c:pt idx="70">
                  <c:v>45646</c:v>
                </c:pt>
                <c:pt idx="71">
                  <c:v>45653</c:v>
                </c:pt>
                <c:pt idx="72">
                  <c:v>45660</c:v>
                </c:pt>
                <c:pt idx="73">
                  <c:v>45667</c:v>
                </c:pt>
                <c:pt idx="74">
                  <c:v>45674</c:v>
                </c:pt>
                <c:pt idx="75">
                  <c:v>45681</c:v>
                </c:pt>
                <c:pt idx="76">
                  <c:v>45688</c:v>
                </c:pt>
                <c:pt idx="77">
                  <c:v>45695</c:v>
                </c:pt>
                <c:pt idx="78">
                  <c:v>45702</c:v>
                </c:pt>
                <c:pt idx="79">
                  <c:v>45709</c:v>
                </c:pt>
                <c:pt idx="80">
                  <c:v>45716</c:v>
                </c:pt>
                <c:pt idx="81">
                  <c:v>45723</c:v>
                </c:pt>
                <c:pt idx="82">
                  <c:v>45730</c:v>
                </c:pt>
                <c:pt idx="83">
                  <c:v>45737</c:v>
                </c:pt>
                <c:pt idx="84">
                  <c:v>45744</c:v>
                </c:pt>
                <c:pt idx="85">
                  <c:v>45751</c:v>
                </c:pt>
                <c:pt idx="86">
                  <c:v>45758</c:v>
                </c:pt>
                <c:pt idx="87">
                  <c:v>45764</c:v>
                </c:pt>
                <c:pt idx="88">
                  <c:v>45772</c:v>
                </c:pt>
                <c:pt idx="89">
                  <c:v>45779</c:v>
                </c:pt>
                <c:pt idx="90">
                  <c:v>45786</c:v>
                </c:pt>
                <c:pt idx="91">
                  <c:v>45793</c:v>
                </c:pt>
                <c:pt idx="92">
                  <c:v>45800</c:v>
                </c:pt>
                <c:pt idx="93">
                  <c:v>45807</c:v>
                </c:pt>
                <c:pt idx="94">
                  <c:v>45814</c:v>
                </c:pt>
                <c:pt idx="95">
                  <c:v>45821</c:v>
                </c:pt>
                <c:pt idx="96">
                  <c:v>45828</c:v>
                </c:pt>
                <c:pt idx="97">
                  <c:v>45835</c:v>
                </c:pt>
                <c:pt idx="98">
                  <c:v>45841</c:v>
                </c:pt>
                <c:pt idx="99">
                  <c:v>45849</c:v>
                </c:pt>
                <c:pt idx="100">
                  <c:v>45856</c:v>
                </c:pt>
                <c:pt idx="101">
                  <c:v>45863</c:v>
                </c:pt>
                <c:pt idx="102">
                  <c:v>45870</c:v>
                </c:pt>
                <c:pt idx="103">
                  <c:v>45877</c:v>
                </c:pt>
                <c:pt idx="104">
                  <c:v>45884</c:v>
                </c:pt>
                <c:pt idx="105">
                  <c:v>45891</c:v>
                </c:pt>
                <c:pt idx="106">
                  <c:v>45898</c:v>
                </c:pt>
                <c:pt idx="107">
                  <c:v>45905</c:v>
                </c:pt>
                <c:pt idx="108">
                  <c:v>45912</c:v>
                </c:pt>
                <c:pt idx="109">
                  <c:v>45919</c:v>
                </c:pt>
                <c:pt idx="110">
                  <c:v>45926</c:v>
                </c:pt>
                <c:pt idx="111">
                  <c:v>45933</c:v>
                </c:pt>
                <c:pt idx="112">
                  <c:v>45940</c:v>
                </c:pt>
                <c:pt idx="113">
                  <c:v>45947</c:v>
                </c:pt>
                <c:pt idx="114">
                  <c:v>45954</c:v>
                </c:pt>
                <c:pt idx="115">
                  <c:v>45961</c:v>
                </c:pt>
                <c:pt idx="116">
                  <c:v>45968</c:v>
                </c:pt>
                <c:pt idx="117">
                  <c:v>45975</c:v>
                </c:pt>
                <c:pt idx="118">
                  <c:v>45982</c:v>
                </c:pt>
                <c:pt idx="119">
                  <c:v>45989</c:v>
                </c:pt>
                <c:pt idx="120">
                  <c:v>45996</c:v>
                </c:pt>
                <c:pt idx="121">
                  <c:v>46003</c:v>
                </c:pt>
                <c:pt idx="122">
                  <c:v>46010</c:v>
                </c:pt>
                <c:pt idx="123">
                  <c:v>46017</c:v>
                </c:pt>
                <c:pt idx="124">
                  <c:v>46024</c:v>
                </c:pt>
                <c:pt idx="125">
                  <c:v>46031</c:v>
                </c:pt>
                <c:pt idx="126">
                  <c:v>46038</c:v>
                </c:pt>
                <c:pt idx="127">
                  <c:v>46045</c:v>
                </c:pt>
                <c:pt idx="128">
                  <c:v>46052</c:v>
                </c:pt>
                <c:pt idx="129">
                  <c:v>46059</c:v>
                </c:pt>
                <c:pt idx="130">
                  <c:v>46066</c:v>
                </c:pt>
                <c:pt idx="131">
                  <c:v>46073</c:v>
                </c:pt>
                <c:pt idx="132">
                  <c:v>46080</c:v>
                </c:pt>
                <c:pt idx="133">
                  <c:v>46087</c:v>
                </c:pt>
                <c:pt idx="134">
                  <c:v>46094</c:v>
                </c:pt>
                <c:pt idx="135">
                  <c:v>46101</c:v>
                </c:pt>
                <c:pt idx="136">
                  <c:v>46108</c:v>
                </c:pt>
                <c:pt idx="137">
                  <c:v>46114</c:v>
                </c:pt>
                <c:pt idx="138">
                  <c:v>46122</c:v>
                </c:pt>
                <c:pt idx="139">
                  <c:v>46129</c:v>
                </c:pt>
                <c:pt idx="140">
                  <c:v>46136</c:v>
                </c:pt>
                <c:pt idx="141">
                  <c:v>46143</c:v>
                </c:pt>
                <c:pt idx="142">
                  <c:v>46150</c:v>
                </c:pt>
                <c:pt idx="143">
                  <c:v>46157</c:v>
                </c:pt>
                <c:pt idx="144">
                  <c:v>46164</c:v>
                </c:pt>
                <c:pt idx="145">
                  <c:v>46171</c:v>
                </c:pt>
                <c:pt idx="146">
                  <c:v>46178</c:v>
                </c:pt>
                <c:pt idx="147">
                  <c:v>46185</c:v>
                </c:pt>
                <c:pt idx="148">
                  <c:v>46191</c:v>
                </c:pt>
                <c:pt idx="149">
                  <c:v>46199</c:v>
                </c:pt>
                <c:pt idx="150">
                  <c:v>46205</c:v>
                </c:pt>
                <c:pt idx="151">
                  <c:v>46213</c:v>
                </c:pt>
                <c:pt idx="152">
                  <c:v>46220</c:v>
                </c:pt>
                <c:pt idx="153">
                  <c:v>46227</c:v>
                </c:pt>
                <c:pt idx="154">
                  <c:v>46234</c:v>
                </c:pt>
                <c:pt idx="155">
                  <c:v>46241</c:v>
                </c:pt>
                <c:pt idx="156">
                  <c:v>46248</c:v>
                </c:pt>
                <c:pt idx="157">
                  <c:v>46255</c:v>
                </c:pt>
                <c:pt idx="158">
                  <c:v>46262</c:v>
                </c:pt>
                <c:pt idx="159">
                  <c:v>46269</c:v>
                </c:pt>
              </c:numCache>
            </c:numRef>
          </c:cat>
          <c:val>
            <c:numRef>
              <c:f>'Returns (Calc)'!$AG$3:$AG$500</c:f>
              <c:numCache>
                <c:formatCode>#,##0.00</c:formatCode>
                <c:ptCount val="498"/>
                <c:pt idx="0">
                  <c:v>91.99</c:v>
                </c:pt>
                <c:pt idx="1">
                  <c:v>91.411446540880505</c:v>
                </c:pt>
                <c:pt idx="2">
                  <c:v>90.832893081761</c:v>
                </c:pt>
                <c:pt idx="3">
                  <c:v>90.25433962264151</c:v>
                </c:pt>
                <c:pt idx="4">
                  <c:v>89.675786163522005</c:v>
                </c:pt>
                <c:pt idx="5">
                  <c:v>89.097232704402515</c:v>
                </c:pt>
                <c:pt idx="6">
                  <c:v>88.51867924528301</c:v>
                </c:pt>
                <c:pt idx="7">
                  <c:v>87.94012578616352</c:v>
                </c:pt>
                <c:pt idx="8">
                  <c:v>87.361572327044016</c:v>
                </c:pt>
                <c:pt idx="9">
                  <c:v>86.783018867924525</c:v>
                </c:pt>
                <c:pt idx="10">
                  <c:v>86.204465408805021</c:v>
                </c:pt>
                <c:pt idx="11">
                  <c:v>85.625911949685531</c:v>
                </c:pt>
                <c:pt idx="12">
                  <c:v>85.04735849056604</c:v>
                </c:pt>
                <c:pt idx="13">
                  <c:v>84.468805031446536</c:v>
                </c:pt>
                <c:pt idx="14">
                  <c:v>83.890251572327045</c:v>
                </c:pt>
                <c:pt idx="15">
                  <c:v>83.311698113207541</c:v>
                </c:pt>
                <c:pt idx="16">
                  <c:v>82.733144654088051</c:v>
                </c:pt>
                <c:pt idx="17">
                  <c:v>82.154591194968546</c:v>
                </c:pt>
                <c:pt idx="18">
                  <c:v>81.576037735849056</c:v>
                </c:pt>
                <c:pt idx="19">
                  <c:v>80.997484276729551</c:v>
                </c:pt>
                <c:pt idx="20">
                  <c:v>80.418930817610061</c:v>
                </c:pt>
                <c:pt idx="21">
                  <c:v>79.840377358490557</c:v>
                </c:pt>
                <c:pt idx="22">
                  <c:v>79.261823899371066</c:v>
                </c:pt>
                <c:pt idx="23">
                  <c:v>78.683270440251562</c:v>
                </c:pt>
                <c:pt idx="24">
                  <c:v>78.104716981132071</c:v>
                </c:pt>
                <c:pt idx="25">
                  <c:v>77.526163522012581</c:v>
                </c:pt>
                <c:pt idx="26">
                  <c:v>76.947610062893077</c:v>
                </c:pt>
                <c:pt idx="27">
                  <c:v>76.369056603773572</c:v>
                </c:pt>
                <c:pt idx="28">
                  <c:v>75.790503144654082</c:v>
                </c:pt>
                <c:pt idx="29">
                  <c:v>75.211949685534591</c:v>
                </c:pt>
                <c:pt idx="30">
                  <c:v>74.633396226415087</c:v>
                </c:pt>
                <c:pt idx="31">
                  <c:v>74.054842767295597</c:v>
                </c:pt>
                <c:pt idx="32">
                  <c:v>73.476289308176092</c:v>
                </c:pt>
                <c:pt idx="33">
                  <c:v>72.897735849056602</c:v>
                </c:pt>
                <c:pt idx="34">
                  <c:v>72.319182389937112</c:v>
                </c:pt>
                <c:pt idx="35">
                  <c:v>71.740628930817607</c:v>
                </c:pt>
                <c:pt idx="36">
                  <c:v>71.162075471698103</c:v>
                </c:pt>
                <c:pt idx="37">
                  <c:v>70.583522012578612</c:v>
                </c:pt>
                <c:pt idx="38">
                  <c:v>70.004968553459122</c:v>
                </c:pt>
                <c:pt idx="39">
                  <c:v>69.426415094339617</c:v>
                </c:pt>
                <c:pt idx="40">
                  <c:v>68.847861635220113</c:v>
                </c:pt>
                <c:pt idx="41">
                  <c:v>68.269308176100623</c:v>
                </c:pt>
                <c:pt idx="42">
                  <c:v>67.690754716981132</c:v>
                </c:pt>
                <c:pt idx="43">
                  <c:v>67.112201257861628</c:v>
                </c:pt>
                <c:pt idx="44">
                  <c:v>66.533647798742138</c:v>
                </c:pt>
                <c:pt idx="45">
                  <c:v>65.955094339622633</c:v>
                </c:pt>
                <c:pt idx="46">
                  <c:v>65.376540880503143</c:v>
                </c:pt>
                <c:pt idx="47">
                  <c:v>64.797987421383652</c:v>
                </c:pt>
                <c:pt idx="48">
                  <c:v>64.219433962264148</c:v>
                </c:pt>
                <c:pt idx="49">
                  <c:v>63.640880503144658</c:v>
                </c:pt>
                <c:pt idx="50">
                  <c:v>63.062327044025153</c:v>
                </c:pt>
                <c:pt idx="51">
                  <c:v>62.483773584905656</c:v>
                </c:pt>
                <c:pt idx="52">
                  <c:v>61.905220125786158</c:v>
                </c:pt>
                <c:pt idx="53">
                  <c:v>61.326666666666668</c:v>
                </c:pt>
                <c:pt idx="54">
                  <c:v>60.748113207547163</c:v>
                </c:pt>
                <c:pt idx="55">
                  <c:v>60.169559748427673</c:v>
                </c:pt>
                <c:pt idx="56">
                  <c:v>59.591006289308176</c:v>
                </c:pt>
                <c:pt idx="57">
                  <c:v>59.012452830188678</c:v>
                </c:pt>
                <c:pt idx="58">
                  <c:v>58.433899371069174</c:v>
                </c:pt>
                <c:pt idx="59">
                  <c:v>57.855345911949684</c:v>
                </c:pt>
                <c:pt idx="60">
                  <c:v>57.276792452830186</c:v>
                </c:pt>
                <c:pt idx="61">
                  <c:v>56.698238993710689</c:v>
                </c:pt>
                <c:pt idx="62">
                  <c:v>56.119685534591191</c:v>
                </c:pt>
                <c:pt idx="63">
                  <c:v>55.541132075471694</c:v>
                </c:pt>
                <c:pt idx="64">
                  <c:v>54.962578616352197</c:v>
                </c:pt>
                <c:pt idx="65">
                  <c:v>54.384025157232706</c:v>
                </c:pt>
                <c:pt idx="66">
                  <c:v>53.805471698113209</c:v>
                </c:pt>
                <c:pt idx="67">
                  <c:v>53.226918238993704</c:v>
                </c:pt>
                <c:pt idx="68">
                  <c:v>52.648364779874214</c:v>
                </c:pt>
                <c:pt idx="69">
                  <c:v>52.069811320754717</c:v>
                </c:pt>
                <c:pt idx="70">
                  <c:v>51.491257861635219</c:v>
                </c:pt>
                <c:pt idx="71">
                  <c:v>50.912704402515722</c:v>
                </c:pt>
                <c:pt idx="72">
                  <c:v>50.334150943396224</c:v>
                </c:pt>
                <c:pt idx="73">
                  <c:v>49.755597484276727</c:v>
                </c:pt>
                <c:pt idx="74">
                  <c:v>49.17704402515723</c:v>
                </c:pt>
                <c:pt idx="75">
                  <c:v>48.598490566037732</c:v>
                </c:pt>
                <c:pt idx="76">
                  <c:v>48.019937106918235</c:v>
                </c:pt>
                <c:pt idx="77">
                  <c:v>47.441383647798737</c:v>
                </c:pt>
                <c:pt idx="78">
                  <c:v>46.862830188679247</c:v>
                </c:pt>
                <c:pt idx="79">
                  <c:v>46.284276729559743</c:v>
                </c:pt>
                <c:pt idx="80">
                  <c:v>45.705723270440245</c:v>
                </c:pt>
                <c:pt idx="81">
                  <c:v>45.127169811320755</c:v>
                </c:pt>
                <c:pt idx="82">
                  <c:v>44.548616352201257</c:v>
                </c:pt>
                <c:pt idx="83">
                  <c:v>43.97006289308176</c:v>
                </c:pt>
                <c:pt idx="84">
                  <c:v>43.391509433962263</c:v>
                </c:pt>
                <c:pt idx="85">
                  <c:v>42.812955974842765</c:v>
                </c:pt>
                <c:pt idx="86">
                  <c:v>42.234402515723268</c:v>
                </c:pt>
                <c:pt idx="87">
                  <c:v>41.65584905660377</c:v>
                </c:pt>
                <c:pt idx="88">
                  <c:v>41.077295597484273</c:v>
                </c:pt>
                <c:pt idx="89">
                  <c:v>40.498742138364776</c:v>
                </c:pt>
                <c:pt idx="90">
                  <c:v>39.920188679245278</c:v>
                </c:pt>
                <c:pt idx="91">
                  <c:v>39.341635220125781</c:v>
                </c:pt>
                <c:pt idx="92">
                  <c:v>38.763081761006283</c:v>
                </c:pt>
                <c:pt idx="93">
                  <c:v>38.184528301886786</c:v>
                </c:pt>
                <c:pt idx="94">
                  <c:v>37.605974842767296</c:v>
                </c:pt>
                <c:pt idx="95">
                  <c:v>37.027421383647798</c:v>
                </c:pt>
                <c:pt idx="96">
                  <c:v>36.448867924528301</c:v>
                </c:pt>
                <c:pt idx="97">
                  <c:v>35.870314465408811</c:v>
                </c:pt>
                <c:pt idx="98">
                  <c:v>35.291761006289313</c:v>
                </c:pt>
                <c:pt idx="99">
                  <c:v>34.713207547169802</c:v>
                </c:pt>
                <c:pt idx="100">
                  <c:v>34.134654088050311</c:v>
                </c:pt>
                <c:pt idx="101">
                  <c:v>33.556100628930814</c:v>
                </c:pt>
                <c:pt idx="102">
                  <c:v>32.977547169811317</c:v>
                </c:pt>
                <c:pt idx="103">
                  <c:v>32.398993710691826</c:v>
                </c:pt>
                <c:pt idx="104">
                  <c:v>31.820440251572329</c:v>
                </c:pt>
                <c:pt idx="105">
                  <c:v>31.241886792452831</c:v>
                </c:pt>
                <c:pt idx="106">
                  <c:v>30.663333333333334</c:v>
                </c:pt>
                <c:pt idx="107">
                  <c:v>30.084779874213829</c:v>
                </c:pt>
                <c:pt idx="108">
                  <c:v>29.506226415094332</c:v>
                </c:pt>
                <c:pt idx="109">
                  <c:v>28.927672955974842</c:v>
                </c:pt>
                <c:pt idx="110">
                  <c:v>28.349119496855344</c:v>
                </c:pt>
                <c:pt idx="111">
                  <c:v>27.770566037735847</c:v>
                </c:pt>
                <c:pt idx="112">
                  <c:v>27.192012578616357</c:v>
                </c:pt>
                <c:pt idx="113">
                  <c:v>26.613459119496852</c:v>
                </c:pt>
                <c:pt idx="114">
                  <c:v>26.034905660377362</c:v>
                </c:pt>
                <c:pt idx="115">
                  <c:v>25.456352201257872</c:v>
                </c:pt>
                <c:pt idx="116">
                  <c:v>24.877798742138353</c:v>
                </c:pt>
                <c:pt idx="117">
                  <c:v>24.299245283018863</c:v>
                </c:pt>
                <c:pt idx="118">
                  <c:v>23.720691823899372</c:v>
                </c:pt>
                <c:pt idx="119">
                  <c:v>23.142138364779868</c:v>
                </c:pt>
                <c:pt idx="120">
                  <c:v>22.563584905660377</c:v>
                </c:pt>
                <c:pt idx="121">
                  <c:v>21.985031446540887</c:v>
                </c:pt>
                <c:pt idx="122">
                  <c:v>21.406477987421383</c:v>
                </c:pt>
                <c:pt idx="123">
                  <c:v>20.827924528301892</c:v>
                </c:pt>
                <c:pt idx="124">
                  <c:v>20.249371069182388</c:v>
                </c:pt>
                <c:pt idx="125">
                  <c:v>19.670817610062883</c:v>
                </c:pt>
                <c:pt idx="126">
                  <c:v>19.092264150943393</c:v>
                </c:pt>
                <c:pt idx="127">
                  <c:v>18.513710691823903</c:v>
                </c:pt>
                <c:pt idx="128">
                  <c:v>17.935157232704398</c:v>
                </c:pt>
                <c:pt idx="129">
                  <c:v>17.356603773584908</c:v>
                </c:pt>
                <c:pt idx="130">
                  <c:v>16.778050314465418</c:v>
                </c:pt>
                <c:pt idx="131">
                  <c:v>16.199496855345913</c:v>
                </c:pt>
                <c:pt idx="132">
                  <c:v>15.620943396226423</c:v>
                </c:pt>
                <c:pt idx="133">
                  <c:v>15.042389937106918</c:v>
                </c:pt>
                <c:pt idx="134">
                  <c:v>14.463836477987414</c:v>
                </c:pt>
                <c:pt idx="135">
                  <c:v>13.885283018867923</c:v>
                </c:pt>
                <c:pt idx="136">
                  <c:v>13.306729559748433</c:v>
                </c:pt>
                <c:pt idx="137">
                  <c:v>12.728176100628929</c:v>
                </c:pt>
                <c:pt idx="138">
                  <c:v>12.149622641509438</c:v>
                </c:pt>
                <c:pt idx="139">
                  <c:v>11.571069182389934</c:v>
                </c:pt>
                <c:pt idx="140">
                  <c:v>10.992515723270444</c:v>
                </c:pt>
                <c:pt idx="141">
                  <c:v>10.413962264150939</c:v>
                </c:pt>
                <c:pt idx="142">
                  <c:v>9.8354088050314488</c:v>
                </c:pt>
                <c:pt idx="143">
                  <c:v>9.2568553459119443</c:v>
                </c:pt>
                <c:pt idx="144">
                  <c:v>8.678301886792454</c:v>
                </c:pt>
                <c:pt idx="145">
                  <c:v>8.0997484276729494</c:v>
                </c:pt>
                <c:pt idx="146">
                  <c:v>7.5211949685534591</c:v>
                </c:pt>
                <c:pt idx="147">
                  <c:v>6.9426415094339688</c:v>
                </c:pt>
                <c:pt idx="148">
                  <c:v>6.3640880503144643</c:v>
                </c:pt>
                <c:pt idx="149">
                  <c:v>5.785534591194974</c:v>
                </c:pt>
                <c:pt idx="150">
                  <c:v>5.2069811320754695</c:v>
                </c:pt>
                <c:pt idx="151">
                  <c:v>4.628427672955965</c:v>
                </c:pt>
                <c:pt idx="152">
                  <c:v>4.0498742138364747</c:v>
                </c:pt>
                <c:pt idx="153">
                  <c:v>3.4713207547169844</c:v>
                </c:pt>
                <c:pt idx="154">
                  <c:v>2.8927672955974799</c:v>
                </c:pt>
                <c:pt idx="155">
                  <c:v>2.3142138364779896</c:v>
                </c:pt>
                <c:pt idx="156">
                  <c:v>1.7356603773584993</c:v>
                </c:pt>
                <c:pt idx="157">
                  <c:v>1.1571069182389948</c:v>
                </c:pt>
                <c:pt idx="158">
                  <c:v>0.5785534591194903</c:v>
                </c:pt>
                <c:pt idx="159">
                  <c:v>0</c:v>
                </c:pt>
              </c:numCache>
            </c:numRef>
          </c:val>
          <c:smooth val="0"/>
          <c:extLst>
            <c:ext xmlns:c16="http://schemas.microsoft.com/office/drawing/2014/chart" uri="{C3380CC4-5D6E-409C-BE32-E72D297353CC}">
              <c16:uniqueId val="{00000001-1DC0-414B-ABA7-518B65109B47}"/>
            </c:ext>
          </c:extLst>
        </c:ser>
        <c:dLbls>
          <c:showLegendKey val="0"/>
          <c:showVal val="0"/>
          <c:showCatName val="0"/>
          <c:showSerName val="0"/>
          <c:showPercent val="0"/>
          <c:showBubbleSize val="0"/>
        </c:dLbls>
        <c:hiLowLines>
          <c:spPr>
            <a:ln w="0">
              <a:noFill/>
            </a:ln>
          </c:spPr>
        </c:hiLowLines>
        <c:marker val="1"/>
        <c:smooth val="0"/>
        <c:axId val="67818931"/>
        <c:axId val="84488124"/>
      </c:lineChart>
      <c:dateAx>
        <c:axId val="47293385"/>
        <c:scaling>
          <c:orientation val="minMax"/>
        </c:scaling>
        <c:delete val="1"/>
        <c:axPos val="b"/>
        <c:numFmt formatCode="mm/dd/yyyy" sourceLinked="1"/>
        <c:majorTickMark val="none"/>
        <c:minorTickMark val="none"/>
        <c:tickLblPos val="nextTo"/>
        <c:crossAx val="31146358"/>
        <c:crosses val="autoZero"/>
        <c:auto val="1"/>
        <c:lblOffset val="100"/>
        <c:baseTimeUnit val="days"/>
      </c:dateAx>
      <c:valAx>
        <c:axId val="31146358"/>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47293385"/>
        <c:crosses val="autoZero"/>
        <c:crossBetween val="between"/>
      </c:valAx>
      <c:dateAx>
        <c:axId val="67818931"/>
        <c:scaling>
          <c:orientation val="minMax"/>
        </c:scaling>
        <c:delete val="1"/>
        <c:axPos val="b"/>
        <c:numFmt formatCode="mm/dd/yyyy" sourceLinked="1"/>
        <c:majorTickMark val="none"/>
        <c:minorTickMark val="none"/>
        <c:tickLblPos val="nextTo"/>
        <c:crossAx val="84488124"/>
        <c:crosses val="autoZero"/>
        <c:auto val="1"/>
        <c:lblOffset val="100"/>
        <c:baseTimeUnit val="days"/>
      </c:dateAx>
      <c:valAx>
        <c:axId val="84488124"/>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67818931"/>
        <c:crosses val="max"/>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VRT</a:t>
            </a:r>
          </a:p>
        </c:rich>
      </c:tx>
      <c:overlay val="0"/>
      <c:spPr>
        <a:noFill/>
        <a:ln w="0">
          <a:noFill/>
        </a:ln>
      </c:spPr>
    </c:title>
    <c:autoTitleDeleted val="0"/>
    <c:plotArea>
      <c:layout/>
      <c:barChart>
        <c:barDir val="col"/>
        <c:grouping val="clustered"/>
        <c:varyColors val="0"/>
        <c:ser>
          <c:idx val="0"/>
          <c:order val="0"/>
          <c:tx>
            <c:strRef>
              <c:f>'Returns (Calc)'!$M$2</c:f>
              <c:strCache>
                <c:ptCount val="1"/>
                <c:pt idx="0">
                  <c:v>VRT</c:v>
                </c:pt>
              </c:strCache>
            </c:strRef>
          </c:tx>
          <c:spPr>
            <a:solidFill>
              <a:srgbClr val="4F81BD"/>
            </a:solidFill>
            <a:ln w="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45156</c:v>
                </c:pt>
                <c:pt idx="1">
                  <c:v>45163</c:v>
                </c:pt>
                <c:pt idx="2">
                  <c:v>45170</c:v>
                </c:pt>
                <c:pt idx="3">
                  <c:v>45177</c:v>
                </c:pt>
                <c:pt idx="4">
                  <c:v>45184</c:v>
                </c:pt>
                <c:pt idx="5">
                  <c:v>45191</c:v>
                </c:pt>
                <c:pt idx="6">
                  <c:v>45198</c:v>
                </c:pt>
                <c:pt idx="7">
                  <c:v>45205</c:v>
                </c:pt>
                <c:pt idx="8">
                  <c:v>45212</c:v>
                </c:pt>
                <c:pt idx="9">
                  <c:v>45219</c:v>
                </c:pt>
                <c:pt idx="10">
                  <c:v>45226</c:v>
                </c:pt>
                <c:pt idx="11">
                  <c:v>45233</c:v>
                </c:pt>
                <c:pt idx="12">
                  <c:v>45240</c:v>
                </c:pt>
                <c:pt idx="13">
                  <c:v>45247</c:v>
                </c:pt>
                <c:pt idx="14">
                  <c:v>45254</c:v>
                </c:pt>
                <c:pt idx="15">
                  <c:v>45261</c:v>
                </c:pt>
                <c:pt idx="16">
                  <c:v>45268</c:v>
                </c:pt>
                <c:pt idx="17">
                  <c:v>45275</c:v>
                </c:pt>
                <c:pt idx="18">
                  <c:v>45282</c:v>
                </c:pt>
                <c:pt idx="19">
                  <c:v>45289</c:v>
                </c:pt>
                <c:pt idx="20">
                  <c:v>45296</c:v>
                </c:pt>
                <c:pt idx="21">
                  <c:v>45303</c:v>
                </c:pt>
                <c:pt idx="22">
                  <c:v>45310</c:v>
                </c:pt>
                <c:pt idx="23">
                  <c:v>45317</c:v>
                </c:pt>
                <c:pt idx="24">
                  <c:v>45324</c:v>
                </c:pt>
                <c:pt idx="25">
                  <c:v>45331</c:v>
                </c:pt>
                <c:pt idx="26">
                  <c:v>45338</c:v>
                </c:pt>
                <c:pt idx="27">
                  <c:v>45345</c:v>
                </c:pt>
                <c:pt idx="28">
                  <c:v>45352</c:v>
                </c:pt>
                <c:pt idx="29">
                  <c:v>45359</c:v>
                </c:pt>
                <c:pt idx="30">
                  <c:v>45366</c:v>
                </c:pt>
                <c:pt idx="31">
                  <c:v>45373</c:v>
                </c:pt>
                <c:pt idx="32">
                  <c:v>45379</c:v>
                </c:pt>
                <c:pt idx="33">
                  <c:v>45387</c:v>
                </c:pt>
                <c:pt idx="34">
                  <c:v>45394</c:v>
                </c:pt>
                <c:pt idx="35">
                  <c:v>45401</c:v>
                </c:pt>
                <c:pt idx="36">
                  <c:v>45408</c:v>
                </c:pt>
                <c:pt idx="37">
                  <c:v>45415</c:v>
                </c:pt>
                <c:pt idx="38">
                  <c:v>45422</c:v>
                </c:pt>
                <c:pt idx="39">
                  <c:v>45429</c:v>
                </c:pt>
                <c:pt idx="40">
                  <c:v>45436</c:v>
                </c:pt>
                <c:pt idx="41">
                  <c:v>45443</c:v>
                </c:pt>
                <c:pt idx="42">
                  <c:v>45450</c:v>
                </c:pt>
                <c:pt idx="43">
                  <c:v>45457</c:v>
                </c:pt>
                <c:pt idx="44">
                  <c:v>45464</c:v>
                </c:pt>
                <c:pt idx="45">
                  <c:v>45471</c:v>
                </c:pt>
                <c:pt idx="46">
                  <c:v>45478</c:v>
                </c:pt>
                <c:pt idx="47">
                  <c:v>45485</c:v>
                </c:pt>
                <c:pt idx="48">
                  <c:v>45492</c:v>
                </c:pt>
                <c:pt idx="49">
                  <c:v>45499</c:v>
                </c:pt>
                <c:pt idx="50">
                  <c:v>45506</c:v>
                </c:pt>
                <c:pt idx="51">
                  <c:v>45513</c:v>
                </c:pt>
                <c:pt idx="52">
                  <c:v>45520</c:v>
                </c:pt>
                <c:pt idx="53">
                  <c:v>45527</c:v>
                </c:pt>
                <c:pt idx="54">
                  <c:v>45534</c:v>
                </c:pt>
                <c:pt idx="55">
                  <c:v>45541</c:v>
                </c:pt>
                <c:pt idx="56">
                  <c:v>45548</c:v>
                </c:pt>
                <c:pt idx="57">
                  <c:v>45555</c:v>
                </c:pt>
                <c:pt idx="58">
                  <c:v>45562</c:v>
                </c:pt>
                <c:pt idx="59">
                  <c:v>45569</c:v>
                </c:pt>
                <c:pt idx="60">
                  <c:v>45576</c:v>
                </c:pt>
                <c:pt idx="61">
                  <c:v>45583</c:v>
                </c:pt>
                <c:pt idx="62">
                  <c:v>45590</c:v>
                </c:pt>
                <c:pt idx="63">
                  <c:v>45597</c:v>
                </c:pt>
                <c:pt idx="64">
                  <c:v>45604</c:v>
                </c:pt>
                <c:pt idx="65">
                  <c:v>45611</c:v>
                </c:pt>
                <c:pt idx="66">
                  <c:v>45618</c:v>
                </c:pt>
                <c:pt idx="67">
                  <c:v>45625</c:v>
                </c:pt>
                <c:pt idx="68">
                  <c:v>45632</c:v>
                </c:pt>
                <c:pt idx="69">
                  <c:v>45639</c:v>
                </c:pt>
                <c:pt idx="70">
                  <c:v>45646</c:v>
                </c:pt>
                <c:pt idx="71">
                  <c:v>45653</c:v>
                </c:pt>
                <c:pt idx="72">
                  <c:v>45660</c:v>
                </c:pt>
                <c:pt idx="73">
                  <c:v>45667</c:v>
                </c:pt>
                <c:pt idx="74">
                  <c:v>45674</c:v>
                </c:pt>
                <c:pt idx="75">
                  <c:v>45681</c:v>
                </c:pt>
                <c:pt idx="76">
                  <c:v>45688</c:v>
                </c:pt>
                <c:pt idx="77">
                  <c:v>45695</c:v>
                </c:pt>
                <c:pt idx="78">
                  <c:v>45702</c:v>
                </c:pt>
                <c:pt idx="79">
                  <c:v>45709</c:v>
                </c:pt>
                <c:pt idx="80">
                  <c:v>45716</c:v>
                </c:pt>
                <c:pt idx="81">
                  <c:v>45723</c:v>
                </c:pt>
                <c:pt idx="82">
                  <c:v>45730</c:v>
                </c:pt>
                <c:pt idx="83">
                  <c:v>45737</c:v>
                </c:pt>
                <c:pt idx="84">
                  <c:v>45744</c:v>
                </c:pt>
                <c:pt idx="85">
                  <c:v>45751</c:v>
                </c:pt>
                <c:pt idx="86">
                  <c:v>45758</c:v>
                </c:pt>
                <c:pt idx="87">
                  <c:v>45764</c:v>
                </c:pt>
                <c:pt idx="88">
                  <c:v>45772</c:v>
                </c:pt>
                <c:pt idx="89">
                  <c:v>45779</c:v>
                </c:pt>
                <c:pt idx="90">
                  <c:v>45786</c:v>
                </c:pt>
                <c:pt idx="91">
                  <c:v>45793</c:v>
                </c:pt>
                <c:pt idx="92">
                  <c:v>45800</c:v>
                </c:pt>
                <c:pt idx="93">
                  <c:v>45807</c:v>
                </c:pt>
                <c:pt idx="94">
                  <c:v>45814</c:v>
                </c:pt>
                <c:pt idx="95">
                  <c:v>45821</c:v>
                </c:pt>
                <c:pt idx="96">
                  <c:v>45828</c:v>
                </c:pt>
                <c:pt idx="97">
                  <c:v>45835</c:v>
                </c:pt>
                <c:pt idx="98">
                  <c:v>45841</c:v>
                </c:pt>
                <c:pt idx="99">
                  <c:v>45849</c:v>
                </c:pt>
                <c:pt idx="100">
                  <c:v>45856</c:v>
                </c:pt>
                <c:pt idx="101">
                  <c:v>45863</c:v>
                </c:pt>
                <c:pt idx="102">
                  <c:v>45870</c:v>
                </c:pt>
                <c:pt idx="103">
                  <c:v>45877</c:v>
                </c:pt>
                <c:pt idx="104">
                  <c:v>45884</c:v>
                </c:pt>
                <c:pt idx="105">
                  <c:v>45891</c:v>
                </c:pt>
                <c:pt idx="106">
                  <c:v>45898</c:v>
                </c:pt>
                <c:pt idx="107">
                  <c:v>45905</c:v>
                </c:pt>
                <c:pt idx="108">
                  <c:v>45912</c:v>
                </c:pt>
                <c:pt idx="109">
                  <c:v>45919</c:v>
                </c:pt>
                <c:pt idx="110">
                  <c:v>45926</c:v>
                </c:pt>
                <c:pt idx="111">
                  <c:v>45933</c:v>
                </c:pt>
                <c:pt idx="112">
                  <c:v>45940</c:v>
                </c:pt>
                <c:pt idx="113">
                  <c:v>45947</c:v>
                </c:pt>
                <c:pt idx="114">
                  <c:v>45954</c:v>
                </c:pt>
                <c:pt idx="115">
                  <c:v>45961</c:v>
                </c:pt>
                <c:pt idx="116">
                  <c:v>45968</c:v>
                </c:pt>
                <c:pt idx="117">
                  <c:v>45975</c:v>
                </c:pt>
                <c:pt idx="118">
                  <c:v>45982</c:v>
                </c:pt>
                <c:pt idx="119">
                  <c:v>45989</c:v>
                </c:pt>
                <c:pt idx="120">
                  <c:v>45996</c:v>
                </c:pt>
                <c:pt idx="121">
                  <c:v>46003</c:v>
                </c:pt>
                <c:pt idx="122">
                  <c:v>46010</c:v>
                </c:pt>
                <c:pt idx="123">
                  <c:v>46017</c:v>
                </c:pt>
                <c:pt idx="124">
                  <c:v>46024</c:v>
                </c:pt>
                <c:pt idx="125">
                  <c:v>46031</c:v>
                </c:pt>
                <c:pt idx="126">
                  <c:v>46038</c:v>
                </c:pt>
                <c:pt idx="127">
                  <c:v>46045</c:v>
                </c:pt>
                <c:pt idx="128">
                  <c:v>46052</c:v>
                </c:pt>
                <c:pt idx="129">
                  <c:v>46059</c:v>
                </c:pt>
                <c:pt idx="130">
                  <c:v>46066</c:v>
                </c:pt>
                <c:pt idx="131">
                  <c:v>46073</c:v>
                </c:pt>
                <c:pt idx="132">
                  <c:v>46080</c:v>
                </c:pt>
                <c:pt idx="133">
                  <c:v>46087</c:v>
                </c:pt>
                <c:pt idx="134">
                  <c:v>46094</c:v>
                </c:pt>
                <c:pt idx="135">
                  <c:v>46101</c:v>
                </c:pt>
                <c:pt idx="136">
                  <c:v>46108</c:v>
                </c:pt>
                <c:pt idx="137">
                  <c:v>46114</c:v>
                </c:pt>
                <c:pt idx="138">
                  <c:v>46122</c:v>
                </c:pt>
                <c:pt idx="139">
                  <c:v>46129</c:v>
                </c:pt>
                <c:pt idx="140">
                  <c:v>46136</c:v>
                </c:pt>
                <c:pt idx="141">
                  <c:v>46143</c:v>
                </c:pt>
                <c:pt idx="142">
                  <c:v>46150</c:v>
                </c:pt>
                <c:pt idx="143">
                  <c:v>46157</c:v>
                </c:pt>
                <c:pt idx="144">
                  <c:v>46164</c:v>
                </c:pt>
                <c:pt idx="145">
                  <c:v>46171</c:v>
                </c:pt>
                <c:pt idx="146">
                  <c:v>46178</c:v>
                </c:pt>
                <c:pt idx="147">
                  <c:v>46185</c:v>
                </c:pt>
                <c:pt idx="148">
                  <c:v>46191</c:v>
                </c:pt>
                <c:pt idx="149">
                  <c:v>46199</c:v>
                </c:pt>
                <c:pt idx="150">
                  <c:v>46205</c:v>
                </c:pt>
                <c:pt idx="151">
                  <c:v>46213</c:v>
                </c:pt>
                <c:pt idx="152">
                  <c:v>46220</c:v>
                </c:pt>
                <c:pt idx="153">
                  <c:v>46227</c:v>
                </c:pt>
                <c:pt idx="154">
                  <c:v>46234</c:v>
                </c:pt>
                <c:pt idx="155">
                  <c:v>46241</c:v>
                </c:pt>
                <c:pt idx="156">
                  <c:v>46248</c:v>
                </c:pt>
                <c:pt idx="157">
                  <c:v>46255</c:v>
                </c:pt>
                <c:pt idx="158">
                  <c:v>46262</c:v>
                </c:pt>
                <c:pt idx="159">
                  <c:v>46269</c:v>
                </c:pt>
              </c:numCache>
            </c:numRef>
          </c:cat>
          <c:val>
            <c:numRef>
              <c:f>'Returns (Calc)'!$M$3:$M$500</c:f>
              <c:numCache>
                <c:formatCode>0.0%</c:formatCode>
                <c:ptCount val="498"/>
                <c:pt idx="0">
                  <c:v>1.372724559832883E-2</c:v>
                </c:pt>
                <c:pt idx="1">
                  <c:v>0.10391521931115699</c:v>
                </c:pt>
                <c:pt idx="2">
                  <c:v>6.3199999999999923E-2</c:v>
                </c:pt>
                <c:pt idx="3">
                  <c:v>-1.6804614998745748E-2</c:v>
                </c:pt>
                <c:pt idx="4">
                  <c:v>-2.6275510204081698E-2</c:v>
                </c:pt>
                <c:pt idx="5">
                  <c:v>-4.5061566675399511E-2</c:v>
                </c:pt>
                <c:pt idx="6">
                  <c:v>2.0576131687242816E-2</c:v>
                </c:pt>
                <c:pt idx="7">
                  <c:v>6.9086021505376349E-2</c:v>
                </c:pt>
                <c:pt idx="8">
                  <c:v>-1.6846869499622885E-2</c:v>
                </c:pt>
                <c:pt idx="9">
                  <c:v>-6.0358056265984672E-2</c:v>
                </c:pt>
                <c:pt idx="10">
                  <c:v>-8.7098530212302849E-3</c:v>
                </c:pt>
                <c:pt idx="11">
                  <c:v>0.11037891268533762</c:v>
                </c:pt>
                <c:pt idx="12">
                  <c:v>3.4371909000989076E-2</c:v>
                </c:pt>
                <c:pt idx="13">
                  <c:v>3.4903179536218021E-2</c:v>
                </c:pt>
                <c:pt idx="14">
                  <c:v>-1.4091014091014098E-2</c:v>
                </c:pt>
                <c:pt idx="15">
                  <c:v>5.7638238050609303E-2</c:v>
                </c:pt>
                <c:pt idx="16">
                  <c:v>4.4306601683650859E-2</c:v>
                </c:pt>
                <c:pt idx="17">
                  <c:v>1.2515910055154844E-2</c:v>
                </c:pt>
                <c:pt idx="18">
                  <c:v>2.1998742928975634E-2</c:v>
                </c:pt>
                <c:pt idx="19">
                  <c:v>-1.5375153751537529E-2</c:v>
                </c:pt>
                <c:pt idx="20">
                  <c:v>-3.5810951488652876E-2</c:v>
                </c:pt>
                <c:pt idx="21">
                  <c:v>6.9315482617145374E-2</c:v>
                </c:pt>
                <c:pt idx="22">
                  <c:v>8.3804523424878763E-2</c:v>
                </c:pt>
                <c:pt idx="23">
                  <c:v>-3.9128004471772337E-3</c:v>
                </c:pt>
                <c:pt idx="24">
                  <c:v>0.14983164983164987</c:v>
                </c:pt>
                <c:pt idx="25">
                  <c:v>3.3349601431592824E-2</c:v>
                </c:pt>
                <c:pt idx="26">
                  <c:v>-8.6586901763224811E-3</c:v>
                </c:pt>
                <c:pt idx="27">
                  <c:v>-4.2877560743210807E-3</c:v>
                </c:pt>
                <c:pt idx="28">
                  <c:v>0.12551834130781492</c:v>
                </c:pt>
                <c:pt idx="29">
                  <c:v>-1.7004392801473589E-2</c:v>
                </c:pt>
                <c:pt idx="30">
                  <c:v>6.9050021623179969E-2</c:v>
                </c:pt>
                <c:pt idx="31">
                  <c:v>0.11245954692556648</c:v>
                </c:pt>
                <c:pt idx="32">
                  <c:v>-1.0060606060605992E-2</c:v>
                </c:pt>
                <c:pt idx="33">
                  <c:v>4.4936941349332793E-2</c:v>
                </c:pt>
                <c:pt idx="34">
                  <c:v>-1.6990860089055593E-2</c:v>
                </c:pt>
                <c:pt idx="35">
                  <c:v>-0.10585290261056135</c:v>
                </c:pt>
                <c:pt idx="36">
                  <c:v>0.24636715104652707</c:v>
                </c:pt>
                <c:pt idx="37">
                  <c:v>-5.1342389560379287E-3</c:v>
                </c:pt>
                <c:pt idx="38">
                  <c:v>2.5696161703042675E-2</c:v>
                </c:pt>
                <c:pt idx="39">
                  <c:v>1.477987421383653E-2</c:v>
                </c:pt>
                <c:pt idx="40">
                  <c:v>9.6684226836070586E-2</c:v>
                </c:pt>
                <c:pt idx="41">
                  <c:v>-7.6292738061599419E-2</c:v>
                </c:pt>
                <c:pt idx="42">
                  <c:v>-0.10594473335372678</c:v>
                </c:pt>
                <c:pt idx="43">
                  <c:v>4.3339416058394198E-2</c:v>
                </c:pt>
                <c:pt idx="44">
                  <c:v>-9.4009619588981685E-3</c:v>
                </c:pt>
                <c:pt idx="45">
                  <c:v>-4.4692120944603952E-2</c:v>
                </c:pt>
                <c:pt idx="46">
                  <c:v>6.0182511262562244E-2</c:v>
                </c:pt>
                <c:pt idx="47">
                  <c:v>-2.2989758117236914E-2</c:v>
                </c:pt>
                <c:pt idx="48">
                  <c:v>-4.8622727779636388E-2</c:v>
                </c:pt>
                <c:pt idx="49">
                  <c:v>-9.6002813269253306E-2</c:v>
                </c:pt>
                <c:pt idx="50">
                  <c:v>-9.9325726141078929E-2</c:v>
                </c:pt>
                <c:pt idx="51">
                  <c:v>2.879355024474517E-2</c:v>
                </c:pt>
                <c:pt idx="52">
                  <c:v>0.11139098796529545</c:v>
                </c:pt>
                <c:pt idx="53">
                  <c:v>-1.0954419541677196E-2</c:v>
                </c:pt>
                <c:pt idx="54">
                  <c:v>5.7033736473583785E-2</c:v>
                </c:pt>
                <c:pt idx="55">
                  <c:v>-0.13561363362640011</c:v>
                </c:pt>
                <c:pt idx="56">
                  <c:v>0.19492824299846756</c:v>
                </c:pt>
                <c:pt idx="57">
                  <c:v>0.10237873134328357</c:v>
                </c:pt>
                <c:pt idx="58">
                  <c:v>4.0935053945419853E-2</c:v>
                </c:pt>
                <c:pt idx="59">
                  <c:v>6.8997053145005705E-2</c:v>
                </c:pt>
                <c:pt idx="60">
                  <c:v>6.3117870722433356E-2</c:v>
                </c:pt>
                <c:pt idx="61">
                  <c:v>3.6659513590844295E-3</c:v>
                </c:pt>
                <c:pt idx="62">
                  <c:v>-7.1269487750558191E-4</c:v>
                </c:pt>
                <c:pt idx="63">
                  <c:v>-4.6982259071052801E-2</c:v>
                </c:pt>
                <c:pt idx="64">
                  <c:v>0.17633302151543484</c:v>
                </c:pt>
                <c:pt idx="65">
                  <c:v>-3.8807157057654029E-2</c:v>
                </c:pt>
                <c:pt idx="66">
                  <c:v>0.15951021758914541</c:v>
                </c:pt>
                <c:pt idx="67">
                  <c:v>-8.9546914020692148E-2</c:v>
                </c:pt>
                <c:pt idx="68">
                  <c:v>4.8981191222570608E-2</c:v>
                </c:pt>
                <c:pt idx="69">
                  <c:v>-6.0291370937616717E-2</c:v>
                </c:pt>
                <c:pt idx="70">
                  <c:v>-4.5635236126570167E-2</c:v>
                </c:pt>
                <c:pt idx="71">
                  <c:v>-4.1069643452182669E-2</c:v>
                </c:pt>
                <c:pt idx="72">
                  <c:v>9.1738337242637469E-2</c:v>
                </c:pt>
                <c:pt idx="73">
                  <c:v>2.5940956473303078E-2</c:v>
                </c:pt>
                <c:pt idx="74">
                  <c:v>5.3905219886760225E-2</c:v>
                </c:pt>
                <c:pt idx="75">
                  <c:v>7.6832499264056553E-2</c:v>
                </c:pt>
                <c:pt idx="76">
                  <c:v>-0.20024603608529246</c:v>
                </c:pt>
                <c:pt idx="77">
                  <c:v>3.7258588275508542E-2</c:v>
                </c:pt>
                <c:pt idx="78">
                  <c:v>-0.10982039874773442</c:v>
                </c:pt>
                <c:pt idx="79">
                  <c:v>-0.1116149930587691</c:v>
                </c:pt>
                <c:pt idx="80">
                  <c:v>-8.5425565163037565E-3</c:v>
                </c:pt>
                <c:pt idx="81">
                  <c:v>-0.10644110539035401</c:v>
                </c:pt>
                <c:pt idx="82">
                  <c:v>2.833960489181564E-2</c:v>
                </c:pt>
                <c:pt idx="83">
                  <c:v>1.3493424814179367E-2</c:v>
                </c:pt>
                <c:pt idx="84">
                  <c:v>-0.16224754597765989</c:v>
                </c:pt>
                <c:pt idx="85">
                  <c:v>-0.19986531986531986</c:v>
                </c:pt>
                <c:pt idx="86">
                  <c:v>0.17168826796835557</c:v>
                </c:pt>
                <c:pt idx="87">
                  <c:v>5.1716707369630743E-2</c:v>
                </c:pt>
                <c:pt idx="88">
                  <c:v>0.18767927878705115</c:v>
                </c:pt>
                <c:pt idx="89">
                  <c:v>9.2581943645773324E-2</c:v>
                </c:pt>
                <c:pt idx="90">
                  <c:v>-9.8947368421052895E-3</c:v>
                </c:pt>
                <c:pt idx="91">
                  <c:v>0.12736551137571772</c:v>
                </c:pt>
                <c:pt idx="92">
                  <c:v>-1.791776688042257E-2</c:v>
                </c:pt>
                <c:pt idx="93">
                  <c:v>3.6393316689072419E-2</c:v>
                </c:pt>
                <c:pt idx="94">
                  <c:v>6.8840915408134862E-2</c:v>
                </c:pt>
                <c:pt idx="95">
                  <c:v>-3.8054785020804394E-2</c:v>
                </c:pt>
                <c:pt idx="96">
                  <c:v>6.8216635126610914E-2</c:v>
                </c:pt>
                <c:pt idx="97">
                  <c:v>7.2718069849839528E-2</c:v>
                </c:pt>
                <c:pt idx="98">
                  <c:v>5.3475935828877219E-3</c:v>
                </c:pt>
                <c:pt idx="99">
                  <c:v>-3.5513141426783523E-2</c:v>
                </c:pt>
                <c:pt idx="100">
                  <c:v>4.6715328467153316E-2</c:v>
                </c:pt>
                <c:pt idx="101">
                  <c:v>6.5163489849682232E-2</c:v>
                </c:pt>
                <c:pt idx="102">
                  <c:v>2.9970175310976899E-2</c:v>
                </c:pt>
                <c:pt idx="103">
                  <c:v>-1.1723991807330969E-2</c:v>
                </c:pt>
                <c:pt idx="104">
                  <c:v>-4.9024512256128139E-2</c:v>
                </c:pt>
                <c:pt idx="105">
                  <c:v>-5.3355376869316906E-2</c:v>
                </c:pt>
                <c:pt idx="106">
                  <c:v>1.2542668889418129E-2</c:v>
                </c:pt>
                <c:pt idx="107">
                  <c:v>-2.7832222657781291E-2</c:v>
                </c:pt>
                <c:pt idx="108">
                  <c:v>8.7419354838709662E-2</c:v>
                </c:pt>
                <c:pt idx="109">
                  <c:v>6.4965885493918574E-2</c:v>
                </c:pt>
                <c:pt idx="110">
                  <c:v>-3.4679665738161503E-2</c:v>
                </c:pt>
                <c:pt idx="111">
                  <c:v>0.15567739142980797</c:v>
                </c:pt>
                <c:pt idx="112">
                  <c:v>5.4993757802746623E-2</c:v>
                </c:pt>
                <c:pt idx="113">
                  <c:v>2.9524880184604418E-2</c:v>
                </c:pt>
                <c:pt idx="114">
                  <c:v>6.9310344827586245E-2</c:v>
                </c:pt>
                <c:pt idx="115">
                  <c:v>3.6547350317102101E-2</c:v>
                </c:pt>
                <c:pt idx="116">
                  <c:v>-6.771751529606973E-2</c:v>
                </c:pt>
                <c:pt idx="117">
                  <c:v>-4.9110122358175801E-2</c:v>
                </c:pt>
                <c:pt idx="118">
                  <c:v>-6.5157629993566002E-2</c:v>
                </c:pt>
                <c:pt idx="119">
                  <c:v>0.12450728899455665</c:v>
                </c:pt>
                <c:pt idx="120">
                  <c:v>5.1688644077227064E-2</c:v>
                </c:pt>
                <c:pt idx="121">
                  <c:v>-0.14680986139032903</c:v>
                </c:pt>
                <c:pt idx="122">
                  <c:v>-8.9911328827433357E-3</c:v>
                </c:pt>
                <c:pt idx="123">
                  <c:v>4.8554623951946096E-2</c:v>
                </c:pt>
                <c:pt idx="124">
                  <c:v>4.7917412579066676E-2</c:v>
                </c:pt>
                <c:pt idx="125">
                  <c:v>-6.85040715221229E-2</c:v>
                </c:pt>
                <c:pt idx="126">
                  <c:v>8.1611443941802086E-2</c:v>
                </c:pt>
                <c:pt idx="127">
                  <c:v>3.1424857288192998E-2</c:v>
                </c:pt>
                <c:pt idx="128">
                  <c:v>2.0220286043070912E-2</c:v>
                </c:pt>
                <c:pt idx="129">
                  <c:v>5.0488774304436657E-2</c:v>
                </c:pt>
                <c:pt idx="130">
                  <c:v>0.19915124245832905</c:v>
                </c:pt>
                <c:pt idx="131">
                  <c:v>3.9312667888969477E-2</c:v>
                </c:pt>
                <c:pt idx="132">
                  <c:v>4.5702564102564125E-2</c:v>
                </c:pt>
                <c:pt idx="133">
                  <c:v>-5.1433951900819896E-2</c:v>
                </c:pt>
                <c:pt idx="134">
                  <c:v>7.0725452891057916E-2</c:v>
                </c:pt>
                <c:pt idx="135">
                  <c:v>-1.1588380716934465E-2</c:v>
                </c:pt>
                <c:pt idx="136">
                  <c:v>-1.879787400343913E-2</c:v>
                </c:pt>
                <c:pt idx="137">
                  <c:v>4.0705779264746944E-2</c:v>
                </c:pt>
                <c:pt idx="138">
                  <c:v>0.12943472769719455</c:v>
                </c:pt>
                <c:pt idx="139">
                  <c:v>4.1442174104570961E-2</c:v>
                </c:pt>
                <c:pt idx="140">
                  <c:v>5.2450055313333799E-2</c:v>
                </c:pt>
                <c:pt idx="141">
                  <c:v>1.499412601248995E-2</c:v>
                </c:pt>
                <c:pt idx="142">
                  <c:v>3.5515214279187468E-2</c:v>
                </c:pt>
                <c:pt idx="143">
                  <c:v>9.109627320057645E-2</c:v>
                </c:pt>
                <c:pt idx="144">
                  <c:v>-0.11721572221922683</c:v>
                </c:pt>
                <c:pt idx="145">
                  <c:v>-3.5882245159714166E-2</c:v>
                </c:pt>
                <c:pt idx="146">
                  <c:v>-4.8145449938234441E-2</c:v>
                </c:pt>
                <c:pt idx="147">
                  <c:v>7.8533160294167459E-3</c:v>
                </c:pt>
                <c:pt idx="148">
                  <c:v>9.9646713111235963E-2</c:v>
                </c:pt>
                <c:pt idx="149">
                  <c:v>-8.7374268127908827E-2</c:v>
                </c:pt>
                <c:pt idx="150">
                  <c:v>-1.1251850633327898E-2</c:v>
                </c:pt>
                <c:pt idx="151">
                  <c:v>6.0992247030246638E-2</c:v>
                </c:pt>
                <c:pt idx="152">
                  <c:v>-9.188985761776336E-2</c:v>
                </c:pt>
                <c:pt idx="153">
                  <c:v>2.7628125431689021E-3</c:v>
                </c:pt>
                <c:pt idx="154">
                  <c:v>-0.16803278688524592</c:v>
                </c:pt>
                <c:pt idx="155">
                  <c:v>0.12762346317837481</c:v>
                </c:pt>
                <c:pt idx="156">
                  <c:v>7.8707782672540416E-2</c:v>
                </c:pt>
                <c:pt idx="157">
                  <c:v>-0.10852845085760954</c:v>
                </c:pt>
                <c:pt idx="158">
                  <c:v>-1.859133422408854E-2</c:v>
                </c:pt>
                <c:pt idx="159">
                  <c:v>9.1216741870234985E-2</c:v>
                </c:pt>
              </c:numCache>
            </c:numRef>
          </c:val>
          <c:extLst>
            <c:ext xmlns:c16="http://schemas.microsoft.com/office/drawing/2014/chart" uri="{C3380CC4-5D6E-409C-BE32-E72D297353CC}">
              <c16:uniqueId val="{00000000-E1BD-4FCB-AB48-B065AE6C0303}"/>
            </c:ext>
          </c:extLst>
        </c:ser>
        <c:dLbls>
          <c:showLegendKey val="0"/>
          <c:showVal val="0"/>
          <c:showCatName val="0"/>
          <c:showSerName val="0"/>
          <c:showPercent val="0"/>
          <c:showBubbleSize val="0"/>
        </c:dLbls>
        <c:gapWidth val="150"/>
        <c:axId val="50667835"/>
        <c:axId val="64301589"/>
      </c:barChart>
      <c:lineChart>
        <c:grouping val="standard"/>
        <c:varyColors val="0"/>
        <c:ser>
          <c:idx val="1"/>
          <c:order val="1"/>
          <c:tx>
            <c:strRef>
              <c:f>'Returns (Calc)'!$AH$2</c:f>
              <c:strCache>
                <c:ptCount val="1"/>
                <c:pt idx="0">
                  <c:v>VRT trend</c:v>
                </c:pt>
              </c:strCache>
            </c:strRef>
          </c:tx>
          <c:spPr>
            <a:ln w="201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45156</c:v>
                </c:pt>
                <c:pt idx="1">
                  <c:v>45163</c:v>
                </c:pt>
                <c:pt idx="2">
                  <c:v>45170</c:v>
                </c:pt>
                <c:pt idx="3">
                  <c:v>45177</c:v>
                </c:pt>
                <c:pt idx="4">
                  <c:v>45184</c:v>
                </c:pt>
                <c:pt idx="5">
                  <c:v>45191</c:v>
                </c:pt>
                <c:pt idx="6">
                  <c:v>45198</c:v>
                </c:pt>
                <c:pt idx="7">
                  <c:v>45205</c:v>
                </c:pt>
                <c:pt idx="8">
                  <c:v>45212</c:v>
                </c:pt>
                <c:pt idx="9">
                  <c:v>45219</c:v>
                </c:pt>
                <c:pt idx="10">
                  <c:v>45226</c:v>
                </c:pt>
                <c:pt idx="11">
                  <c:v>45233</c:v>
                </c:pt>
                <c:pt idx="12">
                  <c:v>45240</c:v>
                </c:pt>
                <c:pt idx="13">
                  <c:v>45247</c:v>
                </c:pt>
                <c:pt idx="14">
                  <c:v>45254</c:v>
                </c:pt>
                <c:pt idx="15">
                  <c:v>45261</c:v>
                </c:pt>
                <c:pt idx="16">
                  <c:v>45268</c:v>
                </c:pt>
                <c:pt idx="17">
                  <c:v>45275</c:v>
                </c:pt>
                <c:pt idx="18">
                  <c:v>45282</c:v>
                </c:pt>
                <c:pt idx="19">
                  <c:v>45289</c:v>
                </c:pt>
                <c:pt idx="20">
                  <c:v>45296</c:v>
                </c:pt>
                <c:pt idx="21">
                  <c:v>45303</c:v>
                </c:pt>
                <c:pt idx="22">
                  <c:v>45310</c:v>
                </c:pt>
                <c:pt idx="23">
                  <c:v>45317</c:v>
                </c:pt>
                <c:pt idx="24">
                  <c:v>45324</c:v>
                </c:pt>
                <c:pt idx="25">
                  <c:v>45331</c:v>
                </c:pt>
                <c:pt idx="26">
                  <c:v>45338</c:v>
                </c:pt>
                <c:pt idx="27">
                  <c:v>45345</c:v>
                </c:pt>
                <c:pt idx="28">
                  <c:v>45352</c:v>
                </c:pt>
                <c:pt idx="29">
                  <c:v>45359</c:v>
                </c:pt>
                <c:pt idx="30">
                  <c:v>45366</c:v>
                </c:pt>
                <c:pt idx="31">
                  <c:v>45373</c:v>
                </c:pt>
                <c:pt idx="32">
                  <c:v>45379</c:v>
                </c:pt>
                <c:pt idx="33">
                  <c:v>45387</c:v>
                </c:pt>
                <c:pt idx="34">
                  <c:v>45394</c:v>
                </c:pt>
                <c:pt idx="35">
                  <c:v>45401</c:v>
                </c:pt>
                <c:pt idx="36">
                  <c:v>45408</c:v>
                </c:pt>
                <c:pt idx="37">
                  <c:v>45415</c:v>
                </c:pt>
                <c:pt idx="38">
                  <c:v>45422</c:v>
                </c:pt>
                <c:pt idx="39">
                  <c:v>45429</c:v>
                </c:pt>
                <c:pt idx="40">
                  <c:v>45436</c:v>
                </c:pt>
                <c:pt idx="41">
                  <c:v>45443</c:v>
                </c:pt>
                <c:pt idx="42">
                  <c:v>45450</c:v>
                </c:pt>
                <c:pt idx="43">
                  <c:v>45457</c:v>
                </c:pt>
                <c:pt idx="44">
                  <c:v>45464</c:v>
                </c:pt>
                <c:pt idx="45">
                  <c:v>45471</c:v>
                </c:pt>
                <c:pt idx="46">
                  <c:v>45478</c:v>
                </c:pt>
                <c:pt idx="47">
                  <c:v>45485</c:v>
                </c:pt>
                <c:pt idx="48">
                  <c:v>45492</c:v>
                </c:pt>
                <c:pt idx="49">
                  <c:v>45499</c:v>
                </c:pt>
                <c:pt idx="50">
                  <c:v>45506</c:v>
                </c:pt>
                <c:pt idx="51">
                  <c:v>45513</c:v>
                </c:pt>
                <c:pt idx="52">
                  <c:v>45520</c:v>
                </c:pt>
                <c:pt idx="53">
                  <c:v>45527</c:v>
                </c:pt>
                <c:pt idx="54">
                  <c:v>45534</c:v>
                </c:pt>
                <c:pt idx="55">
                  <c:v>45541</c:v>
                </c:pt>
                <c:pt idx="56">
                  <c:v>45548</c:v>
                </c:pt>
                <c:pt idx="57">
                  <c:v>45555</c:v>
                </c:pt>
                <c:pt idx="58">
                  <c:v>45562</c:v>
                </c:pt>
                <c:pt idx="59">
                  <c:v>45569</c:v>
                </c:pt>
                <c:pt idx="60">
                  <c:v>45576</c:v>
                </c:pt>
                <c:pt idx="61">
                  <c:v>45583</c:v>
                </c:pt>
                <c:pt idx="62">
                  <c:v>45590</c:v>
                </c:pt>
                <c:pt idx="63">
                  <c:v>45597</c:v>
                </c:pt>
                <c:pt idx="64">
                  <c:v>45604</c:v>
                </c:pt>
                <c:pt idx="65">
                  <c:v>45611</c:v>
                </c:pt>
                <c:pt idx="66">
                  <c:v>45618</c:v>
                </c:pt>
                <c:pt idx="67">
                  <c:v>45625</c:v>
                </c:pt>
                <c:pt idx="68">
                  <c:v>45632</c:v>
                </c:pt>
                <c:pt idx="69">
                  <c:v>45639</c:v>
                </c:pt>
                <c:pt idx="70">
                  <c:v>45646</c:v>
                </c:pt>
                <c:pt idx="71">
                  <c:v>45653</c:v>
                </c:pt>
                <c:pt idx="72">
                  <c:v>45660</c:v>
                </c:pt>
                <c:pt idx="73">
                  <c:v>45667</c:v>
                </c:pt>
                <c:pt idx="74">
                  <c:v>45674</c:v>
                </c:pt>
                <c:pt idx="75">
                  <c:v>45681</c:v>
                </c:pt>
                <c:pt idx="76">
                  <c:v>45688</c:v>
                </c:pt>
                <c:pt idx="77">
                  <c:v>45695</c:v>
                </c:pt>
                <c:pt idx="78">
                  <c:v>45702</c:v>
                </c:pt>
                <c:pt idx="79">
                  <c:v>45709</c:v>
                </c:pt>
                <c:pt idx="80">
                  <c:v>45716</c:v>
                </c:pt>
                <c:pt idx="81">
                  <c:v>45723</c:v>
                </c:pt>
                <c:pt idx="82">
                  <c:v>45730</c:v>
                </c:pt>
                <c:pt idx="83">
                  <c:v>45737</c:v>
                </c:pt>
                <c:pt idx="84">
                  <c:v>45744</c:v>
                </c:pt>
                <c:pt idx="85">
                  <c:v>45751</c:v>
                </c:pt>
                <c:pt idx="86">
                  <c:v>45758</c:v>
                </c:pt>
                <c:pt idx="87">
                  <c:v>45764</c:v>
                </c:pt>
                <c:pt idx="88">
                  <c:v>45772</c:v>
                </c:pt>
                <c:pt idx="89">
                  <c:v>45779</c:v>
                </c:pt>
                <c:pt idx="90">
                  <c:v>45786</c:v>
                </c:pt>
                <c:pt idx="91">
                  <c:v>45793</c:v>
                </c:pt>
                <c:pt idx="92">
                  <c:v>45800</c:v>
                </c:pt>
                <c:pt idx="93">
                  <c:v>45807</c:v>
                </c:pt>
                <c:pt idx="94">
                  <c:v>45814</c:v>
                </c:pt>
                <c:pt idx="95">
                  <c:v>45821</c:v>
                </c:pt>
                <c:pt idx="96">
                  <c:v>45828</c:v>
                </c:pt>
                <c:pt idx="97">
                  <c:v>45835</c:v>
                </c:pt>
                <c:pt idx="98">
                  <c:v>45841</c:v>
                </c:pt>
                <c:pt idx="99">
                  <c:v>45849</c:v>
                </c:pt>
                <c:pt idx="100">
                  <c:v>45856</c:v>
                </c:pt>
                <c:pt idx="101">
                  <c:v>45863</c:v>
                </c:pt>
                <c:pt idx="102">
                  <c:v>45870</c:v>
                </c:pt>
                <c:pt idx="103">
                  <c:v>45877</c:v>
                </c:pt>
                <c:pt idx="104">
                  <c:v>45884</c:v>
                </c:pt>
                <c:pt idx="105">
                  <c:v>45891</c:v>
                </c:pt>
                <c:pt idx="106">
                  <c:v>45898</c:v>
                </c:pt>
                <c:pt idx="107">
                  <c:v>45905</c:v>
                </c:pt>
                <c:pt idx="108">
                  <c:v>45912</c:v>
                </c:pt>
                <c:pt idx="109">
                  <c:v>45919</c:v>
                </c:pt>
                <c:pt idx="110">
                  <c:v>45926</c:v>
                </c:pt>
                <c:pt idx="111">
                  <c:v>45933</c:v>
                </c:pt>
                <c:pt idx="112">
                  <c:v>45940</c:v>
                </c:pt>
                <c:pt idx="113">
                  <c:v>45947</c:v>
                </c:pt>
                <c:pt idx="114">
                  <c:v>45954</c:v>
                </c:pt>
                <c:pt idx="115">
                  <c:v>45961</c:v>
                </c:pt>
                <c:pt idx="116">
                  <c:v>45968</c:v>
                </c:pt>
                <c:pt idx="117">
                  <c:v>45975</c:v>
                </c:pt>
                <c:pt idx="118">
                  <c:v>45982</c:v>
                </c:pt>
                <c:pt idx="119">
                  <c:v>45989</c:v>
                </c:pt>
                <c:pt idx="120">
                  <c:v>45996</c:v>
                </c:pt>
                <c:pt idx="121">
                  <c:v>46003</c:v>
                </c:pt>
                <c:pt idx="122">
                  <c:v>46010</c:v>
                </c:pt>
                <c:pt idx="123">
                  <c:v>46017</c:v>
                </c:pt>
                <c:pt idx="124">
                  <c:v>46024</c:v>
                </c:pt>
                <c:pt idx="125">
                  <c:v>46031</c:v>
                </c:pt>
                <c:pt idx="126">
                  <c:v>46038</c:v>
                </c:pt>
                <c:pt idx="127">
                  <c:v>46045</c:v>
                </c:pt>
                <c:pt idx="128">
                  <c:v>46052</c:v>
                </c:pt>
                <c:pt idx="129">
                  <c:v>46059</c:v>
                </c:pt>
                <c:pt idx="130">
                  <c:v>46066</c:v>
                </c:pt>
                <c:pt idx="131">
                  <c:v>46073</c:v>
                </c:pt>
                <c:pt idx="132">
                  <c:v>46080</c:v>
                </c:pt>
                <c:pt idx="133">
                  <c:v>46087</c:v>
                </c:pt>
                <c:pt idx="134">
                  <c:v>46094</c:v>
                </c:pt>
                <c:pt idx="135">
                  <c:v>46101</c:v>
                </c:pt>
                <c:pt idx="136">
                  <c:v>46108</c:v>
                </c:pt>
                <c:pt idx="137">
                  <c:v>46114</c:v>
                </c:pt>
                <c:pt idx="138">
                  <c:v>46122</c:v>
                </c:pt>
                <c:pt idx="139">
                  <c:v>46129</c:v>
                </c:pt>
                <c:pt idx="140">
                  <c:v>46136</c:v>
                </c:pt>
                <c:pt idx="141">
                  <c:v>46143</c:v>
                </c:pt>
                <c:pt idx="142">
                  <c:v>46150</c:v>
                </c:pt>
                <c:pt idx="143">
                  <c:v>46157</c:v>
                </c:pt>
                <c:pt idx="144">
                  <c:v>46164</c:v>
                </c:pt>
                <c:pt idx="145">
                  <c:v>46171</c:v>
                </c:pt>
                <c:pt idx="146">
                  <c:v>46178</c:v>
                </c:pt>
                <c:pt idx="147">
                  <c:v>46185</c:v>
                </c:pt>
                <c:pt idx="148">
                  <c:v>46191</c:v>
                </c:pt>
                <c:pt idx="149">
                  <c:v>46199</c:v>
                </c:pt>
                <c:pt idx="150">
                  <c:v>46205</c:v>
                </c:pt>
                <c:pt idx="151">
                  <c:v>46213</c:v>
                </c:pt>
                <c:pt idx="152">
                  <c:v>46220</c:v>
                </c:pt>
                <c:pt idx="153">
                  <c:v>46227</c:v>
                </c:pt>
                <c:pt idx="154">
                  <c:v>46234</c:v>
                </c:pt>
                <c:pt idx="155">
                  <c:v>46241</c:v>
                </c:pt>
                <c:pt idx="156">
                  <c:v>46248</c:v>
                </c:pt>
                <c:pt idx="157">
                  <c:v>46255</c:v>
                </c:pt>
                <c:pt idx="158">
                  <c:v>46262</c:v>
                </c:pt>
                <c:pt idx="159">
                  <c:v>46269</c:v>
                </c:pt>
              </c:numCache>
            </c:numRef>
          </c:cat>
          <c:val>
            <c:numRef>
              <c:f>'Returns (Calc)'!$AH$3:$AH$500</c:f>
              <c:numCache>
                <c:formatCode>#,##0.00</c:formatCode>
                <c:ptCount val="498"/>
                <c:pt idx="0">
                  <c:v>33.51</c:v>
                </c:pt>
                <c:pt idx="1">
                  <c:v>33.299245283018863</c:v>
                </c:pt>
                <c:pt idx="2">
                  <c:v>33.088490566037734</c:v>
                </c:pt>
                <c:pt idx="3">
                  <c:v>32.877735849056599</c:v>
                </c:pt>
                <c:pt idx="4">
                  <c:v>32.66698113207547</c:v>
                </c:pt>
                <c:pt idx="5">
                  <c:v>32.456226415094335</c:v>
                </c:pt>
                <c:pt idx="6">
                  <c:v>32.245471698113207</c:v>
                </c:pt>
                <c:pt idx="7">
                  <c:v>32.034716981132071</c:v>
                </c:pt>
                <c:pt idx="8">
                  <c:v>31.823962264150943</c:v>
                </c:pt>
                <c:pt idx="9">
                  <c:v>31.613207547169811</c:v>
                </c:pt>
                <c:pt idx="10">
                  <c:v>31.402452830188679</c:v>
                </c:pt>
                <c:pt idx="11">
                  <c:v>31.191698113207543</c:v>
                </c:pt>
                <c:pt idx="12">
                  <c:v>30.980943396226412</c:v>
                </c:pt>
                <c:pt idx="13">
                  <c:v>30.77018867924528</c:v>
                </c:pt>
                <c:pt idx="14">
                  <c:v>30.559433962264148</c:v>
                </c:pt>
                <c:pt idx="15">
                  <c:v>30.348679245283016</c:v>
                </c:pt>
                <c:pt idx="16">
                  <c:v>30.137924528301884</c:v>
                </c:pt>
                <c:pt idx="17">
                  <c:v>29.927169811320752</c:v>
                </c:pt>
                <c:pt idx="18">
                  <c:v>29.71641509433962</c:v>
                </c:pt>
                <c:pt idx="19">
                  <c:v>29.505660377358488</c:v>
                </c:pt>
                <c:pt idx="20">
                  <c:v>29.294905660377356</c:v>
                </c:pt>
                <c:pt idx="21">
                  <c:v>29.084150943396224</c:v>
                </c:pt>
                <c:pt idx="22">
                  <c:v>28.873396226415093</c:v>
                </c:pt>
                <c:pt idx="23">
                  <c:v>28.662641509433961</c:v>
                </c:pt>
                <c:pt idx="24">
                  <c:v>28.451886792452829</c:v>
                </c:pt>
                <c:pt idx="25">
                  <c:v>28.241132075471697</c:v>
                </c:pt>
                <c:pt idx="26">
                  <c:v>28.030377358490565</c:v>
                </c:pt>
                <c:pt idx="27">
                  <c:v>27.819622641509433</c:v>
                </c:pt>
                <c:pt idx="28">
                  <c:v>27.608867924528301</c:v>
                </c:pt>
                <c:pt idx="29">
                  <c:v>27.398113207547169</c:v>
                </c:pt>
                <c:pt idx="30">
                  <c:v>27.187358490566037</c:v>
                </c:pt>
                <c:pt idx="31">
                  <c:v>26.976603773584905</c:v>
                </c:pt>
                <c:pt idx="32">
                  <c:v>26.76584905660377</c:v>
                </c:pt>
                <c:pt idx="33">
                  <c:v>26.555094339622642</c:v>
                </c:pt>
                <c:pt idx="34">
                  <c:v>26.344339622641506</c:v>
                </c:pt>
                <c:pt idx="35">
                  <c:v>26.133584905660378</c:v>
                </c:pt>
                <c:pt idx="36">
                  <c:v>25.922830188679242</c:v>
                </c:pt>
                <c:pt idx="37">
                  <c:v>25.712075471698114</c:v>
                </c:pt>
                <c:pt idx="38">
                  <c:v>25.501320754716978</c:v>
                </c:pt>
                <c:pt idx="39">
                  <c:v>25.29056603773585</c:v>
                </c:pt>
                <c:pt idx="40">
                  <c:v>25.079811320754715</c:v>
                </c:pt>
                <c:pt idx="41">
                  <c:v>24.869056603773586</c:v>
                </c:pt>
                <c:pt idx="42">
                  <c:v>24.658301886792451</c:v>
                </c:pt>
                <c:pt idx="43">
                  <c:v>24.447547169811319</c:v>
                </c:pt>
                <c:pt idx="44">
                  <c:v>24.236792452830187</c:v>
                </c:pt>
                <c:pt idx="45">
                  <c:v>24.026037735849055</c:v>
                </c:pt>
                <c:pt idx="46">
                  <c:v>23.815283018867923</c:v>
                </c:pt>
                <c:pt idx="47">
                  <c:v>23.604528301886791</c:v>
                </c:pt>
                <c:pt idx="48">
                  <c:v>23.393773584905659</c:v>
                </c:pt>
                <c:pt idx="49">
                  <c:v>23.183018867924524</c:v>
                </c:pt>
                <c:pt idx="50">
                  <c:v>22.972264150943396</c:v>
                </c:pt>
                <c:pt idx="51">
                  <c:v>22.76150943396226</c:v>
                </c:pt>
                <c:pt idx="52">
                  <c:v>22.550754716981132</c:v>
                </c:pt>
                <c:pt idx="53">
                  <c:v>22.339999999999996</c:v>
                </c:pt>
                <c:pt idx="54">
                  <c:v>22.129245283018868</c:v>
                </c:pt>
                <c:pt idx="55">
                  <c:v>21.918490566037732</c:v>
                </c:pt>
                <c:pt idx="56">
                  <c:v>21.707735849056604</c:v>
                </c:pt>
                <c:pt idx="57">
                  <c:v>21.496981132075469</c:v>
                </c:pt>
                <c:pt idx="58">
                  <c:v>21.28622641509434</c:v>
                </c:pt>
                <c:pt idx="59">
                  <c:v>21.075471698113205</c:v>
                </c:pt>
                <c:pt idx="60">
                  <c:v>20.864716981132077</c:v>
                </c:pt>
                <c:pt idx="61">
                  <c:v>20.653962264150941</c:v>
                </c:pt>
                <c:pt idx="62">
                  <c:v>20.443207547169809</c:v>
                </c:pt>
                <c:pt idx="63">
                  <c:v>20.232452830188677</c:v>
                </c:pt>
                <c:pt idx="64">
                  <c:v>20.021698113207545</c:v>
                </c:pt>
                <c:pt idx="65">
                  <c:v>19.810943396226413</c:v>
                </c:pt>
                <c:pt idx="66">
                  <c:v>19.600188679245282</c:v>
                </c:pt>
                <c:pt idx="67">
                  <c:v>19.38943396226415</c:v>
                </c:pt>
                <c:pt idx="68">
                  <c:v>19.178679245283018</c:v>
                </c:pt>
                <c:pt idx="69">
                  <c:v>18.967924528301886</c:v>
                </c:pt>
                <c:pt idx="70">
                  <c:v>18.757169811320754</c:v>
                </c:pt>
                <c:pt idx="71">
                  <c:v>18.546415094339622</c:v>
                </c:pt>
                <c:pt idx="72">
                  <c:v>18.33566037735849</c:v>
                </c:pt>
                <c:pt idx="73">
                  <c:v>18.124905660377358</c:v>
                </c:pt>
                <c:pt idx="74">
                  <c:v>17.914150943396226</c:v>
                </c:pt>
                <c:pt idx="75">
                  <c:v>17.703396226415094</c:v>
                </c:pt>
                <c:pt idx="76">
                  <c:v>17.492641509433962</c:v>
                </c:pt>
                <c:pt idx="77">
                  <c:v>17.281886792452827</c:v>
                </c:pt>
                <c:pt idx="78">
                  <c:v>17.071132075471699</c:v>
                </c:pt>
                <c:pt idx="79">
                  <c:v>16.860377358490563</c:v>
                </c:pt>
                <c:pt idx="80">
                  <c:v>16.649622641509435</c:v>
                </c:pt>
                <c:pt idx="81">
                  <c:v>16.438867924528299</c:v>
                </c:pt>
                <c:pt idx="82">
                  <c:v>16.228113207547171</c:v>
                </c:pt>
                <c:pt idx="83">
                  <c:v>16.017358490566036</c:v>
                </c:pt>
                <c:pt idx="84">
                  <c:v>15.806603773584907</c:v>
                </c:pt>
                <c:pt idx="85">
                  <c:v>15.595849056603772</c:v>
                </c:pt>
                <c:pt idx="86">
                  <c:v>15.38509433962264</c:v>
                </c:pt>
                <c:pt idx="87">
                  <c:v>15.174339622641508</c:v>
                </c:pt>
                <c:pt idx="88">
                  <c:v>14.963584905660376</c:v>
                </c:pt>
                <c:pt idx="89">
                  <c:v>14.752830188679244</c:v>
                </c:pt>
                <c:pt idx="90">
                  <c:v>14.542075471698112</c:v>
                </c:pt>
                <c:pt idx="91">
                  <c:v>14.33132075471698</c:v>
                </c:pt>
                <c:pt idx="92">
                  <c:v>14.120566037735848</c:v>
                </c:pt>
                <c:pt idx="93">
                  <c:v>13.909811320754716</c:v>
                </c:pt>
                <c:pt idx="94">
                  <c:v>13.699056603773585</c:v>
                </c:pt>
                <c:pt idx="95">
                  <c:v>13.488301886792453</c:v>
                </c:pt>
                <c:pt idx="96">
                  <c:v>13.277547169811317</c:v>
                </c:pt>
                <c:pt idx="97">
                  <c:v>13.066792452830189</c:v>
                </c:pt>
                <c:pt idx="98">
                  <c:v>12.856037735849053</c:v>
                </c:pt>
                <c:pt idx="99">
                  <c:v>12.645283018867925</c:v>
                </c:pt>
                <c:pt idx="100">
                  <c:v>12.43452830188679</c:v>
                </c:pt>
                <c:pt idx="101">
                  <c:v>12.223773584905661</c:v>
                </c:pt>
                <c:pt idx="102">
                  <c:v>12.013018867924526</c:v>
                </c:pt>
                <c:pt idx="103">
                  <c:v>11.802264150943397</c:v>
                </c:pt>
                <c:pt idx="104">
                  <c:v>11.591509433962262</c:v>
                </c:pt>
                <c:pt idx="105">
                  <c:v>11.38075471698113</c:v>
                </c:pt>
                <c:pt idx="106">
                  <c:v>11.169999999999998</c:v>
                </c:pt>
                <c:pt idx="107">
                  <c:v>10.959245283018866</c:v>
                </c:pt>
                <c:pt idx="108">
                  <c:v>10.748490566037734</c:v>
                </c:pt>
                <c:pt idx="109">
                  <c:v>10.537735849056602</c:v>
                </c:pt>
                <c:pt idx="110">
                  <c:v>10.326981132075471</c:v>
                </c:pt>
                <c:pt idx="111">
                  <c:v>10.116226415094339</c:v>
                </c:pt>
                <c:pt idx="112">
                  <c:v>9.9054716981132067</c:v>
                </c:pt>
                <c:pt idx="113">
                  <c:v>9.6947169811320748</c:v>
                </c:pt>
                <c:pt idx="114">
                  <c:v>9.4839622641509429</c:v>
                </c:pt>
                <c:pt idx="115">
                  <c:v>9.273207547169811</c:v>
                </c:pt>
                <c:pt idx="116">
                  <c:v>9.0624528301886791</c:v>
                </c:pt>
                <c:pt idx="117">
                  <c:v>8.8516981132075472</c:v>
                </c:pt>
                <c:pt idx="118">
                  <c:v>8.6409433962264153</c:v>
                </c:pt>
                <c:pt idx="119">
                  <c:v>8.4301886792452834</c:v>
                </c:pt>
                <c:pt idx="120">
                  <c:v>8.2194339622641515</c:v>
                </c:pt>
                <c:pt idx="121">
                  <c:v>8.0086792452830196</c:v>
                </c:pt>
                <c:pt idx="122">
                  <c:v>7.7979245283018876</c:v>
                </c:pt>
                <c:pt idx="123">
                  <c:v>7.5871698113207557</c:v>
                </c:pt>
                <c:pt idx="124">
                  <c:v>7.3764150943396203</c:v>
                </c:pt>
                <c:pt idx="125">
                  <c:v>7.1656603773584884</c:v>
                </c:pt>
                <c:pt idx="126">
                  <c:v>6.95490566037736</c:v>
                </c:pt>
                <c:pt idx="127">
                  <c:v>6.7441509433962281</c:v>
                </c:pt>
                <c:pt idx="128">
                  <c:v>6.5333962264150927</c:v>
                </c:pt>
                <c:pt idx="129">
                  <c:v>6.3226415094339607</c:v>
                </c:pt>
                <c:pt idx="130">
                  <c:v>6.1118867924528253</c:v>
                </c:pt>
                <c:pt idx="131">
                  <c:v>5.9011320754717005</c:v>
                </c:pt>
                <c:pt idx="132">
                  <c:v>5.690377358490565</c:v>
                </c:pt>
                <c:pt idx="133">
                  <c:v>5.4796226415094331</c:v>
                </c:pt>
                <c:pt idx="134">
                  <c:v>5.2688679245282977</c:v>
                </c:pt>
                <c:pt idx="135">
                  <c:v>5.0581132075471729</c:v>
                </c:pt>
                <c:pt idx="136">
                  <c:v>4.8473584905660374</c:v>
                </c:pt>
                <c:pt idx="137">
                  <c:v>4.6366037735849055</c:v>
                </c:pt>
                <c:pt idx="138">
                  <c:v>4.42584905660377</c:v>
                </c:pt>
                <c:pt idx="139">
                  <c:v>4.2150943396226417</c:v>
                </c:pt>
                <c:pt idx="140">
                  <c:v>4.0043396226415098</c:v>
                </c:pt>
                <c:pt idx="141">
                  <c:v>3.7935849056603779</c:v>
                </c:pt>
                <c:pt idx="142">
                  <c:v>3.5828301886792424</c:v>
                </c:pt>
                <c:pt idx="143">
                  <c:v>3.3720754716981141</c:v>
                </c:pt>
                <c:pt idx="144">
                  <c:v>3.1613207547169822</c:v>
                </c:pt>
                <c:pt idx="145">
                  <c:v>2.9505660377358467</c:v>
                </c:pt>
                <c:pt idx="146">
                  <c:v>2.7398113207547148</c:v>
                </c:pt>
                <c:pt idx="147">
                  <c:v>2.5290566037735864</c:v>
                </c:pt>
                <c:pt idx="148">
                  <c:v>2.3183018867924545</c:v>
                </c:pt>
                <c:pt idx="149">
                  <c:v>2.1075471698113191</c:v>
                </c:pt>
                <c:pt idx="150">
                  <c:v>1.8967924528301872</c:v>
                </c:pt>
                <c:pt idx="151">
                  <c:v>1.6860377358490588</c:v>
                </c:pt>
                <c:pt idx="152">
                  <c:v>1.4752830188679269</c:v>
                </c:pt>
                <c:pt idx="153">
                  <c:v>1.2645283018867914</c:v>
                </c:pt>
                <c:pt idx="154">
                  <c:v>1.053773584905656</c:v>
                </c:pt>
                <c:pt idx="155">
                  <c:v>0.84301886792452763</c:v>
                </c:pt>
                <c:pt idx="156">
                  <c:v>0.63226415094339927</c:v>
                </c:pt>
                <c:pt idx="157">
                  <c:v>0.42150943396226381</c:v>
                </c:pt>
                <c:pt idx="158">
                  <c:v>0.21075471698112835</c:v>
                </c:pt>
                <c:pt idx="159">
                  <c:v>0</c:v>
                </c:pt>
              </c:numCache>
            </c:numRef>
          </c:val>
          <c:smooth val="0"/>
          <c:extLst>
            <c:ext xmlns:c16="http://schemas.microsoft.com/office/drawing/2014/chart" uri="{C3380CC4-5D6E-409C-BE32-E72D297353CC}">
              <c16:uniqueId val="{00000001-E1BD-4FCB-AB48-B065AE6C0303}"/>
            </c:ext>
          </c:extLst>
        </c:ser>
        <c:dLbls>
          <c:showLegendKey val="0"/>
          <c:showVal val="0"/>
          <c:showCatName val="0"/>
          <c:showSerName val="0"/>
          <c:showPercent val="0"/>
          <c:showBubbleSize val="0"/>
        </c:dLbls>
        <c:hiLowLines>
          <c:spPr>
            <a:ln w="0">
              <a:noFill/>
            </a:ln>
          </c:spPr>
        </c:hiLowLines>
        <c:marker val="1"/>
        <c:smooth val="0"/>
        <c:axId val="25829272"/>
        <c:axId val="61515242"/>
      </c:lineChart>
      <c:dateAx>
        <c:axId val="50667835"/>
        <c:scaling>
          <c:orientation val="minMax"/>
        </c:scaling>
        <c:delete val="1"/>
        <c:axPos val="b"/>
        <c:numFmt formatCode="mm/dd/yyyy" sourceLinked="1"/>
        <c:majorTickMark val="none"/>
        <c:minorTickMark val="none"/>
        <c:tickLblPos val="nextTo"/>
        <c:crossAx val="64301589"/>
        <c:crosses val="autoZero"/>
        <c:auto val="1"/>
        <c:lblOffset val="100"/>
        <c:baseTimeUnit val="days"/>
      </c:dateAx>
      <c:valAx>
        <c:axId val="64301589"/>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50667835"/>
        <c:crosses val="autoZero"/>
        <c:crossBetween val="between"/>
      </c:valAx>
      <c:dateAx>
        <c:axId val="25829272"/>
        <c:scaling>
          <c:orientation val="minMax"/>
        </c:scaling>
        <c:delete val="1"/>
        <c:axPos val="b"/>
        <c:numFmt formatCode="mm/dd/yyyy" sourceLinked="1"/>
        <c:majorTickMark val="none"/>
        <c:minorTickMark val="none"/>
        <c:tickLblPos val="nextTo"/>
        <c:crossAx val="61515242"/>
        <c:crosses val="autoZero"/>
        <c:auto val="1"/>
        <c:lblOffset val="100"/>
        <c:baseTimeUnit val="days"/>
      </c:dateAx>
      <c:valAx>
        <c:axId val="61515242"/>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25829272"/>
        <c:crosses val="max"/>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VRTX</a:t>
            </a:r>
          </a:p>
        </c:rich>
      </c:tx>
      <c:overlay val="0"/>
      <c:spPr>
        <a:noFill/>
        <a:ln w="0">
          <a:noFill/>
        </a:ln>
      </c:spPr>
    </c:title>
    <c:autoTitleDeleted val="0"/>
    <c:plotArea>
      <c:layout/>
      <c:barChart>
        <c:barDir val="col"/>
        <c:grouping val="clustered"/>
        <c:varyColors val="0"/>
        <c:ser>
          <c:idx val="0"/>
          <c:order val="0"/>
          <c:tx>
            <c:strRef>
              <c:f>'Returns (Calc)'!$N$2</c:f>
              <c:strCache>
                <c:ptCount val="1"/>
                <c:pt idx="0">
                  <c:v>VRTX</c:v>
                </c:pt>
              </c:strCache>
            </c:strRef>
          </c:tx>
          <c:spPr>
            <a:solidFill>
              <a:srgbClr val="4F81BD"/>
            </a:solidFill>
            <a:ln w="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45156</c:v>
                </c:pt>
                <c:pt idx="1">
                  <c:v>45163</c:v>
                </c:pt>
                <c:pt idx="2">
                  <c:v>45170</c:v>
                </c:pt>
                <c:pt idx="3">
                  <c:v>45177</c:v>
                </c:pt>
                <c:pt idx="4">
                  <c:v>45184</c:v>
                </c:pt>
                <c:pt idx="5">
                  <c:v>45191</c:v>
                </c:pt>
                <c:pt idx="6">
                  <c:v>45198</c:v>
                </c:pt>
                <c:pt idx="7">
                  <c:v>45205</c:v>
                </c:pt>
                <c:pt idx="8">
                  <c:v>45212</c:v>
                </c:pt>
                <c:pt idx="9">
                  <c:v>45219</c:v>
                </c:pt>
                <c:pt idx="10">
                  <c:v>45226</c:v>
                </c:pt>
                <c:pt idx="11">
                  <c:v>45233</c:v>
                </c:pt>
                <c:pt idx="12">
                  <c:v>45240</c:v>
                </c:pt>
                <c:pt idx="13">
                  <c:v>45247</c:v>
                </c:pt>
                <c:pt idx="14">
                  <c:v>45254</c:v>
                </c:pt>
                <c:pt idx="15">
                  <c:v>45261</c:v>
                </c:pt>
                <c:pt idx="16">
                  <c:v>45268</c:v>
                </c:pt>
                <c:pt idx="17">
                  <c:v>45275</c:v>
                </c:pt>
                <c:pt idx="18">
                  <c:v>45282</c:v>
                </c:pt>
                <c:pt idx="19">
                  <c:v>45289</c:v>
                </c:pt>
                <c:pt idx="20">
                  <c:v>45296</c:v>
                </c:pt>
                <c:pt idx="21">
                  <c:v>45303</c:v>
                </c:pt>
                <c:pt idx="22">
                  <c:v>45310</c:v>
                </c:pt>
                <c:pt idx="23">
                  <c:v>45317</c:v>
                </c:pt>
                <c:pt idx="24">
                  <c:v>45324</c:v>
                </c:pt>
                <c:pt idx="25">
                  <c:v>45331</c:v>
                </c:pt>
                <c:pt idx="26">
                  <c:v>45338</c:v>
                </c:pt>
                <c:pt idx="27">
                  <c:v>45345</c:v>
                </c:pt>
                <c:pt idx="28">
                  <c:v>45352</c:v>
                </c:pt>
                <c:pt idx="29">
                  <c:v>45359</c:v>
                </c:pt>
                <c:pt idx="30">
                  <c:v>45366</c:v>
                </c:pt>
                <c:pt idx="31">
                  <c:v>45373</c:v>
                </c:pt>
                <c:pt idx="32">
                  <c:v>45379</c:v>
                </c:pt>
                <c:pt idx="33">
                  <c:v>45387</c:v>
                </c:pt>
                <c:pt idx="34">
                  <c:v>45394</c:v>
                </c:pt>
                <c:pt idx="35">
                  <c:v>45401</c:v>
                </c:pt>
                <c:pt idx="36">
                  <c:v>45408</c:v>
                </c:pt>
                <c:pt idx="37">
                  <c:v>45415</c:v>
                </c:pt>
                <c:pt idx="38">
                  <c:v>45422</c:v>
                </c:pt>
                <c:pt idx="39">
                  <c:v>45429</c:v>
                </c:pt>
                <c:pt idx="40">
                  <c:v>45436</c:v>
                </c:pt>
                <c:pt idx="41">
                  <c:v>45443</c:v>
                </c:pt>
                <c:pt idx="42">
                  <c:v>45450</c:v>
                </c:pt>
                <c:pt idx="43">
                  <c:v>45457</c:v>
                </c:pt>
                <c:pt idx="44">
                  <c:v>45464</c:v>
                </c:pt>
                <c:pt idx="45">
                  <c:v>45471</c:v>
                </c:pt>
                <c:pt idx="46">
                  <c:v>45478</c:v>
                </c:pt>
                <c:pt idx="47">
                  <c:v>45485</c:v>
                </c:pt>
                <c:pt idx="48">
                  <c:v>45492</c:v>
                </c:pt>
                <c:pt idx="49">
                  <c:v>45499</c:v>
                </c:pt>
                <c:pt idx="50">
                  <c:v>45506</c:v>
                </c:pt>
                <c:pt idx="51">
                  <c:v>45513</c:v>
                </c:pt>
                <c:pt idx="52">
                  <c:v>45520</c:v>
                </c:pt>
                <c:pt idx="53">
                  <c:v>45527</c:v>
                </c:pt>
                <c:pt idx="54">
                  <c:v>45534</c:v>
                </c:pt>
                <c:pt idx="55">
                  <c:v>45541</c:v>
                </c:pt>
                <c:pt idx="56">
                  <c:v>45548</c:v>
                </c:pt>
                <c:pt idx="57">
                  <c:v>45555</c:v>
                </c:pt>
                <c:pt idx="58">
                  <c:v>45562</c:v>
                </c:pt>
                <c:pt idx="59">
                  <c:v>45569</c:v>
                </c:pt>
                <c:pt idx="60">
                  <c:v>45576</c:v>
                </c:pt>
                <c:pt idx="61">
                  <c:v>45583</c:v>
                </c:pt>
                <c:pt idx="62">
                  <c:v>45590</c:v>
                </c:pt>
                <c:pt idx="63">
                  <c:v>45597</c:v>
                </c:pt>
                <c:pt idx="64">
                  <c:v>45604</c:v>
                </c:pt>
                <c:pt idx="65">
                  <c:v>45611</c:v>
                </c:pt>
                <c:pt idx="66">
                  <c:v>45618</c:v>
                </c:pt>
                <c:pt idx="67">
                  <c:v>45625</c:v>
                </c:pt>
                <c:pt idx="68">
                  <c:v>45632</c:v>
                </c:pt>
                <c:pt idx="69">
                  <c:v>45639</c:v>
                </c:pt>
                <c:pt idx="70">
                  <c:v>45646</c:v>
                </c:pt>
                <c:pt idx="71">
                  <c:v>45653</c:v>
                </c:pt>
                <c:pt idx="72">
                  <c:v>45660</c:v>
                </c:pt>
                <c:pt idx="73">
                  <c:v>45667</c:v>
                </c:pt>
                <c:pt idx="74">
                  <c:v>45674</c:v>
                </c:pt>
                <c:pt idx="75">
                  <c:v>45681</c:v>
                </c:pt>
                <c:pt idx="76">
                  <c:v>45688</c:v>
                </c:pt>
                <c:pt idx="77">
                  <c:v>45695</c:v>
                </c:pt>
                <c:pt idx="78">
                  <c:v>45702</c:v>
                </c:pt>
                <c:pt idx="79">
                  <c:v>45709</c:v>
                </c:pt>
                <c:pt idx="80">
                  <c:v>45716</c:v>
                </c:pt>
                <c:pt idx="81">
                  <c:v>45723</c:v>
                </c:pt>
                <c:pt idx="82">
                  <c:v>45730</c:v>
                </c:pt>
                <c:pt idx="83">
                  <c:v>45737</c:v>
                </c:pt>
                <c:pt idx="84">
                  <c:v>45744</c:v>
                </c:pt>
                <c:pt idx="85">
                  <c:v>45751</c:v>
                </c:pt>
                <c:pt idx="86">
                  <c:v>45758</c:v>
                </c:pt>
                <c:pt idx="87">
                  <c:v>45764</c:v>
                </c:pt>
                <c:pt idx="88">
                  <c:v>45772</c:v>
                </c:pt>
                <c:pt idx="89">
                  <c:v>45779</c:v>
                </c:pt>
                <c:pt idx="90">
                  <c:v>45786</c:v>
                </c:pt>
                <c:pt idx="91">
                  <c:v>45793</c:v>
                </c:pt>
                <c:pt idx="92">
                  <c:v>45800</c:v>
                </c:pt>
                <c:pt idx="93">
                  <c:v>45807</c:v>
                </c:pt>
                <c:pt idx="94">
                  <c:v>45814</c:v>
                </c:pt>
                <c:pt idx="95">
                  <c:v>45821</c:v>
                </c:pt>
                <c:pt idx="96">
                  <c:v>45828</c:v>
                </c:pt>
                <c:pt idx="97">
                  <c:v>45835</c:v>
                </c:pt>
                <c:pt idx="98">
                  <c:v>45841</c:v>
                </c:pt>
                <c:pt idx="99">
                  <c:v>45849</c:v>
                </c:pt>
                <c:pt idx="100">
                  <c:v>45856</c:v>
                </c:pt>
                <c:pt idx="101">
                  <c:v>45863</c:v>
                </c:pt>
                <c:pt idx="102">
                  <c:v>45870</c:v>
                </c:pt>
                <c:pt idx="103">
                  <c:v>45877</c:v>
                </c:pt>
                <c:pt idx="104">
                  <c:v>45884</c:v>
                </c:pt>
                <c:pt idx="105">
                  <c:v>45891</c:v>
                </c:pt>
                <c:pt idx="106">
                  <c:v>45898</c:v>
                </c:pt>
                <c:pt idx="107">
                  <c:v>45905</c:v>
                </c:pt>
                <c:pt idx="108">
                  <c:v>45912</c:v>
                </c:pt>
                <c:pt idx="109">
                  <c:v>45919</c:v>
                </c:pt>
                <c:pt idx="110">
                  <c:v>45926</c:v>
                </c:pt>
                <c:pt idx="111">
                  <c:v>45933</c:v>
                </c:pt>
                <c:pt idx="112">
                  <c:v>45940</c:v>
                </c:pt>
                <c:pt idx="113">
                  <c:v>45947</c:v>
                </c:pt>
                <c:pt idx="114">
                  <c:v>45954</c:v>
                </c:pt>
                <c:pt idx="115">
                  <c:v>45961</c:v>
                </c:pt>
                <c:pt idx="116">
                  <c:v>45968</c:v>
                </c:pt>
                <c:pt idx="117">
                  <c:v>45975</c:v>
                </c:pt>
                <c:pt idx="118">
                  <c:v>45982</c:v>
                </c:pt>
                <c:pt idx="119">
                  <c:v>45989</c:v>
                </c:pt>
                <c:pt idx="120">
                  <c:v>45996</c:v>
                </c:pt>
                <c:pt idx="121">
                  <c:v>46003</c:v>
                </c:pt>
                <c:pt idx="122">
                  <c:v>46010</c:v>
                </c:pt>
                <c:pt idx="123">
                  <c:v>46017</c:v>
                </c:pt>
                <c:pt idx="124">
                  <c:v>46024</c:v>
                </c:pt>
                <c:pt idx="125">
                  <c:v>46031</c:v>
                </c:pt>
                <c:pt idx="126">
                  <c:v>46038</c:v>
                </c:pt>
                <c:pt idx="127">
                  <c:v>46045</c:v>
                </c:pt>
                <c:pt idx="128">
                  <c:v>46052</c:v>
                </c:pt>
                <c:pt idx="129">
                  <c:v>46059</c:v>
                </c:pt>
                <c:pt idx="130">
                  <c:v>46066</c:v>
                </c:pt>
                <c:pt idx="131">
                  <c:v>46073</c:v>
                </c:pt>
                <c:pt idx="132">
                  <c:v>46080</c:v>
                </c:pt>
                <c:pt idx="133">
                  <c:v>46087</c:v>
                </c:pt>
                <c:pt idx="134">
                  <c:v>46094</c:v>
                </c:pt>
                <c:pt idx="135">
                  <c:v>46101</c:v>
                </c:pt>
                <c:pt idx="136">
                  <c:v>46108</c:v>
                </c:pt>
                <c:pt idx="137">
                  <c:v>46114</c:v>
                </c:pt>
                <c:pt idx="138">
                  <c:v>46122</c:v>
                </c:pt>
                <c:pt idx="139">
                  <c:v>46129</c:v>
                </c:pt>
                <c:pt idx="140">
                  <c:v>46136</c:v>
                </c:pt>
                <c:pt idx="141">
                  <c:v>46143</c:v>
                </c:pt>
                <c:pt idx="142">
                  <c:v>46150</c:v>
                </c:pt>
                <c:pt idx="143">
                  <c:v>46157</c:v>
                </c:pt>
                <c:pt idx="144">
                  <c:v>46164</c:v>
                </c:pt>
                <c:pt idx="145">
                  <c:v>46171</c:v>
                </c:pt>
                <c:pt idx="146">
                  <c:v>46178</c:v>
                </c:pt>
                <c:pt idx="147">
                  <c:v>46185</c:v>
                </c:pt>
                <c:pt idx="148">
                  <c:v>46191</c:v>
                </c:pt>
                <c:pt idx="149">
                  <c:v>46199</c:v>
                </c:pt>
                <c:pt idx="150">
                  <c:v>46205</c:v>
                </c:pt>
                <c:pt idx="151">
                  <c:v>46213</c:v>
                </c:pt>
                <c:pt idx="152">
                  <c:v>46220</c:v>
                </c:pt>
                <c:pt idx="153">
                  <c:v>46227</c:v>
                </c:pt>
                <c:pt idx="154">
                  <c:v>46234</c:v>
                </c:pt>
                <c:pt idx="155">
                  <c:v>46241</c:v>
                </c:pt>
                <c:pt idx="156">
                  <c:v>46248</c:v>
                </c:pt>
                <c:pt idx="157">
                  <c:v>46255</c:v>
                </c:pt>
                <c:pt idx="158">
                  <c:v>46262</c:v>
                </c:pt>
                <c:pt idx="159">
                  <c:v>46269</c:v>
                </c:pt>
              </c:numCache>
            </c:numRef>
          </c:cat>
          <c:val>
            <c:numRef>
              <c:f>'Returns (Calc)'!$N$3:$N$500</c:f>
              <c:numCache>
                <c:formatCode>0.0%</c:formatCode>
                <c:ptCount val="498"/>
                <c:pt idx="0">
                  <c:v>-1.4405762304922076E-2</c:v>
                </c:pt>
                <c:pt idx="1">
                  <c:v>1.5196334319355076E-2</c:v>
                </c:pt>
                <c:pt idx="2">
                  <c:v>2.9709192709821419E-3</c:v>
                </c:pt>
                <c:pt idx="3">
                  <c:v>-2.2927940757618948E-2</c:v>
                </c:pt>
                <c:pt idx="4">
                  <c:v>1.7052907739396383E-2</c:v>
                </c:pt>
                <c:pt idx="5">
                  <c:v>1.8056749785038129E-3</c:v>
                </c:pt>
                <c:pt idx="6">
                  <c:v>-5.1211627042027086E-3</c:v>
                </c:pt>
                <c:pt idx="7">
                  <c:v>3.7039167193880562E-2</c:v>
                </c:pt>
                <c:pt idx="8">
                  <c:v>2.8783761299983279E-2</c:v>
                </c:pt>
                <c:pt idx="9">
                  <c:v>-2.4636118598382661E-2</c:v>
                </c:pt>
                <c:pt idx="10">
                  <c:v>-1.8183827999779023E-2</c:v>
                </c:pt>
                <c:pt idx="11">
                  <c:v>5.8883134429182693E-2</c:v>
                </c:pt>
                <c:pt idx="12">
                  <c:v>-6.7783094098884389E-3</c:v>
                </c:pt>
                <c:pt idx="13">
                  <c:v>-6.1956376287970016E-2</c:v>
                </c:pt>
                <c:pt idx="14">
                  <c:v>7.2467902995720923E-3</c:v>
                </c:pt>
                <c:pt idx="15">
                  <c:v>-5.3251756174937936E-3</c:v>
                </c:pt>
                <c:pt idx="16">
                  <c:v>-2.8761817974713999E-3</c:v>
                </c:pt>
                <c:pt idx="17">
                  <c:v>0.17286877052691718</c:v>
                </c:pt>
                <c:pt idx="18">
                  <c:v>-1.3221973312554813E-2</c:v>
                </c:pt>
                <c:pt idx="19">
                  <c:v>4.0468846391117363E-3</c:v>
                </c:pt>
                <c:pt idx="20">
                  <c:v>2.3618176902848509E-2</c:v>
                </c:pt>
                <c:pt idx="21">
                  <c:v>4.057623049219683E-2</c:v>
                </c:pt>
                <c:pt idx="22">
                  <c:v>3.737886479003194E-3</c:v>
                </c:pt>
                <c:pt idx="23">
                  <c:v>-1.1148912693669133E-2</c:v>
                </c:pt>
                <c:pt idx="24">
                  <c:v>-1.2762396261942976E-2</c:v>
                </c:pt>
                <c:pt idx="25">
                  <c:v>-4.1678440237354897E-3</c:v>
                </c:pt>
                <c:pt idx="26">
                  <c:v>-1.6788441985293723E-3</c:v>
                </c:pt>
                <c:pt idx="27">
                  <c:v>1.8735196589294123E-2</c:v>
                </c:pt>
                <c:pt idx="28">
                  <c:v>6.161214573016105E-3</c:v>
                </c:pt>
                <c:pt idx="29">
                  <c:v>-4.4297069969498115E-2</c:v>
                </c:pt>
                <c:pt idx="30">
                  <c:v>-1.4265335235377985E-2</c:v>
                </c:pt>
                <c:pt idx="31">
                  <c:v>1.954916725943745E-2</c:v>
                </c:pt>
                <c:pt idx="32">
                  <c:v>5.6536592407254727E-3</c:v>
                </c:pt>
                <c:pt idx="33">
                  <c:v>-2.7128537594794278E-2</c:v>
                </c:pt>
                <c:pt idx="34">
                  <c:v>-2.4885041925885809E-2</c:v>
                </c:pt>
                <c:pt idx="35">
                  <c:v>-5.7243727146640833E-3</c:v>
                </c:pt>
                <c:pt idx="36">
                  <c:v>8.1160596530385209E-3</c:v>
                </c:pt>
                <c:pt idx="37">
                  <c:v>9.0570594746903765E-3</c:v>
                </c:pt>
                <c:pt idx="38">
                  <c:v>5.4103919417572532E-2</c:v>
                </c:pt>
                <c:pt idx="39">
                  <c:v>5.3053597615781323E-2</c:v>
                </c:pt>
                <c:pt idx="40">
                  <c:v>2.6369578401203908E-2</c:v>
                </c:pt>
                <c:pt idx="41">
                  <c:v>-3.5233614180982809E-3</c:v>
                </c:pt>
                <c:pt idx="42">
                  <c:v>6.0833662757499907E-2</c:v>
                </c:pt>
                <c:pt idx="43">
                  <c:v>-4.7822126531964493E-3</c:v>
                </c:pt>
                <c:pt idx="44">
                  <c:v>-2.5003640297048269E-2</c:v>
                </c:pt>
                <c:pt idx="45">
                  <c:v>2.1335153933321749E-5</c:v>
                </c:pt>
                <c:pt idx="46">
                  <c:v>1.2480798771121293E-2</c:v>
                </c:pt>
                <c:pt idx="47">
                  <c:v>2.9858608845902745E-2</c:v>
                </c:pt>
                <c:pt idx="48">
                  <c:v>5.7903998035764292E-3</c:v>
                </c:pt>
                <c:pt idx="49">
                  <c:v>7.5065606119169015E-3</c:v>
                </c:pt>
                <c:pt idx="50">
                  <c:v>-1.6153131688406708E-3</c:v>
                </c:pt>
                <c:pt idx="51">
                  <c:v>-5.2602839461230455E-2</c:v>
                </c:pt>
                <c:pt idx="52">
                  <c:v>1.9041519906073168E-2</c:v>
                </c:pt>
                <c:pt idx="53">
                  <c:v>8.1069191612375135E-3</c:v>
                </c:pt>
                <c:pt idx="54">
                  <c:v>3.0442191006566421E-2</c:v>
                </c:pt>
                <c:pt idx="55">
                  <c:v>-5.624231180302075E-2</c:v>
                </c:pt>
                <c:pt idx="56">
                  <c:v>3.7115384615384661E-2</c:v>
                </c:pt>
                <c:pt idx="57">
                  <c:v>-4.2132805900653048E-2</c:v>
                </c:pt>
                <c:pt idx="58">
                  <c:v>-4.3878516734062734E-3</c:v>
                </c:pt>
                <c:pt idx="59">
                  <c:v>-1.6354130660214294E-2</c:v>
                </c:pt>
                <c:pt idx="60">
                  <c:v>5.7982473479607277E-2</c:v>
                </c:pt>
                <c:pt idx="61">
                  <c:v>2.6779597683252998E-3</c:v>
                </c:pt>
                <c:pt idx="62">
                  <c:v>-1.0973084886128359E-2</c:v>
                </c:pt>
                <c:pt idx="63">
                  <c:v>-1.3774335356918521E-2</c:v>
                </c:pt>
                <c:pt idx="64">
                  <c:v>9.6833078621158197E-2</c:v>
                </c:pt>
                <c:pt idx="65">
                  <c:v>-9.8773077369663675E-2</c:v>
                </c:pt>
                <c:pt idx="66">
                  <c:v>-3.1629804595232902E-2</c:v>
                </c:pt>
                <c:pt idx="67">
                  <c:v>3.8051311617180561E-2</c:v>
                </c:pt>
                <c:pt idx="68">
                  <c:v>-1.28810373186935E-2</c:v>
                </c:pt>
                <c:pt idx="69">
                  <c:v>3.5273750270503612E-3</c:v>
                </c:pt>
                <c:pt idx="70">
                  <c:v>-0.14331615379639018</c:v>
                </c:pt>
                <c:pt idx="71">
                  <c:v>2.8922395348251806E-2</c:v>
                </c:pt>
                <c:pt idx="72">
                  <c:v>-4.0365984930031962E-3</c:v>
                </c:pt>
                <c:pt idx="73">
                  <c:v>6.0180295251897054E-3</c:v>
                </c:pt>
                <c:pt idx="74">
                  <c:v>3.0374059966793654E-2</c:v>
                </c:pt>
                <c:pt idx="75">
                  <c:v>4.1753554502369727E-2</c:v>
                </c:pt>
                <c:pt idx="76">
                  <c:v>5.0179700650561765E-2</c:v>
                </c:pt>
                <c:pt idx="77">
                  <c:v>1.6548258534049509E-2</c:v>
                </c:pt>
                <c:pt idx="78">
                  <c:v>-2.1989261058552811E-2</c:v>
                </c:pt>
                <c:pt idx="79">
                  <c:v>5.4989106753812633E-2</c:v>
                </c:pt>
                <c:pt idx="80">
                  <c:v>-9.1896580208160605E-3</c:v>
                </c:pt>
                <c:pt idx="81">
                  <c:v>1.7716084120135811E-2</c:v>
                </c:pt>
                <c:pt idx="82">
                  <c:v>3.3750435192201333E-2</c:v>
                </c:pt>
                <c:pt idx="83">
                  <c:v>-3.1103274758801369E-3</c:v>
                </c:pt>
                <c:pt idx="84">
                  <c:v>-2.0886327503974567E-2</c:v>
                </c:pt>
                <c:pt idx="85">
                  <c:v>-3.6676206133674283E-2</c:v>
                </c:pt>
                <c:pt idx="86">
                  <c:v>2.022670768193513E-2</c:v>
                </c:pt>
                <c:pt idx="87">
                  <c:v>1.0078063690058148E-2</c:v>
                </c:pt>
                <c:pt idx="88">
                  <c:v>9.6912696790021347E-3</c:v>
                </c:pt>
                <c:pt idx="89">
                  <c:v>1.4802365138506302E-2</c:v>
                </c:pt>
                <c:pt idx="90">
                  <c:v>-0.15197046792377522</c:v>
                </c:pt>
                <c:pt idx="91">
                  <c:v>3.2141932751358793E-2</c:v>
                </c:pt>
                <c:pt idx="92">
                  <c:v>-6.041262965918115E-3</c:v>
                </c:pt>
                <c:pt idx="93">
                  <c:v>1.3876146788990962E-2</c:v>
                </c:pt>
                <c:pt idx="94">
                  <c:v>1.9115484673679406E-2</c:v>
                </c:pt>
                <c:pt idx="95">
                  <c:v>1.0987791342952358E-2</c:v>
                </c:pt>
                <c:pt idx="96">
                  <c:v>-3.2012295531891555E-2</c:v>
                </c:pt>
                <c:pt idx="97">
                  <c:v>9.7534420577494174E-4</c:v>
                </c:pt>
                <c:pt idx="98">
                  <c:v>4.15137094946747E-2</c:v>
                </c:pt>
                <c:pt idx="99">
                  <c:v>2.0081806709890904E-2</c:v>
                </c:pt>
                <c:pt idx="100">
                  <c:v>-1.9281220006398647E-2</c:v>
                </c:pt>
                <c:pt idx="101">
                  <c:v>2.1400143537548155E-2</c:v>
                </c:pt>
                <c:pt idx="102">
                  <c:v>-1.6011923773022407E-2</c:v>
                </c:pt>
                <c:pt idx="103">
                  <c:v>-0.20684655832774324</c:v>
                </c:pt>
                <c:pt idx="104">
                  <c:v>7.1615649042396479E-2</c:v>
                </c:pt>
                <c:pt idx="105">
                  <c:v>5.9319229104610738E-3</c:v>
                </c:pt>
                <c:pt idx="106">
                  <c:v>-1.0376594452318311E-2</c:v>
                </c:pt>
                <c:pt idx="107">
                  <c:v>1.3042811109406305E-2</c:v>
                </c:pt>
                <c:pt idx="108">
                  <c:v>-4.0139351711603322E-3</c:v>
                </c:pt>
                <c:pt idx="109">
                  <c:v>-2.8920487668871786E-2</c:v>
                </c:pt>
                <c:pt idx="110">
                  <c:v>6.8385884318229451E-3</c:v>
                </c:pt>
                <c:pt idx="111">
                  <c:v>4.552289106652152E-2</c:v>
                </c:pt>
                <c:pt idx="112">
                  <c:v>1.1133151500124061E-2</c:v>
                </c:pt>
                <c:pt idx="113">
                  <c:v>2.2119228034036986E-2</c:v>
                </c:pt>
                <c:pt idx="114">
                  <c:v>1.0988220052301934E-2</c:v>
                </c:pt>
                <c:pt idx="115">
                  <c:v>9.919551958992967E-3</c:v>
                </c:pt>
                <c:pt idx="116">
                  <c:v>-3.7831614070540587E-2</c:v>
                </c:pt>
                <c:pt idx="117">
                  <c:v>6.7599579944806587E-2</c:v>
                </c:pt>
                <c:pt idx="118">
                  <c:v>-2.3767585496969001E-2</c:v>
                </c:pt>
                <c:pt idx="119">
                  <c:v>1.6051176305183379E-2</c:v>
                </c:pt>
                <c:pt idx="120">
                  <c:v>5.0437028666313166E-2</c:v>
                </c:pt>
                <c:pt idx="121">
                  <c:v>-7.5524721173267917E-3</c:v>
                </c:pt>
                <c:pt idx="122">
                  <c:v>9.2027254225288679E-3</c:v>
                </c:pt>
                <c:pt idx="123">
                  <c:v>1.4686540990793473E-2</c:v>
                </c:pt>
                <c:pt idx="124">
                  <c:v>-2.326636422553463E-2</c:v>
                </c:pt>
                <c:pt idx="125">
                  <c:v>2.5943865702342306E-2</c:v>
                </c:pt>
                <c:pt idx="126">
                  <c:v>-4.8506014745828496E-2</c:v>
                </c:pt>
                <c:pt idx="127">
                  <c:v>6.1287837592894689E-2</c:v>
                </c:pt>
                <c:pt idx="128">
                  <c:v>3.1809739330928011E-3</c:v>
                </c:pt>
                <c:pt idx="129">
                  <c:v>1.706746116194946E-2</c:v>
                </c:pt>
                <c:pt idx="130">
                  <c:v>2.8352025443588946E-2</c:v>
                </c:pt>
                <c:pt idx="131">
                  <c:v>-2.9645756607727947E-2</c:v>
                </c:pt>
                <c:pt idx="132">
                  <c:v>4.1790731809603798E-2</c:v>
                </c:pt>
                <c:pt idx="133">
                  <c:v>-8.0792222691866367E-2</c:v>
                </c:pt>
                <c:pt idx="134">
                  <c:v>2.7699314633558902E-2</c:v>
                </c:pt>
                <c:pt idx="135">
                  <c:v>-3.2684194826777979E-2</c:v>
                </c:pt>
                <c:pt idx="136">
                  <c:v>-4.6101321585903077E-2</c:v>
                </c:pt>
                <c:pt idx="137">
                  <c:v>1.3023298773870318E-2</c:v>
                </c:pt>
                <c:pt idx="138">
                  <c:v>-5.5617606163524957E-3</c:v>
                </c:pt>
                <c:pt idx="139">
                  <c:v>1.1300341531620406E-2</c:v>
                </c:pt>
                <c:pt idx="140">
                  <c:v>-2.4728014505892904E-2</c:v>
                </c:pt>
                <c:pt idx="141">
                  <c:v>-1.4803969415975282E-2</c:v>
                </c:pt>
                <c:pt idx="142">
                  <c:v>1.3917720324589489E-2</c:v>
                </c:pt>
                <c:pt idx="143">
                  <c:v>1.6588339304825173E-2</c:v>
                </c:pt>
                <c:pt idx="144">
                  <c:v>-5.5612770339855677E-3</c:v>
                </c:pt>
                <c:pt idx="145">
                  <c:v>2.9964098315382603E-2</c:v>
                </c:pt>
                <c:pt idx="146">
                  <c:v>-1.5864503731510826E-3</c:v>
                </c:pt>
                <c:pt idx="147">
                  <c:v>-4.2521764429424014E-3</c:v>
                </c:pt>
                <c:pt idx="148">
                  <c:v>1.5058548535724636E-2</c:v>
                </c:pt>
                <c:pt idx="149">
                  <c:v>8.7925957088767381E-2</c:v>
                </c:pt>
                <c:pt idx="150">
                  <c:v>7.4693694793829035E-2</c:v>
                </c:pt>
                <c:pt idx="151">
                  <c:v>-8.0770396182107351E-2</c:v>
                </c:pt>
                <c:pt idx="152">
                  <c:v>5.3565174395853177E-4</c:v>
                </c:pt>
                <c:pt idx="153">
                  <c:v>-1.7069906311129368E-2</c:v>
                </c:pt>
                <c:pt idx="154">
                  <c:v>-5.4466230936822679E-4</c:v>
                </c:pt>
                <c:pt idx="155">
                  <c:v>3.9761056382309645E-2</c:v>
                </c:pt>
                <c:pt idx="156">
                  <c:v>1.9513375128510146E-2</c:v>
                </c:pt>
                <c:pt idx="157">
                  <c:v>8.3638161146811552E-2</c:v>
                </c:pt>
                <c:pt idx="158">
                  <c:v>-1.1604780585712793E-2</c:v>
                </c:pt>
                <c:pt idx="159">
                  <c:v>8.1781092506783004E-3</c:v>
                </c:pt>
              </c:numCache>
            </c:numRef>
          </c:val>
          <c:extLst>
            <c:ext xmlns:c16="http://schemas.microsoft.com/office/drawing/2014/chart" uri="{C3380CC4-5D6E-409C-BE32-E72D297353CC}">
              <c16:uniqueId val="{00000000-4CCB-4877-81BD-EAD18BF4A838}"/>
            </c:ext>
          </c:extLst>
        </c:ser>
        <c:dLbls>
          <c:showLegendKey val="0"/>
          <c:showVal val="0"/>
          <c:showCatName val="0"/>
          <c:showSerName val="0"/>
          <c:showPercent val="0"/>
          <c:showBubbleSize val="0"/>
        </c:dLbls>
        <c:gapWidth val="150"/>
        <c:axId val="46977418"/>
        <c:axId val="82481654"/>
      </c:barChart>
      <c:lineChart>
        <c:grouping val="standard"/>
        <c:varyColors val="0"/>
        <c:ser>
          <c:idx val="1"/>
          <c:order val="1"/>
          <c:tx>
            <c:strRef>
              <c:f>'Returns (Calc)'!$AI$2</c:f>
              <c:strCache>
                <c:ptCount val="1"/>
                <c:pt idx="0">
                  <c:v>VRTX trend</c:v>
                </c:pt>
              </c:strCache>
            </c:strRef>
          </c:tx>
          <c:spPr>
            <a:ln w="201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45156</c:v>
                </c:pt>
                <c:pt idx="1">
                  <c:v>45163</c:v>
                </c:pt>
                <c:pt idx="2">
                  <c:v>45170</c:v>
                </c:pt>
                <c:pt idx="3">
                  <c:v>45177</c:v>
                </c:pt>
                <c:pt idx="4">
                  <c:v>45184</c:v>
                </c:pt>
                <c:pt idx="5">
                  <c:v>45191</c:v>
                </c:pt>
                <c:pt idx="6">
                  <c:v>45198</c:v>
                </c:pt>
                <c:pt idx="7">
                  <c:v>45205</c:v>
                </c:pt>
                <c:pt idx="8">
                  <c:v>45212</c:v>
                </c:pt>
                <c:pt idx="9">
                  <c:v>45219</c:v>
                </c:pt>
                <c:pt idx="10">
                  <c:v>45226</c:v>
                </c:pt>
                <c:pt idx="11">
                  <c:v>45233</c:v>
                </c:pt>
                <c:pt idx="12">
                  <c:v>45240</c:v>
                </c:pt>
                <c:pt idx="13">
                  <c:v>45247</c:v>
                </c:pt>
                <c:pt idx="14">
                  <c:v>45254</c:v>
                </c:pt>
                <c:pt idx="15">
                  <c:v>45261</c:v>
                </c:pt>
                <c:pt idx="16">
                  <c:v>45268</c:v>
                </c:pt>
                <c:pt idx="17">
                  <c:v>45275</c:v>
                </c:pt>
                <c:pt idx="18">
                  <c:v>45282</c:v>
                </c:pt>
                <c:pt idx="19">
                  <c:v>45289</c:v>
                </c:pt>
                <c:pt idx="20">
                  <c:v>45296</c:v>
                </c:pt>
                <c:pt idx="21">
                  <c:v>45303</c:v>
                </c:pt>
                <c:pt idx="22">
                  <c:v>45310</c:v>
                </c:pt>
                <c:pt idx="23">
                  <c:v>45317</c:v>
                </c:pt>
                <c:pt idx="24">
                  <c:v>45324</c:v>
                </c:pt>
                <c:pt idx="25">
                  <c:v>45331</c:v>
                </c:pt>
                <c:pt idx="26">
                  <c:v>45338</c:v>
                </c:pt>
                <c:pt idx="27">
                  <c:v>45345</c:v>
                </c:pt>
                <c:pt idx="28">
                  <c:v>45352</c:v>
                </c:pt>
                <c:pt idx="29">
                  <c:v>45359</c:v>
                </c:pt>
                <c:pt idx="30">
                  <c:v>45366</c:v>
                </c:pt>
                <c:pt idx="31">
                  <c:v>45373</c:v>
                </c:pt>
                <c:pt idx="32">
                  <c:v>45379</c:v>
                </c:pt>
                <c:pt idx="33">
                  <c:v>45387</c:v>
                </c:pt>
                <c:pt idx="34">
                  <c:v>45394</c:v>
                </c:pt>
                <c:pt idx="35">
                  <c:v>45401</c:v>
                </c:pt>
                <c:pt idx="36">
                  <c:v>45408</c:v>
                </c:pt>
                <c:pt idx="37">
                  <c:v>45415</c:v>
                </c:pt>
                <c:pt idx="38">
                  <c:v>45422</c:v>
                </c:pt>
                <c:pt idx="39">
                  <c:v>45429</c:v>
                </c:pt>
                <c:pt idx="40">
                  <c:v>45436</c:v>
                </c:pt>
                <c:pt idx="41">
                  <c:v>45443</c:v>
                </c:pt>
                <c:pt idx="42">
                  <c:v>45450</c:v>
                </c:pt>
                <c:pt idx="43">
                  <c:v>45457</c:v>
                </c:pt>
                <c:pt idx="44">
                  <c:v>45464</c:v>
                </c:pt>
                <c:pt idx="45">
                  <c:v>45471</c:v>
                </c:pt>
                <c:pt idx="46">
                  <c:v>45478</c:v>
                </c:pt>
                <c:pt idx="47">
                  <c:v>45485</c:v>
                </c:pt>
                <c:pt idx="48">
                  <c:v>45492</c:v>
                </c:pt>
                <c:pt idx="49">
                  <c:v>45499</c:v>
                </c:pt>
                <c:pt idx="50">
                  <c:v>45506</c:v>
                </c:pt>
                <c:pt idx="51">
                  <c:v>45513</c:v>
                </c:pt>
                <c:pt idx="52">
                  <c:v>45520</c:v>
                </c:pt>
                <c:pt idx="53">
                  <c:v>45527</c:v>
                </c:pt>
                <c:pt idx="54">
                  <c:v>45534</c:v>
                </c:pt>
                <c:pt idx="55">
                  <c:v>45541</c:v>
                </c:pt>
                <c:pt idx="56">
                  <c:v>45548</c:v>
                </c:pt>
                <c:pt idx="57">
                  <c:v>45555</c:v>
                </c:pt>
                <c:pt idx="58">
                  <c:v>45562</c:v>
                </c:pt>
                <c:pt idx="59">
                  <c:v>45569</c:v>
                </c:pt>
                <c:pt idx="60">
                  <c:v>45576</c:v>
                </c:pt>
                <c:pt idx="61">
                  <c:v>45583</c:v>
                </c:pt>
                <c:pt idx="62">
                  <c:v>45590</c:v>
                </c:pt>
                <c:pt idx="63">
                  <c:v>45597</c:v>
                </c:pt>
                <c:pt idx="64">
                  <c:v>45604</c:v>
                </c:pt>
                <c:pt idx="65">
                  <c:v>45611</c:v>
                </c:pt>
                <c:pt idx="66">
                  <c:v>45618</c:v>
                </c:pt>
                <c:pt idx="67">
                  <c:v>45625</c:v>
                </c:pt>
                <c:pt idx="68">
                  <c:v>45632</c:v>
                </c:pt>
                <c:pt idx="69">
                  <c:v>45639</c:v>
                </c:pt>
                <c:pt idx="70">
                  <c:v>45646</c:v>
                </c:pt>
                <c:pt idx="71">
                  <c:v>45653</c:v>
                </c:pt>
                <c:pt idx="72">
                  <c:v>45660</c:v>
                </c:pt>
                <c:pt idx="73">
                  <c:v>45667</c:v>
                </c:pt>
                <c:pt idx="74">
                  <c:v>45674</c:v>
                </c:pt>
                <c:pt idx="75">
                  <c:v>45681</c:v>
                </c:pt>
                <c:pt idx="76">
                  <c:v>45688</c:v>
                </c:pt>
                <c:pt idx="77">
                  <c:v>45695</c:v>
                </c:pt>
                <c:pt idx="78">
                  <c:v>45702</c:v>
                </c:pt>
                <c:pt idx="79">
                  <c:v>45709</c:v>
                </c:pt>
                <c:pt idx="80">
                  <c:v>45716</c:v>
                </c:pt>
                <c:pt idx="81">
                  <c:v>45723</c:v>
                </c:pt>
                <c:pt idx="82">
                  <c:v>45730</c:v>
                </c:pt>
                <c:pt idx="83">
                  <c:v>45737</c:v>
                </c:pt>
                <c:pt idx="84">
                  <c:v>45744</c:v>
                </c:pt>
                <c:pt idx="85">
                  <c:v>45751</c:v>
                </c:pt>
                <c:pt idx="86">
                  <c:v>45758</c:v>
                </c:pt>
                <c:pt idx="87">
                  <c:v>45764</c:v>
                </c:pt>
                <c:pt idx="88">
                  <c:v>45772</c:v>
                </c:pt>
                <c:pt idx="89">
                  <c:v>45779</c:v>
                </c:pt>
                <c:pt idx="90">
                  <c:v>45786</c:v>
                </c:pt>
                <c:pt idx="91">
                  <c:v>45793</c:v>
                </c:pt>
                <c:pt idx="92">
                  <c:v>45800</c:v>
                </c:pt>
                <c:pt idx="93">
                  <c:v>45807</c:v>
                </c:pt>
                <c:pt idx="94">
                  <c:v>45814</c:v>
                </c:pt>
                <c:pt idx="95">
                  <c:v>45821</c:v>
                </c:pt>
                <c:pt idx="96">
                  <c:v>45828</c:v>
                </c:pt>
                <c:pt idx="97">
                  <c:v>45835</c:v>
                </c:pt>
                <c:pt idx="98">
                  <c:v>45841</c:v>
                </c:pt>
                <c:pt idx="99">
                  <c:v>45849</c:v>
                </c:pt>
                <c:pt idx="100">
                  <c:v>45856</c:v>
                </c:pt>
                <c:pt idx="101">
                  <c:v>45863</c:v>
                </c:pt>
                <c:pt idx="102">
                  <c:v>45870</c:v>
                </c:pt>
                <c:pt idx="103">
                  <c:v>45877</c:v>
                </c:pt>
                <c:pt idx="104">
                  <c:v>45884</c:v>
                </c:pt>
                <c:pt idx="105">
                  <c:v>45891</c:v>
                </c:pt>
                <c:pt idx="106">
                  <c:v>45898</c:v>
                </c:pt>
                <c:pt idx="107">
                  <c:v>45905</c:v>
                </c:pt>
                <c:pt idx="108">
                  <c:v>45912</c:v>
                </c:pt>
                <c:pt idx="109">
                  <c:v>45919</c:v>
                </c:pt>
                <c:pt idx="110">
                  <c:v>45926</c:v>
                </c:pt>
                <c:pt idx="111">
                  <c:v>45933</c:v>
                </c:pt>
                <c:pt idx="112">
                  <c:v>45940</c:v>
                </c:pt>
                <c:pt idx="113">
                  <c:v>45947</c:v>
                </c:pt>
                <c:pt idx="114">
                  <c:v>45954</c:v>
                </c:pt>
                <c:pt idx="115">
                  <c:v>45961</c:v>
                </c:pt>
                <c:pt idx="116">
                  <c:v>45968</c:v>
                </c:pt>
                <c:pt idx="117">
                  <c:v>45975</c:v>
                </c:pt>
                <c:pt idx="118">
                  <c:v>45982</c:v>
                </c:pt>
                <c:pt idx="119">
                  <c:v>45989</c:v>
                </c:pt>
                <c:pt idx="120">
                  <c:v>45996</c:v>
                </c:pt>
                <c:pt idx="121">
                  <c:v>46003</c:v>
                </c:pt>
                <c:pt idx="122">
                  <c:v>46010</c:v>
                </c:pt>
                <c:pt idx="123">
                  <c:v>46017</c:v>
                </c:pt>
                <c:pt idx="124">
                  <c:v>46024</c:v>
                </c:pt>
                <c:pt idx="125">
                  <c:v>46031</c:v>
                </c:pt>
                <c:pt idx="126">
                  <c:v>46038</c:v>
                </c:pt>
                <c:pt idx="127">
                  <c:v>46045</c:v>
                </c:pt>
                <c:pt idx="128">
                  <c:v>46052</c:v>
                </c:pt>
                <c:pt idx="129">
                  <c:v>46059</c:v>
                </c:pt>
                <c:pt idx="130">
                  <c:v>46066</c:v>
                </c:pt>
                <c:pt idx="131">
                  <c:v>46073</c:v>
                </c:pt>
                <c:pt idx="132">
                  <c:v>46080</c:v>
                </c:pt>
                <c:pt idx="133">
                  <c:v>46087</c:v>
                </c:pt>
                <c:pt idx="134">
                  <c:v>46094</c:v>
                </c:pt>
                <c:pt idx="135">
                  <c:v>46101</c:v>
                </c:pt>
                <c:pt idx="136">
                  <c:v>46108</c:v>
                </c:pt>
                <c:pt idx="137">
                  <c:v>46114</c:v>
                </c:pt>
                <c:pt idx="138">
                  <c:v>46122</c:v>
                </c:pt>
                <c:pt idx="139">
                  <c:v>46129</c:v>
                </c:pt>
                <c:pt idx="140">
                  <c:v>46136</c:v>
                </c:pt>
                <c:pt idx="141">
                  <c:v>46143</c:v>
                </c:pt>
                <c:pt idx="142">
                  <c:v>46150</c:v>
                </c:pt>
                <c:pt idx="143">
                  <c:v>46157</c:v>
                </c:pt>
                <c:pt idx="144">
                  <c:v>46164</c:v>
                </c:pt>
                <c:pt idx="145">
                  <c:v>46171</c:v>
                </c:pt>
                <c:pt idx="146">
                  <c:v>46178</c:v>
                </c:pt>
                <c:pt idx="147">
                  <c:v>46185</c:v>
                </c:pt>
                <c:pt idx="148">
                  <c:v>46191</c:v>
                </c:pt>
                <c:pt idx="149">
                  <c:v>46199</c:v>
                </c:pt>
                <c:pt idx="150">
                  <c:v>46205</c:v>
                </c:pt>
                <c:pt idx="151">
                  <c:v>46213</c:v>
                </c:pt>
                <c:pt idx="152">
                  <c:v>46220</c:v>
                </c:pt>
                <c:pt idx="153">
                  <c:v>46227</c:v>
                </c:pt>
                <c:pt idx="154">
                  <c:v>46234</c:v>
                </c:pt>
                <c:pt idx="155">
                  <c:v>46241</c:v>
                </c:pt>
                <c:pt idx="156">
                  <c:v>46248</c:v>
                </c:pt>
                <c:pt idx="157">
                  <c:v>46255</c:v>
                </c:pt>
                <c:pt idx="158">
                  <c:v>46262</c:v>
                </c:pt>
                <c:pt idx="159">
                  <c:v>46269</c:v>
                </c:pt>
              </c:numCache>
            </c:numRef>
          </c:cat>
          <c:val>
            <c:numRef>
              <c:f>'Returns (Calc)'!$AI$3:$AI$500</c:f>
              <c:numCache>
                <c:formatCode>#,##0.00</c:formatCode>
                <c:ptCount val="498"/>
                <c:pt idx="0">
                  <c:v>349.86</c:v>
                </c:pt>
                <c:pt idx="1">
                  <c:v>347.65962264150943</c:v>
                </c:pt>
                <c:pt idx="2">
                  <c:v>345.4592452830189</c:v>
                </c:pt>
                <c:pt idx="3">
                  <c:v>343.25886792452832</c:v>
                </c:pt>
                <c:pt idx="4">
                  <c:v>341.05849056603773</c:v>
                </c:pt>
                <c:pt idx="5">
                  <c:v>338.85811320754721</c:v>
                </c:pt>
                <c:pt idx="6">
                  <c:v>336.65773584905662</c:v>
                </c:pt>
                <c:pt idx="7">
                  <c:v>334.45735849056604</c:v>
                </c:pt>
                <c:pt idx="8">
                  <c:v>332.25698113207551</c:v>
                </c:pt>
                <c:pt idx="9">
                  <c:v>330.05660377358492</c:v>
                </c:pt>
                <c:pt idx="10">
                  <c:v>327.85622641509434</c:v>
                </c:pt>
                <c:pt idx="11">
                  <c:v>325.65584905660381</c:v>
                </c:pt>
                <c:pt idx="12">
                  <c:v>323.45547169811323</c:v>
                </c:pt>
                <c:pt idx="13">
                  <c:v>321.25509433962264</c:v>
                </c:pt>
                <c:pt idx="14">
                  <c:v>319.05471698113206</c:v>
                </c:pt>
                <c:pt idx="15">
                  <c:v>316.85433962264153</c:v>
                </c:pt>
                <c:pt idx="16">
                  <c:v>314.65396226415095</c:v>
                </c:pt>
                <c:pt idx="17">
                  <c:v>312.45358490566036</c:v>
                </c:pt>
                <c:pt idx="18">
                  <c:v>310.25320754716984</c:v>
                </c:pt>
                <c:pt idx="19">
                  <c:v>308.05283018867925</c:v>
                </c:pt>
                <c:pt idx="20">
                  <c:v>305.85245283018867</c:v>
                </c:pt>
                <c:pt idx="21">
                  <c:v>303.65207547169814</c:v>
                </c:pt>
                <c:pt idx="22">
                  <c:v>301.45169811320756</c:v>
                </c:pt>
                <c:pt idx="23">
                  <c:v>299.25132075471697</c:v>
                </c:pt>
                <c:pt idx="24">
                  <c:v>297.05094339622644</c:v>
                </c:pt>
                <c:pt idx="25">
                  <c:v>294.85056603773586</c:v>
                </c:pt>
                <c:pt idx="26">
                  <c:v>292.65018867924528</c:v>
                </c:pt>
                <c:pt idx="27">
                  <c:v>290.44981132075475</c:v>
                </c:pt>
                <c:pt idx="28">
                  <c:v>288.24943396226416</c:v>
                </c:pt>
                <c:pt idx="29">
                  <c:v>286.04905660377358</c:v>
                </c:pt>
                <c:pt idx="30">
                  <c:v>283.84867924528305</c:v>
                </c:pt>
                <c:pt idx="31">
                  <c:v>281.64830188679247</c:v>
                </c:pt>
                <c:pt idx="32">
                  <c:v>279.44792452830188</c:v>
                </c:pt>
                <c:pt idx="33">
                  <c:v>277.24754716981136</c:v>
                </c:pt>
                <c:pt idx="34">
                  <c:v>275.04716981132077</c:v>
                </c:pt>
                <c:pt idx="35">
                  <c:v>272.84679245283019</c:v>
                </c:pt>
                <c:pt idx="36">
                  <c:v>270.64641509433966</c:v>
                </c:pt>
                <c:pt idx="37">
                  <c:v>268.44603773584907</c:v>
                </c:pt>
                <c:pt idx="38">
                  <c:v>266.24566037735849</c:v>
                </c:pt>
                <c:pt idx="39">
                  <c:v>264.04528301886796</c:v>
                </c:pt>
                <c:pt idx="40">
                  <c:v>261.84490566037738</c:v>
                </c:pt>
                <c:pt idx="41">
                  <c:v>259.64452830188679</c:v>
                </c:pt>
                <c:pt idx="42">
                  <c:v>257.44415094339627</c:v>
                </c:pt>
                <c:pt idx="43">
                  <c:v>255.24377358490568</c:v>
                </c:pt>
                <c:pt idx="44">
                  <c:v>253.0433962264151</c:v>
                </c:pt>
                <c:pt idx="45">
                  <c:v>250.84301886792454</c:v>
                </c:pt>
                <c:pt idx="46">
                  <c:v>248.64264150943399</c:v>
                </c:pt>
                <c:pt idx="47">
                  <c:v>246.4422641509434</c:v>
                </c:pt>
                <c:pt idx="48">
                  <c:v>244.24188679245285</c:v>
                </c:pt>
                <c:pt idx="49">
                  <c:v>242.04150943396229</c:v>
                </c:pt>
                <c:pt idx="50">
                  <c:v>239.84113207547171</c:v>
                </c:pt>
                <c:pt idx="51">
                  <c:v>237.64075471698112</c:v>
                </c:pt>
                <c:pt idx="52">
                  <c:v>235.44037735849059</c:v>
                </c:pt>
                <c:pt idx="53">
                  <c:v>233.24</c:v>
                </c:pt>
                <c:pt idx="54">
                  <c:v>231.03962264150942</c:v>
                </c:pt>
                <c:pt idx="55">
                  <c:v>228.8392452830189</c:v>
                </c:pt>
                <c:pt idx="56">
                  <c:v>226.63886792452831</c:v>
                </c:pt>
                <c:pt idx="57">
                  <c:v>224.43849056603773</c:v>
                </c:pt>
                <c:pt idx="58">
                  <c:v>222.23811320754717</c:v>
                </c:pt>
                <c:pt idx="59">
                  <c:v>220.03773584905662</c:v>
                </c:pt>
                <c:pt idx="60">
                  <c:v>217.83735849056603</c:v>
                </c:pt>
                <c:pt idx="61">
                  <c:v>215.6369811320755</c:v>
                </c:pt>
                <c:pt idx="62">
                  <c:v>213.43660377358492</c:v>
                </c:pt>
                <c:pt idx="63">
                  <c:v>211.23622641509436</c:v>
                </c:pt>
                <c:pt idx="64">
                  <c:v>209.03584905660378</c:v>
                </c:pt>
                <c:pt idx="65">
                  <c:v>206.83547169811322</c:v>
                </c:pt>
                <c:pt idx="66">
                  <c:v>204.63509433962264</c:v>
                </c:pt>
                <c:pt idx="67">
                  <c:v>202.43471698113208</c:v>
                </c:pt>
                <c:pt idx="68">
                  <c:v>200.23433962264153</c:v>
                </c:pt>
                <c:pt idx="69">
                  <c:v>198.03396226415094</c:v>
                </c:pt>
                <c:pt idx="70">
                  <c:v>195.83358490566039</c:v>
                </c:pt>
                <c:pt idx="71">
                  <c:v>193.6332075471698</c:v>
                </c:pt>
                <c:pt idx="72">
                  <c:v>191.43283018867925</c:v>
                </c:pt>
                <c:pt idx="73">
                  <c:v>189.23245283018869</c:v>
                </c:pt>
                <c:pt idx="74">
                  <c:v>187.03207547169814</c:v>
                </c:pt>
                <c:pt idx="75">
                  <c:v>184.83169811320755</c:v>
                </c:pt>
                <c:pt idx="76">
                  <c:v>182.631320754717</c:v>
                </c:pt>
                <c:pt idx="77">
                  <c:v>180.43094339622641</c:v>
                </c:pt>
                <c:pt idx="78">
                  <c:v>178.23056603773585</c:v>
                </c:pt>
                <c:pt idx="79">
                  <c:v>176.03018867924527</c:v>
                </c:pt>
                <c:pt idx="80">
                  <c:v>173.82981132075471</c:v>
                </c:pt>
                <c:pt idx="81">
                  <c:v>171.62943396226416</c:v>
                </c:pt>
                <c:pt idx="82">
                  <c:v>169.4290566037736</c:v>
                </c:pt>
                <c:pt idx="83">
                  <c:v>167.22867924528302</c:v>
                </c:pt>
                <c:pt idx="84">
                  <c:v>165.02830188679246</c:v>
                </c:pt>
                <c:pt idx="85">
                  <c:v>162.82792452830188</c:v>
                </c:pt>
                <c:pt idx="86">
                  <c:v>160.62754716981132</c:v>
                </c:pt>
                <c:pt idx="87">
                  <c:v>158.42716981132077</c:v>
                </c:pt>
                <c:pt idx="88">
                  <c:v>156.22679245283021</c:v>
                </c:pt>
                <c:pt idx="89">
                  <c:v>154.02641509433963</c:v>
                </c:pt>
                <c:pt idx="90">
                  <c:v>151.82603773584907</c:v>
                </c:pt>
                <c:pt idx="91">
                  <c:v>149.62566037735849</c:v>
                </c:pt>
                <c:pt idx="92">
                  <c:v>147.42528301886793</c:v>
                </c:pt>
                <c:pt idx="93">
                  <c:v>145.22490566037737</c:v>
                </c:pt>
                <c:pt idx="94">
                  <c:v>143.02452830188679</c:v>
                </c:pt>
                <c:pt idx="95">
                  <c:v>140.82415094339621</c:v>
                </c:pt>
                <c:pt idx="96">
                  <c:v>138.62377358490568</c:v>
                </c:pt>
                <c:pt idx="97">
                  <c:v>136.42339622641512</c:v>
                </c:pt>
                <c:pt idx="98">
                  <c:v>134.22301886792454</c:v>
                </c:pt>
                <c:pt idx="99">
                  <c:v>132.02264150943398</c:v>
                </c:pt>
                <c:pt idx="100">
                  <c:v>129.8222641509434</c:v>
                </c:pt>
                <c:pt idx="101">
                  <c:v>127.62188679245284</c:v>
                </c:pt>
                <c:pt idx="102">
                  <c:v>125.42150943396226</c:v>
                </c:pt>
                <c:pt idx="103">
                  <c:v>123.2211320754717</c:v>
                </c:pt>
                <c:pt idx="104">
                  <c:v>121.02075471698114</c:v>
                </c:pt>
                <c:pt idx="105">
                  <c:v>118.82037735849056</c:v>
                </c:pt>
                <c:pt idx="106">
                  <c:v>116.62</c:v>
                </c:pt>
                <c:pt idx="107">
                  <c:v>114.41962264150942</c:v>
                </c:pt>
                <c:pt idx="108">
                  <c:v>112.21924528301886</c:v>
                </c:pt>
                <c:pt idx="109">
                  <c:v>110.01886792452834</c:v>
                </c:pt>
                <c:pt idx="110">
                  <c:v>107.81849056603775</c:v>
                </c:pt>
                <c:pt idx="111">
                  <c:v>105.6181132075472</c:v>
                </c:pt>
                <c:pt idx="112">
                  <c:v>103.41773584905661</c:v>
                </c:pt>
                <c:pt idx="113">
                  <c:v>101.21735849056606</c:v>
                </c:pt>
                <c:pt idx="114">
                  <c:v>99.016981132075472</c:v>
                </c:pt>
                <c:pt idx="115">
                  <c:v>96.816603773584916</c:v>
                </c:pt>
                <c:pt idx="116">
                  <c:v>94.616226415094332</c:v>
                </c:pt>
                <c:pt idx="117">
                  <c:v>92.415849056603747</c:v>
                </c:pt>
                <c:pt idx="118">
                  <c:v>90.21547169811322</c:v>
                </c:pt>
                <c:pt idx="119">
                  <c:v>88.015094339622635</c:v>
                </c:pt>
                <c:pt idx="120">
                  <c:v>85.814716981132051</c:v>
                </c:pt>
                <c:pt idx="121">
                  <c:v>83.614339622641467</c:v>
                </c:pt>
                <c:pt idx="122">
                  <c:v>81.413962264150996</c:v>
                </c:pt>
                <c:pt idx="123">
                  <c:v>79.213584905660412</c:v>
                </c:pt>
                <c:pt idx="124">
                  <c:v>77.013207547169827</c:v>
                </c:pt>
                <c:pt idx="125">
                  <c:v>74.812830188679243</c:v>
                </c:pt>
                <c:pt idx="126">
                  <c:v>72.612452830188715</c:v>
                </c:pt>
                <c:pt idx="127">
                  <c:v>70.412075471698131</c:v>
                </c:pt>
                <c:pt idx="128">
                  <c:v>68.211698113207547</c:v>
                </c:pt>
                <c:pt idx="129">
                  <c:v>66.011320754716962</c:v>
                </c:pt>
                <c:pt idx="130">
                  <c:v>63.810943396226435</c:v>
                </c:pt>
                <c:pt idx="131">
                  <c:v>61.61056603773585</c:v>
                </c:pt>
                <c:pt idx="132">
                  <c:v>59.410188679245266</c:v>
                </c:pt>
                <c:pt idx="133">
                  <c:v>57.209811320754682</c:v>
                </c:pt>
                <c:pt idx="134">
                  <c:v>55.009433962264154</c:v>
                </c:pt>
                <c:pt idx="135">
                  <c:v>52.809056603773627</c:v>
                </c:pt>
                <c:pt idx="136">
                  <c:v>50.608679245283042</c:v>
                </c:pt>
                <c:pt idx="137">
                  <c:v>48.408301886792458</c:v>
                </c:pt>
                <c:pt idx="138">
                  <c:v>46.207924528301874</c:v>
                </c:pt>
                <c:pt idx="139">
                  <c:v>44.007547169811346</c:v>
                </c:pt>
                <c:pt idx="140">
                  <c:v>41.807169811320762</c:v>
                </c:pt>
                <c:pt idx="141">
                  <c:v>39.606792452830177</c:v>
                </c:pt>
                <c:pt idx="142">
                  <c:v>37.406415094339593</c:v>
                </c:pt>
                <c:pt idx="143">
                  <c:v>35.206037735849065</c:v>
                </c:pt>
                <c:pt idx="144">
                  <c:v>33.005660377358481</c:v>
                </c:pt>
                <c:pt idx="145">
                  <c:v>30.805283018867897</c:v>
                </c:pt>
                <c:pt idx="146">
                  <c:v>28.604905660377369</c:v>
                </c:pt>
                <c:pt idx="147">
                  <c:v>26.404528301886785</c:v>
                </c:pt>
                <c:pt idx="148">
                  <c:v>24.204150943396257</c:v>
                </c:pt>
                <c:pt idx="149">
                  <c:v>22.003773584905673</c:v>
                </c:pt>
                <c:pt idx="150">
                  <c:v>19.803396226415089</c:v>
                </c:pt>
                <c:pt idx="151">
                  <c:v>17.603018867924561</c:v>
                </c:pt>
                <c:pt idx="152">
                  <c:v>15.402641509433977</c:v>
                </c:pt>
                <c:pt idx="153">
                  <c:v>13.202264150943392</c:v>
                </c:pt>
                <c:pt idx="154">
                  <c:v>11.001886792452808</c:v>
                </c:pt>
                <c:pt idx="155">
                  <c:v>8.8015094339622806</c:v>
                </c:pt>
                <c:pt idx="156">
                  <c:v>6.6011320754716962</c:v>
                </c:pt>
                <c:pt idx="157">
                  <c:v>4.4007547169811119</c:v>
                </c:pt>
                <c:pt idx="158">
                  <c:v>2.2003773584905275</c:v>
                </c:pt>
                <c:pt idx="159">
                  <c:v>0</c:v>
                </c:pt>
              </c:numCache>
            </c:numRef>
          </c:val>
          <c:smooth val="0"/>
          <c:extLst>
            <c:ext xmlns:c16="http://schemas.microsoft.com/office/drawing/2014/chart" uri="{C3380CC4-5D6E-409C-BE32-E72D297353CC}">
              <c16:uniqueId val="{00000001-4CCB-4877-81BD-EAD18BF4A838}"/>
            </c:ext>
          </c:extLst>
        </c:ser>
        <c:dLbls>
          <c:showLegendKey val="0"/>
          <c:showVal val="0"/>
          <c:showCatName val="0"/>
          <c:showSerName val="0"/>
          <c:showPercent val="0"/>
          <c:showBubbleSize val="0"/>
        </c:dLbls>
        <c:hiLowLines>
          <c:spPr>
            <a:ln w="0">
              <a:noFill/>
            </a:ln>
          </c:spPr>
        </c:hiLowLines>
        <c:marker val="1"/>
        <c:smooth val="0"/>
        <c:axId val="34891682"/>
        <c:axId val="95604497"/>
      </c:lineChart>
      <c:dateAx>
        <c:axId val="46977418"/>
        <c:scaling>
          <c:orientation val="minMax"/>
        </c:scaling>
        <c:delete val="1"/>
        <c:axPos val="b"/>
        <c:numFmt formatCode="mm/dd/yyyy" sourceLinked="1"/>
        <c:majorTickMark val="none"/>
        <c:minorTickMark val="none"/>
        <c:tickLblPos val="nextTo"/>
        <c:crossAx val="82481654"/>
        <c:crosses val="autoZero"/>
        <c:auto val="1"/>
        <c:lblOffset val="100"/>
        <c:baseTimeUnit val="days"/>
      </c:dateAx>
      <c:valAx>
        <c:axId val="82481654"/>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46977418"/>
        <c:crosses val="autoZero"/>
        <c:crossBetween val="between"/>
      </c:valAx>
      <c:dateAx>
        <c:axId val="34891682"/>
        <c:scaling>
          <c:orientation val="minMax"/>
        </c:scaling>
        <c:delete val="1"/>
        <c:axPos val="b"/>
        <c:numFmt formatCode="mm/dd/yyyy" sourceLinked="1"/>
        <c:majorTickMark val="none"/>
        <c:minorTickMark val="none"/>
        <c:tickLblPos val="nextTo"/>
        <c:crossAx val="95604497"/>
        <c:crosses val="autoZero"/>
        <c:auto val="1"/>
        <c:lblOffset val="100"/>
        <c:baseTimeUnit val="days"/>
      </c:dateAx>
      <c:valAx>
        <c:axId val="95604497"/>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34891682"/>
        <c:crosses val="max"/>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AVUV</a:t>
            </a:r>
          </a:p>
        </c:rich>
      </c:tx>
      <c:overlay val="0"/>
      <c:spPr>
        <a:noFill/>
        <a:ln w="0">
          <a:noFill/>
        </a:ln>
      </c:spPr>
    </c:title>
    <c:autoTitleDeleted val="0"/>
    <c:plotArea>
      <c:layout/>
      <c:barChart>
        <c:barDir val="col"/>
        <c:grouping val="clustered"/>
        <c:varyColors val="0"/>
        <c:ser>
          <c:idx val="0"/>
          <c:order val="0"/>
          <c:tx>
            <c:strRef>
              <c:f>'Returns (Calc)'!$O$2</c:f>
              <c:strCache>
                <c:ptCount val="1"/>
                <c:pt idx="0">
                  <c:v>AVUV</c:v>
                </c:pt>
              </c:strCache>
            </c:strRef>
          </c:tx>
          <c:spPr>
            <a:solidFill>
              <a:srgbClr val="4F81BD"/>
            </a:solidFill>
            <a:ln w="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45156</c:v>
                </c:pt>
                <c:pt idx="1">
                  <c:v>45163</c:v>
                </c:pt>
                <c:pt idx="2">
                  <c:v>45170</c:v>
                </c:pt>
                <c:pt idx="3">
                  <c:v>45177</c:v>
                </c:pt>
                <c:pt idx="4">
                  <c:v>45184</c:v>
                </c:pt>
                <c:pt idx="5">
                  <c:v>45191</c:v>
                </c:pt>
                <c:pt idx="6">
                  <c:v>45198</c:v>
                </c:pt>
                <c:pt idx="7">
                  <c:v>45205</c:v>
                </c:pt>
                <c:pt idx="8">
                  <c:v>45212</c:v>
                </c:pt>
                <c:pt idx="9">
                  <c:v>45219</c:v>
                </c:pt>
                <c:pt idx="10">
                  <c:v>45226</c:v>
                </c:pt>
                <c:pt idx="11">
                  <c:v>45233</c:v>
                </c:pt>
                <c:pt idx="12">
                  <c:v>45240</c:v>
                </c:pt>
                <c:pt idx="13">
                  <c:v>45247</c:v>
                </c:pt>
                <c:pt idx="14">
                  <c:v>45254</c:v>
                </c:pt>
                <c:pt idx="15">
                  <c:v>45261</c:v>
                </c:pt>
                <c:pt idx="16">
                  <c:v>45268</c:v>
                </c:pt>
                <c:pt idx="17">
                  <c:v>45275</c:v>
                </c:pt>
                <c:pt idx="18">
                  <c:v>45282</c:v>
                </c:pt>
                <c:pt idx="19">
                  <c:v>45289</c:v>
                </c:pt>
                <c:pt idx="20">
                  <c:v>45296</c:v>
                </c:pt>
                <c:pt idx="21">
                  <c:v>45303</c:v>
                </c:pt>
                <c:pt idx="22">
                  <c:v>45310</c:v>
                </c:pt>
                <c:pt idx="23">
                  <c:v>45317</c:v>
                </c:pt>
                <c:pt idx="24">
                  <c:v>45324</c:v>
                </c:pt>
                <c:pt idx="25">
                  <c:v>45331</c:v>
                </c:pt>
                <c:pt idx="26">
                  <c:v>45338</c:v>
                </c:pt>
                <c:pt idx="27">
                  <c:v>45345</c:v>
                </c:pt>
                <c:pt idx="28">
                  <c:v>45352</c:v>
                </c:pt>
                <c:pt idx="29">
                  <c:v>45359</c:v>
                </c:pt>
                <c:pt idx="30">
                  <c:v>45366</c:v>
                </c:pt>
                <c:pt idx="31">
                  <c:v>45373</c:v>
                </c:pt>
                <c:pt idx="32">
                  <c:v>45379</c:v>
                </c:pt>
                <c:pt idx="33">
                  <c:v>45387</c:v>
                </c:pt>
                <c:pt idx="34">
                  <c:v>45394</c:v>
                </c:pt>
                <c:pt idx="35">
                  <c:v>45401</c:v>
                </c:pt>
                <c:pt idx="36">
                  <c:v>45408</c:v>
                </c:pt>
                <c:pt idx="37">
                  <c:v>45415</c:v>
                </c:pt>
                <c:pt idx="38">
                  <c:v>45422</c:v>
                </c:pt>
                <c:pt idx="39">
                  <c:v>45429</c:v>
                </c:pt>
                <c:pt idx="40">
                  <c:v>45436</c:v>
                </c:pt>
                <c:pt idx="41">
                  <c:v>45443</c:v>
                </c:pt>
                <c:pt idx="42">
                  <c:v>45450</c:v>
                </c:pt>
                <c:pt idx="43">
                  <c:v>45457</c:v>
                </c:pt>
                <c:pt idx="44">
                  <c:v>45464</c:v>
                </c:pt>
                <c:pt idx="45">
                  <c:v>45471</c:v>
                </c:pt>
                <c:pt idx="46">
                  <c:v>45478</c:v>
                </c:pt>
                <c:pt idx="47">
                  <c:v>45485</c:v>
                </c:pt>
                <c:pt idx="48">
                  <c:v>45492</c:v>
                </c:pt>
                <c:pt idx="49">
                  <c:v>45499</c:v>
                </c:pt>
                <c:pt idx="50">
                  <c:v>45506</c:v>
                </c:pt>
                <c:pt idx="51">
                  <c:v>45513</c:v>
                </c:pt>
                <c:pt idx="52">
                  <c:v>45520</c:v>
                </c:pt>
                <c:pt idx="53">
                  <c:v>45527</c:v>
                </c:pt>
                <c:pt idx="54">
                  <c:v>45534</c:v>
                </c:pt>
                <c:pt idx="55">
                  <c:v>45541</c:v>
                </c:pt>
                <c:pt idx="56">
                  <c:v>45548</c:v>
                </c:pt>
                <c:pt idx="57">
                  <c:v>45555</c:v>
                </c:pt>
                <c:pt idx="58">
                  <c:v>45562</c:v>
                </c:pt>
                <c:pt idx="59">
                  <c:v>45569</c:v>
                </c:pt>
                <c:pt idx="60">
                  <c:v>45576</c:v>
                </c:pt>
                <c:pt idx="61">
                  <c:v>45583</c:v>
                </c:pt>
                <c:pt idx="62">
                  <c:v>45590</c:v>
                </c:pt>
                <c:pt idx="63">
                  <c:v>45597</c:v>
                </c:pt>
                <c:pt idx="64">
                  <c:v>45604</c:v>
                </c:pt>
                <c:pt idx="65">
                  <c:v>45611</c:v>
                </c:pt>
                <c:pt idx="66">
                  <c:v>45618</c:v>
                </c:pt>
                <c:pt idx="67">
                  <c:v>45625</c:v>
                </c:pt>
                <c:pt idx="68">
                  <c:v>45632</c:v>
                </c:pt>
                <c:pt idx="69">
                  <c:v>45639</c:v>
                </c:pt>
                <c:pt idx="70">
                  <c:v>45646</c:v>
                </c:pt>
                <c:pt idx="71">
                  <c:v>45653</c:v>
                </c:pt>
                <c:pt idx="72">
                  <c:v>45660</c:v>
                </c:pt>
                <c:pt idx="73">
                  <c:v>45667</c:v>
                </c:pt>
                <c:pt idx="74">
                  <c:v>45674</c:v>
                </c:pt>
                <c:pt idx="75">
                  <c:v>45681</c:v>
                </c:pt>
                <c:pt idx="76">
                  <c:v>45688</c:v>
                </c:pt>
                <c:pt idx="77">
                  <c:v>45695</c:v>
                </c:pt>
                <c:pt idx="78">
                  <c:v>45702</c:v>
                </c:pt>
                <c:pt idx="79">
                  <c:v>45709</c:v>
                </c:pt>
                <c:pt idx="80">
                  <c:v>45716</c:v>
                </c:pt>
                <c:pt idx="81">
                  <c:v>45723</c:v>
                </c:pt>
                <c:pt idx="82">
                  <c:v>45730</c:v>
                </c:pt>
                <c:pt idx="83">
                  <c:v>45737</c:v>
                </c:pt>
                <c:pt idx="84">
                  <c:v>45744</c:v>
                </c:pt>
                <c:pt idx="85">
                  <c:v>45751</c:v>
                </c:pt>
                <c:pt idx="86">
                  <c:v>45758</c:v>
                </c:pt>
                <c:pt idx="87">
                  <c:v>45764</c:v>
                </c:pt>
                <c:pt idx="88">
                  <c:v>45772</c:v>
                </c:pt>
                <c:pt idx="89">
                  <c:v>45779</c:v>
                </c:pt>
                <c:pt idx="90">
                  <c:v>45786</c:v>
                </c:pt>
                <c:pt idx="91">
                  <c:v>45793</c:v>
                </c:pt>
                <c:pt idx="92">
                  <c:v>45800</c:v>
                </c:pt>
                <c:pt idx="93">
                  <c:v>45807</c:v>
                </c:pt>
                <c:pt idx="94">
                  <c:v>45814</c:v>
                </c:pt>
                <c:pt idx="95">
                  <c:v>45821</c:v>
                </c:pt>
                <c:pt idx="96">
                  <c:v>45828</c:v>
                </c:pt>
                <c:pt idx="97">
                  <c:v>45835</c:v>
                </c:pt>
                <c:pt idx="98">
                  <c:v>45841</c:v>
                </c:pt>
                <c:pt idx="99">
                  <c:v>45849</c:v>
                </c:pt>
                <c:pt idx="100">
                  <c:v>45856</c:v>
                </c:pt>
                <c:pt idx="101">
                  <c:v>45863</c:v>
                </c:pt>
                <c:pt idx="102">
                  <c:v>45870</c:v>
                </c:pt>
                <c:pt idx="103">
                  <c:v>45877</c:v>
                </c:pt>
                <c:pt idx="104">
                  <c:v>45884</c:v>
                </c:pt>
                <c:pt idx="105">
                  <c:v>45891</c:v>
                </c:pt>
                <c:pt idx="106">
                  <c:v>45898</c:v>
                </c:pt>
                <c:pt idx="107">
                  <c:v>45905</c:v>
                </c:pt>
                <c:pt idx="108">
                  <c:v>45912</c:v>
                </c:pt>
                <c:pt idx="109">
                  <c:v>45919</c:v>
                </c:pt>
                <c:pt idx="110">
                  <c:v>45926</c:v>
                </c:pt>
                <c:pt idx="111">
                  <c:v>45933</c:v>
                </c:pt>
                <c:pt idx="112">
                  <c:v>45940</c:v>
                </c:pt>
                <c:pt idx="113">
                  <c:v>45947</c:v>
                </c:pt>
                <c:pt idx="114">
                  <c:v>45954</c:v>
                </c:pt>
                <c:pt idx="115">
                  <c:v>45961</c:v>
                </c:pt>
                <c:pt idx="116">
                  <c:v>45968</c:v>
                </c:pt>
                <c:pt idx="117">
                  <c:v>45975</c:v>
                </c:pt>
                <c:pt idx="118">
                  <c:v>45982</c:v>
                </c:pt>
                <c:pt idx="119">
                  <c:v>45989</c:v>
                </c:pt>
                <c:pt idx="120">
                  <c:v>45996</c:v>
                </c:pt>
                <c:pt idx="121">
                  <c:v>46003</c:v>
                </c:pt>
                <c:pt idx="122">
                  <c:v>46010</c:v>
                </c:pt>
                <c:pt idx="123">
                  <c:v>46017</c:v>
                </c:pt>
                <c:pt idx="124">
                  <c:v>46024</c:v>
                </c:pt>
                <c:pt idx="125">
                  <c:v>46031</c:v>
                </c:pt>
                <c:pt idx="126">
                  <c:v>46038</c:v>
                </c:pt>
                <c:pt idx="127">
                  <c:v>46045</c:v>
                </c:pt>
                <c:pt idx="128">
                  <c:v>46052</c:v>
                </c:pt>
                <c:pt idx="129">
                  <c:v>46059</c:v>
                </c:pt>
                <c:pt idx="130">
                  <c:v>46066</c:v>
                </c:pt>
                <c:pt idx="131">
                  <c:v>46073</c:v>
                </c:pt>
                <c:pt idx="132">
                  <c:v>46080</c:v>
                </c:pt>
                <c:pt idx="133">
                  <c:v>46087</c:v>
                </c:pt>
                <c:pt idx="134">
                  <c:v>46094</c:v>
                </c:pt>
                <c:pt idx="135">
                  <c:v>46101</c:v>
                </c:pt>
                <c:pt idx="136">
                  <c:v>46108</c:v>
                </c:pt>
                <c:pt idx="137">
                  <c:v>46114</c:v>
                </c:pt>
                <c:pt idx="138">
                  <c:v>46122</c:v>
                </c:pt>
                <c:pt idx="139">
                  <c:v>46129</c:v>
                </c:pt>
                <c:pt idx="140">
                  <c:v>46136</c:v>
                </c:pt>
                <c:pt idx="141">
                  <c:v>46143</c:v>
                </c:pt>
                <c:pt idx="142">
                  <c:v>46150</c:v>
                </c:pt>
                <c:pt idx="143">
                  <c:v>46157</c:v>
                </c:pt>
                <c:pt idx="144">
                  <c:v>46164</c:v>
                </c:pt>
                <c:pt idx="145">
                  <c:v>46171</c:v>
                </c:pt>
                <c:pt idx="146">
                  <c:v>46178</c:v>
                </c:pt>
                <c:pt idx="147">
                  <c:v>46185</c:v>
                </c:pt>
                <c:pt idx="148">
                  <c:v>46191</c:v>
                </c:pt>
                <c:pt idx="149">
                  <c:v>46199</c:v>
                </c:pt>
                <c:pt idx="150">
                  <c:v>46205</c:v>
                </c:pt>
                <c:pt idx="151">
                  <c:v>46213</c:v>
                </c:pt>
                <c:pt idx="152">
                  <c:v>46220</c:v>
                </c:pt>
                <c:pt idx="153">
                  <c:v>46227</c:v>
                </c:pt>
                <c:pt idx="154">
                  <c:v>46234</c:v>
                </c:pt>
                <c:pt idx="155">
                  <c:v>46241</c:v>
                </c:pt>
                <c:pt idx="156">
                  <c:v>46248</c:v>
                </c:pt>
                <c:pt idx="157">
                  <c:v>46255</c:v>
                </c:pt>
                <c:pt idx="158">
                  <c:v>46262</c:v>
                </c:pt>
                <c:pt idx="159">
                  <c:v>46269</c:v>
                </c:pt>
              </c:numCache>
            </c:numRef>
          </c:cat>
          <c:val>
            <c:numRef>
              <c:f>'Returns (Calc)'!$O$3:$O$500</c:f>
              <c:numCache>
                <c:formatCode>0.0%</c:formatCode>
                <c:ptCount val="498"/>
                <c:pt idx="0">
                  <c:v>-3.0778515389257688E-2</c:v>
                </c:pt>
                <c:pt idx="1">
                  <c:v>-1.6189290161892855E-2</c:v>
                </c:pt>
                <c:pt idx="2">
                  <c:v>4.6708860759493653E-2</c:v>
                </c:pt>
                <c:pt idx="3">
                  <c:v>-3.8456887168944132E-2</c:v>
                </c:pt>
                <c:pt idx="4">
                  <c:v>-1.8865551502956768E-3</c:v>
                </c:pt>
                <c:pt idx="5">
                  <c:v>-3.3644153225806495E-2</c:v>
                </c:pt>
                <c:pt idx="6">
                  <c:v>1.6429782240187762E-2</c:v>
                </c:pt>
                <c:pt idx="7">
                  <c:v>-3.0147530468249029E-2</c:v>
                </c:pt>
                <c:pt idx="8">
                  <c:v>2.6455026455027841E-3</c:v>
                </c:pt>
                <c:pt idx="9">
                  <c:v>-1.6754617414247996E-2</c:v>
                </c:pt>
                <c:pt idx="10">
                  <c:v>-1.5430028176573241E-2</c:v>
                </c:pt>
                <c:pt idx="11">
                  <c:v>7.1545380212592047E-2</c:v>
                </c:pt>
                <c:pt idx="12">
                  <c:v>-3.4083683072618554E-2</c:v>
                </c:pt>
                <c:pt idx="13">
                  <c:v>5.5431204739960327E-2</c:v>
                </c:pt>
                <c:pt idx="14">
                  <c:v>1.2475049900206869E-4</c:v>
                </c:pt>
                <c:pt idx="15">
                  <c:v>3.3553698390919262E-2</c:v>
                </c:pt>
                <c:pt idx="16">
                  <c:v>8.3272990586531481E-3</c:v>
                </c:pt>
                <c:pt idx="17">
                  <c:v>5.4817474566128066E-2</c:v>
                </c:pt>
                <c:pt idx="18">
                  <c:v>2.2693747872461145E-2</c:v>
                </c:pt>
                <c:pt idx="19">
                  <c:v>-3.6613780095418047E-3</c:v>
                </c:pt>
                <c:pt idx="20">
                  <c:v>-2.5946547884187043E-2</c:v>
                </c:pt>
                <c:pt idx="21">
                  <c:v>-1.1318166228421078E-2</c:v>
                </c:pt>
                <c:pt idx="22">
                  <c:v>3.0064754856613529E-3</c:v>
                </c:pt>
                <c:pt idx="23">
                  <c:v>2.3518561217431566E-2</c:v>
                </c:pt>
                <c:pt idx="24">
                  <c:v>-1.8697904933543508E-2</c:v>
                </c:pt>
                <c:pt idx="25">
                  <c:v>9.0679522497703058E-3</c:v>
                </c:pt>
                <c:pt idx="26">
                  <c:v>7.0526675008530937E-3</c:v>
                </c:pt>
                <c:pt idx="27">
                  <c:v>-3.2757257426861974E-3</c:v>
                </c:pt>
                <c:pt idx="28">
                  <c:v>1.575249320036276E-2</c:v>
                </c:pt>
                <c:pt idx="29">
                  <c:v>1.1156978690172181E-3</c:v>
                </c:pt>
                <c:pt idx="30">
                  <c:v>-8.4698540064639394E-3</c:v>
                </c:pt>
                <c:pt idx="31">
                  <c:v>2.3940654153085328E-2</c:v>
                </c:pt>
                <c:pt idx="32">
                  <c:v>2.8649835345773811E-2</c:v>
                </c:pt>
                <c:pt idx="33">
                  <c:v>-2.1555863835236333E-2</c:v>
                </c:pt>
                <c:pt idx="34">
                  <c:v>-3.0864870760170082E-2</c:v>
                </c:pt>
                <c:pt idx="35">
                  <c:v>-9.0029259509339932E-3</c:v>
                </c:pt>
                <c:pt idx="36">
                  <c:v>2.4755848285259896E-2</c:v>
                </c:pt>
                <c:pt idx="37">
                  <c:v>6.8705673758866492E-3</c:v>
                </c:pt>
                <c:pt idx="38">
                  <c:v>1.7279330838652962E-2</c:v>
                </c:pt>
                <c:pt idx="39">
                  <c:v>1.1035378123985584E-2</c:v>
                </c:pt>
                <c:pt idx="40">
                  <c:v>-1.4874264312466523E-2</c:v>
                </c:pt>
                <c:pt idx="41">
                  <c:v>1.0753856180751642E-2</c:v>
                </c:pt>
                <c:pt idx="42">
                  <c:v>-3.4067705534658765E-2</c:v>
                </c:pt>
                <c:pt idx="43">
                  <c:v>-2.3920783266577539E-2</c:v>
                </c:pt>
                <c:pt idx="44">
                  <c:v>1.0828678901174005E-2</c:v>
                </c:pt>
                <c:pt idx="45">
                  <c:v>1.1727559765448703E-2</c:v>
                </c:pt>
                <c:pt idx="46">
                  <c:v>-1.64957646009809E-2</c:v>
                </c:pt>
                <c:pt idx="47">
                  <c:v>5.5757026291931133E-2</c:v>
                </c:pt>
                <c:pt idx="48">
                  <c:v>2.6406182911120846E-2</c:v>
                </c:pt>
                <c:pt idx="49">
                  <c:v>3.6289479188454266E-2</c:v>
                </c:pt>
                <c:pt idx="50">
                  <c:v>-7.1450196790796228E-2</c:v>
                </c:pt>
                <c:pt idx="51">
                  <c:v>-1.7606781871535748E-2</c:v>
                </c:pt>
                <c:pt idx="52">
                  <c:v>2.8542980418187813E-2</c:v>
                </c:pt>
                <c:pt idx="53">
                  <c:v>3.1085296332150181E-2</c:v>
                </c:pt>
                <c:pt idx="54">
                  <c:v>5.2159399123730132E-4</c:v>
                </c:pt>
                <c:pt idx="55">
                  <c:v>-5.6615577103534487E-2</c:v>
                </c:pt>
                <c:pt idx="56">
                  <c:v>2.8846153846153744E-2</c:v>
                </c:pt>
                <c:pt idx="57">
                  <c:v>3.0185841658610046E-2</c:v>
                </c:pt>
                <c:pt idx="58">
                  <c:v>-3.5453597497393519E-3</c:v>
                </c:pt>
                <c:pt idx="59">
                  <c:v>2.8254499790707488E-3</c:v>
                </c:pt>
                <c:pt idx="60">
                  <c:v>1.1896065950119938E-2</c:v>
                </c:pt>
                <c:pt idx="61">
                  <c:v>1.2581210683716648E-2</c:v>
                </c:pt>
                <c:pt idx="62">
                  <c:v>-3.3302780323861914E-2</c:v>
                </c:pt>
                <c:pt idx="63">
                  <c:v>-2.4230931310578185E-3</c:v>
                </c:pt>
                <c:pt idx="64">
                  <c:v>8.8604921322209318E-2</c:v>
                </c:pt>
                <c:pt idx="65">
                  <c:v>-1.9402405898331421E-2</c:v>
                </c:pt>
                <c:pt idx="66">
                  <c:v>3.6604669568658599E-2</c:v>
                </c:pt>
                <c:pt idx="67">
                  <c:v>6.7761023096009065E-3</c:v>
                </c:pt>
                <c:pt idx="68">
                  <c:v>-2.085505735140758E-2</c:v>
                </c:pt>
                <c:pt idx="69">
                  <c:v>-1.2392293542453303E-2</c:v>
                </c:pt>
                <c:pt idx="70">
                  <c:v>-5.7837466915008351E-2</c:v>
                </c:pt>
                <c:pt idx="71">
                  <c:v>3.9538029341379399E-3</c:v>
                </c:pt>
                <c:pt idx="72">
                  <c:v>7.7728261996061754E-3</c:v>
                </c:pt>
                <c:pt idx="73">
                  <c:v>-2.6223776223776141E-2</c:v>
                </c:pt>
                <c:pt idx="74">
                  <c:v>4.8896398774949779E-2</c:v>
                </c:pt>
                <c:pt idx="75">
                  <c:v>5.0342327829238087E-3</c:v>
                </c:pt>
                <c:pt idx="76">
                  <c:v>-1.5127229012221854E-2</c:v>
                </c:pt>
                <c:pt idx="77">
                  <c:v>-1.1595971925541626E-2</c:v>
                </c:pt>
                <c:pt idx="78">
                  <c:v>3.087372645878439E-3</c:v>
                </c:pt>
                <c:pt idx="79">
                  <c:v>-3.6524058684723526E-2</c:v>
                </c:pt>
                <c:pt idx="80">
                  <c:v>-1.1287402832499183E-2</c:v>
                </c:pt>
                <c:pt idx="81">
                  <c:v>-4.4911147011308383E-2</c:v>
                </c:pt>
                <c:pt idx="82">
                  <c:v>-1.8718989625620353E-2</c:v>
                </c:pt>
                <c:pt idx="83">
                  <c:v>9.6529533440588011E-3</c:v>
                </c:pt>
                <c:pt idx="84">
                  <c:v>-8.4224903255177841E-3</c:v>
                </c:pt>
                <c:pt idx="85">
                  <c:v>-0.10468319559228656</c:v>
                </c:pt>
                <c:pt idx="86">
                  <c:v>1.2564102564102564E-2</c:v>
                </c:pt>
                <c:pt idx="87">
                  <c:v>1.8612306913142529E-2</c:v>
                </c:pt>
                <c:pt idx="88">
                  <c:v>2.80919825978867E-2</c:v>
                </c:pt>
                <c:pt idx="89">
                  <c:v>3.3974126465965426E-2</c:v>
                </c:pt>
                <c:pt idx="90">
                  <c:v>1.1576239476146055E-2</c:v>
                </c:pt>
                <c:pt idx="91">
                  <c:v>4.8896081377875378E-2</c:v>
                </c:pt>
                <c:pt idx="92">
                  <c:v>-4.0004408199250552E-2</c:v>
                </c:pt>
                <c:pt idx="93">
                  <c:v>1.1709333027206892E-2</c:v>
                </c:pt>
                <c:pt idx="94">
                  <c:v>1.8495404516055913E-2</c:v>
                </c:pt>
                <c:pt idx="95">
                  <c:v>-6.0160427807487427E-3</c:v>
                </c:pt>
                <c:pt idx="96">
                  <c:v>1.6812373907195699E-3</c:v>
                </c:pt>
                <c:pt idx="97">
                  <c:v>2.058856439521084E-2</c:v>
                </c:pt>
                <c:pt idx="98">
                  <c:v>4.1662098454116947E-2</c:v>
                </c:pt>
                <c:pt idx="99">
                  <c:v>-1.3682770234713093E-3</c:v>
                </c:pt>
                <c:pt idx="100">
                  <c:v>-1.1698988195615545E-2</c:v>
                </c:pt>
                <c:pt idx="101">
                  <c:v>1.471686040311404E-2</c:v>
                </c:pt>
                <c:pt idx="102">
                  <c:v>-5.0236468733578565E-2</c:v>
                </c:pt>
                <c:pt idx="103">
                  <c:v>2.3237800154918498E-2</c:v>
                </c:pt>
                <c:pt idx="104">
                  <c:v>2.9847518113983007E-2</c:v>
                </c:pt>
                <c:pt idx="105">
                  <c:v>3.9798382862543225E-2</c:v>
                </c:pt>
                <c:pt idx="106">
                  <c:v>8.3821450212078208E-3</c:v>
                </c:pt>
                <c:pt idx="107">
                  <c:v>1.0916374561842801E-2</c:v>
                </c:pt>
                <c:pt idx="108">
                  <c:v>-7.9255002972061783E-3</c:v>
                </c:pt>
                <c:pt idx="109">
                  <c:v>5.6920311563810611E-3</c:v>
                </c:pt>
                <c:pt idx="110">
                  <c:v>-1.588720087379536E-3</c:v>
                </c:pt>
                <c:pt idx="111">
                  <c:v>1.0939830929885819E-3</c:v>
                </c:pt>
                <c:pt idx="112">
                  <c:v>-5.4341347109080007E-2</c:v>
                </c:pt>
                <c:pt idx="113">
                  <c:v>1.9644920684946054E-2</c:v>
                </c:pt>
                <c:pt idx="114">
                  <c:v>2.9363280445085405E-2</c:v>
                </c:pt>
                <c:pt idx="115">
                  <c:v>-2.1119007106395804E-2</c:v>
                </c:pt>
                <c:pt idx="116">
                  <c:v>-6.1349693251533388E-4</c:v>
                </c:pt>
                <c:pt idx="117">
                  <c:v>-1.5346838551257846E-3</c:v>
                </c:pt>
                <c:pt idx="118">
                  <c:v>-7.7876831642587074E-3</c:v>
                </c:pt>
                <c:pt idx="119">
                  <c:v>4.4407724878653188E-2</c:v>
                </c:pt>
                <c:pt idx="120">
                  <c:v>1.7502224859092363E-2</c:v>
                </c:pt>
                <c:pt idx="121">
                  <c:v>2.1477162293488838E-2</c:v>
                </c:pt>
                <c:pt idx="122">
                  <c:v>-1.2653410712586743E-2</c:v>
                </c:pt>
                <c:pt idx="123">
                  <c:v>-8.6721911736364898E-4</c:v>
                </c:pt>
                <c:pt idx="124">
                  <c:v>-5.4971549811938525E-3</c:v>
                </c:pt>
                <c:pt idx="125">
                  <c:v>4.082622187742424E-2</c:v>
                </c:pt>
                <c:pt idx="126">
                  <c:v>1.0994130252492296E-2</c:v>
                </c:pt>
                <c:pt idx="127">
                  <c:v>-1.8431480969505198E-4</c:v>
                </c:pt>
                <c:pt idx="128">
                  <c:v>7.189602728361999E-3</c:v>
                </c:pt>
                <c:pt idx="129">
                  <c:v>5.4177724901619762E-2</c:v>
                </c:pt>
                <c:pt idx="130">
                  <c:v>-2.5175796510112924E-3</c:v>
                </c:pt>
                <c:pt idx="131">
                  <c:v>5.5700609225413089E-3</c:v>
                </c:pt>
                <c:pt idx="132">
                  <c:v>-2.2156828803877482E-2</c:v>
                </c:pt>
                <c:pt idx="133">
                  <c:v>-3.8325367321649817E-2</c:v>
                </c:pt>
                <c:pt idx="134">
                  <c:v>-2.1721122871606102E-2</c:v>
                </c:pt>
                <c:pt idx="135">
                  <c:v>-1.9757267852102967E-3</c:v>
                </c:pt>
                <c:pt idx="136">
                  <c:v>2.9694570135746723E-2</c:v>
                </c:pt>
                <c:pt idx="137">
                  <c:v>2.0049436967865875E-2</c:v>
                </c:pt>
                <c:pt idx="138">
                  <c:v>2.9707413390773763E-2</c:v>
                </c:pt>
                <c:pt idx="139">
                  <c:v>2.4317963915279295E-2</c:v>
                </c:pt>
                <c:pt idx="140">
                  <c:v>1.2253233492171445E-2</c:v>
                </c:pt>
                <c:pt idx="141">
                  <c:v>8.4061869535978495E-3</c:v>
                </c:pt>
                <c:pt idx="142">
                  <c:v>-1.0003334444813605E-3</c:v>
                </c:pt>
                <c:pt idx="143">
                  <c:v>-2.161214953271029E-2</c:v>
                </c:pt>
                <c:pt idx="144">
                  <c:v>2.371002132196165E-2</c:v>
                </c:pt>
                <c:pt idx="145">
                  <c:v>1.6662501041397881E-4</c:v>
                </c:pt>
                <c:pt idx="146">
                  <c:v>-2.9154518950437192E-3</c:v>
                </c:pt>
                <c:pt idx="147">
                  <c:v>3.9097744360902187E-2</c:v>
                </c:pt>
                <c:pt idx="148">
                  <c:v>-1.9134909149380874E-2</c:v>
                </c:pt>
                <c:pt idx="149">
                  <c:v>2.4098360655737672E-2</c:v>
                </c:pt>
                <c:pt idx="150">
                  <c:v>-1.1445493837041743E-2</c:v>
                </c:pt>
                <c:pt idx="151">
                  <c:v>3.5624645777669883E-3</c:v>
                </c:pt>
                <c:pt idx="152">
                  <c:v>1.1294876966518652E-2</c:v>
                </c:pt>
                <c:pt idx="153">
                  <c:v>-5.5843637814112501E-4</c:v>
                </c:pt>
                <c:pt idx="154">
                  <c:v>0</c:v>
                </c:pt>
                <c:pt idx="155">
                  <c:v>1.2771392081736943E-2</c:v>
                </c:pt>
                <c:pt idx="156">
                  <c:v>1.4580706179066816E-2</c:v>
                </c:pt>
                <c:pt idx="157">
                  <c:v>-1.7711489163365068E-2</c:v>
                </c:pt>
                <c:pt idx="158">
                  <c:v>-6.9592724396995154E-3</c:v>
                </c:pt>
                <c:pt idx="159">
                  <c:v>1.0830612407422224E-2</c:v>
                </c:pt>
              </c:numCache>
            </c:numRef>
          </c:val>
          <c:extLst>
            <c:ext xmlns:c16="http://schemas.microsoft.com/office/drawing/2014/chart" uri="{C3380CC4-5D6E-409C-BE32-E72D297353CC}">
              <c16:uniqueId val="{00000000-E5C5-45E4-A77B-7B2651696BC4}"/>
            </c:ext>
          </c:extLst>
        </c:ser>
        <c:dLbls>
          <c:showLegendKey val="0"/>
          <c:showVal val="0"/>
          <c:showCatName val="0"/>
          <c:showSerName val="0"/>
          <c:showPercent val="0"/>
          <c:showBubbleSize val="0"/>
        </c:dLbls>
        <c:gapWidth val="150"/>
        <c:axId val="98452580"/>
        <c:axId val="5559725"/>
      </c:barChart>
      <c:lineChart>
        <c:grouping val="standard"/>
        <c:varyColors val="0"/>
        <c:ser>
          <c:idx val="1"/>
          <c:order val="1"/>
          <c:tx>
            <c:strRef>
              <c:f>'Returns (Calc)'!$AJ$2</c:f>
              <c:strCache>
                <c:ptCount val="1"/>
                <c:pt idx="0">
                  <c:v>AVUV trend</c:v>
                </c:pt>
              </c:strCache>
            </c:strRef>
          </c:tx>
          <c:spPr>
            <a:ln w="201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45156</c:v>
                </c:pt>
                <c:pt idx="1">
                  <c:v>45163</c:v>
                </c:pt>
                <c:pt idx="2">
                  <c:v>45170</c:v>
                </c:pt>
                <c:pt idx="3">
                  <c:v>45177</c:v>
                </c:pt>
                <c:pt idx="4">
                  <c:v>45184</c:v>
                </c:pt>
                <c:pt idx="5">
                  <c:v>45191</c:v>
                </c:pt>
                <c:pt idx="6">
                  <c:v>45198</c:v>
                </c:pt>
                <c:pt idx="7">
                  <c:v>45205</c:v>
                </c:pt>
                <c:pt idx="8">
                  <c:v>45212</c:v>
                </c:pt>
                <c:pt idx="9">
                  <c:v>45219</c:v>
                </c:pt>
                <c:pt idx="10">
                  <c:v>45226</c:v>
                </c:pt>
                <c:pt idx="11">
                  <c:v>45233</c:v>
                </c:pt>
                <c:pt idx="12">
                  <c:v>45240</c:v>
                </c:pt>
                <c:pt idx="13">
                  <c:v>45247</c:v>
                </c:pt>
                <c:pt idx="14">
                  <c:v>45254</c:v>
                </c:pt>
                <c:pt idx="15">
                  <c:v>45261</c:v>
                </c:pt>
                <c:pt idx="16">
                  <c:v>45268</c:v>
                </c:pt>
                <c:pt idx="17">
                  <c:v>45275</c:v>
                </c:pt>
                <c:pt idx="18">
                  <c:v>45282</c:v>
                </c:pt>
                <c:pt idx="19">
                  <c:v>45289</c:v>
                </c:pt>
                <c:pt idx="20">
                  <c:v>45296</c:v>
                </c:pt>
                <c:pt idx="21">
                  <c:v>45303</c:v>
                </c:pt>
                <c:pt idx="22">
                  <c:v>45310</c:v>
                </c:pt>
                <c:pt idx="23">
                  <c:v>45317</c:v>
                </c:pt>
                <c:pt idx="24">
                  <c:v>45324</c:v>
                </c:pt>
                <c:pt idx="25">
                  <c:v>45331</c:v>
                </c:pt>
                <c:pt idx="26">
                  <c:v>45338</c:v>
                </c:pt>
                <c:pt idx="27">
                  <c:v>45345</c:v>
                </c:pt>
                <c:pt idx="28">
                  <c:v>45352</c:v>
                </c:pt>
                <c:pt idx="29">
                  <c:v>45359</c:v>
                </c:pt>
                <c:pt idx="30">
                  <c:v>45366</c:v>
                </c:pt>
                <c:pt idx="31">
                  <c:v>45373</c:v>
                </c:pt>
                <c:pt idx="32">
                  <c:v>45379</c:v>
                </c:pt>
                <c:pt idx="33">
                  <c:v>45387</c:v>
                </c:pt>
                <c:pt idx="34">
                  <c:v>45394</c:v>
                </c:pt>
                <c:pt idx="35">
                  <c:v>45401</c:v>
                </c:pt>
                <c:pt idx="36">
                  <c:v>45408</c:v>
                </c:pt>
                <c:pt idx="37">
                  <c:v>45415</c:v>
                </c:pt>
                <c:pt idx="38">
                  <c:v>45422</c:v>
                </c:pt>
                <c:pt idx="39">
                  <c:v>45429</c:v>
                </c:pt>
                <c:pt idx="40">
                  <c:v>45436</c:v>
                </c:pt>
                <c:pt idx="41">
                  <c:v>45443</c:v>
                </c:pt>
                <c:pt idx="42">
                  <c:v>45450</c:v>
                </c:pt>
                <c:pt idx="43">
                  <c:v>45457</c:v>
                </c:pt>
                <c:pt idx="44">
                  <c:v>45464</c:v>
                </c:pt>
                <c:pt idx="45">
                  <c:v>45471</c:v>
                </c:pt>
                <c:pt idx="46">
                  <c:v>45478</c:v>
                </c:pt>
                <c:pt idx="47">
                  <c:v>45485</c:v>
                </c:pt>
                <c:pt idx="48">
                  <c:v>45492</c:v>
                </c:pt>
                <c:pt idx="49">
                  <c:v>45499</c:v>
                </c:pt>
                <c:pt idx="50">
                  <c:v>45506</c:v>
                </c:pt>
                <c:pt idx="51">
                  <c:v>45513</c:v>
                </c:pt>
                <c:pt idx="52">
                  <c:v>45520</c:v>
                </c:pt>
                <c:pt idx="53">
                  <c:v>45527</c:v>
                </c:pt>
                <c:pt idx="54">
                  <c:v>45534</c:v>
                </c:pt>
                <c:pt idx="55">
                  <c:v>45541</c:v>
                </c:pt>
                <c:pt idx="56">
                  <c:v>45548</c:v>
                </c:pt>
                <c:pt idx="57">
                  <c:v>45555</c:v>
                </c:pt>
                <c:pt idx="58">
                  <c:v>45562</c:v>
                </c:pt>
                <c:pt idx="59">
                  <c:v>45569</c:v>
                </c:pt>
                <c:pt idx="60">
                  <c:v>45576</c:v>
                </c:pt>
                <c:pt idx="61">
                  <c:v>45583</c:v>
                </c:pt>
                <c:pt idx="62">
                  <c:v>45590</c:v>
                </c:pt>
                <c:pt idx="63">
                  <c:v>45597</c:v>
                </c:pt>
                <c:pt idx="64">
                  <c:v>45604</c:v>
                </c:pt>
                <c:pt idx="65">
                  <c:v>45611</c:v>
                </c:pt>
                <c:pt idx="66">
                  <c:v>45618</c:v>
                </c:pt>
                <c:pt idx="67">
                  <c:v>45625</c:v>
                </c:pt>
                <c:pt idx="68">
                  <c:v>45632</c:v>
                </c:pt>
                <c:pt idx="69">
                  <c:v>45639</c:v>
                </c:pt>
                <c:pt idx="70">
                  <c:v>45646</c:v>
                </c:pt>
                <c:pt idx="71">
                  <c:v>45653</c:v>
                </c:pt>
                <c:pt idx="72">
                  <c:v>45660</c:v>
                </c:pt>
                <c:pt idx="73">
                  <c:v>45667</c:v>
                </c:pt>
                <c:pt idx="74">
                  <c:v>45674</c:v>
                </c:pt>
                <c:pt idx="75">
                  <c:v>45681</c:v>
                </c:pt>
                <c:pt idx="76">
                  <c:v>45688</c:v>
                </c:pt>
                <c:pt idx="77">
                  <c:v>45695</c:v>
                </c:pt>
                <c:pt idx="78">
                  <c:v>45702</c:v>
                </c:pt>
                <c:pt idx="79">
                  <c:v>45709</c:v>
                </c:pt>
                <c:pt idx="80">
                  <c:v>45716</c:v>
                </c:pt>
                <c:pt idx="81">
                  <c:v>45723</c:v>
                </c:pt>
                <c:pt idx="82">
                  <c:v>45730</c:v>
                </c:pt>
                <c:pt idx="83">
                  <c:v>45737</c:v>
                </c:pt>
                <c:pt idx="84">
                  <c:v>45744</c:v>
                </c:pt>
                <c:pt idx="85">
                  <c:v>45751</c:v>
                </c:pt>
                <c:pt idx="86">
                  <c:v>45758</c:v>
                </c:pt>
                <c:pt idx="87">
                  <c:v>45764</c:v>
                </c:pt>
                <c:pt idx="88">
                  <c:v>45772</c:v>
                </c:pt>
                <c:pt idx="89">
                  <c:v>45779</c:v>
                </c:pt>
                <c:pt idx="90">
                  <c:v>45786</c:v>
                </c:pt>
                <c:pt idx="91">
                  <c:v>45793</c:v>
                </c:pt>
                <c:pt idx="92">
                  <c:v>45800</c:v>
                </c:pt>
                <c:pt idx="93">
                  <c:v>45807</c:v>
                </c:pt>
                <c:pt idx="94">
                  <c:v>45814</c:v>
                </c:pt>
                <c:pt idx="95">
                  <c:v>45821</c:v>
                </c:pt>
                <c:pt idx="96">
                  <c:v>45828</c:v>
                </c:pt>
                <c:pt idx="97">
                  <c:v>45835</c:v>
                </c:pt>
                <c:pt idx="98">
                  <c:v>45841</c:v>
                </c:pt>
                <c:pt idx="99">
                  <c:v>45849</c:v>
                </c:pt>
                <c:pt idx="100">
                  <c:v>45856</c:v>
                </c:pt>
                <c:pt idx="101">
                  <c:v>45863</c:v>
                </c:pt>
                <c:pt idx="102">
                  <c:v>45870</c:v>
                </c:pt>
                <c:pt idx="103">
                  <c:v>45877</c:v>
                </c:pt>
                <c:pt idx="104">
                  <c:v>45884</c:v>
                </c:pt>
                <c:pt idx="105">
                  <c:v>45891</c:v>
                </c:pt>
                <c:pt idx="106">
                  <c:v>45898</c:v>
                </c:pt>
                <c:pt idx="107">
                  <c:v>45905</c:v>
                </c:pt>
                <c:pt idx="108">
                  <c:v>45912</c:v>
                </c:pt>
                <c:pt idx="109">
                  <c:v>45919</c:v>
                </c:pt>
                <c:pt idx="110">
                  <c:v>45926</c:v>
                </c:pt>
                <c:pt idx="111">
                  <c:v>45933</c:v>
                </c:pt>
                <c:pt idx="112">
                  <c:v>45940</c:v>
                </c:pt>
                <c:pt idx="113">
                  <c:v>45947</c:v>
                </c:pt>
                <c:pt idx="114">
                  <c:v>45954</c:v>
                </c:pt>
                <c:pt idx="115">
                  <c:v>45961</c:v>
                </c:pt>
                <c:pt idx="116">
                  <c:v>45968</c:v>
                </c:pt>
                <c:pt idx="117">
                  <c:v>45975</c:v>
                </c:pt>
                <c:pt idx="118">
                  <c:v>45982</c:v>
                </c:pt>
                <c:pt idx="119">
                  <c:v>45989</c:v>
                </c:pt>
                <c:pt idx="120">
                  <c:v>45996</c:v>
                </c:pt>
                <c:pt idx="121">
                  <c:v>46003</c:v>
                </c:pt>
                <c:pt idx="122">
                  <c:v>46010</c:v>
                </c:pt>
                <c:pt idx="123">
                  <c:v>46017</c:v>
                </c:pt>
                <c:pt idx="124">
                  <c:v>46024</c:v>
                </c:pt>
                <c:pt idx="125">
                  <c:v>46031</c:v>
                </c:pt>
                <c:pt idx="126">
                  <c:v>46038</c:v>
                </c:pt>
                <c:pt idx="127">
                  <c:v>46045</c:v>
                </c:pt>
                <c:pt idx="128">
                  <c:v>46052</c:v>
                </c:pt>
                <c:pt idx="129">
                  <c:v>46059</c:v>
                </c:pt>
                <c:pt idx="130">
                  <c:v>46066</c:v>
                </c:pt>
                <c:pt idx="131">
                  <c:v>46073</c:v>
                </c:pt>
                <c:pt idx="132">
                  <c:v>46080</c:v>
                </c:pt>
                <c:pt idx="133">
                  <c:v>46087</c:v>
                </c:pt>
                <c:pt idx="134">
                  <c:v>46094</c:v>
                </c:pt>
                <c:pt idx="135">
                  <c:v>46101</c:v>
                </c:pt>
                <c:pt idx="136">
                  <c:v>46108</c:v>
                </c:pt>
                <c:pt idx="137">
                  <c:v>46114</c:v>
                </c:pt>
                <c:pt idx="138">
                  <c:v>46122</c:v>
                </c:pt>
                <c:pt idx="139">
                  <c:v>46129</c:v>
                </c:pt>
                <c:pt idx="140">
                  <c:v>46136</c:v>
                </c:pt>
                <c:pt idx="141">
                  <c:v>46143</c:v>
                </c:pt>
                <c:pt idx="142">
                  <c:v>46150</c:v>
                </c:pt>
                <c:pt idx="143">
                  <c:v>46157</c:v>
                </c:pt>
                <c:pt idx="144">
                  <c:v>46164</c:v>
                </c:pt>
                <c:pt idx="145">
                  <c:v>46171</c:v>
                </c:pt>
                <c:pt idx="146">
                  <c:v>46178</c:v>
                </c:pt>
                <c:pt idx="147">
                  <c:v>46185</c:v>
                </c:pt>
                <c:pt idx="148">
                  <c:v>46191</c:v>
                </c:pt>
                <c:pt idx="149">
                  <c:v>46199</c:v>
                </c:pt>
                <c:pt idx="150">
                  <c:v>46205</c:v>
                </c:pt>
                <c:pt idx="151">
                  <c:v>46213</c:v>
                </c:pt>
                <c:pt idx="152">
                  <c:v>46220</c:v>
                </c:pt>
                <c:pt idx="153">
                  <c:v>46227</c:v>
                </c:pt>
                <c:pt idx="154">
                  <c:v>46234</c:v>
                </c:pt>
                <c:pt idx="155">
                  <c:v>46241</c:v>
                </c:pt>
                <c:pt idx="156">
                  <c:v>46248</c:v>
                </c:pt>
                <c:pt idx="157">
                  <c:v>46255</c:v>
                </c:pt>
                <c:pt idx="158">
                  <c:v>46262</c:v>
                </c:pt>
                <c:pt idx="159">
                  <c:v>46269</c:v>
                </c:pt>
              </c:numCache>
            </c:numRef>
          </c:cat>
          <c:val>
            <c:numRef>
              <c:f>'Returns (Calc)'!$AJ$3:$AJ$500</c:f>
              <c:numCache>
                <c:formatCode>#,##0.00</c:formatCode>
                <c:ptCount val="498"/>
                <c:pt idx="0">
                  <c:v>82.85</c:v>
                </c:pt>
                <c:pt idx="1">
                  <c:v>82.328930817610058</c:v>
                </c:pt>
                <c:pt idx="2">
                  <c:v>81.807861635220121</c:v>
                </c:pt>
                <c:pt idx="3">
                  <c:v>81.286792452830184</c:v>
                </c:pt>
                <c:pt idx="4">
                  <c:v>80.765723270440247</c:v>
                </c:pt>
                <c:pt idx="5">
                  <c:v>80.244654088050311</c:v>
                </c:pt>
                <c:pt idx="6">
                  <c:v>79.723584905660374</c:v>
                </c:pt>
                <c:pt idx="7">
                  <c:v>79.202515723270437</c:v>
                </c:pt>
                <c:pt idx="8">
                  <c:v>78.681446540880501</c:v>
                </c:pt>
                <c:pt idx="9">
                  <c:v>78.160377358490564</c:v>
                </c:pt>
                <c:pt idx="10">
                  <c:v>77.639308176100627</c:v>
                </c:pt>
                <c:pt idx="11">
                  <c:v>77.11823899371069</c:v>
                </c:pt>
                <c:pt idx="12">
                  <c:v>76.597169811320754</c:v>
                </c:pt>
                <c:pt idx="13">
                  <c:v>76.076100628930817</c:v>
                </c:pt>
                <c:pt idx="14">
                  <c:v>75.55503144654088</c:v>
                </c:pt>
                <c:pt idx="15">
                  <c:v>75.033962264150944</c:v>
                </c:pt>
                <c:pt idx="16">
                  <c:v>74.512893081761007</c:v>
                </c:pt>
                <c:pt idx="17">
                  <c:v>73.99182389937107</c:v>
                </c:pt>
                <c:pt idx="18">
                  <c:v>73.470754716981133</c:v>
                </c:pt>
                <c:pt idx="19">
                  <c:v>72.949685534591197</c:v>
                </c:pt>
                <c:pt idx="20">
                  <c:v>72.42861635220126</c:v>
                </c:pt>
                <c:pt idx="21">
                  <c:v>71.907547169811323</c:v>
                </c:pt>
                <c:pt idx="22">
                  <c:v>71.386477987421387</c:v>
                </c:pt>
                <c:pt idx="23">
                  <c:v>70.865408805031436</c:v>
                </c:pt>
                <c:pt idx="24">
                  <c:v>70.344339622641499</c:v>
                </c:pt>
                <c:pt idx="25">
                  <c:v>69.823270440251562</c:v>
                </c:pt>
                <c:pt idx="26">
                  <c:v>69.302201257861626</c:v>
                </c:pt>
                <c:pt idx="27">
                  <c:v>68.781132075471689</c:v>
                </c:pt>
                <c:pt idx="28">
                  <c:v>68.260062893081752</c:v>
                </c:pt>
                <c:pt idx="29">
                  <c:v>67.738993710691815</c:v>
                </c:pt>
                <c:pt idx="30">
                  <c:v>67.217924528301879</c:v>
                </c:pt>
                <c:pt idx="31">
                  <c:v>66.696855345911942</c:v>
                </c:pt>
                <c:pt idx="32">
                  <c:v>66.175786163522005</c:v>
                </c:pt>
                <c:pt idx="33">
                  <c:v>65.654716981132069</c:v>
                </c:pt>
                <c:pt idx="34">
                  <c:v>65.133647798742132</c:v>
                </c:pt>
                <c:pt idx="35">
                  <c:v>64.612578616352195</c:v>
                </c:pt>
                <c:pt idx="36">
                  <c:v>64.091509433962258</c:v>
                </c:pt>
                <c:pt idx="37">
                  <c:v>63.570440251572322</c:v>
                </c:pt>
                <c:pt idx="38">
                  <c:v>63.049371069182385</c:v>
                </c:pt>
                <c:pt idx="39">
                  <c:v>62.528301886792448</c:v>
                </c:pt>
                <c:pt idx="40">
                  <c:v>62.007232704402512</c:v>
                </c:pt>
                <c:pt idx="41">
                  <c:v>61.486163522012575</c:v>
                </c:pt>
                <c:pt idx="42">
                  <c:v>60.965094339622638</c:v>
                </c:pt>
                <c:pt idx="43">
                  <c:v>60.444025157232701</c:v>
                </c:pt>
                <c:pt idx="44">
                  <c:v>59.922955974842765</c:v>
                </c:pt>
                <c:pt idx="45">
                  <c:v>59.401886792452828</c:v>
                </c:pt>
                <c:pt idx="46">
                  <c:v>58.880817610062891</c:v>
                </c:pt>
                <c:pt idx="47">
                  <c:v>58.359748427672955</c:v>
                </c:pt>
                <c:pt idx="48">
                  <c:v>57.838679245283018</c:v>
                </c:pt>
                <c:pt idx="49">
                  <c:v>57.317610062893081</c:v>
                </c:pt>
                <c:pt idx="50">
                  <c:v>56.796540880503137</c:v>
                </c:pt>
                <c:pt idx="51">
                  <c:v>56.275471698113208</c:v>
                </c:pt>
                <c:pt idx="52">
                  <c:v>55.754402515723271</c:v>
                </c:pt>
                <c:pt idx="53">
                  <c:v>55.233333333333334</c:v>
                </c:pt>
                <c:pt idx="54">
                  <c:v>54.712264150943398</c:v>
                </c:pt>
                <c:pt idx="55">
                  <c:v>54.191194968553454</c:v>
                </c:pt>
                <c:pt idx="56">
                  <c:v>53.670125786163524</c:v>
                </c:pt>
                <c:pt idx="57">
                  <c:v>53.14905660377358</c:v>
                </c:pt>
                <c:pt idx="58">
                  <c:v>52.627987421383651</c:v>
                </c:pt>
                <c:pt idx="59">
                  <c:v>52.106918238993707</c:v>
                </c:pt>
                <c:pt idx="60">
                  <c:v>51.585849056603763</c:v>
                </c:pt>
                <c:pt idx="61">
                  <c:v>51.064779874213833</c:v>
                </c:pt>
                <c:pt idx="62">
                  <c:v>50.543710691823897</c:v>
                </c:pt>
                <c:pt idx="63">
                  <c:v>50.02264150943396</c:v>
                </c:pt>
                <c:pt idx="64">
                  <c:v>49.501572327044023</c:v>
                </c:pt>
                <c:pt idx="65">
                  <c:v>48.98050314465408</c:v>
                </c:pt>
                <c:pt idx="66">
                  <c:v>48.45943396226415</c:v>
                </c:pt>
                <c:pt idx="67">
                  <c:v>47.938364779874206</c:v>
                </c:pt>
                <c:pt idx="68">
                  <c:v>47.417295597484276</c:v>
                </c:pt>
                <c:pt idx="69">
                  <c:v>46.89622641509434</c:v>
                </c:pt>
                <c:pt idx="70">
                  <c:v>46.375157232704396</c:v>
                </c:pt>
                <c:pt idx="71">
                  <c:v>45.854088050314466</c:v>
                </c:pt>
                <c:pt idx="72">
                  <c:v>45.333018867924523</c:v>
                </c:pt>
                <c:pt idx="73">
                  <c:v>44.811949685534593</c:v>
                </c:pt>
                <c:pt idx="74">
                  <c:v>44.290880503144649</c:v>
                </c:pt>
                <c:pt idx="75">
                  <c:v>43.769811320754712</c:v>
                </c:pt>
                <c:pt idx="76">
                  <c:v>43.248742138364776</c:v>
                </c:pt>
                <c:pt idx="77">
                  <c:v>42.727672955974839</c:v>
                </c:pt>
                <c:pt idx="78">
                  <c:v>42.206603773584902</c:v>
                </c:pt>
                <c:pt idx="79">
                  <c:v>41.685534591194966</c:v>
                </c:pt>
                <c:pt idx="80">
                  <c:v>41.164465408805029</c:v>
                </c:pt>
                <c:pt idx="81">
                  <c:v>40.643396226415092</c:v>
                </c:pt>
                <c:pt idx="82">
                  <c:v>40.122327044025155</c:v>
                </c:pt>
                <c:pt idx="83">
                  <c:v>39.601257861635219</c:v>
                </c:pt>
                <c:pt idx="84">
                  <c:v>39.080188679245282</c:v>
                </c:pt>
                <c:pt idx="85">
                  <c:v>38.559119496855345</c:v>
                </c:pt>
                <c:pt idx="86">
                  <c:v>38.038050314465409</c:v>
                </c:pt>
                <c:pt idx="87">
                  <c:v>37.516981132075465</c:v>
                </c:pt>
                <c:pt idx="88">
                  <c:v>36.995911949685535</c:v>
                </c:pt>
                <c:pt idx="89">
                  <c:v>36.474842767295591</c:v>
                </c:pt>
                <c:pt idx="90">
                  <c:v>35.953773584905662</c:v>
                </c:pt>
                <c:pt idx="91">
                  <c:v>35.432704402515718</c:v>
                </c:pt>
                <c:pt idx="92">
                  <c:v>34.911635220125781</c:v>
                </c:pt>
                <c:pt idx="93">
                  <c:v>34.390566037735844</c:v>
                </c:pt>
                <c:pt idx="94">
                  <c:v>33.869496855345908</c:v>
                </c:pt>
                <c:pt idx="95">
                  <c:v>33.348427672955978</c:v>
                </c:pt>
                <c:pt idx="96">
                  <c:v>32.827358490566034</c:v>
                </c:pt>
                <c:pt idx="97">
                  <c:v>32.306289308176098</c:v>
                </c:pt>
                <c:pt idx="98">
                  <c:v>31.785220125786161</c:v>
                </c:pt>
                <c:pt idx="99">
                  <c:v>31.264150943396224</c:v>
                </c:pt>
                <c:pt idx="100">
                  <c:v>30.74308176100628</c:v>
                </c:pt>
                <c:pt idx="101">
                  <c:v>30.222012578616358</c:v>
                </c:pt>
                <c:pt idx="102">
                  <c:v>29.700943396226414</c:v>
                </c:pt>
                <c:pt idx="103">
                  <c:v>29.179874213836477</c:v>
                </c:pt>
                <c:pt idx="104">
                  <c:v>28.658805031446541</c:v>
                </c:pt>
                <c:pt idx="105">
                  <c:v>28.137735849056597</c:v>
                </c:pt>
                <c:pt idx="106">
                  <c:v>27.616666666666667</c:v>
                </c:pt>
                <c:pt idx="107">
                  <c:v>27.09559748427673</c:v>
                </c:pt>
                <c:pt idx="108">
                  <c:v>26.574528301886794</c:v>
                </c:pt>
                <c:pt idx="109">
                  <c:v>26.05345911949685</c:v>
                </c:pt>
                <c:pt idx="110">
                  <c:v>25.532389937106913</c:v>
                </c:pt>
                <c:pt idx="111">
                  <c:v>25.011320754716984</c:v>
                </c:pt>
                <c:pt idx="112">
                  <c:v>24.490251572327047</c:v>
                </c:pt>
                <c:pt idx="113">
                  <c:v>23.969182389937103</c:v>
                </c:pt>
                <c:pt idx="114">
                  <c:v>23.448113207547166</c:v>
                </c:pt>
                <c:pt idx="115">
                  <c:v>22.92704402515723</c:v>
                </c:pt>
                <c:pt idx="116">
                  <c:v>22.4059748427673</c:v>
                </c:pt>
                <c:pt idx="117">
                  <c:v>21.884905660377356</c:v>
                </c:pt>
                <c:pt idx="118">
                  <c:v>21.363836477987419</c:v>
                </c:pt>
                <c:pt idx="119">
                  <c:v>20.842767295597483</c:v>
                </c:pt>
                <c:pt idx="120">
                  <c:v>20.321698113207539</c:v>
                </c:pt>
                <c:pt idx="121">
                  <c:v>19.800628930817616</c:v>
                </c:pt>
                <c:pt idx="122">
                  <c:v>19.279559748427673</c:v>
                </c:pt>
                <c:pt idx="123">
                  <c:v>18.758490566037736</c:v>
                </c:pt>
                <c:pt idx="124">
                  <c:v>18.237421383647799</c:v>
                </c:pt>
                <c:pt idx="125">
                  <c:v>17.716352201257862</c:v>
                </c:pt>
                <c:pt idx="126">
                  <c:v>17.195283018867926</c:v>
                </c:pt>
                <c:pt idx="127">
                  <c:v>16.674213836477989</c:v>
                </c:pt>
                <c:pt idx="128">
                  <c:v>16.153144654088052</c:v>
                </c:pt>
                <c:pt idx="129">
                  <c:v>15.632075471698116</c:v>
                </c:pt>
                <c:pt idx="130">
                  <c:v>15.111006289308165</c:v>
                </c:pt>
                <c:pt idx="131">
                  <c:v>14.589937106918242</c:v>
                </c:pt>
                <c:pt idx="132">
                  <c:v>14.068867924528305</c:v>
                </c:pt>
                <c:pt idx="133">
                  <c:v>13.547798742138369</c:v>
                </c:pt>
                <c:pt idx="134">
                  <c:v>13.026729559748418</c:v>
                </c:pt>
                <c:pt idx="135">
                  <c:v>12.505660377358481</c:v>
                </c:pt>
                <c:pt idx="136">
                  <c:v>11.984591194968559</c:v>
                </c:pt>
                <c:pt idx="137">
                  <c:v>11.463522012578622</c:v>
                </c:pt>
                <c:pt idx="138">
                  <c:v>10.942452830188685</c:v>
                </c:pt>
                <c:pt idx="139">
                  <c:v>10.421383647798734</c:v>
                </c:pt>
                <c:pt idx="140">
                  <c:v>9.9003144654087976</c:v>
                </c:pt>
                <c:pt idx="141">
                  <c:v>9.3792452830188751</c:v>
                </c:pt>
                <c:pt idx="142">
                  <c:v>8.8581761006289383</c:v>
                </c:pt>
                <c:pt idx="143">
                  <c:v>8.3371069182389874</c:v>
                </c:pt>
                <c:pt idx="144">
                  <c:v>7.8160377358490507</c:v>
                </c:pt>
                <c:pt idx="145">
                  <c:v>7.294968553459114</c:v>
                </c:pt>
                <c:pt idx="146">
                  <c:v>6.7738993710691915</c:v>
                </c:pt>
                <c:pt idx="147">
                  <c:v>6.2528301886792406</c:v>
                </c:pt>
                <c:pt idx="148">
                  <c:v>5.7317610062893039</c:v>
                </c:pt>
                <c:pt idx="149">
                  <c:v>5.2106918238993671</c:v>
                </c:pt>
                <c:pt idx="150">
                  <c:v>4.6896226415094304</c:v>
                </c:pt>
                <c:pt idx="151">
                  <c:v>4.1685534591194937</c:v>
                </c:pt>
                <c:pt idx="152">
                  <c:v>3.647484276729557</c:v>
                </c:pt>
                <c:pt idx="153">
                  <c:v>3.1264150943396203</c:v>
                </c:pt>
                <c:pt idx="154">
                  <c:v>2.6053459119496836</c:v>
                </c:pt>
                <c:pt idx="155">
                  <c:v>2.0842767295597469</c:v>
                </c:pt>
                <c:pt idx="156">
                  <c:v>1.5632075471698101</c:v>
                </c:pt>
                <c:pt idx="157">
                  <c:v>1.0421383647798734</c:v>
                </c:pt>
                <c:pt idx="158">
                  <c:v>0.52106918238993671</c:v>
                </c:pt>
                <c:pt idx="159">
                  <c:v>0</c:v>
                </c:pt>
              </c:numCache>
            </c:numRef>
          </c:val>
          <c:smooth val="0"/>
          <c:extLst>
            <c:ext xmlns:c16="http://schemas.microsoft.com/office/drawing/2014/chart" uri="{C3380CC4-5D6E-409C-BE32-E72D297353CC}">
              <c16:uniqueId val="{00000001-E5C5-45E4-A77B-7B2651696BC4}"/>
            </c:ext>
          </c:extLst>
        </c:ser>
        <c:dLbls>
          <c:showLegendKey val="0"/>
          <c:showVal val="0"/>
          <c:showCatName val="0"/>
          <c:showSerName val="0"/>
          <c:showPercent val="0"/>
          <c:showBubbleSize val="0"/>
        </c:dLbls>
        <c:hiLowLines>
          <c:spPr>
            <a:ln w="0">
              <a:noFill/>
            </a:ln>
          </c:spPr>
        </c:hiLowLines>
        <c:marker val="1"/>
        <c:smooth val="0"/>
        <c:axId val="67699078"/>
        <c:axId val="41992923"/>
      </c:lineChart>
      <c:dateAx>
        <c:axId val="98452580"/>
        <c:scaling>
          <c:orientation val="minMax"/>
        </c:scaling>
        <c:delete val="1"/>
        <c:axPos val="b"/>
        <c:numFmt formatCode="mm/dd/yyyy" sourceLinked="1"/>
        <c:majorTickMark val="none"/>
        <c:minorTickMark val="none"/>
        <c:tickLblPos val="nextTo"/>
        <c:crossAx val="5559725"/>
        <c:crosses val="autoZero"/>
        <c:auto val="1"/>
        <c:lblOffset val="100"/>
        <c:baseTimeUnit val="days"/>
      </c:dateAx>
      <c:valAx>
        <c:axId val="5559725"/>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98452580"/>
        <c:crosses val="autoZero"/>
        <c:crossBetween val="between"/>
      </c:valAx>
      <c:dateAx>
        <c:axId val="67699078"/>
        <c:scaling>
          <c:orientation val="minMax"/>
        </c:scaling>
        <c:delete val="1"/>
        <c:axPos val="b"/>
        <c:numFmt formatCode="mm/dd/yyyy" sourceLinked="1"/>
        <c:majorTickMark val="none"/>
        <c:minorTickMark val="none"/>
        <c:tickLblPos val="nextTo"/>
        <c:crossAx val="41992923"/>
        <c:crosses val="autoZero"/>
        <c:auto val="1"/>
        <c:lblOffset val="100"/>
        <c:baseTimeUnit val="days"/>
      </c:dateAx>
      <c:valAx>
        <c:axId val="41992923"/>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67699078"/>
        <c:crosses val="max"/>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HELO</a:t>
            </a:r>
          </a:p>
        </c:rich>
      </c:tx>
      <c:overlay val="0"/>
      <c:spPr>
        <a:noFill/>
        <a:ln w="0">
          <a:noFill/>
        </a:ln>
      </c:spPr>
    </c:title>
    <c:autoTitleDeleted val="0"/>
    <c:plotArea>
      <c:layout/>
      <c:barChart>
        <c:barDir val="col"/>
        <c:grouping val="clustered"/>
        <c:varyColors val="0"/>
        <c:ser>
          <c:idx val="0"/>
          <c:order val="0"/>
          <c:tx>
            <c:strRef>
              <c:f>'Returns (Calc)'!$Q$2</c:f>
              <c:strCache>
                <c:ptCount val="1"/>
                <c:pt idx="0">
                  <c:v>HELO</c:v>
                </c:pt>
              </c:strCache>
            </c:strRef>
          </c:tx>
          <c:spPr>
            <a:solidFill>
              <a:srgbClr val="4F81BD"/>
            </a:solidFill>
            <a:ln w="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45156</c:v>
                </c:pt>
                <c:pt idx="1">
                  <c:v>45163</c:v>
                </c:pt>
                <c:pt idx="2">
                  <c:v>45170</c:v>
                </c:pt>
                <c:pt idx="3">
                  <c:v>45177</c:v>
                </c:pt>
                <c:pt idx="4">
                  <c:v>45184</c:v>
                </c:pt>
                <c:pt idx="5">
                  <c:v>45191</c:v>
                </c:pt>
                <c:pt idx="6">
                  <c:v>45198</c:v>
                </c:pt>
                <c:pt idx="7">
                  <c:v>45205</c:v>
                </c:pt>
                <c:pt idx="8">
                  <c:v>45212</c:v>
                </c:pt>
                <c:pt idx="9">
                  <c:v>45219</c:v>
                </c:pt>
                <c:pt idx="10">
                  <c:v>45226</c:v>
                </c:pt>
                <c:pt idx="11">
                  <c:v>45233</c:v>
                </c:pt>
                <c:pt idx="12">
                  <c:v>45240</c:v>
                </c:pt>
                <c:pt idx="13">
                  <c:v>45247</c:v>
                </c:pt>
                <c:pt idx="14">
                  <c:v>45254</c:v>
                </c:pt>
                <c:pt idx="15">
                  <c:v>45261</c:v>
                </c:pt>
                <c:pt idx="16">
                  <c:v>45268</c:v>
                </c:pt>
                <c:pt idx="17">
                  <c:v>45275</c:v>
                </c:pt>
                <c:pt idx="18">
                  <c:v>45282</c:v>
                </c:pt>
                <c:pt idx="19">
                  <c:v>45289</c:v>
                </c:pt>
                <c:pt idx="20">
                  <c:v>45296</c:v>
                </c:pt>
                <c:pt idx="21">
                  <c:v>45303</c:v>
                </c:pt>
                <c:pt idx="22">
                  <c:v>45310</c:v>
                </c:pt>
                <c:pt idx="23">
                  <c:v>45317</c:v>
                </c:pt>
                <c:pt idx="24">
                  <c:v>45324</c:v>
                </c:pt>
                <c:pt idx="25">
                  <c:v>45331</c:v>
                </c:pt>
                <c:pt idx="26">
                  <c:v>45338</c:v>
                </c:pt>
                <c:pt idx="27">
                  <c:v>45345</c:v>
                </c:pt>
                <c:pt idx="28">
                  <c:v>45352</c:v>
                </c:pt>
                <c:pt idx="29">
                  <c:v>45359</c:v>
                </c:pt>
                <c:pt idx="30">
                  <c:v>45366</c:v>
                </c:pt>
                <c:pt idx="31">
                  <c:v>45373</c:v>
                </c:pt>
                <c:pt idx="32">
                  <c:v>45379</c:v>
                </c:pt>
                <c:pt idx="33">
                  <c:v>45387</c:v>
                </c:pt>
                <c:pt idx="34">
                  <c:v>45394</c:v>
                </c:pt>
                <c:pt idx="35">
                  <c:v>45401</c:v>
                </c:pt>
                <c:pt idx="36">
                  <c:v>45408</c:v>
                </c:pt>
                <c:pt idx="37">
                  <c:v>45415</c:v>
                </c:pt>
                <c:pt idx="38">
                  <c:v>45422</c:v>
                </c:pt>
                <c:pt idx="39">
                  <c:v>45429</c:v>
                </c:pt>
                <c:pt idx="40">
                  <c:v>45436</c:v>
                </c:pt>
                <c:pt idx="41">
                  <c:v>45443</c:v>
                </c:pt>
                <c:pt idx="42">
                  <c:v>45450</c:v>
                </c:pt>
                <c:pt idx="43">
                  <c:v>45457</c:v>
                </c:pt>
                <c:pt idx="44">
                  <c:v>45464</c:v>
                </c:pt>
                <c:pt idx="45">
                  <c:v>45471</c:v>
                </c:pt>
                <c:pt idx="46">
                  <c:v>45478</c:v>
                </c:pt>
                <c:pt idx="47">
                  <c:v>45485</c:v>
                </c:pt>
                <c:pt idx="48">
                  <c:v>45492</c:v>
                </c:pt>
                <c:pt idx="49">
                  <c:v>45499</c:v>
                </c:pt>
                <c:pt idx="50">
                  <c:v>45506</c:v>
                </c:pt>
                <c:pt idx="51">
                  <c:v>45513</c:v>
                </c:pt>
                <c:pt idx="52">
                  <c:v>45520</c:v>
                </c:pt>
                <c:pt idx="53">
                  <c:v>45527</c:v>
                </c:pt>
                <c:pt idx="54">
                  <c:v>45534</c:v>
                </c:pt>
                <c:pt idx="55">
                  <c:v>45541</c:v>
                </c:pt>
                <c:pt idx="56">
                  <c:v>45548</c:v>
                </c:pt>
                <c:pt idx="57">
                  <c:v>45555</c:v>
                </c:pt>
                <c:pt idx="58">
                  <c:v>45562</c:v>
                </c:pt>
                <c:pt idx="59">
                  <c:v>45569</c:v>
                </c:pt>
                <c:pt idx="60">
                  <c:v>45576</c:v>
                </c:pt>
                <c:pt idx="61">
                  <c:v>45583</c:v>
                </c:pt>
                <c:pt idx="62">
                  <c:v>45590</c:v>
                </c:pt>
                <c:pt idx="63">
                  <c:v>45597</c:v>
                </c:pt>
                <c:pt idx="64">
                  <c:v>45604</c:v>
                </c:pt>
                <c:pt idx="65">
                  <c:v>45611</c:v>
                </c:pt>
                <c:pt idx="66">
                  <c:v>45618</c:v>
                </c:pt>
                <c:pt idx="67">
                  <c:v>45625</c:v>
                </c:pt>
                <c:pt idx="68">
                  <c:v>45632</c:v>
                </c:pt>
                <c:pt idx="69">
                  <c:v>45639</c:v>
                </c:pt>
                <c:pt idx="70">
                  <c:v>45646</c:v>
                </c:pt>
                <c:pt idx="71">
                  <c:v>45653</c:v>
                </c:pt>
                <c:pt idx="72">
                  <c:v>45660</c:v>
                </c:pt>
                <c:pt idx="73">
                  <c:v>45667</c:v>
                </c:pt>
                <c:pt idx="74">
                  <c:v>45674</c:v>
                </c:pt>
                <c:pt idx="75">
                  <c:v>45681</c:v>
                </c:pt>
                <c:pt idx="76">
                  <c:v>45688</c:v>
                </c:pt>
                <c:pt idx="77">
                  <c:v>45695</c:v>
                </c:pt>
                <c:pt idx="78">
                  <c:v>45702</c:v>
                </c:pt>
                <c:pt idx="79">
                  <c:v>45709</c:v>
                </c:pt>
                <c:pt idx="80">
                  <c:v>45716</c:v>
                </c:pt>
                <c:pt idx="81">
                  <c:v>45723</c:v>
                </c:pt>
                <c:pt idx="82">
                  <c:v>45730</c:v>
                </c:pt>
                <c:pt idx="83">
                  <c:v>45737</c:v>
                </c:pt>
                <c:pt idx="84">
                  <c:v>45744</c:v>
                </c:pt>
                <c:pt idx="85">
                  <c:v>45751</c:v>
                </c:pt>
                <c:pt idx="86">
                  <c:v>45758</c:v>
                </c:pt>
                <c:pt idx="87">
                  <c:v>45764</c:v>
                </c:pt>
                <c:pt idx="88">
                  <c:v>45772</c:v>
                </c:pt>
                <c:pt idx="89">
                  <c:v>45779</c:v>
                </c:pt>
                <c:pt idx="90">
                  <c:v>45786</c:v>
                </c:pt>
                <c:pt idx="91">
                  <c:v>45793</c:v>
                </c:pt>
                <c:pt idx="92">
                  <c:v>45800</c:v>
                </c:pt>
                <c:pt idx="93">
                  <c:v>45807</c:v>
                </c:pt>
                <c:pt idx="94">
                  <c:v>45814</c:v>
                </c:pt>
                <c:pt idx="95">
                  <c:v>45821</c:v>
                </c:pt>
                <c:pt idx="96">
                  <c:v>45828</c:v>
                </c:pt>
                <c:pt idx="97">
                  <c:v>45835</c:v>
                </c:pt>
                <c:pt idx="98">
                  <c:v>45841</c:v>
                </c:pt>
                <c:pt idx="99">
                  <c:v>45849</c:v>
                </c:pt>
                <c:pt idx="100">
                  <c:v>45856</c:v>
                </c:pt>
                <c:pt idx="101">
                  <c:v>45863</c:v>
                </c:pt>
                <c:pt idx="102">
                  <c:v>45870</c:v>
                </c:pt>
                <c:pt idx="103">
                  <c:v>45877</c:v>
                </c:pt>
                <c:pt idx="104">
                  <c:v>45884</c:v>
                </c:pt>
                <c:pt idx="105">
                  <c:v>45891</c:v>
                </c:pt>
                <c:pt idx="106">
                  <c:v>45898</c:v>
                </c:pt>
                <c:pt idx="107">
                  <c:v>45905</c:v>
                </c:pt>
                <c:pt idx="108">
                  <c:v>45912</c:v>
                </c:pt>
                <c:pt idx="109">
                  <c:v>45919</c:v>
                </c:pt>
                <c:pt idx="110">
                  <c:v>45926</c:v>
                </c:pt>
                <c:pt idx="111">
                  <c:v>45933</c:v>
                </c:pt>
                <c:pt idx="112">
                  <c:v>45940</c:v>
                </c:pt>
                <c:pt idx="113">
                  <c:v>45947</c:v>
                </c:pt>
                <c:pt idx="114">
                  <c:v>45954</c:v>
                </c:pt>
                <c:pt idx="115">
                  <c:v>45961</c:v>
                </c:pt>
                <c:pt idx="116">
                  <c:v>45968</c:v>
                </c:pt>
                <c:pt idx="117">
                  <c:v>45975</c:v>
                </c:pt>
                <c:pt idx="118">
                  <c:v>45982</c:v>
                </c:pt>
                <c:pt idx="119">
                  <c:v>45989</c:v>
                </c:pt>
                <c:pt idx="120">
                  <c:v>45996</c:v>
                </c:pt>
                <c:pt idx="121">
                  <c:v>46003</c:v>
                </c:pt>
                <c:pt idx="122">
                  <c:v>46010</c:v>
                </c:pt>
                <c:pt idx="123">
                  <c:v>46017</c:v>
                </c:pt>
                <c:pt idx="124">
                  <c:v>46024</c:v>
                </c:pt>
                <c:pt idx="125">
                  <c:v>46031</c:v>
                </c:pt>
                <c:pt idx="126">
                  <c:v>46038</c:v>
                </c:pt>
                <c:pt idx="127">
                  <c:v>46045</c:v>
                </c:pt>
                <c:pt idx="128">
                  <c:v>46052</c:v>
                </c:pt>
                <c:pt idx="129">
                  <c:v>46059</c:v>
                </c:pt>
                <c:pt idx="130">
                  <c:v>46066</c:v>
                </c:pt>
                <c:pt idx="131">
                  <c:v>46073</c:v>
                </c:pt>
                <c:pt idx="132">
                  <c:v>46080</c:v>
                </c:pt>
                <c:pt idx="133">
                  <c:v>46087</c:v>
                </c:pt>
                <c:pt idx="134">
                  <c:v>46094</c:v>
                </c:pt>
                <c:pt idx="135">
                  <c:v>46101</c:v>
                </c:pt>
                <c:pt idx="136">
                  <c:v>46108</c:v>
                </c:pt>
                <c:pt idx="137">
                  <c:v>46114</c:v>
                </c:pt>
                <c:pt idx="138">
                  <c:v>46122</c:v>
                </c:pt>
                <c:pt idx="139">
                  <c:v>46129</c:v>
                </c:pt>
                <c:pt idx="140">
                  <c:v>46136</c:v>
                </c:pt>
                <c:pt idx="141">
                  <c:v>46143</c:v>
                </c:pt>
                <c:pt idx="142">
                  <c:v>46150</c:v>
                </c:pt>
                <c:pt idx="143">
                  <c:v>46157</c:v>
                </c:pt>
                <c:pt idx="144">
                  <c:v>46164</c:v>
                </c:pt>
                <c:pt idx="145">
                  <c:v>46171</c:v>
                </c:pt>
                <c:pt idx="146">
                  <c:v>46178</c:v>
                </c:pt>
                <c:pt idx="147">
                  <c:v>46185</c:v>
                </c:pt>
                <c:pt idx="148">
                  <c:v>46191</c:v>
                </c:pt>
                <c:pt idx="149">
                  <c:v>46199</c:v>
                </c:pt>
                <c:pt idx="150">
                  <c:v>46205</c:v>
                </c:pt>
                <c:pt idx="151">
                  <c:v>46213</c:v>
                </c:pt>
                <c:pt idx="152">
                  <c:v>46220</c:v>
                </c:pt>
                <c:pt idx="153">
                  <c:v>46227</c:v>
                </c:pt>
                <c:pt idx="154">
                  <c:v>46234</c:v>
                </c:pt>
                <c:pt idx="155">
                  <c:v>46241</c:v>
                </c:pt>
                <c:pt idx="156">
                  <c:v>46248</c:v>
                </c:pt>
                <c:pt idx="157">
                  <c:v>46255</c:v>
                </c:pt>
                <c:pt idx="158">
                  <c:v>46262</c:v>
                </c:pt>
                <c:pt idx="159">
                  <c:v>46269</c:v>
                </c:pt>
              </c:numCache>
            </c:numRef>
          </c:cat>
          <c:val>
            <c:numRef>
              <c:f>'Returns (Calc)'!$Q$3:$Q$500</c:f>
              <c:numCache>
                <c:formatCode>0.0%</c:formatCode>
                <c:ptCount val="498"/>
                <c:pt idx="0">
                  <c:v>3.2102728731941976E-3</c:v>
                </c:pt>
                <c:pt idx="1">
                  <c:v>3.4000000000000696E-3</c:v>
                </c:pt>
                <c:pt idx="2">
                  <c:v>-1.116204903328688E-2</c:v>
                </c:pt>
                <c:pt idx="3">
                  <c:v>-1.7335214674460753E-2</c:v>
                </c:pt>
                <c:pt idx="4">
                  <c:v>4.0205128205128116E-2</c:v>
                </c:pt>
                <c:pt idx="5">
                  <c:v>1.0057187931374445E-2</c:v>
                </c:pt>
                <c:pt idx="6">
                  <c:v>1.3080827801640105E-2</c:v>
                </c:pt>
                <c:pt idx="7">
                  <c:v>4.4324532665251937E-3</c:v>
                </c:pt>
                <c:pt idx="8">
                  <c:v>9.593246354566709E-4</c:v>
                </c:pt>
                <c:pt idx="9">
                  <c:v>3.6419398121525504E-3</c:v>
                </c:pt>
                <c:pt idx="10">
                  <c:v>8.9763177998471999E-3</c:v>
                </c:pt>
                <c:pt idx="11">
                  <c:v>-7.5714556123418486E-4</c:v>
                </c:pt>
                <c:pt idx="12">
                  <c:v>1.7048683462776992E-3</c:v>
                </c:pt>
                <c:pt idx="13">
                  <c:v>-4.3494704992436128E-3</c:v>
                </c:pt>
                <c:pt idx="14">
                  <c:v>9.8765432098766315E-3</c:v>
                </c:pt>
                <c:pt idx="15">
                  <c:v>5.8303554636072175E-3</c:v>
                </c:pt>
                <c:pt idx="16">
                  <c:v>6.3575168287210992E-3</c:v>
                </c:pt>
                <c:pt idx="17">
                  <c:v>1.4121144555927057E-2</c:v>
                </c:pt>
                <c:pt idx="18">
                  <c:v>4.3972150971052226E-3</c:v>
                </c:pt>
                <c:pt idx="19">
                  <c:v>-5.4724553082815541E-3</c:v>
                </c:pt>
                <c:pt idx="20">
                  <c:v>7.5201760821717034E-3</c:v>
                </c:pt>
                <c:pt idx="21">
                  <c:v>6.1896959766976067E-3</c:v>
                </c:pt>
                <c:pt idx="22">
                  <c:v>7.2371992039088617E-4</c:v>
                </c:pt>
                <c:pt idx="23">
                  <c:v>1.8079913216406673E-4</c:v>
                </c:pt>
                <c:pt idx="24">
                  <c:v>1.1026753434562497E-2</c:v>
                </c:pt>
                <c:pt idx="25">
                  <c:v>7.1517968889689421E-4</c:v>
                </c:pt>
                <c:pt idx="26">
                  <c:v>-3.7520100053600736E-3</c:v>
                </c:pt>
                <c:pt idx="27">
                  <c:v>-6.276901004304225E-3</c:v>
                </c:pt>
                <c:pt idx="28">
                  <c:v>-1.9491066594477524E-2</c:v>
                </c:pt>
                <c:pt idx="29">
                  <c:v>2.0614761641818635E-2</c:v>
                </c:pt>
                <c:pt idx="30">
                  <c:v>4.1478809738502154E-3</c:v>
                </c:pt>
                <c:pt idx="31">
                  <c:v>1.5445402298850608E-2</c:v>
                </c:pt>
                <c:pt idx="32">
                  <c:v>1.0788822072868687E-2</c:v>
                </c:pt>
                <c:pt idx="33">
                  <c:v>1.0498687664042272E-3</c:v>
                </c:pt>
                <c:pt idx="34">
                  <c:v>-2.6219192448871942E-3</c:v>
                </c:pt>
                <c:pt idx="35">
                  <c:v>1.1041009463722329E-2</c:v>
                </c:pt>
                <c:pt idx="36">
                  <c:v>9.0136938810885248E-3</c:v>
                </c:pt>
                <c:pt idx="37">
                  <c:v>3.2640439786977282E-3</c:v>
                </c:pt>
                <c:pt idx="38">
                  <c:v>2.73972602739736E-3</c:v>
                </c:pt>
                <c:pt idx="39">
                  <c:v>7.1721311475407834E-3</c:v>
                </c:pt>
                <c:pt idx="40">
                  <c:v>3.390979993218135E-3</c:v>
                </c:pt>
                <c:pt idx="41">
                  <c:v>-6.5900642108820406E-3</c:v>
                </c:pt>
                <c:pt idx="42">
                  <c:v>-4.2524238816125104E-3</c:v>
                </c:pt>
                <c:pt idx="43">
                  <c:v>-1.0761872224120284E-2</c:v>
                </c:pt>
                <c:pt idx="44">
                  <c:v>6.9072699015726435E-4</c:v>
                </c:pt>
                <c:pt idx="45">
                  <c:v>2.6229508196721207E-2</c:v>
                </c:pt>
                <c:pt idx="46">
                  <c:v>8.7439044896586715E-3</c:v>
                </c:pt>
                <c:pt idx="47">
                  <c:v>3.6672778796464911E-3</c:v>
                </c:pt>
                <c:pt idx="48">
                  <c:v>-2.7071914964291732E-2</c:v>
                </c:pt>
                <c:pt idx="49">
                  <c:v>2.5947422328439718E-2</c:v>
                </c:pt>
                <c:pt idx="50">
                  <c:v>8.3194675540765317E-3</c:v>
                </c:pt>
                <c:pt idx="51">
                  <c:v>5.6105610561054675E-3</c:v>
                </c:pt>
                <c:pt idx="52">
                  <c:v>1.3127666557271045E-3</c:v>
                </c:pt>
                <c:pt idx="53">
                  <c:v>8.0301540478531219E-3</c:v>
                </c:pt>
                <c:pt idx="54">
                  <c:v>8.291334742318357E-3</c:v>
                </c:pt>
                <c:pt idx="55">
                  <c:v>-2.7410512737826576E-3</c:v>
                </c:pt>
                <c:pt idx="56">
                  <c:v>-8.8924818108326864E-3</c:v>
                </c:pt>
                <c:pt idx="57">
                  <c:v>2.4306688417618405E-2</c:v>
                </c:pt>
                <c:pt idx="58">
                  <c:v>-9.5556617295747825E-3</c:v>
                </c:pt>
                <c:pt idx="59">
                  <c:v>7.5574851262261156E-3</c:v>
                </c:pt>
                <c:pt idx="60">
                  <c:v>6.0644749441429724E-3</c:v>
                </c:pt>
                <c:pt idx="61">
                  <c:v>3.8071065989848663E-3</c:v>
                </c:pt>
                <c:pt idx="62">
                  <c:v>-1.7383059418457636E-3</c:v>
                </c:pt>
                <c:pt idx="63">
                  <c:v>-1.2347633370270672E-2</c:v>
                </c:pt>
                <c:pt idx="64">
                  <c:v>4.1673345087354097E-3</c:v>
                </c:pt>
                <c:pt idx="65">
                  <c:v>-3.9904229848364281E-3</c:v>
                </c:pt>
                <c:pt idx="66">
                  <c:v>-1.2179487179487136E-2</c:v>
                </c:pt>
                <c:pt idx="67">
                  <c:v>1.7196625567813095E-2</c:v>
                </c:pt>
                <c:pt idx="68">
                  <c:v>1.0366826156299913E-2</c:v>
                </c:pt>
                <c:pt idx="69">
                  <c:v>-8.6819258089977369E-3</c:v>
                </c:pt>
                <c:pt idx="70">
                  <c:v>-6.3694267515923553E-4</c:v>
                </c:pt>
                <c:pt idx="71">
                  <c:v>1.051625239005749E-2</c:v>
                </c:pt>
                <c:pt idx="72">
                  <c:v>-8.9877010406811397E-3</c:v>
                </c:pt>
                <c:pt idx="73">
                  <c:v>-6.364359586316648E-3</c:v>
                </c:pt>
                <c:pt idx="74">
                  <c:v>-1.7453963170536491E-2</c:v>
                </c:pt>
                <c:pt idx="75">
                  <c:v>-1.4178617992177234E-2</c:v>
                </c:pt>
                <c:pt idx="76">
                  <c:v>-2.1491155562903819E-3</c:v>
                </c:pt>
                <c:pt idx="77">
                  <c:v>-1.2922465208747513E-2</c:v>
                </c:pt>
                <c:pt idx="78">
                  <c:v>-3.8771399798590012E-2</c:v>
                </c:pt>
                <c:pt idx="79">
                  <c:v>1.8858040859088598E-2</c:v>
                </c:pt>
                <c:pt idx="80">
                  <c:v>-5.9982862039417162E-3</c:v>
                </c:pt>
                <c:pt idx="81">
                  <c:v>1.7758620689655169E-2</c:v>
                </c:pt>
                <c:pt idx="82">
                  <c:v>1.6262917160765777E-2</c:v>
                </c:pt>
                <c:pt idx="83">
                  <c:v>-2.5004167361226681E-3</c:v>
                </c:pt>
                <c:pt idx="84">
                  <c:v>2.9411764705882248E-2</c:v>
                </c:pt>
                <c:pt idx="85">
                  <c:v>-1.6558441558441661E-2</c:v>
                </c:pt>
                <c:pt idx="86">
                  <c:v>1.0894684714427338E-2</c:v>
                </c:pt>
                <c:pt idx="87">
                  <c:v>9.6342259960808807E-3</c:v>
                </c:pt>
                <c:pt idx="88">
                  <c:v>-1.6173378618788981E-4</c:v>
                </c:pt>
                <c:pt idx="89">
                  <c:v>8.0879974118408526E-4</c:v>
                </c:pt>
                <c:pt idx="90">
                  <c:v>1.0829157911750542E-2</c:v>
                </c:pt>
                <c:pt idx="91">
                  <c:v>6.5558042852575937E-3</c:v>
                </c:pt>
                <c:pt idx="92">
                  <c:v>1.5885623510722979E-3</c:v>
                </c:pt>
                <c:pt idx="93">
                  <c:v>3.4892942109436831E-3</c:v>
                </c:pt>
                <c:pt idx="94">
                  <c:v>2.2127390548443149E-3</c:v>
                </c:pt>
                <c:pt idx="95">
                  <c:v>-1.0408452925406042E-2</c:v>
                </c:pt>
                <c:pt idx="96">
                  <c:v>1.1474103585657369E-2</c:v>
                </c:pt>
                <c:pt idx="97">
                  <c:v>7.4050732629589167E-3</c:v>
                </c:pt>
                <c:pt idx="98">
                  <c:v>3.597122302158251E-3</c:v>
                </c:pt>
                <c:pt idx="99">
                  <c:v>1.5583606046454257E-4</c:v>
                </c:pt>
                <c:pt idx="100">
                  <c:v>2.1813649111870337E-3</c:v>
                </c:pt>
                <c:pt idx="101">
                  <c:v>8.5509950248758848E-3</c:v>
                </c:pt>
                <c:pt idx="102">
                  <c:v>2.0040080160319551E-3</c:v>
                </c:pt>
                <c:pt idx="103">
                  <c:v>-1.6923076923076597E-3</c:v>
                </c:pt>
                <c:pt idx="104">
                  <c:v>3.2362459546924072E-3</c:v>
                </c:pt>
                <c:pt idx="105">
                  <c:v>-1.2596006144393157E-2</c:v>
                </c:pt>
                <c:pt idx="106">
                  <c:v>9.8008711885499977E-3</c:v>
                </c:pt>
                <c:pt idx="107">
                  <c:v>1.0013865352025864E-2</c:v>
                </c:pt>
                <c:pt idx="108">
                  <c:v>6.1012812690663942E-4</c:v>
                </c:pt>
                <c:pt idx="109">
                  <c:v>-5.0304878048780255E-3</c:v>
                </c:pt>
                <c:pt idx="110">
                  <c:v>1.5320974413974842E-3</c:v>
                </c:pt>
                <c:pt idx="111">
                  <c:v>-8.8725715159858609E-3</c:v>
                </c:pt>
                <c:pt idx="112">
                  <c:v>2.1762617687914654E-2</c:v>
                </c:pt>
                <c:pt idx="113">
                  <c:v>2.2658610271901747E-3</c:v>
                </c:pt>
                <c:pt idx="114">
                  <c:v>-1.2057272042200751E-3</c:v>
                </c:pt>
                <c:pt idx="115">
                  <c:v>3.0179568432187054E-4</c:v>
                </c:pt>
                <c:pt idx="116">
                  <c:v>1.0710514406396143E-2</c:v>
                </c:pt>
                <c:pt idx="117">
                  <c:v>-8.3582089552238781E-3</c:v>
                </c:pt>
                <c:pt idx="118">
                  <c:v>9.1812161348585608E-3</c:v>
                </c:pt>
                <c:pt idx="119">
                  <c:v>-4.6234153616704354E-3</c:v>
                </c:pt>
                <c:pt idx="120">
                  <c:v>-2.9967036260103441E-4</c:v>
                </c:pt>
                <c:pt idx="121">
                  <c:v>3.747002398081456E-3</c:v>
                </c:pt>
                <c:pt idx="122">
                  <c:v>2.8370912348811839E-3</c:v>
                </c:pt>
                <c:pt idx="123">
                  <c:v>-8.7849910661108588E-3</c:v>
                </c:pt>
                <c:pt idx="124">
                  <c:v>6.9100195283162691E-3</c:v>
                </c:pt>
                <c:pt idx="125">
                  <c:v>-5.8182903177681489E-3</c:v>
                </c:pt>
                <c:pt idx="126">
                  <c:v>-1.1254501800720296E-2</c:v>
                </c:pt>
                <c:pt idx="127">
                  <c:v>-1.3355592654423987E-2</c:v>
                </c:pt>
                <c:pt idx="128">
                  <c:v>-1.1229041685894559E-2</c:v>
                </c:pt>
                <c:pt idx="129">
                  <c:v>-1.3845675171126337E-2</c:v>
                </c:pt>
                <c:pt idx="130">
                  <c:v>1.1673765578166906E-2</c:v>
                </c:pt>
                <c:pt idx="131">
                  <c:v>2.0427257133946775E-2</c:v>
                </c:pt>
                <c:pt idx="132">
                  <c:v>2.5672371638141955E-2</c:v>
                </c:pt>
                <c:pt idx="133">
                  <c:v>2.2348033373060794E-3</c:v>
                </c:pt>
                <c:pt idx="134">
                  <c:v>4.0136762301175022E-3</c:v>
                </c:pt>
                <c:pt idx="135">
                  <c:v>2.0728457210541507E-3</c:v>
                </c:pt>
                <c:pt idx="136">
                  <c:v>2.9550827423152626E-4</c:v>
                </c:pt>
                <c:pt idx="137">
                  <c:v>7.3855243722298347E-4</c:v>
                </c:pt>
                <c:pt idx="138">
                  <c:v>4.2804428044280751E-3</c:v>
                </c:pt>
                <c:pt idx="139">
                  <c:v>-1.0582010582010803E-2</c:v>
                </c:pt>
                <c:pt idx="140">
                  <c:v>4.4563279857401383E-4</c:v>
                </c:pt>
                <c:pt idx="141">
                  <c:v>8.4632516703786465E-3</c:v>
                </c:pt>
                <c:pt idx="142">
                  <c:v>-1.2367491166077826E-2</c:v>
                </c:pt>
                <c:pt idx="143">
                  <c:v>7.6028622540251778E-3</c:v>
                </c:pt>
                <c:pt idx="144">
                  <c:v>1.094836514277242E-2</c:v>
                </c:pt>
                <c:pt idx="145">
                  <c:v>-9.2199619493633644E-3</c:v>
                </c:pt>
                <c:pt idx="146">
                  <c:v>-1.7725258493354046E-3</c:v>
                </c:pt>
                <c:pt idx="147">
                  <c:v>1.2873631251849815E-2</c:v>
                </c:pt>
                <c:pt idx="148">
                  <c:v>0</c:v>
                </c:pt>
                <c:pt idx="149">
                  <c:v>0</c:v>
                </c:pt>
                <c:pt idx="150">
                  <c:v>0</c:v>
                </c:pt>
                <c:pt idx="151">
                  <c:v>0</c:v>
                </c:pt>
                <c:pt idx="152">
                  <c:v>-9.2199619493633644E-3</c:v>
                </c:pt>
                <c:pt idx="153">
                  <c:v>-1.7725258493354046E-3</c:v>
                </c:pt>
                <c:pt idx="154">
                  <c:v>1.2873631251849815E-2</c:v>
                </c:pt>
                <c:pt idx="155">
                  <c:v>2.0598977355734016E-2</c:v>
                </c:pt>
                <c:pt idx="156">
                  <c:v>4.1511594617806846E-3</c:v>
                </c:pt>
                <c:pt idx="157">
                  <c:v>-1.0548823948681507E-2</c:v>
                </c:pt>
                <c:pt idx="158">
                  <c:v>4.0340008644288439E-3</c:v>
                </c:pt>
                <c:pt idx="159">
                  <c:v>4.3047783039185106E-4</c:v>
                </c:pt>
              </c:numCache>
            </c:numRef>
          </c:val>
          <c:extLst>
            <c:ext xmlns:c16="http://schemas.microsoft.com/office/drawing/2014/chart" uri="{C3380CC4-5D6E-409C-BE32-E72D297353CC}">
              <c16:uniqueId val="{00000000-2ABC-437E-8479-660992196DFA}"/>
            </c:ext>
          </c:extLst>
        </c:ser>
        <c:dLbls>
          <c:showLegendKey val="0"/>
          <c:showVal val="0"/>
          <c:showCatName val="0"/>
          <c:showSerName val="0"/>
          <c:showPercent val="0"/>
          <c:showBubbleSize val="0"/>
        </c:dLbls>
        <c:gapWidth val="150"/>
        <c:axId val="29430615"/>
        <c:axId val="71563864"/>
      </c:barChart>
      <c:lineChart>
        <c:grouping val="standard"/>
        <c:varyColors val="0"/>
        <c:ser>
          <c:idx val="1"/>
          <c:order val="1"/>
          <c:tx>
            <c:strRef>
              <c:f>'Returns (Calc)'!$AK$2</c:f>
              <c:strCache>
                <c:ptCount val="1"/>
                <c:pt idx="0">
                  <c:v>HELO trend</c:v>
                </c:pt>
              </c:strCache>
            </c:strRef>
          </c:tx>
          <c:spPr>
            <a:ln w="201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45156</c:v>
                </c:pt>
                <c:pt idx="1">
                  <c:v>45163</c:v>
                </c:pt>
                <c:pt idx="2">
                  <c:v>45170</c:v>
                </c:pt>
                <c:pt idx="3">
                  <c:v>45177</c:v>
                </c:pt>
                <c:pt idx="4">
                  <c:v>45184</c:v>
                </c:pt>
                <c:pt idx="5">
                  <c:v>45191</c:v>
                </c:pt>
                <c:pt idx="6">
                  <c:v>45198</c:v>
                </c:pt>
                <c:pt idx="7">
                  <c:v>45205</c:v>
                </c:pt>
                <c:pt idx="8">
                  <c:v>45212</c:v>
                </c:pt>
                <c:pt idx="9">
                  <c:v>45219</c:v>
                </c:pt>
                <c:pt idx="10">
                  <c:v>45226</c:v>
                </c:pt>
                <c:pt idx="11">
                  <c:v>45233</c:v>
                </c:pt>
                <c:pt idx="12">
                  <c:v>45240</c:v>
                </c:pt>
                <c:pt idx="13">
                  <c:v>45247</c:v>
                </c:pt>
                <c:pt idx="14">
                  <c:v>45254</c:v>
                </c:pt>
                <c:pt idx="15">
                  <c:v>45261</c:v>
                </c:pt>
                <c:pt idx="16">
                  <c:v>45268</c:v>
                </c:pt>
                <c:pt idx="17">
                  <c:v>45275</c:v>
                </c:pt>
                <c:pt idx="18">
                  <c:v>45282</c:v>
                </c:pt>
                <c:pt idx="19">
                  <c:v>45289</c:v>
                </c:pt>
                <c:pt idx="20">
                  <c:v>45296</c:v>
                </c:pt>
                <c:pt idx="21">
                  <c:v>45303</c:v>
                </c:pt>
                <c:pt idx="22">
                  <c:v>45310</c:v>
                </c:pt>
                <c:pt idx="23">
                  <c:v>45317</c:v>
                </c:pt>
                <c:pt idx="24">
                  <c:v>45324</c:v>
                </c:pt>
                <c:pt idx="25">
                  <c:v>45331</c:v>
                </c:pt>
                <c:pt idx="26">
                  <c:v>45338</c:v>
                </c:pt>
                <c:pt idx="27">
                  <c:v>45345</c:v>
                </c:pt>
                <c:pt idx="28">
                  <c:v>45352</c:v>
                </c:pt>
                <c:pt idx="29">
                  <c:v>45359</c:v>
                </c:pt>
                <c:pt idx="30">
                  <c:v>45366</c:v>
                </c:pt>
                <c:pt idx="31">
                  <c:v>45373</c:v>
                </c:pt>
                <c:pt idx="32">
                  <c:v>45379</c:v>
                </c:pt>
                <c:pt idx="33">
                  <c:v>45387</c:v>
                </c:pt>
                <c:pt idx="34">
                  <c:v>45394</c:v>
                </c:pt>
                <c:pt idx="35">
                  <c:v>45401</c:v>
                </c:pt>
                <c:pt idx="36">
                  <c:v>45408</c:v>
                </c:pt>
                <c:pt idx="37">
                  <c:v>45415</c:v>
                </c:pt>
                <c:pt idx="38">
                  <c:v>45422</c:v>
                </c:pt>
                <c:pt idx="39">
                  <c:v>45429</c:v>
                </c:pt>
                <c:pt idx="40">
                  <c:v>45436</c:v>
                </c:pt>
                <c:pt idx="41">
                  <c:v>45443</c:v>
                </c:pt>
                <c:pt idx="42">
                  <c:v>45450</c:v>
                </c:pt>
                <c:pt idx="43">
                  <c:v>45457</c:v>
                </c:pt>
                <c:pt idx="44">
                  <c:v>45464</c:v>
                </c:pt>
                <c:pt idx="45">
                  <c:v>45471</c:v>
                </c:pt>
                <c:pt idx="46">
                  <c:v>45478</c:v>
                </c:pt>
                <c:pt idx="47">
                  <c:v>45485</c:v>
                </c:pt>
                <c:pt idx="48">
                  <c:v>45492</c:v>
                </c:pt>
                <c:pt idx="49">
                  <c:v>45499</c:v>
                </c:pt>
                <c:pt idx="50">
                  <c:v>45506</c:v>
                </c:pt>
                <c:pt idx="51">
                  <c:v>45513</c:v>
                </c:pt>
                <c:pt idx="52">
                  <c:v>45520</c:v>
                </c:pt>
                <c:pt idx="53">
                  <c:v>45527</c:v>
                </c:pt>
                <c:pt idx="54">
                  <c:v>45534</c:v>
                </c:pt>
                <c:pt idx="55">
                  <c:v>45541</c:v>
                </c:pt>
                <c:pt idx="56">
                  <c:v>45548</c:v>
                </c:pt>
                <c:pt idx="57">
                  <c:v>45555</c:v>
                </c:pt>
                <c:pt idx="58">
                  <c:v>45562</c:v>
                </c:pt>
                <c:pt idx="59">
                  <c:v>45569</c:v>
                </c:pt>
                <c:pt idx="60">
                  <c:v>45576</c:v>
                </c:pt>
                <c:pt idx="61">
                  <c:v>45583</c:v>
                </c:pt>
                <c:pt idx="62">
                  <c:v>45590</c:v>
                </c:pt>
                <c:pt idx="63">
                  <c:v>45597</c:v>
                </c:pt>
                <c:pt idx="64">
                  <c:v>45604</c:v>
                </c:pt>
                <c:pt idx="65">
                  <c:v>45611</c:v>
                </c:pt>
                <c:pt idx="66">
                  <c:v>45618</c:v>
                </c:pt>
                <c:pt idx="67">
                  <c:v>45625</c:v>
                </c:pt>
                <c:pt idx="68">
                  <c:v>45632</c:v>
                </c:pt>
                <c:pt idx="69">
                  <c:v>45639</c:v>
                </c:pt>
                <c:pt idx="70">
                  <c:v>45646</c:v>
                </c:pt>
                <c:pt idx="71">
                  <c:v>45653</c:v>
                </c:pt>
                <c:pt idx="72">
                  <c:v>45660</c:v>
                </c:pt>
                <c:pt idx="73">
                  <c:v>45667</c:v>
                </c:pt>
                <c:pt idx="74">
                  <c:v>45674</c:v>
                </c:pt>
                <c:pt idx="75">
                  <c:v>45681</c:v>
                </c:pt>
                <c:pt idx="76">
                  <c:v>45688</c:v>
                </c:pt>
                <c:pt idx="77">
                  <c:v>45695</c:v>
                </c:pt>
                <c:pt idx="78">
                  <c:v>45702</c:v>
                </c:pt>
                <c:pt idx="79">
                  <c:v>45709</c:v>
                </c:pt>
                <c:pt idx="80">
                  <c:v>45716</c:v>
                </c:pt>
                <c:pt idx="81">
                  <c:v>45723</c:v>
                </c:pt>
                <c:pt idx="82">
                  <c:v>45730</c:v>
                </c:pt>
                <c:pt idx="83">
                  <c:v>45737</c:v>
                </c:pt>
                <c:pt idx="84">
                  <c:v>45744</c:v>
                </c:pt>
                <c:pt idx="85">
                  <c:v>45751</c:v>
                </c:pt>
                <c:pt idx="86">
                  <c:v>45758</c:v>
                </c:pt>
                <c:pt idx="87">
                  <c:v>45764</c:v>
                </c:pt>
                <c:pt idx="88">
                  <c:v>45772</c:v>
                </c:pt>
                <c:pt idx="89">
                  <c:v>45779</c:v>
                </c:pt>
                <c:pt idx="90">
                  <c:v>45786</c:v>
                </c:pt>
                <c:pt idx="91">
                  <c:v>45793</c:v>
                </c:pt>
                <c:pt idx="92">
                  <c:v>45800</c:v>
                </c:pt>
                <c:pt idx="93">
                  <c:v>45807</c:v>
                </c:pt>
                <c:pt idx="94">
                  <c:v>45814</c:v>
                </c:pt>
                <c:pt idx="95">
                  <c:v>45821</c:v>
                </c:pt>
                <c:pt idx="96">
                  <c:v>45828</c:v>
                </c:pt>
                <c:pt idx="97">
                  <c:v>45835</c:v>
                </c:pt>
                <c:pt idx="98">
                  <c:v>45841</c:v>
                </c:pt>
                <c:pt idx="99">
                  <c:v>45849</c:v>
                </c:pt>
                <c:pt idx="100">
                  <c:v>45856</c:v>
                </c:pt>
                <c:pt idx="101">
                  <c:v>45863</c:v>
                </c:pt>
                <c:pt idx="102">
                  <c:v>45870</c:v>
                </c:pt>
                <c:pt idx="103">
                  <c:v>45877</c:v>
                </c:pt>
                <c:pt idx="104">
                  <c:v>45884</c:v>
                </c:pt>
                <c:pt idx="105">
                  <c:v>45891</c:v>
                </c:pt>
                <c:pt idx="106">
                  <c:v>45898</c:v>
                </c:pt>
                <c:pt idx="107">
                  <c:v>45905</c:v>
                </c:pt>
                <c:pt idx="108">
                  <c:v>45912</c:v>
                </c:pt>
                <c:pt idx="109">
                  <c:v>45919</c:v>
                </c:pt>
                <c:pt idx="110">
                  <c:v>45926</c:v>
                </c:pt>
                <c:pt idx="111">
                  <c:v>45933</c:v>
                </c:pt>
                <c:pt idx="112">
                  <c:v>45940</c:v>
                </c:pt>
                <c:pt idx="113">
                  <c:v>45947</c:v>
                </c:pt>
                <c:pt idx="114">
                  <c:v>45954</c:v>
                </c:pt>
                <c:pt idx="115">
                  <c:v>45961</c:v>
                </c:pt>
                <c:pt idx="116">
                  <c:v>45968</c:v>
                </c:pt>
                <c:pt idx="117">
                  <c:v>45975</c:v>
                </c:pt>
                <c:pt idx="118">
                  <c:v>45982</c:v>
                </c:pt>
                <c:pt idx="119">
                  <c:v>45989</c:v>
                </c:pt>
                <c:pt idx="120">
                  <c:v>45996</c:v>
                </c:pt>
                <c:pt idx="121">
                  <c:v>46003</c:v>
                </c:pt>
                <c:pt idx="122">
                  <c:v>46010</c:v>
                </c:pt>
                <c:pt idx="123">
                  <c:v>46017</c:v>
                </c:pt>
                <c:pt idx="124">
                  <c:v>46024</c:v>
                </c:pt>
                <c:pt idx="125">
                  <c:v>46031</c:v>
                </c:pt>
                <c:pt idx="126">
                  <c:v>46038</c:v>
                </c:pt>
                <c:pt idx="127">
                  <c:v>46045</c:v>
                </c:pt>
                <c:pt idx="128">
                  <c:v>46052</c:v>
                </c:pt>
                <c:pt idx="129">
                  <c:v>46059</c:v>
                </c:pt>
                <c:pt idx="130">
                  <c:v>46066</c:v>
                </c:pt>
                <c:pt idx="131">
                  <c:v>46073</c:v>
                </c:pt>
                <c:pt idx="132">
                  <c:v>46080</c:v>
                </c:pt>
                <c:pt idx="133">
                  <c:v>46087</c:v>
                </c:pt>
                <c:pt idx="134">
                  <c:v>46094</c:v>
                </c:pt>
                <c:pt idx="135">
                  <c:v>46101</c:v>
                </c:pt>
                <c:pt idx="136">
                  <c:v>46108</c:v>
                </c:pt>
                <c:pt idx="137">
                  <c:v>46114</c:v>
                </c:pt>
                <c:pt idx="138">
                  <c:v>46122</c:v>
                </c:pt>
                <c:pt idx="139">
                  <c:v>46129</c:v>
                </c:pt>
                <c:pt idx="140">
                  <c:v>46136</c:v>
                </c:pt>
                <c:pt idx="141">
                  <c:v>46143</c:v>
                </c:pt>
                <c:pt idx="142">
                  <c:v>46150</c:v>
                </c:pt>
                <c:pt idx="143">
                  <c:v>46157</c:v>
                </c:pt>
                <c:pt idx="144">
                  <c:v>46164</c:v>
                </c:pt>
                <c:pt idx="145">
                  <c:v>46171</c:v>
                </c:pt>
                <c:pt idx="146">
                  <c:v>46178</c:v>
                </c:pt>
                <c:pt idx="147">
                  <c:v>46185</c:v>
                </c:pt>
                <c:pt idx="148">
                  <c:v>46191</c:v>
                </c:pt>
                <c:pt idx="149">
                  <c:v>46199</c:v>
                </c:pt>
                <c:pt idx="150">
                  <c:v>46205</c:v>
                </c:pt>
                <c:pt idx="151">
                  <c:v>46213</c:v>
                </c:pt>
                <c:pt idx="152">
                  <c:v>46220</c:v>
                </c:pt>
                <c:pt idx="153">
                  <c:v>46227</c:v>
                </c:pt>
                <c:pt idx="154">
                  <c:v>46234</c:v>
                </c:pt>
                <c:pt idx="155">
                  <c:v>46241</c:v>
                </c:pt>
                <c:pt idx="156">
                  <c:v>46248</c:v>
                </c:pt>
                <c:pt idx="157">
                  <c:v>46255</c:v>
                </c:pt>
                <c:pt idx="158">
                  <c:v>46262</c:v>
                </c:pt>
                <c:pt idx="159">
                  <c:v>46269</c:v>
                </c:pt>
              </c:numCache>
            </c:numRef>
          </c:cat>
          <c:val>
            <c:numRef>
              <c:f>'Returns (Calc)'!$AK$3:$AK$500</c:f>
              <c:numCache>
                <c:formatCode>#,##0.00</c:formatCode>
                <c:ptCount val="498"/>
                <c:pt idx="0">
                  <c:v>49.84</c:v>
                </c:pt>
                <c:pt idx="1">
                  <c:v>49.526540880503148</c:v>
                </c:pt>
                <c:pt idx="2">
                  <c:v>49.213081761006293</c:v>
                </c:pt>
                <c:pt idx="3">
                  <c:v>48.899622641509438</c:v>
                </c:pt>
                <c:pt idx="4">
                  <c:v>48.586163522012583</c:v>
                </c:pt>
                <c:pt idx="5">
                  <c:v>48.272704402515728</c:v>
                </c:pt>
                <c:pt idx="6">
                  <c:v>47.959245283018873</c:v>
                </c:pt>
                <c:pt idx="7">
                  <c:v>47.645786163522018</c:v>
                </c:pt>
                <c:pt idx="8">
                  <c:v>47.332327044025163</c:v>
                </c:pt>
                <c:pt idx="9">
                  <c:v>47.018867924528308</c:v>
                </c:pt>
                <c:pt idx="10">
                  <c:v>46.705408805031453</c:v>
                </c:pt>
                <c:pt idx="11">
                  <c:v>46.391949685534598</c:v>
                </c:pt>
                <c:pt idx="12">
                  <c:v>46.078490566037736</c:v>
                </c:pt>
                <c:pt idx="13">
                  <c:v>45.765031446540881</c:v>
                </c:pt>
                <c:pt idx="14">
                  <c:v>45.451572327044026</c:v>
                </c:pt>
                <c:pt idx="15">
                  <c:v>45.138113207547171</c:v>
                </c:pt>
                <c:pt idx="16">
                  <c:v>44.824654088050316</c:v>
                </c:pt>
                <c:pt idx="17">
                  <c:v>44.511194968553461</c:v>
                </c:pt>
                <c:pt idx="18">
                  <c:v>44.197735849056606</c:v>
                </c:pt>
                <c:pt idx="19">
                  <c:v>43.884276729559751</c:v>
                </c:pt>
                <c:pt idx="20">
                  <c:v>43.570817610062896</c:v>
                </c:pt>
                <c:pt idx="21">
                  <c:v>43.257358490566041</c:v>
                </c:pt>
                <c:pt idx="22">
                  <c:v>42.943899371069186</c:v>
                </c:pt>
                <c:pt idx="23">
                  <c:v>42.630440251572331</c:v>
                </c:pt>
                <c:pt idx="24">
                  <c:v>42.316981132075476</c:v>
                </c:pt>
                <c:pt idx="25">
                  <c:v>42.003522012578621</c:v>
                </c:pt>
                <c:pt idx="26">
                  <c:v>41.690062893081766</c:v>
                </c:pt>
                <c:pt idx="27">
                  <c:v>41.376603773584911</c:v>
                </c:pt>
                <c:pt idx="28">
                  <c:v>41.063144654088056</c:v>
                </c:pt>
                <c:pt idx="29">
                  <c:v>40.749685534591194</c:v>
                </c:pt>
                <c:pt idx="30">
                  <c:v>40.436226415094339</c:v>
                </c:pt>
                <c:pt idx="31">
                  <c:v>40.122767295597484</c:v>
                </c:pt>
                <c:pt idx="32">
                  <c:v>39.809308176100629</c:v>
                </c:pt>
                <c:pt idx="33">
                  <c:v>39.495849056603774</c:v>
                </c:pt>
                <c:pt idx="34">
                  <c:v>39.182389937106919</c:v>
                </c:pt>
                <c:pt idx="35">
                  <c:v>38.868930817610064</c:v>
                </c:pt>
                <c:pt idx="36">
                  <c:v>38.555471698113209</c:v>
                </c:pt>
                <c:pt idx="37">
                  <c:v>38.242012578616354</c:v>
                </c:pt>
                <c:pt idx="38">
                  <c:v>37.928553459119499</c:v>
                </c:pt>
                <c:pt idx="39">
                  <c:v>37.615094339622644</c:v>
                </c:pt>
                <c:pt idx="40">
                  <c:v>37.301635220125789</c:v>
                </c:pt>
                <c:pt idx="41">
                  <c:v>36.988176100628934</c:v>
                </c:pt>
                <c:pt idx="42">
                  <c:v>36.674716981132079</c:v>
                </c:pt>
                <c:pt idx="43">
                  <c:v>36.361257861635224</c:v>
                </c:pt>
                <c:pt idx="44">
                  <c:v>36.047798742138369</c:v>
                </c:pt>
                <c:pt idx="45">
                  <c:v>35.734339622641514</c:v>
                </c:pt>
                <c:pt idx="46">
                  <c:v>35.420880503144659</c:v>
                </c:pt>
                <c:pt idx="47">
                  <c:v>35.107421383647804</c:v>
                </c:pt>
                <c:pt idx="48">
                  <c:v>34.793962264150949</c:v>
                </c:pt>
                <c:pt idx="49">
                  <c:v>34.480503144654094</c:v>
                </c:pt>
                <c:pt idx="50">
                  <c:v>34.167044025157239</c:v>
                </c:pt>
                <c:pt idx="51">
                  <c:v>33.853584905660384</c:v>
                </c:pt>
                <c:pt idx="52">
                  <c:v>33.540125786163529</c:v>
                </c:pt>
                <c:pt idx="53">
                  <c:v>33.226666666666674</c:v>
                </c:pt>
                <c:pt idx="54">
                  <c:v>32.913207547169819</c:v>
                </c:pt>
                <c:pt idx="55">
                  <c:v>32.599748427672957</c:v>
                </c:pt>
                <c:pt idx="56">
                  <c:v>32.286289308176109</c:v>
                </c:pt>
                <c:pt idx="57">
                  <c:v>31.972830188679247</c:v>
                </c:pt>
                <c:pt idx="58">
                  <c:v>31.659371069182392</c:v>
                </c:pt>
                <c:pt idx="59">
                  <c:v>31.345911949685537</c:v>
                </c:pt>
                <c:pt idx="60">
                  <c:v>31.032452830188682</c:v>
                </c:pt>
                <c:pt idx="61">
                  <c:v>30.718993710691826</c:v>
                </c:pt>
                <c:pt idx="62">
                  <c:v>30.405534591194968</c:v>
                </c:pt>
                <c:pt idx="63">
                  <c:v>30.092075471698116</c:v>
                </c:pt>
                <c:pt idx="64">
                  <c:v>29.778616352201261</c:v>
                </c:pt>
                <c:pt idx="65">
                  <c:v>29.465157232704403</c:v>
                </c:pt>
                <c:pt idx="66">
                  <c:v>29.151698113207551</c:v>
                </c:pt>
                <c:pt idx="67">
                  <c:v>28.838238993710693</c:v>
                </c:pt>
                <c:pt idx="68">
                  <c:v>28.524779874213838</c:v>
                </c:pt>
                <c:pt idx="69">
                  <c:v>28.211320754716983</c:v>
                </c:pt>
                <c:pt idx="70">
                  <c:v>27.897861635220128</c:v>
                </c:pt>
                <c:pt idx="71">
                  <c:v>27.584402515723273</c:v>
                </c:pt>
                <c:pt idx="72">
                  <c:v>27.270943396226414</c:v>
                </c:pt>
                <c:pt idx="73">
                  <c:v>26.957484276729563</c:v>
                </c:pt>
                <c:pt idx="74">
                  <c:v>26.644025157232704</c:v>
                </c:pt>
                <c:pt idx="75">
                  <c:v>26.330566037735849</c:v>
                </c:pt>
                <c:pt idx="76">
                  <c:v>26.017106918238998</c:v>
                </c:pt>
                <c:pt idx="77">
                  <c:v>25.703647798742139</c:v>
                </c:pt>
                <c:pt idx="78">
                  <c:v>25.390188679245284</c:v>
                </c:pt>
                <c:pt idx="79">
                  <c:v>25.076729559748429</c:v>
                </c:pt>
                <c:pt idx="80">
                  <c:v>24.763270440251574</c:v>
                </c:pt>
                <c:pt idx="81">
                  <c:v>24.449811320754719</c:v>
                </c:pt>
                <c:pt idx="82">
                  <c:v>24.136352201257864</c:v>
                </c:pt>
                <c:pt idx="83">
                  <c:v>23.822893081761009</c:v>
                </c:pt>
                <c:pt idx="84">
                  <c:v>23.509433962264151</c:v>
                </c:pt>
                <c:pt idx="85">
                  <c:v>23.195974842767296</c:v>
                </c:pt>
                <c:pt idx="86">
                  <c:v>22.882515723270441</c:v>
                </c:pt>
                <c:pt idx="87">
                  <c:v>22.569056603773589</c:v>
                </c:pt>
                <c:pt idx="88">
                  <c:v>22.255597484276734</c:v>
                </c:pt>
                <c:pt idx="89">
                  <c:v>21.942138364779876</c:v>
                </c:pt>
                <c:pt idx="90">
                  <c:v>21.628679245283021</c:v>
                </c:pt>
                <c:pt idx="91">
                  <c:v>21.315220125786162</c:v>
                </c:pt>
                <c:pt idx="92">
                  <c:v>21.001761006289307</c:v>
                </c:pt>
                <c:pt idx="93">
                  <c:v>20.688301886792456</c:v>
                </c:pt>
                <c:pt idx="94">
                  <c:v>20.374842767295601</c:v>
                </c:pt>
                <c:pt idx="95">
                  <c:v>20.061383647798745</c:v>
                </c:pt>
                <c:pt idx="96">
                  <c:v>19.747924528301887</c:v>
                </c:pt>
                <c:pt idx="97">
                  <c:v>19.434465408805032</c:v>
                </c:pt>
                <c:pt idx="98">
                  <c:v>19.121006289308177</c:v>
                </c:pt>
                <c:pt idx="99">
                  <c:v>18.807547169811318</c:v>
                </c:pt>
                <c:pt idx="100">
                  <c:v>18.49408805031447</c:v>
                </c:pt>
                <c:pt idx="101">
                  <c:v>18.180628930817612</c:v>
                </c:pt>
                <c:pt idx="102">
                  <c:v>17.867169811320757</c:v>
                </c:pt>
                <c:pt idx="103">
                  <c:v>17.553710691823902</c:v>
                </c:pt>
                <c:pt idx="104">
                  <c:v>17.240251572327047</c:v>
                </c:pt>
                <c:pt idx="105">
                  <c:v>16.926792452830185</c:v>
                </c:pt>
                <c:pt idx="106">
                  <c:v>16.613333333333337</c:v>
                </c:pt>
                <c:pt idx="107">
                  <c:v>16.299874213836482</c:v>
                </c:pt>
                <c:pt idx="108">
                  <c:v>15.986415094339627</c:v>
                </c:pt>
                <c:pt idx="109">
                  <c:v>15.672955974842765</c:v>
                </c:pt>
                <c:pt idx="110">
                  <c:v>15.35949685534591</c:v>
                </c:pt>
                <c:pt idx="111">
                  <c:v>15.046037735849055</c:v>
                </c:pt>
                <c:pt idx="112">
                  <c:v>14.732578616352207</c:v>
                </c:pt>
                <c:pt idx="113">
                  <c:v>14.419119496855352</c:v>
                </c:pt>
                <c:pt idx="114">
                  <c:v>14.10566037735849</c:v>
                </c:pt>
                <c:pt idx="115">
                  <c:v>13.792201257861635</c:v>
                </c:pt>
                <c:pt idx="116">
                  <c:v>13.47874213836478</c:v>
                </c:pt>
                <c:pt idx="117">
                  <c:v>13.165283018867925</c:v>
                </c:pt>
                <c:pt idx="118">
                  <c:v>12.85182389937107</c:v>
                </c:pt>
                <c:pt idx="119">
                  <c:v>12.538364779874215</c:v>
                </c:pt>
                <c:pt idx="120">
                  <c:v>12.22490566037736</c:v>
                </c:pt>
                <c:pt idx="121">
                  <c:v>11.911446540880505</c:v>
                </c:pt>
                <c:pt idx="122">
                  <c:v>11.59798742138365</c:v>
                </c:pt>
                <c:pt idx="123">
                  <c:v>11.284528301886795</c:v>
                </c:pt>
                <c:pt idx="124">
                  <c:v>10.971069182389932</c:v>
                </c:pt>
                <c:pt idx="125">
                  <c:v>10.657610062893085</c:v>
                </c:pt>
                <c:pt idx="126">
                  <c:v>10.34415094339623</c:v>
                </c:pt>
                <c:pt idx="127">
                  <c:v>10.030691823899375</c:v>
                </c:pt>
                <c:pt idx="128">
                  <c:v>9.7172327044025195</c:v>
                </c:pt>
                <c:pt idx="129">
                  <c:v>9.4037735849056574</c:v>
                </c:pt>
                <c:pt idx="130">
                  <c:v>9.0903144654088024</c:v>
                </c:pt>
                <c:pt idx="131">
                  <c:v>8.7768553459119474</c:v>
                </c:pt>
                <c:pt idx="132">
                  <c:v>8.4633962264150995</c:v>
                </c:pt>
                <c:pt idx="133">
                  <c:v>8.1499371069182374</c:v>
                </c:pt>
                <c:pt idx="134">
                  <c:v>7.8364779874213824</c:v>
                </c:pt>
                <c:pt idx="135">
                  <c:v>7.5230188679245273</c:v>
                </c:pt>
                <c:pt idx="136">
                  <c:v>7.2095597484276723</c:v>
                </c:pt>
                <c:pt idx="137">
                  <c:v>6.8961006289308173</c:v>
                </c:pt>
                <c:pt idx="138">
                  <c:v>6.5826415094339623</c:v>
                </c:pt>
                <c:pt idx="139">
                  <c:v>6.2691823899371073</c:v>
                </c:pt>
                <c:pt idx="140">
                  <c:v>5.9557232704402523</c:v>
                </c:pt>
                <c:pt idx="141">
                  <c:v>5.6422641509433973</c:v>
                </c:pt>
                <c:pt idx="142">
                  <c:v>5.3288050314465423</c:v>
                </c:pt>
                <c:pt idx="143">
                  <c:v>5.0153459119496873</c:v>
                </c:pt>
                <c:pt idx="144">
                  <c:v>4.7018867924528251</c:v>
                </c:pt>
                <c:pt idx="145">
                  <c:v>4.3884276729559772</c:v>
                </c:pt>
                <c:pt idx="146">
                  <c:v>4.0749685534591222</c:v>
                </c:pt>
                <c:pt idx="147">
                  <c:v>3.7615094339622672</c:v>
                </c:pt>
                <c:pt idx="148">
                  <c:v>3.4480503144654051</c:v>
                </c:pt>
                <c:pt idx="149">
                  <c:v>3.1345911949685501</c:v>
                </c:pt>
                <c:pt idx="150">
                  <c:v>2.8211320754716951</c:v>
                </c:pt>
                <c:pt idx="151">
                  <c:v>2.5076729559748472</c:v>
                </c:pt>
                <c:pt idx="152">
                  <c:v>2.1942138364779922</c:v>
                </c:pt>
                <c:pt idx="153">
                  <c:v>1.8807547169811301</c:v>
                </c:pt>
                <c:pt idx="154">
                  <c:v>1.567295597484275</c:v>
                </c:pt>
                <c:pt idx="155">
                  <c:v>1.25383647798742</c:v>
                </c:pt>
                <c:pt idx="156">
                  <c:v>0.94037735849056503</c:v>
                </c:pt>
                <c:pt idx="157">
                  <c:v>0.62691823899371002</c:v>
                </c:pt>
                <c:pt idx="158">
                  <c:v>0.31345911949685501</c:v>
                </c:pt>
                <c:pt idx="159">
                  <c:v>0</c:v>
                </c:pt>
              </c:numCache>
            </c:numRef>
          </c:val>
          <c:smooth val="0"/>
          <c:extLst>
            <c:ext xmlns:c16="http://schemas.microsoft.com/office/drawing/2014/chart" uri="{C3380CC4-5D6E-409C-BE32-E72D297353CC}">
              <c16:uniqueId val="{00000001-2ABC-437E-8479-660992196DFA}"/>
            </c:ext>
          </c:extLst>
        </c:ser>
        <c:dLbls>
          <c:showLegendKey val="0"/>
          <c:showVal val="0"/>
          <c:showCatName val="0"/>
          <c:showSerName val="0"/>
          <c:showPercent val="0"/>
          <c:showBubbleSize val="0"/>
        </c:dLbls>
        <c:hiLowLines>
          <c:spPr>
            <a:ln w="0">
              <a:noFill/>
            </a:ln>
          </c:spPr>
        </c:hiLowLines>
        <c:marker val="1"/>
        <c:smooth val="0"/>
        <c:axId val="22790438"/>
        <c:axId val="95750959"/>
      </c:lineChart>
      <c:dateAx>
        <c:axId val="29430615"/>
        <c:scaling>
          <c:orientation val="minMax"/>
        </c:scaling>
        <c:delete val="1"/>
        <c:axPos val="b"/>
        <c:numFmt formatCode="mm/dd/yyyy" sourceLinked="1"/>
        <c:majorTickMark val="none"/>
        <c:minorTickMark val="none"/>
        <c:tickLblPos val="nextTo"/>
        <c:crossAx val="71563864"/>
        <c:crosses val="autoZero"/>
        <c:auto val="1"/>
        <c:lblOffset val="100"/>
        <c:baseTimeUnit val="days"/>
      </c:dateAx>
      <c:valAx>
        <c:axId val="71563864"/>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29430615"/>
        <c:crosses val="autoZero"/>
        <c:crossBetween val="between"/>
      </c:valAx>
      <c:dateAx>
        <c:axId val="22790438"/>
        <c:scaling>
          <c:orientation val="minMax"/>
        </c:scaling>
        <c:delete val="1"/>
        <c:axPos val="b"/>
        <c:numFmt formatCode="mm/dd/yyyy" sourceLinked="1"/>
        <c:majorTickMark val="none"/>
        <c:minorTickMark val="none"/>
        <c:tickLblPos val="nextTo"/>
        <c:crossAx val="95750959"/>
        <c:crosses val="autoZero"/>
        <c:auto val="1"/>
        <c:lblOffset val="100"/>
        <c:baseTimeUnit val="days"/>
      </c:dateAx>
      <c:valAx>
        <c:axId val="95750959"/>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22790438"/>
        <c:crosses val="max"/>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JEPQ</a:t>
            </a:r>
          </a:p>
        </c:rich>
      </c:tx>
      <c:overlay val="0"/>
      <c:spPr>
        <a:noFill/>
        <a:ln w="0">
          <a:noFill/>
        </a:ln>
      </c:spPr>
    </c:title>
    <c:autoTitleDeleted val="0"/>
    <c:plotArea>
      <c:layout/>
      <c:barChart>
        <c:barDir val="col"/>
        <c:grouping val="clustered"/>
        <c:varyColors val="0"/>
        <c:ser>
          <c:idx val="0"/>
          <c:order val="0"/>
          <c:tx>
            <c:strRef>
              <c:f>'Returns (Calc)'!$R$2</c:f>
              <c:strCache>
                <c:ptCount val="1"/>
                <c:pt idx="0">
                  <c:v>JEPQ</c:v>
                </c:pt>
              </c:strCache>
            </c:strRef>
          </c:tx>
          <c:spPr>
            <a:solidFill>
              <a:srgbClr val="4F81BD"/>
            </a:solidFill>
            <a:ln w="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45156</c:v>
                </c:pt>
                <c:pt idx="1">
                  <c:v>45163</c:v>
                </c:pt>
                <c:pt idx="2">
                  <c:v>45170</c:v>
                </c:pt>
                <c:pt idx="3">
                  <c:v>45177</c:v>
                </c:pt>
                <c:pt idx="4">
                  <c:v>45184</c:v>
                </c:pt>
                <c:pt idx="5">
                  <c:v>45191</c:v>
                </c:pt>
                <c:pt idx="6">
                  <c:v>45198</c:v>
                </c:pt>
                <c:pt idx="7">
                  <c:v>45205</c:v>
                </c:pt>
                <c:pt idx="8">
                  <c:v>45212</c:v>
                </c:pt>
                <c:pt idx="9">
                  <c:v>45219</c:v>
                </c:pt>
                <c:pt idx="10">
                  <c:v>45226</c:v>
                </c:pt>
                <c:pt idx="11">
                  <c:v>45233</c:v>
                </c:pt>
                <c:pt idx="12">
                  <c:v>45240</c:v>
                </c:pt>
                <c:pt idx="13">
                  <c:v>45247</c:v>
                </c:pt>
                <c:pt idx="14">
                  <c:v>45254</c:v>
                </c:pt>
                <c:pt idx="15">
                  <c:v>45261</c:v>
                </c:pt>
                <c:pt idx="16">
                  <c:v>45268</c:v>
                </c:pt>
                <c:pt idx="17">
                  <c:v>45275</c:v>
                </c:pt>
                <c:pt idx="18">
                  <c:v>45282</c:v>
                </c:pt>
                <c:pt idx="19">
                  <c:v>45289</c:v>
                </c:pt>
                <c:pt idx="20">
                  <c:v>45296</c:v>
                </c:pt>
                <c:pt idx="21">
                  <c:v>45303</c:v>
                </c:pt>
                <c:pt idx="22">
                  <c:v>45310</c:v>
                </c:pt>
                <c:pt idx="23">
                  <c:v>45317</c:v>
                </c:pt>
                <c:pt idx="24">
                  <c:v>45324</c:v>
                </c:pt>
                <c:pt idx="25">
                  <c:v>45331</c:v>
                </c:pt>
                <c:pt idx="26">
                  <c:v>45338</c:v>
                </c:pt>
                <c:pt idx="27">
                  <c:v>45345</c:v>
                </c:pt>
                <c:pt idx="28">
                  <c:v>45352</c:v>
                </c:pt>
                <c:pt idx="29">
                  <c:v>45359</c:v>
                </c:pt>
                <c:pt idx="30">
                  <c:v>45366</c:v>
                </c:pt>
                <c:pt idx="31">
                  <c:v>45373</c:v>
                </c:pt>
                <c:pt idx="32">
                  <c:v>45379</c:v>
                </c:pt>
                <c:pt idx="33">
                  <c:v>45387</c:v>
                </c:pt>
                <c:pt idx="34">
                  <c:v>45394</c:v>
                </c:pt>
                <c:pt idx="35">
                  <c:v>45401</c:v>
                </c:pt>
                <c:pt idx="36">
                  <c:v>45408</c:v>
                </c:pt>
                <c:pt idx="37">
                  <c:v>45415</c:v>
                </c:pt>
                <c:pt idx="38">
                  <c:v>45422</c:v>
                </c:pt>
                <c:pt idx="39">
                  <c:v>45429</c:v>
                </c:pt>
                <c:pt idx="40">
                  <c:v>45436</c:v>
                </c:pt>
                <c:pt idx="41">
                  <c:v>45443</c:v>
                </c:pt>
                <c:pt idx="42">
                  <c:v>45450</c:v>
                </c:pt>
                <c:pt idx="43">
                  <c:v>45457</c:v>
                </c:pt>
                <c:pt idx="44">
                  <c:v>45464</c:v>
                </c:pt>
                <c:pt idx="45">
                  <c:v>45471</c:v>
                </c:pt>
                <c:pt idx="46">
                  <c:v>45478</c:v>
                </c:pt>
                <c:pt idx="47">
                  <c:v>45485</c:v>
                </c:pt>
                <c:pt idx="48">
                  <c:v>45492</c:v>
                </c:pt>
                <c:pt idx="49">
                  <c:v>45499</c:v>
                </c:pt>
                <c:pt idx="50">
                  <c:v>45506</c:v>
                </c:pt>
                <c:pt idx="51">
                  <c:v>45513</c:v>
                </c:pt>
                <c:pt idx="52">
                  <c:v>45520</c:v>
                </c:pt>
                <c:pt idx="53">
                  <c:v>45527</c:v>
                </c:pt>
                <c:pt idx="54">
                  <c:v>45534</c:v>
                </c:pt>
                <c:pt idx="55">
                  <c:v>45541</c:v>
                </c:pt>
                <c:pt idx="56">
                  <c:v>45548</c:v>
                </c:pt>
                <c:pt idx="57">
                  <c:v>45555</c:v>
                </c:pt>
                <c:pt idx="58">
                  <c:v>45562</c:v>
                </c:pt>
                <c:pt idx="59">
                  <c:v>45569</c:v>
                </c:pt>
                <c:pt idx="60">
                  <c:v>45576</c:v>
                </c:pt>
                <c:pt idx="61">
                  <c:v>45583</c:v>
                </c:pt>
                <c:pt idx="62">
                  <c:v>45590</c:v>
                </c:pt>
                <c:pt idx="63">
                  <c:v>45597</c:v>
                </c:pt>
                <c:pt idx="64">
                  <c:v>45604</c:v>
                </c:pt>
                <c:pt idx="65">
                  <c:v>45611</c:v>
                </c:pt>
                <c:pt idx="66">
                  <c:v>45618</c:v>
                </c:pt>
                <c:pt idx="67">
                  <c:v>45625</c:v>
                </c:pt>
                <c:pt idx="68">
                  <c:v>45632</c:v>
                </c:pt>
                <c:pt idx="69">
                  <c:v>45639</c:v>
                </c:pt>
                <c:pt idx="70">
                  <c:v>45646</c:v>
                </c:pt>
                <c:pt idx="71">
                  <c:v>45653</c:v>
                </c:pt>
                <c:pt idx="72">
                  <c:v>45660</c:v>
                </c:pt>
                <c:pt idx="73">
                  <c:v>45667</c:v>
                </c:pt>
                <c:pt idx="74">
                  <c:v>45674</c:v>
                </c:pt>
                <c:pt idx="75">
                  <c:v>45681</c:v>
                </c:pt>
                <c:pt idx="76">
                  <c:v>45688</c:v>
                </c:pt>
                <c:pt idx="77">
                  <c:v>45695</c:v>
                </c:pt>
                <c:pt idx="78">
                  <c:v>45702</c:v>
                </c:pt>
                <c:pt idx="79">
                  <c:v>45709</c:v>
                </c:pt>
                <c:pt idx="80">
                  <c:v>45716</c:v>
                </c:pt>
                <c:pt idx="81">
                  <c:v>45723</c:v>
                </c:pt>
                <c:pt idx="82">
                  <c:v>45730</c:v>
                </c:pt>
                <c:pt idx="83">
                  <c:v>45737</c:v>
                </c:pt>
                <c:pt idx="84">
                  <c:v>45744</c:v>
                </c:pt>
                <c:pt idx="85">
                  <c:v>45751</c:v>
                </c:pt>
                <c:pt idx="86">
                  <c:v>45758</c:v>
                </c:pt>
                <c:pt idx="87">
                  <c:v>45764</c:v>
                </c:pt>
                <c:pt idx="88">
                  <c:v>45772</c:v>
                </c:pt>
                <c:pt idx="89">
                  <c:v>45779</c:v>
                </c:pt>
                <c:pt idx="90">
                  <c:v>45786</c:v>
                </c:pt>
                <c:pt idx="91">
                  <c:v>45793</c:v>
                </c:pt>
                <c:pt idx="92">
                  <c:v>45800</c:v>
                </c:pt>
                <c:pt idx="93">
                  <c:v>45807</c:v>
                </c:pt>
                <c:pt idx="94">
                  <c:v>45814</c:v>
                </c:pt>
                <c:pt idx="95">
                  <c:v>45821</c:v>
                </c:pt>
                <c:pt idx="96">
                  <c:v>45828</c:v>
                </c:pt>
                <c:pt idx="97">
                  <c:v>45835</c:v>
                </c:pt>
                <c:pt idx="98">
                  <c:v>45841</c:v>
                </c:pt>
                <c:pt idx="99">
                  <c:v>45849</c:v>
                </c:pt>
                <c:pt idx="100">
                  <c:v>45856</c:v>
                </c:pt>
                <c:pt idx="101">
                  <c:v>45863</c:v>
                </c:pt>
                <c:pt idx="102">
                  <c:v>45870</c:v>
                </c:pt>
                <c:pt idx="103">
                  <c:v>45877</c:v>
                </c:pt>
                <c:pt idx="104">
                  <c:v>45884</c:v>
                </c:pt>
                <c:pt idx="105">
                  <c:v>45891</c:v>
                </c:pt>
                <c:pt idx="106">
                  <c:v>45898</c:v>
                </c:pt>
                <c:pt idx="107">
                  <c:v>45905</c:v>
                </c:pt>
                <c:pt idx="108">
                  <c:v>45912</c:v>
                </c:pt>
                <c:pt idx="109">
                  <c:v>45919</c:v>
                </c:pt>
                <c:pt idx="110">
                  <c:v>45926</c:v>
                </c:pt>
                <c:pt idx="111">
                  <c:v>45933</c:v>
                </c:pt>
                <c:pt idx="112">
                  <c:v>45940</c:v>
                </c:pt>
                <c:pt idx="113">
                  <c:v>45947</c:v>
                </c:pt>
                <c:pt idx="114">
                  <c:v>45954</c:v>
                </c:pt>
                <c:pt idx="115">
                  <c:v>45961</c:v>
                </c:pt>
                <c:pt idx="116">
                  <c:v>45968</c:v>
                </c:pt>
                <c:pt idx="117">
                  <c:v>45975</c:v>
                </c:pt>
                <c:pt idx="118">
                  <c:v>45982</c:v>
                </c:pt>
                <c:pt idx="119">
                  <c:v>45989</c:v>
                </c:pt>
                <c:pt idx="120">
                  <c:v>45996</c:v>
                </c:pt>
                <c:pt idx="121">
                  <c:v>46003</c:v>
                </c:pt>
                <c:pt idx="122">
                  <c:v>46010</c:v>
                </c:pt>
                <c:pt idx="123">
                  <c:v>46017</c:v>
                </c:pt>
                <c:pt idx="124">
                  <c:v>46024</c:v>
                </c:pt>
                <c:pt idx="125">
                  <c:v>46031</c:v>
                </c:pt>
                <c:pt idx="126">
                  <c:v>46038</c:v>
                </c:pt>
                <c:pt idx="127">
                  <c:v>46045</c:v>
                </c:pt>
                <c:pt idx="128">
                  <c:v>46052</c:v>
                </c:pt>
                <c:pt idx="129">
                  <c:v>46059</c:v>
                </c:pt>
                <c:pt idx="130">
                  <c:v>46066</c:v>
                </c:pt>
                <c:pt idx="131">
                  <c:v>46073</c:v>
                </c:pt>
                <c:pt idx="132">
                  <c:v>46080</c:v>
                </c:pt>
                <c:pt idx="133">
                  <c:v>46087</c:v>
                </c:pt>
                <c:pt idx="134">
                  <c:v>46094</c:v>
                </c:pt>
                <c:pt idx="135">
                  <c:v>46101</c:v>
                </c:pt>
                <c:pt idx="136">
                  <c:v>46108</c:v>
                </c:pt>
                <c:pt idx="137">
                  <c:v>46114</c:v>
                </c:pt>
                <c:pt idx="138">
                  <c:v>46122</c:v>
                </c:pt>
                <c:pt idx="139">
                  <c:v>46129</c:v>
                </c:pt>
                <c:pt idx="140">
                  <c:v>46136</c:v>
                </c:pt>
                <c:pt idx="141">
                  <c:v>46143</c:v>
                </c:pt>
                <c:pt idx="142">
                  <c:v>46150</c:v>
                </c:pt>
                <c:pt idx="143">
                  <c:v>46157</c:v>
                </c:pt>
                <c:pt idx="144">
                  <c:v>46164</c:v>
                </c:pt>
                <c:pt idx="145">
                  <c:v>46171</c:v>
                </c:pt>
                <c:pt idx="146">
                  <c:v>46178</c:v>
                </c:pt>
                <c:pt idx="147">
                  <c:v>46185</c:v>
                </c:pt>
                <c:pt idx="148">
                  <c:v>46191</c:v>
                </c:pt>
                <c:pt idx="149">
                  <c:v>46199</c:v>
                </c:pt>
                <c:pt idx="150">
                  <c:v>46205</c:v>
                </c:pt>
                <c:pt idx="151">
                  <c:v>46213</c:v>
                </c:pt>
                <c:pt idx="152">
                  <c:v>46220</c:v>
                </c:pt>
                <c:pt idx="153">
                  <c:v>46227</c:v>
                </c:pt>
                <c:pt idx="154">
                  <c:v>46234</c:v>
                </c:pt>
                <c:pt idx="155">
                  <c:v>46241</c:v>
                </c:pt>
                <c:pt idx="156">
                  <c:v>46248</c:v>
                </c:pt>
                <c:pt idx="157">
                  <c:v>46255</c:v>
                </c:pt>
                <c:pt idx="158">
                  <c:v>46262</c:v>
                </c:pt>
                <c:pt idx="159">
                  <c:v>46269</c:v>
                </c:pt>
              </c:numCache>
            </c:numRef>
          </c:cat>
          <c:val>
            <c:numRef>
              <c:f>'Returns (Calc)'!$R$3:$R$500</c:f>
              <c:numCache>
                <c:formatCode>0.0%</c:formatCode>
                <c:ptCount val="498"/>
                <c:pt idx="0">
                  <c:v>-1.8611459640317851E-2</c:v>
                </c:pt>
                <c:pt idx="1">
                  <c:v>1.5981248668229364E-2</c:v>
                </c:pt>
                <c:pt idx="2">
                  <c:v>1.8246644295301984E-2</c:v>
                </c:pt>
                <c:pt idx="3">
                  <c:v>-6.5911431513903107E-3</c:v>
                </c:pt>
                <c:pt idx="4">
                  <c:v>-4.1467965996255796E-4</c:v>
                </c:pt>
                <c:pt idx="5">
                  <c:v>-2.6965359883841633E-2</c:v>
                </c:pt>
                <c:pt idx="6">
                  <c:v>4.2634832658294819E-4</c:v>
                </c:pt>
                <c:pt idx="7">
                  <c:v>4.2616663115278008E-3</c:v>
                </c:pt>
                <c:pt idx="8">
                  <c:v>2.7583280288563383E-3</c:v>
                </c:pt>
                <c:pt idx="9">
                  <c:v>-1.9889970376639865E-2</c:v>
                </c:pt>
                <c:pt idx="10">
                  <c:v>-2.0725388601036343E-2</c:v>
                </c:pt>
                <c:pt idx="11">
                  <c:v>4.7619047619047672E-2</c:v>
                </c:pt>
                <c:pt idx="12">
                  <c:v>2.0833333333333259E-2</c:v>
                </c:pt>
                <c:pt idx="13">
                  <c:v>9.482580911152283E-3</c:v>
                </c:pt>
                <c:pt idx="14">
                  <c:v>5.3093730855624521E-3</c:v>
                </c:pt>
                <c:pt idx="15">
                  <c:v>-6.7032297379646666E-3</c:v>
                </c:pt>
                <c:pt idx="16">
                  <c:v>7.3619631901840066E-3</c:v>
                </c:pt>
                <c:pt idx="17">
                  <c:v>1.5022330491270885E-2</c:v>
                </c:pt>
                <c:pt idx="18">
                  <c:v>3.1999999999998696E-3</c:v>
                </c:pt>
                <c:pt idx="19">
                  <c:v>-4.5853269537479147E-3</c:v>
                </c:pt>
                <c:pt idx="20">
                  <c:v>-1.562187061886644E-2</c:v>
                </c:pt>
                <c:pt idx="21">
                  <c:v>2.7263479145473113E-2</c:v>
                </c:pt>
                <c:pt idx="22">
                  <c:v>1.7825311942958999E-2</c:v>
                </c:pt>
                <c:pt idx="23">
                  <c:v>7.7836154893948795E-3</c:v>
                </c:pt>
                <c:pt idx="24">
                  <c:v>2.8963120293492572E-3</c:v>
                </c:pt>
                <c:pt idx="25">
                  <c:v>1.0589141316904138E-2</c:v>
                </c:pt>
                <c:pt idx="26">
                  <c:v>-3.2387121356449722E-3</c:v>
                </c:pt>
                <c:pt idx="27">
                  <c:v>1.261467889908241E-2</c:v>
                </c:pt>
                <c:pt idx="28">
                  <c:v>5.2850132125330518E-3</c:v>
                </c:pt>
                <c:pt idx="29">
                  <c:v>-1.3143071723620281E-3</c:v>
                </c:pt>
                <c:pt idx="30">
                  <c:v>-5.2641473961271279E-3</c:v>
                </c:pt>
                <c:pt idx="31">
                  <c:v>2.5515025515025602E-2</c:v>
                </c:pt>
                <c:pt idx="32">
                  <c:v>-3.6859565057123511E-4</c:v>
                </c:pt>
                <c:pt idx="33">
                  <c:v>-1.1983775811209463E-2</c:v>
                </c:pt>
                <c:pt idx="34">
                  <c:v>-3.5454375816384998E-3</c:v>
                </c:pt>
                <c:pt idx="35">
                  <c:v>-4.7940074906366981E-2</c:v>
                </c:pt>
                <c:pt idx="36">
                  <c:v>3.5798583792289396E-2</c:v>
                </c:pt>
                <c:pt idx="37">
                  <c:v>1.7090770983669845E-3</c:v>
                </c:pt>
                <c:pt idx="38">
                  <c:v>1.3838862559241605E-2</c:v>
                </c:pt>
                <c:pt idx="39">
                  <c:v>1.1967090501121991E-2</c:v>
                </c:pt>
                <c:pt idx="40">
                  <c:v>4.8041389504804854E-3</c:v>
                </c:pt>
                <c:pt idx="41">
                  <c:v>-3.4939315924973346E-3</c:v>
                </c:pt>
                <c:pt idx="42">
                  <c:v>5.5360767669312416E-3</c:v>
                </c:pt>
                <c:pt idx="43">
                  <c:v>1.2662873921820417E-2</c:v>
                </c:pt>
                <c:pt idx="44">
                  <c:v>1.0873504893078589E-3</c:v>
                </c:pt>
                <c:pt idx="45">
                  <c:v>4.706734250543132E-3</c:v>
                </c:pt>
                <c:pt idx="46">
                  <c:v>6.846846846846999E-3</c:v>
                </c:pt>
                <c:pt idx="47">
                  <c:v>-7.158196134573469E-4</c:v>
                </c:pt>
                <c:pt idx="48">
                  <c:v>-2.9548710601719264E-2</c:v>
                </c:pt>
                <c:pt idx="49">
                  <c:v>-2.2697914744417735E-2</c:v>
                </c:pt>
                <c:pt idx="50">
                  <c:v>-3.4365558912386684E-2</c:v>
                </c:pt>
                <c:pt idx="51">
                  <c:v>2.9331247555728357E-3</c:v>
                </c:pt>
                <c:pt idx="52">
                  <c:v>4.2113472411776209E-2</c:v>
                </c:pt>
                <c:pt idx="53">
                  <c:v>8.4190832553787676E-3</c:v>
                </c:pt>
                <c:pt idx="54">
                  <c:v>3.3395176252319914E-3</c:v>
                </c:pt>
                <c:pt idx="55">
                  <c:v>-5.0295857988165715E-2</c:v>
                </c:pt>
                <c:pt idx="56">
                  <c:v>4.6534267912772487E-2</c:v>
                </c:pt>
                <c:pt idx="57">
                  <c:v>1.2279069767441753E-2</c:v>
                </c:pt>
                <c:pt idx="58">
                  <c:v>7.1678000367578765E-3</c:v>
                </c:pt>
                <c:pt idx="59">
                  <c:v>-7.8467153284671465E-3</c:v>
                </c:pt>
                <c:pt idx="60">
                  <c:v>9.0123229722274267E-3</c:v>
                </c:pt>
                <c:pt idx="61">
                  <c:v>7.4735690849434544E-3</c:v>
                </c:pt>
                <c:pt idx="62">
                  <c:v>2.3520897412701025E-3</c:v>
                </c:pt>
                <c:pt idx="63">
                  <c:v>-1.7328519855595692E-2</c:v>
                </c:pt>
                <c:pt idx="64">
                  <c:v>3.8574577516532038E-2</c:v>
                </c:pt>
                <c:pt idx="65">
                  <c:v>-1.6448532012734329E-2</c:v>
                </c:pt>
                <c:pt idx="66">
                  <c:v>1.7263082179464151E-2</c:v>
                </c:pt>
                <c:pt idx="67">
                  <c:v>9.1921513169526126E-3</c:v>
                </c:pt>
                <c:pt idx="68">
                  <c:v>9.2835873182692819E-3</c:v>
                </c:pt>
                <c:pt idx="69">
                  <c:v>3.9916695591808438E-3</c:v>
                </c:pt>
                <c:pt idx="70">
                  <c:v>-1.1235955056179803E-2</c:v>
                </c:pt>
                <c:pt idx="71">
                  <c:v>9.4405594405593263E-3</c:v>
                </c:pt>
                <c:pt idx="72">
                  <c:v>-1.1430550744717771E-2</c:v>
                </c:pt>
                <c:pt idx="73">
                  <c:v>-1.927119831814994E-2</c:v>
                </c:pt>
                <c:pt idx="74">
                  <c:v>2.3043944265809246E-2</c:v>
                </c:pt>
                <c:pt idx="75">
                  <c:v>1.396891915488041E-2</c:v>
                </c:pt>
                <c:pt idx="76">
                  <c:v>-1.0332357499569511E-2</c:v>
                </c:pt>
                <c:pt idx="77">
                  <c:v>-5.2201148425264909E-3</c:v>
                </c:pt>
                <c:pt idx="78">
                  <c:v>1.92408605912191E-2</c:v>
                </c:pt>
                <c:pt idx="79">
                  <c:v>-1.2013042732109236E-2</c:v>
                </c:pt>
                <c:pt idx="80">
                  <c:v>-2.7618551328817187E-2</c:v>
                </c:pt>
                <c:pt idx="81">
                  <c:v>-3.9657020364415874E-2</c:v>
                </c:pt>
                <c:pt idx="82">
                  <c:v>-2.1391369047619069E-2</c:v>
                </c:pt>
                <c:pt idx="83">
                  <c:v>3.6114807070899424E-3</c:v>
                </c:pt>
                <c:pt idx="84">
                  <c:v>-1.8749999999999933E-2</c:v>
                </c:pt>
                <c:pt idx="85">
                  <c:v>-0.10055973750241265</c:v>
                </c:pt>
                <c:pt idx="86">
                  <c:v>6.3090128755364683E-2</c:v>
                </c:pt>
                <c:pt idx="87">
                  <c:v>-1.614856681469512E-2</c:v>
                </c:pt>
                <c:pt idx="88">
                  <c:v>4.8215018465326276E-2</c:v>
                </c:pt>
                <c:pt idx="89">
                  <c:v>7.8293208064199593E-3</c:v>
                </c:pt>
                <c:pt idx="90">
                  <c:v>2.7189745581666092E-3</c:v>
                </c:pt>
                <c:pt idx="91">
                  <c:v>1.7238039899283297E-2</c:v>
                </c:pt>
                <c:pt idx="92">
                  <c:v>-9.1393754760091817E-3</c:v>
                </c:pt>
                <c:pt idx="93">
                  <c:v>1.1337432744043197E-2</c:v>
                </c:pt>
                <c:pt idx="94">
                  <c:v>1.3300399011970665E-3</c:v>
                </c:pt>
                <c:pt idx="95">
                  <c:v>-2.0872865275142205E-3</c:v>
                </c:pt>
                <c:pt idx="96">
                  <c:v>3.0424034987639459E-3</c:v>
                </c:pt>
                <c:pt idx="97">
                  <c:v>2.8815165876777238E-2</c:v>
                </c:pt>
                <c:pt idx="98">
                  <c:v>-2.026902524415064E-3</c:v>
                </c:pt>
                <c:pt idx="99">
                  <c:v>3.6927621861153614E-3</c:v>
                </c:pt>
                <c:pt idx="100">
                  <c:v>6.070640176600417E-3</c:v>
                </c:pt>
                <c:pt idx="101">
                  <c:v>7.1311025781679582E-3</c:v>
                </c:pt>
                <c:pt idx="102">
                  <c:v>-2.3057371096586676E-2</c:v>
                </c:pt>
                <c:pt idx="103">
                  <c:v>2.8061698569039173E-2</c:v>
                </c:pt>
                <c:pt idx="104">
                  <c:v>8.6767895878523404E-3</c:v>
                </c:pt>
                <c:pt idx="105">
                  <c:v>-2.3297491039425688E-3</c:v>
                </c:pt>
                <c:pt idx="106">
                  <c:v>1.7962996227760542E-4</c:v>
                </c:pt>
                <c:pt idx="107">
                  <c:v>1.7959770114943652E-3</c:v>
                </c:pt>
                <c:pt idx="108">
                  <c:v>1.3624955181068543E-2</c:v>
                </c:pt>
                <c:pt idx="109">
                  <c:v>1.0965688008489627E-2</c:v>
                </c:pt>
                <c:pt idx="110">
                  <c:v>1.5745276417076237E-3</c:v>
                </c:pt>
                <c:pt idx="111">
                  <c:v>5.2401746724894949E-4</c:v>
                </c:pt>
                <c:pt idx="112">
                  <c:v>-1.6585195530726349E-2</c:v>
                </c:pt>
                <c:pt idx="113">
                  <c:v>2.0415409195810419E-2</c:v>
                </c:pt>
                <c:pt idx="114">
                  <c:v>1.8615170494084898E-2</c:v>
                </c:pt>
                <c:pt idx="115">
                  <c:v>9.3936806148591234E-3</c:v>
                </c:pt>
                <c:pt idx="116">
                  <c:v>-2.3519458544839278E-2</c:v>
                </c:pt>
                <c:pt idx="117">
                  <c:v>1.906082134812026E-3</c:v>
                </c:pt>
                <c:pt idx="118">
                  <c:v>-2.7326184711172541E-2</c:v>
                </c:pt>
                <c:pt idx="119">
                  <c:v>4.5697012802276005E-2</c:v>
                </c:pt>
                <c:pt idx="120">
                  <c:v>1.7003910899493491E-4</c:v>
                </c:pt>
                <c:pt idx="121">
                  <c:v>-1.0880652839170391E-2</c:v>
                </c:pt>
                <c:pt idx="122">
                  <c:v>7.5627363355104116E-3</c:v>
                </c:pt>
                <c:pt idx="123">
                  <c:v>1.2282497441146401E-2</c:v>
                </c:pt>
                <c:pt idx="124">
                  <c:v>-2.1065048870913428E-2</c:v>
                </c:pt>
                <c:pt idx="125">
                  <c:v>1.8419693578929142E-2</c:v>
                </c:pt>
                <c:pt idx="126">
                  <c:v>-4.0567951318457585E-3</c:v>
                </c:pt>
                <c:pt idx="127">
                  <c:v>5.0916496945010437E-3</c:v>
                </c:pt>
                <c:pt idx="128">
                  <c:v>3.5460992907800915E-3</c:v>
                </c:pt>
                <c:pt idx="129">
                  <c:v>-2.3220595658758225E-2</c:v>
                </c:pt>
                <c:pt idx="130">
                  <c:v>-9.302325581395321E-3</c:v>
                </c:pt>
                <c:pt idx="131">
                  <c:v>1.1128499391410251E-2</c:v>
                </c:pt>
                <c:pt idx="132">
                  <c:v>-1.8916595012897774E-3</c:v>
                </c:pt>
                <c:pt idx="133">
                  <c:v>-2.0503101309441774E-2</c:v>
                </c:pt>
                <c:pt idx="134">
                  <c:v>-5.1011433597185629E-3</c:v>
                </c:pt>
                <c:pt idx="135">
                  <c:v>-1.4144271570014189E-2</c:v>
                </c:pt>
                <c:pt idx="136">
                  <c:v>-2.9232424677187896E-2</c:v>
                </c:pt>
                <c:pt idx="137">
                  <c:v>2.697210419360796E-2</c:v>
                </c:pt>
                <c:pt idx="138">
                  <c:v>3.6517359237272728E-2</c:v>
                </c:pt>
                <c:pt idx="139">
                  <c:v>1.8049288441513323E-2</c:v>
                </c:pt>
                <c:pt idx="140">
                  <c:v>5.6256392771907304E-3</c:v>
                </c:pt>
                <c:pt idx="141">
                  <c:v>-2.203763349720389E-3</c:v>
                </c:pt>
                <c:pt idx="142">
                  <c:v>1.2742099898063186E-2</c:v>
                </c:pt>
                <c:pt idx="143">
                  <c:v>2.6841134037913772E-3</c:v>
                </c:pt>
                <c:pt idx="144">
                  <c:v>7.3615526183703484E-3</c:v>
                </c:pt>
                <c:pt idx="145">
                  <c:v>1.5612024580634376E-2</c:v>
                </c:pt>
                <c:pt idx="146">
                  <c:v>-3.6794766966475878E-2</c:v>
                </c:pt>
                <c:pt idx="147">
                  <c:v>1.6298811544991576E-2</c:v>
                </c:pt>
                <c:pt idx="148">
                  <c:v>2.4724356832609429E-2</c:v>
                </c:pt>
                <c:pt idx="149">
                  <c:v>-3.1300945549396886E-2</c:v>
                </c:pt>
                <c:pt idx="150">
                  <c:v>-5.048805116122379E-4</c:v>
                </c:pt>
                <c:pt idx="151">
                  <c:v>1.8858393668967688E-2</c:v>
                </c:pt>
                <c:pt idx="152">
                  <c:v>-3.3052388035035518E-2</c:v>
                </c:pt>
                <c:pt idx="153">
                  <c:v>-9.4001025465731969E-3</c:v>
                </c:pt>
                <c:pt idx="154">
                  <c:v>5.003450655624464E-3</c:v>
                </c:pt>
                <c:pt idx="155">
                  <c:v>2.5579399141630876E-2</c:v>
                </c:pt>
                <c:pt idx="156">
                  <c:v>1.3223970539002261E-2</c:v>
                </c:pt>
                <c:pt idx="157">
                  <c:v>-1.1399306129192044E-2</c:v>
                </c:pt>
                <c:pt idx="158">
                  <c:v>-6.1831550802139423E-3</c:v>
                </c:pt>
                <c:pt idx="159">
                  <c:v>6.7260803766604482E-3</c:v>
                </c:pt>
              </c:numCache>
            </c:numRef>
          </c:val>
          <c:extLst>
            <c:ext xmlns:c16="http://schemas.microsoft.com/office/drawing/2014/chart" uri="{C3380CC4-5D6E-409C-BE32-E72D297353CC}">
              <c16:uniqueId val="{00000000-8B57-4EC8-9BC6-E4CDBB9F163A}"/>
            </c:ext>
          </c:extLst>
        </c:ser>
        <c:dLbls>
          <c:showLegendKey val="0"/>
          <c:showVal val="0"/>
          <c:showCatName val="0"/>
          <c:showSerName val="0"/>
          <c:showPercent val="0"/>
          <c:showBubbleSize val="0"/>
        </c:dLbls>
        <c:gapWidth val="150"/>
        <c:axId val="9423181"/>
        <c:axId val="33749254"/>
      </c:barChart>
      <c:lineChart>
        <c:grouping val="standard"/>
        <c:varyColors val="0"/>
        <c:ser>
          <c:idx val="1"/>
          <c:order val="1"/>
          <c:tx>
            <c:strRef>
              <c:f>'Returns (Calc)'!$AL$2</c:f>
              <c:strCache>
                <c:ptCount val="1"/>
                <c:pt idx="0">
                  <c:v>JEPQ trend</c:v>
                </c:pt>
              </c:strCache>
            </c:strRef>
          </c:tx>
          <c:spPr>
            <a:ln w="201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45156</c:v>
                </c:pt>
                <c:pt idx="1">
                  <c:v>45163</c:v>
                </c:pt>
                <c:pt idx="2">
                  <c:v>45170</c:v>
                </c:pt>
                <c:pt idx="3">
                  <c:v>45177</c:v>
                </c:pt>
                <c:pt idx="4">
                  <c:v>45184</c:v>
                </c:pt>
                <c:pt idx="5">
                  <c:v>45191</c:v>
                </c:pt>
                <c:pt idx="6">
                  <c:v>45198</c:v>
                </c:pt>
                <c:pt idx="7">
                  <c:v>45205</c:v>
                </c:pt>
                <c:pt idx="8">
                  <c:v>45212</c:v>
                </c:pt>
                <c:pt idx="9">
                  <c:v>45219</c:v>
                </c:pt>
                <c:pt idx="10">
                  <c:v>45226</c:v>
                </c:pt>
                <c:pt idx="11">
                  <c:v>45233</c:v>
                </c:pt>
                <c:pt idx="12">
                  <c:v>45240</c:v>
                </c:pt>
                <c:pt idx="13">
                  <c:v>45247</c:v>
                </c:pt>
                <c:pt idx="14">
                  <c:v>45254</c:v>
                </c:pt>
                <c:pt idx="15">
                  <c:v>45261</c:v>
                </c:pt>
                <c:pt idx="16">
                  <c:v>45268</c:v>
                </c:pt>
                <c:pt idx="17">
                  <c:v>45275</c:v>
                </c:pt>
                <c:pt idx="18">
                  <c:v>45282</c:v>
                </c:pt>
                <c:pt idx="19">
                  <c:v>45289</c:v>
                </c:pt>
                <c:pt idx="20">
                  <c:v>45296</c:v>
                </c:pt>
                <c:pt idx="21">
                  <c:v>45303</c:v>
                </c:pt>
                <c:pt idx="22">
                  <c:v>45310</c:v>
                </c:pt>
                <c:pt idx="23">
                  <c:v>45317</c:v>
                </c:pt>
                <c:pt idx="24">
                  <c:v>45324</c:v>
                </c:pt>
                <c:pt idx="25">
                  <c:v>45331</c:v>
                </c:pt>
                <c:pt idx="26">
                  <c:v>45338</c:v>
                </c:pt>
                <c:pt idx="27">
                  <c:v>45345</c:v>
                </c:pt>
                <c:pt idx="28">
                  <c:v>45352</c:v>
                </c:pt>
                <c:pt idx="29">
                  <c:v>45359</c:v>
                </c:pt>
                <c:pt idx="30">
                  <c:v>45366</c:v>
                </c:pt>
                <c:pt idx="31">
                  <c:v>45373</c:v>
                </c:pt>
                <c:pt idx="32">
                  <c:v>45379</c:v>
                </c:pt>
                <c:pt idx="33">
                  <c:v>45387</c:v>
                </c:pt>
                <c:pt idx="34">
                  <c:v>45394</c:v>
                </c:pt>
                <c:pt idx="35">
                  <c:v>45401</c:v>
                </c:pt>
                <c:pt idx="36">
                  <c:v>45408</c:v>
                </c:pt>
                <c:pt idx="37">
                  <c:v>45415</c:v>
                </c:pt>
                <c:pt idx="38">
                  <c:v>45422</c:v>
                </c:pt>
                <c:pt idx="39">
                  <c:v>45429</c:v>
                </c:pt>
                <c:pt idx="40">
                  <c:v>45436</c:v>
                </c:pt>
                <c:pt idx="41">
                  <c:v>45443</c:v>
                </c:pt>
                <c:pt idx="42">
                  <c:v>45450</c:v>
                </c:pt>
                <c:pt idx="43">
                  <c:v>45457</c:v>
                </c:pt>
                <c:pt idx="44">
                  <c:v>45464</c:v>
                </c:pt>
                <c:pt idx="45">
                  <c:v>45471</c:v>
                </c:pt>
                <c:pt idx="46">
                  <c:v>45478</c:v>
                </c:pt>
                <c:pt idx="47">
                  <c:v>45485</c:v>
                </c:pt>
                <c:pt idx="48">
                  <c:v>45492</c:v>
                </c:pt>
                <c:pt idx="49">
                  <c:v>45499</c:v>
                </c:pt>
                <c:pt idx="50">
                  <c:v>45506</c:v>
                </c:pt>
                <c:pt idx="51">
                  <c:v>45513</c:v>
                </c:pt>
                <c:pt idx="52">
                  <c:v>45520</c:v>
                </c:pt>
                <c:pt idx="53">
                  <c:v>45527</c:v>
                </c:pt>
                <c:pt idx="54">
                  <c:v>45534</c:v>
                </c:pt>
                <c:pt idx="55">
                  <c:v>45541</c:v>
                </c:pt>
                <c:pt idx="56">
                  <c:v>45548</c:v>
                </c:pt>
                <c:pt idx="57">
                  <c:v>45555</c:v>
                </c:pt>
                <c:pt idx="58">
                  <c:v>45562</c:v>
                </c:pt>
                <c:pt idx="59">
                  <c:v>45569</c:v>
                </c:pt>
                <c:pt idx="60">
                  <c:v>45576</c:v>
                </c:pt>
                <c:pt idx="61">
                  <c:v>45583</c:v>
                </c:pt>
                <c:pt idx="62">
                  <c:v>45590</c:v>
                </c:pt>
                <c:pt idx="63">
                  <c:v>45597</c:v>
                </c:pt>
                <c:pt idx="64">
                  <c:v>45604</c:v>
                </c:pt>
                <c:pt idx="65">
                  <c:v>45611</c:v>
                </c:pt>
                <c:pt idx="66">
                  <c:v>45618</c:v>
                </c:pt>
                <c:pt idx="67">
                  <c:v>45625</c:v>
                </c:pt>
                <c:pt idx="68">
                  <c:v>45632</c:v>
                </c:pt>
                <c:pt idx="69">
                  <c:v>45639</c:v>
                </c:pt>
                <c:pt idx="70">
                  <c:v>45646</c:v>
                </c:pt>
                <c:pt idx="71">
                  <c:v>45653</c:v>
                </c:pt>
                <c:pt idx="72">
                  <c:v>45660</c:v>
                </c:pt>
                <c:pt idx="73">
                  <c:v>45667</c:v>
                </c:pt>
                <c:pt idx="74">
                  <c:v>45674</c:v>
                </c:pt>
                <c:pt idx="75">
                  <c:v>45681</c:v>
                </c:pt>
                <c:pt idx="76">
                  <c:v>45688</c:v>
                </c:pt>
                <c:pt idx="77">
                  <c:v>45695</c:v>
                </c:pt>
                <c:pt idx="78">
                  <c:v>45702</c:v>
                </c:pt>
                <c:pt idx="79">
                  <c:v>45709</c:v>
                </c:pt>
                <c:pt idx="80">
                  <c:v>45716</c:v>
                </c:pt>
                <c:pt idx="81">
                  <c:v>45723</c:v>
                </c:pt>
                <c:pt idx="82">
                  <c:v>45730</c:v>
                </c:pt>
                <c:pt idx="83">
                  <c:v>45737</c:v>
                </c:pt>
                <c:pt idx="84">
                  <c:v>45744</c:v>
                </c:pt>
                <c:pt idx="85">
                  <c:v>45751</c:v>
                </c:pt>
                <c:pt idx="86">
                  <c:v>45758</c:v>
                </c:pt>
                <c:pt idx="87">
                  <c:v>45764</c:v>
                </c:pt>
                <c:pt idx="88">
                  <c:v>45772</c:v>
                </c:pt>
                <c:pt idx="89">
                  <c:v>45779</c:v>
                </c:pt>
                <c:pt idx="90">
                  <c:v>45786</c:v>
                </c:pt>
                <c:pt idx="91">
                  <c:v>45793</c:v>
                </c:pt>
                <c:pt idx="92">
                  <c:v>45800</c:v>
                </c:pt>
                <c:pt idx="93">
                  <c:v>45807</c:v>
                </c:pt>
                <c:pt idx="94">
                  <c:v>45814</c:v>
                </c:pt>
                <c:pt idx="95">
                  <c:v>45821</c:v>
                </c:pt>
                <c:pt idx="96">
                  <c:v>45828</c:v>
                </c:pt>
                <c:pt idx="97">
                  <c:v>45835</c:v>
                </c:pt>
                <c:pt idx="98">
                  <c:v>45841</c:v>
                </c:pt>
                <c:pt idx="99">
                  <c:v>45849</c:v>
                </c:pt>
                <c:pt idx="100">
                  <c:v>45856</c:v>
                </c:pt>
                <c:pt idx="101">
                  <c:v>45863</c:v>
                </c:pt>
                <c:pt idx="102">
                  <c:v>45870</c:v>
                </c:pt>
                <c:pt idx="103">
                  <c:v>45877</c:v>
                </c:pt>
                <c:pt idx="104">
                  <c:v>45884</c:v>
                </c:pt>
                <c:pt idx="105">
                  <c:v>45891</c:v>
                </c:pt>
                <c:pt idx="106">
                  <c:v>45898</c:v>
                </c:pt>
                <c:pt idx="107">
                  <c:v>45905</c:v>
                </c:pt>
                <c:pt idx="108">
                  <c:v>45912</c:v>
                </c:pt>
                <c:pt idx="109">
                  <c:v>45919</c:v>
                </c:pt>
                <c:pt idx="110">
                  <c:v>45926</c:v>
                </c:pt>
                <c:pt idx="111">
                  <c:v>45933</c:v>
                </c:pt>
                <c:pt idx="112">
                  <c:v>45940</c:v>
                </c:pt>
                <c:pt idx="113">
                  <c:v>45947</c:v>
                </c:pt>
                <c:pt idx="114">
                  <c:v>45954</c:v>
                </c:pt>
                <c:pt idx="115">
                  <c:v>45961</c:v>
                </c:pt>
                <c:pt idx="116">
                  <c:v>45968</c:v>
                </c:pt>
                <c:pt idx="117">
                  <c:v>45975</c:v>
                </c:pt>
                <c:pt idx="118">
                  <c:v>45982</c:v>
                </c:pt>
                <c:pt idx="119">
                  <c:v>45989</c:v>
                </c:pt>
                <c:pt idx="120">
                  <c:v>45996</c:v>
                </c:pt>
                <c:pt idx="121">
                  <c:v>46003</c:v>
                </c:pt>
                <c:pt idx="122">
                  <c:v>46010</c:v>
                </c:pt>
                <c:pt idx="123">
                  <c:v>46017</c:v>
                </c:pt>
                <c:pt idx="124">
                  <c:v>46024</c:v>
                </c:pt>
                <c:pt idx="125">
                  <c:v>46031</c:v>
                </c:pt>
                <c:pt idx="126">
                  <c:v>46038</c:v>
                </c:pt>
                <c:pt idx="127">
                  <c:v>46045</c:v>
                </c:pt>
                <c:pt idx="128">
                  <c:v>46052</c:v>
                </c:pt>
                <c:pt idx="129">
                  <c:v>46059</c:v>
                </c:pt>
                <c:pt idx="130">
                  <c:v>46066</c:v>
                </c:pt>
                <c:pt idx="131">
                  <c:v>46073</c:v>
                </c:pt>
                <c:pt idx="132">
                  <c:v>46080</c:v>
                </c:pt>
                <c:pt idx="133">
                  <c:v>46087</c:v>
                </c:pt>
                <c:pt idx="134">
                  <c:v>46094</c:v>
                </c:pt>
                <c:pt idx="135">
                  <c:v>46101</c:v>
                </c:pt>
                <c:pt idx="136">
                  <c:v>46108</c:v>
                </c:pt>
                <c:pt idx="137">
                  <c:v>46114</c:v>
                </c:pt>
                <c:pt idx="138">
                  <c:v>46122</c:v>
                </c:pt>
                <c:pt idx="139">
                  <c:v>46129</c:v>
                </c:pt>
                <c:pt idx="140">
                  <c:v>46136</c:v>
                </c:pt>
                <c:pt idx="141">
                  <c:v>46143</c:v>
                </c:pt>
                <c:pt idx="142">
                  <c:v>46150</c:v>
                </c:pt>
                <c:pt idx="143">
                  <c:v>46157</c:v>
                </c:pt>
                <c:pt idx="144">
                  <c:v>46164</c:v>
                </c:pt>
                <c:pt idx="145">
                  <c:v>46171</c:v>
                </c:pt>
                <c:pt idx="146">
                  <c:v>46178</c:v>
                </c:pt>
                <c:pt idx="147">
                  <c:v>46185</c:v>
                </c:pt>
                <c:pt idx="148">
                  <c:v>46191</c:v>
                </c:pt>
                <c:pt idx="149">
                  <c:v>46199</c:v>
                </c:pt>
                <c:pt idx="150">
                  <c:v>46205</c:v>
                </c:pt>
                <c:pt idx="151">
                  <c:v>46213</c:v>
                </c:pt>
                <c:pt idx="152">
                  <c:v>46220</c:v>
                </c:pt>
                <c:pt idx="153">
                  <c:v>46227</c:v>
                </c:pt>
                <c:pt idx="154">
                  <c:v>46234</c:v>
                </c:pt>
                <c:pt idx="155">
                  <c:v>46241</c:v>
                </c:pt>
                <c:pt idx="156">
                  <c:v>46248</c:v>
                </c:pt>
                <c:pt idx="157">
                  <c:v>46255</c:v>
                </c:pt>
                <c:pt idx="158">
                  <c:v>46262</c:v>
                </c:pt>
                <c:pt idx="159">
                  <c:v>46269</c:v>
                </c:pt>
              </c:numCache>
            </c:numRef>
          </c:cat>
          <c:val>
            <c:numRef>
              <c:f>'Returns (Calc)'!$AL$3:$AL$500</c:f>
              <c:numCache>
                <c:formatCode>#,##0.00</c:formatCode>
                <c:ptCount val="498"/>
                <c:pt idx="0">
                  <c:v>47.82</c:v>
                </c:pt>
                <c:pt idx="1">
                  <c:v>47.519245283018869</c:v>
                </c:pt>
                <c:pt idx="2">
                  <c:v>47.218490566037737</c:v>
                </c:pt>
                <c:pt idx="3">
                  <c:v>46.917735849056605</c:v>
                </c:pt>
                <c:pt idx="4">
                  <c:v>46.616981132075473</c:v>
                </c:pt>
                <c:pt idx="5">
                  <c:v>46.316226415094341</c:v>
                </c:pt>
                <c:pt idx="6">
                  <c:v>46.01547169811321</c:v>
                </c:pt>
                <c:pt idx="7">
                  <c:v>45.714716981132078</c:v>
                </c:pt>
                <c:pt idx="8">
                  <c:v>45.413962264150946</c:v>
                </c:pt>
                <c:pt idx="9">
                  <c:v>45.113207547169814</c:v>
                </c:pt>
                <c:pt idx="10">
                  <c:v>44.812452830188683</c:v>
                </c:pt>
                <c:pt idx="11">
                  <c:v>44.511698113207551</c:v>
                </c:pt>
                <c:pt idx="12">
                  <c:v>44.210943396226412</c:v>
                </c:pt>
                <c:pt idx="13">
                  <c:v>43.91018867924528</c:v>
                </c:pt>
                <c:pt idx="14">
                  <c:v>43.609433962264148</c:v>
                </c:pt>
                <c:pt idx="15">
                  <c:v>43.308679245283017</c:v>
                </c:pt>
                <c:pt idx="16">
                  <c:v>43.007924528301885</c:v>
                </c:pt>
                <c:pt idx="17">
                  <c:v>42.707169811320753</c:v>
                </c:pt>
                <c:pt idx="18">
                  <c:v>42.406415094339621</c:v>
                </c:pt>
                <c:pt idx="19">
                  <c:v>42.10566037735849</c:v>
                </c:pt>
                <c:pt idx="20">
                  <c:v>41.804905660377358</c:v>
                </c:pt>
                <c:pt idx="21">
                  <c:v>41.504150943396226</c:v>
                </c:pt>
                <c:pt idx="22">
                  <c:v>41.203396226415094</c:v>
                </c:pt>
                <c:pt idx="23">
                  <c:v>40.902641509433963</c:v>
                </c:pt>
                <c:pt idx="24">
                  <c:v>40.601886792452831</c:v>
                </c:pt>
                <c:pt idx="25">
                  <c:v>40.301132075471699</c:v>
                </c:pt>
                <c:pt idx="26">
                  <c:v>40.000377358490567</c:v>
                </c:pt>
                <c:pt idx="27">
                  <c:v>39.699622641509436</c:v>
                </c:pt>
                <c:pt idx="28">
                  <c:v>39.398867924528304</c:v>
                </c:pt>
                <c:pt idx="29">
                  <c:v>39.098113207547172</c:v>
                </c:pt>
                <c:pt idx="30">
                  <c:v>38.79735849056604</c:v>
                </c:pt>
                <c:pt idx="31">
                  <c:v>38.496603773584908</c:v>
                </c:pt>
                <c:pt idx="32">
                  <c:v>38.195849056603777</c:v>
                </c:pt>
                <c:pt idx="33">
                  <c:v>37.895094339622645</c:v>
                </c:pt>
                <c:pt idx="34">
                  <c:v>37.594339622641513</c:v>
                </c:pt>
                <c:pt idx="35">
                  <c:v>37.293584905660381</c:v>
                </c:pt>
                <c:pt idx="36">
                  <c:v>36.99283018867925</c:v>
                </c:pt>
                <c:pt idx="37">
                  <c:v>36.692075471698118</c:v>
                </c:pt>
                <c:pt idx="38">
                  <c:v>36.391320754716979</c:v>
                </c:pt>
                <c:pt idx="39">
                  <c:v>36.090566037735847</c:v>
                </c:pt>
                <c:pt idx="40">
                  <c:v>35.789811320754715</c:v>
                </c:pt>
                <c:pt idx="41">
                  <c:v>35.489056603773584</c:v>
                </c:pt>
                <c:pt idx="42">
                  <c:v>35.188301886792452</c:v>
                </c:pt>
                <c:pt idx="43">
                  <c:v>34.88754716981132</c:v>
                </c:pt>
                <c:pt idx="44">
                  <c:v>34.586792452830188</c:v>
                </c:pt>
                <c:pt idx="45">
                  <c:v>34.286037735849057</c:v>
                </c:pt>
                <c:pt idx="46">
                  <c:v>33.985283018867925</c:v>
                </c:pt>
                <c:pt idx="47">
                  <c:v>33.684528301886793</c:v>
                </c:pt>
                <c:pt idx="48">
                  <c:v>33.383773584905661</c:v>
                </c:pt>
                <c:pt idx="49">
                  <c:v>33.08301886792453</c:v>
                </c:pt>
                <c:pt idx="50">
                  <c:v>32.782264150943398</c:v>
                </c:pt>
                <c:pt idx="51">
                  <c:v>32.481509433962259</c:v>
                </c:pt>
                <c:pt idx="52">
                  <c:v>32.180754716981134</c:v>
                </c:pt>
                <c:pt idx="53">
                  <c:v>31.880000000000003</c:v>
                </c:pt>
                <c:pt idx="54">
                  <c:v>31.579245283018867</c:v>
                </c:pt>
                <c:pt idx="55">
                  <c:v>31.278490566037735</c:v>
                </c:pt>
                <c:pt idx="56">
                  <c:v>30.977735849056604</c:v>
                </c:pt>
                <c:pt idx="57">
                  <c:v>30.676981132075472</c:v>
                </c:pt>
                <c:pt idx="58">
                  <c:v>30.37622641509434</c:v>
                </c:pt>
                <c:pt idx="59">
                  <c:v>30.075471698113208</c:v>
                </c:pt>
                <c:pt idx="60">
                  <c:v>29.774716981132077</c:v>
                </c:pt>
                <c:pt idx="61">
                  <c:v>29.473962264150945</c:v>
                </c:pt>
                <c:pt idx="62">
                  <c:v>29.17320754716981</c:v>
                </c:pt>
                <c:pt idx="63">
                  <c:v>28.872452830188681</c:v>
                </c:pt>
                <c:pt idx="64">
                  <c:v>28.571698113207546</c:v>
                </c:pt>
                <c:pt idx="65">
                  <c:v>28.270943396226414</c:v>
                </c:pt>
                <c:pt idx="66">
                  <c:v>27.970188679245283</c:v>
                </c:pt>
                <c:pt idx="67">
                  <c:v>27.669433962264151</c:v>
                </c:pt>
                <c:pt idx="68">
                  <c:v>27.368679245283019</c:v>
                </c:pt>
                <c:pt idx="69">
                  <c:v>27.067924528301887</c:v>
                </c:pt>
                <c:pt idx="70">
                  <c:v>26.767169811320755</c:v>
                </c:pt>
                <c:pt idx="71">
                  <c:v>26.466415094339624</c:v>
                </c:pt>
                <c:pt idx="72">
                  <c:v>26.165660377358492</c:v>
                </c:pt>
                <c:pt idx="73">
                  <c:v>25.864905660377357</c:v>
                </c:pt>
                <c:pt idx="74">
                  <c:v>25.564150943396228</c:v>
                </c:pt>
                <c:pt idx="75">
                  <c:v>25.263396226415093</c:v>
                </c:pt>
                <c:pt idx="76">
                  <c:v>24.962641509433961</c:v>
                </c:pt>
                <c:pt idx="77">
                  <c:v>24.66188679245283</c:v>
                </c:pt>
                <c:pt idx="78">
                  <c:v>24.361132075471698</c:v>
                </c:pt>
                <c:pt idx="79">
                  <c:v>24.060377358490566</c:v>
                </c:pt>
                <c:pt idx="80">
                  <c:v>23.759622641509434</c:v>
                </c:pt>
                <c:pt idx="81">
                  <c:v>23.458867924528302</c:v>
                </c:pt>
                <c:pt idx="82">
                  <c:v>23.158113207547167</c:v>
                </c:pt>
                <c:pt idx="83">
                  <c:v>22.857358490566039</c:v>
                </c:pt>
                <c:pt idx="84">
                  <c:v>22.556603773584904</c:v>
                </c:pt>
                <c:pt idx="85">
                  <c:v>22.255849056603775</c:v>
                </c:pt>
                <c:pt idx="86">
                  <c:v>21.95509433962264</c:v>
                </c:pt>
                <c:pt idx="87">
                  <c:v>21.654339622641508</c:v>
                </c:pt>
                <c:pt idx="88">
                  <c:v>21.35358490566038</c:v>
                </c:pt>
                <c:pt idx="89">
                  <c:v>21.052830188679241</c:v>
                </c:pt>
                <c:pt idx="90">
                  <c:v>20.752075471698113</c:v>
                </c:pt>
                <c:pt idx="91">
                  <c:v>20.451320754716981</c:v>
                </c:pt>
                <c:pt idx="92">
                  <c:v>20.150566037735853</c:v>
                </c:pt>
                <c:pt idx="93">
                  <c:v>19.849811320754714</c:v>
                </c:pt>
                <c:pt idx="94">
                  <c:v>19.549056603773586</c:v>
                </c:pt>
                <c:pt idx="95">
                  <c:v>19.248301886792454</c:v>
                </c:pt>
                <c:pt idx="96">
                  <c:v>18.947547169811319</c:v>
                </c:pt>
                <c:pt idx="97">
                  <c:v>18.646792452830191</c:v>
                </c:pt>
                <c:pt idx="98">
                  <c:v>18.346037735849059</c:v>
                </c:pt>
                <c:pt idx="99">
                  <c:v>18.045283018867924</c:v>
                </c:pt>
                <c:pt idx="100">
                  <c:v>17.744528301886792</c:v>
                </c:pt>
                <c:pt idx="101">
                  <c:v>17.443773584905664</c:v>
                </c:pt>
                <c:pt idx="102">
                  <c:v>17.143018867924525</c:v>
                </c:pt>
                <c:pt idx="103">
                  <c:v>16.842264150943397</c:v>
                </c:pt>
                <c:pt idx="104">
                  <c:v>16.541509433962265</c:v>
                </c:pt>
                <c:pt idx="105">
                  <c:v>16.240754716981129</c:v>
                </c:pt>
                <c:pt idx="106">
                  <c:v>15.940000000000001</c:v>
                </c:pt>
                <c:pt idx="107">
                  <c:v>15.639245283018873</c:v>
                </c:pt>
                <c:pt idx="108">
                  <c:v>15.338490566037734</c:v>
                </c:pt>
                <c:pt idx="109">
                  <c:v>15.037735849056602</c:v>
                </c:pt>
                <c:pt idx="110">
                  <c:v>14.736981132075471</c:v>
                </c:pt>
                <c:pt idx="111">
                  <c:v>14.436226415094339</c:v>
                </c:pt>
                <c:pt idx="112">
                  <c:v>14.135471698113207</c:v>
                </c:pt>
                <c:pt idx="113">
                  <c:v>13.834716981132075</c:v>
                </c:pt>
                <c:pt idx="114">
                  <c:v>13.533962264150944</c:v>
                </c:pt>
                <c:pt idx="115">
                  <c:v>13.233207547169812</c:v>
                </c:pt>
                <c:pt idx="116">
                  <c:v>12.93245283018868</c:v>
                </c:pt>
                <c:pt idx="117">
                  <c:v>12.631698113207548</c:v>
                </c:pt>
                <c:pt idx="118">
                  <c:v>12.330943396226417</c:v>
                </c:pt>
                <c:pt idx="119">
                  <c:v>12.030188679245285</c:v>
                </c:pt>
                <c:pt idx="120">
                  <c:v>11.729433962264153</c:v>
                </c:pt>
                <c:pt idx="121">
                  <c:v>11.428679245283014</c:v>
                </c:pt>
                <c:pt idx="122">
                  <c:v>11.127924528301889</c:v>
                </c:pt>
                <c:pt idx="123">
                  <c:v>10.827169811320758</c:v>
                </c:pt>
                <c:pt idx="124">
                  <c:v>10.526415094339619</c:v>
                </c:pt>
                <c:pt idx="125">
                  <c:v>10.225660377358494</c:v>
                </c:pt>
                <c:pt idx="126">
                  <c:v>9.9249056603773624</c:v>
                </c:pt>
                <c:pt idx="127">
                  <c:v>9.6241509433962236</c:v>
                </c:pt>
                <c:pt idx="128">
                  <c:v>9.3233962264150918</c:v>
                </c:pt>
                <c:pt idx="129">
                  <c:v>9.0226415094339671</c:v>
                </c:pt>
                <c:pt idx="130">
                  <c:v>8.7218867924528283</c:v>
                </c:pt>
                <c:pt idx="131">
                  <c:v>8.4211320754716965</c:v>
                </c:pt>
                <c:pt idx="132">
                  <c:v>8.1203773584905647</c:v>
                </c:pt>
                <c:pt idx="133">
                  <c:v>7.819622641509433</c:v>
                </c:pt>
                <c:pt idx="134">
                  <c:v>7.5188679245283012</c:v>
                </c:pt>
                <c:pt idx="135">
                  <c:v>7.2181132075471695</c:v>
                </c:pt>
                <c:pt idx="136">
                  <c:v>6.9173584905660377</c:v>
                </c:pt>
                <c:pt idx="137">
                  <c:v>6.6166037735849059</c:v>
                </c:pt>
                <c:pt idx="138">
                  <c:v>6.3158490566037742</c:v>
                </c:pt>
                <c:pt idx="139">
                  <c:v>6.0150943396226353</c:v>
                </c:pt>
                <c:pt idx="140">
                  <c:v>5.7143396226415106</c:v>
                </c:pt>
                <c:pt idx="141">
                  <c:v>5.4135849056603789</c:v>
                </c:pt>
                <c:pt idx="142">
                  <c:v>5.1128301886792471</c:v>
                </c:pt>
                <c:pt idx="143">
                  <c:v>4.8120754716981153</c:v>
                </c:pt>
                <c:pt idx="144">
                  <c:v>4.5113207547169836</c:v>
                </c:pt>
                <c:pt idx="145">
                  <c:v>4.2105660377358518</c:v>
                </c:pt>
                <c:pt idx="146">
                  <c:v>3.9098113207547129</c:v>
                </c:pt>
                <c:pt idx="147">
                  <c:v>3.6090566037735883</c:v>
                </c:pt>
                <c:pt idx="148">
                  <c:v>3.3083018867924565</c:v>
                </c:pt>
                <c:pt idx="149">
                  <c:v>3.0075471698113176</c:v>
                </c:pt>
                <c:pt idx="150">
                  <c:v>2.7067924528301859</c:v>
                </c:pt>
                <c:pt idx="151">
                  <c:v>2.4060377358490612</c:v>
                </c:pt>
                <c:pt idx="152">
                  <c:v>2.1052830188679224</c:v>
                </c:pt>
                <c:pt idx="153">
                  <c:v>1.8045283018867906</c:v>
                </c:pt>
                <c:pt idx="154">
                  <c:v>1.5037735849056588</c:v>
                </c:pt>
                <c:pt idx="155">
                  <c:v>1.2030188679245271</c:v>
                </c:pt>
                <c:pt idx="156">
                  <c:v>0.90226415094339529</c:v>
                </c:pt>
                <c:pt idx="157">
                  <c:v>0.60150943396226353</c:v>
                </c:pt>
                <c:pt idx="158">
                  <c:v>0.30075471698113176</c:v>
                </c:pt>
                <c:pt idx="159">
                  <c:v>0</c:v>
                </c:pt>
              </c:numCache>
            </c:numRef>
          </c:val>
          <c:smooth val="0"/>
          <c:extLst>
            <c:ext xmlns:c16="http://schemas.microsoft.com/office/drawing/2014/chart" uri="{C3380CC4-5D6E-409C-BE32-E72D297353CC}">
              <c16:uniqueId val="{00000001-8B57-4EC8-9BC6-E4CDBB9F163A}"/>
            </c:ext>
          </c:extLst>
        </c:ser>
        <c:dLbls>
          <c:showLegendKey val="0"/>
          <c:showVal val="0"/>
          <c:showCatName val="0"/>
          <c:showSerName val="0"/>
          <c:showPercent val="0"/>
          <c:showBubbleSize val="0"/>
        </c:dLbls>
        <c:hiLowLines>
          <c:spPr>
            <a:ln w="0">
              <a:noFill/>
            </a:ln>
          </c:spPr>
        </c:hiLowLines>
        <c:marker val="1"/>
        <c:smooth val="0"/>
        <c:axId val="48808426"/>
        <c:axId val="72226938"/>
      </c:lineChart>
      <c:dateAx>
        <c:axId val="9423181"/>
        <c:scaling>
          <c:orientation val="minMax"/>
        </c:scaling>
        <c:delete val="1"/>
        <c:axPos val="b"/>
        <c:numFmt formatCode="mm/dd/yyyy" sourceLinked="1"/>
        <c:majorTickMark val="none"/>
        <c:minorTickMark val="none"/>
        <c:tickLblPos val="nextTo"/>
        <c:crossAx val="33749254"/>
        <c:crosses val="autoZero"/>
        <c:auto val="1"/>
        <c:lblOffset val="100"/>
        <c:baseTimeUnit val="days"/>
      </c:dateAx>
      <c:valAx>
        <c:axId val="33749254"/>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9423181"/>
        <c:crosses val="autoZero"/>
        <c:crossBetween val="between"/>
      </c:valAx>
      <c:dateAx>
        <c:axId val="48808426"/>
        <c:scaling>
          <c:orientation val="minMax"/>
        </c:scaling>
        <c:delete val="1"/>
        <c:axPos val="b"/>
        <c:numFmt formatCode="mm/dd/yyyy" sourceLinked="1"/>
        <c:majorTickMark val="none"/>
        <c:minorTickMark val="none"/>
        <c:tickLblPos val="nextTo"/>
        <c:crossAx val="72226938"/>
        <c:crosses val="autoZero"/>
        <c:auto val="1"/>
        <c:lblOffset val="100"/>
        <c:baseTimeUnit val="days"/>
      </c:dateAx>
      <c:valAx>
        <c:axId val="72226938"/>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48808426"/>
        <c:crosses val="max"/>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SPMO</a:t>
            </a:r>
          </a:p>
        </c:rich>
      </c:tx>
      <c:overlay val="0"/>
      <c:spPr>
        <a:noFill/>
        <a:ln w="0">
          <a:noFill/>
        </a:ln>
      </c:spPr>
    </c:title>
    <c:autoTitleDeleted val="0"/>
    <c:plotArea>
      <c:layout/>
      <c:barChart>
        <c:barDir val="col"/>
        <c:grouping val="clustered"/>
        <c:varyColors val="0"/>
        <c:ser>
          <c:idx val="0"/>
          <c:order val="0"/>
          <c:tx>
            <c:strRef>
              <c:f>'Returns (Calc)'!$S$2</c:f>
              <c:strCache>
                <c:ptCount val="1"/>
                <c:pt idx="0">
                  <c:v>SPMO</c:v>
                </c:pt>
              </c:strCache>
            </c:strRef>
          </c:tx>
          <c:spPr>
            <a:solidFill>
              <a:srgbClr val="4F81BD"/>
            </a:solidFill>
            <a:ln w="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45156</c:v>
                </c:pt>
                <c:pt idx="1">
                  <c:v>45163</c:v>
                </c:pt>
                <c:pt idx="2">
                  <c:v>45170</c:v>
                </c:pt>
                <c:pt idx="3">
                  <c:v>45177</c:v>
                </c:pt>
                <c:pt idx="4">
                  <c:v>45184</c:v>
                </c:pt>
                <c:pt idx="5">
                  <c:v>45191</c:v>
                </c:pt>
                <c:pt idx="6">
                  <c:v>45198</c:v>
                </c:pt>
                <c:pt idx="7">
                  <c:v>45205</c:v>
                </c:pt>
                <c:pt idx="8">
                  <c:v>45212</c:v>
                </c:pt>
                <c:pt idx="9">
                  <c:v>45219</c:v>
                </c:pt>
                <c:pt idx="10">
                  <c:v>45226</c:v>
                </c:pt>
                <c:pt idx="11">
                  <c:v>45233</c:v>
                </c:pt>
                <c:pt idx="12">
                  <c:v>45240</c:v>
                </c:pt>
                <c:pt idx="13">
                  <c:v>45247</c:v>
                </c:pt>
                <c:pt idx="14">
                  <c:v>45254</c:v>
                </c:pt>
                <c:pt idx="15">
                  <c:v>45261</c:v>
                </c:pt>
                <c:pt idx="16">
                  <c:v>45268</c:v>
                </c:pt>
                <c:pt idx="17">
                  <c:v>45275</c:v>
                </c:pt>
                <c:pt idx="18">
                  <c:v>45282</c:v>
                </c:pt>
                <c:pt idx="19">
                  <c:v>45289</c:v>
                </c:pt>
                <c:pt idx="20">
                  <c:v>45296</c:v>
                </c:pt>
                <c:pt idx="21">
                  <c:v>45303</c:v>
                </c:pt>
                <c:pt idx="22">
                  <c:v>45310</c:v>
                </c:pt>
                <c:pt idx="23">
                  <c:v>45317</c:v>
                </c:pt>
                <c:pt idx="24">
                  <c:v>45324</c:v>
                </c:pt>
                <c:pt idx="25">
                  <c:v>45331</c:v>
                </c:pt>
                <c:pt idx="26">
                  <c:v>45338</c:v>
                </c:pt>
                <c:pt idx="27">
                  <c:v>45345</c:v>
                </c:pt>
                <c:pt idx="28">
                  <c:v>45352</c:v>
                </c:pt>
                <c:pt idx="29">
                  <c:v>45359</c:v>
                </c:pt>
                <c:pt idx="30">
                  <c:v>45366</c:v>
                </c:pt>
                <c:pt idx="31">
                  <c:v>45373</c:v>
                </c:pt>
                <c:pt idx="32">
                  <c:v>45379</c:v>
                </c:pt>
                <c:pt idx="33">
                  <c:v>45387</c:v>
                </c:pt>
                <c:pt idx="34">
                  <c:v>45394</c:v>
                </c:pt>
                <c:pt idx="35">
                  <c:v>45401</c:v>
                </c:pt>
                <c:pt idx="36">
                  <c:v>45408</c:v>
                </c:pt>
                <c:pt idx="37">
                  <c:v>45415</c:v>
                </c:pt>
                <c:pt idx="38">
                  <c:v>45422</c:v>
                </c:pt>
                <c:pt idx="39">
                  <c:v>45429</c:v>
                </c:pt>
                <c:pt idx="40">
                  <c:v>45436</c:v>
                </c:pt>
                <c:pt idx="41">
                  <c:v>45443</c:v>
                </c:pt>
                <c:pt idx="42">
                  <c:v>45450</c:v>
                </c:pt>
                <c:pt idx="43">
                  <c:v>45457</c:v>
                </c:pt>
                <c:pt idx="44">
                  <c:v>45464</c:v>
                </c:pt>
                <c:pt idx="45">
                  <c:v>45471</c:v>
                </c:pt>
                <c:pt idx="46">
                  <c:v>45478</c:v>
                </c:pt>
                <c:pt idx="47">
                  <c:v>45485</c:v>
                </c:pt>
                <c:pt idx="48">
                  <c:v>45492</c:v>
                </c:pt>
                <c:pt idx="49">
                  <c:v>45499</c:v>
                </c:pt>
                <c:pt idx="50">
                  <c:v>45506</c:v>
                </c:pt>
                <c:pt idx="51">
                  <c:v>45513</c:v>
                </c:pt>
                <c:pt idx="52">
                  <c:v>45520</c:v>
                </c:pt>
                <c:pt idx="53">
                  <c:v>45527</c:v>
                </c:pt>
                <c:pt idx="54">
                  <c:v>45534</c:v>
                </c:pt>
                <c:pt idx="55">
                  <c:v>45541</c:v>
                </c:pt>
                <c:pt idx="56">
                  <c:v>45548</c:v>
                </c:pt>
                <c:pt idx="57">
                  <c:v>45555</c:v>
                </c:pt>
                <c:pt idx="58">
                  <c:v>45562</c:v>
                </c:pt>
                <c:pt idx="59">
                  <c:v>45569</c:v>
                </c:pt>
                <c:pt idx="60">
                  <c:v>45576</c:v>
                </c:pt>
                <c:pt idx="61">
                  <c:v>45583</c:v>
                </c:pt>
                <c:pt idx="62">
                  <c:v>45590</c:v>
                </c:pt>
                <c:pt idx="63">
                  <c:v>45597</c:v>
                </c:pt>
                <c:pt idx="64">
                  <c:v>45604</c:v>
                </c:pt>
                <c:pt idx="65">
                  <c:v>45611</c:v>
                </c:pt>
                <c:pt idx="66">
                  <c:v>45618</c:v>
                </c:pt>
                <c:pt idx="67">
                  <c:v>45625</c:v>
                </c:pt>
                <c:pt idx="68">
                  <c:v>45632</c:v>
                </c:pt>
                <c:pt idx="69">
                  <c:v>45639</c:v>
                </c:pt>
                <c:pt idx="70">
                  <c:v>45646</c:v>
                </c:pt>
                <c:pt idx="71">
                  <c:v>45653</c:v>
                </c:pt>
                <c:pt idx="72">
                  <c:v>45660</c:v>
                </c:pt>
                <c:pt idx="73">
                  <c:v>45667</c:v>
                </c:pt>
                <c:pt idx="74">
                  <c:v>45674</c:v>
                </c:pt>
                <c:pt idx="75">
                  <c:v>45681</c:v>
                </c:pt>
                <c:pt idx="76">
                  <c:v>45688</c:v>
                </c:pt>
                <c:pt idx="77">
                  <c:v>45695</c:v>
                </c:pt>
                <c:pt idx="78">
                  <c:v>45702</c:v>
                </c:pt>
                <c:pt idx="79">
                  <c:v>45709</c:v>
                </c:pt>
                <c:pt idx="80">
                  <c:v>45716</c:v>
                </c:pt>
                <c:pt idx="81">
                  <c:v>45723</c:v>
                </c:pt>
                <c:pt idx="82">
                  <c:v>45730</c:v>
                </c:pt>
                <c:pt idx="83">
                  <c:v>45737</c:v>
                </c:pt>
                <c:pt idx="84">
                  <c:v>45744</c:v>
                </c:pt>
                <c:pt idx="85">
                  <c:v>45751</c:v>
                </c:pt>
                <c:pt idx="86">
                  <c:v>45758</c:v>
                </c:pt>
                <c:pt idx="87">
                  <c:v>45764</c:v>
                </c:pt>
                <c:pt idx="88">
                  <c:v>45772</c:v>
                </c:pt>
                <c:pt idx="89">
                  <c:v>45779</c:v>
                </c:pt>
                <c:pt idx="90">
                  <c:v>45786</c:v>
                </c:pt>
                <c:pt idx="91">
                  <c:v>45793</c:v>
                </c:pt>
                <c:pt idx="92">
                  <c:v>45800</c:v>
                </c:pt>
                <c:pt idx="93">
                  <c:v>45807</c:v>
                </c:pt>
                <c:pt idx="94">
                  <c:v>45814</c:v>
                </c:pt>
                <c:pt idx="95">
                  <c:v>45821</c:v>
                </c:pt>
                <c:pt idx="96">
                  <c:v>45828</c:v>
                </c:pt>
                <c:pt idx="97">
                  <c:v>45835</c:v>
                </c:pt>
                <c:pt idx="98">
                  <c:v>45841</c:v>
                </c:pt>
                <c:pt idx="99">
                  <c:v>45849</c:v>
                </c:pt>
                <c:pt idx="100">
                  <c:v>45856</c:v>
                </c:pt>
                <c:pt idx="101">
                  <c:v>45863</c:v>
                </c:pt>
                <c:pt idx="102">
                  <c:v>45870</c:v>
                </c:pt>
                <c:pt idx="103">
                  <c:v>45877</c:v>
                </c:pt>
                <c:pt idx="104">
                  <c:v>45884</c:v>
                </c:pt>
                <c:pt idx="105">
                  <c:v>45891</c:v>
                </c:pt>
                <c:pt idx="106">
                  <c:v>45898</c:v>
                </c:pt>
                <c:pt idx="107">
                  <c:v>45905</c:v>
                </c:pt>
                <c:pt idx="108">
                  <c:v>45912</c:v>
                </c:pt>
                <c:pt idx="109">
                  <c:v>45919</c:v>
                </c:pt>
                <c:pt idx="110">
                  <c:v>45926</c:v>
                </c:pt>
                <c:pt idx="111">
                  <c:v>45933</c:v>
                </c:pt>
                <c:pt idx="112">
                  <c:v>45940</c:v>
                </c:pt>
                <c:pt idx="113">
                  <c:v>45947</c:v>
                </c:pt>
                <c:pt idx="114">
                  <c:v>45954</c:v>
                </c:pt>
                <c:pt idx="115">
                  <c:v>45961</c:v>
                </c:pt>
                <c:pt idx="116">
                  <c:v>45968</c:v>
                </c:pt>
                <c:pt idx="117">
                  <c:v>45975</c:v>
                </c:pt>
                <c:pt idx="118">
                  <c:v>45982</c:v>
                </c:pt>
                <c:pt idx="119">
                  <c:v>45989</c:v>
                </c:pt>
                <c:pt idx="120">
                  <c:v>45996</c:v>
                </c:pt>
                <c:pt idx="121">
                  <c:v>46003</c:v>
                </c:pt>
                <c:pt idx="122">
                  <c:v>46010</c:v>
                </c:pt>
                <c:pt idx="123">
                  <c:v>46017</c:v>
                </c:pt>
                <c:pt idx="124">
                  <c:v>46024</c:v>
                </c:pt>
                <c:pt idx="125">
                  <c:v>46031</c:v>
                </c:pt>
                <c:pt idx="126">
                  <c:v>46038</c:v>
                </c:pt>
                <c:pt idx="127">
                  <c:v>46045</c:v>
                </c:pt>
                <c:pt idx="128">
                  <c:v>46052</c:v>
                </c:pt>
                <c:pt idx="129">
                  <c:v>46059</c:v>
                </c:pt>
                <c:pt idx="130">
                  <c:v>46066</c:v>
                </c:pt>
                <c:pt idx="131">
                  <c:v>46073</c:v>
                </c:pt>
                <c:pt idx="132">
                  <c:v>46080</c:v>
                </c:pt>
                <c:pt idx="133">
                  <c:v>46087</c:v>
                </c:pt>
                <c:pt idx="134">
                  <c:v>46094</c:v>
                </c:pt>
                <c:pt idx="135">
                  <c:v>46101</c:v>
                </c:pt>
                <c:pt idx="136">
                  <c:v>46108</c:v>
                </c:pt>
                <c:pt idx="137">
                  <c:v>46114</c:v>
                </c:pt>
                <c:pt idx="138">
                  <c:v>46122</c:v>
                </c:pt>
                <c:pt idx="139">
                  <c:v>46129</c:v>
                </c:pt>
                <c:pt idx="140">
                  <c:v>46136</c:v>
                </c:pt>
                <c:pt idx="141">
                  <c:v>46143</c:v>
                </c:pt>
                <c:pt idx="142">
                  <c:v>46150</c:v>
                </c:pt>
                <c:pt idx="143">
                  <c:v>46157</c:v>
                </c:pt>
                <c:pt idx="144">
                  <c:v>46164</c:v>
                </c:pt>
                <c:pt idx="145">
                  <c:v>46171</c:v>
                </c:pt>
                <c:pt idx="146">
                  <c:v>46178</c:v>
                </c:pt>
                <c:pt idx="147">
                  <c:v>46185</c:v>
                </c:pt>
                <c:pt idx="148">
                  <c:v>46191</c:v>
                </c:pt>
                <c:pt idx="149">
                  <c:v>46199</c:v>
                </c:pt>
                <c:pt idx="150">
                  <c:v>46205</c:v>
                </c:pt>
                <c:pt idx="151">
                  <c:v>46213</c:v>
                </c:pt>
                <c:pt idx="152">
                  <c:v>46220</c:v>
                </c:pt>
                <c:pt idx="153">
                  <c:v>46227</c:v>
                </c:pt>
                <c:pt idx="154">
                  <c:v>46234</c:v>
                </c:pt>
                <c:pt idx="155">
                  <c:v>46241</c:v>
                </c:pt>
                <c:pt idx="156">
                  <c:v>46248</c:v>
                </c:pt>
                <c:pt idx="157">
                  <c:v>46255</c:v>
                </c:pt>
                <c:pt idx="158">
                  <c:v>46262</c:v>
                </c:pt>
                <c:pt idx="159">
                  <c:v>46269</c:v>
                </c:pt>
              </c:numCache>
            </c:numRef>
          </c:cat>
          <c:val>
            <c:numRef>
              <c:f>'Returns (Calc)'!$S$3:$S$500</c:f>
              <c:numCache>
                <c:formatCode>0.0%</c:formatCode>
                <c:ptCount val="498"/>
                <c:pt idx="0">
                  <c:v>-8.370345063204665E-3</c:v>
                </c:pt>
                <c:pt idx="1">
                  <c:v>-2.7562446167096466E-3</c:v>
                </c:pt>
                <c:pt idx="2">
                  <c:v>1.6064950768699182E-2</c:v>
                </c:pt>
                <c:pt idx="3">
                  <c:v>5.9503570214212154E-3</c:v>
                </c:pt>
                <c:pt idx="4">
                  <c:v>0</c:v>
                </c:pt>
                <c:pt idx="5">
                  <c:v>-2.8899780294067923E-2</c:v>
                </c:pt>
                <c:pt idx="6">
                  <c:v>-3.1326139923425478E-3</c:v>
                </c:pt>
                <c:pt idx="7">
                  <c:v>1.1173184357541999E-2</c:v>
                </c:pt>
                <c:pt idx="8">
                  <c:v>5.6975138121546642E-3</c:v>
                </c:pt>
                <c:pt idx="9">
                  <c:v>-2.9012875536480687E-2</c:v>
                </c:pt>
                <c:pt idx="10">
                  <c:v>-2.0155586987270158E-2</c:v>
                </c:pt>
                <c:pt idx="11">
                  <c:v>5.8282208588956941E-2</c:v>
                </c:pt>
                <c:pt idx="12">
                  <c:v>2.9497016197783443E-2</c:v>
                </c:pt>
                <c:pt idx="13">
                  <c:v>2.1695925803246086E-2</c:v>
                </c:pt>
                <c:pt idx="14">
                  <c:v>5.5114281082833116E-3</c:v>
                </c:pt>
                <c:pt idx="15">
                  <c:v>-2.256972432693849E-3</c:v>
                </c:pt>
                <c:pt idx="16">
                  <c:v>3.7162708030376024E-3</c:v>
                </c:pt>
                <c:pt idx="17">
                  <c:v>3.4127495170637401E-2</c:v>
                </c:pt>
                <c:pt idx="18">
                  <c:v>1.2453300124533273E-2</c:v>
                </c:pt>
                <c:pt idx="19">
                  <c:v>7.0725707257071058E-3</c:v>
                </c:pt>
                <c:pt idx="20">
                  <c:v>-1.0381679389313114E-2</c:v>
                </c:pt>
                <c:pt idx="21">
                  <c:v>3.116322122801618E-2</c:v>
                </c:pt>
                <c:pt idx="22">
                  <c:v>2.1095152603231471E-2</c:v>
                </c:pt>
                <c:pt idx="23">
                  <c:v>1.611721611721606E-2</c:v>
                </c:pt>
                <c:pt idx="24">
                  <c:v>4.5710165825522786E-2</c:v>
                </c:pt>
                <c:pt idx="25">
                  <c:v>2.385548814120253E-2</c:v>
                </c:pt>
                <c:pt idx="26">
                  <c:v>8.3501683501683299E-3</c:v>
                </c:pt>
                <c:pt idx="27">
                  <c:v>2.243889408307731E-2</c:v>
                </c:pt>
                <c:pt idx="28">
                  <c:v>2.8086218158066778E-2</c:v>
                </c:pt>
                <c:pt idx="29">
                  <c:v>3.8119440914865521E-3</c:v>
                </c:pt>
                <c:pt idx="30">
                  <c:v>-5.18987341772148E-3</c:v>
                </c:pt>
                <c:pt idx="31">
                  <c:v>2.8502353989056983E-2</c:v>
                </c:pt>
                <c:pt idx="32">
                  <c:v>-7.5467029568229149E-3</c:v>
                </c:pt>
                <c:pt idx="33">
                  <c:v>2.8671154325605741E-3</c:v>
                </c:pt>
                <c:pt idx="34">
                  <c:v>-1.4045991298943572E-2</c:v>
                </c:pt>
                <c:pt idx="35">
                  <c:v>-5.6858295511850621E-2</c:v>
                </c:pt>
                <c:pt idx="36">
                  <c:v>3.0076193022323228E-2</c:v>
                </c:pt>
                <c:pt idx="37">
                  <c:v>9.8624448481701155E-3</c:v>
                </c:pt>
                <c:pt idx="38">
                  <c:v>2.2230789000257101E-2</c:v>
                </c:pt>
                <c:pt idx="39">
                  <c:v>1.5084852294154683E-2</c:v>
                </c:pt>
                <c:pt idx="40">
                  <c:v>1.9442724458204275E-2</c:v>
                </c:pt>
                <c:pt idx="41">
                  <c:v>-1.0932944606413919E-2</c:v>
                </c:pt>
                <c:pt idx="42">
                  <c:v>3.0336526651928208E-2</c:v>
                </c:pt>
                <c:pt idx="43">
                  <c:v>4.219811658123751E-2</c:v>
                </c:pt>
                <c:pt idx="44">
                  <c:v>-8.0064051241002243E-4</c:v>
                </c:pt>
                <c:pt idx="45">
                  <c:v>1.1446886446886406E-3</c:v>
                </c:pt>
                <c:pt idx="46">
                  <c:v>3.0985593414132317E-2</c:v>
                </c:pt>
                <c:pt idx="47">
                  <c:v>-1.996229344571443E-3</c:v>
                </c:pt>
                <c:pt idx="48">
                  <c:v>-4.0448938770974552E-2</c:v>
                </c:pt>
                <c:pt idx="49">
                  <c:v>-1.8876664736537263E-2</c:v>
                </c:pt>
                <c:pt idx="50">
                  <c:v>-2.9745042492917761E-2</c:v>
                </c:pt>
                <c:pt idx="51">
                  <c:v>1.727493917274936E-2</c:v>
                </c:pt>
                <c:pt idx="52">
                  <c:v>5.7043769433149816E-2</c:v>
                </c:pt>
                <c:pt idx="53">
                  <c:v>1.3802466342346387E-2</c:v>
                </c:pt>
                <c:pt idx="54">
                  <c:v>-4.01740877134249E-3</c:v>
                </c:pt>
                <c:pt idx="55">
                  <c:v>-5.9719887955182016E-2</c:v>
                </c:pt>
                <c:pt idx="56">
                  <c:v>6.1487130600571982E-2</c:v>
                </c:pt>
                <c:pt idx="57">
                  <c:v>1.6277503367759349E-2</c:v>
                </c:pt>
                <c:pt idx="58">
                  <c:v>-2.0987517949850876E-3</c:v>
                </c:pt>
                <c:pt idx="59">
                  <c:v>1.4943546601726698E-2</c:v>
                </c:pt>
                <c:pt idx="60">
                  <c:v>2.1594503217363004E-2</c:v>
                </c:pt>
                <c:pt idx="61">
                  <c:v>4.2703106651007516E-3</c:v>
                </c:pt>
                <c:pt idx="62">
                  <c:v>-1.4669926650366705E-2</c:v>
                </c:pt>
                <c:pt idx="63">
                  <c:v>-1.3701585931599869E-2</c:v>
                </c:pt>
                <c:pt idx="64">
                  <c:v>5.9833734412601203E-2</c:v>
                </c:pt>
                <c:pt idx="65">
                  <c:v>-3.085973784704299E-2</c:v>
                </c:pt>
                <c:pt idx="66">
                  <c:v>1.7891373801916854E-2</c:v>
                </c:pt>
                <c:pt idx="67">
                  <c:v>1.3078049801213742E-2</c:v>
                </c:pt>
                <c:pt idx="68">
                  <c:v>1.931219663327477E-2</c:v>
                </c:pt>
                <c:pt idx="69">
                  <c:v>-9.4224924012158429E-3</c:v>
                </c:pt>
                <c:pt idx="70">
                  <c:v>-2.2399509051856392E-2</c:v>
                </c:pt>
                <c:pt idx="71">
                  <c:v>1.0567064239380697E-2</c:v>
                </c:pt>
                <c:pt idx="72">
                  <c:v>3.1059115850502472E-3</c:v>
                </c:pt>
                <c:pt idx="73">
                  <c:v>-1.3520487150376792E-2</c:v>
                </c:pt>
                <c:pt idx="74">
                  <c:v>3.2119690311780857E-2</c:v>
                </c:pt>
                <c:pt idx="75">
                  <c:v>2.716675114039524E-2</c:v>
                </c:pt>
                <c:pt idx="76">
                  <c:v>-1.2730681930326559E-2</c:v>
                </c:pt>
                <c:pt idx="77">
                  <c:v>1.9892043182726749E-2</c:v>
                </c:pt>
                <c:pt idx="78">
                  <c:v>1.009507007742827E-2</c:v>
                </c:pt>
                <c:pt idx="79">
                  <c:v>-3.0564719580826738E-2</c:v>
                </c:pt>
                <c:pt idx="80">
                  <c:v>-1.1009908918026001E-3</c:v>
                </c:pt>
                <c:pt idx="81">
                  <c:v>-5.270541082164315E-2</c:v>
                </c:pt>
                <c:pt idx="82">
                  <c:v>-7.1927226570764891E-3</c:v>
                </c:pt>
                <c:pt idx="83">
                  <c:v>3.8354996803751096E-3</c:v>
                </c:pt>
                <c:pt idx="84">
                  <c:v>-2.1545319465081758E-2</c:v>
                </c:pt>
                <c:pt idx="85">
                  <c:v>-0.1070615034168565</c:v>
                </c:pt>
                <c:pt idx="86">
                  <c:v>9.1107871720116584E-2</c:v>
                </c:pt>
                <c:pt idx="87">
                  <c:v>-1.7368069472277758E-2</c:v>
                </c:pt>
                <c:pt idx="88">
                  <c:v>6.5261726716519197E-2</c:v>
                </c:pt>
                <c:pt idx="89">
                  <c:v>4.0204211869814932E-2</c:v>
                </c:pt>
                <c:pt idx="90">
                  <c:v>6.952965235173858E-3</c:v>
                </c:pt>
                <c:pt idx="91">
                  <c:v>6.8237205523964173E-2</c:v>
                </c:pt>
                <c:pt idx="92">
                  <c:v>-2.2338403041825217E-2</c:v>
                </c:pt>
                <c:pt idx="93">
                  <c:v>2.4307243558580494E-2</c:v>
                </c:pt>
                <c:pt idx="94">
                  <c:v>1.4902705268153849E-2</c:v>
                </c:pt>
                <c:pt idx="95">
                  <c:v>-7.108118219229409E-3</c:v>
                </c:pt>
                <c:pt idx="96">
                  <c:v>7.0648078372268497E-3</c:v>
                </c:pt>
                <c:pt idx="97">
                  <c:v>4.6113553456178069E-2</c:v>
                </c:pt>
                <c:pt idx="98">
                  <c:v>5.9907010014306206E-3</c:v>
                </c:pt>
                <c:pt idx="99">
                  <c:v>-3.0219536041241613E-3</c:v>
                </c:pt>
                <c:pt idx="100">
                  <c:v>1.4798965855397972E-2</c:v>
                </c:pt>
                <c:pt idx="101">
                  <c:v>1.0542036370025487E-2</c:v>
                </c:pt>
                <c:pt idx="102">
                  <c:v>-1.5648091802138553E-2</c:v>
                </c:pt>
                <c:pt idx="103">
                  <c:v>3.4973063675704186E-2</c:v>
                </c:pt>
                <c:pt idx="104">
                  <c:v>1.0239781551326654E-3</c:v>
                </c:pt>
                <c:pt idx="105">
                  <c:v>-6.8195379763020814E-3</c:v>
                </c:pt>
                <c:pt idx="106">
                  <c:v>-2.5748862758567803E-4</c:v>
                </c:pt>
                <c:pt idx="107">
                  <c:v>4.8935439560437999E-3</c:v>
                </c:pt>
                <c:pt idx="108">
                  <c:v>2.9303716360529641E-2</c:v>
                </c:pt>
                <c:pt idx="109">
                  <c:v>1.2035192563081054E-2</c:v>
                </c:pt>
                <c:pt idx="110">
                  <c:v>-1.1071926515213715E-2</c:v>
                </c:pt>
                <c:pt idx="111">
                  <c:v>-4.0636921545861293E-3</c:v>
                </c:pt>
                <c:pt idx="112">
                  <c:v>-1.3240069947539346E-2</c:v>
                </c:pt>
                <c:pt idx="113">
                  <c:v>1.6202531645569618E-2</c:v>
                </c:pt>
                <c:pt idx="114">
                  <c:v>1.0712506228201191E-2</c:v>
                </c:pt>
                <c:pt idx="115">
                  <c:v>-8.2162517459405393E-5</c:v>
                </c:pt>
                <c:pt idx="116">
                  <c:v>-2.6047658175842203E-2</c:v>
                </c:pt>
                <c:pt idx="117">
                  <c:v>-5.9056778874546634E-3</c:v>
                </c:pt>
                <c:pt idx="118">
                  <c:v>-2.9958414665195665E-2</c:v>
                </c:pt>
                <c:pt idx="119">
                  <c:v>5.0918635170603688E-2</c:v>
                </c:pt>
                <c:pt idx="120">
                  <c:v>6.0772560772559547E-3</c:v>
                </c:pt>
                <c:pt idx="121">
                  <c:v>-1.4480761274306975E-2</c:v>
                </c:pt>
                <c:pt idx="122">
                  <c:v>3.6104114189756675E-3</c:v>
                </c:pt>
                <c:pt idx="123">
                  <c:v>1.5477286036978066E-2</c:v>
                </c:pt>
                <c:pt idx="124">
                  <c:v>-1.4087988136430973E-2</c:v>
                </c:pt>
                <c:pt idx="125">
                  <c:v>3.0082727500626572E-3</c:v>
                </c:pt>
                <c:pt idx="126">
                  <c:v>-2.4993751562107924E-4</c:v>
                </c:pt>
                <c:pt idx="127">
                  <c:v>-1.7333333333333312E-2</c:v>
                </c:pt>
                <c:pt idx="128">
                  <c:v>1.6536635006784373E-2</c:v>
                </c:pt>
                <c:pt idx="129">
                  <c:v>-2.5027112705433563E-4</c:v>
                </c:pt>
                <c:pt idx="130">
                  <c:v>-1.3267690253671582E-2</c:v>
                </c:pt>
                <c:pt idx="131">
                  <c:v>1.4460887949260037E-2</c:v>
                </c:pt>
                <c:pt idx="132">
                  <c:v>-4.0846948982994347E-3</c:v>
                </c:pt>
                <c:pt idx="133">
                  <c:v>-1.0295471666527223E-2</c:v>
                </c:pt>
                <c:pt idx="134">
                  <c:v>-1.7422192151556049E-2</c:v>
                </c:pt>
                <c:pt idx="135">
                  <c:v>-2.0657600275434729E-2</c:v>
                </c:pt>
                <c:pt idx="136">
                  <c:v>-3.0497451221655814E-2</c:v>
                </c:pt>
                <c:pt idx="137">
                  <c:v>4.0159550358081608E-2</c:v>
                </c:pt>
                <c:pt idx="138">
                  <c:v>7.4952065539480639E-2</c:v>
                </c:pt>
                <c:pt idx="139">
                  <c:v>4.0214042484190138E-2</c:v>
                </c:pt>
                <c:pt idx="140">
                  <c:v>2.5097427903351566E-2</c:v>
                </c:pt>
                <c:pt idx="141">
                  <c:v>2.2049878345498541E-2</c:v>
                </c:pt>
                <c:pt idx="142">
                  <c:v>6.9855676238655073E-2</c:v>
                </c:pt>
                <c:pt idx="143">
                  <c:v>-2.2946943884292192E-3</c:v>
                </c:pt>
                <c:pt idx="144">
                  <c:v>1.0175634234736552E-2</c:v>
                </c:pt>
                <c:pt idx="145">
                  <c:v>3.8981647578308243E-2</c:v>
                </c:pt>
                <c:pt idx="146">
                  <c:v>-4.1901852712663556E-2</c:v>
                </c:pt>
                <c:pt idx="147">
                  <c:v>5.6833934017188614E-2</c:v>
                </c:pt>
                <c:pt idx="148">
                  <c:v>4.8662119622245648E-2</c:v>
                </c:pt>
                <c:pt idx="149">
                  <c:v>-3.5647279549718691E-2</c:v>
                </c:pt>
                <c:pt idx="150">
                  <c:v>-2.1854734111543261E-2</c:v>
                </c:pt>
                <c:pt idx="151">
                  <c:v>1.9359543857322636E-2</c:v>
                </c:pt>
                <c:pt idx="152">
                  <c:v>-6.4130081300813102E-2</c:v>
                </c:pt>
                <c:pt idx="153">
                  <c:v>1.8208353603447192E-2</c:v>
                </c:pt>
                <c:pt idx="154">
                  <c:v>-1.8292266739471597E-2</c:v>
                </c:pt>
                <c:pt idx="155">
                  <c:v>4.0742543280261279E-2</c:v>
                </c:pt>
                <c:pt idx="156">
                  <c:v>2.4183312178502225E-2</c:v>
                </c:pt>
                <c:pt idx="157">
                  <c:v>-2.9874111277803261E-2</c:v>
                </c:pt>
                <c:pt idx="158">
                  <c:v>-1.3111006521885238E-2</c:v>
                </c:pt>
                <c:pt idx="159">
                  <c:v>2.0029976836081209E-2</c:v>
                </c:pt>
              </c:numCache>
            </c:numRef>
          </c:val>
          <c:extLst>
            <c:ext xmlns:c16="http://schemas.microsoft.com/office/drawing/2014/chart" uri="{C3380CC4-5D6E-409C-BE32-E72D297353CC}">
              <c16:uniqueId val="{00000000-2CE5-483F-8D8F-7AA83FA1A5D5}"/>
            </c:ext>
          </c:extLst>
        </c:ser>
        <c:dLbls>
          <c:showLegendKey val="0"/>
          <c:showVal val="0"/>
          <c:showCatName val="0"/>
          <c:showSerName val="0"/>
          <c:showPercent val="0"/>
          <c:showBubbleSize val="0"/>
        </c:dLbls>
        <c:gapWidth val="150"/>
        <c:axId val="94269117"/>
        <c:axId val="83611219"/>
      </c:barChart>
      <c:lineChart>
        <c:grouping val="standard"/>
        <c:varyColors val="0"/>
        <c:ser>
          <c:idx val="1"/>
          <c:order val="1"/>
          <c:tx>
            <c:strRef>
              <c:f>'Returns (Calc)'!$AM$2</c:f>
              <c:strCache>
                <c:ptCount val="1"/>
                <c:pt idx="0">
                  <c:v>SPMO trend</c:v>
                </c:pt>
              </c:strCache>
            </c:strRef>
          </c:tx>
          <c:spPr>
            <a:ln w="201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45156</c:v>
                </c:pt>
                <c:pt idx="1">
                  <c:v>45163</c:v>
                </c:pt>
                <c:pt idx="2">
                  <c:v>45170</c:v>
                </c:pt>
                <c:pt idx="3">
                  <c:v>45177</c:v>
                </c:pt>
                <c:pt idx="4">
                  <c:v>45184</c:v>
                </c:pt>
                <c:pt idx="5">
                  <c:v>45191</c:v>
                </c:pt>
                <c:pt idx="6">
                  <c:v>45198</c:v>
                </c:pt>
                <c:pt idx="7">
                  <c:v>45205</c:v>
                </c:pt>
                <c:pt idx="8">
                  <c:v>45212</c:v>
                </c:pt>
                <c:pt idx="9">
                  <c:v>45219</c:v>
                </c:pt>
                <c:pt idx="10">
                  <c:v>45226</c:v>
                </c:pt>
                <c:pt idx="11">
                  <c:v>45233</c:v>
                </c:pt>
                <c:pt idx="12">
                  <c:v>45240</c:v>
                </c:pt>
                <c:pt idx="13">
                  <c:v>45247</c:v>
                </c:pt>
                <c:pt idx="14">
                  <c:v>45254</c:v>
                </c:pt>
                <c:pt idx="15">
                  <c:v>45261</c:v>
                </c:pt>
                <c:pt idx="16">
                  <c:v>45268</c:v>
                </c:pt>
                <c:pt idx="17">
                  <c:v>45275</c:v>
                </c:pt>
                <c:pt idx="18">
                  <c:v>45282</c:v>
                </c:pt>
                <c:pt idx="19">
                  <c:v>45289</c:v>
                </c:pt>
                <c:pt idx="20">
                  <c:v>45296</c:v>
                </c:pt>
                <c:pt idx="21">
                  <c:v>45303</c:v>
                </c:pt>
                <c:pt idx="22">
                  <c:v>45310</c:v>
                </c:pt>
                <c:pt idx="23">
                  <c:v>45317</c:v>
                </c:pt>
                <c:pt idx="24">
                  <c:v>45324</c:v>
                </c:pt>
                <c:pt idx="25">
                  <c:v>45331</c:v>
                </c:pt>
                <c:pt idx="26">
                  <c:v>45338</c:v>
                </c:pt>
                <c:pt idx="27">
                  <c:v>45345</c:v>
                </c:pt>
                <c:pt idx="28">
                  <c:v>45352</c:v>
                </c:pt>
                <c:pt idx="29">
                  <c:v>45359</c:v>
                </c:pt>
                <c:pt idx="30">
                  <c:v>45366</c:v>
                </c:pt>
                <c:pt idx="31">
                  <c:v>45373</c:v>
                </c:pt>
                <c:pt idx="32">
                  <c:v>45379</c:v>
                </c:pt>
                <c:pt idx="33">
                  <c:v>45387</c:v>
                </c:pt>
                <c:pt idx="34">
                  <c:v>45394</c:v>
                </c:pt>
                <c:pt idx="35">
                  <c:v>45401</c:v>
                </c:pt>
                <c:pt idx="36">
                  <c:v>45408</c:v>
                </c:pt>
                <c:pt idx="37">
                  <c:v>45415</c:v>
                </c:pt>
                <c:pt idx="38">
                  <c:v>45422</c:v>
                </c:pt>
                <c:pt idx="39">
                  <c:v>45429</c:v>
                </c:pt>
                <c:pt idx="40">
                  <c:v>45436</c:v>
                </c:pt>
                <c:pt idx="41">
                  <c:v>45443</c:v>
                </c:pt>
                <c:pt idx="42">
                  <c:v>45450</c:v>
                </c:pt>
                <c:pt idx="43">
                  <c:v>45457</c:v>
                </c:pt>
                <c:pt idx="44">
                  <c:v>45464</c:v>
                </c:pt>
                <c:pt idx="45">
                  <c:v>45471</c:v>
                </c:pt>
                <c:pt idx="46">
                  <c:v>45478</c:v>
                </c:pt>
                <c:pt idx="47">
                  <c:v>45485</c:v>
                </c:pt>
                <c:pt idx="48">
                  <c:v>45492</c:v>
                </c:pt>
                <c:pt idx="49">
                  <c:v>45499</c:v>
                </c:pt>
                <c:pt idx="50">
                  <c:v>45506</c:v>
                </c:pt>
                <c:pt idx="51">
                  <c:v>45513</c:v>
                </c:pt>
                <c:pt idx="52">
                  <c:v>45520</c:v>
                </c:pt>
                <c:pt idx="53">
                  <c:v>45527</c:v>
                </c:pt>
                <c:pt idx="54">
                  <c:v>45534</c:v>
                </c:pt>
                <c:pt idx="55">
                  <c:v>45541</c:v>
                </c:pt>
                <c:pt idx="56">
                  <c:v>45548</c:v>
                </c:pt>
                <c:pt idx="57">
                  <c:v>45555</c:v>
                </c:pt>
                <c:pt idx="58">
                  <c:v>45562</c:v>
                </c:pt>
                <c:pt idx="59">
                  <c:v>45569</c:v>
                </c:pt>
                <c:pt idx="60">
                  <c:v>45576</c:v>
                </c:pt>
                <c:pt idx="61">
                  <c:v>45583</c:v>
                </c:pt>
                <c:pt idx="62">
                  <c:v>45590</c:v>
                </c:pt>
                <c:pt idx="63">
                  <c:v>45597</c:v>
                </c:pt>
                <c:pt idx="64">
                  <c:v>45604</c:v>
                </c:pt>
                <c:pt idx="65">
                  <c:v>45611</c:v>
                </c:pt>
                <c:pt idx="66">
                  <c:v>45618</c:v>
                </c:pt>
                <c:pt idx="67">
                  <c:v>45625</c:v>
                </c:pt>
                <c:pt idx="68">
                  <c:v>45632</c:v>
                </c:pt>
                <c:pt idx="69">
                  <c:v>45639</c:v>
                </c:pt>
                <c:pt idx="70">
                  <c:v>45646</c:v>
                </c:pt>
                <c:pt idx="71">
                  <c:v>45653</c:v>
                </c:pt>
                <c:pt idx="72">
                  <c:v>45660</c:v>
                </c:pt>
                <c:pt idx="73">
                  <c:v>45667</c:v>
                </c:pt>
                <c:pt idx="74">
                  <c:v>45674</c:v>
                </c:pt>
                <c:pt idx="75">
                  <c:v>45681</c:v>
                </c:pt>
                <c:pt idx="76">
                  <c:v>45688</c:v>
                </c:pt>
                <c:pt idx="77">
                  <c:v>45695</c:v>
                </c:pt>
                <c:pt idx="78">
                  <c:v>45702</c:v>
                </c:pt>
                <c:pt idx="79">
                  <c:v>45709</c:v>
                </c:pt>
                <c:pt idx="80">
                  <c:v>45716</c:v>
                </c:pt>
                <c:pt idx="81">
                  <c:v>45723</c:v>
                </c:pt>
                <c:pt idx="82">
                  <c:v>45730</c:v>
                </c:pt>
                <c:pt idx="83">
                  <c:v>45737</c:v>
                </c:pt>
                <c:pt idx="84">
                  <c:v>45744</c:v>
                </c:pt>
                <c:pt idx="85">
                  <c:v>45751</c:v>
                </c:pt>
                <c:pt idx="86">
                  <c:v>45758</c:v>
                </c:pt>
                <c:pt idx="87">
                  <c:v>45764</c:v>
                </c:pt>
                <c:pt idx="88">
                  <c:v>45772</c:v>
                </c:pt>
                <c:pt idx="89">
                  <c:v>45779</c:v>
                </c:pt>
                <c:pt idx="90">
                  <c:v>45786</c:v>
                </c:pt>
                <c:pt idx="91">
                  <c:v>45793</c:v>
                </c:pt>
                <c:pt idx="92">
                  <c:v>45800</c:v>
                </c:pt>
                <c:pt idx="93">
                  <c:v>45807</c:v>
                </c:pt>
                <c:pt idx="94">
                  <c:v>45814</c:v>
                </c:pt>
                <c:pt idx="95">
                  <c:v>45821</c:v>
                </c:pt>
                <c:pt idx="96">
                  <c:v>45828</c:v>
                </c:pt>
                <c:pt idx="97">
                  <c:v>45835</c:v>
                </c:pt>
                <c:pt idx="98">
                  <c:v>45841</c:v>
                </c:pt>
                <c:pt idx="99">
                  <c:v>45849</c:v>
                </c:pt>
                <c:pt idx="100">
                  <c:v>45856</c:v>
                </c:pt>
                <c:pt idx="101">
                  <c:v>45863</c:v>
                </c:pt>
                <c:pt idx="102">
                  <c:v>45870</c:v>
                </c:pt>
                <c:pt idx="103">
                  <c:v>45877</c:v>
                </c:pt>
                <c:pt idx="104">
                  <c:v>45884</c:v>
                </c:pt>
                <c:pt idx="105">
                  <c:v>45891</c:v>
                </c:pt>
                <c:pt idx="106">
                  <c:v>45898</c:v>
                </c:pt>
                <c:pt idx="107">
                  <c:v>45905</c:v>
                </c:pt>
                <c:pt idx="108">
                  <c:v>45912</c:v>
                </c:pt>
                <c:pt idx="109">
                  <c:v>45919</c:v>
                </c:pt>
                <c:pt idx="110">
                  <c:v>45926</c:v>
                </c:pt>
                <c:pt idx="111">
                  <c:v>45933</c:v>
                </c:pt>
                <c:pt idx="112">
                  <c:v>45940</c:v>
                </c:pt>
                <c:pt idx="113">
                  <c:v>45947</c:v>
                </c:pt>
                <c:pt idx="114">
                  <c:v>45954</c:v>
                </c:pt>
                <c:pt idx="115">
                  <c:v>45961</c:v>
                </c:pt>
                <c:pt idx="116">
                  <c:v>45968</c:v>
                </c:pt>
                <c:pt idx="117">
                  <c:v>45975</c:v>
                </c:pt>
                <c:pt idx="118">
                  <c:v>45982</c:v>
                </c:pt>
                <c:pt idx="119">
                  <c:v>45989</c:v>
                </c:pt>
                <c:pt idx="120">
                  <c:v>45996</c:v>
                </c:pt>
                <c:pt idx="121">
                  <c:v>46003</c:v>
                </c:pt>
                <c:pt idx="122">
                  <c:v>46010</c:v>
                </c:pt>
                <c:pt idx="123">
                  <c:v>46017</c:v>
                </c:pt>
                <c:pt idx="124">
                  <c:v>46024</c:v>
                </c:pt>
                <c:pt idx="125">
                  <c:v>46031</c:v>
                </c:pt>
                <c:pt idx="126">
                  <c:v>46038</c:v>
                </c:pt>
                <c:pt idx="127">
                  <c:v>46045</c:v>
                </c:pt>
                <c:pt idx="128">
                  <c:v>46052</c:v>
                </c:pt>
                <c:pt idx="129">
                  <c:v>46059</c:v>
                </c:pt>
                <c:pt idx="130">
                  <c:v>46066</c:v>
                </c:pt>
                <c:pt idx="131">
                  <c:v>46073</c:v>
                </c:pt>
                <c:pt idx="132">
                  <c:v>46080</c:v>
                </c:pt>
                <c:pt idx="133">
                  <c:v>46087</c:v>
                </c:pt>
                <c:pt idx="134">
                  <c:v>46094</c:v>
                </c:pt>
                <c:pt idx="135">
                  <c:v>46101</c:v>
                </c:pt>
                <c:pt idx="136">
                  <c:v>46108</c:v>
                </c:pt>
                <c:pt idx="137">
                  <c:v>46114</c:v>
                </c:pt>
                <c:pt idx="138">
                  <c:v>46122</c:v>
                </c:pt>
                <c:pt idx="139">
                  <c:v>46129</c:v>
                </c:pt>
                <c:pt idx="140">
                  <c:v>46136</c:v>
                </c:pt>
                <c:pt idx="141">
                  <c:v>46143</c:v>
                </c:pt>
                <c:pt idx="142">
                  <c:v>46150</c:v>
                </c:pt>
                <c:pt idx="143">
                  <c:v>46157</c:v>
                </c:pt>
                <c:pt idx="144">
                  <c:v>46164</c:v>
                </c:pt>
                <c:pt idx="145">
                  <c:v>46171</c:v>
                </c:pt>
                <c:pt idx="146">
                  <c:v>46178</c:v>
                </c:pt>
                <c:pt idx="147">
                  <c:v>46185</c:v>
                </c:pt>
                <c:pt idx="148">
                  <c:v>46191</c:v>
                </c:pt>
                <c:pt idx="149">
                  <c:v>46199</c:v>
                </c:pt>
                <c:pt idx="150">
                  <c:v>46205</c:v>
                </c:pt>
                <c:pt idx="151">
                  <c:v>46213</c:v>
                </c:pt>
                <c:pt idx="152">
                  <c:v>46220</c:v>
                </c:pt>
                <c:pt idx="153">
                  <c:v>46227</c:v>
                </c:pt>
                <c:pt idx="154">
                  <c:v>46234</c:v>
                </c:pt>
                <c:pt idx="155">
                  <c:v>46241</c:v>
                </c:pt>
                <c:pt idx="156">
                  <c:v>46248</c:v>
                </c:pt>
                <c:pt idx="157">
                  <c:v>46255</c:v>
                </c:pt>
                <c:pt idx="158">
                  <c:v>46262</c:v>
                </c:pt>
                <c:pt idx="159">
                  <c:v>46269</c:v>
                </c:pt>
              </c:numCache>
            </c:numRef>
          </c:cat>
          <c:val>
            <c:numRef>
              <c:f>'Returns (Calc)'!$AM$3:$AM$500</c:f>
              <c:numCache>
                <c:formatCode>#,##0.00</c:formatCode>
                <c:ptCount val="498"/>
                <c:pt idx="0">
                  <c:v>58.54</c:v>
                </c:pt>
                <c:pt idx="1">
                  <c:v>58.17182389937107</c:v>
                </c:pt>
                <c:pt idx="2">
                  <c:v>57.803647798742141</c:v>
                </c:pt>
                <c:pt idx="3">
                  <c:v>57.435471698113204</c:v>
                </c:pt>
                <c:pt idx="4">
                  <c:v>57.067295597484275</c:v>
                </c:pt>
                <c:pt idx="5">
                  <c:v>56.699119496855346</c:v>
                </c:pt>
                <c:pt idx="6">
                  <c:v>56.330943396226417</c:v>
                </c:pt>
                <c:pt idx="7">
                  <c:v>55.962767295597487</c:v>
                </c:pt>
                <c:pt idx="8">
                  <c:v>55.594591194968551</c:v>
                </c:pt>
                <c:pt idx="9">
                  <c:v>55.226415094339622</c:v>
                </c:pt>
                <c:pt idx="10">
                  <c:v>54.858238993710692</c:v>
                </c:pt>
                <c:pt idx="11">
                  <c:v>54.490062893081763</c:v>
                </c:pt>
                <c:pt idx="12">
                  <c:v>54.121886792452827</c:v>
                </c:pt>
                <c:pt idx="13">
                  <c:v>53.753710691823898</c:v>
                </c:pt>
                <c:pt idx="14">
                  <c:v>53.385534591194968</c:v>
                </c:pt>
                <c:pt idx="15">
                  <c:v>53.017358490566039</c:v>
                </c:pt>
                <c:pt idx="16">
                  <c:v>52.64918238993711</c:v>
                </c:pt>
                <c:pt idx="17">
                  <c:v>52.281006289308174</c:v>
                </c:pt>
                <c:pt idx="18">
                  <c:v>51.912830188679244</c:v>
                </c:pt>
                <c:pt idx="19">
                  <c:v>51.544654088050315</c:v>
                </c:pt>
                <c:pt idx="20">
                  <c:v>51.176477987421386</c:v>
                </c:pt>
                <c:pt idx="21">
                  <c:v>50.808301886792449</c:v>
                </c:pt>
                <c:pt idx="22">
                  <c:v>50.44012578616352</c:v>
                </c:pt>
                <c:pt idx="23">
                  <c:v>50.071949685534591</c:v>
                </c:pt>
                <c:pt idx="24">
                  <c:v>49.703773584905662</c:v>
                </c:pt>
                <c:pt idx="25">
                  <c:v>49.335597484276732</c:v>
                </c:pt>
                <c:pt idx="26">
                  <c:v>48.967421383647796</c:v>
                </c:pt>
                <c:pt idx="27">
                  <c:v>48.599245283018867</c:v>
                </c:pt>
                <c:pt idx="28">
                  <c:v>48.231069182389938</c:v>
                </c:pt>
                <c:pt idx="29">
                  <c:v>47.862893081761001</c:v>
                </c:pt>
                <c:pt idx="30">
                  <c:v>47.494716981132072</c:v>
                </c:pt>
                <c:pt idx="31">
                  <c:v>47.126540880503143</c:v>
                </c:pt>
                <c:pt idx="32">
                  <c:v>46.758364779874213</c:v>
                </c:pt>
                <c:pt idx="33">
                  <c:v>46.390188679245284</c:v>
                </c:pt>
                <c:pt idx="34">
                  <c:v>46.022012578616355</c:v>
                </c:pt>
                <c:pt idx="35">
                  <c:v>45.653836477987419</c:v>
                </c:pt>
                <c:pt idx="36">
                  <c:v>45.285660377358489</c:v>
                </c:pt>
                <c:pt idx="37">
                  <c:v>44.91748427672956</c:v>
                </c:pt>
                <c:pt idx="38">
                  <c:v>44.549308176100624</c:v>
                </c:pt>
                <c:pt idx="39">
                  <c:v>44.181132075471695</c:v>
                </c:pt>
                <c:pt idx="40">
                  <c:v>43.812955974842765</c:v>
                </c:pt>
                <c:pt idx="41">
                  <c:v>43.444779874213836</c:v>
                </c:pt>
                <c:pt idx="42">
                  <c:v>43.076603773584907</c:v>
                </c:pt>
                <c:pt idx="43">
                  <c:v>42.708427672955978</c:v>
                </c:pt>
                <c:pt idx="44">
                  <c:v>42.340251572327048</c:v>
                </c:pt>
                <c:pt idx="45">
                  <c:v>41.972075471698112</c:v>
                </c:pt>
                <c:pt idx="46">
                  <c:v>41.603899371069176</c:v>
                </c:pt>
                <c:pt idx="47">
                  <c:v>41.235723270440246</c:v>
                </c:pt>
                <c:pt idx="48">
                  <c:v>40.867547169811317</c:v>
                </c:pt>
                <c:pt idx="49">
                  <c:v>40.499371069182388</c:v>
                </c:pt>
                <c:pt idx="50">
                  <c:v>40.131194968553459</c:v>
                </c:pt>
                <c:pt idx="51">
                  <c:v>39.763018867924529</c:v>
                </c:pt>
                <c:pt idx="52">
                  <c:v>39.3948427672956</c:v>
                </c:pt>
                <c:pt idx="53">
                  <c:v>39.026666666666671</c:v>
                </c:pt>
                <c:pt idx="54">
                  <c:v>38.658490566037734</c:v>
                </c:pt>
                <c:pt idx="55">
                  <c:v>38.290314465408805</c:v>
                </c:pt>
                <c:pt idx="56">
                  <c:v>37.922138364779876</c:v>
                </c:pt>
                <c:pt idx="57">
                  <c:v>37.55396226415094</c:v>
                </c:pt>
                <c:pt idx="58">
                  <c:v>37.18578616352201</c:v>
                </c:pt>
                <c:pt idx="59">
                  <c:v>36.817610062893081</c:v>
                </c:pt>
                <c:pt idx="60">
                  <c:v>36.449433962264152</c:v>
                </c:pt>
                <c:pt idx="61">
                  <c:v>36.081257861635223</c:v>
                </c:pt>
                <c:pt idx="62">
                  <c:v>35.713081761006293</c:v>
                </c:pt>
                <c:pt idx="63">
                  <c:v>35.344905660377357</c:v>
                </c:pt>
                <c:pt idx="64">
                  <c:v>34.976729559748428</c:v>
                </c:pt>
                <c:pt idx="65">
                  <c:v>34.608553459119491</c:v>
                </c:pt>
                <c:pt idx="66">
                  <c:v>34.240377358490562</c:v>
                </c:pt>
                <c:pt idx="67">
                  <c:v>33.872201257861633</c:v>
                </c:pt>
                <c:pt idx="68">
                  <c:v>33.504025157232704</c:v>
                </c:pt>
                <c:pt idx="69">
                  <c:v>33.135849056603774</c:v>
                </c:pt>
                <c:pt idx="70">
                  <c:v>32.767672955974845</c:v>
                </c:pt>
                <c:pt idx="71">
                  <c:v>32.399496855345909</c:v>
                </c:pt>
                <c:pt idx="72">
                  <c:v>32.03132075471698</c:v>
                </c:pt>
                <c:pt idx="73">
                  <c:v>31.66314465408805</c:v>
                </c:pt>
                <c:pt idx="74">
                  <c:v>31.294968553459118</c:v>
                </c:pt>
                <c:pt idx="75">
                  <c:v>30.926792452830188</c:v>
                </c:pt>
                <c:pt idx="76">
                  <c:v>30.558616352201255</c:v>
                </c:pt>
                <c:pt idx="77">
                  <c:v>30.190440251572326</c:v>
                </c:pt>
                <c:pt idx="78">
                  <c:v>29.822264150943397</c:v>
                </c:pt>
                <c:pt idx="79">
                  <c:v>29.454088050314464</c:v>
                </c:pt>
                <c:pt idx="80">
                  <c:v>29.085911949685535</c:v>
                </c:pt>
                <c:pt idx="81">
                  <c:v>28.717735849056606</c:v>
                </c:pt>
                <c:pt idx="82">
                  <c:v>28.349559748427673</c:v>
                </c:pt>
                <c:pt idx="83">
                  <c:v>27.981383647798744</c:v>
                </c:pt>
                <c:pt idx="84">
                  <c:v>27.613207547169811</c:v>
                </c:pt>
                <c:pt idx="85">
                  <c:v>27.245031446540882</c:v>
                </c:pt>
                <c:pt idx="86">
                  <c:v>26.876855345911952</c:v>
                </c:pt>
                <c:pt idx="87">
                  <c:v>26.50867924528302</c:v>
                </c:pt>
                <c:pt idx="88">
                  <c:v>26.14050314465409</c:v>
                </c:pt>
                <c:pt idx="89">
                  <c:v>25.772327044025161</c:v>
                </c:pt>
                <c:pt idx="90">
                  <c:v>25.404150943396225</c:v>
                </c:pt>
                <c:pt idx="91">
                  <c:v>25.035974842767295</c:v>
                </c:pt>
                <c:pt idx="92">
                  <c:v>24.667798742138359</c:v>
                </c:pt>
                <c:pt idx="93">
                  <c:v>24.29962264150943</c:v>
                </c:pt>
                <c:pt idx="94">
                  <c:v>23.931446540880501</c:v>
                </c:pt>
                <c:pt idx="95">
                  <c:v>23.563270440251571</c:v>
                </c:pt>
                <c:pt idx="96">
                  <c:v>23.195094339622642</c:v>
                </c:pt>
                <c:pt idx="97">
                  <c:v>22.826918238993706</c:v>
                </c:pt>
                <c:pt idx="98">
                  <c:v>22.458742138364777</c:v>
                </c:pt>
                <c:pt idx="99">
                  <c:v>22.090566037735847</c:v>
                </c:pt>
                <c:pt idx="100">
                  <c:v>21.722389937106918</c:v>
                </c:pt>
                <c:pt idx="101">
                  <c:v>21.354213836477989</c:v>
                </c:pt>
                <c:pt idx="102">
                  <c:v>20.98603773584906</c:v>
                </c:pt>
                <c:pt idx="103">
                  <c:v>20.617861635220123</c:v>
                </c:pt>
                <c:pt idx="104">
                  <c:v>20.249685534591194</c:v>
                </c:pt>
                <c:pt idx="105">
                  <c:v>19.881509433962265</c:v>
                </c:pt>
                <c:pt idx="106">
                  <c:v>19.513333333333335</c:v>
                </c:pt>
                <c:pt idx="107">
                  <c:v>19.145157232704406</c:v>
                </c:pt>
                <c:pt idx="108">
                  <c:v>18.77698113207547</c:v>
                </c:pt>
                <c:pt idx="109">
                  <c:v>18.408805031446541</c:v>
                </c:pt>
                <c:pt idx="110">
                  <c:v>18.040628930817611</c:v>
                </c:pt>
                <c:pt idx="111">
                  <c:v>17.672452830188682</c:v>
                </c:pt>
                <c:pt idx="112">
                  <c:v>17.304276729559753</c:v>
                </c:pt>
                <c:pt idx="113">
                  <c:v>16.936100628930816</c:v>
                </c:pt>
                <c:pt idx="114">
                  <c:v>16.567924528301887</c:v>
                </c:pt>
                <c:pt idx="115">
                  <c:v>16.199748427672958</c:v>
                </c:pt>
                <c:pt idx="116">
                  <c:v>15.831572327044022</c:v>
                </c:pt>
                <c:pt idx="117">
                  <c:v>15.463396226415092</c:v>
                </c:pt>
                <c:pt idx="118">
                  <c:v>15.095220125786163</c:v>
                </c:pt>
                <c:pt idx="119">
                  <c:v>14.727044025157234</c:v>
                </c:pt>
                <c:pt idx="120">
                  <c:v>14.358867924528298</c:v>
                </c:pt>
                <c:pt idx="121">
                  <c:v>13.990691823899368</c:v>
                </c:pt>
                <c:pt idx="122">
                  <c:v>13.622515723270439</c:v>
                </c:pt>
                <c:pt idx="123">
                  <c:v>13.25433962264151</c:v>
                </c:pt>
                <c:pt idx="124">
                  <c:v>12.886163522012581</c:v>
                </c:pt>
                <c:pt idx="125">
                  <c:v>12.517987421383644</c:v>
                </c:pt>
                <c:pt idx="126">
                  <c:v>12.149811320754715</c:v>
                </c:pt>
                <c:pt idx="127">
                  <c:v>11.781635220125786</c:v>
                </c:pt>
                <c:pt idx="128">
                  <c:v>11.413459119496856</c:v>
                </c:pt>
                <c:pt idx="129">
                  <c:v>11.045283018867927</c:v>
                </c:pt>
                <c:pt idx="130">
                  <c:v>10.677106918238991</c:v>
                </c:pt>
                <c:pt idx="131">
                  <c:v>10.308930817610062</c:v>
                </c:pt>
                <c:pt idx="132">
                  <c:v>9.9407547169811323</c:v>
                </c:pt>
                <c:pt idx="133">
                  <c:v>9.5725786163522031</c:v>
                </c:pt>
                <c:pt idx="134">
                  <c:v>9.2044025157232738</c:v>
                </c:pt>
                <c:pt idx="135">
                  <c:v>8.8362264150943446</c:v>
                </c:pt>
                <c:pt idx="136">
                  <c:v>8.4680503144654082</c:v>
                </c:pt>
                <c:pt idx="137">
                  <c:v>8.099874213836479</c:v>
                </c:pt>
                <c:pt idx="138">
                  <c:v>7.7316981132075497</c:v>
                </c:pt>
                <c:pt idx="139">
                  <c:v>7.3635220125786205</c:v>
                </c:pt>
                <c:pt idx="140">
                  <c:v>6.9953459119496841</c:v>
                </c:pt>
                <c:pt idx="141">
                  <c:v>6.6271698113207549</c:v>
                </c:pt>
                <c:pt idx="142">
                  <c:v>6.2589937106918185</c:v>
                </c:pt>
                <c:pt idx="143">
                  <c:v>5.8908176100628964</c:v>
                </c:pt>
                <c:pt idx="144">
                  <c:v>5.52264150943396</c:v>
                </c:pt>
                <c:pt idx="145">
                  <c:v>5.1544654088050379</c:v>
                </c:pt>
                <c:pt idx="146">
                  <c:v>4.7862893081761015</c:v>
                </c:pt>
                <c:pt idx="147">
                  <c:v>4.4181132075471723</c:v>
                </c:pt>
                <c:pt idx="148">
                  <c:v>4.0499371069182359</c:v>
                </c:pt>
                <c:pt idx="149">
                  <c:v>3.6817610062893138</c:v>
                </c:pt>
                <c:pt idx="150">
                  <c:v>3.3135849056603774</c:v>
                </c:pt>
                <c:pt idx="151">
                  <c:v>2.9454088050314482</c:v>
                </c:pt>
                <c:pt idx="152">
                  <c:v>2.5772327044025118</c:v>
                </c:pt>
                <c:pt idx="153">
                  <c:v>2.2090566037735897</c:v>
                </c:pt>
                <c:pt idx="154">
                  <c:v>1.8408805031446533</c:v>
                </c:pt>
                <c:pt idx="155">
                  <c:v>1.472704402515717</c:v>
                </c:pt>
                <c:pt idx="156">
                  <c:v>1.1045283018867948</c:v>
                </c:pt>
                <c:pt idx="157">
                  <c:v>0.7363522012578585</c:v>
                </c:pt>
                <c:pt idx="158">
                  <c:v>0.36817610062892925</c:v>
                </c:pt>
                <c:pt idx="159">
                  <c:v>-7.1054273576010019E-15</c:v>
                </c:pt>
              </c:numCache>
            </c:numRef>
          </c:val>
          <c:smooth val="0"/>
          <c:extLst>
            <c:ext xmlns:c16="http://schemas.microsoft.com/office/drawing/2014/chart" uri="{C3380CC4-5D6E-409C-BE32-E72D297353CC}">
              <c16:uniqueId val="{00000001-2CE5-483F-8D8F-7AA83FA1A5D5}"/>
            </c:ext>
          </c:extLst>
        </c:ser>
        <c:dLbls>
          <c:showLegendKey val="0"/>
          <c:showVal val="0"/>
          <c:showCatName val="0"/>
          <c:showSerName val="0"/>
          <c:showPercent val="0"/>
          <c:showBubbleSize val="0"/>
        </c:dLbls>
        <c:hiLowLines>
          <c:spPr>
            <a:ln w="0">
              <a:noFill/>
            </a:ln>
          </c:spPr>
        </c:hiLowLines>
        <c:marker val="1"/>
        <c:smooth val="0"/>
        <c:axId val="66371789"/>
        <c:axId val="29452428"/>
      </c:lineChart>
      <c:dateAx>
        <c:axId val="94269117"/>
        <c:scaling>
          <c:orientation val="minMax"/>
        </c:scaling>
        <c:delete val="1"/>
        <c:axPos val="b"/>
        <c:numFmt formatCode="mm/dd/yyyy" sourceLinked="1"/>
        <c:majorTickMark val="none"/>
        <c:minorTickMark val="none"/>
        <c:tickLblPos val="nextTo"/>
        <c:crossAx val="83611219"/>
        <c:crosses val="autoZero"/>
        <c:auto val="1"/>
        <c:lblOffset val="100"/>
        <c:baseTimeUnit val="days"/>
      </c:dateAx>
      <c:valAx>
        <c:axId val="83611219"/>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94269117"/>
        <c:crosses val="autoZero"/>
        <c:crossBetween val="between"/>
      </c:valAx>
      <c:dateAx>
        <c:axId val="66371789"/>
        <c:scaling>
          <c:orientation val="minMax"/>
        </c:scaling>
        <c:delete val="1"/>
        <c:axPos val="b"/>
        <c:numFmt formatCode="mm/dd/yyyy" sourceLinked="1"/>
        <c:majorTickMark val="none"/>
        <c:minorTickMark val="none"/>
        <c:tickLblPos val="nextTo"/>
        <c:crossAx val="29452428"/>
        <c:crosses val="autoZero"/>
        <c:auto val="1"/>
        <c:lblOffset val="100"/>
        <c:baseTimeUnit val="days"/>
      </c:dateAx>
      <c:valAx>
        <c:axId val="29452428"/>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66371789"/>
        <c:crosses val="max"/>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VFLO</a:t>
            </a:r>
          </a:p>
        </c:rich>
      </c:tx>
      <c:overlay val="0"/>
      <c:spPr>
        <a:noFill/>
        <a:ln w="0">
          <a:noFill/>
        </a:ln>
      </c:spPr>
    </c:title>
    <c:autoTitleDeleted val="0"/>
    <c:plotArea>
      <c:layout/>
      <c:barChart>
        <c:barDir val="col"/>
        <c:grouping val="clustered"/>
        <c:varyColors val="0"/>
        <c:ser>
          <c:idx val="0"/>
          <c:order val="0"/>
          <c:tx>
            <c:strRef>
              <c:f>'Returns (Calc)'!$T$2</c:f>
              <c:strCache>
                <c:ptCount val="1"/>
                <c:pt idx="0">
                  <c:v>VFLO</c:v>
                </c:pt>
              </c:strCache>
            </c:strRef>
          </c:tx>
          <c:spPr>
            <a:solidFill>
              <a:srgbClr val="4F81BD"/>
            </a:solidFill>
            <a:ln w="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45156</c:v>
                </c:pt>
                <c:pt idx="1">
                  <c:v>45163</c:v>
                </c:pt>
                <c:pt idx="2">
                  <c:v>45170</c:v>
                </c:pt>
                <c:pt idx="3">
                  <c:v>45177</c:v>
                </c:pt>
                <c:pt idx="4">
                  <c:v>45184</c:v>
                </c:pt>
                <c:pt idx="5">
                  <c:v>45191</c:v>
                </c:pt>
                <c:pt idx="6">
                  <c:v>45198</c:v>
                </c:pt>
                <c:pt idx="7">
                  <c:v>45205</c:v>
                </c:pt>
                <c:pt idx="8">
                  <c:v>45212</c:v>
                </c:pt>
                <c:pt idx="9">
                  <c:v>45219</c:v>
                </c:pt>
                <c:pt idx="10">
                  <c:v>45226</c:v>
                </c:pt>
                <c:pt idx="11">
                  <c:v>45233</c:v>
                </c:pt>
                <c:pt idx="12">
                  <c:v>45240</c:v>
                </c:pt>
                <c:pt idx="13">
                  <c:v>45247</c:v>
                </c:pt>
                <c:pt idx="14">
                  <c:v>45254</c:v>
                </c:pt>
                <c:pt idx="15">
                  <c:v>45261</c:v>
                </c:pt>
                <c:pt idx="16">
                  <c:v>45268</c:v>
                </c:pt>
                <c:pt idx="17">
                  <c:v>45275</c:v>
                </c:pt>
                <c:pt idx="18">
                  <c:v>45282</c:v>
                </c:pt>
                <c:pt idx="19">
                  <c:v>45289</c:v>
                </c:pt>
                <c:pt idx="20">
                  <c:v>45296</c:v>
                </c:pt>
                <c:pt idx="21">
                  <c:v>45303</c:v>
                </c:pt>
                <c:pt idx="22">
                  <c:v>45310</c:v>
                </c:pt>
                <c:pt idx="23">
                  <c:v>45317</c:v>
                </c:pt>
                <c:pt idx="24">
                  <c:v>45324</c:v>
                </c:pt>
                <c:pt idx="25">
                  <c:v>45331</c:v>
                </c:pt>
                <c:pt idx="26">
                  <c:v>45338</c:v>
                </c:pt>
                <c:pt idx="27">
                  <c:v>45345</c:v>
                </c:pt>
                <c:pt idx="28">
                  <c:v>45352</c:v>
                </c:pt>
                <c:pt idx="29">
                  <c:v>45359</c:v>
                </c:pt>
                <c:pt idx="30">
                  <c:v>45366</c:v>
                </c:pt>
                <c:pt idx="31">
                  <c:v>45373</c:v>
                </c:pt>
                <c:pt idx="32">
                  <c:v>45379</c:v>
                </c:pt>
                <c:pt idx="33">
                  <c:v>45387</c:v>
                </c:pt>
                <c:pt idx="34">
                  <c:v>45394</c:v>
                </c:pt>
                <c:pt idx="35">
                  <c:v>45401</c:v>
                </c:pt>
                <c:pt idx="36">
                  <c:v>45408</c:v>
                </c:pt>
                <c:pt idx="37">
                  <c:v>45415</c:v>
                </c:pt>
                <c:pt idx="38">
                  <c:v>45422</c:v>
                </c:pt>
                <c:pt idx="39">
                  <c:v>45429</c:v>
                </c:pt>
                <c:pt idx="40">
                  <c:v>45436</c:v>
                </c:pt>
                <c:pt idx="41">
                  <c:v>45443</c:v>
                </c:pt>
                <c:pt idx="42">
                  <c:v>45450</c:v>
                </c:pt>
                <c:pt idx="43">
                  <c:v>45457</c:v>
                </c:pt>
                <c:pt idx="44">
                  <c:v>45464</c:v>
                </c:pt>
                <c:pt idx="45">
                  <c:v>45471</c:v>
                </c:pt>
                <c:pt idx="46">
                  <c:v>45478</c:v>
                </c:pt>
                <c:pt idx="47">
                  <c:v>45485</c:v>
                </c:pt>
                <c:pt idx="48">
                  <c:v>45492</c:v>
                </c:pt>
                <c:pt idx="49">
                  <c:v>45499</c:v>
                </c:pt>
                <c:pt idx="50">
                  <c:v>45506</c:v>
                </c:pt>
                <c:pt idx="51">
                  <c:v>45513</c:v>
                </c:pt>
                <c:pt idx="52">
                  <c:v>45520</c:v>
                </c:pt>
                <c:pt idx="53">
                  <c:v>45527</c:v>
                </c:pt>
                <c:pt idx="54">
                  <c:v>45534</c:v>
                </c:pt>
                <c:pt idx="55">
                  <c:v>45541</c:v>
                </c:pt>
                <c:pt idx="56">
                  <c:v>45548</c:v>
                </c:pt>
                <c:pt idx="57">
                  <c:v>45555</c:v>
                </c:pt>
                <c:pt idx="58">
                  <c:v>45562</c:v>
                </c:pt>
                <c:pt idx="59">
                  <c:v>45569</c:v>
                </c:pt>
                <c:pt idx="60">
                  <c:v>45576</c:v>
                </c:pt>
                <c:pt idx="61">
                  <c:v>45583</c:v>
                </c:pt>
                <c:pt idx="62">
                  <c:v>45590</c:v>
                </c:pt>
                <c:pt idx="63">
                  <c:v>45597</c:v>
                </c:pt>
                <c:pt idx="64">
                  <c:v>45604</c:v>
                </c:pt>
                <c:pt idx="65">
                  <c:v>45611</c:v>
                </c:pt>
                <c:pt idx="66">
                  <c:v>45618</c:v>
                </c:pt>
                <c:pt idx="67">
                  <c:v>45625</c:v>
                </c:pt>
                <c:pt idx="68">
                  <c:v>45632</c:v>
                </c:pt>
                <c:pt idx="69">
                  <c:v>45639</c:v>
                </c:pt>
                <c:pt idx="70">
                  <c:v>45646</c:v>
                </c:pt>
                <c:pt idx="71">
                  <c:v>45653</c:v>
                </c:pt>
                <c:pt idx="72">
                  <c:v>45660</c:v>
                </c:pt>
                <c:pt idx="73">
                  <c:v>45667</c:v>
                </c:pt>
                <c:pt idx="74">
                  <c:v>45674</c:v>
                </c:pt>
                <c:pt idx="75">
                  <c:v>45681</c:v>
                </c:pt>
                <c:pt idx="76">
                  <c:v>45688</c:v>
                </c:pt>
                <c:pt idx="77">
                  <c:v>45695</c:v>
                </c:pt>
                <c:pt idx="78">
                  <c:v>45702</c:v>
                </c:pt>
                <c:pt idx="79">
                  <c:v>45709</c:v>
                </c:pt>
                <c:pt idx="80">
                  <c:v>45716</c:v>
                </c:pt>
                <c:pt idx="81">
                  <c:v>45723</c:v>
                </c:pt>
                <c:pt idx="82">
                  <c:v>45730</c:v>
                </c:pt>
                <c:pt idx="83">
                  <c:v>45737</c:v>
                </c:pt>
                <c:pt idx="84">
                  <c:v>45744</c:v>
                </c:pt>
                <c:pt idx="85">
                  <c:v>45751</c:v>
                </c:pt>
                <c:pt idx="86">
                  <c:v>45758</c:v>
                </c:pt>
                <c:pt idx="87">
                  <c:v>45764</c:v>
                </c:pt>
                <c:pt idx="88">
                  <c:v>45772</c:v>
                </c:pt>
                <c:pt idx="89">
                  <c:v>45779</c:v>
                </c:pt>
                <c:pt idx="90">
                  <c:v>45786</c:v>
                </c:pt>
                <c:pt idx="91">
                  <c:v>45793</c:v>
                </c:pt>
                <c:pt idx="92">
                  <c:v>45800</c:v>
                </c:pt>
                <c:pt idx="93">
                  <c:v>45807</c:v>
                </c:pt>
                <c:pt idx="94">
                  <c:v>45814</c:v>
                </c:pt>
                <c:pt idx="95">
                  <c:v>45821</c:v>
                </c:pt>
                <c:pt idx="96">
                  <c:v>45828</c:v>
                </c:pt>
                <c:pt idx="97">
                  <c:v>45835</c:v>
                </c:pt>
                <c:pt idx="98">
                  <c:v>45841</c:v>
                </c:pt>
                <c:pt idx="99">
                  <c:v>45849</c:v>
                </c:pt>
                <c:pt idx="100">
                  <c:v>45856</c:v>
                </c:pt>
                <c:pt idx="101">
                  <c:v>45863</c:v>
                </c:pt>
                <c:pt idx="102">
                  <c:v>45870</c:v>
                </c:pt>
                <c:pt idx="103">
                  <c:v>45877</c:v>
                </c:pt>
                <c:pt idx="104">
                  <c:v>45884</c:v>
                </c:pt>
                <c:pt idx="105">
                  <c:v>45891</c:v>
                </c:pt>
                <c:pt idx="106">
                  <c:v>45898</c:v>
                </c:pt>
                <c:pt idx="107">
                  <c:v>45905</c:v>
                </c:pt>
                <c:pt idx="108">
                  <c:v>45912</c:v>
                </c:pt>
                <c:pt idx="109">
                  <c:v>45919</c:v>
                </c:pt>
                <c:pt idx="110">
                  <c:v>45926</c:v>
                </c:pt>
                <c:pt idx="111">
                  <c:v>45933</c:v>
                </c:pt>
                <c:pt idx="112">
                  <c:v>45940</c:v>
                </c:pt>
                <c:pt idx="113">
                  <c:v>45947</c:v>
                </c:pt>
                <c:pt idx="114">
                  <c:v>45954</c:v>
                </c:pt>
                <c:pt idx="115">
                  <c:v>45961</c:v>
                </c:pt>
                <c:pt idx="116">
                  <c:v>45968</c:v>
                </c:pt>
                <c:pt idx="117">
                  <c:v>45975</c:v>
                </c:pt>
                <c:pt idx="118">
                  <c:v>45982</c:v>
                </c:pt>
                <c:pt idx="119">
                  <c:v>45989</c:v>
                </c:pt>
                <c:pt idx="120">
                  <c:v>45996</c:v>
                </c:pt>
                <c:pt idx="121">
                  <c:v>46003</c:v>
                </c:pt>
                <c:pt idx="122">
                  <c:v>46010</c:v>
                </c:pt>
                <c:pt idx="123">
                  <c:v>46017</c:v>
                </c:pt>
                <c:pt idx="124">
                  <c:v>46024</c:v>
                </c:pt>
                <c:pt idx="125">
                  <c:v>46031</c:v>
                </c:pt>
                <c:pt idx="126">
                  <c:v>46038</c:v>
                </c:pt>
                <c:pt idx="127">
                  <c:v>46045</c:v>
                </c:pt>
                <c:pt idx="128">
                  <c:v>46052</c:v>
                </c:pt>
                <c:pt idx="129">
                  <c:v>46059</c:v>
                </c:pt>
                <c:pt idx="130">
                  <c:v>46066</c:v>
                </c:pt>
                <c:pt idx="131">
                  <c:v>46073</c:v>
                </c:pt>
                <c:pt idx="132">
                  <c:v>46080</c:v>
                </c:pt>
                <c:pt idx="133">
                  <c:v>46087</c:v>
                </c:pt>
                <c:pt idx="134">
                  <c:v>46094</c:v>
                </c:pt>
                <c:pt idx="135">
                  <c:v>46101</c:v>
                </c:pt>
                <c:pt idx="136">
                  <c:v>46108</c:v>
                </c:pt>
                <c:pt idx="137">
                  <c:v>46114</c:v>
                </c:pt>
                <c:pt idx="138">
                  <c:v>46122</c:v>
                </c:pt>
                <c:pt idx="139">
                  <c:v>46129</c:v>
                </c:pt>
                <c:pt idx="140">
                  <c:v>46136</c:v>
                </c:pt>
                <c:pt idx="141">
                  <c:v>46143</c:v>
                </c:pt>
                <c:pt idx="142">
                  <c:v>46150</c:v>
                </c:pt>
                <c:pt idx="143">
                  <c:v>46157</c:v>
                </c:pt>
                <c:pt idx="144">
                  <c:v>46164</c:v>
                </c:pt>
                <c:pt idx="145">
                  <c:v>46171</c:v>
                </c:pt>
                <c:pt idx="146">
                  <c:v>46178</c:v>
                </c:pt>
                <c:pt idx="147">
                  <c:v>46185</c:v>
                </c:pt>
                <c:pt idx="148">
                  <c:v>46191</c:v>
                </c:pt>
                <c:pt idx="149">
                  <c:v>46199</c:v>
                </c:pt>
                <c:pt idx="150">
                  <c:v>46205</c:v>
                </c:pt>
                <c:pt idx="151">
                  <c:v>46213</c:v>
                </c:pt>
                <c:pt idx="152">
                  <c:v>46220</c:v>
                </c:pt>
                <c:pt idx="153">
                  <c:v>46227</c:v>
                </c:pt>
                <c:pt idx="154">
                  <c:v>46234</c:v>
                </c:pt>
                <c:pt idx="155">
                  <c:v>46241</c:v>
                </c:pt>
                <c:pt idx="156">
                  <c:v>46248</c:v>
                </c:pt>
                <c:pt idx="157">
                  <c:v>46255</c:v>
                </c:pt>
                <c:pt idx="158">
                  <c:v>46262</c:v>
                </c:pt>
                <c:pt idx="159">
                  <c:v>46269</c:v>
                </c:pt>
              </c:numCache>
            </c:numRef>
          </c:cat>
          <c:val>
            <c:numRef>
              <c:f>'Returns (Calc)'!$T$3:$T$500</c:f>
              <c:numCache>
                <c:formatCode>0.0%</c:formatCode>
                <c:ptCount val="498"/>
                <c:pt idx="0">
                  <c:v>-2.6755852842809347E-2</c:v>
                </c:pt>
                <c:pt idx="1">
                  <c:v>-8.0183276059565545E-3</c:v>
                </c:pt>
                <c:pt idx="2">
                  <c:v>2.6173979984603468E-2</c:v>
                </c:pt>
                <c:pt idx="3">
                  <c:v>-7.1267816954239116E-3</c:v>
                </c:pt>
                <c:pt idx="4">
                  <c:v>-6.4223649414431039E-3</c:v>
                </c:pt>
                <c:pt idx="5">
                  <c:v>-1.4828897338403091E-2</c:v>
                </c:pt>
                <c:pt idx="6">
                  <c:v>2.7016595908915253E-3</c:v>
                </c:pt>
                <c:pt idx="7">
                  <c:v>-1.8475750577367167E-2</c:v>
                </c:pt>
                <c:pt idx="8">
                  <c:v>1.2941176470588234E-2</c:v>
                </c:pt>
                <c:pt idx="9">
                  <c:v>-1.2775842044134622E-2</c:v>
                </c:pt>
                <c:pt idx="10">
                  <c:v>-3.2941176470588251E-2</c:v>
                </c:pt>
                <c:pt idx="11">
                  <c:v>5.8799675587996703E-2</c:v>
                </c:pt>
                <c:pt idx="12">
                  <c:v>-6.8939103791650913E-3</c:v>
                </c:pt>
                <c:pt idx="13">
                  <c:v>2.5453143077516449E-2</c:v>
                </c:pt>
                <c:pt idx="14">
                  <c:v>7.1455434373826066E-3</c:v>
                </c:pt>
                <c:pt idx="15">
                  <c:v>1.344286781179993E-2</c:v>
                </c:pt>
                <c:pt idx="16">
                  <c:v>8.8430361090641174E-3</c:v>
                </c:pt>
                <c:pt idx="17">
                  <c:v>2.7757487216946819E-2</c:v>
                </c:pt>
                <c:pt idx="18">
                  <c:v>9.5948827292111627E-3</c:v>
                </c:pt>
                <c:pt idx="19">
                  <c:v>-2.4639211545230966E-3</c:v>
                </c:pt>
                <c:pt idx="20">
                  <c:v>1.0585744530700048E-3</c:v>
                </c:pt>
                <c:pt idx="21">
                  <c:v>-2.8198801550934904E-3</c:v>
                </c:pt>
                <c:pt idx="22">
                  <c:v>-9.5440084835630712E-3</c:v>
                </c:pt>
                <c:pt idx="23">
                  <c:v>8.2084225553176182E-3</c:v>
                </c:pt>
                <c:pt idx="24">
                  <c:v>9.5575221238937136E-3</c:v>
                </c:pt>
                <c:pt idx="25">
                  <c:v>3.8569424964935983E-3</c:v>
                </c:pt>
                <c:pt idx="26">
                  <c:v>8.3828152287810376E-3</c:v>
                </c:pt>
                <c:pt idx="27">
                  <c:v>2.1821960512642846E-2</c:v>
                </c:pt>
                <c:pt idx="28">
                  <c:v>2.2033898305084731E-2</c:v>
                </c:pt>
                <c:pt idx="29">
                  <c:v>1.9568822553897247E-2</c:v>
                </c:pt>
                <c:pt idx="30">
                  <c:v>1.3662979830839417E-2</c:v>
                </c:pt>
                <c:pt idx="31">
                  <c:v>2.4069319640564801E-2</c:v>
                </c:pt>
                <c:pt idx="32">
                  <c:v>1.5669069257286061E-2</c:v>
                </c:pt>
                <c:pt idx="33">
                  <c:v>-2.4683739586547349E-3</c:v>
                </c:pt>
                <c:pt idx="34">
                  <c:v>-2.5982060006186192E-2</c:v>
                </c:pt>
                <c:pt idx="35">
                  <c:v>-1.7783423308986968E-2</c:v>
                </c:pt>
                <c:pt idx="36">
                  <c:v>1.2609117361784605E-2</c:v>
                </c:pt>
                <c:pt idx="37">
                  <c:v>-1.5644955300127772E-2</c:v>
                </c:pt>
                <c:pt idx="38">
                  <c:v>2.2056438533895717E-2</c:v>
                </c:pt>
                <c:pt idx="39">
                  <c:v>9.2034274833385776E-3</c:v>
                </c:pt>
                <c:pt idx="40">
                  <c:v>-1.6981132075471694E-2</c:v>
                </c:pt>
                <c:pt idx="41">
                  <c:v>1.1516314779270509E-2</c:v>
                </c:pt>
                <c:pt idx="42">
                  <c:v>-2.1189120809614215E-2</c:v>
                </c:pt>
                <c:pt idx="43">
                  <c:v>-4.2003231017769815E-3</c:v>
                </c:pt>
                <c:pt idx="44">
                  <c:v>9.7339390006490056E-3</c:v>
                </c:pt>
                <c:pt idx="45">
                  <c:v>-6.4267352185090054E-3</c:v>
                </c:pt>
                <c:pt idx="46">
                  <c:v>-2.0051746442432128E-2</c:v>
                </c:pt>
                <c:pt idx="47">
                  <c:v>3.8283828382838392E-2</c:v>
                </c:pt>
                <c:pt idx="48">
                  <c:v>1.5257469802924417E-2</c:v>
                </c:pt>
                <c:pt idx="49">
                  <c:v>1.784596117720727E-2</c:v>
                </c:pt>
                <c:pt idx="50">
                  <c:v>-2.8606582589972285E-2</c:v>
                </c:pt>
                <c:pt idx="51">
                  <c:v>-1.5832805573147146E-3</c:v>
                </c:pt>
                <c:pt idx="52">
                  <c:v>1.6175071360608806E-2</c:v>
                </c:pt>
                <c:pt idx="53">
                  <c:v>3.277153558052448E-2</c:v>
                </c:pt>
                <c:pt idx="54">
                  <c:v>3.3242671501965138E-3</c:v>
                </c:pt>
                <c:pt idx="55">
                  <c:v>-4.1265060240963991E-2</c:v>
                </c:pt>
                <c:pt idx="56">
                  <c:v>2.3562676720075393E-2</c:v>
                </c:pt>
                <c:pt idx="57">
                  <c:v>1.7188459177409632E-2</c:v>
                </c:pt>
                <c:pt idx="58">
                  <c:v>2.1122510561255581E-3</c:v>
                </c:pt>
                <c:pt idx="59">
                  <c:v>1.866907557964459E-2</c:v>
                </c:pt>
                <c:pt idx="60">
                  <c:v>3.547147502217074E-3</c:v>
                </c:pt>
                <c:pt idx="61">
                  <c:v>-4.7128129602357349E-3</c:v>
                </c:pt>
                <c:pt idx="62">
                  <c:v>-1.9236460491269591E-2</c:v>
                </c:pt>
                <c:pt idx="63">
                  <c:v>6.0350030174993741E-4</c:v>
                </c:pt>
                <c:pt idx="64">
                  <c:v>7.7503015681543941E-2</c:v>
                </c:pt>
                <c:pt idx="65">
                  <c:v>-1.5393226980128683E-2</c:v>
                </c:pt>
                <c:pt idx="66">
                  <c:v>3.8658328595793101E-2</c:v>
                </c:pt>
                <c:pt idx="67">
                  <c:v>1.9157088122605526E-3</c:v>
                </c:pt>
                <c:pt idx="68">
                  <c:v>-8.1944823818635992E-4</c:v>
                </c:pt>
                <c:pt idx="69">
                  <c:v>-4.401312192454887E-2</c:v>
                </c:pt>
                <c:pt idx="70">
                  <c:v>-3.059765513297108E-2</c:v>
                </c:pt>
                <c:pt idx="71">
                  <c:v>9.1445427728613637E-3</c:v>
                </c:pt>
                <c:pt idx="72">
                  <c:v>7.6001169248756106E-3</c:v>
                </c:pt>
                <c:pt idx="73">
                  <c:v>-2.9010733971568392E-4</c:v>
                </c:pt>
                <c:pt idx="74">
                  <c:v>3.859547301218802E-2</c:v>
                </c:pt>
                <c:pt idx="75">
                  <c:v>2.5146689019279744E-3</c:v>
                </c:pt>
                <c:pt idx="76">
                  <c:v>-1.0312151616499565E-2</c:v>
                </c:pt>
                <c:pt idx="77">
                  <c:v>-8.7299352295127086E-3</c:v>
                </c:pt>
                <c:pt idx="78">
                  <c:v>1.1647727272727115E-2</c:v>
                </c:pt>
                <c:pt idx="79">
                  <c:v>-3.3698399326030914E-3</c:v>
                </c:pt>
                <c:pt idx="80">
                  <c:v>-4.7900817131586448E-3</c:v>
                </c:pt>
                <c:pt idx="81">
                  <c:v>-1.4439411098527644E-2</c:v>
                </c:pt>
                <c:pt idx="82">
                  <c:v>-2.0683711577133002E-2</c:v>
                </c:pt>
                <c:pt idx="83">
                  <c:v>1.7013787034320771E-2</c:v>
                </c:pt>
                <c:pt idx="84">
                  <c:v>-1.6440726853187204E-2</c:v>
                </c:pt>
                <c:pt idx="85">
                  <c:v>-9.2375366568914985E-2</c:v>
                </c:pt>
                <c:pt idx="86">
                  <c:v>1.9709208400646272E-2</c:v>
                </c:pt>
                <c:pt idx="87">
                  <c:v>6.9708491761724112E-3</c:v>
                </c:pt>
                <c:pt idx="88">
                  <c:v>3.3039647577092435E-2</c:v>
                </c:pt>
                <c:pt idx="89">
                  <c:v>1.9189765458422325E-2</c:v>
                </c:pt>
                <c:pt idx="90">
                  <c:v>-1.7931858936043321E-3</c:v>
                </c:pt>
                <c:pt idx="91">
                  <c:v>4.3113772455090071E-2</c:v>
                </c:pt>
                <c:pt idx="92">
                  <c:v>-3.4730195177956391E-2</c:v>
                </c:pt>
                <c:pt idx="93">
                  <c:v>7.7311923877489974E-3</c:v>
                </c:pt>
                <c:pt idx="94">
                  <c:v>2.3605783416936976E-2</c:v>
                </c:pt>
                <c:pt idx="95">
                  <c:v>1.0954165465552057E-2</c:v>
                </c:pt>
                <c:pt idx="96">
                  <c:v>-1.1405759908753588E-3</c:v>
                </c:pt>
                <c:pt idx="97">
                  <c:v>8.5640879246360324E-3</c:v>
                </c:pt>
                <c:pt idx="98">
                  <c:v>1.2454005094820308E-2</c:v>
                </c:pt>
                <c:pt idx="99">
                  <c:v>1.9569471624265589E-3</c:v>
                </c:pt>
                <c:pt idx="100">
                  <c:v>-2.1205357142857317E-2</c:v>
                </c:pt>
                <c:pt idx="101">
                  <c:v>2.1949828962371853E-2</c:v>
                </c:pt>
                <c:pt idx="102">
                  <c:v>-4.1841004184100417E-2</c:v>
                </c:pt>
                <c:pt idx="103">
                  <c:v>9.898107714701565E-3</c:v>
                </c:pt>
                <c:pt idx="104">
                  <c:v>3.9492649178437755E-2</c:v>
                </c:pt>
                <c:pt idx="105">
                  <c:v>2.5790349417637248E-2</c:v>
                </c:pt>
                <c:pt idx="106">
                  <c:v>9.1916734252499577E-3</c:v>
                </c:pt>
                <c:pt idx="107">
                  <c:v>7.500669702652063E-3</c:v>
                </c:pt>
                <c:pt idx="108">
                  <c:v>-2.9247540547726603E-3</c:v>
                </c:pt>
                <c:pt idx="109">
                  <c:v>-1.3333333333332975E-3</c:v>
                </c:pt>
                <c:pt idx="110">
                  <c:v>7.7436582109478014E-3</c:v>
                </c:pt>
                <c:pt idx="111">
                  <c:v>3.444621091679867E-3</c:v>
                </c:pt>
                <c:pt idx="112">
                  <c:v>-3.4063902825455461E-2</c:v>
                </c:pt>
                <c:pt idx="113">
                  <c:v>1.3942044833242351E-2</c:v>
                </c:pt>
                <c:pt idx="114">
                  <c:v>2.6152601779455331E-2</c:v>
                </c:pt>
                <c:pt idx="115">
                  <c:v>-6.3058328954282983E-3</c:v>
                </c:pt>
                <c:pt idx="116">
                  <c:v>1.5864621893177944E-3</c:v>
                </c:pt>
                <c:pt idx="117">
                  <c:v>1.1087645195353657E-2</c:v>
                </c:pt>
                <c:pt idx="118">
                  <c:v>-2.0104438642297495E-2</c:v>
                </c:pt>
                <c:pt idx="119">
                  <c:v>3.4372501998401361E-2</c:v>
                </c:pt>
                <c:pt idx="120">
                  <c:v>1.5455950540958385E-2</c:v>
                </c:pt>
                <c:pt idx="121">
                  <c:v>7.102993404363378E-3</c:v>
                </c:pt>
                <c:pt idx="122">
                  <c:v>-4.2821158690177219E-3</c:v>
                </c:pt>
                <c:pt idx="123">
                  <c:v>6.57728307614458E-3</c:v>
                </c:pt>
                <c:pt idx="124">
                  <c:v>-9.2988187986930981E-3</c:v>
                </c:pt>
                <c:pt idx="125">
                  <c:v>2.5621511922881757E-2</c:v>
                </c:pt>
                <c:pt idx="126">
                  <c:v>-2.0281968835023534E-2</c:v>
                </c:pt>
                <c:pt idx="127">
                  <c:v>6.3115374905327037E-3</c:v>
                </c:pt>
                <c:pt idx="128">
                  <c:v>-9.7842448569994689E-3</c:v>
                </c:pt>
                <c:pt idx="129">
                  <c:v>2.4322270078540598E-2</c:v>
                </c:pt>
                <c:pt idx="130">
                  <c:v>-4.2047984170171526E-3</c:v>
                </c:pt>
                <c:pt idx="131">
                  <c:v>1.9870839542972529E-3</c:v>
                </c:pt>
                <c:pt idx="132">
                  <c:v>3.4705007436786062E-3</c:v>
                </c:pt>
                <c:pt idx="133">
                  <c:v>-9.1403162055335718E-3</c:v>
                </c:pt>
                <c:pt idx="134">
                  <c:v>-2.2687609075043524E-2</c:v>
                </c:pt>
                <c:pt idx="135">
                  <c:v>1.0204081632652073E-3</c:v>
                </c:pt>
                <c:pt idx="136">
                  <c:v>-1.2487257900101967E-2</c:v>
                </c:pt>
                <c:pt idx="137">
                  <c:v>2.8129032258064512E-2</c:v>
                </c:pt>
                <c:pt idx="138">
                  <c:v>-5.020080321285203E-3</c:v>
                </c:pt>
                <c:pt idx="139">
                  <c:v>5.3481331987890846E-2</c:v>
                </c:pt>
                <c:pt idx="140">
                  <c:v>-5.7471264367814356E-3</c:v>
                </c:pt>
                <c:pt idx="141">
                  <c:v>2.5770712909441329E-2</c:v>
                </c:pt>
                <c:pt idx="142">
                  <c:v>2.4184080770133676E-2</c:v>
                </c:pt>
                <c:pt idx="143">
                  <c:v>-2.5676295277395678E-2</c:v>
                </c:pt>
                <c:pt idx="144">
                  <c:v>3.9529411764705813E-2</c:v>
                </c:pt>
                <c:pt idx="145">
                  <c:v>5.4096876414667205E-2</c:v>
                </c:pt>
                <c:pt idx="146">
                  <c:v>-1.1165986686708207E-2</c:v>
                </c:pt>
                <c:pt idx="147">
                  <c:v>5.2117263843649564E-3</c:v>
                </c:pt>
                <c:pt idx="148">
                  <c:v>-2.2467055519550638E-2</c:v>
                </c:pt>
                <c:pt idx="149">
                  <c:v>2.0773480662983346E-2</c:v>
                </c:pt>
                <c:pt idx="150">
                  <c:v>1.7536263260446106E-2</c:v>
                </c:pt>
                <c:pt idx="151">
                  <c:v>8.2978723404254495E-3</c:v>
                </c:pt>
                <c:pt idx="152">
                  <c:v>8.6516142646126948E-3</c:v>
                </c:pt>
                <c:pt idx="153">
                  <c:v>7.1129707112971285E-3</c:v>
                </c:pt>
                <c:pt idx="154">
                  <c:v>3.3236393851267199E-2</c:v>
                </c:pt>
                <c:pt idx="155">
                  <c:v>3.4579815038198625E-2</c:v>
                </c:pt>
                <c:pt idx="156">
                  <c:v>4.3723280217644822E-2</c:v>
                </c:pt>
                <c:pt idx="157">
                  <c:v>3.239620182461378E-2</c:v>
                </c:pt>
                <c:pt idx="158">
                  <c:v>3.7871956717763222E-3</c:v>
                </c:pt>
                <c:pt idx="159">
                  <c:v>-6.647502694933527E-3</c:v>
                </c:pt>
              </c:numCache>
            </c:numRef>
          </c:val>
          <c:extLst>
            <c:ext xmlns:c16="http://schemas.microsoft.com/office/drawing/2014/chart" uri="{C3380CC4-5D6E-409C-BE32-E72D297353CC}">
              <c16:uniqueId val="{00000000-937E-42FD-A02A-734DB0E52620}"/>
            </c:ext>
          </c:extLst>
        </c:ser>
        <c:dLbls>
          <c:showLegendKey val="0"/>
          <c:showVal val="0"/>
          <c:showCatName val="0"/>
          <c:showSerName val="0"/>
          <c:showPercent val="0"/>
          <c:showBubbleSize val="0"/>
        </c:dLbls>
        <c:gapWidth val="150"/>
        <c:axId val="6717700"/>
        <c:axId val="44990341"/>
      </c:barChart>
      <c:lineChart>
        <c:grouping val="standard"/>
        <c:varyColors val="0"/>
        <c:ser>
          <c:idx val="1"/>
          <c:order val="1"/>
          <c:tx>
            <c:strRef>
              <c:f>'Returns (Calc)'!$AN$2</c:f>
              <c:strCache>
                <c:ptCount val="1"/>
                <c:pt idx="0">
                  <c:v>VFLO trend</c:v>
                </c:pt>
              </c:strCache>
            </c:strRef>
          </c:tx>
          <c:spPr>
            <a:ln w="201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45156</c:v>
                </c:pt>
                <c:pt idx="1">
                  <c:v>45163</c:v>
                </c:pt>
                <c:pt idx="2">
                  <c:v>45170</c:v>
                </c:pt>
                <c:pt idx="3">
                  <c:v>45177</c:v>
                </c:pt>
                <c:pt idx="4">
                  <c:v>45184</c:v>
                </c:pt>
                <c:pt idx="5">
                  <c:v>45191</c:v>
                </c:pt>
                <c:pt idx="6">
                  <c:v>45198</c:v>
                </c:pt>
                <c:pt idx="7">
                  <c:v>45205</c:v>
                </c:pt>
                <c:pt idx="8">
                  <c:v>45212</c:v>
                </c:pt>
                <c:pt idx="9">
                  <c:v>45219</c:v>
                </c:pt>
                <c:pt idx="10">
                  <c:v>45226</c:v>
                </c:pt>
                <c:pt idx="11">
                  <c:v>45233</c:v>
                </c:pt>
                <c:pt idx="12">
                  <c:v>45240</c:v>
                </c:pt>
                <c:pt idx="13">
                  <c:v>45247</c:v>
                </c:pt>
                <c:pt idx="14">
                  <c:v>45254</c:v>
                </c:pt>
                <c:pt idx="15">
                  <c:v>45261</c:v>
                </c:pt>
                <c:pt idx="16">
                  <c:v>45268</c:v>
                </c:pt>
                <c:pt idx="17">
                  <c:v>45275</c:v>
                </c:pt>
                <c:pt idx="18">
                  <c:v>45282</c:v>
                </c:pt>
                <c:pt idx="19">
                  <c:v>45289</c:v>
                </c:pt>
                <c:pt idx="20">
                  <c:v>45296</c:v>
                </c:pt>
                <c:pt idx="21">
                  <c:v>45303</c:v>
                </c:pt>
                <c:pt idx="22">
                  <c:v>45310</c:v>
                </c:pt>
                <c:pt idx="23">
                  <c:v>45317</c:v>
                </c:pt>
                <c:pt idx="24">
                  <c:v>45324</c:v>
                </c:pt>
                <c:pt idx="25">
                  <c:v>45331</c:v>
                </c:pt>
                <c:pt idx="26">
                  <c:v>45338</c:v>
                </c:pt>
                <c:pt idx="27">
                  <c:v>45345</c:v>
                </c:pt>
                <c:pt idx="28">
                  <c:v>45352</c:v>
                </c:pt>
                <c:pt idx="29">
                  <c:v>45359</c:v>
                </c:pt>
                <c:pt idx="30">
                  <c:v>45366</c:v>
                </c:pt>
                <c:pt idx="31">
                  <c:v>45373</c:v>
                </c:pt>
                <c:pt idx="32">
                  <c:v>45379</c:v>
                </c:pt>
                <c:pt idx="33">
                  <c:v>45387</c:v>
                </c:pt>
                <c:pt idx="34">
                  <c:v>45394</c:v>
                </c:pt>
                <c:pt idx="35">
                  <c:v>45401</c:v>
                </c:pt>
                <c:pt idx="36">
                  <c:v>45408</c:v>
                </c:pt>
                <c:pt idx="37">
                  <c:v>45415</c:v>
                </c:pt>
                <c:pt idx="38">
                  <c:v>45422</c:v>
                </c:pt>
                <c:pt idx="39">
                  <c:v>45429</c:v>
                </c:pt>
                <c:pt idx="40">
                  <c:v>45436</c:v>
                </c:pt>
                <c:pt idx="41">
                  <c:v>45443</c:v>
                </c:pt>
                <c:pt idx="42">
                  <c:v>45450</c:v>
                </c:pt>
                <c:pt idx="43">
                  <c:v>45457</c:v>
                </c:pt>
                <c:pt idx="44">
                  <c:v>45464</c:v>
                </c:pt>
                <c:pt idx="45">
                  <c:v>45471</c:v>
                </c:pt>
                <c:pt idx="46">
                  <c:v>45478</c:v>
                </c:pt>
                <c:pt idx="47">
                  <c:v>45485</c:v>
                </c:pt>
                <c:pt idx="48">
                  <c:v>45492</c:v>
                </c:pt>
                <c:pt idx="49">
                  <c:v>45499</c:v>
                </c:pt>
                <c:pt idx="50">
                  <c:v>45506</c:v>
                </c:pt>
                <c:pt idx="51">
                  <c:v>45513</c:v>
                </c:pt>
                <c:pt idx="52">
                  <c:v>45520</c:v>
                </c:pt>
                <c:pt idx="53">
                  <c:v>45527</c:v>
                </c:pt>
                <c:pt idx="54">
                  <c:v>45534</c:v>
                </c:pt>
                <c:pt idx="55">
                  <c:v>45541</c:v>
                </c:pt>
                <c:pt idx="56">
                  <c:v>45548</c:v>
                </c:pt>
                <c:pt idx="57">
                  <c:v>45555</c:v>
                </c:pt>
                <c:pt idx="58">
                  <c:v>45562</c:v>
                </c:pt>
                <c:pt idx="59">
                  <c:v>45569</c:v>
                </c:pt>
                <c:pt idx="60">
                  <c:v>45576</c:v>
                </c:pt>
                <c:pt idx="61">
                  <c:v>45583</c:v>
                </c:pt>
                <c:pt idx="62">
                  <c:v>45590</c:v>
                </c:pt>
                <c:pt idx="63">
                  <c:v>45597</c:v>
                </c:pt>
                <c:pt idx="64">
                  <c:v>45604</c:v>
                </c:pt>
                <c:pt idx="65">
                  <c:v>45611</c:v>
                </c:pt>
                <c:pt idx="66">
                  <c:v>45618</c:v>
                </c:pt>
                <c:pt idx="67">
                  <c:v>45625</c:v>
                </c:pt>
                <c:pt idx="68">
                  <c:v>45632</c:v>
                </c:pt>
                <c:pt idx="69">
                  <c:v>45639</c:v>
                </c:pt>
                <c:pt idx="70">
                  <c:v>45646</c:v>
                </c:pt>
                <c:pt idx="71">
                  <c:v>45653</c:v>
                </c:pt>
                <c:pt idx="72">
                  <c:v>45660</c:v>
                </c:pt>
                <c:pt idx="73">
                  <c:v>45667</c:v>
                </c:pt>
                <c:pt idx="74">
                  <c:v>45674</c:v>
                </c:pt>
                <c:pt idx="75">
                  <c:v>45681</c:v>
                </c:pt>
                <c:pt idx="76">
                  <c:v>45688</c:v>
                </c:pt>
                <c:pt idx="77">
                  <c:v>45695</c:v>
                </c:pt>
                <c:pt idx="78">
                  <c:v>45702</c:v>
                </c:pt>
                <c:pt idx="79">
                  <c:v>45709</c:v>
                </c:pt>
                <c:pt idx="80">
                  <c:v>45716</c:v>
                </c:pt>
                <c:pt idx="81">
                  <c:v>45723</c:v>
                </c:pt>
                <c:pt idx="82">
                  <c:v>45730</c:v>
                </c:pt>
                <c:pt idx="83">
                  <c:v>45737</c:v>
                </c:pt>
                <c:pt idx="84">
                  <c:v>45744</c:v>
                </c:pt>
                <c:pt idx="85">
                  <c:v>45751</c:v>
                </c:pt>
                <c:pt idx="86">
                  <c:v>45758</c:v>
                </c:pt>
                <c:pt idx="87">
                  <c:v>45764</c:v>
                </c:pt>
                <c:pt idx="88">
                  <c:v>45772</c:v>
                </c:pt>
                <c:pt idx="89">
                  <c:v>45779</c:v>
                </c:pt>
                <c:pt idx="90">
                  <c:v>45786</c:v>
                </c:pt>
                <c:pt idx="91">
                  <c:v>45793</c:v>
                </c:pt>
                <c:pt idx="92">
                  <c:v>45800</c:v>
                </c:pt>
                <c:pt idx="93">
                  <c:v>45807</c:v>
                </c:pt>
                <c:pt idx="94">
                  <c:v>45814</c:v>
                </c:pt>
                <c:pt idx="95">
                  <c:v>45821</c:v>
                </c:pt>
                <c:pt idx="96">
                  <c:v>45828</c:v>
                </c:pt>
                <c:pt idx="97">
                  <c:v>45835</c:v>
                </c:pt>
                <c:pt idx="98">
                  <c:v>45841</c:v>
                </c:pt>
                <c:pt idx="99">
                  <c:v>45849</c:v>
                </c:pt>
                <c:pt idx="100">
                  <c:v>45856</c:v>
                </c:pt>
                <c:pt idx="101">
                  <c:v>45863</c:v>
                </c:pt>
                <c:pt idx="102">
                  <c:v>45870</c:v>
                </c:pt>
                <c:pt idx="103">
                  <c:v>45877</c:v>
                </c:pt>
                <c:pt idx="104">
                  <c:v>45884</c:v>
                </c:pt>
                <c:pt idx="105">
                  <c:v>45891</c:v>
                </c:pt>
                <c:pt idx="106">
                  <c:v>45898</c:v>
                </c:pt>
                <c:pt idx="107">
                  <c:v>45905</c:v>
                </c:pt>
                <c:pt idx="108">
                  <c:v>45912</c:v>
                </c:pt>
                <c:pt idx="109">
                  <c:v>45919</c:v>
                </c:pt>
                <c:pt idx="110">
                  <c:v>45926</c:v>
                </c:pt>
                <c:pt idx="111">
                  <c:v>45933</c:v>
                </c:pt>
                <c:pt idx="112">
                  <c:v>45940</c:v>
                </c:pt>
                <c:pt idx="113">
                  <c:v>45947</c:v>
                </c:pt>
                <c:pt idx="114">
                  <c:v>45954</c:v>
                </c:pt>
                <c:pt idx="115">
                  <c:v>45961</c:v>
                </c:pt>
                <c:pt idx="116">
                  <c:v>45968</c:v>
                </c:pt>
                <c:pt idx="117">
                  <c:v>45975</c:v>
                </c:pt>
                <c:pt idx="118">
                  <c:v>45982</c:v>
                </c:pt>
                <c:pt idx="119">
                  <c:v>45989</c:v>
                </c:pt>
                <c:pt idx="120">
                  <c:v>45996</c:v>
                </c:pt>
                <c:pt idx="121">
                  <c:v>46003</c:v>
                </c:pt>
                <c:pt idx="122">
                  <c:v>46010</c:v>
                </c:pt>
                <c:pt idx="123">
                  <c:v>46017</c:v>
                </c:pt>
                <c:pt idx="124">
                  <c:v>46024</c:v>
                </c:pt>
                <c:pt idx="125">
                  <c:v>46031</c:v>
                </c:pt>
                <c:pt idx="126">
                  <c:v>46038</c:v>
                </c:pt>
                <c:pt idx="127">
                  <c:v>46045</c:v>
                </c:pt>
                <c:pt idx="128">
                  <c:v>46052</c:v>
                </c:pt>
                <c:pt idx="129">
                  <c:v>46059</c:v>
                </c:pt>
                <c:pt idx="130">
                  <c:v>46066</c:v>
                </c:pt>
                <c:pt idx="131">
                  <c:v>46073</c:v>
                </c:pt>
                <c:pt idx="132">
                  <c:v>46080</c:v>
                </c:pt>
                <c:pt idx="133">
                  <c:v>46087</c:v>
                </c:pt>
                <c:pt idx="134">
                  <c:v>46094</c:v>
                </c:pt>
                <c:pt idx="135">
                  <c:v>46101</c:v>
                </c:pt>
                <c:pt idx="136">
                  <c:v>46108</c:v>
                </c:pt>
                <c:pt idx="137">
                  <c:v>46114</c:v>
                </c:pt>
                <c:pt idx="138">
                  <c:v>46122</c:v>
                </c:pt>
                <c:pt idx="139">
                  <c:v>46129</c:v>
                </c:pt>
                <c:pt idx="140">
                  <c:v>46136</c:v>
                </c:pt>
                <c:pt idx="141">
                  <c:v>46143</c:v>
                </c:pt>
                <c:pt idx="142">
                  <c:v>46150</c:v>
                </c:pt>
                <c:pt idx="143">
                  <c:v>46157</c:v>
                </c:pt>
                <c:pt idx="144">
                  <c:v>46164</c:v>
                </c:pt>
                <c:pt idx="145">
                  <c:v>46171</c:v>
                </c:pt>
                <c:pt idx="146">
                  <c:v>46178</c:v>
                </c:pt>
                <c:pt idx="147">
                  <c:v>46185</c:v>
                </c:pt>
                <c:pt idx="148">
                  <c:v>46191</c:v>
                </c:pt>
                <c:pt idx="149">
                  <c:v>46199</c:v>
                </c:pt>
                <c:pt idx="150">
                  <c:v>46205</c:v>
                </c:pt>
                <c:pt idx="151">
                  <c:v>46213</c:v>
                </c:pt>
                <c:pt idx="152">
                  <c:v>46220</c:v>
                </c:pt>
                <c:pt idx="153">
                  <c:v>46227</c:v>
                </c:pt>
                <c:pt idx="154">
                  <c:v>46234</c:v>
                </c:pt>
                <c:pt idx="155">
                  <c:v>46241</c:v>
                </c:pt>
                <c:pt idx="156">
                  <c:v>46248</c:v>
                </c:pt>
                <c:pt idx="157">
                  <c:v>46255</c:v>
                </c:pt>
                <c:pt idx="158">
                  <c:v>46262</c:v>
                </c:pt>
                <c:pt idx="159">
                  <c:v>46269</c:v>
                </c:pt>
              </c:numCache>
            </c:numRef>
          </c:cat>
          <c:val>
            <c:numRef>
              <c:f>'Returns (Calc)'!$AN$3:$AN$500</c:f>
              <c:numCache>
                <c:formatCode>#,##0.00</c:formatCode>
                <c:ptCount val="498"/>
                <c:pt idx="0">
                  <c:v>26.91</c:v>
                </c:pt>
                <c:pt idx="1">
                  <c:v>26.740754716981133</c:v>
                </c:pt>
                <c:pt idx="2">
                  <c:v>26.571509433962266</c:v>
                </c:pt>
                <c:pt idx="3">
                  <c:v>26.402264150943395</c:v>
                </c:pt>
                <c:pt idx="4">
                  <c:v>26.233018867924528</c:v>
                </c:pt>
                <c:pt idx="5">
                  <c:v>26.063773584905661</c:v>
                </c:pt>
                <c:pt idx="6">
                  <c:v>25.894528301886794</c:v>
                </c:pt>
                <c:pt idx="7">
                  <c:v>25.725283018867923</c:v>
                </c:pt>
                <c:pt idx="8">
                  <c:v>25.556037735849056</c:v>
                </c:pt>
                <c:pt idx="9">
                  <c:v>25.386792452830189</c:v>
                </c:pt>
                <c:pt idx="10">
                  <c:v>25.217547169811322</c:v>
                </c:pt>
                <c:pt idx="11">
                  <c:v>25.048301886792451</c:v>
                </c:pt>
                <c:pt idx="12">
                  <c:v>24.879056603773584</c:v>
                </c:pt>
                <c:pt idx="13">
                  <c:v>24.709811320754717</c:v>
                </c:pt>
                <c:pt idx="14">
                  <c:v>24.54056603773585</c:v>
                </c:pt>
                <c:pt idx="15">
                  <c:v>24.371320754716983</c:v>
                </c:pt>
                <c:pt idx="16">
                  <c:v>24.202075471698112</c:v>
                </c:pt>
                <c:pt idx="17">
                  <c:v>24.032830188679245</c:v>
                </c:pt>
                <c:pt idx="18">
                  <c:v>23.863584905660378</c:v>
                </c:pt>
                <c:pt idx="19">
                  <c:v>23.694339622641508</c:v>
                </c:pt>
                <c:pt idx="20">
                  <c:v>23.52509433962264</c:v>
                </c:pt>
                <c:pt idx="21">
                  <c:v>23.355849056603773</c:v>
                </c:pt>
                <c:pt idx="22">
                  <c:v>23.186603773584906</c:v>
                </c:pt>
                <c:pt idx="23">
                  <c:v>23.017358490566039</c:v>
                </c:pt>
                <c:pt idx="24">
                  <c:v>22.848113207547168</c:v>
                </c:pt>
                <c:pt idx="25">
                  <c:v>22.678867924528301</c:v>
                </c:pt>
                <c:pt idx="26">
                  <c:v>22.509622641509434</c:v>
                </c:pt>
                <c:pt idx="27">
                  <c:v>22.340377358490567</c:v>
                </c:pt>
                <c:pt idx="28">
                  <c:v>22.171132075471697</c:v>
                </c:pt>
                <c:pt idx="29">
                  <c:v>22.001886792452829</c:v>
                </c:pt>
                <c:pt idx="30">
                  <c:v>21.832641509433962</c:v>
                </c:pt>
                <c:pt idx="31">
                  <c:v>21.663396226415095</c:v>
                </c:pt>
                <c:pt idx="32">
                  <c:v>21.494150943396228</c:v>
                </c:pt>
                <c:pt idx="33">
                  <c:v>21.324905660377361</c:v>
                </c:pt>
                <c:pt idx="34">
                  <c:v>21.15566037735849</c:v>
                </c:pt>
                <c:pt idx="35">
                  <c:v>20.986415094339623</c:v>
                </c:pt>
                <c:pt idx="36">
                  <c:v>20.817169811320756</c:v>
                </c:pt>
                <c:pt idx="37">
                  <c:v>20.647924528301886</c:v>
                </c:pt>
                <c:pt idx="38">
                  <c:v>20.478679245283018</c:v>
                </c:pt>
                <c:pt idx="39">
                  <c:v>20.309433962264151</c:v>
                </c:pt>
                <c:pt idx="40">
                  <c:v>20.140188679245284</c:v>
                </c:pt>
                <c:pt idx="41">
                  <c:v>19.970943396226417</c:v>
                </c:pt>
                <c:pt idx="42">
                  <c:v>19.801698113207546</c:v>
                </c:pt>
                <c:pt idx="43">
                  <c:v>19.632452830188679</c:v>
                </c:pt>
                <c:pt idx="44">
                  <c:v>19.463207547169812</c:v>
                </c:pt>
                <c:pt idx="45">
                  <c:v>19.293962264150942</c:v>
                </c:pt>
                <c:pt idx="46">
                  <c:v>19.124716981132075</c:v>
                </c:pt>
                <c:pt idx="47">
                  <c:v>18.955471698113207</c:v>
                </c:pt>
                <c:pt idx="48">
                  <c:v>18.78622641509434</c:v>
                </c:pt>
                <c:pt idx="49">
                  <c:v>18.616981132075473</c:v>
                </c:pt>
                <c:pt idx="50">
                  <c:v>18.447735849056606</c:v>
                </c:pt>
                <c:pt idx="51">
                  <c:v>18.278490566037735</c:v>
                </c:pt>
                <c:pt idx="52">
                  <c:v>18.109245283018868</c:v>
                </c:pt>
                <c:pt idx="53">
                  <c:v>17.939999999999998</c:v>
                </c:pt>
                <c:pt idx="54">
                  <c:v>17.770754716981131</c:v>
                </c:pt>
                <c:pt idx="55">
                  <c:v>17.601509433962264</c:v>
                </c:pt>
                <c:pt idx="56">
                  <c:v>17.432264150943396</c:v>
                </c:pt>
                <c:pt idx="57">
                  <c:v>17.263018867924529</c:v>
                </c:pt>
                <c:pt idx="58">
                  <c:v>17.093773584905662</c:v>
                </c:pt>
                <c:pt idx="59">
                  <c:v>16.924528301886792</c:v>
                </c:pt>
                <c:pt idx="60">
                  <c:v>16.755283018867924</c:v>
                </c:pt>
                <c:pt idx="61">
                  <c:v>16.586037735849057</c:v>
                </c:pt>
                <c:pt idx="62">
                  <c:v>16.416792452830187</c:v>
                </c:pt>
                <c:pt idx="63">
                  <c:v>16.24754716981132</c:v>
                </c:pt>
                <c:pt idx="64">
                  <c:v>16.078301886792453</c:v>
                </c:pt>
                <c:pt idx="65">
                  <c:v>15.909056603773584</c:v>
                </c:pt>
                <c:pt idx="66">
                  <c:v>15.739811320754718</c:v>
                </c:pt>
                <c:pt idx="67">
                  <c:v>15.570566037735849</c:v>
                </c:pt>
                <c:pt idx="68">
                  <c:v>15.401320754716981</c:v>
                </c:pt>
                <c:pt idx="69">
                  <c:v>15.232075471698113</c:v>
                </c:pt>
                <c:pt idx="70">
                  <c:v>15.062830188679245</c:v>
                </c:pt>
                <c:pt idx="71">
                  <c:v>14.893584905660378</c:v>
                </c:pt>
                <c:pt idx="72">
                  <c:v>14.72433962264151</c:v>
                </c:pt>
                <c:pt idx="73">
                  <c:v>14.555094339622642</c:v>
                </c:pt>
                <c:pt idx="74">
                  <c:v>14.385849056603774</c:v>
                </c:pt>
                <c:pt idx="75">
                  <c:v>14.216603773584906</c:v>
                </c:pt>
                <c:pt idx="76">
                  <c:v>14.047358490566037</c:v>
                </c:pt>
                <c:pt idx="77">
                  <c:v>13.87811320754717</c:v>
                </c:pt>
                <c:pt idx="78">
                  <c:v>13.708867924528302</c:v>
                </c:pt>
                <c:pt idx="79">
                  <c:v>13.539622641509435</c:v>
                </c:pt>
                <c:pt idx="80">
                  <c:v>13.370377358490565</c:v>
                </c:pt>
                <c:pt idx="81">
                  <c:v>13.201132075471698</c:v>
                </c:pt>
                <c:pt idx="82">
                  <c:v>13.031886792452831</c:v>
                </c:pt>
                <c:pt idx="83">
                  <c:v>12.862641509433962</c:v>
                </c:pt>
                <c:pt idx="84">
                  <c:v>12.693396226415095</c:v>
                </c:pt>
                <c:pt idx="85">
                  <c:v>12.524150943396227</c:v>
                </c:pt>
                <c:pt idx="86">
                  <c:v>12.354905660377357</c:v>
                </c:pt>
                <c:pt idx="87">
                  <c:v>12.18566037735849</c:v>
                </c:pt>
                <c:pt idx="88">
                  <c:v>12.016415094339623</c:v>
                </c:pt>
                <c:pt idx="89">
                  <c:v>11.847169811320754</c:v>
                </c:pt>
                <c:pt idx="90">
                  <c:v>11.677924528301887</c:v>
                </c:pt>
                <c:pt idx="91">
                  <c:v>11.50867924528302</c:v>
                </c:pt>
                <c:pt idx="92">
                  <c:v>11.339433962264152</c:v>
                </c:pt>
                <c:pt idx="93">
                  <c:v>11.170188679245282</c:v>
                </c:pt>
                <c:pt idx="94">
                  <c:v>11.000943396226415</c:v>
                </c:pt>
                <c:pt idx="95">
                  <c:v>10.831698113207548</c:v>
                </c:pt>
                <c:pt idx="96">
                  <c:v>10.662452830188677</c:v>
                </c:pt>
                <c:pt idx="97">
                  <c:v>10.49320754716981</c:v>
                </c:pt>
                <c:pt idx="98">
                  <c:v>10.323962264150946</c:v>
                </c:pt>
                <c:pt idx="99">
                  <c:v>10.154716981132076</c:v>
                </c:pt>
                <c:pt idx="100">
                  <c:v>9.9854716981132086</c:v>
                </c:pt>
                <c:pt idx="101">
                  <c:v>9.8162264150943415</c:v>
                </c:pt>
                <c:pt idx="102">
                  <c:v>9.6469811320754708</c:v>
                </c:pt>
                <c:pt idx="103">
                  <c:v>9.4777358490566037</c:v>
                </c:pt>
                <c:pt idx="104">
                  <c:v>9.3084905660377366</c:v>
                </c:pt>
                <c:pt idx="105">
                  <c:v>9.139245283018866</c:v>
                </c:pt>
                <c:pt idx="106">
                  <c:v>8.9699999999999989</c:v>
                </c:pt>
                <c:pt idx="107">
                  <c:v>8.8007547169811318</c:v>
                </c:pt>
                <c:pt idx="108">
                  <c:v>8.6315094339622647</c:v>
                </c:pt>
                <c:pt idx="109">
                  <c:v>8.4622641509433976</c:v>
                </c:pt>
                <c:pt idx="110">
                  <c:v>8.2930188679245305</c:v>
                </c:pt>
                <c:pt idx="111">
                  <c:v>8.1237735849056598</c:v>
                </c:pt>
                <c:pt idx="112">
                  <c:v>7.9545283018867927</c:v>
                </c:pt>
                <c:pt idx="113">
                  <c:v>7.7852830188679256</c:v>
                </c:pt>
                <c:pt idx="114">
                  <c:v>7.616037735849055</c:v>
                </c:pt>
                <c:pt idx="115">
                  <c:v>7.4467924528301879</c:v>
                </c:pt>
                <c:pt idx="116">
                  <c:v>7.2775471698113208</c:v>
                </c:pt>
                <c:pt idx="117">
                  <c:v>7.1083018867924537</c:v>
                </c:pt>
                <c:pt idx="118">
                  <c:v>6.939056603773583</c:v>
                </c:pt>
                <c:pt idx="119">
                  <c:v>6.7698113207547159</c:v>
                </c:pt>
                <c:pt idx="120">
                  <c:v>6.6005660377358488</c:v>
                </c:pt>
                <c:pt idx="121">
                  <c:v>6.4313207547169817</c:v>
                </c:pt>
                <c:pt idx="122">
                  <c:v>6.2620754716981146</c:v>
                </c:pt>
                <c:pt idx="123">
                  <c:v>6.0928301886792475</c:v>
                </c:pt>
                <c:pt idx="124">
                  <c:v>5.9235849056603769</c:v>
                </c:pt>
                <c:pt idx="125">
                  <c:v>5.7543396226415098</c:v>
                </c:pt>
                <c:pt idx="126">
                  <c:v>5.5850943396226427</c:v>
                </c:pt>
                <c:pt idx="127">
                  <c:v>5.415849056603772</c:v>
                </c:pt>
                <c:pt idx="128">
                  <c:v>5.2466037735849049</c:v>
                </c:pt>
                <c:pt idx="129">
                  <c:v>5.0773584905660378</c:v>
                </c:pt>
                <c:pt idx="130">
                  <c:v>4.9081132075471672</c:v>
                </c:pt>
                <c:pt idx="131">
                  <c:v>4.7388679245283001</c:v>
                </c:pt>
                <c:pt idx="132">
                  <c:v>4.5696226415094365</c:v>
                </c:pt>
                <c:pt idx="133">
                  <c:v>4.4003773584905659</c:v>
                </c:pt>
                <c:pt idx="134">
                  <c:v>4.2311320754716988</c:v>
                </c:pt>
                <c:pt idx="135">
                  <c:v>4.0618867924528317</c:v>
                </c:pt>
                <c:pt idx="136">
                  <c:v>3.892641509433961</c:v>
                </c:pt>
                <c:pt idx="137">
                  <c:v>3.7233962264150939</c:v>
                </c:pt>
                <c:pt idx="138">
                  <c:v>3.5541509433962268</c:v>
                </c:pt>
                <c:pt idx="139">
                  <c:v>3.3849056603773562</c:v>
                </c:pt>
                <c:pt idx="140">
                  <c:v>3.2156603773584891</c:v>
                </c:pt>
                <c:pt idx="141">
                  <c:v>3.046415094339622</c:v>
                </c:pt>
                <c:pt idx="142">
                  <c:v>2.8771698113207549</c:v>
                </c:pt>
                <c:pt idx="143">
                  <c:v>2.7079245283018878</c:v>
                </c:pt>
                <c:pt idx="144">
                  <c:v>2.5386792452830207</c:v>
                </c:pt>
                <c:pt idx="145">
                  <c:v>2.3694339622641536</c:v>
                </c:pt>
                <c:pt idx="146">
                  <c:v>2.2001886792452829</c:v>
                </c:pt>
                <c:pt idx="147">
                  <c:v>2.0309433962264158</c:v>
                </c:pt>
                <c:pt idx="148">
                  <c:v>1.8616981132075487</c:v>
                </c:pt>
                <c:pt idx="149">
                  <c:v>1.6924528301886781</c:v>
                </c:pt>
                <c:pt idx="150">
                  <c:v>1.523207547169811</c:v>
                </c:pt>
                <c:pt idx="151">
                  <c:v>1.3539622641509439</c:v>
                </c:pt>
                <c:pt idx="152">
                  <c:v>1.1847169811320732</c:v>
                </c:pt>
                <c:pt idx="153">
                  <c:v>1.0154716981132061</c:v>
                </c:pt>
                <c:pt idx="154">
                  <c:v>0.84622641509433905</c:v>
                </c:pt>
                <c:pt idx="155">
                  <c:v>0.67698113207547195</c:v>
                </c:pt>
                <c:pt idx="156">
                  <c:v>0.50773584905660485</c:v>
                </c:pt>
                <c:pt idx="157">
                  <c:v>0.33849056603773775</c:v>
                </c:pt>
                <c:pt idx="158">
                  <c:v>0.16924528301887065</c:v>
                </c:pt>
                <c:pt idx="159">
                  <c:v>3.5527136788005009E-15</c:v>
                </c:pt>
              </c:numCache>
            </c:numRef>
          </c:val>
          <c:smooth val="0"/>
          <c:extLst>
            <c:ext xmlns:c16="http://schemas.microsoft.com/office/drawing/2014/chart" uri="{C3380CC4-5D6E-409C-BE32-E72D297353CC}">
              <c16:uniqueId val="{00000001-937E-42FD-A02A-734DB0E52620}"/>
            </c:ext>
          </c:extLst>
        </c:ser>
        <c:dLbls>
          <c:showLegendKey val="0"/>
          <c:showVal val="0"/>
          <c:showCatName val="0"/>
          <c:showSerName val="0"/>
          <c:showPercent val="0"/>
          <c:showBubbleSize val="0"/>
        </c:dLbls>
        <c:hiLowLines>
          <c:spPr>
            <a:ln w="0">
              <a:noFill/>
            </a:ln>
          </c:spPr>
        </c:hiLowLines>
        <c:marker val="1"/>
        <c:smooth val="0"/>
        <c:axId val="5187619"/>
        <c:axId val="39041965"/>
      </c:lineChart>
      <c:dateAx>
        <c:axId val="6717700"/>
        <c:scaling>
          <c:orientation val="minMax"/>
        </c:scaling>
        <c:delete val="1"/>
        <c:axPos val="b"/>
        <c:numFmt formatCode="mm/dd/yyyy" sourceLinked="1"/>
        <c:majorTickMark val="none"/>
        <c:minorTickMark val="none"/>
        <c:tickLblPos val="nextTo"/>
        <c:crossAx val="44990341"/>
        <c:crosses val="autoZero"/>
        <c:auto val="1"/>
        <c:lblOffset val="100"/>
        <c:baseTimeUnit val="days"/>
      </c:dateAx>
      <c:valAx>
        <c:axId val="44990341"/>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6717700"/>
        <c:crosses val="autoZero"/>
        <c:crossBetween val="between"/>
      </c:valAx>
      <c:dateAx>
        <c:axId val="5187619"/>
        <c:scaling>
          <c:orientation val="minMax"/>
        </c:scaling>
        <c:delete val="1"/>
        <c:axPos val="b"/>
        <c:numFmt formatCode="mm/dd/yyyy" sourceLinked="1"/>
        <c:majorTickMark val="none"/>
        <c:minorTickMark val="none"/>
        <c:tickLblPos val="nextTo"/>
        <c:crossAx val="39041965"/>
        <c:crosses val="autoZero"/>
        <c:auto val="1"/>
        <c:lblOffset val="100"/>
        <c:baseTimeUnit val="days"/>
      </c:dateAx>
      <c:valAx>
        <c:axId val="39041965"/>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5187619"/>
        <c:crosses val="max"/>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V</a:t>
            </a:r>
          </a:p>
        </c:rich>
      </c:tx>
      <c:overlay val="0"/>
      <c:spPr>
        <a:noFill/>
        <a:ln w="0">
          <a:noFill/>
        </a:ln>
      </c:spPr>
    </c:title>
    <c:autoTitleDeleted val="0"/>
    <c:plotArea>
      <c:layout/>
      <c:barChart>
        <c:barDir val="col"/>
        <c:grouping val="clustered"/>
        <c:varyColors val="0"/>
        <c:ser>
          <c:idx val="0"/>
          <c:order val="0"/>
          <c:tx>
            <c:strRef>
              <c:f>'Returns (Calc)'!$V$2</c:f>
              <c:strCache>
                <c:ptCount val="1"/>
                <c:pt idx="0">
                  <c:v>V</c:v>
                </c:pt>
              </c:strCache>
            </c:strRef>
          </c:tx>
          <c:spPr>
            <a:solidFill>
              <a:srgbClr val="4F81BD"/>
            </a:solidFill>
            <a:ln w="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45156</c:v>
                </c:pt>
                <c:pt idx="1">
                  <c:v>45163</c:v>
                </c:pt>
                <c:pt idx="2">
                  <c:v>45170</c:v>
                </c:pt>
                <c:pt idx="3">
                  <c:v>45177</c:v>
                </c:pt>
                <c:pt idx="4">
                  <c:v>45184</c:v>
                </c:pt>
                <c:pt idx="5">
                  <c:v>45191</c:v>
                </c:pt>
                <c:pt idx="6">
                  <c:v>45198</c:v>
                </c:pt>
                <c:pt idx="7">
                  <c:v>45205</c:v>
                </c:pt>
                <c:pt idx="8">
                  <c:v>45212</c:v>
                </c:pt>
                <c:pt idx="9">
                  <c:v>45219</c:v>
                </c:pt>
                <c:pt idx="10">
                  <c:v>45226</c:v>
                </c:pt>
                <c:pt idx="11">
                  <c:v>45233</c:v>
                </c:pt>
                <c:pt idx="12">
                  <c:v>45240</c:v>
                </c:pt>
                <c:pt idx="13">
                  <c:v>45247</c:v>
                </c:pt>
                <c:pt idx="14">
                  <c:v>45254</c:v>
                </c:pt>
                <c:pt idx="15">
                  <c:v>45261</c:v>
                </c:pt>
                <c:pt idx="16">
                  <c:v>45268</c:v>
                </c:pt>
                <c:pt idx="17">
                  <c:v>45275</c:v>
                </c:pt>
                <c:pt idx="18">
                  <c:v>45282</c:v>
                </c:pt>
                <c:pt idx="19">
                  <c:v>45289</c:v>
                </c:pt>
                <c:pt idx="20">
                  <c:v>45296</c:v>
                </c:pt>
                <c:pt idx="21">
                  <c:v>45303</c:v>
                </c:pt>
                <c:pt idx="22">
                  <c:v>45310</c:v>
                </c:pt>
                <c:pt idx="23">
                  <c:v>45317</c:v>
                </c:pt>
                <c:pt idx="24">
                  <c:v>45324</c:v>
                </c:pt>
                <c:pt idx="25">
                  <c:v>45331</c:v>
                </c:pt>
                <c:pt idx="26">
                  <c:v>45338</c:v>
                </c:pt>
                <c:pt idx="27">
                  <c:v>45345</c:v>
                </c:pt>
                <c:pt idx="28">
                  <c:v>45352</c:v>
                </c:pt>
                <c:pt idx="29">
                  <c:v>45359</c:v>
                </c:pt>
                <c:pt idx="30">
                  <c:v>45366</c:v>
                </c:pt>
                <c:pt idx="31">
                  <c:v>45373</c:v>
                </c:pt>
                <c:pt idx="32">
                  <c:v>45379</c:v>
                </c:pt>
                <c:pt idx="33">
                  <c:v>45387</c:v>
                </c:pt>
                <c:pt idx="34">
                  <c:v>45394</c:v>
                </c:pt>
                <c:pt idx="35">
                  <c:v>45401</c:v>
                </c:pt>
                <c:pt idx="36">
                  <c:v>45408</c:v>
                </c:pt>
                <c:pt idx="37">
                  <c:v>45415</c:v>
                </c:pt>
                <c:pt idx="38">
                  <c:v>45422</c:v>
                </c:pt>
                <c:pt idx="39">
                  <c:v>45429</c:v>
                </c:pt>
                <c:pt idx="40">
                  <c:v>45436</c:v>
                </c:pt>
                <c:pt idx="41">
                  <c:v>45443</c:v>
                </c:pt>
                <c:pt idx="42">
                  <c:v>45450</c:v>
                </c:pt>
                <c:pt idx="43">
                  <c:v>45457</c:v>
                </c:pt>
                <c:pt idx="44">
                  <c:v>45464</c:v>
                </c:pt>
                <c:pt idx="45">
                  <c:v>45471</c:v>
                </c:pt>
                <c:pt idx="46">
                  <c:v>45478</c:v>
                </c:pt>
                <c:pt idx="47">
                  <c:v>45485</c:v>
                </c:pt>
                <c:pt idx="48">
                  <c:v>45492</c:v>
                </c:pt>
                <c:pt idx="49">
                  <c:v>45499</c:v>
                </c:pt>
                <c:pt idx="50">
                  <c:v>45506</c:v>
                </c:pt>
                <c:pt idx="51">
                  <c:v>45513</c:v>
                </c:pt>
                <c:pt idx="52">
                  <c:v>45520</c:v>
                </c:pt>
                <c:pt idx="53">
                  <c:v>45527</c:v>
                </c:pt>
                <c:pt idx="54">
                  <c:v>45534</c:v>
                </c:pt>
                <c:pt idx="55">
                  <c:v>45541</c:v>
                </c:pt>
                <c:pt idx="56">
                  <c:v>45548</c:v>
                </c:pt>
                <c:pt idx="57">
                  <c:v>45555</c:v>
                </c:pt>
                <c:pt idx="58">
                  <c:v>45562</c:v>
                </c:pt>
                <c:pt idx="59">
                  <c:v>45569</c:v>
                </c:pt>
                <c:pt idx="60">
                  <c:v>45576</c:v>
                </c:pt>
                <c:pt idx="61">
                  <c:v>45583</c:v>
                </c:pt>
                <c:pt idx="62">
                  <c:v>45590</c:v>
                </c:pt>
                <c:pt idx="63">
                  <c:v>45597</c:v>
                </c:pt>
                <c:pt idx="64">
                  <c:v>45604</c:v>
                </c:pt>
                <c:pt idx="65">
                  <c:v>45611</c:v>
                </c:pt>
                <c:pt idx="66">
                  <c:v>45618</c:v>
                </c:pt>
                <c:pt idx="67">
                  <c:v>45625</c:v>
                </c:pt>
                <c:pt idx="68">
                  <c:v>45632</c:v>
                </c:pt>
                <c:pt idx="69">
                  <c:v>45639</c:v>
                </c:pt>
                <c:pt idx="70">
                  <c:v>45646</c:v>
                </c:pt>
                <c:pt idx="71">
                  <c:v>45653</c:v>
                </c:pt>
                <c:pt idx="72">
                  <c:v>45660</c:v>
                </c:pt>
                <c:pt idx="73">
                  <c:v>45667</c:v>
                </c:pt>
                <c:pt idx="74">
                  <c:v>45674</c:v>
                </c:pt>
                <c:pt idx="75">
                  <c:v>45681</c:v>
                </c:pt>
                <c:pt idx="76">
                  <c:v>45688</c:v>
                </c:pt>
                <c:pt idx="77">
                  <c:v>45695</c:v>
                </c:pt>
                <c:pt idx="78">
                  <c:v>45702</c:v>
                </c:pt>
                <c:pt idx="79">
                  <c:v>45709</c:v>
                </c:pt>
                <c:pt idx="80">
                  <c:v>45716</c:v>
                </c:pt>
                <c:pt idx="81">
                  <c:v>45723</c:v>
                </c:pt>
                <c:pt idx="82">
                  <c:v>45730</c:v>
                </c:pt>
                <c:pt idx="83">
                  <c:v>45737</c:v>
                </c:pt>
                <c:pt idx="84">
                  <c:v>45744</c:v>
                </c:pt>
                <c:pt idx="85">
                  <c:v>45751</c:v>
                </c:pt>
                <c:pt idx="86">
                  <c:v>45758</c:v>
                </c:pt>
                <c:pt idx="87">
                  <c:v>45764</c:v>
                </c:pt>
                <c:pt idx="88">
                  <c:v>45772</c:v>
                </c:pt>
                <c:pt idx="89">
                  <c:v>45779</c:v>
                </c:pt>
                <c:pt idx="90">
                  <c:v>45786</c:v>
                </c:pt>
                <c:pt idx="91">
                  <c:v>45793</c:v>
                </c:pt>
                <c:pt idx="92">
                  <c:v>45800</c:v>
                </c:pt>
                <c:pt idx="93">
                  <c:v>45807</c:v>
                </c:pt>
                <c:pt idx="94">
                  <c:v>45814</c:v>
                </c:pt>
                <c:pt idx="95">
                  <c:v>45821</c:v>
                </c:pt>
                <c:pt idx="96">
                  <c:v>45828</c:v>
                </c:pt>
                <c:pt idx="97">
                  <c:v>45835</c:v>
                </c:pt>
                <c:pt idx="98">
                  <c:v>45841</c:v>
                </c:pt>
                <c:pt idx="99">
                  <c:v>45849</c:v>
                </c:pt>
                <c:pt idx="100">
                  <c:v>45856</c:v>
                </c:pt>
                <c:pt idx="101">
                  <c:v>45863</c:v>
                </c:pt>
                <c:pt idx="102">
                  <c:v>45870</c:v>
                </c:pt>
                <c:pt idx="103">
                  <c:v>45877</c:v>
                </c:pt>
                <c:pt idx="104">
                  <c:v>45884</c:v>
                </c:pt>
                <c:pt idx="105">
                  <c:v>45891</c:v>
                </c:pt>
                <c:pt idx="106">
                  <c:v>45898</c:v>
                </c:pt>
                <c:pt idx="107">
                  <c:v>45905</c:v>
                </c:pt>
                <c:pt idx="108">
                  <c:v>45912</c:v>
                </c:pt>
                <c:pt idx="109">
                  <c:v>45919</c:v>
                </c:pt>
                <c:pt idx="110">
                  <c:v>45926</c:v>
                </c:pt>
                <c:pt idx="111">
                  <c:v>45933</c:v>
                </c:pt>
                <c:pt idx="112">
                  <c:v>45940</c:v>
                </c:pt>
                <c:pt idx="113">
                  <c:v>45947</c:v>
                </c:pt>
                <c:pt idx="114">
                  <c:v>45954</c:v>
                </c:pt>
                <c:pt idx="115">
                  <c:v>45961</c:v>
                </c:pt>
                <c:pt idx="116">
                  <c:v>45968</c:v>
                </c:pt>
                <c:pt idx="117">
                  <c:v>45975</c:v>
                </c:pt>
                <c:pt idx="118">
                  <c:v>45982</c:v>
                </c:pt>
                <c:pt idx="119">
                  <c:v>45989</c:v>
                </c:pt>
                <c:pt idx="120">
                  <c:v>45996</c:v>
                </c:pt>
                <c:pt idx="121">
                  <c:v>46003</c:v>
                </c:pt>
                <c:pt idx="122">
                  <c:v>46010</c:v>
                </c:pt>
                <c:pt idx="123">
                  <c:v>46017</c:v>
                </c:pt>
                <c:pt idx="124">
                  <c:v>46024</c:v>
                </c:pt>
                <c:pt idx="125">
                  <c:v>46031</c:v>
                </c:pt>
                <c:pt idx="126">
                  <c:v>46038</c:v>
                </c:pt>
                <c:pt idx="127">
                  <c:v>46045</c:v>
                </c:pt>
                <c:pt idx="128">
                  <c:v>46052</c:v>
                </c:pt>
                <c:pt idx="129">
                  <c:v>46059</c:v>
                </c:pt>
                <c:pt idx="130">
                  <c:v>46066</c:v>
                </c:pt>
                <c:pt idx="131">
                  <c:v>46073</c:v>
                </c:pt>
                <c:pt idx="132">
                  <c:v>46080</c:v>
                </c:pt>
                <c:pt idx="133">
                  <c:v>46087</c:v>
                </c:pt>
                <c:pt idx="134">
                  <c:v>46094</c:v>
                </c:pt>
                <c:pt idx="135">
                  <c:v>46101</c:v>
                </c:pt>
                <c:pt idx="136">
                  <c:v>46108</c:v>
                </c:pt>
                <c:pt idx="137">
                  <c:v>46114</c:v>
                </c:pt>
                <c:pt idx="138">
                  <c:v>46122</c:v>
                </c:pt>
                <c:pt idx="139">
                  <c:v>46129</c:v>
                </c:pt>
                <c:pt idx="140">
                  <c:v>46136</c:v>
                </c:pt>
                <c:pt idx="141">
                  <c:v>46143</c:v>
                </c:pt>
                <c:pt idx="142">
                  <c:v>46150</c:v>
                </c:pt>
                <c:pt idx="143">
                  <c:v>46157</c:v>
                </c:pt>
                <c:pt idx="144">
                  <c:v>46164</c:v>
                </c:pt>
                <c:pt idx="145">
                  <c:v>46171</c:v>
                </c:pt>
                <c:pt idx="146">
                  <c:v>46178</c:v>
                </c:pt>
                <c:pt idx="147">
                  <c:v>46185</c:v>
                </c:pt>
                <c:pt idx="148">
                  <c:v>46191</c:v>
                </c:pt>
                <c:pt idx="149">
                  <c:v>46199</c:v>
                </c:pt>
                <c:pt idx="150">
                  <c:v>46205</c:v>
                </c:pt>
                <c:pt idx="151">
                  <c:v>46213</c:v>
                </c:pt>
                <c:pt idx="152">
                  <c:v>46220</c:v>
                </c:pt>
                <c:pt idx="153">
                  <c:v>46227</c:v>
                </c:pt>
                <c:pt idx="154">
                  <c:v>46234</c:v>
                </c:pt>
                <c:pt idx="155">
                  <c:v>46241</c:v>
                </c:pt>
                <c:pt idx="156">
                  <c:v>46248</c:v>
                </c:pt>
                <c:pt idx="157">
                  <c:v>46255</c:v>
                </c:pt>
                <c:pt idx="158">
                  <c:v>46262</c:v>
                </c:pt>
                <c:pt idx="159">
                  <c:v>46269</c:v>
                </c:pt>
              </c:numCache>
            </c:numRef>
          </c:cat>
          <c:val>
            <c:numRef>
              <c:f>'Returns (Calc)'!$V$3:$V$500</c:f>
              <c:numCache>
                <c:formatCode>0.0%</c:formatCode>
                <c:ptCount val="498"/>
                <c:pt idx="0">
                  <c:v>0</c:v>
                </c:pt>
                <c:pt idx="1">
                  <c:v>0</c:v>
                </c:pt>
                <c:pt idx="2">
                  <c:v>0</c:v>
                </c:pt>
                <c:pt idx="3">
                  <c:v>0</c:v>
                </c:pt>
                <c:pt idx="4">
                  <c:v>-2.515411029746395E-2</c:v>
                </c:pt>
                <c:pt idx="5">
                  <c:v>-2.482705937274543E-2</c:v>
                </c:pt>
                <c:pt idx="6">
                  <c:v>-2.1585864740186311E-2</c:v>
                </c:pt>
                <c:pt idx="7">
                  <c:v>2.1884174005871504E-2</c:v>
                </c:pt>
                <c:pt idx="8">
                  <c:v>1.1186558718551343E-2</c:v>
                </c:pt>
                <c:pt idx="9">
                  <c:v>-1.8036244673066193E-2</c:v>
                </c:pt>
                <c:pt idx="10">
                  <c:v>-1.7622304050499804E-2</c:v>
                </c:pt>
                <c:pt idx="11">
                  <c:v>6.2516733601071017E-2</c:v>
                </c:pt>
                <c:pt idx="12">
                  <c:v>8.9034479862246663E-3</c:v>
                </c:pt>
                <c:pt idx="13">
                  <c:v>1.7566498772010108E-2</c:v>
                </c:pt>
                <c:pt idx="14">
                  <c:v>1.9022294947842022E-2</c:v>
                </c:pt>
                <c:pt idx="15">
                  <c:v>8.4303492573263306E-3</c:v>
                </c:pt>
                <c:pt idx="16">
                  <c:v>-2.7468152866242379E-3</c:v>
                </c:pt>
                <c:pt idx="17">
                  <c:v>8.9417588120235258E-3</c:v>
                </c:pt>
                <c:pt idx="18">
                  <c:v>1.5430267062312986E-3</c:v>
                </c:pt>
                <c:pt idx="19">
                  <c:v>7.4267203918780833E-3</c:v>
                </c:pt>
                <c:pt idx="20">
                  <c:v>-2.5488197004156499E-3</c:v>
                </c:pt>
                <c:pt idx="21">
                  <c:v>1.7258324487950505E-2</c:v>
                </c:pt>
                <c:pt idx="22">
                  <c:v>2.5506260627608635E-2</c:v>
                </c:pt>
                <c:pt idx="23">
                  <c:v>-1.0928549894483108E-2</c:v>
                </c:pt>
                <c:pt idx="24">
                  <c:v>3.4481444791587323E-2</c:v>
                </c:pt>
                <c:pt idx="25">
                  <c:v>-8.4711428676664813E-4</c:v>
                </c:pt>
                <c:pt idx="26">
                  <c:v>7.7042170451195879E-3</c:v>
                </c:pt>
                <c:pt idx="27">
                  <c:v>1.8070746607162347E-2</c:v>
                </c:pt>
                <c:pt idx="28">
                  <c:v>-1.5450397039272756E-3</c:v>
                </c:pt>
                <c:pt idx="29">
                  <c:v>-1.1011947603281946E-2</c:v>
                </c:pt>
                <c:pt idx="30">
                  <c:v>1.069791136016307E-2</c:v>
                </c:pt>
                <c:pt idx="31">
                  <c:v>7.9205069124443916E-4</c:v>
                </c:pt>
                <c:pt idx="32">
                  <c:v>0</c:v>
                </c:pt>
                <c:pt idx="33">
                  <c:v>0</c:v>
                </c:pt>
                <c:pt idx="34">
                  <c:v>-4.2284075449499081E-3</c:v>
                </c:pt>
                <c:pt idx="35">
                  <c:v>-2.2413411121778304E-2</c:v>
                </c:pt>
                <c:pt idx="36">
                  <c:v>1.7563739376770471E-2</c:v>
                </c:pt>
                <c:pt idx="37">
                  <c:v>-2.1937639198218117E-2</c:v>
                </c:pt>
                <c:pt idx="38">
                  <c:v>4.5618429541917971E-2</c:v>
                </c:pt>
                <c:pt idx="39">
                  <c:v>-4.3555587818955299E-4</c:v>
                </c:pt>
                <c:pt idx="40">
                  <c:v>-2.0044300809760607E-2</c:v>
                </c:pt>
                <c:pt idx="41">
                  <c:v>-7.3739207766703174E-3</c:v>
                </c:pt>
                <c:pt idx="42">
                  <c:v>2.2771390174705086E-2</c:v>
                </c:pt>
                <c:pt idx="43">
                  <c:v>-2.8724724432440341E-2</c:v>
                </c:pt>
                <c:pt idx="44">
                  <c:v>1.6835143361767502E-2</c:v>
                </c:pt>
                <c:pt idx="45">
                  <c:v>-4.6343176022764943E-2</c:v>
                </c:pt>
                <c:pt idx="46">
                  <c:v>3.0071691532648659E-2</c:v>
                </c:pt>
                <c:pt idx="47">
                  <c:v>-1.707986907941772E-2</c:v>
                </c:pt>
                <c:pt idx="48">
                  <c:v>-1.0716882918052617E-3</c:v>
                </c:pt>
                <c:pt idx="49">
                  <c:v>-2.2606230123759508E-2</c:v>
                </c:pt>
                <c:pt idx="50">
                  <c:v>2.7480497079462207E-2</c:v>
                </c:pt>
                <c:pt idx="51">
                  <c:v>-2.3655093475772659E-2</c:v>
                </c:pt>
                <c:pt idx="52">
                  <c:v>2.9347401328644107E-2</c:v>
                </c:pt>
                <c:pt idx="53">
                  <c:v>2.2778178505000746E-4</c:v>
                </c:pt>
                <c:pt idx="54">
                  <c:v>3.3400387140850807E-2</c:v>
                </c:pt>
                <c:pt idx="55">
                  <c:v>1.0834833070114458E-2</c:v>
                </c:pt>
                <c:pt idx="56">
                  <c:v>2.8558971005014033E-2</c:v>
                </c:pt>
                <c:pt idx="57">
                  <c:v>-8.9727285572981375E-3</c:v>
                </c:pt>
                <c:pt idx="58">
                  <c:v>-3.3720681542739106E-2</c:v>
                </c:pt>
                <c:pt idx="59">
                  <c:v>1.0033938320791025E-2</c:v>
                </c:pt>
                <c:pt idx="60">
                  <c:v>-3.2870708546395289E-4</c:v>
                </c:pt>
                <c:pt idx="61">
                  <c:v>4.5997588688758251E-2</c:v>
                </c:pt>
                <c:pt idx="62">
                  <c:v>-3.0562347188264005E-2</c:v>
                </c:pt>
                <c:pt idx="63">
                  <c:v>3.1958205728697564E-2</c:v>
                </c:pt>
                <c:pt idx="64">
                  <c:v>5.8934431953075794E-2</c:v>
                </c:pt>
                <c:pt idx="65">
                  <c:v>7.6491922189252382E-3</c:v>
                </c:pt>
                <c:pt idx="66">
                  <c:v>9.1617040769564895E-4</c:v>
                </c:pt>
                <c:pt idx="67">
                  <c:v>1.6639424648578149E-2</c:v>
                </c:pt>
                <c:pt idx="68">
                  <c:v>-1.2926460657898931E-2</c:v>
                </c:pt>
                <c:pt idx="69">
                  <c:v>1.1988142163729121E-2</c:v>
                </c:pt>
                <c:pt idx="70">
                  <c:v>9.4640270400772053E-3</c:v>
                </c:pt>
                <c:pt idx="71">
                  <c:v>2.9656557925954452E-3</c:v>
                </c:pt>
                <c:pt idx="72">
                  <c:v>-1.1763957776929845E-2</c:v>
                </c:pt>
                <c:pt idx="73">
                  <c:v>-2.2842802908435655E-2</c:v>
                </c:pt>
                <c:pt idx="74">
                  <c:v>3.8686948505202157E-2</c:v>
                </c:pt>
                <c:pt idx="75">
                  <c:v>3.3093479570165174E-2</c:v>
                </c:pt>
                <c:pt idx="76">
                  <c:v>3.5132398514927443E-2</c:v>
                </c:pt>
                <c:pt idx="77">
                  <c:v>1.820014228124256E-2</c:v>
                </c:pt>
                <c:pt idx="78">
                  <c:v>1.8369723435225582E-2</c:v>
                </c:pt>
                <c:pt idx="79">
                  <c:v>-1.4922386438352309E-2</c:v>
                </c:pt>
                <c:pt idx="80">
                  <c:v>4.0657012681737825E-2</c:v>
                </c:pt>
                <c:pt idx="81">
                  <c:v>-4.7936419408811992E-2</c:v>
                </c:pt>
                <c:pt idx="82">
                  <c:v>-3.916112591898302E-2</c:v>
                </c:pt>
                <c:pt idx="83">
                  <c:v>1.1644921351054771E-2</c:v>
                </c:pt>
                <c:pt idx="84">
                  <c:v>2.1424697161453565E-2</c:v>
                </c:pt>
                <c:pt idx="85">
                  <c:v>-8.6674336961973131E-2</c:v>
                </c:pt>
                <c:pt idx="86">
                  <c:v>6.4730772957782845E-2</c:v>
                </c:pt>
                <c:pt idx="87">
                  <c:v>0</c:v>
                </c:pt>
                <c:pt idx="88">
                  <c:v>0</c:v>
                </c:pt>
                <c:pt idx="89">
                  <c:v>3.708733176413781E-2</c:v>
                </c:pt>
                <c:pt idx="90">
                  <c:v>1.4199668286437594E-2</c:v>
                </c:pt>
                <c:pt idx="91">
                  <c:v>3.7412135991966577E-2</c:v>
                </c:pt>
                <c:pt idx="92">
                  <c:v>-3.1721009983683102E-2</c:v>
                </c:pt>
                <c:pt idx="93">
                  <c:v>3.2960127956129348E-2</c:v>
                </c:pt>
                <c:pt idx="94">
                  <c:v>1.3769839075374657E-2</c:v>
                </c:pt>
                <c:pt idx="95">
                  <c:v>-4.691250272747105E-2</c:v>
                </c:pt>
                <c:pt idx="96">
                  <c:v>-4.0493360805860745E-2</c:v>
                </c:pt>
                <c:pt idx="97">
                  <c:v>2.9675803036177673E-2</c:v>
                </c:pt>
                <c:pt idx="98">
                  <c:v>0</c:v>
                </c:pt>
                <c:pt idx="99">
                  <c:v>0</c:v>
                </c:pt>
                <c:pt idx="100">
                  <c:v>3.2214998839099618E-3</c:v>
                </c:pt>
                <c:pt idx="101">
                  <c:v>2.2912025920675649E-2</c:v>
                </c:pt>
                <c:pt idx="102">
                  <c:v>-4.9548912582369375E-2</c:v>
                </c:pt>
                <c:pt idx="103">
                  <c:v>-7.5877049424227794E-3</c:v>
                </c:pt>
                <c:pt idx="104">
                  <c:v>2.4646198129047781E-2</c:v>
                </c:pt>
                <c:pt idx="105">
                  <c:v>1.6152630654883815E-2</c:v>
                </c:pt>
                <c:pt idx="106">
                  <c:v>4.9818579738525326E-3</c:v>
                </c:pt>
                <c:pt idx="107">
                  <c:v>-2.432734462305508E-2</c:v>
                </c:pt>
                <c:pt idx="108">
                  <c:v>-1.104258443465489E-2</c:v>
                </c:pt>
                <c:pt idx="109">
                  <c:v>6.4144443784521776E-3</c:v>
                </c:pt>
                <c:pt idx="110">
                  <c:v>-1.2422543523163077E-2</c:v>
                </c:pt>
                <c:pt idx="111">
                  <c:v>3.6959574531656214E-2</c:v>
                </c:pt>
                <c:pt idx="112">
                  <c:v>-1.7691465452659427E-2</c:v>
                </c:pt>
                <c:pt idx="113">
                  <c:v>-5.1038366772263588E-3</c:v>
                </c:pt>
                <c:pt idx="114">
                  <c:v>1.6038681526033383E-2</c:v>
                </c:pt>
                <c:pt idx="115">
                  <c:v>-1.9093494283558665E-2</c:v>
                </c:pt>
                <c:pt idx="116">
                  <c:v>-1.3874097739912439E-2</c:v>
                </c:pt>
                <c:pt idx="117">
                  <c:v>-1.5899205039748066E-2</c:v>
                </c:pt>
                <c:pt idx="118">
                  <c:v>-6.1880810852005252E-3</c:v>
                </c:pt>
                <c:pt idx="119">
                  <c:v>1.9692043432918194E-2</c:v>
                </c:pt>
                <c:pt idx="120">
                  <c:v>-9.5656359042233241E-3</c:v>
                </c:pt>
                <c:pt idx="121">
                  <c:v>5.0082002065237274E-2</c:v>
                </c:pt>
                <c:pt idx="122">
                  <c:v>4.1070137382501759E-3</c:v>
                </c:pt>
                <c:pt idx="123">
                  <c:v>1.6447273669959905E-2</c:v>
                </c:pt>
                <c:pt idx="124">
                  <c:v>-2.4002493765585942E-2</c:v>
                </c:pt>
                <c:pt idx="125">
                  <c:v>9.4944978368805E-3</c:v>
                </c:pt>
                <c:pt idx="126">
                  <c:v>-6.1378278877128434E-2</c:v>
                </c:pt>
                <c:pt idx="127">
                  <c:v>-6.4656493227920331E-3</c:v>
                </c:pt>
                <c:pt idx="128">
                  <c:v>-1.3323875026986953E-2</c:v>
                </c:pt>
                <c:pt idx="129">
                  <c:v>3.0289768997530553E-2</c:v>
                </c:pt>
                <c:pt idx="130">
                  <c:v>-5.0819174757281593E-2</c:v>
                </c:pt>
                <c:pt idx="131">
                  <c:v>2.1863512865590407E-2</c:v>
                </c:pt>
                <c:pt idx="132">
                  <c:v>-2.5024242234664706E-3</c:v>
                </c:pt>
                <c:pt idx="133">
                  <c:v>-8.6863808836902257E-3</c:v>
                </c:pt>
                <c:pt idx="134">
                  <c:v>-3.2202960900923672E-2</c:v>
                </c:pt>
                <c:pt idx="135">
                  <c:v>-1.7977381185853458E-2</c:v>
                </c:pt>
                <c:pt idx="136">
                  <c:v>-2.0236985754227055E-2</c:v>
                </c:pt>
                <c:pt idx="137">
                  <c:v>0</c:v>
                </c:pt>
                <c:pt idx="138">
                  <c:v>0</c:v>
                </c:pt>
                <c:pt idx="139">
                  <c:v>4.15938252465613E-2</c:v>
                </c:pt>
                <c:pt idx="140">
                  <c:v>-2.3972385838241794E-2</c:v>
                </c:pt>
                <c:pt idx="141">
                  <c:v>6.0121345835631557E-2</c:v>
                </c:pt>
                <c:pt idx="142">
                  <c:v>-2.8156944359429503E-2</c:v>
                </c:pt>
                <c:pt idx="143">
                  <c:v>2.3965484663349468E-2</c:v>
                </c:pt>
                <c:pt idx="144">
                  <c:v>9.5955712747961552E-3</c:v>
                </c:pt>
                <c:pt idx="145">
                  <c:v>-7.6766076705150343E-3</c:v>
                </c:pt>
                <c:pt idx="146">
                  <c:v>-8.534151957022118E-3</c:v>
                </c:pt>
                <c:pt idx="147">
                  <c:v>-3.6535901167291662E-3</c:v>
                </c:pt>
                <c:pt idx="148">
                  <c:v>0</c:v>
                </c:pt>
                <c:pt idx="149">
                  <c:v>0</c:v>
                </c:pt>
                <c:pt idx="150">
                  <c:v>0</c:v>
                </c:pt>
                <c:pt idx="151">
                  <c:v>0</c:v>
                </c:pt>
                <c:pt idx="152">
                  <c:v>2.7503445107946778E-2</c:v>
                </c:pt>
                <c:pt idx="153">
                  <c:v>-7.8792958927074164E-3</c:v>
                </c:pt>
                <c:pt idx="154">
                  <c:v>2.9204686267883417E-2</c:v>
                </c:pt>
                <c:pt idx="155">
                  <c:v>-9.9055958407443523E-3</c:v>
                </c:pt>
                <c:pt idx="156">
                  <c:v>6.4118508691926035E-3</c:v>
                </c:pt>
                <c:pt idx="157">
                  <c:v>1.8920774406151475E-2</c:v>
                </c:pt>
                <c:pt idx="158">
                  <c:v>2.8460543337645472E-2</c:v>
                </c:pt>
                <c:pt idx="159">
                  <c:v>-1.7112159329140564E-2</c:v>
                </c:pt>
              </c:numCache>
            </c:numRef>
          </c:val>
          <c:extLst>
            <c:ext xmlns:c16="http://schemas.microsoft.com/office/drawing/2014/chart" uri="{C3380CC4-5D6E-409C-BE32-E72D297353CC}">
              <c16:uniqueId val="{00000000-DCD0-4542-AF34-7FBBDF26EA3C}"/>
            </c:ext>
          </c:extLst>
        </c:ser>
        <c:dLbls>
          <c:showLegendKey val="0"/>
          <c:showVal val="0"/>
          <c:showCatName val="0"/>
          <c:showSerName val="0"/>
          <c:showPercent val="0"/>
          <c:showBubbleSize val="0"/>
        </c:dLbls>
        <c:gapWidth val="150"/>
        <c:axId val="95516420"/>
        <c:axId val="1072543"/>
      </c:barChart>
      <c:lineChart>
        <c:grouping val="standard"/>
        <c:varyColors val="0"/>
        <c:ser>
          <c:idx val="1"/>
          <c:order val="1"/>
          <c:tx>
            <c:strRef>
              <c:f>'Returns (Calc)'!$AO$2</c:f>
              <c:strCache>
                <c:ptCount val="1"/>
                <c:pt idx="0">
                  <c:v>V trend</c:v>
                </c:pt>
              </c:strCache>
            </c:strRef>
          </c:tx>
          <c:spPr>
            <a:ln w="20160">
              <a:solidFill>
                <a:srgbClr val="FF0000"/>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numRef>
              <c:f>'Returns (Calc)'!$A$3:$A$500</c:f>
              <c:numCache>
                <c:formatCode>mm/dd/yyyy</c:formatCode>
                <c:ptCount val="498"/>
                <c:pt idx="0">
                  <c:v>45156</c:v>
                </c:pt>
                <c:pt idx="1">
                  <c:v>45163</c:v>
                </c:pt>
                <c:pt idx="2">
                  <c:v>45170</c:v>
                </c:pt>
                <c:pt idx="3">
                  <c:v>45177</c:v>
                </c:pt>
                <c:pt idx="4">
                  <c:v>45184</c:v>
                </c:pt>
                <c:pt idx="5">
                  <c:v>45191</c:v>
                </c:pt>
                <c:pt idx="6">
                  <c:v>45198</c:v>
                </c:pt>
                <c:pt idx="7">
                  <c:v>45205</c:v>
                </c:pt>
                <c:pt idx="8">
                  <c:v>45212</c:v>
                </c:pt>
                <c:pt idx="9">
                  <c:v>45219</c:v>
                </c:pt>
                <c:pt idx="10">
                  <c:v>45226</c:v>
                </c:pt>
                <c:pt idx="11">
                  <c:v>45233</c:v>
                </c:pt>
                <c:pt idx="12">
                  <c:v>45240</c:v>
                </c:pt>
                <c:pt idx="13">
                  <c:v>45247</c:v>
                </c:pt>
                <c:pt idx="14">
                  <c:v>45254</c:v>
                </c:pt>
                <c:pt idx="15">
                  <c:v>45261</c:v>
                </c:pt>
                <c:pt idx="16">
                  <c:v>45268</c:v>
                </c:pt>
                <c:pt idx="17">
                  <c:v>45275</c:v>
                </c:pt>
                <c:pt idx="18">
                  <c:v>45282</c:v>
                </c:pt>
                <c:pt idx="19">
                  <c:v>45289</c:v>
                </c:pt>
                <c:pt idx="20">
                  <c:v>45296</c:v>
                </c:pt>
                <c:pt idx="21">
                  <c:v>45303</c:v>
                </c:pt>
                <c:pt idx="22">
                  <c:v>45310</c:v>
                </c:pt>
                <c:pt idx="23">
                  <c:v>45317</c:v>
                </c:pt>
                <c:pt idx="24">
                  <c:v>45324</c:v>
                </c:pt>
                <c:pt idx="25">
                  <c:v>45331</c:v>
                </c:pt>
                <c:pt idx="26">
                  <c:v>45338</c:v>
                </c:pt>
                <c:pt idx="27">
                  <c:v>45345</c:v>
                </c:pt>
                <c:pt idx="28">
                  <c:v>45352</c:v>
                </c:pt>
                <c:pt idx="29">
                  <c:v>45359</c:v>
                </c:pt>
                <c:pt idx="30">
                  <c:v>45366</c:v>
                </c:pt>
                <c:pt idx="31">
                  <c:v>45373</c:v>
                </c:pt>
                <c:pt idx="32">
                  <c:v>45379</c:v>
                </c:pt>
                <c:pt idx="33">
                  <c:v>45387</c:v>
                </c:pt>
                <c:pt idx="34">
                  <c:v>45394</c:v>
                </c:pt>
                <c:pt idx="35">
                  <c:v>45401</c:v>
                </c:pt>
                <c:pt idx="36">
                  <c:v>45408</c:v>
                </c:pt>
                <c:pt idx="37">
                  <c:v>45415</c:v>
                </c:pt>
                <c:pt idx="38">
                  <c:v>45422</c:v>
                </c:pt>
                <c:pt idx="39">
                  <c:v>45429</c:v>
                </c:pt>
                <c:pt idx="40">
                  <c:v>45436</c:v>
                </c:pt>
                <c:pt idx="41">
                  <c:v>45443</c:v>
                </c:pt>
                <c:pt idx="42">
                  <c:v>45450</c:v>
                </c:pt>
                <c:pt idx="43">
                  <c:v>45457</c:v>
                </c:pt>
                <c:pt idx="44">
                  <c:v>45464</c:v>
                </c:pt>
                <c:pt idx="45">
                  <c:v>45471</c:v>
                </c:pt>
                <c:pt idx="46">
                  <c:v>45478</c:v>
                </c:pt>
                <c:pt idx="47">
                  <c:v>45485</c:v>
                </c:pt>
                <c:pt idx="48">
                  <c:v>45492</c:v>
                </c:pt>
                <c:pt idx="49">
                  <c:v>45499</c:v>
                </c:pt>
                <c:pt idx="50">
                  <c:v>45506</c:v>
                </c:pt>
                <c:pt idx="51">
                  <c:v>45513</c:v>
                </c:pt>
                <c:pt idx="52">
                  <c:v>45520</c:v>
                </c:pt>
                <c:pt idx="53">
                  <c:v>45527</c:v>
                </c:pt>
                <c:pt idx="54">
                  <c:v>45534</c:v>
                </c:pt>
                <c:pt idx="55">
                  <c:v>45541</c:v>
                </c:pt>
                <c:pt idx="56">
                  <c:v>45548</c:v>
                </c:pt>
                <c:pt idx="57">
                  <c:v>45555</c:v>
                </c:pt>
                <c:pt idx="58">
                  <c:v>45562</c:v>
                </c:pt>
                <c:pt idx="59">
                  <c:v>45569</c:v>
                </c:pt>
                <c:pt idx="60">
                  <c:v>45576</c:v>
                </c:pt>
                <c:pt idx="61">
                  <c:v>45583</c:v>
                </c:pt>
                <c:pt idx="62">
                  <c:v>45590</c:v>
                </c:pt>
                <c:pt idx="63">
                  <c:v>45597</c:v>
                </c:pt>
                <c:pt idx="64">
                  <c:v>45604</c:v>
                </c:pt>
                <c:pt idx="65">
                  <c:v>45611</c:v>
                </c:pt>
                <c:pt idx="66">
                  <c:v>45618</c:v>
                </c:pt>
                <c:pt idx="67">
                  <c:v>45625</c:v>
                </c:pt>
                <c:pt idx="68">
                  <c:v>45632</c:v>
                </c:pt>
                <c:pt idx="69">
                  <c:v>45639</c:v>
                </c:pt>
                <c:pt idx="70">
                  <c:v>45646</c:v>
                </c:pt>
                <c:pt idx="71">
                  <c:v>45653</c:v>
                </c:pt>
                <c:pt idx="72">
                  <c:v>45660</c:v>
                </c:pt>
                <c:pt idx="73">
                  <c:v>45667</c:v>
                </c:pt>
                <c:pt idx="74">
                  <c:v>45674</c:v>
                </c:pt>
                <c:pt idx="75">
                  <c:v>45681</c:v>
                </c:pt>
                <c:pt idx="76">
                  <c:v>45688</c:v>
                </c:pt>
                <c:pt idx="77">
                  <c:v>45695</c:v>
                </c:pt>
                <c:pt idx="78">
                  <c:v>45702</c:v>
                </c:pt>
                <c:pt idx="79">
                  <c:v>45709</c:v>
                </c:pt>
                <c:pt idx="80">
                  <c:v>45716</c:v>
                </c:pt>
                <c:pt idx="81">
                  <c:v>45723</c:v>
                </c:pt>
                <c:pt idx="82">
                  <c:v>45730</c:v>
                </c:pt>
                <c:pt idx="83">
                  <c:v>45737</c:v>
                </c:pt>
                <c:pt idx="84">
                  <c:v>45744</c:v>
                </c:pt>
                <c:pt idx="85">
                  <c:v>45751</c:v>
                </c:pt>
                <c:pt idx="86">
                  <c:v>45758</c:v>
                </c:pt>
                <c:pt idx="87">
                  <c:v>45764</c:v>
                </c:pt>
                <c:pt idx="88">
                  <c:v>45772</c:v>
                </c:pt>
                <c:pt idx="89">
                  <c:v>45779</c:v>
                </c:pt>
                <c:pt idx="90">
                  <c:v>45786</c:v>
                </c:pt>
                <c:pt idx="91">
                  <c:v>45793</c:v>
                </c:pt>
                <c:pt idx="92">
                  <c:v>45800</c:v>
                </c:pt>
                <c:pt idx="93">
                  <c:v>45807</c:v>
                </c:pt>
                <c:pt idx="94">
                  <c:v>45814</c:v>
                </c:pt>
                <c:pt idx="95">
                  <c:v>45821</c:v>
                </c:pt>
                <c:pt idx="96">
                  <c:v>45828</c:v>
                </c:pt>
                <c:pt idx="97">
                  <c:v>45835</c:v>
                </c:pt>
                <c:pt idx="98">
                  <c:v>45841</c:v>
                </c:pt>
                <c:pt idx="99">
                  <c:v>45849</c:v>
                </c:pt>
                <c:pt idx="100">
                  <c:v>45856</c:v>
                </c:pt>
                <c:pt idx="101">
                  <c:v>45863</c:v>
                </c:pt>
                <c:pt idx="102">
                  <c:v>45870</c:v>
                </c:pt>
                <c:pt idx="103">
                  <c:v>45877</c:v>
                </c:pt>
                <c:pt idx="104">
                  <c:v>45884</c:v>
                </c:pt>
                <c:pt idx="105">
                  <c:v>45891</c:v>
                </c:pt>
                <c:pt idx="106">
                  <c:v>45898</c:v>
                </c:pt>
                <c:pt idx="107">
                  <c:v>45905</c:v>
                </c:pt>
                <c:pt idx="108">
                  <c:v>45912</c:v>
                </c:pt>
                <c:pt idx="109">
                  <c:v>45919</c:v>
                </c:pt>
                <c:pt idx="110">
                  <c:v>45926</c:v>
                </c:pt>
                <c:pt idx="111">
                  <c:v>45933</c:v>
                </c:pt>
                <c:pt idx="112">
                  <c:v>45940</c:v>
                </c:pt>
                <c:pt idx="113">
                  <c:v>45947</c:v>
                </c:pt>
                <c:pt idx="114">
                  <c:v>45954</c:v>
                </c:pt>
                <c:pt idx="115">
                  <c:v>45961</c:v>
                </c:pt>
                <c:pt idx="116">
                  <c:v>45968</c:v>
                </c:pt>
                <c:pt idx="117">
                  <c:v>45975</c:v>
                </c:pt>
                <c:pt idx="118">
                  <c:v>45982</c:v>
                </c:pt>
                <c:pt idx="119">
                  <c:v>45989</c:v>
                </c:pt>
                <c:pt idx="120">
                  <c:v>45996</c:v>
                </c:pt>
                <c:pt idx="121">
                  <c:v>46003</c:v>
                </c:pt>
                <c:pt idx="122">
                  <c:v>46010</c:v>
                </c:pt>
                <c:pt idx="123">
                  <c:v>46017</c:v>
                </c:pt>
                <c:pt idx="124">
                  <c:v>46024</c:v>
                </c:pt>
                <c:pt idx="125">
                  <c:v>46031</c:v>
                </c:pt>
                <c:pt idx="126">
                  <c:v>46038</c:v>
                </c:pt>
                <c:pt idx="127">
                  <c:v>46045</c:v>
                </c:pt>
                <c:pt idx="128">
                  <c:v>46052</c:v>
                </c:pt>
                <c:pt idx="129">
                  <c:v>46059</c:v>
                </c:pt>
                <c:pt idx="130">
                  <c:v>46066</c:v>
                </c:pt>
                <c:pt idx="131">
                  <c:v>46073</c:v>
                </c:pt>
                <c:pt idx="132">
                  <c:v>46080</c:v>
                </c:pt>
                <c:pt idx="133">
                  <c:v>46087</c:v>
                </c:pt>
                <c:pt idx="134">
                  <c:v>46094</c:v>
                </c:pt>
                <c:pt idx="135">
                  <c:v>46101</c:v>
                </c:pt>
                <c:pt idx="136">
                  <c:v>46108</c:v>
                </c:pt>
                <c:pt idx="137">
                  <c:v>46114</c:v>
                </c:pt>
                <c:pt idx="138">
                  <c:v>46122</c:v>
                </c:pt>
                <c:pt idx="139">
                  <c:v>46129</c:v>
                </c:pt>
                <c:pt idx="140">
                  <c:v>46136</c:v>
                </c:pt>
                <c:pt idx="141">
                  <c:v>46143</c:v>
                </c:pt>
                <c:pt idx="142">
                  <c:v>46150</c:v>
                </c:pt>
                <c:pt idx="143">
                  <c:v>46157</c:v>
                </c:pt>
                <c:pt idx="144">
                  <c:v>46164</c:v>
                </c:pt>
                <c:pt idx="145">
                  <c:v>46171</c:v>
                </c:pt>
                <c:pt idx="146">
                  <c:v>46178</c:v>
                </c:pt>
                <c:pt idx="147">
                  <c:v>46185</c:v>
                </c:pt>
                <c:pt idx="148">
                  <c:v>46191</c:v>
                </c:pt>
                <c:pt idx="149">
                  <c:v>46199</c:v>
                </c:pt>
                <c:pt idx="150">
                  <c:v>46205</c:v>
                </c:pt>
                <c:pt idx="151">
                  <c:v>46213</c:v>
                </c:pt>
                <c:pt idx="152">
                  <c:v>46220</c:v>
                </c:pt>
                <c:pt idx="153">
                  <c:v>46227</c:v>
                </c:pt>
                <c:pt idx="154">
                  <c:v>46234</c:v>
                </c:pt>
                <c:pt idx="155">
                  <c:v>46241</c:v>
                </c:pt>
                <c:pt idx="156">
                  <c:v>46248</c:v>
                </c:pt>
                <c:pt idx="157">
                  <c:v>46255</c:v>
                </c:pt>
                <c:pt idx="158">
                  <c:v>46262</c:v>
                </c:pt>
                <c:pt idx="159">
                  <c:v>46269</c:v>
                </c:pt>
              </c:numCache>
            </c:numRef>
          </c:cat>
          <c:val>
            <c:numRef>
              <c:f>'Returns (Calc)'!$AO$3:$AO$500</c:f>
              <c:numCache>
                <c:formatCode>#,##0.00</c:formatCode>
                <c:ptCount val="49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numCache>
            </c:numRef>
          </c:val>
          <c:smooth val="0"/>
          <c:extLst>
            <c:ext xmlns:c16="http://schemas.microsoft.com/office/drawing/2014/chart" uri="{C3380CC4-5D6E-409C-BE32-E72D297353CC}">
              <c16:uniqueId val="{00000001-DCD0-4542-AF34-7FBBDF26EA3C}"/>
            </c:ext>
          </c:extLst>
        </c:ser>
        <c:dLbls>
          <c:showLegendKey val="0"/>
          <c:showVal val="0"/>
          <c:showCatName val="0"/>
          <c:showSerName val="0"/>
          <c:showPercent val="0"/>
          <c:showBubbleSize val="0"/>
        </c:dLbls>
        <c:hiLowLines>
          <c:spPr>
            <a:ln w="0">
              <a:noFill/>
            </a:ln>
          </c:spPr>
        </c:hiLowLines>
        <c:marker val="1"/>
        <c:smooth val="0"/>
        <c:axId val="21664410"/>
        <c:axId val="29352897"/>
      </c:lineChart>
      <c:dateAx>
        <c:axId val="95516420"/>
        <c:scaling>
          <c:orientation val="minMax"/>
        </c:scaling>
        <c:delete val="1"/>
        <c:axPos val="b"/>
        <c:numFmt formatCode="mm/dd/yyyy" sourceLinked="1"/>
        <c:majorTickMark val="none"/>
        <c:minorTickMark val="none"/>
        <c:tickLblPos val="nextTo"/>
        <c:crossAx val="1072543"/>
        <c:crosses val="autoZero"/>
        <c:auto val="1"/>
        <c:lblOffset val="100"/>
        <c:baseTimeUnit val="days"/>
      </c:dateAx>
      <c:valAx>
        <c:axId val="1072543"/>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Weekly Return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95516420"/>
        <c:crosses val="autoZero"/>
        <c:crossBetween val="between"/>
      </c:valAx>
      <c:dateAx>
        <c:axId val="21664410"/>
        <c:scaling>
          <c:orientation val="minMax"/>
        </c:scaling>
        <c:delete val="1"/>
        <c:axPos val="b"/>
        <c:numFmt formatCode="mm/dd/yyyy" sourceLinked="1"/>
        <c:majorTickMark val="none"/>
        <c:minorTickMark val="none"/>
        <c:tickLblPos val="nextTo"/>
        <c:crossAx val="29352897"/>
        <c:crosses val="autoZero"/>
        <c:auto val="1"/>
        <c:lblOffset val="100"/>
        <c:baseTimeUnit val="days"/>
      </c:dateAx>
      <c:valAx>
        <c:axId val="29352897"/>
        <c:scaling>
          <c:orientation val="minMax"/>
        </c:scaling>
        <c:delete val="0"/>
        <c:axPos val="r"/>
        <c:title>
          <c:tx>
            <c:rich>
              <a:bodyPr rot="-5400000"/>
              <a:lstStyle/>
              <a:p>
                <a:pPr>
                  <a:defRPr sz="1300" b="0" u="none" strike="noStrike">
                    <a:uFillTx/>
                    <a:latin typeface="Arial"/>
                  </a:defRPr>
                </a:pPr>
                <a:r>
                  <a:rPr lang="en-US" sz="1000" b="1" u="none" strike="noStrike">
                    <a:solidFill>
                      <a:srgbClr val="000000"/>
                    </a:solidFill>
                    <a:uFillTx/>
                    <a:latin typeface="Calibri"/>
                  </a:rPr>
                  <a:t>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endParaRPr lang="en-US"/>
          </a:p>
        </c:txPr>
        <c:crossAx val="21664410"/>
        <c:crosses val="max"/>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163</xdr:row>
      <xdr:rowOff>0</xdr:rowOff>
    </xdr:from>
    <xdr:to>
      <xdr:col>5</xdr:col>
      <xdr:colOff>366840</xdr:colOff>
      <xdr:row>175</xdr:row>
      <xdr:rowOff>10080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163</xdr:row>
      <xdr:rowOff>0</xdr:rowOff>
    </xdr:from>
    <xdr:to>
      <xdr:col>13</xdr:col>
      <xdr:colOff>388440</xdr:colOff>
      <xdr:row>175</xdr:row>
      <xdr:rowOff>10080</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0</xdr:colOff>
      <xdr:row>163</xdr:row>
      <xdr:rowOff>0</xdr:rowOff>
    </xdr:from>
    <xdr:to>
      <xdr:col>22</xdr:col>
      <xdr:colOff>154440</xdr:colOff>
      <xdr:row>175</xdr:row>
      <xdr:rowOff>10080</xdr:rowOff>
    </xdr:to>
    <xdr:graphicFrame macro="">
      <xdr:nvGraphicFramePr>
        <xdr:cNvPr id="4" name="Chart 3">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24</xdr:col>
      <xdr:colOff>0</xdr:colOff>
      <xdr:row>163</xdr:row>
      <xdr:rowOff>0</xdr:rowOff>
    </xdr:from>
    <xdr:to>
      <xdr:col>30</xdr:col>
      <xdr:colOff>406800</xdr:colOff>
      <xdr:row>175</xdr:row>
      <xdr:rowOff>10080</xdr:rowOff>
    </xdr:to>
    <xdr:graphicFrame macro="">
      <xdr:nvGraphicFramePr>
        <xdr:cNvPr id="5" name="Chart 4">
          <a:extLst>
            <a:ext uri="{FF2B5EF4-FFF2-40B4-BE49-F238E27FC236}">
              <a16:creationId xmlns:a16="http://schemas.microsoft.com/office/drawing/2014/main" id="{00000000-0008-0000-09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179</xdr:row>
      <xdr:rowOff>0</xdr:rowOff>
    </xdr:from>
    <xdr:to>
      <xdr:col>5</xdr:col>
      <xdr:colOff>366840</xdr:colOff>
      <xdr:row>191</xdr:row>
      <xdr:rowOff>10080</xdr:rowOff>
    </xdr:to>
    <xdr:graphicFrame macro="">
      <xdr:nvGraphicFramePr>
        <xdr:cNvPr id="6" name="Chart 5">
          <a:extLst>
            <a:ext uri="{FF2B5EF4-FFF2-40B4-BE49-F238E27FC236}">
              <a16:creationId xmlns:a16="http://schemas.microsoft.com/office/drawing/2014/main" id="{00000000-0008-0000-09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0</xdr:colOff>
      <xdr:row>179</xdr:row>
      <xdr:rowOff>0</xdr:rowOff>
    </xdr:from>
    <xdr:to>
      <xdr:col>13</xdr:col>
      <xdr:colOff>388440</xdr:colOff>
      <xdr:row>191</xdr:row>
      <xdr:rowOff>10080</xdr:rowOff>
    </xdr:to>
    <xdr:graphicFrame macro="">
      <xdr:nvGraphicFramePr>
        <xdr:cNvPr id="7" name="Chart 6">
          <a:extLst>
            <a:ext uri="{FF2B5EF4-FFF2-40B4-BE49-F238E27FC236}">
              <a16:creationId xmlns:a16="http://schemas.microsoft.com/office/drawing/2014/main" id="{00000000-0008-0000-09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0</xdr:colOff>
      <xdr:row>179</xdr:row>
      <xdr:rowOff>0</xdr:rowOff>
    </xdr:from>
    <xdr:to>
      <xdr:col>22</xdr:col>
      <xdr:colOff>154440</xdr:colOff>
      <xdr:row>191</xdr:row>
      <xdr:rowOff>10080</xdr:rowOff>
    </xdr:to>
    <xdr:graphicFrame macro="">
      <xdr:nvGraphicFramePr>
        <xdr:cNvPr id="8" name="Chart 7">
          <a:extLst>
            <a:ext uri="{FF2B5EF4-FFF2-40B4-BE49-F238E27FC236}">
              <a16:creationId xmlns:a16="http://schemas.microsoft.com/office/drawing/2014/main" id="{00000000-0008-0000-09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24</xdr:col>
      <xdr:colOff>0</xdr:colOff>
      <xdr:row>179</xdr:row>
      <xdr:rowOff>0</xdr:rowOff>
    </xdr:from>
    <xdr:to>
      <xdr:col>30</xdr:col>
      <xdr:colOff>406800</xdr:colOff>
      <xdr:row>191</xdr:row>
      <xdr:rowOff>10080</xdr:rowOff>
    </xdr:to>
    <xdr:graphicFrame macro="">
      <xdr:nvGraphicFramePr>
        <xdr:cNvPr id="9" name="Chart 8">
          <a:extLst>
            <a:ext uri="{FF2B5EF4-FFF2-40B4-BE49-F238E27FC236}">
              <a16:creationId xmlns:a16="http://schemas.microsoft.com/office/drawing/2014/main" id="{00000000-0008-0000-09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195</xdr:row>
      <xdr:rowOff>0</xdr:rowOff>
    </xdr:from>
    <xdr:to>
      <xdr:col>5</xdr:col>
      <xdr:colOff>366840</xdr:colOff>
      <xdr:row>207</xdr:row>
      <xdr:rowOff>10080</xdr:rowOff>
    </xdr:to>
    <xdr:graphicFrame macro="">
      <xdr:nvGraphicFramePr>
        <xdr:cNvPr id="10" name="Chart 9">
          <a:extLst>
            <a:ext uri="{FF2B5EF4-FFF2-40B4-BE49-F238E27FC236}">
              <a16:creationId xmlns:a16="http://schemas.microsoft.com/office/drawing/2014/main" id="{00000000-0008-0000-09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0</xdr:colOff>
      <xdr:row>195</xdr:row>
      <xdr:rowOff>0</xdr:rowOff>
    </xdr:from>
    <xdr:to>
      <xdr:col>13</xdr:col>
      <xdr:colOff>388440</xdr:colOff>
      <xdr:row>207</xdr:row>
      <xdr:rowOff>10080</xdr:rowOff>
    </xdr:to>
    <xdr:graphicFrame macro="">
      <xdr:nvGraphicFramePr>
        <xdr:cNvPr id="11" name="Chart 10">
          <a:extLst>
            <a:ext uri="{FF2B5EF4-FFF2-40B4-BE49-F238E27FC236}">
              <a16:creationId xmlns:a16="http://schemas.microsoft.com/office/drawing/2014/main" id="{00000000-0008-0000-09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16</xdr:col>
      <xdr:colOff>0</xdr:colOff>
      <xdr:row>195</xdr:row>
      <xdr:rowOff>0</xdr:rowOff>
    </xdr:from>
    <xdr:to>
      <xdr:col>22</xdr:col>
      <xdr:colOff>154440</xdr:colOff>
      <xdr:row>207</xdr:row>
      <xdr:rowOff>10080</xdr:rowOff>
    </xdr:to>
    <xdr:graphicFrame macro="">
      <xdr:nvGraphicFramePr>
        <xdr:cNvPr id="12" name="Chart 11">
          <a:extLst>
            <a:ext uri="{FF2B5EF4-FFF2-40B4-BE49-F238E27FC236}">
              <a16:creationId xmlns:a16="http://schemas.microsoft.com/office/drawing/2014/main" id="{00000000-0008-0000-09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24</xdr:col>
      <xdr:colOff>0</xdr:colOff>
      <xdr:row>195</xdr:row>
      <xdr:rowOff>0</xdr:rowOff>
    </xdr:from>
    <xdr:to>
      <xdr:col>30</xdr:col>
      <xdr:colOff>406800</xdr:colOff>
      <xdr:row>207</xdr:row>
      <xdr:rowOff>10080</xdr:rowOff>
    </xdr:to>
    <xdr:graphicFrame macro="">
      <xdr:nvGraphicFramePr>
        <xdr:cNvPr id="13" name="Chart 12">
          <a:extLst>
            <a:ext uri="{FF2B5EF4-FFF2-40B4-BE49-F238E27FC236}">
              <a16:creationId xmlns:a16="http://schemas.microsoft.com/office/drawing/2014/main" id="{00000000-0008-0000-09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0</xdr:colOff>
      <xdr:row>211</xdr:row>
      <xdr:rowOff>0</xdr:rowOff>
    </xdr:from>
    <xdr:to>
      <xdr:col>5</xdr:col>
      <xdr:colOff>366840</xdr:colOff>
      <xdr:row>223</xdr:row>
      <xdr:rowOff>10080</xdr:rowOff>
    </xdr:to>
    <xdr:graphicFrame macro="">
      <xdr:nvGraphicFramePr>
        <xdr:cNvPr id="14" name="Chart 13">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8</xdr:col>
      <xdr:colOff>0</xdr:colOff>
      <xdr:row>211</xdr:row>
      <xdr:rowOff>0</xdr:rowOff>
    </xdr:from>
    <xdr:to>
      <xdr:col>13</xdr:col>
      <xdr:colOff>388440</xdr:colOff>
      <xdr:row>223</xdr:row>
      <xdr:rowOff>10080</xdr:rowOff>
    </xdr:to>
    <xdr:graphicFrame macro="">
      <xdr:nvGraphicFramePr>
        <xdr:cNvPr id="15" name="Chart 14">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16</xdr:col>
      <xdr:colOff>0</xdr:colOff>
      <xdr:row>211</xdr:row>
      <xdr:rowOff>0</xdr:rowOff>
    </xdr:from>
    <xdr:to>
      <xdr:col>22</xdr:col>
      <xdr:colOff>154440</xdr:colOff>
      <xdr:row>223</xdr:row>
      <xdr:rowOff>10080</xdr:rowOff>
    </xdr:to>
    <xdr:graphicFrame macro="">
      <xdr:nvGraphicFramePr>
        <xdr:cNvPr id="16" name="Chart 15">
          <a:extLst>
            <a:ext uri="{FF2B5EF4-FFF2-40B4-BE49-F238E27FC236}">
              <a16:creationId xmlns:a16="http://schemas.microsoft.com/office/drawing/2014/main" id="{00000000-0008-0000-09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24</xdr:col>
      <xdr:colOff>0</xdr:colOff>
      <xdr:row>211</xdr:row>
      <xdr:rowOff>0</xdr:rowOff>
    </xdr:from>
    <xdr:to>
      <xdr:col>30</xdr:col>
      <xdr:colOff>406800</xdr:colOff>
      <xdr:row>223</xdr:row>
      <xdr:rowOff>10080</xdr:rowOff>
    </xdr:to>
    <xdr:graphicFrame macro="">
      <xdr:nvGraphicFramePr>
        <xdr:cNvPr id="17" name="Chart 16">
          <a:extLst>
            <a:ext uri="{FF2B5EF4-FFF2-40B4-BE49-F238E27FC236}">
              <a16:creationId xmlns:a16="http://schemas.microsoft.com/office/drawing/2014/main" id="{00000000-0008-0000-09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0</xdr:colOff>
      <xdr:row>227</xdr:row>
      <xdr:rowOff>0</xdr:rowOff>
    </xdr:from>
    <xdr:to>
      <xdr:col>5</xdr:col>
      <xdr:colOff>366840</xdr:colOff>
      <xdr:row>239</xdr:row>
      <xdr:rowOff>10080</xdr:rowOff>
    </xdr:to>
    <xdr:graphicFrame macro="">
      <xdr:nvGraphicFramePr>
        <xdr:cNvPr id="18" name="Chart 17">
          <a:extLst>
            <a:ext uri="{FF2B5EF4-FFF2-40B4-BE49-F238E27FC236}">
              <a16:creationId xmlns:a16="http://schemas.microsoft.com/office/drawing/2014/main" id="{00000000-0008-0000-09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8</xdr:col>
      <xdr:colOff>0</xdr:colOff>
      <xdr:row>227</xdr:row>
      <xdr:rowOff>0</xdr:rowOff>
    </xdr:from>
    <xdr:to>
      <xdr:col>13</xdr:col>
      <xdr:colOff>388440</xdr:colOff>
      <xdr:row>239</xdr:row>
      <xdr:rowOff>10080</xdr:rowOff>
    </xdr:to>
    <xdr:graphicFrame macro="">
      <xdr:nvGraphicFramePr>
        <xdr:cNvPr id="19" name="Chart 18">
          <a:extLst>
            <a:ext uri="{FF2B5EF4-FFF2-40B4-BE49-F238E27FC236}">
              <a16:creationId xmlns:a16="http://schemas.microsoft.com/office/drawing/2014/main" id="{00000000-0008-0000-09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0</xdr:col>
      <xdr:colOff>0</xdr:colOff>
      <xdr:row>241</xdr:row>
      <xdr:rowOff>0</xdr:rowOff>
    </xdr:from>
    <xdr:to>
      <xdr:col>5</xdr:col>
      <xdr:colOff>25560</xdr:colOff>
      <xdr:row>253</xdr:row>
      <xdr:rowOff>10080</xdr:rowOff>
    </xdr:to>
    <xdr:graphicFrame macro="">
      <xdr:nvGraphicFramePr>
        <xdr:cNvPr id="20" name="Chart 19">
          <a:extLst>
            <a:ext uri="{FF2B5EF4-FFF2-40B4-BE49-F238E27FC236}">
              <a16:creationId xmlns:a16="http://schemas.microsoft.com/office/drawing/2014/main" id="{00000000-0008-0000-09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urrentPositionsTable" displayName="CurrentPositionsTable" ref="A2:M49" totalsRowShown="0">
  <tableColumns count="13">
    <tableColumn id="1" xr3:uid="{00000000-0010-0000-0000-000001000000}" name="Account"/>
    <tableColumn id="2" xr3:uid="{00000000-0010-0000-0000-000002000000}" name="Ticker" dataDxfId="110"/>
    <tableColumn id="3" xr3:uid="{00000000-0010-0000-0000-000003000000}" name="Description"/>
    <tableColumn id="4" xr3:uid="{00000000-0010-0000-0000-000004000000}" name="Asset Class" dataDxfId="109"/>
    <tableColumn id="5" xr3:uid="{00000000-0010-0000-0000-000005000000}" name="Quantity"/>
    <tableColumn id="6" xr3:uid="{00000000-0010-0000-0000-000006000000}" name="Price_x000a_($)" dataDxfId="111"/>
    <tableColumn id="7" xr3:uid="{00000000-0010-0000-0000-000007000000}" name="Market Value_x000a_($)"/>
    <tableColumn id="8" xr3:uid="{00000000-0010-0000-0000-000008000000}" name="Cost Basis_x000a_($)"/>
    <tableColumn id="9" xr3:uid="{00000000-0010-0000-0000-000009000000}" name="Unrealized G/L ($)"/>
    <tableColumn id="10" xr3:uid="{00000000-0010-0000-0000-00000A000000}" name="Unrealized G/L (%)" dataDxfId="114"/>
    <tableColumn id="11" xr3:uid="{00000000-0010-0000-0000-00000B000000}" name="% of Account" dataDxfId="113"/>
    <tableColumn id="12" xr3:uid="{00000000-0010-0000-0000-00000C000000}" name="% of Combined Portfolio" dataDxfId="112"/>
    <tableColumn id="13" xr3:uid="{00000000-0010-0000-0000-00000D000000}" name="Classification / Notes (fill at review)"/>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MonitorTable" displayName="MonitorTable" ref="A2:Q48" totalsRowShown="0">
  <autoFilter ref="A2:Q48" xr:uid="{00000000-0009-0000-0100-000006000000}"/>
  <tableColumns count="17">
    <tableColumn id="1" xr3:uid="{00000000-0010-0000-0100-000001000000}" name="Ticker"/>
    <tableColumn id="2" xr3:uid="{00000000-0010-0000-0100-000002000000}" name="Category"/>
    <tableColumn id="3" xr3:uid="{00000000-0010-0000-0100-000003000000}" name="Last Score_x000a_Date"/>
    <tableColumn id="4" xr3:uid="{00000000-0010-0000-0100-000004000000}" name="Last_x000a_Composite"/>
    <tableColumn id="5" xr3:uid="{00000000-0010-0000-0100-000005000000}" name="Last Tier 1_x000a_Wtd Avg"/>
    <tableColumn id="6" xr3:uid="{00000000-0010-0000-0100-000006000000}" name="Last_x000a_Decision"/>
    <tableColumn id="7" xr3:uid="{00000000-0010-0000-0100-000007000000}" name="Price at_x000a_Last Score" dataDxfId="108"/>
    <tableColumn id="8" xr3:uid="{00000000-0010-0000-0100-000008000000}" name="Current_x000a_Price"/>
    <tableColumn id="9" xr3:uid="{00000000-0010-0000-0100-000009000000}" name="% Price_x000a_Change"/>
    <tableColumn id="10" xr3:uid="{00000000-0010-0000-0100-00000A000000}" name="Next/Last_x000a_Earnings Date"/>
    <tableColumn id="11" xr3:uid="{00000000-0010-0000-0100-00000B000000}" name="Insider_x000a_Activity? (Y/N)"/>
    <tableColumn id="12" xr3:uid="{00000000-0010-0000-0100-00000C000000}" name="Insider Note"/>
    <tableColumn id="13" xr3:uid="{00000000-0010-0000-0100-00000D000000}" name="Analyst_x000a_Shift? (Y/N)"/>
    <tableColumn id="14" xr3:uid="{00000000-0010-0000-0100-00000E000000}" name="Analyst Shift_x000a_Note"/>
    <tableColumn id="15" xr3:uid="{00000000-0010-0000-0100-00000F000000}" name="Days Since_x000a_Last Score"/>
    <tableColumn id="16" xr3:uid="{00000000-0010-0000-0100-000010000000}" name="Recheck Status"/>
    <tableColumn id="17" xr3:uid="{00000000-0010-0000-0100-000011000000}" name="Not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DashboardTable" displayName="DashboardTable" ref="A1:J46" totalsRowShown="0">
  <autoFilter ref="A1:J46" xr:uid="{00000000-0009-0000-0100-000002000000}"/>
  <tableColumns count="10">
    <tableColumn id="1" xr3:uid="{00000000-0010-0000-0200-000001000000}" name="Ticker"/>
    <tableColumn id="2" xr3:uid="{00000000-0010-0000-0200-000002000000}" name="Company"/>
    <tableColumn id="3" xr3:uid="{00000000-0010-0000-0200-000003000000}" name="Date Scored"/>
    <tableColumn id="4" xr3:uid="{00000000-0010-0000-0200-000004000000}" name="Tier 1 Wtd Avg"/>
    <tableColumn id="5" xr3:uid="{00000000-0010-0000-0200-000005000000}" name="Composite Score"/>
    <tableColumn id="6" xr3:uid="{00000000-0010-0000-0200-000006000000}" name="Decision"/>
    <tableColumn id="7" xr3:uid="{00000000-0010-0000-0200-000007000000}" name="Rule 1"/>
    <tableColumn id="8" xr3:uid="{00000000-0010-0000-0200-000008000000}" name="Rule 2"/>
    <tableColumn id="9" xr3:uid="{00000000-0010-0000-0200-000009000000}" name="Rule 3"/>
    <tableColumn id="10" xr3:uid="{00000000-0010-0000-0200-00000A000000}" name="Rule 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ntryChecklistTable" displayName="EntryChecklistTable" ref="A2:S47" totalsRowShown="0">
  <tableColumns count="19">
    <tableColumn id="1" xr3:uid="{00000000-0010-0000-0300-000001000000}" name="Ticker"/>
    <tableColumn id="2" xr3:uid="{00000000-0010-0000-0300-000002000000}" name="Company"/>
    <tableColumn id="3" xr3:uid="{00000000-0010-0000-0300-000003000000}" name="Rule 5_x000a_Composite_x000a_≥65?" dataDxfId="107"/>
    <tableColumn id="4" xr3:uid="{00000000-0010-0000-0300-000004000000}" name="Rule 6_x000a_Tier1_x000a_≥3.0?" dataDxfId="106"/>
    <tableColumn id="5" xr3:uid="{00000000-0010-0000-0300-000005000000}" name="Rule 7_x000a_No Tier1_x000a_=1?" dataDxfId="105"/>
    <tableColumn id="6" xr3:uid="{00000000-0010-0000-0300-000006000000}" name="Rule 8_x000a_Above / reclaimed_x000a_200-wk MA?_x000a_(Y/N)" dataDxfId="104"/>
    <tableColumn id="7" xr3:uid="{00000000-0010-0000-0300-000007000000}" name="Rule 9_x000a_Monthly MACD_x000a_positive / turning?_x000a_(Y/N)" dataDxfId="103"/>
    <tableColumn id="8" xr3:uid="{00000000-0010-0000-0300-000008000000}" name="Staging_x000a_Result_x000a_(Rules 8-9)"/>
    <tableColumn id="9" xr3:uid="{00000000-0010-0000-0300-000009000000}" name="Rule 10_x000a_Binary event_x000a_risk present?_x000a_(Y/N)" dataDxfId="102"/>
    <tableColumn id="10" xr3:uid="{00000000-0010-0000-0300-00000A000000}" name="Risk included_x000a_in thesis?_x000a_(Y/N)" dataDxfId="101"/>
    <tableColumn id="11" xr3:uid="{00000000-0010-0000-0300-00000B000000}" name="Rule 10_x000a_Result" dataDxfId="100"/>
    <tableColumn id="12" xr3:uid="{00000000-0010-0000-0300-00000C000000}" name="Base Case_x000a_&gt;10%?" dataDxfId="99"/>
    <tableColumn id="13" xr3:uid="{00000000-0010-0000-0300-00000D000000}" name="Rule 11_x000a_Bear Case_x000a_≥0%?" dataDxfId="98"/>
    <tableColumn id="14" xr3:uid="{00000000-0010-0000-0300-00000E000000}" name="Rule 12_x000a_Scenario tags_x000a_OK?" dataDxfId="97"/>
    <tableColumn id="15" xr3:uid="{00000000-0010-0000-0300-00000F000000}" name="P/FCF_x000a_(current)" dataDxfId="96"/>
    <tableColumn id="16" xr3:uid="{00000000-0010-0000-0300-000010000000}" name="Consensus FCF_x000a_growth, 2-yr_x000a_annualized" dataDxfId="95"/>
    <tableColumn id="17" xr3:uid="{00000000-0010-0000-0300-000011000000}" name="Rule 13_x000a_Valuation_x000a_Ceiling"/>
    <tableColumn id="18" xr3:uid="{00000000-0010-0000-0300-000012000000}" name="ENTRY_x000a_AUTHORIZED?"/>
    <tableColumn id="19" xr3:uid="{00000000-0010-0000-0300-000013000000}" name="Recommended Actio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DrawdownLogTable" displayName="DrawdownLogTable" ref="A2:H42" totalsRowShown="0">
  <autoFilter ref="A2:H42" xr:uid="{00000000-0009-0000-0100-000003000000}"/>
  <tableColumns count="8">
    <tableColumn id="1" xr3:uid="{00000000-0010-0000-0400-000001000000}" name="Date"/>
    <tableColumn id="2" xr3:uid="{00000000-0010-0000-0400-000002000000}" name="Portfolio Value ($)"/>
    <tableColumn id="3" xr3:uid="{00000000-0010-0000-0400-000003000000}" name="Running Peak ($)"/>
    <tableColumn id="4" xr3:uid="{00000000-0010-0000-0400-000004000000}" name="Drawdown %"/>
    <tableColumn id="5" xr3:uid="{00000000-0010-0000-0400-000005000000}" name="Status"/>
    <tableColumn id="6" xr3:uid="{00000000-0010-0000-0400-000006000000}" name="Required Cash Floor"/>
    <tableColumn id="7" xr3:uid="{00000000-0010-0000-0400-000007000000}" name="New Position Initiation"/>
    <tableColumn id="8" xr3:uid="{00000000-0010-0000-0400-000008000000}" name="Notes" dataDxfId="9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5000000}" name="WatchListTable" displayName="WatchListTable" ref="A2:L22" totalsRowShown="0">
  <autoFilter ref="A2:L22" xr:uid="{00000000-0009-0000-0100-00000A000000}"/>
  <tableColumns count="12">
    <tableColumn id="1" xr3:uid="{00000000-0010-0000-0500-000001000000}" name="Ticker"/>
    <tableColumn id="2" xr3:uid="{00000000-0010-0000-0500-000002000000}" name="Company"/>
    <tableColumn id="3" xr3:uid="{00000000-0010-0000-0500-000003000000}" name="Status_x000a_(Probationary/_x000a_Exit Review)"/>
    <tableColumn id="4" xr3:uid="{00000000-0010-0000-0500-000004000000}" name="Entry Date_x000a_(band entered)"/>
    <tableColumn id="5" xr3:uid="{00000000-0010-0000-0500-000005000000}" name="Entry_x000a_Score"/>
    <tableColumn id="6" xr3:uid="{00000000-0010-0000-0500-000006000000}" name="Current_x000a_Score"/>
    <tableColumn id="7" xr3:uid="{00000000-0010-0000-0500-000007000000}" name="Current Score_x000a_Date"/>
    <tableColumn id="8" xr3:uid="{00000000-0010-0000-0500-000008000000}" name="Credible_x000a_Remediation Plan?_x000a_(Y/N)"/>
    <tableColumn id="9" xr3:uid="{00000000-0010-0000-0500-000009000000}" name="90-Day_x000a_Deadline"/>
    <tableColumn id="10" xr3:uid="{00000000-0010-0000-0500-00000A000000}" name="Days_x000a_Remaining"/>
    <tableColumn id="11" xr3:uid="{00000000-0010-0000-0500-00000B000000}" name="Action Status"/>
    <tableColumn id="12" xr3:uid="{00000000-0010-0000-0500-00000C000000}" name="Remediation Plan Notes"/>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6000000}" name="PerformanceTrackingTable" displayName="PerformanceTrackingTable" ref="A2:Q33" totalsRowShown="0">
  <autoFilter ref="A2:Q33" xr:uid="{00000000-0009-0000-0100-000008000000}"/>
  <tableColumns count="17">
    <tableColumn id="1" xr3:uid="{00000000-0010-0000-0600-000001000000}" name="Ticker"/>
    <tableColumn id="2" xr3:uid="{00000000-0010-0000-0600-000002000000}" name="Company"/>
    <tableColumn id="3" xr3:uid="{00000000-0010-0000-0600-000003000000}" name="Entry_x000a_Date"/>
    <tableColumn id="4" xr3:uid="{00000000-0010-0000-0600-000004000000}" name="Entry_x000a_Price"/>
    <tableColumn id="5" xr3:uid="{00000000-0010-0000-0600-000005000000}" name="Entry_x000a_Score"/>
    <tableColumn id="6" xr3:uid="{00000000-0010-0000-0600-000006000000}" name="Entry_x000a_Confidence"/>
    <tableColumn id="7" xr3:uid="{00000000-0010-0000-0600-000007000000}" name="Entry_x000a_Decision Band"/>
    <tableColumn id="8" xr3:uid="{00000000-0010-0000-0600-000008000000}" name="SPY Price_x000a_at Entry"/>
    <tableColumn id="9" xr3:uid="{00000000-0010-0000-0600-000009000000}" name="Status_x000a_(Held/Exited)"/>
    <tableColumn id="10" xr3:uid="{00000000-0010-0000-0600-00000A000000}" name="Exit_x000a_Date"/>
    <tableColumn id="11" xr3:uid="{00000000-0010-0000-0600-00000B000000}" name="Exit_x000a_Price"/>
    <tableColumn id="12" xr3:uid="{00000000-0010-0000-0600-00000C000000}" name="Exit_x000a_Reason"/>
    <tableColumn id="13" xr3:uid="{00000000-0010-0000-0600-00000D000000}" name="Current/_x000a_Exit Price"/>
    <tableColumn id="14" xr3:uid="{00000000-0010-0000-0600-00000E000000}" name="SPY Price_x000a_(current/exit)"/>
    <tableColumn id="15" xr3:uid="{00000000-0010-0000-0600-00000F000000}" name="Total Return_x000a_Since Entry"/>
    <tableColumn id="16" xr3:uid="{00000000-0010-0000-0600-000010000000}" name="SPY Return_x000a_Same Period"/>
    <tableColumn id="17" xr3:uid="{00000000-0010-0000-0600-000011000000}" name="Excess_x000a_Return"/>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7000000}" name="JournalTable" displayName="JournalTable" ref="A2:C302" totalsRowShown="0" dataDxfId="90">
  <autoFilter ref="A2:C302" xr:uid="{00000000-0009-0000-0100-000005000000}"/>
  <sortState xmlns:xlrd2="http://schemas.microsoft.com/office/spreadsheetml/2017/richdata2" ref="A3:C302">
    <sortCondition ref="A2:A302"/>
  </sortState>
  <tableColumns count="3">
    <tableColumn id="1" xr3:uid="{00000000-0010-0000-0700-000001000000}" name="Date" dataDxfId="93"/>
    <tableColumn id="2" xr3:uid="{00000000-0010-0000-0700-000002000000}" name="Ticker" dataDxfId="92"/>
    <tableColumn id="3" xr3:uid="{00000000-0010-0000-0700-000003000000}" name="Notes" dataDxfId="91"/>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ProcessChecklistTable" displayName="ProcessChecklistTable" ref="A4:F99" totalsRowShown="0" headerRowDxfId="89" dataDxfId="82">
  <tableColumns count="6">
    <tableColumn id="1" xr3:uid="{00000000-0010-0000-0800-000001000000}" name="Event" dataDxfId="88"/>
    <tableColumn id="2" xr3:uid="{00000000-0010-0000-0800-000002000000}" name="Step" dataDxfId="87"/>
    <tableColumn id="3" xr3:uid="{00000000-0010-0000-0800-000003000000}" name="Done (Y/N)" dataDxfId="86"/>
    <tableColumn id="4" xr3:uid="{00000000-0010-0000-0800-000004000000}" name="Date Done" dataDxfId="85"/>
    <tableColumn id="5" xr3:uid="{00000000-0010-0000-0800-000005000000}" name="Event Due Date" dataDxfId="84"/>
    <tableColumn id="6" xr3:uid="{00000000-0010-0000-0800-000006000000}" name="Status" dataDxfId="83"/>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9000000}" name="OpenItemsTable" displayName="OpenItemsTable" ref="A4:F15" totalsRowShown="0" dataDxfId="6">
  <tableColumns count="6">
    <tableColumn id="1" xr3:uid="{00000000-0010-0000-0900-000001000000}" name="#" dataDxfId="5"/>
    <tableColumn id="2" xr3:uid="{00000000-0010-0000-0900-000002000000}" name="Item" dataDxfId="4"/>
    <tableColumn id="3" xr3:uid="{00000000-0010-0000-0900-000003000000}" name="Done (Y/N)" dataDxfId="3"/>
    <tableColumn id="4" xr3:uid="{00000000-0010-0000-0900-000004000000}" name="Date Raised" dataDxfId="2"/>
    <tableColumn id="5" xr3:uid="{00000000-0010-0000-0900-000005000000}" name="Date Resolved" dataDxfId="0"/>
    <tableColumn id="6" xr3:uid="{00000000-0010-0000-0900-000006000000}" name="Notes" data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2.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9.xml"/><Relationship Id="rId1" Type="http://schemas.openxmlformats.org/officeDocument/2006/relationships/vmlDrawing" Target="../drawings/vmlDrawing3.vml"/></Relationships>
</file>

<file path=xl/worksheets/_rels/sheet1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10.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7"/>
  <sheetViews>
    <sheetView showGridLines="0" view="pageBreakPreview" zoomScale="60" zoomScaleNormal="100" workbookViewId="0">
      <selection activeCell="A2" sqref="A2"/>
    </sheetView>
  </sheetViews>
  <sheetFormatPr defaultColWidth="8.6640625" defaultRowHeight="14.4" x14ac:dyDescent="0.3"/>
  <cols>
    <col min="1" max="1" width="100" customWidth="1"/>
  </cols>
  <sheetData>
    <row r="1" spans="1:1" ht="33.6" x14ac:dyDescent="0.3">
      <c r="A1" s="131" t="s">
        <v>726</v>
      </c>
    </row>
    <row r="2" spans="1:1" x14ac:dyDescent="0.3">
      <c r="A2" s="14"/>
    </row>
    <row r="3" spans="1:1" x14ac:dyDescent="0.3">
      <c r="A3" s="15" t="s">
        <v>0</v>
      </c>
    </row>
    <row r="4" spans="1:1" x14ac:dyDescent="0.3">
      <c r="A4" s="14" t="s">
        <v>1</v>
      </c>
    </row>
    <row r="5" spans="1:1" x14ac:dyDescent="0.3">
      <c r="A5" s="14" t="s">
        <v>2</v>
      </c>
    </row>
    <row r="6" spans="1:1" x14ac:dyDescent="0.3">
      <c r="A6" s="14"/>
    </row>
    <row r="7" spans="1:1" x14ac:dyDescent="0.3">
      <c r="A7" s="16" t="s">
        <v>3</v>
      </c>
    </row>
    <row r="8" spans="1:1" x14ac:dyDescent="0.3">
      <c r="A8" s="14" t="s">
        <v>4</v>
      </c>
    </row>
    <row r="9" spans="1:1" x14ac:dyDescent="0.3">
      <c r="A9" s="14" t="s">
        <v>5</v>
      </c>
    </row>
    <row r="10" spans="1:1" x14ac:dyDescent="0.3">
      <c r="A10" s="14" t="s">
        <v>6</v>
      </c>
    </row>
    <row r="11" spans="1:1" x14ac:dyDescent="0.3">
      <c r="A11" s="14" t="s">
        <v>7</v>
      </c>
    </row>
    <row r="12" spans="1:1" x14ac:dyDescent="0.3">
      <c r="A12" s="14" t="s">
        <v>8</v>
      </c>
    </row>
    <row r="13" spans="1:1" x14ac:dyDescent="0.3">
      <c r="A13" s="14" t="s">
        <v>9</v>
      </c>
    </row>
    <row r="14" spans="1:1" x14ac:dyDescent="0.3">
      <c r="A14" s="14" t="s">
        <v>10</v>
      </c>
    </row>
    <row r="15" spans="1:1" x14ac:dyDescent="0.3">
      <c r="A15" s="14" t="s">
        <v>11</v>
      </c>
    </row>
    <row r="16" spans="1:1" x14ac:dyDescent="0.3">
      <c r="A16" s="14" t="s">
        <v>12</v>
      </c>
    </row>
    <row r="17" spans="1:1" x14ac:dyDescent="0.3">
      <c r="A17" s="14" t="s">
        <v>13</v>
      </c>
    </row>
    <row r="18" spans="1:1" x14ac:dyDescent="0.3">
      <c r="A18" s="14"/>
    </row>
    <row r="19" spans="1:1" x14ac:dyDescent="0.3">
      <c r="A19" s="16" t="s">
        <v>14</v>
      </c>
    </row>
    <row r="20" spans="1:1" x14ac:dyDescent="0.3">
      <c r="A20" s="14" t="s">
        <v>15</v>
      </c>
    </row>
    <row r="21" spans="1:1" x14ac:dyDescent="0.3">
      <c r="A21" s="14" t="s">
        <v>16</v>
      </c>
    </row>
    <row r="22" spans="1:1" x14ac:dyDescent="0.3">
      <c r="A22" s="14" t="s">
        <v>17</v>
      </c>
    </row>
    <row r="23" spans="1:1" x14ac:dyDescent="0.3">
      <c r="A23" s="14" t="s">
        <v>18</v>
      </c>
    </row>
    <row r="24" spans="1:1" x14ac:dyDescent="0.3">
      <c r="A24" s="14" t="s">
        <v>19</v>
      </c>
    </row>
    <row r="25" spans="1:1" x14ac:dyDescent="0.3">
      <c r="A25" s="14" t="s">
        <v>20</v>
      </c>
    </row>
    <row r="26" spans="1:1" x14ac:dyDescent="0.3">
      <c r="A26" s="14" t="s">
        <v>21</v>
      </c>
    </row>
    <row r="27" spans="1:1" x14ac:dyDescent="0.3">
      <c r="A27" s="14" t="s">
        <v>22</v>
      </c>
    </row>
    <row r="28" spans="1:1" x14ac:dyDescent="0.3">
      <c r="A28" s="14" t="s">
        <v>23</v>
      </c>
    </row>
    <row r="29" spans="1:1" x14ac:dyDescent="0.3">
      <c r="A29" s="14"/>
    </row>
    <row r="30" spans="1:1" x14ac:dyDescent="0.3">
      <c r="A30" s="16" t="s">
        <v>24</v>
      </c>
    </row>
    <row r="31" spans="1:1" ht="34.200000000000003" x14ac:dyDescent="0.3">
      <c r="A31" s="14" t="s">
        <v>25</v>
      </c>
    </row>
    <row r="32" spans="1:1" x14ac:dyDescent="0.3">
      <c r="A32" s="14" t="s">
        <v>26</v>
      </c>
    </row>
    <row r="34" spans="1:1" x14ac:dyDescent="0.3">
      <c r="A34" s="17" t="s">
        <v>27</v>
      </c>
    </row>
    <row r="35" spans="1:1" ht="24" x14ac:dyDescent="0.3">
      <c r="A35" s="130" t="s">
        <v>28</v>
      </c>
    </row>
    <row r="36" spans="1:1" x14ac:dyDescent="0.3">
      <c r="A36" s="14"/>
    </row>
    <row r="37" spans="1:1" x14ac:dyDescent="0.3">
      <c r="A37" s="16" t="s">
        <v>29</v>
      </c>
    </row>
    <row r="38" spans="1:1" x14ac:dyDescent="0.3">
      <c r="A38" s="14" t="s">
        <v>30</v>
      </c>
    </row>
    <row r="39" spans="1:1" x14ac:dyDescent="0.3">
      <c r="A39" s="14" t="s">
        <v>31</v>
      </c>
    </row>
    <row r="40" spans="1:1" x14ac:dyDescent="0.3">
      <c r="A40" s="14" t="s">
        <v>32</v>
      </c>
    </row>
    <row r="41" spans="1:1" x14ac:dyDescent="0.3">
      <c r="A41" s="14" t="s">
        <v>33</v>
      </c>
    </row>
    <row r="42" spans="1:1" x14ac:dyDescent="0.3">
      <c r="A42" s="14" t="s">
        <v>34</v>
      </c>
    </row>
    <row r="43" spans="1:1" x14ac:dyDescent="0.3">
      <c r="A43" s="14" t="s">
        <v>35</v>
      </c>
    </row>
    <row r="44" spans="1:1" x14ac:dyDescent="0.3">
      <c r="A44" s="14" t="s">
        <v>36</v>
      </c>
    </row>
    <row r="45" spans="1:1" x14ac:dyDescent="0.3">
      <c r="A45" s="14" t="s">
        <v>37</v>
      </c>
    </row>
    <row r="46" spans="1:1" ht="22.8" x14ac:dyDescent="0.3">
      <c r="A46" s="14" t="s">
        <v>725</v>
      </c>
    </row>
    <row r="47" spans="1:1" x14ac:dyDescent="0.3">
      <c r="A47" s="14"/>
    </row>
    <row r="48" spans="1:1" ht="45.6" x14ac:dyDescent="0.3">
      <c r="A48" s="14" t="s">
        <v>724</v>
      </c>
    </row>
    <row r="49" spans="1:1" x14ac:dyDescent="0.3">
      <c r="A49" s="14"/>
    </row>
    <row r="50" spans="1:1" ht="43.2" x14ac:dyDescent="0.3">
      <c r="A50" s="129" t="s">
        <v>38</v>
      </c>
    </row>
    <row r="51" spans="1:1" ht="43.2" x14ac:dyDescent="0.3">
      <c r="A51" s="129" t="s">
        <v>39</v>
      </c>
    </row>
    <row r="52" spans="1:1" x14ac:dyDescent="0.3">
      <c r="A52" t="s">
        <v>40</v>
      </c>
    </row>
    <row r="53" spans="1:1" x14ac:dyDescent="0.3">
      <c r="A53" t="s">
        <v>41</v>
      </c>
    </row>
    <row r="54" spans="1:1" x14ac:dyDescent="0.3">
      <c r="A54" t="s">
        <v>42</v>
      </c>
    </row>
    <row r="55" spans="1:1" x14ac:dyDescent="0.3">
      <c r="A55" t="s">
        <v>43</v>
      </c>
    </row>
    <row r="56" spans="1:1" x14ac:dyDescent="0.3">
      <c r="A56" t="s">
        <v>44</v>
      </c>
    </row>
    <row r="57" spans="1:1" x14ac:dyDescent="0.3">
      <c r="A57" t="s">
        <v>45</v>
      </c>
    </row>
  </sheetData>
  <pageMargins left="0.75" right="0.75" top="1" bottom="1" header="0.511811023622047" footer="0.51180555555555596"/>
  <pageSetup paperSize="9" orientation="portrait" horizontalDpi="300" verticalDpi="300" r:id="rId1"/>
  <headerFooter>
    <oddFooter>&amp;L&amp;"Arial Narrow,Regular"&amp;8 &amp;F&amp;C&amp;"Arial Narrow,Regular"&amp;8 &amp;A - &amp;D &amp;T&amp;R&amp;"Arial,Regular" &amp;P /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3"/>
  <sheetViews>
    <sheetView showGridLines="0" zoomScaleNormal="100" workbookViewId="0">
      <selection activeCell="J10" sqref="J10"/>
    </sheetView>
  </sheetViews>
  <sheetFormatPr defaultColWidth="8.6640625" defaultRowHeight="14.4" x14ac:dyDescent="0.3"/>
  <cols>
    <col min="1" max="1" width="22" customWidth="1"/>
    <col min="2" max="4" width="12" customWidth="1"/>
    <col min="5" max="5" width="11.88671875" customWidth="1"/>
    <col min="6" max="6" width="8" customWidth="1"/>
  </cols>
  <sheetData>
    <row r="1" spans="1:6" s="135" customFormat="1" ht="54" customHeight="1" x14ac:dyDescent="0.35">
      <c r="A1" s="136" t="s">
        <v>46</v>
      </c>
      <c r="B1" s="136"/>
      <c r="C1" s="136"/>
      <c r="D1" s="136"/>
      <c r="E1" s="136"/>
      <c r="F1" s="136"/>
    </row>
    <row r="2" spans="1:6" ht="15" customHeight="1" x14ac:dyDescent="0.3">
      <c r="A2" s="11" t="s">
        <v>47</v>
      </c>
      <c r="B2" s="11"/>
      <c r="C2" s="11"/>
      <c r="D2" s="11"/>
      <c r="E2" s="11"/>
      <c r="F2" s="11"/>
    </row>
    <row r="4" spans="1:6" ht="15" customHeight="1" x14ac:dyDescent="0.3">
      <c r="A4" s="10" t="s">
        <v>48</v>
      </c>
      <c r="B4" s="10"/>
      <c r="C4" s="10"/>
      <c r="D4" s="10"/>
      <c r="E4" s="10"/>
      <c r="F4" s="10"/>
    </row>
    <row r="5" spans="1:6" ht="15" customHeight="1" x14ac:dyDescent="0.3">
      <c r="A5" s="133" t="s">
        <v>49</v>
      </c>
      <c r="B5" s="133"/>
      <c r="C5" s="133"/>
      <c r="D5" s="133"/>
      <c r="E5" s="8">
        <f>COUNTIF('Watch List Tracker'!K3:K22,"*SELL WITHIN 30 DAYS*")</f>
        <v>0</v>
      </c>
      <c r="F5" s="8"/>
    </row>
    <row r="6" spans="1:6" ht="15" customHeight="1" x14ac:dyDescent="0.3">
      <c r="A6" s="133" t="s">
        <v>50</v>
      </c>
      <c r="B6" s="133"/>
      <c r="C6" s="133"/>
      <c r="D6" s="133"/>
      <c r="E6" s="8">
        <f>COUNTIF('Watch List Tracker'!K3:K22,"DEADLINE APPROACHING")</f>
        <v>0</v>
      </c>
      <c r="F6" s="8"/>
    </row>
    <row r="7" spans="1:6" ht="15" customHeight="1" x14ac:dyDescent="0.3">
      <c r="A7" s="133" t="s">
        <v>51</v>
      </c>
      <c r="B7" s="133"/>
      <c r="C7" s="133"/>
      <c r="D7" s="133"/>
      <c r="E7" s="8">
        <f>COUNTIF('Watch List Tracker'!K3:K22,"*RECOVERED*")</f>
        <v>0</v>
      </c>
      <c r="F7" s="8"/>
    </row>
    <row r="8" spans="1:6" ht="15" customHeight="1" x14ac:dyDescent="0.3">
      <c r="A8" s="19"/>
      <c r="B8" s="19"/>
      <c r="C8" s="19"/>
      <c r="D8" s="19"/>
    </row>
    <row r="9" spans="1:6" ht="15" customHeight="1" x14ac:dyDescent="0.3">
      <c r="A9" s="10" t="s">
        <v>52</v>
      </c>
      <c r="B9" s="10"/>
      <c r="C9" s="10"/>
      <c r="D9" s="10"/>
      <c r="E9" s="10"/>
      <c r="F9" s="10"/>
    </row>
    <row r="10" spans="1:6" ht="15" customHeight="1" x14ac:dyDescent="0.3">
      <c r="A10" s="133" t="s">
        <v>53</v>
      </c>
      <c r="B10" s="133"/>
      <c r="C10" s="133"/>
      <c r="D10" s="133"/>
      <c r="E10" s="8">
        <f>COUNTIF('Holding Monitor'!AB4:AB23,"*ACTION REQUIRED*")</f>
        <v>0</v>
      </c>
      <c r="F10" s="8"/>
    </row>
    <row r="11" spans="1:6" ht="15" customHeight="1" x14ac:dyDescent="0.3">
      <c r="A11" s="133" t="s">
        <v>54</v>
      </c>
      <c r="B11" s="133"/>
      <c r="C11" s="133"/>
      <c r="D11" s="133"/>
      <c r="E11" s="8">
        <f>COUNTIF('Holding Monitor'!AB4:AB23,"*Hold Through*")</f>
        <v>0</v>
      </c>
      <c r="F11" s="8"/>
    </row>
    <row r="12" spans="1:6" ht="15" customHeight="1" x14ac:dyDescent="0.3">
      <c r="A12" s="19"/>
      <c r="B12" s="19"/>
      <c r="C12" s="19"/>
      <c r="D12" s="19"/>
    </row>
    <row r="13" spans="1:6" ht="15" customHeight="1" x14ac:dyDescent="0.3">
      <c r="A13" s="10" t="s">
        <v>55</v>
      </c>
      <c r="B13" s="10"/>
      <c r="C13" s="10"/>
      <c r="D13" s="10"/>
      <c r="E13" s="10"/>
      <c r="F13" s="10"/>
    </row>
    <row r="14" spans="1:6" ht="15" customHeight="1" x14ac:dyDescent="0.3">
      <c r="A14" s="133" t="s">
        <v>56</v>
      </c>
      <c r="B14" s="133"/>
      <c r="C14" s="133"/>
      <c r="D14" s="133"/>
      <c r="E14" s="7" t="str">
        <f>'Correlation Matrix'!J3</f>
        <v>REVIEW REQUIRED</v>
      </c>
      <c r="F14" s="7"/>
    </row>
    <row r="15" spans="1:6" ht="15" customHeight="1" x14ac:dyDescent="0.3">
      <c r="A15" s="133" t="s">
        <v>57</v>
      </c>
      <c r="B15" s="133"/>
      <c r="C15" s="133"/>
      <c r="D15" s="133"/>
      <c r="E15" s="6">
        <f>'Correlation Matrix'!J2</f>
        <v>4</v>
      </c>
      <c r="F15" s="6"/>
    </row>
    <row r="16" spans="1:6" ht="15" customHeight="1" x14ac:dyDescent="0.3">
      <c r="A16" s="19"/>
      <c r="B16" s="19"/>
      <c r="C16" s="19"/>
      <c r="D16" s="19"/>
    </row>
    <row r="17" spans="1:6" ht="15" customHeight="1" x14ac:dyDescent="0.3">
      <c r="A17" s="10" t="s">
        <v>58</v>
      </c>
      <c r="B17" s="10"/>
      <c r="C17" s="10"/>
      <c r="D17" s="10"/>
      <c r="E17" s="10"/>
      <c r="F17" s="10"/>
    </row>
    <row r="18" spans="1:6" ht="15" customHeight="1" x14ac:dyDescent="0.3">
      <c r="A18" s="133" t="s">
        <v>59</v>
      </c>
      <c r="B18" s="133"/>
      <c r="C18" s="133"/>
      <c r="D18" s="133"/>
      <c r="E18" s="8" t="str">
        <f>IFERROR(INDEX('Portfolio Drawdown Log'!E3:E42,COUNT('Portfolio Drawdown Log'!D3:D42)),"No entries yet")</f>
        <v>Normal</v>
      </c>
      <c r="F18" s="8"/>
    </row>
    <row r="19" spans="1:6" ht="15" customHeight="1" x14ac:dyDescent="0.3">
      <c r="A19" s="133" t="s">
        <v>60</v>
      </c>
      <c r="B19" s="133"/>
      <c r="C19" s="133"/>
      <c r="D19" s="133"/>
      <c r="E19" s="5">
        <f>IFERROR(INDEX('Portfolio Drawdown Log'!D3:D42,COUNT('Portfolio Drawdown Log'!D3:D42)),"")</f>
        <v>0</v>
      </c>
      <c r="F19" s="5"/>
    </row>
    <row r="20" spans="1:6" ht="15" customHeight="1" x14ac:dyDescent="0.3">
      <c r="A20" s="133" t="s">
        <v>61</v>
      </c>
      <c r="B20" s="133"/>
      <c r="C20" s="133"/>
      <c r="D20" s="133"/>
      <c r="E20" s="8" t="str">
        <f>IFERROR(INDEX('Portfolio Drawdown Log'!F3:F42,COUNT('Portfolio Drawdown Log'!D3:D42)),"")</f>
        <v>5-15%</v>
      </c>
      <c r="F20" s="8"/>
    </row>
    <row r="21" spans="1:6" ht="15" customHeight="1" x14ac:dyDescent="0.3">
      <c r="A21" s="19"/>
      <c r="B21" s="19"/>
      <c r="C21" s="19"/>
      <c r="D21" s="19"/>
    </row>
    <row r="22" spans="1:6" ht="15" customHeight="1" x14ac:dyDescent="0.3">
      <c r="A22" s="10" t="s">
        <v>62</v>
      </c>
      <c r="B22" s="10"/>
      <c r="C22" s="10"/>
      <c r="D22" s="10"/>
      <c r="E22" s="10"/>
      <c r="F22" s="10"/>
    </row>
    <row r="23" spans="1:6" ht="15" customHeight="1" x14ac:dyDescent="0.3">
      <c r="A23" s="133" t="s">
        <v>63</v>
      </c>
      <c r="B23" s="133"/>
      <c r="C23" s="133"/>
      <c r="D23" s="133"/>
      <c r="E23" s="8">
        <f>COUNTIF(Scoring!AH3:AH60,"FAIL")</f>
        <v>19</v>
      </c>
      <c r="F23" s="8"/>
    </row>
    <row r="24" spans="1:6" ht="15" customHeight="1" x14ac:dyDescent="0.3">
      <c r="A24" s="133" t="s">
        <v>64</v>
      </c>
      <c r="B24" s="133"/>
      <c r="C24" s="133"/>
      <c r="D24" s="133"/>
      <c r="E24" s="8">
        <f>COUNTIF(Scoring!AJ3:AJ60,"AVOID")</f>
        <v>20</v>
      </c>
      <c r="F24" s="8"/>
    </row>
    <row r="25" spans="1:6" ht="15" customHeight="1" x14ac:dyDescent="0.3">
      <c r="A25" s="133" t="s">
        <v>65</v>
      </c>
      <c r="B25" s="133"/>
      <c r="C25" s="133"/>
      <c r="D25" s="133"/>
      <c r="E25" s="8">
        <f>COUNTIF(Scoring!AI3:AI60,"REVIEW")</f>
        <v>14</v>
      </c>
      <c r="F25" s="8"/>
    </row>
    <row r="26" spans="1:6" ht="15" customHeight="1" x14ac:dyDescent="0.3">
      <c r="A26" s="133" t="s">
        <v>66</v>
      </c>
      <c r="B26" s="133"/>
      <c r="C26" s="133"/>
      <c r="D26" s="133"/>
      <c r="E26" s="8">
        <f>COUNTIF(Scoring!AK3:AK60,"CAP AT BUY")</f>
        <v>0</v>
      </c>
      <c r="F26" s="8"/>
    </row>
    <row r="27" spans="1:6" ht="15" customHeight="1" x14ac:dyDescent="0.3">
      <c r="A27" s="10" t="s">
        <v>67</v>
      </c>
      <c r="B27" s="10"/>
      <c r="C27" s="10"/>
      <c r="D27" s="10"/>
      <c r="E27" s="10"/>
      <c r="F27" s="10"/>
    </row>
    <row r="28" spans="1:6" ht="15" customHeight="1" x14ac:dyDescent="0.3">
      <c r="A28" s="9" t="s">
        <v>68</v>
      </c>
      <c r="B28" s="9"/>
      <c r="C28" s="9"/>
      <c r="D28" s="9"/>
      <c r="E28" s="8">
        <f>COUNTIF('Entry Checklist'!R3:R47,"NO*")</f>
        <v>1</v>
      </c>
      <c r="F28" s="8"/>
    </row>
    <row r="29" spans="1:6" ht="15" customHeight="1" x14ac:dyDescent="0.3">
      <c r="A29" s="9" t="s">
        <v>69</v>
      </c>
      <c r="B29" s="9"/>
      <c r="C29" s="9"/>
      <c r="D29" s="9"/>
      <c r="E29" s="8">
        <f>COUNTIF('Entry Checklist'!H3:H47,"*50%*")</f>
        <v>0</v>
      </c>
      <c r="F29" s="8"/>
    </row>
    <row r="30" spans="1:6" ht="15" customHeight="1" x14ac:dyDescent="0.3">
      <c r="A30" s="19"/>
      <c r="B30" s="19"/>
      <c r="C30" s="19"/>
      <c r="D30" s="19"/>
    </row>
    <row r="31" spans="1:6" ht="55.8" customHeight="1" x14ac:dyDescent="0.3">
      <c r="A31" s="132" t="s">
        <v>70</v>
      </c>
      <c r="B31" s="132"/>
      <c r="C31" s="132"/>
      <c r="D31" s="132"/>
      <c r="E31" s="132"/>
      <c r="F31" s="132"/>
    </row>
    <row r="32" spans="1:6" ht="29.4" customHeight="1" x14ac:dyDescent="0.3">
      <c r="A32" s="134" t="s">
        <v>71</v>
      </c>
      <c r="B32" s="134"/>
      <c r="C32" s="134"/>
      <c r="D32" s="134"/>
      <c r="E32" s="8">
        <f>COUNTIF(Scoring!AP3:AP60,"LOW CONF")</f>
        <v>2</v>
      </c>
      <c r="F32" s="8"/>
    </row>
    <row r="33" spans="1:6" ht="15" customHeight="1" x14ac:dyDescent="0.3">
      <c r="A33" s="133" t="s">
        <v>72</v>
      </c>
      <c r="B33" s="133"/>
      <c r="C33" s="133"/>
      <c r="D33" s="133"/>
      <c r="E33" s="8">
        <f>COUNTIF(Scoring!AS3:AS60,"Increased")</f>
        <v>5</v>
      </c>
      <c r="F33" s="8"/>
    </row>
    <row r="34" spans="1:6" ht="15" customHeight="1" x14ac:dyDescent="0.3">
      <c r="A34" s="19"/>
      <c r="B34" s="19"/>
      <c r="C34" s="19"/>
      <c r="D34" s="19"/>
    </row>
    <row r="35" spans="1:6" ht="15" customHeight="1" x14ac:dyDescent="0.3">
      <c r="A35" s="19"/>
      <c r="B35" s="19"/>
      <c r="C35" s="19"/>
      <c r="D35" s="19"/>
    </row>
    <row r="36" spans="1:6" ht="15" customHeight="1" x14ac:dyDescent="0.3">
      <c r="A36" s="19"/>
      <c r="B36" s="19"/>
      <c r="C36" s="19"/>
      <c r="D36" s="19"/>
    </row>
    <row r="37" spans="1:6" ht="15" customHeight="1" x14ac:dyDescent="0.3">
      <c r="A37" s="19"/>
      <c r="B37" s="19"/>
      <c r="C37" s="19"/>
      <c r="D37" s="19"/>
    </row>
    <row r="38" spans="1:6" ht="15" customHeight="1" x14ac:dyDescent="0.3">
      <c r="A38" s="19"/>
      <c r="B38" s="19"/>
      <c r="C38" s="19"/>
      <c r="D38" s="19"/>
    </row>
    <row r="39" spans="1:6" ht="15" customHeight="1" x14ac:dyDescent="0.3">
      <c r="A39" s="19"/>
      <c r="B39" s="19"/>
      <c r="C39" s="19"/>
      <c r="D39" s="19"/>
    </row>
    <row r="40" spans="1:6" ht="15" customHeight="1" x14ac:dyDescent="0.3">
      <c r="A40" s="19"/>
      <c r="B40" s="19"/>
      <c r="C40" s="19"/>
      <c r="D40" s="19"/>
    </row>
    <row r="41" spans="1:6" ht="15" customHeight="1" x14ac:dyDescent="0.3">
      <c r="A41" s="19"/>
      <c r="B41" s="19"/>
      <c r="C41" s="19"/>
      <c r="D41" s="19"/>
    </row>
    <row r="42" spans="1:6" ht="15" customHeight="1" x14ac:dyDescent="0.3">
      <c r="A42" s="19"/>
      <c r="B42" s="19"/>
      <c r="C42" s="19"/>
      <c r="D42" s="19"/>
    </row>
    <row r="43" spans="1:6" ht="15" customHeight="1" x14ac:dyDescent="0.3">
      <c r="A43" s="19"/>
      <c r="B43" s="19"/>
      <c r="C43" s="19"/>
      <c r="D43" s="19"/>
    </row>
  </sheetData>
  <mergeCells count="45">
    <mergeCell ref="A32:D32"/>
    <mergeCell ref="E32:F32"/>
    <mergeCell ref="A33:D33"/>
    <mergeCell ref="E33:F33"/>
    <mergeCell ref="A28:D28"/>
    <mergeCell ref="E28:F28"/>
    <mergeCell ref="A29:D29"/>
    <mergeCell ref="E29:F29"/>
    <mergeCell ref="A31:F31"/>
    <mergeCell ref="A25:D25"/>
    <mergeCell ref="E25:F25"/>
    <mergeCell ref="A26:D26"/>
    <mergeCell ref="E26:F26"/>
    <mergeCell ref="A27:F27"/>
    <mergeCell ref="A22:F22"/>
    <mergeCell ref="A23:D23"/>
    <mergeCell ref="E23:F23"/>
    <mergeCell ref="A24:D24"/>
    <mergeCell ref="E24:F24"/>
    <mergeCell ref="A18:D18"/>
    <mergeCell ref="E18:F18"/>
    <mergeCell ref="A19:D19"/>
    <mergeCell ref="E19:F19"/>
    <mergeCell ref="A20:D20"/>
    <mergeCell ref="E20:F20"/>
    <mergeCell ref="A14:D14"/>
    <mergeCell ref="E14:F14"/>
    <mergeCell ref="A15:D15"/>
    <mergeCell ref="E15:F15"/>
    <mergeCell ref="A17:F17"/>
    <mergeCell ref="A10:D10"/>
    <mergeCell ref="E10:F10"/>
    <mergeCell ref="A11:D11"/>
    <mergeCell ref="E11:F11"/>
    <mergeCell ref="A13:F13"/>
    <mergeCell ref="A6:D6"/>
    <mergeCell ref="E6:F6"/>
    <mergeCell ref="A7:D7"/>
    <mergeCell ref="E7:F7"/>
    <mergeCell ref="A9:F9"/>
    <mergeCell ref="A1:F1"/>
    <mergeCell ref="A2:F2"/>
    <mergeCell ref="A4:F4"/>
    <mergeCell ref="A5:D5"/>
    <mergeCell ref="E5:F5"/>
  </mergeCells>
  <conditionalFormatting sqref="E5">
    <cfRule type="cellIs" dxfId="81" priority="2" operator="greaterThan">
      <formula>0</formula>
    </cfRule>
  </conditionalFormatting>
  <conditionalFormatting sqref="E10">
    <cfRule type="cellIs" dxfId="80" priority="3" operator="greaterThan">
      <formula>0</formula>
    </cfRule>
  </conditionalFormatting>
  <conditionalFormatting sqref="E23:E24">
    <cfRule type="cellIs" dxfId="79" priority="4" operator="greaterThan">
      <formula>0</formula>
    </cfRule>
  </conditionalFormatting>
  <conditionalFormatting sqref="E28">
    <cfRule type="cellIs" dxfId="78" priority="5" operator="greaterThan">
      <formula>0</formula>
    </cfRule>
  </conditionalFormatting>
  <pageMargins left="0.75" right="0.75" top="1" bottom="1" header="0.511811023622047" footer="0.51180555555555596"/>
  <pageSetup paperSize="9" orientation="portrait" horizontalDpi="300" verticalDpi="300"/>
  <headerFooter>
    <oddFooter>&amp;L&amp;"Arial Narrow,Regular"&amp;8 &amp;F&amp;C&amp;"Arial Narrow,Regular"&amp;8 &amp;A - &amp;D &amp;T&amp;R&amp;"Arial,Regular" &amp;P /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0"/>
  <sheetViews>
    <sheetView zoomScaleNormal="100" workbookViewId="0">
      <pane xSplit="2" ySplit="2" topLeftCell="G32" activePane="bottomRight" state="frozen"/>
      <selection pane="topRight" activeCell="C1" sqref="C1"/>
      <selection pane="bottomLeft" activeCell="A3" sqref="A3"/>
      <selection pane="bottomRight" activeCell="I16" sqref="I16"/>
    </sheetView>
  </sheetViews>
  <sheetFormatPr defaultColWidth="8.6640625" defaultRowHeight="14.4" outlineLevelRow="1" x14ac:dyDescent="0.3"/>
  <cols>
    <col min="1" max="1" width="11" customWidth="1"/>
    <col min="2" max="2" width="9" style="140" customWidth="1"/>
    <col min="3" max="3" width="30" customWidth="1"/>
    <col min="4" max="4" width="11.109375" style="140" customWidth="1"/>
    <col min="5" max="5" width="11.77734375" customWidth="1"/>
    <col min="6" max="6" width="10" style="144" customWidth="1"/>
    <col min="7" max="7" width="13.77734375" customWidth="1"/>
    <col min="8" max="8" width="13" customWidth="1"/>
    <col min="9" max="9" width="9.88671875" customWidth="1"/>
    <col min="10" max="10" width="11" style="140" customWidth="1"/>
    <col min="11" max="11" width="8.6640625" style="140"/>
    <col min="12" max="12" width="13" style="140" customWidth="1"/>
    <col min="13" max="13" width="34" customWidth="1"/>
    <col min="15" max="15" width="26" customWidth="1"/>
    <col min="16" max="16" width="13" customWidth="1"/>
  </cols>
  <sheetData>
    <row r="1" spans="1:16" ht="52.5" customHeight="1" x14ac:dyDescent="0.3">
      <c r="A1" s="4" t="s">
        <v>73</v>
      </c>
      <c r="B1" s="4"/>
      <c r="C1" s="4"/>
      <c r="D1" s="4"/>
      <c r="E1" s="4"/>
      <c r="F1" s="4"/>
      <c r="G1" s="4"/>
      <c r="H1" s="4"/>
      <c r="I1" s="4"/>
      <c r="J1" s="4"/>
      <c r="K1" s="4"/>
      <c r="L1" s="4"/>
      <c r="M1" s="4"/>
      <c r="O1" s="3" t="s">
        <v>74</v>
      </c>
      <c r="P1" s="3"/>
    </row>
    <row r="2" spans="1:16" ht="26.25" customHeight="1" x14ac:dyDescent="0.3">
      <c r="A2" s="21" t="s">
        <v>75</v>
      </c>
      <c r="B2" s="21" t="s">
        <v>76</v>
      </c>
      <c r="C2" s="21" t="s">
        <v>77</v>
      </c>
      <c r="D2" s="21" t="s">
        <v>78</v>
      </c>
      <c r="E2" s="21" t="s">
        <v>79</v>
      </c>
      <c r="F2" s="141" t="s">
        <v>80</v>
      </c>
      <c r="G2" s="21" t="s">
        <v>81</v>
      </c>
      <c r="H2" s="21" t="s">
        <v>82</v>
      </c>
      <c r="I2" s="21" t="s">
        <v>83</v>
      </c>
      <c r="J2" s="21" t="s">
        <v>84</v>
      </c>
      <c r="K2" s="21" t="s">
        <v>85</v>
      </c>
      <c r="L2" s="21" t="s">
        <v>86</v>
      </c>
      <c r="M2" s="21" t="s">
        <v>87</v>
      </c>
      <c r="O2" t="s">
        <v>88</v>
      </c>
    </row>
    <row r="3" spans="1:16" ht="15" customHeight="1" x14ac:dyDescent="0.3">
      <c r="A3" s="22" t="s">
        <v>89</v>
      </c>
      <c r="B3" s="145" t="s">
        <v>90</v>
      </c>
      <c r="C3" s="23" t="s">
        <v>91</v>
      </c>
      <c r="D3" s="146" t="s">
        <v>92</v>
      </c>
      <c r="E3" s="23">
        <v>65</v>
      </c>
      <c r="F3" s="142">
        <f ca="1">IF(IFERROR(INDEX('Monitor &amp; Recheck Triggers'!$H$3:$H$48,MATCH($B3,'Monitor &amp; Recheck Triggers'!$A$3:$A$48,0)),"")="",266.51,INDEX('Monitor &amp; Recheck Triggers'!$H$3:$H$48,MATCH($B3,'Monitor &amp; Recheck Triggers'!$A$3:$A$48,0)))</f>
        <v>266.51</v>
      </c>
      <c r="G3" s="24">
        <f t="shared" ref="G3:G21" ca="1" si="0">E3*F3</f>
        <v>17323.149999999998</v>
      </c>
      <c r="H3" s="25">
        <v>19163.84</v>
      </c>
      <c r="I3" s="26">
        <f t="shared" ref="I3:I21" ca="1" si="1">G3-H3</f>
        <v>-1840.6900000000023</v>
      </c>
      <c r="J3" s="138">
        <f t="shared" ref="J3:J21" ca="1" si="2">IF(H3=0,"",G3/H3-1)</f>
        <v>-9.6050165311336477E-2</v>
      </c>
      <c r="K3" s="138">
        <f ca="1">IFERROR(G3/SUM(G3:G21),"")</f>
        <v>3.7012962240533007E-2</v>
      </c>
      <c r="L3" s="138">
        <f ca="1">IFERROR(G3/(SUM(G3:G21,G25:G44)),"")</f>
        <v>2.2304598270143656E-2</v>
      </c>
      <c r="M3" s="22" t="s">
        <v>93</v>
      </c>
      <c r="O3" t="s">
        <v>94</v>
      </c>
    </row>
    <row r="4" spans="1:16" ht="15" customHeight="1" x14ac:dyDescent="0.3">
      <c r="A4" s="22" t="s">
        <v>89</v>
      </c>
      <c r="B4" s="145" t="s">
        <v>95</v>
      </c>
      <c r="C4" s="23" t="s">
        <v>96</v>
      </c>
      <c r="D4" s="146" t="s">
        <v>92</v>
      </c>
      <c r="E4" s="23">
        <v>70</v>
      </c>
      <c r="F4" s="142">
        <f ca="1">IF(IFERROR(INDEX('Monitor &amp; Recheck Triggers'!$H$3:$H$48,MATCH($B4,'Monitor &amp; Recheck Triggers'!$A$3:$A$48,0)),"")="",193.78,INDEX('Monitor &amp; Recheck Triggers'!$H$3:$H$48,MATCH($B4,'Monitor &amp; Recheck Triggers'!$A$3:$A$48,0)))</f>
        <v>193.78</v>
      </c>
      <c r="G4" s="24">
        <f t="shared" ca="1" si="0"/>
        <v>13564.6</v>
      </c>
      <c r="H4" s="25">
        <v>10182.200000000001</v>
      </c>
      <c r="I4" s="26">
        <f t="shared" ca="1" si="1"/>
        <v>3382.3999999999996</v>
      </c>
      <c r="J4" s="138">
        <f t="shared" ca="1" si="2"/>
        <v>0.33218754296713859</v>
      </c>
      <c r="K4" s="138">
        <f ca="1">IFERROR(G4/SUM(G3:G21),"")</f>
        <v>2.8982374891860549E-2</v>
      </c>
      <c r="L4" s="138">
        <f ca="1">IFERROR(G4/(SUM(G3:G21,G25:G44)),"")</f>
        <v>1.7465238925668293E-2</v>
      </c>
      <c r="M4" s="22"/>
    </row>
    <row r="5" spans="1:16" ht="15" customHeight="1" x14ac:dyDescent="0.3">
      <c r="A5" s="22" t="s">
        <v>89</v>
      </c>
      <c r="B5" s="145" t="s">
        <v>97</v>
      </c>
      <c r="C5" s="23" t="s">
        <v>98</v>
      </c>
      <c r="D5" s="146" t="s">
        <v>92</v>
      </c>
      <c r="E5" s="23">
        <v>7</v>
      </c>
      <c r="F5" s="142">
        <f ca="1">IF(IFERROR(INDEX('Monitor &amp; Recheck Triggers'!$H$3:$H$48,MATCH($B5,'Monitor &amp; Recheck Triggers'!$A$3:$A$48,0)),"")="",1714.88,INDEX('Monitor &amp; Recheck Triggers'!$H$3:$H$48,MATCH($B5,'Monitor &amp; Recheck Triggers'!$A$3:$A$48,0)))</f>
        <v>1714.88</v>
      </c>
      <c r="G5" s="24">
        <f t="shared" ca="1" si="0"/>
        <v>12004.16</v>
      </c>
      <c r="H5" s="25">
        <v>9989.8799999999992</v>
      </c>
      <c r="I5" s="26">
        <f t="shared" ca="1" si="1"/>
        <v>2014.2800000000007</v>
      </c>
      <c r="J5" s="138">
        <f t="shared" ca="1" si="2"/>
        <v>0.20163205163625597</v>
      </c>
      <c r="K5" s="138">
        <f ca="1">IFERROR(G5/SUM(G3:G21),"")</f>
        <v>2.5648309967258653E-2</v>
      </c>
      <c r="L5" s="138">
        <f ca="1">IFERROR(G5/(SUM(G3:G21,G25:G44)),"")</f>
        <v>1.5456078505960388E-2</v>
      </c>
      <c r="M5" s="22"/>
    </row>
    <row r="6" spans="1:16" ht="15" customHeight="1" x14ac:dyDescent="0.3">
      <c r="A6" s="22" t="s">
        <v>89</v>
      </c>
      <c r="B6" s="145" t="s">
        <v>99</v>
      </c>
      <c r="C6" s="23" t="s">
        <v>100</v>
      </c>
      <c r="D6" s="146" t="s">
        <v>92</v>
      </c>
      <c r="E6" s="23">
        <v>40</v>
      </c>
      <c r="F6" s="142">
        <f ca="1">IF(IFERROR(INDEX('Monitor &amp; Recheck Triggers'!$H$3:$H$48,MATCH($B6,'Monitor &amp; Recheck Triggers'!$A$3:$A$48,0)),"")="",213.1,INDEX('Monitor &amp; Recheck Triggers'!$H$3:$H$48,MATCH($B6,'Monitor &amp; Recheck Triggers'!$A$3:$A$48,0)))</f>
        <v>213.1</v>
      </c>
      <c r="G6" s="24">
        <f t="shared" ca="1" si="0"/>
        <v>8524</v>
      </c>
      <c r="H6" s="25">
        <v>4991.3500000000004</v>
      </c>
      <c r="I6" s="26">
        <f t="shared" ca="1" si="1"/>
        <v>3532.6499999999996</v>
      </c>
      <c r="J6" s="138">
        <f t="shared" ca="1" si="2"/>
        <v>0.70775441513818893</v>
      </c>
      <c r="K6" s="138">
        <f ca="1">IFERROR(G6/SUM(G3:G21),"")</f>
        <v>1.8212535834320163E-2</v>
      </c>
      <c r="L6" s="138">
        <f ca="1">IFERROR(G6/(SUM(G3:G21,G25:G44)),"")</f>
        <v>1.0975163042212561E-2</v>
      </c>
      <c r="M6" s="22"/>
    </row>
    <row r="7" spans="1:16" ht="15" customHeight="1" x14ac:dyDescent="0.3">
      <c r="A7" s="22" t="s">
        <v>89</v>
      </c>
      <c r="B7" s="145" t="s">
        <v>101</v>
      </c>
      <c r="C7" s="23" t="s">
        <v>102</v>
      </c>
      <c r="D7" s="146" t="s">
        <v>92</v>
      </c>
      <c r="E7" s="23">
        <v>100</v>
      </c>
      <c r="F7" s="142">
        <f ca="1">IF(IFERROR(INDEX('Monitor &amp; Recheck Triggers'!$H$3:$H$48,MATCH($B7,'Monitor &amp; Recheck Triggers'!$A$3:$A$48,0)),"")="",185.6,INDEX('Monitor &amp; Recheck Triggers'!$H$3:$H$48,MATCH($B7,'Monitor &amp; Recheck Triggers'!$A$3:$A$48,0)))</f>
        <v>185.6</v>
      </c>
      <c r="G7" s="24">
        <f t="shared" ca="1" si="0"/>
        <v>18560</v>
      </c>
      <c r="H7" s="25">
        <v>15412.54</v>
      </c>
      <c r="I7" s="26">
        <f t="shared" ca="1" si="1"/>
        <v>3147.4599999999991</v>
      </c>
      <c r="J7" s="138">
        <f t="shared" ca="1" si="2"/>
        <v>0.20421423074976608</v>
      </c>
      <c r="K7" s="138">
        <f ca="1">IFERROR(G7/SUM(G3:G21),"")</f>
        <v>3.9655638794577931E-2</v>
      </c>
      <c r="L7" s="138">
        <f ca="1">IFERROR(G7/(SUM(G3:G21,G25:G44)),"")</f>
        <v>2.3897117088628007E-2</v>
      </c>
      <c r="M7" s="22"/>
    </row>
    <row r="8" spans="1:16" ht="15" customHeight="1" x14ac:dyDescent="0.3">
      <c r="A8" s="22" t="s">
        <v>89</v>
      </c>
      <c r="B8" s="145" t="s">
        <v>103</v>
      </c>
      <c r="C8" s="23" t="s">
        <v>104</v>
      </c>
      <c r="D8" s="146" t="s">
        <v>92</v>
      </c>
      <c r="E8" s="23">
        <v>7</v>
      </c>
      <c r="F8" s="142">
        <f ca="1">IF(IFERROR(INDEX('Monitor &amp; Recheck Triggers'!$H$3:$H$48,MATCH($B8,'Monitor &amp; Recheck Triggers'!$A$3:$A$48,0)),"")="",1016.59,INDEX('Monitor &amp; Recheck Triggers'!$H$3:$H$48,MATCH($B8,'Monitor &amp; Recheck Triggers'!$A$3:$A$48,0)))</f>
        <v>1016.59</v>
      </c>
      <c r="G8" s="24">
        <f t="shared" ca="1" si="0"/>
        <v>7116.13</v>
      </c>
      <c r="H8" s="25">
        <v>5836.11</v>
      </c>
      <c r="I8" s="26">
        <f t="shared" ca="1" si="1"/>
        <v>1280.0200000000004</v>
      </c>
      <c r="J8" s="138">
        <f t="shared" ca="1" si="2"/>
        <v>0.21932760006237051</v>
      </c>
      <c r="K8" s="138">
        <f ca="1">IFERROR(G8/SUM(G3:G21),"")</f>
        <v>1.5204454789615292E-2</v>
      </c>
      <c r="L8" s="138">
        <f ca="1">IFERROR(G8/(SUM(G3:G21,G25:G44)),"")</f>
        <v>9.1624456803824587E-3</v>
      </c>
      <c r="M8" s="22"/>
    </row>
    <row r="9" spans="1:16" ht="15" customHeight="1" x14ac:dyDescent="0.3">
      <c r="A9" s="22" t="s">
        <v>89</v>
      </c>
      <c r="B9" s="145" t="s">
        <v>105</v>
      </c>
      <c r="C9" s="23" t="s">
        <v>106</v>
      </c>
      <c r="D9" s="146" t="s">
        <v>92</v>
      </c>
      <c r="E9" s="23">
        <v>155</v>
      </c>
      <c r="F9" s="142">
        <f ca="1">IF(IFERROR(INDEX('Monitor &amp; Recheck Triggers'!$H$3:$H$48,MATCH($B9,'Monitor &amp; Recheck Triggers'!$A$3:$A$48,0)),"")="",230.36,INDEX('Monitor &amp; Recheck Triggers'!$H$3:$H$48,MATCH($B9,'Monitor &amp; Recheck Triggers'!$A$3:$A$48,0)))</f>
        <v>230.36</v>
      </c>
      <c r="G9" s="24">
        <f t="shared" ca="1" si="0"/>
        <v>35705.800000000003</v>
      </c>
      <c r="H9" s="25">
        <v>26639.79</v>
      </c>
      <c r="I9" s="26">
        <f t="shared" ca="1" si="1"/>
        <v>9066.010000000002</v>
      </c>
      <c r="J9" s="138">
        <f t="shared" ca="1" si="2"/>
        <v>0.34031837338057103</v>
      </c>
      <c r="K9" s="138">
        <f ca="1">IFERROR(G9/SUM(G3:G21),"")</f>
        <v>7.6289671749538837E-2</v>
      </c>
      <c r="L9" s="138">
        <f ca="1">IFERROR(G9/(SUM(G3:G21,G25:G44)),"")</f>
        <v>4.5973366559436096E-2</v>
      </c>
      <c r="M9" s="22"/>
    </row>
    <row r="10" spans="1:16" ht="15" customHeight="1" x14ac:dyDescent="0.3">
      <c r="A10" s="22" t="s">
        <v>89</v>
      </c>
      <c r="B10" s="145" t="s">
        <v>107</v>
      </c>
      <c r="C10" s="23" t="s">
        <v>108</v>
      </c>
      <c r="D10" s="146" t="s">
        <v>92</v>
      </c>
      <c r="E10" s="23">
        <v>70</v>
      </c>
      <c r="F10" s="142">
        <f ca="1">IF(IFERROR(INDEX('Monitor &amp; Recheck Triggers'!$H$3:$H$48,MATCH($B10,'Monitor &amp; Recheck Triggers'!$A$3:$A$48,0)),"")="",174.33,INDEX('Monitor &amp; Recheck Triggers'!$H$3:$H$48,MATCH($B10,'Monitor &amp; Recheck Triggers'!$A$3:$A$48,0)))</f>
        <v>174.33</v>
      </c>
      <c r="G10" s="24">
        <f t="shared" ca="1" si="0"/>
        <v>12203.1</v>
      </c>
      <c r="H10" s="25">
        <v>11612.3</v>
      </c>
      <c r="I10" s="26">
        <f t="shared" ca="1" si="1"/>
        <v>590.80000000000109</v>
      </c>
      <c r="J10" s="138">
        <f t="shared" ca="1" si="2"/>
        <v>5.0877087226475437E-2</v>
      </c>
      <c r="K10" s="138">
        <f ca="1">IFERROR(G10/SUM(G3:G21),"")</f>
        <v>2.6073368845588037E-2</v>
      </c>
      <c r="L10" s="138">
        <f ca="1">IFERROR(G10/(SUM(G3:G21,G25:G44)),"")</f>
        <v>1.5712225729754118E-2</v>
      </c>
      <c r="M10" s="22"/>
    </row>
    <row r="11" spans="1:16" ht="15" customHeight="1" x14ac:dyDescent="0.3">
      <c r="A11" s="22" t="s">
        <v>89</v>
      </c>
      <c r="B11" s="145" t="s">
        <v>109</v>
      </c>
      <c r="C11" s="23" t="s">
        <v>110</v>
      </c>
      <c r="D11" s="146" t="s">
        <v>92</v>
      </c>
      <c r="E11" s="23">
        <v>25</v>
      </c>
      <c r="F11" s="142">
        <f ca="1">IF(IFERROR(INDEX('Monitor &amp; Recheck Triggers'!$H$3:$H$48,MATCH($B11,'Monitor &amp; Recheck Triggers'!$A$3:$A$48,0)),"")="",428.91,INDEX('Monitor &amp; Recheck Triggers'!$H$3:$H$48,MATCH($B11,'Monitor &amp; Recheck Triggers'!$A$3:$A$48,0)))</f>
        <v>428.91</v>
      </c>
      <c r="G11" s="24">
        <f t="shared" ca="1" si="0"/>
        <v>10722.75</v>
      </c>
      <c r="H11" s="25">
        <v>6069.64</v>
      </c>
      <c r="I11" s="26">
        <f t="shared" ca="1" si="1"/>
        <v>4653.1099999999997</v>
      </c>
      <c r="J11" s="138">
        <f t="shared" ca="1" si="2"/>
        <v>0.76662042559360999</v>
      </c>
      <c r="K11" s="138">
        <f ca="1">IFERROR(G11/SUM(G3:G21),"")</f>
        <v>2.2910425694211232E-2</v>
      </c>
      <c r="L11" s="138">
        <f ca="1">IFERROR(G11/(SUM(G3:G21,G25:G44)),"")</f>
        <v>1.3806186005500322E-2</v>
      </c>
      <c r="M11" s="22"/>
    </row>
    <row r="12" spans="1:16" ht="15" customHeight="1" x14ac:dyDescent="0.3">
      <c r="A12" s="22" t="s">
        <v>89</v>
      </c>
      <c r="B12" s="145" t="s">
        <v>111</v>
      </c>
      <c r="C12" s="23" t="s">
        <v>112</v>
      </c>
      <c r="D12" s="146" t="s">
        <v>92</v>
      </c>
      <c r="E12" s="23">
        <v>30</v>
      </c>
      <c r="F12" s="142">
        <f ca="1">IF(IFERROR(INDEX('Monitor &amp; Recheck Triggers'!$H$3:$H$48,MATCH($B12,'Monitor &amp; Recheck Triggers'!$A$3:$A$48,0)),"")="",280.53,INDEX('Monitor &amp; Recheck Triggers'!$H$3:$H$48,MATCH($B12,'Monitor &amp; Recheck Triggers'!$A$3:$A$48,0)))</f>
        <v>280.52999999999997</v>
      </c>
      <c r="G12" s="24">
        <f t="shared" ca="1" si="0"/>
        <v>8415.9</v>
      </c>
      <c r="H12" s="25">
        <v>7876.8</v>
      </c>
      <c r="I12" s="26">
        <f t="shared" ca="1" si="1"/>
        <v>539.09999999999945</v>
      </c>
      <c r="J12" s="138">
        <f t="shared" ca="1" si="2"/>
        <v>6.844149908592323E-2</v>
      </c>
      <c r="K12" s="138">
        <f ca="1">IFERROR(G12/SUM(G3:G21),"")</f>
        <v>1.7981567377763383E-2</v>
      </c>
      <c r="L12" s="138">
        <f ca="1">IFERROR(G12/(SUM(G3:G21,G25:G44)),"")</f>
        <v>1.0835977785893559E-2</v>
      </c>
      <c r="M12" s="22"/>
    </row>
    <row r="13" spans="1:16" ht="15" customHeight="1" x14ac:dyDescent="0.3">
      <c r="A13" s="22" t="s">
        <v>89</v>
      </c>
      <c r="B13" s="145" t="s">
        <v>113</v>
      </c>
      <c r="C13" s="23" t="s">
        <v>114</v>
      </c>
      <c r="D13" s="146" t="s">
        <v>92</v>
      </c>
      <c r="E13" s="23">
        <v>50</v>
      </c>
      <c r="F13" s="142">
        <f ca="1">IF(IFERROR(INDEX('Monitor &amp; Recheck Triggers'!$H$3:$H$48,MATCH($B13,'Monitor &amp; Recheck Triggers'!$A$3:$A$48,0)),"")="",367.68,INDEX('Monitor &amp; Recheck Triggers'!$H$3:$H$48,MATCH($B13,'Monitor &amp; Recheck Triggers'!$A$3:$A$48,0)))</f>
        <v>367.68</v>
      </c>
      <c r="G13" s="24">
        <f t="shared" ca="1" si="0"/>
        <v>18384</v>
      </c>
      <c r="H13" s="25">
        <v>18448.63</v>
      </c>
      <c r="I13" s="26">
        <f t="shared" ca="1" si="1"/>
        <v>-64.630000000001019</v>
      </c>
      <c r="J13" s="138">
        <f t="shared" ca="1" si="2"/>
        <v>-3.5032411620808945E-3</v>
      </c>
      <c r="K13" s="138">
        <f ca="1">IFERROR(G13/SUM(G3:G21),"")</f>
        <v>3.9279593943939692E-2</v>
      </c>
      <c r="L13" s="138">
        <f ca="1">IFERROR(G13/(SUM(G3:G21,G25:G44)),"")</f>
        <v>2.3670506495546192E-2</v>
      </c>
      <c r="M13" s="22" t="s">
        <v>115</v>
      </c>
    </row>
    <row r="14" spans="1:16" ht="15" customHeight="1" x14ac:dyDescent="0.3">
      <c r="A14" s="22" t="s">
        <v>89</v>
      </c>
      <c r="B14" s="160" t="s">
        <v>116</v>
      </c>
      <c r="C14" s="23" t="s">
        <v>117</v>
      </c>
      <c r="D14" s="146" t="s">
        <v>118</v>
      </c>
      <c r="E14" s="23">
        <v>137296.09</v>
      </c>
      <c r="F14" s="142">
        <v>1</v>
      </c>
      <c r="G14" s="24">
        <f t="shared" si="0"/>
        <v>137296.09</v>
      </c>
      <c r="H14" s="25">
        <v>137296.09</v>
      </c>
      <c r="I14" s="26">
        <f t="shared" si="1"/>
        <v>0</v>
      </c>
      <c r="J14" s="138">
        <f t="shared" si="2"/>
        <v>0</v>
      </c>
      <c r="K14" s="138">
        <f ca="1">IFERROR(G14/SUM(G3:G21),"")</f>
        <v>0.29334936168900122</v>
      </c>
      <c r="L14" s="138">
        <f ca="1">IFERROR(G14/(SUM(G3:G21,G25:G44)),"")</f>
        <v>0.17677697944724186</v>
      </c>
      <c r="M14" s="22"/>
    </row>
    <row r="15" spans="1:16" ht="15" customHeight="1" x14ac:dyDescent="0.3">
      <c r="A15" s="22" t="s">
        <v>89</v>
      </c>
      <c r="B15" s="160" t="s">
        <v>119</v>
      </c>
      <c r="C15" s="23" t="s">
        <v>120</v>
      </c>
      <c r="D15" s="146" t="s">
        <v>118</v>
      </c>
      <c r="E15" s="23">
        <v>23</v>
      </c>
      <c r="F15" s="142">
        <v>1</v>
      </c>
      <c r="G15" s="24">
        <f t="shared" si="0"/>
        <v>23</v>
      </c>
      <c r="H15" s="25">
        <v>23</v>
      </c>
      <c r="I15" s="26">
        <f t="shared" si="1"/>
        <v>0</v>
      </c>
      <c r="J15" s="138">
        <f t="shared" si="2"/>
        <v>0</v>
      </c>
      <c r="K15" s="138">
        <f ca="1">IFERROR(G15/SUM(G3:G21),"")</f>
        <v>4.9142224799315323E-5</v>
      </c>
      <c r="L15" s="138">
        <f ca="1">IFERROR(G15/(SUM(G3:G21,G25:G44)),"")</f>
        <v>2.9613884323192035E-5</v>
      </c>
      <c r="M15" s="22"/>
    </row>
    <row r="16" spans="1:16" ht="15" customHeight="1" x14ac:dyDescent="0.3">
      <c r="A16" s="22" t="s">
        <v>89</v>
      </c>
      <c r="B16" s="160" t="s">
        <v>121</v>
      </c>
      <c r="C16" s="23" t="s">
        <v>122</v>
      </c>
      <c r="D16" s="146" t="s">
        <v>92</v>
      </c>
      <c r="E16" s="23">
        <v>150</v>
      </c>
      <c r="F16" s="142">
        <f>IF(IFERROR(INDEX('Monitor &amp; Recheck Triggers'!$H$3:$H$48,MATCH($B16,'Monitor &amp; Recheck Triggers'!$A$3:$A$48,0)),"")="",164.25,INDEX('Monitor &amp; Recheck Triggers'!$H$3:$H$48,MATCH($B16,'Monitor &amp; Recheck Triggers'!$A$3:$A$48,0)))</f>
        <v>164.25</v>
      </c>
      <c r="G16" s="24">
        <f t="shared" si="0"/>
        <v>24637.5</v>
      </c>
      <c r="H16" s="25">
        <v>24518.25</v>
      </c>
      <c r="I16" s="26">
        <f t="shared" si="1"/>
        <v>119.25</v>
      </c>
      <c r="J16" s="138">
        <f t="shared" si="2"/>
        <v>4.8637239607232097E-3</v>
      </c>
      <c r="K16" s="138">
        <f ca="1">IFERROR(G16/SUM(G3:G21),"")</f>
        <v>5.2640937543179618E-2</v>
      </c>
      <c r="L16" s="138">
        <f ca="1">IFERROR(G16/(SUM(G3:G21,G25:G44)),"")</f>
        <v>3.1722264130984515E-2</v>
      </c>
      <c r="M16" s="22" t="s">
        <v>123</v>
      </c>
    </row>
    <row r="17" spans="1:15" ht="15" customHeight="1" x14ac:dyDescent="0.3">
      <c r="A17" s="22" t="s">
        <v>89</v>
      </c>
      <c r="B17" s="160" t="s">
        <v>124</v>
      </c>
      <c r="C17" s="23" t="s">
        <v>125</v>
      </c>
      <c r="D17" s="146" t="s">
        <v>92</v>
      </c>
      <c r="E17" s="23">
        <v>451.30399999999997</v>
      </c>
      <c r="F17" s="142">
        <f>IF(IFERROR(INDEX('Monitor &amp; Recheck Triggers'!$H$3:$H$48,MATCH($B17,'Monitor &amp; Recheck Triggers'!$A$3:$A$48,0)),"")="",55.29,INDEX('Monitor &amp; Recheck Triggers'!$H$3:$H$48,MATCH($B17,'Monitor &amp; Recheck Triggers'!$A$3:$A$48,0)))</f>
        <v>55.29</v>
      </c>
      <c r="G17" s="24">
        <f t="shared" si="0"/>
        <v>24952.598159999998</v>
      </c>
      <c r="H17" s="25">
        <v>24999.99</v>
      </c>
      <c r="I17" s="26">
        <f t="shared" si="1"/>
        <v>-47.391840000003867</v>
      </c>
      <c r="J17" s="138">
        <f t="shared" si="2"/>
        <v>-1.8956743582698721E-3</v>
      </c>
      <c r="K17" s="138">
        <f ca="1">IFERROR(G17/SUM(G3:G21),"")</f>
        <v>5.3314182091552247E-2</v>
      </c>
      <c r="L17" s="138">
        <f ca="1">IFERROR(G17/(SUM(G3:G21,G25:G44)),"")</f>
        <v>3.2127971977101495E-2</v>
      </c>
      <c r="M17" s="22" t="s">
        <v>126</v>
      </c>
    </row>
    <row r="18" spans="1:15" ht="15" customHeight="1" x14ac:dyDescent="0.3">
      <c r="A18" s="22" t="s">
        <v>89</v>
      </c>
      <c r="B18" s="160" t="s">
        <v>127</v>
      </c>
      <c r="C18" s="23" t="s">
        <v>128</v>
      </c>
      <c r="D18" s="146" t="s">
        <v>92</v>
      </c>
      <c r="E18" s="23">
        <v>700</v>
      </c>
      <c r="F18" s="142">
        <f>IF(IFERROR(INDEX('Monitor &amp; Recheck Triggers'!$H$3:$H$48,MATCH($B18,'Monitor &amp; Recheck Triggers'!$A$3:$A$48,0)),"")="",34.8,INDEX('Monitor &amp; Recheck Triggers'!$H$3:$H$48,MATCH($B18,'Monitor &amp; Recheck Triggers'!$A$3:$A$48,0)))</f>
        <v>34.799999999999997</v>
      </c>
      <c r="G18" s="24">
        <f t="shared" si="0"/>
        <v>24359.999999999996</v>
      </c>
      <c r="H18" s="25">
        <v>24377.5</v>
      </c>
      <c r="I18" s="26">
        <f t="shared" si="1"/>
        <v>-17.500000000003638</v>
      </c>
      <c r="J18" s="138">
        <f t="shared" si="2"/>
        <v>-7.1787508973453207E-4</v>
      </c>
      <c r="K18" s="138">
        <f ca="1">IFERROR(G18/SUM(G3:G21),"")</f>
        <v>5.2048025917883524E-2</v>
      </c>
      <c r="L18" s="138">
        <f ca="1">IFERROR(G18/(SUM(G3:G21,G25:G44)),"")</f>
        <v>3.1364966178824255E-2</v>
      </c>
      <c r="M18" s="22" t="s">
        <v>123</v>
      </c>
    </row>
    <row r="19" spans="1:15" ht="15" customHeight="1" x14ac:dyDescent="0.3">
      <c r="A19" s="22" t="s">
        <v>89</v>
      </c>
      <c r="B19" s="160" t="s">
        <v>129</v>
      </c>
      <c r="C19" s="23" t="s">
        <v>130</v>
      </c>
      <c r="D19" s="146" t="s">
        <v>92</v>
      </c>
      <c r="E19" s="23">
        <v>150</v>
      </c>
      <c r="F19" s="142">
        <f>IF(IFERROR(INDEX('Monitor &amp; Recheck Triggers'!$H$3:$H$48,MATCH($B19,'Monitor &amp; Recheck Triggers'!$A$3:$A$48,0)),"")="",164.23,INDEX('Monitor &amp; Recheck Triggers'!$H$3:$H$48,MATCH($B19,'Monitor &amp; Recheck Triggers'!$A$3:$A$48,0)))</f>
        <v>164.23</v>
      </c>
      <c r="G19" s="24">
        <f t="shared" si="0"/>
        <v>24634.5</v>
      </c>
      <c r="H19" s="25">
        <v>24598.5</v>
      </c>
      <c r="I19" s="26">
        <f t="shared" si="1"/>
        <v>36</v>
      </c>
      <c r="J19" s="138">
        <f t="shared" si="2"/>
        <v>1.4635038721872995E-3</v>
      </c>
      <c r="K19" s="138">
        <f ca="1">IFERROR(G19/SUM(G3:G21),"")</f>
        <v>5.2634527687771014E-2</v>
      </c>
      <c r="L19" s="138">
        <f ca="1">IFERROR(G19/(SUM(G3:G21,G25:G44)),"")</f>
        <v>3.1718401450420618E-2</v>
      </c>
      <c r="M19" s="22" t="s">
        <v>123</v>
      </c>
    </row>
    <row r="20" spans="1:15" ht="15" customHeight="1" x14ac:dyDescent="0.3">
      <c r="A20" s="22" t="s">
        <v>89</v>
      </c>
      <c r="B20" s="160" t="s">
        <v>131</v>
      </c>
      <c r="C20" s="23" t="s">
        <v>132</v>
      </c>
      <c r="D20" s="146" t="s">
        <v>92</v>
      </c>
      <c r="E20" s="23">
        <v>1000</v>
      </c>
      <c r="F20" s="142">
        <f>IF(IFERROR(INDEX('Monitor &amp; Recheck Triggers'!$H$3:$H$48,MATCH($B20,'Monitor &amp; Recheck Triggers'!$A$3:$A$48,0)),"")="",54.63,INDEX('Monitor &amp; Recheck Triggers'!$H$3:$H$48,MATCH($B20,'Monitor &amp; Recheck Triggers'!$A$3:$A$48,0)))</f>
        <v>54.63</v>
      </c>
      <c r="G20" s="24">
        <f t="shared" si="0"/>
        <v>54630</v>
      </c>
      <c r="H20" s="25">
        <v>53709</v>
      </c>
      <c r="I20" s="26">
        <f t="shared" si="1"/>
        <v>921</v>
      </c>
      <c r="J20" s="138">
        <f t="shared" si="2"/>
        <v>1.7147964028375151E-2</v>
      </c>
      <c r="K20" s="138">
        <f ca="1">IFERROR(G20/SUM(G3:G21),"")</f>
        <v>0.11672346699072156</v>
      </c>
      <c r="L20" s="138">
        <f ca="1">IFERROR(G20/(SUM(G3:G21,G25:G44)),"")</f>
        <v>7.0339413068520915E-2</v>
      </c>
      <c r="M20" s="22" t="s">
        <v>123</v>
      </c>
    </row>
    <row r="21" spans="1:15" ht="15" customHeight="1" thickBot="1" x14ac:dyDescent="0.35">
      <c r="A21" s="22" t="s">
        <v>89</v>
      </c>
      <c r="B21" s="160" t="s">
        <v>133</v>
      </c>
      <c r="C21" s="23" t="s">
        <v>134</v>
      </c>
      <c r="D21" s="146" t="s">
        <v>92</v>
      </c>
      <c r="E21" s="23">
        <v>100</v>
      </c>
      <c r="F21" s="142">
        <f>IF(IFERROR(INDEX('Monitor &amp; Recheck Triggers'!$H$3:$H$48,MATCH($B21,'Monitor &amp; Recheck Triggers'!$A$3:$A$48,0)),"")="",149.72,INDEX('Monitor &amp; Recheck Triggers'!$H$3:$H$48,MATCH($B21,'Monitor &amp; Recheck Triggers'!$A$3:$A$48,0)))</f>
        <v>149.72</v>
      </c>
      <c r="G21" s="24">
        <f t="shared" si="0"/>
        <v>14972</v>
      </c>
      <c r="H21" s="25">
        <v>14696.99</v>
      </c>
      <c r="I21" s="26">
        <f t="shared" si="1"/>
        <v>275.01000000000022</v>
      </c>
      <c r="J21" s="138">
        <f t="shared" si="2"/>
        <v>1.8711994768996876E-2</v>
      </c>
      <c r="K21" s="138">
        <f ca="1">IFERROR(G21/SUM(G3:G21),"")</f>
        <v>3.1989451725884736E-2</v>
      </c>
      <c r="L21" s="138">
        <f ca="1">IFERROR(G21/(SUM(G3:G21,G25:G44)),"")</f>
        <v>1.9277351134210051E-2</v>
      </c>
      <c r="M21" s="22" t="s">
        <v>126</v>
      </c>
    </row>
    <row r="22" spans="1:15" ht="15" customHeight="1" x14ac:dyDescent="0.3">
      <c r="A22" s="148" t="s">
        <v>135</v>
      </c>
      <c r="B22" s="149">
        <f>SUBTOTAL(103,B3:B21)</f>
        <v>19</v>
      </c>
      <c r="C22" s="150" t="s">
        <v>136</v>
      </c>
      <c r="D22" s="151"/>
      <c r="E22" s="152"/>
      <c r="F22" s="153"/>
      <c r="G22" s="154">
        <f ca="1">SUM(G3:G21)</f>
        <v>468029.27815999999</v>
      </c>
      <c r="H22" s="157">
        <f>SUM(H3:H21)</f>
        <v>440442.39999999997</v>
      </c>
      <c r="I22" s="158">
        <f ca="1">SUM(I3:I21)</f>
        <v>27586.878159999993</v>
      </c>
      <c r="J22" s="159">
        <f ca="1">CurrentPositionsTable[[#This Row],[Unrealized G/L ($)]]/CurrentPositionsTable[[#This Row],[Cost Basis
($)]]</f>
        <v>6.2634474246802754E-2</v>
      </c>
      <c r="K22" s="159">
        <f ca="1">SUM(K3:K21)</f>
        <v>1</v>
      </c>
      <c r="L22" s="159">
        <f ca="1">SUM(L3:L21)</f>
        <v>0.60261586536075251</v>
      </c>
      <c r="M22" s="155"/>
      <c r="N22" s="156"/>
      <c r="O22" s="156"/>
    </row>
    <row r="23" spans="1:15" ht="13.5" customHeight="1" x14ac:dyDescent="0.3">
      <c r="F23" s="142"/>
      <c r="I23" s="147" t="s">
        <v>137</v>
      </c>
      <c r="J23" s="139">
        <f ca="1">I22/(H22-H14-H13)</f>
        <v>9.6898851300790359E-2</v>
      </c>
    </row>
    <row r="24" spans="1:15" ht="15" customHeight="1" x14ac:dyDescent="0.3">
      <c r="F24" s="142"/>
    </row>
    <row r="25" spans="1:15" ht="15" customHeight="1" x14ac:dyDescent="0.3">
      <c r="A25" s="22" t="s">
        <v>138</v>
      </c>
      <c r="B25" s="160" t="s">
        <v>139</v>
      </c>
      <c r="C25" s="23" t="s">
        <v>140</v>
      </c>
      <c r="D25" s="146" t="s">
        <v>118</v>
      </c>
      <c r="E25" s="23">
        <v>36854.47</v>
      </c>
      <c r="F25" s="142">
        <v>1</v>
      </c>
      <c r="G25" s="24">
        <f t="shared" ref="G25:G44" si="3">E25*F25</f>
        <v>36854.47</v>
      </c>
      <c r="H25" s="25">
        <v>36854.47</v>
      </c>
      <c r="I25" s="26">
        <f t="shared" ref="I25:I44" si="4">G25-H25</f>
        <v>0</v>
      </c>
      <c r="J25" s="138">
        <f t="shared" ref="J25:J44" si="5">IF(H25=0,"",G25/H25-1)</f>
        <v>0</v>
      </c>
      <c r="K25" s="138">
        <f ca="1">IFERROR(G25/SUM(G25:G44),"")</f>
        <v>0.11941178367280263</v>
      </c>
      <c r="L25" s="138">
        <f ca="1">IFERROR(G25/(SUM(G3:G21,G25:G44)),"")</f>
        <v>4.7452348320545706E-2</v>
      </c>
      <c r="M25" s="22"/>
    </row>
    <row r="26" spans="1:15" ht="15" customHeight="1" x14ac:dyDescent="0.3">
      <c r="A26" s="22" t="s">
        <v>138</v>
      </c>
      <c r="B26" s="160" t="s">
        <v>141</v>
      </c>
      <c r="C26" s="23" t="s">
        <v>142</v>
      </c>
      <c r="D26" s="146" t="s">
        <v>143</v>
      </c>
      <c r="E26" s="23">
        <v>850.35693000000003</v>
      </c>
      <c r="F26" s="142">
        <f>IF(IFERROR(INDEX('Monitor &amp; Recheck Triggers'!$H$3:$H$48,MATCH($B26,'Monitor &amp; Recheck Triggers'!$A$3:$A$48,0)),"")="",59.87,INDEX('Monitor &amp; Recheck Triggers'!$H$3:$H$48,MATCH($B26,'Monitor &amp; Recheck Triggers'!$A$3:$A$48,0)))</f>
        <v>59.87</v>
      </c>
      <c r="G26" s="24">
        <f t="shared" si="3"/>
        <v>50910.869399099996</v>
      </c>
      <c r="H26" s="25">
        <v>43005.36</v>
      </c>
      <c r="I26" s="26">
        <f t="shared" si="4"/>
        <v>7905.5093990999958</v>
      </c>
      <c r="J26" s="138">
        <f t="shared" si="5"/>
        <v>0.18382614165071498</v>
      </c>
      <c r="K26" s="138">
        <f ca="1">IFERROR(G26/SUM(G25:G44),"")</f>
        <v>0.16495577668813674</v>
      </c>
      <c r="L26" s="138">
        <f ca="1">IFERROR(G26/(SUM(G3:G21,G25:G44)),"")</f>
        <v>6.5550808572960195E-2</v>
      </c>
      <c r="M26" s="22" t="s">
        <v>144</v>
      </c>
    </row>
    <row r="27" spans="1:15" ht="15" customHeight="1" x14ac:dyDescent="0.3">
      <c r="A27" s="22" t="s">
        <v>138</v>
      </c>
      <c r="B27" s="145" t="s">
        <v>145</v>
      </c>
      <c r="C27" s="23" t="s">
        <v>146</v>
      </c>
      <c r="D27" s="146" t="s">
        <v>92</v>
      </c>
      <c r="E27" s="23">
        <v>400.00000999999997</v>
      </c>
      <c r="F27" s="142">
        <f>IF(IFERROR(INDEX('Monitor &amp; Recheck Triggers'!$H$3:$H$48,MATCH($B27,'Monitor &amp; Recheck Triggers'!$A$3:$A$48,0)),"")="",126.93,INDEX('Monitor &amp; Recheck Triggers'!$H$3:$H$48,MATCH($B27,'Monitor &amp; Recheck Triggers'!$A$3:$A$48,0)))</f>
        <v>126.93</v>
      </c>
      <c r="G27" s="24">
        <f t="shared" si="3"/>
        <v>50772.001269300003</v>
      </c>
      <c r="H27" s="25">
        <v>45116.29</v>
      </c>
      <c r="I27" s="26">
        <f t="shared" si="4"/>
        <v>5655.7112693000017</v>
      </c>
      <c r="J27" s="138">
        <f t="shared" si="5"/>
        <v>0.12535851838216305</v>
      </c>
      <c r="K27" s="138">
        <f ca="1">IFERROR(G27/SUM(G25:G44),"")</f>
        <v>0.16450583150985246</v>
      </c>
      <c r="L27" s="138">
        <f ca="1">IFERROR(G27/(SUM(G3:G21,G25:G44)),"")</f>
        <v>6.5372007497652582E-2</v>
      </c>
      <c r="M27" s="22" t="s">
        <v>147</v>
      </c>
    </row>
    <row r="28" spans="1:15" ht="15" hidden="1" customHeight="1" outlineLevel="1" x14ac:dyDescent="0.3">
      <c r="A28" s="22" t="s">
        <v>138</v>
      </c>
      <c r="B28" s="145" t="s">
        <v>148</v>
      </c>
      <c r="C28" s="23" t="s">
        <v>149</v>
      </c>
      <c r="D28" s="146" t="s">
        <v>92</v>
      </c>
      <c r="E28" s="23">
        <v>0</v>
      </c>
      <c r="F28" s="142">
        <f>IF(IFERROR(INDEX('Monitor &amp; Recheck Triggers'!$H$3:$H$48,MATCH($B28,'Monitor &amp; Recheck Triggers'!$A$3:$A$48,0)),"")="",56.12,INDEX('Monitor &amp; Recheck Triggers'!$H$3:$H$48,MATCH($B28,'Monitor &amp; Recheck Triggers'!$A$3:$A$48,0)))</f>
        <v>56.12</v>
      </c>
      <c r="G28" s="24">
        <f t="shared" si="3"/>
        <v>0</v>
      </c>
      <c r="H28" s="25">
        <v>0</v>
      </c>
      <c r="I28" s="26">
        <f t="shared" si="4"/>
        <v>0</v>
      </c>
      <c r="J28" s="138" t="str">
        <f t="shared" si="5"/>
        <v/>
      </c>
      <c r="K28" s="138">
        <f ca="1">IFERROR(G28/SUM(G25:G44),"")</f>
        <v>0</v>
      </c>
      <c r="L28" s="138">
        <f ca="1">IFERROR(G28/(SUM(G3:G21,G25:G44)),"")</f>
        <v>0</v>
      </c>
      <c r="M28" s="22" t="s">
        <v>150</v>
      </c>
    </row>
    <row r="29" spans="1:15" ht="15" customHeight="1" collapsed="1" x14ac:dyDescent="0.3">
      <c r="A29" s="22" t="s">
        <v>138</v>
      </c>
      <c r="B29" s="160" t="s">
        <v>151</v>
      </c>
      <c r="C29" s="23" t="s">
        <v>152</v>
      </c>
      <c r="D29" s="146" t="s">
        <v>143</v>
      </c>
      <c r="E29" s="23">
        <v>500</v>
      </c>
      <c r="F29" s="142">
        <f>IF(IFERROR(INDEX('Monitor &amp; Recheck Triggers'!$H$3:$H$48,MATCH($B29,'Monitor &amp; Recheck Triggers'!$A$3:$A$48,0)),"")="",69.72,INDEX('Monitor &amp; Recheck Triggers'!$H$3:$H$48,MATCH($B29,'Monitor &amp; Recheck Triggers'!$A$3:$A$48,0)))</f>
        <v>69.72</v>
      </c>
      <c r="G29" s="24">
        <f t="shared" si="3"/>
        <v>34860</v>
      </c>
      <c r="H29" s="25">
        <v>30666</v>
      </c>
      <c r="I29" s="26">
        <f t="shared" si="4"/>
        <v>4194</v>
      </c>
      <c r="J29" s="138">
        <f t="shared" si="5"/>
        <v>0.13676384269223241</v>
      </c>
      <c r="K29" s="138">
        <f ca="1">IFERROR(G29/SUM(G25:G44),"")</f>
        <v>0.11294952223797816</v>
      </c>
      <c r="L29" s="138">
        <f ca="1">IFERROR(G29/(SUM(G3:G21,G25:G44)),"")</f>
        <v>4.4884348152455407E-2</v>
      </c>
      <c r="M29" s="22" t="s">
        <v>153</v>
      </c>
    </row>
    <row r="30" spans="1:15" ht="15" customHeight="1" x14ac:dyDescent="0.3">
      <c r="A30" s="22" t="s">
        <v>138</v>
      </c>
      <c r="B30" s="145" t="s">
        <v>154</v>
      </c>
      <c r="C30" s="23" t="s">
        <v>155</v>
      </c>
      <c r="D30" s="146" t="s">
        <v>92</v>
      </c>
      <c r="E30" s="23">
        <v>35.075870000000002</v>
      </c>
      <c r="F30" s="142">
        <f ca="1">IF(IFERROR(INDEX('Monitor &amp; Recheck Triggers'!$H$3:$H$48,MATCH($B30,'Monitor &amp; Recheck Triggers'!$A$3:$A$48,0)),"")="",357.895,INDEX('Monitor &amp; Recheck Triggers'!$H$3:$H$48,MATCH($B30,'Monitor &amp; Recheck Triggers'!$A$3:$A$48,0)))</f>
        <v>357.89499999999998</v>
      </c>
      <c r="G30" s="24">
        <f t="shared" ca="1" si="3"/>
        <v>12553.47849365</v>
      </c>
      <c r="H30" s="25">
        <v>12653.43</v>
      </c>
      <c r="I30" s="26">
        <f t="shared" ca="1" si="4"/>
        <v>-99.951506350000273</v>
      </c>
      <c r="J30" s="138">
        <f t="shared" ca="1" si="5"/>
        <v>-7.8991630214100272E-3</v>
      </c>
      <c r="K30" s="138">
        <f ca="1">IFERROR(G30/SUM(G25:G44),"")</f>
        <v>4.0674394672475654E-2</v>
      </c>
      <c r="L30" s="138">
        <f ca="1">IFERROR(G30/(SUM(G3:G21,G25:G44)),"")</f>
        <v>1.6163359128896961E-2</v>
      </c>
      <c r="M30" s="22"/>
    </row>
    <row r="31" spans="1:15" ht="15" customHeight="1" x14ac:dyDescent="0.3">
      <c r="A31" s="22" t="s">
        <v>138</v>
      </c>
      <c r="B31" s="145" t="s">
        <v>105</v>
      </c>
      <c r="C31" s="23" t="s">
        <v>106</v>
      </c>
      <c r="D31" s="146" t="s">
        <v>92</v>
      </c>
      <c r="E31" s="23">
        <v>59.021880000000003</v>
      </c>
      <c r="F31" s="142">
        <f ca="1">IF(IFERROR(INDEX('Monitor &amp; Recheck Triggers'!$H$3:$H$48,MATCH($B31,'Monitor &amp; Recheck Triggers'!$A$3:$A$48,0)),"")="",230.36,INDEX('Monitor &amp; Recheck Triggers'!$H$3:$H$48,MATCH($B31,'Monitor &amp; Recheck Triggers'!$A$3:$A$48,0)))</f>
        <v>230.36</v>
      </c>
      <c r="G31" s="24">
        <f t="shared" ca="1" si="3"/>
        <v>13596.280276800002</v>
      </c>
      <c r="H31" s="25">
        <v>11377.73</v>
      </c>
      <c r="I31" s="26">
        <f t="shared" ca="1" si="4"/>
        <v>2218.5502768000024</v>
      </c>
      <c r="J31" s="138">
        <f t="shared" ca="1" si="5"/>
        <v>0.19499058923001367</v>
      </c>
      <c r="K31" s="138">
        <f ca="1">IFERROR(G31/SUM(G25:G44),"")</f>
        <v>4.4053165848485537E-2</v>
      </c>
      <c r="L31" s="138">
        <f ca="1">IFERROR(G31/(SUM(G3:G21,G25:G44)),"")</f>
        <v>1.7506029188819681E-2</v>
      </c>
      <c r="M31" s="22"/>
    </row>
    <row r="32" spans="1:15" ht="15" customHeight="1" x14ac:dyDescent="0.3">
      <c r="A32" s="22" t="s">
        <v>138</v>
      </c>
      <c r="B32" s="145" t="s">
        <v>156</v>
      </c>
      <c r="C32" s="23" t="s">
        <v>157</v>
      </c>
      <c r="D32" s="146" t="s">
        <v>92</v>
      </c>
      <c r="E32" s="23">
        <v>65</v>
      </c>
      <c r="F32" s="142">
        <f ca="1">IF(IFERROR(INDEX('Monitor &amp; Recheck Triggers'!$H$3:$H$48,MATCH($B32,'Monitor &amp; Recheck Triggers'!$A$3:$A$48,0)),"")="",528.64,INDEX('Monitor &amp; Recheck Triggers'!$H$3:$H$48,MATCH($B32,'Monitor &amp; Recheck Triggers'!$A$3:$A$48,0)))</f>
        <v>528.64</v>
      </c>
      <c r="G32" s="24">
        <f t="shared" ca="1" si="3"/>
        <v>34361.599999999999</v>
      </c>
      <c r="H32" s="25">
        <v>31479.64</v>
      </c>
      <c r="I32" s="26">
        <f t="shared" ca="1" si="4"/>
        <v>2881.9599999999991</v>
      </c>
      <c r="J32" s="138">
        <f t="shared" ca="1" si="5"/>
        <v>9.1549966899240331E-2</v>
      </c>
      <c r="K32" s="138">
        <f ca="1">IFERROR(G32/SUM(G25:G44),"")</f>
        <v>0.11133466159875245</v>
      </c>
      <c r="L32" s="138">
        <f ca="1">IFERROR(G32/(SUM(G3:G21,G25:G44)),"")</f>
        <v>4.4242628154773714E-2</v>
      </c>
      <c r="M32" s="22" t="s">
        <v>158</v>
      </c>
    </row>
    <row r="33" spans="1:15" ht="15" customHeight="1" x14ac:dyDescent="0.3">
      <c r="A33" s="22" t="s">
        <v>138</v>
      </c>
      <c r="B33" s="160" t="s">
        <v>133</v>
      </c>
      <c r="C33" s="23" t="s">
        <v>134</v>
      </c>
      <c r="D33" s="146" t="s">
        <v>92</v>
      </c>
      <c r="E33" s="23">
        <v>76.937449999999998</v>
      </c>
      <c r="F33" s="142">
        <f>IF(IFERROR(INDEX('Monitor &amp; Recheck Triggers'!$H$3:$H$48,MATCH($B33,'Monitor &amp; Recheck Triggers'!$A$3:$A$48,0)),"")="",149.72,INDEX('Monitor &amp; Recheck Triggers'!$H$3:$H$48,MATCH($B33,'Monitor &amp; Recheck Triggers'!$A$3:$A$48,0)))</f>
        <v>149.72</v>
      </c>
      <c r="G33" s="24">
        <f t="shared" si="3"/>
        <v>11519.075014</v>
      </c>
      <c r="H33" s="25">
        <v>9318.7900000000009</v>
      </c>
      <c r="I33" s="26">
        <f t="shared" si="4"/>
        <v>2200.2850139999991</v>
      </c>
      <c r="J33" s="138">
        <f t="shared" si="5"/>
        <v>0.23611273716866665</v>
      </c>
      <c r="K33" s="138">
        <f ca="1">IFERROR(G33/SUM(G25:G44),"")</f>
        <v>3.7322834752000336E-2</v>
      </c>
      <c r="L33" s="138">
        <f ca="1">IFERROR(G33/(SUM(G3:G21,G25:G44)),"")</f>
        <v>1.483150239020729E-2</v>
      </c>
      <c r="M33" s="22"/>
    </row>
    <row r="34" spans="1:15" ht="15" customHeight="1" x14ac:dyDescent="0.3">
      <c r="A34" s="22" t="s">
        <v>138</v>
      </c>
      <c r="B34" s="160" t="s">
        <v>124</v>
      </c>
      <c r="C34" s="23" t="s">
        <v>125</v>
      </c>
      <c r="D34" s="146" t="s">
        <v>92</v>
      </c>
      <c r="E34" s="23">
        <v>200</v>
      </c>
      <c r="F34" s="142">
        <f>IF(IFERROR(INDEX('Monitor &amp; Recheck Triggers'!$H$3:$H$48,MATCH($B34,'Monitor &amp; Recheck Triggers'!$A$3:$A$48,0)),"")="",55.29,INDEX('Monitor &amp; Recheck Triggers'!$H$3:$H$48,MATCH($B34,'Monitor &amp; Recheck Triggers'!$A$3:$A$48,0)))</f>
        <v>55.29</v>
      </c>
      <c r="G34" s="24">
        <f t="shared" si="3"/>
        <v>11058</v>
      </c>
      <c r="H34" s="25">
        <v>9257</v>
      </c>
      <c r="I34" s="26">
        <f t="shared" si="4"/>
        <v>1801</v>
      </c>
      <c r="J34" s="138">
        <f t="shared" si="5"/>
        <v>0.19455547153505459</v>
      </c>
      <c r="K34" s="138">
        <f ca="1">IFERROR(G34/SUM(G25:G44),"")</f>
        <v>3.5828910410429217E-2</v>
      </c>
      <c r="L34" s="138">
        <f ca="1">IFERROR(G34/(SUM(G3:G21,G25:G44)),"")</f>
        <v>1.4237840558515544E-2</v>
      </c>
      <c r="M34" s="22"/>
    </row>
    <row r="35" spans="1:15" ht="15" customHeight="1" x14ac:dyDescent="0.3">
      <c r="A35" s="22" t="s">
        <v>138</v>
      </c>
      <c r="B35" s="145" t="s">
        <v>95</v>
      </c>
      <c r="C35" s="23" t="s">
        <v>96</v>
      </c>
      <c r="D35" s="146" t="s">
        <v>92</v>
      </c>
      <c r="E35" s="23">
        <v>50</v>
      </c>
      <c r="F35" s="142">
        <f ca="1">IF(IFERROR(INDEX('Monitor &amp; Recheck Triggers'!$H$3:$H$48,MATCH($B35,'Monitor &amp; Recheck Triggers'!$A$3:$A$48,0)),"")="",193.78,INDEX('Monitor &amp; Recheck Triggers'!$H$3:$H$48,MATCH($B35,'Monitor &amp; Recheck Triggers'!$A$3:$A$48,0)))</f>
        <v>193.78</v>
      </c>
      <c r="G35" s="24">
        <f t="shared" ca="1" si="3"/>
        <v>9689</v>
      </c>
      <c r="H35" s="25">
        <v>7394.5</v>
      </c>
      <c r="I35" s="26">
        <f t="shared" ca="1" si="4"/>
        <v>2294.5</v>
      </c>
      <c r="J35" s="138">
        <f t="shared" ca="1" si="5"/>
        <v>0.31029819460409769</v>
      </c>
      <c r="K35" s="138">
        <f ca="1">IFERROR(G35/SUM(G25:G44),"")</f>
        <v>3.1393227795862608E-2</v>
      </c>
      <c r="L35" s="138">
        <f ca="1">IFERROR(G35/(SUM(G3:G21,G25:G44)),"")</f>
        <v>1.2475170661191637E-2</v>
      </c>
      <c r="M35" s="22"/>
    </row>
    <row r="36" spans="1:15" ht="15" customHeight="1" x14ac:dyDescent="0.3">
      <c r="A36" s="22" t="s">
        <v>138</v>
      </c>
      <c r="B36" s="145" t="s">
        <v>99</v>
      </c>
      <c r="C36" s="23" t="s">
        <v>100</v>
      </c>
      <c r="D36" s="146" t="s">
        <v>92</v>
      </c>
      <c r="E36" s="23">
        <v>45</v>
      </c>
      <c r="F36" s="142">
        <f ca="1">IF(IFERROR(INDEX('Monitor &amp; Recheck Triggers'!$H$3:$H$48,MATCH($B36,'Monitor &amp; Recheck Triggers'!$A$3:$A$48,0)),"")="",213.1,INDEX('Monitor &amp; Recheck Triggers'!$H$3:$H$48,MATCH($B36,'Monitor &amp; Recheck Triggers'!$A$3:$A$48,0)))</f>
        <v>213.1</v>
      </c>
      <c r="G36" s="24">
        <f t="shared" ca="1" si="3"/>
        <v>9589.5</v>
      </c>
      <c r="H36" s="25">
        <v>7099.31</v>
      </c>
      <c r="I36" s="26">
        <f t="shared" ca="1" si="4"/>
        <v>2490.1899999999996</v>
      </c>
      <c r="J36" s="138">
        <f t="shared" ca="1" si="5"/>
        <v>0.35076507435229609</v>
      </c>
      <c r="K36" s="138">
        <f ca="1">IFERROR(G36/SUM(G25:G44),"")</f>
        <v>3.1070838884139175E-2</v>
      </c>
      <c r="L36" s="138">
        <f ca="1">IFERROR(G36/(SUM(G3:G21,G25:G44)),"")</f>
        <v>1.2347058422489132E-2</v>
      </c>
      <c r="M36" s="22"/>
    </row>
    <row r="37" spans="1:15" ht="15" customHeight="1" x14ac:dyDescent="0.3">
      <c r="A37" s="22" t="s">
        <v>138</v>
      </c>
      <c r="B37" s="145" t="s">
        <v>159</v>
      </c>
      <c r="C37" s="23" t="s">
        <v>160</v>
      </c>
      <c r="D37" s="146" t="s">
        <v>92</v>
      </c>
      <c r="E37" s="23">
        <v>125.44837</v>
      </c>
      <c r="F37" s="142">
        <f ca="1">IF(IFERROR(INDEX('Monitor &amp; Recheck Triggers'!$H$3:$H$48,MATCH($B37,'Monitor &amp; Recheck Triggers'!$A$3:$A$48,0)),"")="",137.34,INDEX('Monitor &amp; Recheck Triggers'!$H$3:$H$48,MATCH($B37,'Monitor &amp; Recheck Triggers'!$A$3:$A$48,0)))</f>
        <v>137.34</v>
      </c>
      <c r="G37" s="24">
        <f t="shared" ca="1" si="3"/>
        <v>17229.079135799999</v>
      </c>
      <c r="H37" s="25">
        <v>16585.43</v>
      </c>
      <c r="I37" s="26">
        <f t="shared" ca="1" si="4"/>
        <v>643.64913579999848</v>
      </c>
      <c r="J37" s="138">
        <f t="shared" ca="1" si="5"/>
        <v>3.8808106621293526E-2</v>
      </c>
      <c r="K37" s="138">
        <f ca="1">IFERROR(G37/SUM(G25:G44),"")</f>
        <v>5.5823759523491896E-2</v>
      </c>
      <c r="L37" s="138">
        <f ca="1">IFERROR(G37/(SUM(G3:G21,G25:G44)),"")</f>
        <v>2.2183476370552287E-2</v>
      </c>
      <c r="M37" s="22" t="s">
        <v>161</v>
      </c>
    </row>
    <row r="38" spans="1:15" ht="15" hidden="1" customHeight="1" outlineLevel="1" x14ac:dyDescent="0.3">
      <c r="A38" s="22" t="s">
        <v>138</v>
      </c>
      <c r="B38" s="145" t="s">
        <v>162</v>
      </c>
      <c r="C38" s="23" t="s">
        <v>163</v>
      </c>
      <c r="D38" s="146" t="s">
        <v>92</v>
      </c>
      <c r="E38" s="23">
        <v>0</v>
      </c>
      <c r="F38" s="142">
        <f ca="1">IF(IFERROR(INDEX('Monitor &amp; Recheck Triggers'!$H$3:$H$48,MATCH($B38,'Monitor &amp; Recheck Triggers'!$A$3:$A$48,0)),"")="",86.07,INDEX('Monitor &amp; Recheck Triggers'!$H$3:$H$48,MATCH($B38,'Monitor &amp; Recheck Triggers'!$A$3:$A$48,0)))</f>
        <v>86.07</v>
      </c>
      <c r="G38" s="24">
        <f t="shared" ca="1" si="3"/>
        <v>0</v>
      </c>
      <c r="H38" s="25">
        <v>0</v>
      </c>
      <c r="I38" s="26">
        <f t="shared" ca="1" si="4"/>
        <v>0</v>
      </c>
      <c r="J38" s="138" t="str">
        <f t="shared" si="5"/>
        <v/>
      </c>
      <c r="K38" s="138">
        <f ca="1">IFERROR(G38/SUM(G25:G44),"")</f>
        <v>0</v>
      </c>
      <c r="L38" s="138">
        <f ca="1">IFERROR(G38/(SUM(G3:G21,G25:G44)),"")</f>
        <v>0</v>
      </c>
      <c r="M38" s="22" t="s">
        <v>164</v>
      </c>
    </row>
    <row r="39" spans="1:15" ht="15" hidden="1" customHeight="1" outlineLevel="1" x14ac:dyDescent="0.3">
      <c r="A39" s="22" t="s">
        <v>138</v>
      </c>
      <c r="B39" s="145" t="s">
        <v>165</v>
      </c>
      <c r="C39" s="23" t="s">
        <v>166</v>
      </c>
      <c r="D39" s="146" t="s">
        <v>92</v>
      </c>
      <c r="E39" s="23">
        <v>0</v>
      </c>
      <c r="F39" s="142">
        <f ca="1">IF(IFERROR(INDEX('Monitor &amp; Recheck Triggers'!$H$3:$H$48,MATCH($B39,'Monitor &amp; Recheck Triggers'!$A$3:$A$48,0)),"")="",327.35,INDEX('Monitor &amp; Recheck Triggers'!$H$3:$H$48,MATCH($B39,'Monitor &amp; Recheck Triggers'!$A$3:$A$48,0)))</f>
        <v>327.35000000000002</v>
      </c>
      <c r="G39" s="24">
        <f t="shared" ca="1" si="3"/>
        <v>0</v>
      </c>
      <c r="H39" s="25">
        <v>0</v>
      </c>
      <c r="I39" s="26">
        <f t="shared" ca="1" si="4"/>
        <v>0</v>
      </c>
      <c r="J39" s="138" t="str">
        <f t="shared" si="5"/>
        <v/>
      </c>
      <c r="K39" s="138">
        <f ca="1">IFERROR(G39/SUM(G25:G44),"")</f>
        <v>0</v>
      </c>
      <c r="L39" s="138">
        <f ca="1">IFERROR(G39/(SUM(G3:G21,G25:G44)),"")</f>
        <v>0</v>
      </c>
      <c r="M39" s="22" t="s">
        <v>167</v>
      </c>
    </row>
    <row r="40" spans="1:15" ht="15" hidden="1" customHeight="1" outlineLevel="1" x14ac:dyDescent="0.3">
      <c r="A40" s="22" t="s">
        <v>138</v>
      </c>
      <c r="B40" s="145" t="s">
        <v>168</v>
      </c>
      <c r="C40" s="23" t="s">
        <v>169</v>
      </c>
      <c r="D40" s="146" t="s">
        <v>92</v>
      </c>
      <c r="E40" s="23">
        <v>0</v>
      </c>
      <c r="F40" s="142">
        <f>IF(IFERROR(INDEX('Monitor &amp; Recheck Triggers'!$H$3:$H$48,MATCH($B40,'Monitor &amp; Recheck Triggers'!$A$3:$A$48,0)),"")="",120.16,INDEX('Monitor &amp; Recheck Triggers'!$H$3:$H$48,MATCH($B40,'Monitor &amp; Recheck Triggers'!$A$3:$A$48,0)))</f>
        <v>120.16</v>
      </c>
      <c r="G40" s="24">
        <f t="shared" si="3"/>
        <v>0</v>
      </c>
      <c r="H40" s="25">
        <v>0</v>
      </c>
      <c r="I40" s="26">
        <f t="shared" si="4"/>
        <v>0</v>
      </c>
      <c r="J40" s="138" t="str">
        <f t="shared" si="5"/>
        <v/>
      </c>
      <c r="K40" s="138">
        <f ca="1">IFERROR(G40/SUM(G25:G44),"")</f>
        <v>0</v>
      </c>
      <c r="L40" s="138">
        <f ca="1">IFERROR(G40/(SUM(G3:G21,G25:G44)),"")</f>
        <v>0</v>
      </c>
      <c r="M40" s="22" t="s">
        <v>170</v>
      </c>
    </row>
    <row r="41" spans="1:15" ht="15" customHeight="1" collapsed="1" x14ac:dyDescent="0.3">
      <c r="A41" s="22" t="s">
        <v>138</v>
      </c>
      <c r="B41" s="160" t="s">
        <v>171</v>
      </c>
      <c r="C41" s="23" t="s">
        <v>172</v>
      </c>
      <c r="D41" s="146" t="s">
        <v>118</v>
      </c>
      <c r="E41" s="23">
        <v>1853.89</v>
      </c>
      <c r="F41" s="142">
        <v>1</v>
      </c>
      <c r="G41" s="24">
        <f t="shared" si="3"/>
        <v>1853.89</v>
      </c>
      <c r="H41" s="25">
        <v>1853.89</v>
      </c>
      <c r="I41" s="26">
        <f t="shared" si="4"/>
        <v>0</v>
      </c>
      <c r="J41" s="138">
        <f t="shared" si="5"/>
        <v>0</v>
      </c>
      <c r="K41" s="138">
        <f ca="1">IFERROR(G41/SUM(G25:G44),"")</f>
        <v>6.0067696437683697E-3</v>
      </c>
      <c r="L41" s="138">
        <f ca="1">IFERROR(G41/(SUM(G3:G21,G25:G44)),"")</f>
        <v>2.3869949568661951E-3</v>
      </c>
      <c r="M41" s="22"/>
    </row>
    <row r="42" spans="1:15" ht="15" hidden="1" customHeight="1" outlineLevel="1" x14ac:dyDescent="0.3">
      <c r="A42" s="22" t="s">
        <v>138</v>
      </c>
      <c r="B42" s="145" t="s">
        <v>173</v>
      </c>
      <c r="C42" s="23" t="s">
        <v>174</v>
      </c>
      <c r="D42" s="146" t="s">
        <v>92</v>
      </c>
      <c r="E42" s="23">
        <v>0</v>
      </c>
      <c r="F42" s="142">
        <f ca="1">IF(IFERROR(INDEX('Monitor &amp; Recheck Triggers'!$H$3:$H$48,MATCH($B42,'Monitor &amp; Recheck Triggers'!$A$3:$A$48,0)),"")="",37.61,INDEX('Monitor &amp; Recheck Triggers'!$H$3:$H$48,MATCH($B42,'Monitor &amp; Recheck Triggers'!$A$3:$A$48,0)))</f>
        <v>37.61</v>
      </c>
      <c r="G42" s="24">
        <f t="shared" ca="1" si="3"/>
        <v>0</v>
      </c>
      <c r="H42" s="25">
        <v>0</v>
      </c>
      <c r="I42" s="26">
        <f t="shared" ca="1" si="4"/>
        <v>0</v>
      </c>
      <c r="J42" s="138" t="str">
        <f t="shared" si="5"/>
        <v/>
      </c>
      <c r="K42" s="138">
        <f ca="1">IFERROR(G42/SUM(G25:G44),"")</f>
        <v>0</v>
      </c>
      <c r="L42" s="138">
        <f ca="1">IFERROR(G42/(SUM(G3:G21,G25:G44)),"")</f>
        <v>0</v>
      </c>
      <c r="M42" s="22" t="s">
        <v>175</v>
      </c>
    </row>
    <row r="43" spans="1:15" ht="15" customHeight="1" collapsed="1" x14ac:dyDescent="0.3">
      <c r="A43" s="22" t="s">
        <v>138</v>
      </c>
      <c r="B43" s="145" t="s">
        <v>107</v>
      </c>
      <c r="C43" s="23" t="s">
        <v>108</v>
      </c>
      <c r="D43" s="146" t="s">
        <v>92</v>
      </c>
      <c r="E43" s="23">
        <v>20</v>
      </c>
      <c r="F43" s="142">
        <f ca="1">IF(IFERROR(INDEX('Monitor &amp; Recheck Triggers'!$H$3:$H$48,MATCH($B43,'Monitor &amp; Recheck Triggers'!$A$3:$A$48,0)),"")="",174.33,INDEX('Monitor &amp; Recheck Triggers'!$H$3:$H$48,MATCH($B43,'Monitor &amp; Recheck Triggers'!$A$3:$A$48,0)))</f>
        <v>174.33</v>
      </c>
      <c r="G43" s="24">
        <f t="shared" ca="1" si="3"/>
        <v>3486.6000000000004</v>
      </c>
      <c r="H43" s="25">
        <v>3178</v>
      </c>
      <c r="I43" s="26">
        <f t="shared" ca="1" si="4"/>
        <v>308.60000000000036</v>
      </c>
      <c r="J43" s="138">
        <f t="shared" ca="1" si="5"/>
        <v>9.710509754562624E-2</v>
      </c>
      <c r="K43" s="138">
        <f ca="1">IFERROR(G43/SUM(G25:G44),"")</f>
        <v>1.1296896277536854E-2</v>
      </c>
      <c r="L43" s="138">
        <f ca="1">IFERROR(G43/(SUM(G3:G21,G25:G44)),"")</f>
        <v>4.4892073513583203E-3</v>
      </c>
      <c r="M43" s="22"/>
    </row>
    <row r="44" spans="1:15" ht="15" customHeight="1" thickBot="1" x14ac:dyDescent="0.35">
      <c r="A44" s="22" t="s">
        <v>138</v>
      </c>
      <c r="B44" s="160" t="s">
        <v>176</v>
      </c>
      <c r="C44" s="23" t="s">
        <v>177</v>
      </c>
      <c r="D44" s="146" t="s">
        <v>143</v>
      </c>
      <c r="E44" s="23">
        <v>180</v>
      </c>
      <c r="F44" s="142">
        <f>IF(IFERROR(INDEX('Monitor &amp; Recheck Triggers'!$H$3:$H$48,MATCH($B44,'Monitor &amp; Recheck Triggers'!$A$3:$A$48,0)),"")="",57.22,INDEX('Monitor &amp; Recheck Triggers'!$H$3:$H$48,MATCH($B44,'Monitor &amp; Recheck Triggers'!$A$3:$A$48,0)))</f>
        <v>57.22</v>
      </c>
      <c r="G44" s="24">
        <f t="shared" si="3"/>
        <v>10299.6</v>
      </c>
      <c r="H44" s="25">
        <v>10500.57</v>
      </c>
      <c r="I44" s="26">
        <f t="shared" si="4"/>
        <v>-200.96999999999935</v>
      </c>
      <c r="J44" s="138">
        <f t="shared" si="5"/>
        <v>-1.9138961027829859E-2</v>
      </c>
      <c r="K44" s="138">
        <f ca="1">IFERROR(G44/SUM(G25:G44),"")</f>
        <v>3.3371626484288007E-2</v>
      </c>
      <c r="L44" s="138">
        <f ca="1">IFERROR(G44/(SUM(G3:G21,G25:G44)),"")</f>
        <v>1.3261354911962987E-2</v>
      </c>
      <c r="M44" s="22" t="s">
        <v>123</v>
      </c>
    </row>
    <row r="45" spans="1:15" ht="15" customHeight="1" x14ac:dyDescent="0.3">
      <c r="A45" s="148" t="s">
        <v>135</v>
      </c>
      <c r="B45" s="149">
        <f>SUBTOTAL(103,B25:B44)</f>
        <v>15</v>
      </c>
      <c r="C45" s="150" t="s">
        <v>178</v>
      </c>
      <c r="D45" s="151"/>
      <c r="E45" s="152"/>
      <c r="F45" s="153"/>
      <c r="G45" s="154">
        <f ca="1">SUM(G25:G44)</f>
        <v>308633.44358864997</v>
      </c>
      <c r="H45" s="157">
        <f>SUM(H25:H44)</f>
        <v>276340.40999999997</v>
      </c>
      <c r="I45" s="158">
        <f ca="1">SUM(I25:I44)</f>
        <v>32293.033588649996</v>
      </c>
      <c r="J45" s="159">
        <f ca="1">CurrentPositionsTable[[#This Row],[Unrealized G/L ($)]]/CurrentPositionsTable[[#This Row],[Cost Basis
($)]]</f>
        <v>0.1168596137953548</v>
      </c>
      <c r="K45" s="159">
        <f ca="1">SUM(K25:K44)</f>
        <v>1.0000000000000002</v>
      </c>
      <c r="L45" s="159">
        <f ca="1">SUM(L25:L44)</f>
        <v>0.39738413463924765</v>
      </c>
      <c r="M45" s="155"/>
      <c r="N45" s="156"/>
      <c r="O45" s="156"/>
    </row>
    <row r="46" spans="1:15" ht="13.5" customHeight="1" x14ac:dyDescent="0.3">
      <c r="I46" s="147" t="s">
        <v>137</v>
      </c>
      <c r="J46" s="139">
        <f ca="1">I45/(H45-H41-H25)</f>
        <v>0.1358951100604906</v>
      </c>
    </row>
    <row r="47" spans="1:15" ht="15" customHeight="1" x14ac:dyDescent="0.3"/>
    <row r="48" spans="1:15" ht="15" customHeight="1" x14ac:dyDescent="0.3">
      <c r="A48" s="22"/>
      <c r="B48" s="145"/>
      <c r="C48" s="23" t="s">
        <v>179</v>
      </c>
      <c r="D48" s="146"/>
      <c r="E48" s="23"/>
      <c r="F48" s="143"/>
      <c r="G48" s="24">
        <f ca="1">SUM(G3:G21)+SUM(G25:G44)</f>
        <v>776662.72174864996</v>
      </c>
      <c r="H48" s="25">
        <f>SUM(H3:H21)+SUM(H25:H44)</f>
        <v>716782.80999999994</v>
      </c>
      <c r="I48" s="26">
        <f ca="1">SUM(I3:I21)+SUM(I25:I44)</f>
        <v>59879.911748649989</v>
      </c>
    </row>
    <row r="49" spans="1:13" ht="15" customHeight="1" x14ac:dyDescent="0.3">
      <c r="A49" s="22"/>
      <c r="B49" s="145"/>
      <c r="C49" s="23" t="s">
        <v>180</v>
      </c>
      <c r="D49" s="146"/>
      <c r="E49" s="23"/>
      <c r="F49" s="143"/>
      <c r="G49" s="24">
        <f>SUM(G14:G21)+G25+G26+G27+G29+G33+G34+G41+G44</f>
        <v>513633.59384240001</v>
      </c>
      <c r="H49" s="25">
        <f>SUM(H14:H21)+H25+H26+H27+H29+H33+H34+H41+H44</f>
        <v>490791.68999999989</v>
      </c>
      <c r="I49" s="26">
        <f>G49-H49</f>
        <v>22841.903842400119</v>
      </c>
      <c r="L49" s="138">
        <f ca="1">IFERROR(G49/G48,"")</f>
        <v>0.66133416663279276</v>
      </c>
      <c r="M49" s="22" t="s">
        <v>181</v>
      </c>
    </row>
    <row r="50" spans="1:13" ht="90" customHeight="1" x14ac:dyDescent="0.3">
      <c r="A50" s="2" t="s">
        <v>182</v>
      </c>
      <c r="B50" s="2"/>
      <c r="C50" s="2"/>
      <c r="D50" s="2"/>
      <c r="E50" s="2"/>
      <c r="F50" s="2"/>
      <c r="G50" s="2"/>
      <c r="H50" s="2"/>
      <c r="I50" s="2"/>
      <c r="J50" s="2"/>
      <c r="K50" s="2"/>
      <c r="L50" s="2"/>
      <c r="M50" s="2"/>
    </row>
  </sheetData>
  <mergeCells count="3">
    <mergeCell ref="A1:M1"/>
    <mergeCell ref="O1:P1"/>
    <mergeCell ref="A50:M50"/>
  </mergeCells>
  <conditionalFormatting sqref="I1:K1048576">
    <cfRule type="cellIs" dxfId="77" priority="1" operator="lessThan">
      <formula>0</formula>
    </cfRule>
  </conditionalFormatting>
  <pageMargins left="0.75" right="0.75" top="1" bottom="1" header="0.511811023622047" footer="0.51180555555555596"/>
  <pageSetup orientation="portrait" horizontalDpi="300" verticalDpi="300"/>
  <headerFooter>
    <oddFooter>&amp;L&amp;"Arial Narrow,Regular"&amp;8 &amp;F&amp;C&amp;"Arial Narrow,Regular"&amp;8 &amp;A - &amp;D &amp;T&amp;R&amp;"Arial,Regular" &amp;P / &amp;N</oddFooter>
  </headerFooter>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48"/>
  <sheetViews>
    <sheetView showGridLines="0" zoomScale="80" zoomScaleNormal="80" workbookViewId="0">
      <pane ySplit="2" topLeftCell="A8" activePane="bottomLeft" state="frozen"/>
      <selection pane="bottomLeft" activeCell="H30" sqref="H30"/>
    </sheetView>
  </sheetViews>
  <sheetFormatPr defaultColWidth="8.6640625" defaultRowHeight="14.4" outlineLevelRow="1" x14ac:dyDescent="0.3"/>
  <cols>
    <col min="1" max="1" width="8" style="28" customWidth="1"/>
    <col min="2" max="2" width="12.44140625" customWidth="1"/>
    <col min="3" max="3" width="11" customWidth="1"/>
    <col min="4" max="5" width="10" customWidth="1"/>
    <col min="6" max="6" width="14" customWidth="1"/>
    <col min="7" max="7" width="10" style="164" customWidth="1"/>
    <col min="8" max="9" width="10" customWidth="1"/>
    <col min="10" max="10" width="12" customWidth="1"/>
    <col min="11" max="11" width="10" customWidth="1"/>
    <col min="12" max="12" width="22" customWidth="1"/>
    <col min="13" max="13" width="8.77734375" customWidth="1"/>
    <col min="14" max="14" width="22" customWidth="1"/>
    <col min="15" max="15" width="10" customWidth="1"/>
    <col min="16" max="16" width="24" customWidth="1"/>
    <col min="17" max="17" width="28" customWidth="1"/>
  </cols>
  <sheetData>
    <row r="1" spans="1:17" ht="25.5" customHeight="1" x14ac:dyDescent="0.3">
      <c r="A1" s="13" t="s">
        <v>183</v>
      </c>
      <c r="B1" s="13"/>
      <c r="C1" s="13"/>
      <c r="D1" s="13"/>
      <c r="E1" s="13"/>
      <c r="F1" s="13"/>
      <c r="G1" s="13"/>
      <c r="H1" s="13"/>
      <c r="I1" s="13"/>
      <c r="J1" s="13"/>
      <c r="K1" s="13"/>
      <c r="L1" s="13"/>
      <c r="M1" s="13"/>
      <c r="N1" s="13"/>
      <c r="O1" s="13"/>
      <c r="P1" s="13"/>
      <c r="Q1" s="13"/>
    </row>
    <row r="2" spans="1:17" s="31" customFormat="1" ht="42" customHeight="1" x14ac:dyDescent="0.3">
      <c r="A2" s="30" t="s">
        <v>76</v>
      </c>
      <c r="B2" s="30" t="s">
        <v>184</v>
      </c>
      <c r="C2" s="30" t="s">
        <v>185</v>
      </c>
      <c r="D2" s="30" t="s">
        <v>186</v>
      </c>
      <c r="E2" s="30" t="s">
        <v>187</v>
      </c>
      <c r="F2" s="30" t="s">
        <v>188</v>
      </c>
      <c r="G2" s="161" t="s">
        <v>189</v>
      </c>
      <c r="H2" s="30" t="s">
        <v>190</v>
      </c>
      <c r="I2" s="30" t="s">
        <v>191</v>
      </c>
      <c r="J2" s="30" t="s">
        <v>192</v>
      </c>
      <c r="K2" s="30" t="s">
        <v>193</v>
      </c>
      <c r="L2" s="30" t="s">
        <v>194</v>
      </c>
      <c r="M2" s="30" t="s">
        <v>195</v>
      </c>
      <c r="N2" s="30" t="s">
        <v>196</v>
      </c>
      <c r="O2" s="30" t="s">
        <v>197</v>
      </c>
      <c r="P2" s="30" t="s">
        <v>198</v>
      </c>
      <c r="Q2" s="30" t="s">
        <v>199</v>
      </c>
    </row>
    <row r="3" spans="1:17" ht="15" customHeight="1" x14ac:dyDescent="0.3">
      <c r="A3" s="32" t="s">
        <v>90</v>
      </c>
      <c r="B3" s="33" t="s">
        <v>200</v>
      </c>
      <c r="C3" s="34">
        <v>46240</v>
      </c>
      <c r="D3" s="33">
        <v>85.8</v>
      </c>
      <c r="E3" s="33">
        <v>4.57</v>
      </c>
      <c r="F3" s="35" t="s">
        <v>201</v>
      </c>
      <c r="G3" s="162">
        <v>259.32</v>
      </c>
      <c r="H3" s="36" t="str">
        <f t="array" aca="1" ref="H3" ca="1">IFERROR(INDEX(_xlfn.STOCKHISTORY(A3,TODAY()-5,TODAY(),0,0,1),ROWS(_xlfn.STOCKHISTORY(A3,TODAY()-5,TODAY(),0,0,1)),1),"")</f>
        <v/>
      </c>
      <c r="I3" s="37" t="str">
        <f t="shared" ref="I3:I48" ca="1" si="0">IF(OR(G3="",H3=""),"",H3/G3-1)</f>
        <v/>
      </c>
      <c r="J3" s="38">
        <v>46275</v>
      </c>
      <c r="K3" s="33" t="s">
        <v>202</v>
      </c>
      <c r="L3" s="39"/>
      <c r="M3" s="33" t="s">
        <v>202</v>
      </c>
      <c r="N3" s="39"/>
      <c r="O3" s="40">
        <f t="shared" ref="O3:O48" ca="1" si="1">IF(C3="","",TODAY()-C3)</f>
        <v>38</v>
      </c>
      <c r="P3" s="41" t="str">
        <f t="shared" ref="P3:P48" ca="1" si="2">IF(A3="","",IF(O3&gt;180,"DUE — STALE (&gt;180 days)",IF(J3&lt;&gt;"",IF(ABS(J3-TODAY())&lt;=7,"DUE — EARNINGS WINDOW",IF(I3&lt;&gt;"",IF(ABS(I3)&gt;=0.2,"DUE — PRICE MOVE ±20%",IF(K3="Y","DUE — INSIDER ACTIVITY",IF(I3&lt;&gt;"",IF(ABS(I3)&gt;=0.15,"WATCH — PRICE MOVE ±15%",IF(M3="Y","WATCH — ANALYST SHIFT","Monitor Only")),IF(M3="Y","WATCH — ANALYST SHIFT","Monitor Only")))),IF(K3="Y","DUE — INSIDER ACTIVITY",IF(I3&lt;&gt;"",IF(ABS(I3)&gt;=0.15,"WATCH — PRICE MOVE ±15%",IF(M3="Y","WATCH — ANALYST SHIFT","Monitor Only")),IF(M3="Y","WATCH — ANALYST SHIFT","Monitor Only"))))),IF(I3&lt;&gt;"",IF(ABS(I3)&gt;=0.2,"DUE — PRICE MOVE ±20%",IF(K3="Y","DUE — INSIDER ACTIVITY",IF(I3&lt;&gt;"",IF(ABS(I3)&gt;=0.15,"WATCH — PRICE MOVE ±15%",IF(M3="Y","WATCH — ANALYST SHIFT","Monitor Only")),IF(M3="Y","WATCH — ANALYST SHIFT","Monitor Only")))),IF(K3="Y","DUE — INSIDER ACTIVITY",IF(I3&lt;&gt;"",IF(ABS(I3)&gt;=0.15,"WATCH — PRICE MOVE ±15%",IF(M3="Y","WATCH — ANALYST SHIFT","Monitor Only")),IF(M3="Y","WATCH — ANALYST SHIFT","Monitor Only")))))))</f>
        <v>DUE — EARNINGS WINDOW</v>
      </c>
      <c r="Q3" s="39"/>
    </row>
    <row r="4" spans="1:17" ht="15" customHeight="1" x14ac:dyDescent="0.3">
      <c r="A4" s="32" t="s">
        <v>95</v>
      </c>
      <c r="B4" s="33" t="s">
        <v>200</v>
      </c>
      <c r="C4" s="34">
        <v>46240</v>
      </c>
      <c r="D4" s="33">
        <v>85</v>
      </c>
      <c r="E4" s="33">
        <v>4.57</v>
      </c>
      <c r="F4" s="35" t="s">
        <v>201</v>
      </c>
      <c r="G4" s="162">
        <v>190.51</v>
      </c>
      <c r="H4" s="36" t="str">
        <f t="array" aca="1" ref="H4" ca="1">IFERROR(INDEX(_xlfn.STOCKHISTORY(A4,TODAY()-5,TODAY(),0,0,1),ROWS(_xlfn.STOCKHISTORY(A4,TODAY()-5,TODAY(),0,0,1)),1),"")</f>
        <v/>
      </c>
      <c r="I4" s="37" t="str">
        <f t="shared" ca="1" si="0"/>
        <v/>
      </c>
      <c r="J4" s="38">
        <v>46329</v>
      </c>
      <c r="K4" s="33" t="s">
        <v>203</v>
      </c>
      <c r="L4" s="39" t="s">
        <v>204</v>
      </c>
      <c r="M4" s="33" t="s">
        <v>202</v>
      </c>
      <c r="N4" s="39"/>
      <c r="O4" s="40">
        <f t="shared" ca="1" si="1"/>
        <v>38</v>
      </c>
      <c r="P4" s="41" t="str">
        <f t="shared" ca="1" si="2"/>
        <v>DUE — INSIDER ACTIVITY</v>
      </c>
      <c r="Q4" s="39"/>
    </row>
    <row r="5" spans="1:17" ht="15" customHeight="1" x14ac:dyDescent="0.3">
      <c r="A5" s="32" t="s">
        <v>97</v>
      </c>
      <c r="B5" s="33" t="s">
        <v>200</v>
      </c>
      <c r="C5" s="34">
        <v>46240</v>
      </c>
      <c r="D5" s="33">
        <v>73.2</v>
      </c>
      <c r="E5" s="33">
        <v>3.57</v>
      </c>
      <c r="F5" s="35" t="s">
        <v>205</v>
      </c>
      <c r="G5" s="162">
        <v>1678.22</v>
      </c>
      <c r="H5" s="36" t="str">
        <f t="array" aca="1" ref="H5" ca="1">IFERROR(INDEX(_xlfn.STOCKHISTORY(A5,TODAY()-5,TODAY(),0,0,1),ROWS(_xlfn.STOCKHISTORY(A5,TODAY()-5,TODAY(),0,0,1)),1),"")</f>
        <v/>
      </c>
      <c r="I5" s="37" t="str">
        <f t="shared" ca="1" si="0"/>
        <v/>
      </c>
      <c r="J5" s="38">
        <v>46309</v>
      </c>
      <c r="K5" s="33" t="s">
        <v>202</v>
      </c>
      <c r="L5" s="39"/>
      <c r="M5" s="33" t="s">
        <v>202</v>
      </c>
      <c r="N5" s="39"/>
      <c r="O5" s="40">
        <f t="shared" ca="1" si="1"/>
        <v>38</v>
      </c>
      <c r="P5" s="41" t="str">
        <f t="shared" ca="1" si="2"/>
        <v>Monitor Only</v>
      </c>
      <c r="Q5" s="39"/>
    </row>
    <row r="6" spans="1:17" ht="15" customHeight="1" x14ac:dyDescent="0.3">
      <c r="A6" s="32" t="s">
        <v>99</v>
      </c>
      <c r="B6" s="33" t="s">
        <v>200</v>
      </c>
      <c r="C6" s="34">
        <v>46240</v>
      </c>
      <c r="D6" s="33">
        <v>70.400000000000006</v>
      </c>
      <c r="E6" s="33">
        <v>4</v>
      </c>
      <c r="F6" s="35" t="s">
        <v>205</v>
      </c>
      <c r="G6" s="162">
        <v>211.22</v>
      </c>
      <c r="H6" s="36" t="str">
        <f t="array" aca="1" ref="H6" ca="1">IFERROR(INDEX(_xlfn.STOCKHISTORY(A6,TODAY()-5,TODAY(),0,0,1),ROWS(_xlfn.STOCKHISTORY(A6,TODAY()-5,TODAY(),0,0,1)),1),"")</f>
        <v/>
      </c>
      <c r="I6" s="37" t="str">
        <f t="shared" ca="1" si="0"/>
        <v/>
      </c>
      <c r="J6" s="38">
        <v>46357</v>
      </c>
      <c r="K6" s="33" t="s">
        <v>203</v>
      </c>
      <c r="L6" s="39" t="s">
        <v>206</v>
      </c>
      <c r="M6" s="33" t="s">
        <v>202</v>
      </c>
      <c r="N6" s="39"/>
      <c r="O6" s="40">
        <f t="shared" ca="1" si="1"/>
        <v>38</v>
      </c>
      <c r="P6" s="41" t="str">
        <f t="shared" ca="1" si="2"/>
        <v>DUE — INSIDER ACTIVITY</v>
      </c>
      <c r="Q6" s="39"/>
    </row>
    <row r="7" spans="1:17" ht="15" customHeight="1" x14ac:dyDescent="0.3">
      <c r="A7" s="32" t="s">
        <v>101</v>
      </c>
      <c r="B7" s="33" t="s">
        <v>200</v>
      </c>
      <c r="C7" s="34">
        <v>46240</v>
      </c>
      <c r="D7" s="33">
        <v>68.599999999999994</v>
      </c>
      <c r="E7" s="33">
        <v>3.43</v>
      </c>
      <c r="F7" s="35" t="s">
        <v>205</v>
      </c>
      <c r="G7" s="162">
        <v>192.8</v>
      </c>
      <c r="H7" s="36" t="str">
        <f t="array" aca="1" ref="H7" ca="1">IFERROR(INDEX(_xlfn.STOCKHISTORY(A7,TODAY()-5,TODAY(),0,0,1),ROWS(_xlfn.STOCKHISTORY(A7,TODAY()-5,TODAY(),0,0,1)),1),"")</f>
        <v/>
      </c>
      <c r="I7" s="37" t="str">
        <f t="shared" ca="1" si="0"/>
        <v/>
      </c>
      <c r="J7" s="38">
        <v>46323</v>
      </c>
      <c r="K7" s="33" t="s">
        <v>203</v>
      </c>
      <c r="L7" s="39" t="s">
        <v>207</v>
      </c>
      <c r="M7" s="33" t="s">
        <v>202</v>
      </c>
      <c r="N7" s="39"/>
      <c r="O7" s="40">
        <f t="shared" ca="1" si="1"/>
        <v>38</v>
      </c>
      <c r="P7" s="41" t="str">
        <f t="shared" ca="1" si="2"/>
        <v>DUE — INSIDER ACTIVITY</v>
      </c>
      <c r="Q7" s="39"/>
    </row>
    <row r="8" spans="1:17" ht="15" customHeight="1" x14ac:dyDescent="0.3">
      <c r="A8" s="32" t="s">
        <v>103</v>
      </c>
      <c r="B8" s="33" t="s">
        <v>200</v>
      </c>
      <c r="C8" s="34">
        <v>46240</v>
      </c>
      <c r="D8" s="33">
        <v>71.8</v>
      </c>
      <c r="E8" s="33">
        <v>3.64</v>
      </c>
      <c r="F8" s="35" t="s">
        <v>205</v>
      </c>
      <c r="G8" s="162">
        <v>893.19</v>
      </c>
      <c r="H8" s="36" t="str">
        <f t="array" aca="1" ref="H8" ca="1">IFERROR(INDEX(_xlfn.STOCKHISTORY(A8,TODAY()-5,TODAY(),0,0,1),ROWS(_xlfn.STOCKHISTORY(A8,TODAY()-5,TODAY(),0,0,1)),1),"")</f>
        <v/>
      </c>
      <c r="I8" s="37" t="str">
        <f t="shared" ca="1" si="0"/>
        <v/>
      </c>
      <c r="J8" s="38">
        <v>46295</v>
      </c>
      <c r="K8" s="33" t="s">
        <v>203</v>
      </c>
      <c r="L8" s="39" t="s">
        <v>208</v>
      </c>
      <c r="M8" s="33" t="s">
        <v>202</v>
      </c>
      <c r="N8" s="39"/>
      <c r="O8" s="40">
        <f t="shared" ca="1" si="1"/>
        <v>38</v>
      </c>
      <c r="P8" s="41" t="str">
        <f t="shared" ca="1" si="2"/>
        <v>DUE — INSIDER ACTIVITY</v>
      </c>
      <c r="Q8" s="39"/>
    </row>
    <row r="9" spans="1:17" ht="15" customHeight="1" x14ac:dyDescent="0.3">
      <c r="A9" s="32" t="s">
        <v>105</v>
      </c>
      <c r="B9" s="33" t="s">
        <v>200</v>
      </c>
      <c r="C9" s="34">
        <v>46240</v>
      </c>
      <c r="D9" s="33">
        <v>93.2</v>
      </c>
      <c r="E9" s="33">
        <v>4.57</v>
      </c>
      <c r="F9" s="35" t="s">
        <v>201</v>
      </c>
      <c r="G9" s="162">
        <v>211.87</v>
      </c>
      <c r="H9" s="36" t="str">
        <f t="array" aca="1" ref="H9" ca="1">IFERROR(INDEX(_xlfn.STOCKHISTORY(A9,TODAY()-5,TODAY(),0,0,1),ROWS(_xlfn.STOCKHISTORY(A9,TODAY()-5,TODAY(),0,0,1)),1),"")</f>
        <v/>
      </c>
      <c r="I9" s="37" t="str">
        <f t="shared" ca="1" si="0"/>
        <v/>
      </c>
      <c r="J9" s="38">
        <v>46343</v>
      </c>
      <c r="K9" s="33" t="s">
        <v>203</v>
      </c>
      <c r="L9" s="39" t="s">
        <v>209</v>
      </c>
      <c r="M9" s="33" t="s">
        <v>202</v>
      </c>
      <c r="N9" s="39"/>
      <c r="O9" s="40">
        <f t="shared" ca="1" si="1"/>
        <v>38</v>
      </c>
      <c r="P9" s="41" t="str">
        <f t="shared" ca="1" si="2"/>
        <v>DUE — INSIDER ACTIVITY</v>
      </c>
      <c r="Q9" s="39"/>
    </row>
    <row r="10" spans="1:17" ht="15" customHeight="1" x14ac:dyDescent="0.3">
      <c r="A10" s="32" t="s">
        <v>107</v>
      </c>
      <c r="B10" s="33" t="s">
        <v>200</v>
      </c>
      <c r="C10" s="34">
        <v>46240</v>
      </c>
      <c r="D10" s="33">
        <v>75.2</v>
      </c>
      <c r="E10" s="33">
        <v>4</v>
      </c>
      <c r="F10" s="35" t="s">
        <v>205</v>
      </c>
      <c r="G10" s="162">
        <v>162.66</v>
      </c>
      <c r="H10" s="36" t="str">
        <f t="array" aca="1" ref="H10" ca="1">IFERROR(INDEX(_xlfn.STOCKHISTORY(A10,TODAY()-5,TODAY(),0,0,1),ROWS(_xlfn.STOCKHISTORY(A10,TODAY()-5,TODAY(),0,0,1)),1),"")</f>
        <v/>
      </c>
      <c r="I10" s="37" t="str">
        <f t="shared" ca="1" si="0"/>
        <v/>
      </c>
      <c r="J10" s="38">
        <v>46328</v>
      </c>
      <c r="K10" s="33" t="s">
        <v>203</v>
      </c>
      <c r="L10" s="39" t="s">
        <v>210</v>
      </c>
      <c r="M10" s="33" t="s">
        <v>202</v>
      </c>
      <c r="N10" s="39"/>
      <c r="O10" s="40">
        <f t="shared" ca="1" si="1"/>
        <v>38</v>
      </c>
      <c r="P10" s="41" t="str">
        <f t="shared" ca="1" si="2"/>
        <v>DUE — INSIDER ACTIVITY</v>
      </c>
      <c r="Q10" s="39"/>
    </row>
    <row r="11" spans="1:17" ht="15" customHeight="1" x14ac:dyDescent="0.3">
      <c r="A11" s="32" t="s">
        <v>109</v>
      </c>
      <c r="B11" s="33" t="s">
        <v>200</v>
      </c>
      <c r="C11" s="34">
        <v>46240</v>
      </c>
      <c r="D11" s="33">
        <v>81</v>
      </c>
      <c r="E11" s="33">
        <v>4</v>
      </c>
      <c r="F11" s="35" t="s">
        <v>201</v>
      </c>
      <c r="G11" s="162">
        <v>414</v>
      </c>
      <c r="H11" s="36" t="str">
        <f t="array" aca="1" ref="H11" ca="1">IFERROR(INDEX(_xlfn.STOCKHISTORY(A11,TODAY()-5,TODAY(),0,0,1),ROWS(_xlfn.STOCKHISTORY(A11,TODAY()-5,TODAY(),0,0,1)),1),"")</f>
        <v/>
      </c>
      <c r="I11" s="37" t="str">
        <f t="shared" ca="1" si="0"/>
        <v/>
      </c>
      <c r="J11" s="38">
        <v>46310</v>
      </c>
      <c r="K11" s="33" t="s">
        <v>203</v>
      </c>
      <c r="L11" s="39" t="s">
        <v>211</v>
      </c>
      <c r="M11" s="33" t="s">
        <v>202</v>
      </c>
      <c r="N11" s="39"/>
      <c r="O11" s="40">
        <f t="shared" ca="1" si="1"/>
        <v>38</v>
      </c>
      <c r="P11" s="41" t="str">
        <f t="shared" ca="1" si="2"/>
        <v>DUE — INSIDER ACTIVITY</v>
      </c>
      <c r="Q11" s="39"/>
    </row>
    <row r="12" spans="1:17" ht="15" customHeight="1" x14ac:dyDescent="0.3">
      <c r="A12" s="32" t="s">
        <v>111</v>
      </c>
      <c r="B12" s="33" t="s">
        <v>200</v>
      </c>
      <c r="C12" s="34">
        <v>46240</v>
      </c>
      <c r="D12" s="33">
        <v>82.8</v>
      </c>
      <c r="E12" s="33">
        <v>4.3600000000000003</v>
      </c>
      <c r="F12" s="35" t="s">
        <v>201</v>
      </c>
      <c r="G12" s="162">
        <v>277.94</v>
      </c>
      <c r="H12" s="36" t="str">
        <f t="array" aca="1" ref="H12" ca="1">IFERROR(INDEX(_xlfn.STOCKHISTORY(A12,TODAY()-5,TODAY(),0,0,1),ROWS(_xlfn.STOCKHISTORY(A12,TODAY()-5,TODAY(),0,0,1)),1),"")</f>
        <v/>
      </c>
      <c r="I12" s="37" t="str">
        <f t="shared" ca="1" si="0"/>
        <v/>
      </c>
      <c r="J12" s="38">
        <v>46316</v>
      </c>
      <c r="K12" s="33" t="s">
        <v>203</v>
      </c>
      <c r="L12" s="39" t="s">
        <v>212</v>
      </c>
      <c r="M12" s="33" t="s">
        <v>202</v>
      </c>
      <c r="N12" s="39"/>
      <c r="O12" s="40">
        <f t="shared" ca="1" si="1"/>
        <v>38</v>
      </c>
      <c r="P12" s="41" t="str">
        <f t="shared" ca="1" si="2"/>
        <v>DUE — INSIDER ACTIVITY</v>
      </c>
      <c r="Q12" s="39"/>
    </row>
    <row r="13" spans="1:17" ht="15" customHeight="1" x14ac:dyDescent="0.3">
      <c r="A13" s="32" t="s">
        <v>154</v>
      </c>
      <c r="B13" s="33" t="s">
        <v>200</v>
      </c>
      <c r="C13" s="34">
        <v>46240</v>
      </c>
      <c r="D13" s="33">
        <v>80.8</v>
      </c>
      <c r="E13" s="33">
        <v>4.07</v>
      </c>
      <c r="F13" s="35" t="s">
        <v>201</v>
      </c>
      <c r="G13" s="162">
        <v>418.16</v>
      </c>
      <c r="H13" s="36" t="str">
        <f t="array" aca="1" ref="H13" ca="1">IFERROR(INDEX(_xlfn.STOCKHISTORY(A13,TODAY()-5,TODAY(),0,0,1),ROWS(_xlfn.STOCKHISTORY(A13,TODAY()-5,TODAY(),0,0,1)),1),"")</f>
        <v/>
      </c>
      <c r="I13" s="37" t="str">
        <f t="shared" ca="1" si="0"/>
        <v/>
      </c>
      <c r="J13" s="38">
        <v>46267</v>
      </c>
      <c r="K13" s="33" t="s">
        <v>202</v>
      </c>
      <c r="L13" s="39"/>
      <c r="M13" s="33" t="s">
        <v>202</v>
      </c>
      <c r="N13" s="39"/>
      <c r="O13" s="40">
        <f t="shared" ca="1" si="1"/>
        <v>38</v>
      </c>
      <c r="P13" s="41" t="str">
        <f t="shared" ca="1" si="2"/>
        <v>Monitor Only</v>
      </c>
      <c r="Q13" s="39"/>
    </row>
    <row r="14" spans="1:17" ht="15" customHeight="1" x14ac:dyDescent="0.3">
      <c r="A14" s="32" t="s">
        <v>159</v>
      </c>
      <c r="B14" s="33" t="s">
        <v>200</v>
      </c>
      <c r="C14" s="34">
        <v>46240</v>
      </c>
      <c r="D14" s="33">
        <v>82</v>
      </c>
      <c r="E14" s="33">
        <v>4.3600000000000003</v>
      </c>
      <c r="F14" s="35" t="s">
        <v>201</v>
      </c>
      <c r="G14" s="162">
        <v>139.06</v>
      </c>
      <c r="H14" s="36" t="str">
        <f t="array" aca="1" ref="H14" ca="1">IFERROR(INDEX(_xlfn.STOCKHISTORY(A14,TODAY()-5,TODAY(),0,0,1),ROWS(_xlfn.STOCKHISTORY(A14,TODAY()-5,TODAY(),0,0,1)),1),"")</f>
        <v/>
      </c>
      <c r="I14" s="37" t="str">
        <f t="shared" ca="1" si="0"/>
        <v/>
      </c>
      <c r="J14" s="38">
        <v>46310</v>
      </c>
      <c r="K14" s="33" t="s">
        <v>202</v>
      </c>
      <c r="L14" s="39"/>
      <c r="M14" s="33" t="s">
        <v>202</v>
      </c>
      <c r="N14" s="39"/>
      <c r="O14" s="40">
        <f t="shared" ca="1" si="1"/>
        <v>38</v>
      </c>
      <c r="P14" s="41" t="str">
        <f t="shared" ca="1" si="2"/>
        <v>Monitor Only</v>
      </c>
      <c r="Q14" s="39"/>
    </row>
    <row r="15" spans="1:17" ht="15" customHeight="1" x14ac:dyDescent="0.3">
      <c r="A15" s="32" t="s">
        <v>156</v>
      </c>
      <c r="B15" s="33" t="s">
        <v>200</v>
      </c>
      <c r="C15" s="34">
        <v>46241</v>
      </c>
      <c r="D15" s="33">
        <v>75.599999999999994</v>
      </c>
      <c r="E15" s="33">
        <v>3.79</v>
      </c>
      <c r="F15" s="35" t="s">
        <v>205</v>
      </c>
      <c r="G15" s="162">
        <v>478.7</v>
      </c>
      <c r="H15" s="36" t="str">
        <f t="array" aca="1" ref="H15" ca="1">IFERROR(INDEX(_xlfn.STOCKHISTORY(A15,TODAY()-5,TODAY(),0,0,1),ROWS(_xlfn.STOCKHISTORY(A15,TODAY()-5,TODAY(),0,0,1)),1),"")</f>
        <v/>
      </c>
      <c r="I15" s="37" t="str">
        <f t="shared" ca="1" si="0"/>
        <v/>
      </c>
      <c r="J15" s="38">
        <v>46328</v>
      </c>
      <c r="K15" s="33" t="s">
        <v>202</v>
      </c>
      <c r="L15" s="39"/>
      <c r="M15" s="33" t="s">
        <v>202</v>
      </c>
      <c r="N15" s="39"/>
      <c r="O15" s="40">
        <f t="shared" ca="1" si="1"/>
        <v>37</v>
      </c>
      <c r="P15" s="41" t="str">
        <f t="shared" ca="1" si="2"/>
        <v>Monitor Only</v>
      </c>
      <c r="Q15" s="39" t="s">
        <v>213</v>
      </c>
    </row>
    <row r="16" spans="1:17" ht="15" hidden="1" customHeight="1" outlineLevel="1" x14ac:dyDescent="0.3">
      <c r="A16" s="32" t="s">
        <v>214</v>
      </c>
      <c r="B16" s="39" t="s">
        <v>215</v>
      </c>
      <c r="C16" s="34">
        <v>46246</v>
      </c>
      <c r="D16" s="33"/>
      <c r="E16" s="33">
        <v>1.36</v>
      </c>
      <c r="F16" s="35"/>
      <c r="G16" s="162">
        <v>53.52</v>
      </c>
      <c r="H16" s="36" t="str">
        <f t="array" aca="1" ref="H16" ca="1">IFERROR(INDEX(_xlfn.STOCKHISTORY(A16,TODAY()-5,TODAY(),0,0,1),ROWS(_xlfn.STOCKHISTORY(A16,TODAY()-5,TODAY(),0,0,1)),1),"")</f>
        <v/>
      </c>
      <c r="I16" s="37" t="str">
        <f t="shared" ca="1" si="0"/>
        <v/>
      </c>
      <c r="J16" s="38">
        <v>46331</v>
      </c>
      <c r="K16" s="33" t="s">
        <v>202</v>
      </c>
      <c r="L16" s="39"/>
      <c r="M16" s="33" t="s">
        <v>202</v>
      </c>
      <c r="N16" s="39"/>
      <c r="O16" s="40">
        <f t="shared" ca="1" si="1"/>
        <v>32</v>
      </c>
      <c r="P16" s="41" t="str">
        <f t="shared" ca="1" si="2"/>
        <v>Monitor Only</v>
      </c>
      <c r="Q16" s="39"/>
    </row>
    <row r="17" spans="1:17" ht="15" hidden="1" customHeight="1" outlineLevel="1" x14ac:dyDescent="0.3">
      <c r="A17" s="32" t="s">
        <v>216</v>
      </c>
      <c r="B17" s="39" t="s">
        <v>215</v>
      </c>
      <c r="C17" s="34">
        <v>46246</v>
      </c>
      <c r="D17" s="33"/>
      <c r="E17" s="33">
        <v>2.79</v>
      </c>
      <c r="F17" s="35"/>
      <c r="G17" s="162">
        <v>125.22</v>
      </c>
      <c r="H17" s="36" t="str">
        <f t="array" aca="1" ref="H17" ca="1">IFERROR(INDEX(_xlfn.STOCKHISTORY(A17,TODAY()-5,TODAY(),0,0,1),ROWS(_xlfn.STOCKHISTORY(A17,TODAY()-5,TODAY(),0,0,1)),1),"")</f>
        <v/>
      </c>
      <c r="I17" s="37" t="str">
        <f t="shared" ca="1" si="0"/>
        <v/>
      </c>
      <c r="J17" s="38">
        <v>46350</v>
      </c>
      <c r="K17" s="33" t="s">
        <v>203</v>
      </c>
      <c r="L17" s="39" t="s">
        <v>217</v>
      </c>
      <c r="M17" s="33" t="s">
        <v>202</v>
      </c>
      <c r="N17" s="39"/>
      <c r="O17" s="40">
        <f t="shared" ca="1" si="1"/>
        <v>32</v>
      </c>
      <c r="P17" s="41" t="str">
        <f t="shared" ca="1" si="2"/>
        <v>DUE — INSIDER ACTIVITY</v>
      </c>
      <c r="Q17" s="39"/>
    </row>
    <row r="18" spans="1:17" ht="15" hidden="1" customHeight="1" outlineLevel="1" x14ac:dyDescent="0.3">
      <c r="A18" s="32" t="s">
        <v>218</v>
      </c>
      <c r="B18" s="39" t="s">
        <v>215</v>
      </c>
      <c r="C18" s="34">
        <v>46245</v>
      </c>
      <c r="D18" s="33"/>
      <c r="E18" s="33">
        <v>1.79</v>
      </c>
      <c r="F18" s="35"/>
      <c r="G18" s="162">
        <v>44.84</v>
      </c>
      <c r="H18" s="36" t="str">
        <f t="array" aca="1" ref="H18" ca="1">IFERROR(INDEX(_xlfn.STOCKHISTORY(A18,TODAY()-5,TODAY(),0,0,1),ROWS(_xlfn.STOCKHISTORY(A18,TODAY()-5,TODAY(),0,0,1)),1),"")</f>
        <v/>
      </c>
      <c r="I18" s="37" t="str">
        <f t="shared" ca="1" si="0"/>
        <v/>
      </c>
      <c r="J18" s="38">
        <v>46331</v>
      </c>
      <c r="K18" s="33" t="s">
        <v>202</v>
      </c>
      <c r="L18" s="39"/>
      <c r="M18" s="33" t="s">
        <v>202</v>
      </c>
      <c r="N18" s="39"/>
      <c r="O18" s="40">
        <f t="shared" ca="1" si="1"/>
        <v>33</v>
      </c>
      <c r="P18" s="41" t="str">
        <f t="shared" ca="1" si="2"/>
        <v>Monitor Only</v>
      </c>
      <c r="Q18" s="39"/>
    </row>
    <row r="19" spans="1:17" ht="15" hidden="1" customHeight="1" outlineLevel="1" x14ac:dyDescent="0.3">
      <c r="A19" s="32" t="s">
        <v>219</v>
      </c>
      <c r="B19" s="39" t="s">
        <v>215</v>
      </c>
      <c r="C19" s="34">
        <v>46245</v>
      </c>
      <c r="D19" s="33"/>
      <c r="E19" s="33">
        <v>1.86</v>
      </c>
      <c r="F19" s="35"/>
      <c r="G19" s="162">
        <v>12.41</v>
      </c>
      <c r="H19" s="36" t="str">
        <f t="array" aca="1" ref="H19" ca="1">IFERROR(INDEX(_xlfn.STOCKHISTORY(A19,TODAY()-5,TODAY(),0,0,1),ROWS(_xlfn.STOCKHISTORY(A19,TODAY()-5,TODAY(),0,0,1)),1),"")</f>
        <v/>
      </c>
      <c r="I19" s="37" t="str">
        <f t="shared" ca="1" si="0"/>
        <v/>
      </c>
      <c r="J19" s="38">
        <v>46314</v>
      </c>
      <c r="K19" s="33" t="s">
        <v>202</v>
      </c>
      <c r="L19" s="39"/>
      <c r="M19" s="33" t="s">
        <v>202</v>
      </c>
      <c r="N19" s="39"/>
      <c r="O19" s="40">
        <f t="shared" ca="1" si="1"/>
        <v>33</v>
      </c>
      <c r="P19" s="41" t="str">
        <f t="shared" ca="1" si="2"/>
        <v>Monitor Only</v>
      </c>
      <c r="Q19" s="39"/>
    </row>
    <row r="20" spans="1:17" ht="15" customHeight="1" collapsed="1" x14ac:dyDescent="0.3">
      <c r="A20" s="32" t="s">
        <v>220</v>
      </c>
      <c r="B20" s="165" t="s">
        <v>221</v>
      </c>
      <c r="C20" s="34">
        <v>46245</v>
      </c>
      <c r="D20" s="33"/>
      <c r="E20" s="33">
        <v>3.71</v>
      </c>
      <c r="F20" s="35"/>
      <c r="G20" s="162">
        <v>32</v>
      </c>
      <c r="H20" s="36" t="str">
        <f t="array" aca="1" ref="H20" ca="1">IFERROR(INDEX(_xlfn.STOCKHISTORY(A20,TODAY()-5,TODAY(),0,0,1),ROWS(_xlfn.STOCKHISTORY(A20,TODAY()-5,TODAY(),0,0,1)),1),"")</f>
        <v/>
      </c>
      <c r="I20" s="37" t="str">
        <f t="shared" ca="1" si="0"/>
        <v/>
      </c>
      <c r="J20" s="38">
        <v>46330</v>
      </c>
      <c r="K20" s="33" t="s">
        <v>202</v>
      </c>
      <c r="L20" s="39"/>
      <c r="M20" s="33" t="s">
        <v>202</v>
      </c>
      <c r="N20" s="39"/>
      <c r="O20" s="40">
        <f t="shared" ca="1" si="1"/>
        <v>33</v>
      </c>
      <c r="P20" s="41" t="str">
        <f t="shared" ca="1" si="2"/>
        <v>Monitor Only</v>
      </c>
      <c r="Q20" s="39"/>
    </row>
    <row r="21" spans="1:17" ht="15" customHeight="1" x14ac:dyDescent="0.3">
      <c r="A21" s="32" t="s">
        <v>222</v>
      </c>
      <c r="B21" s="165" t="s">
        <v>221</v>
      </c>
      <c r="C21" s="34">
        <v>46245</v>
      </c>
      <c r="D21" s="33">
        <v>77.400000000000006</v>
      </c>
      <c r="E21" s="33">
        <v>4.1399999999999997</v>
      </c>
      <c r="F21" s="35" t="s">
        <v>205</v>
      </c>
      <c r="G21" s="162">
        <v>944.32</v>
      </c>
      <c r="H21" s="36" t="str">
        <f t="array" aca="1" ref="H21" ca="1">IFERROR(INDEX(_xlfn.STOCKHISTORY(A21,TODAY()-5,TODAY(),0,0,1),ROWS(_xlfn.STOCKHISTORY(A21,TODAY()-5,TODAY(),0,0,1)),1),"")</f>
        <v/>
      </c>
      <c r="I21" s="37" t="str">
        <f t="shared" ca="1" si="0"/>
        <v/>
      </c>
      <c r="J21" s="38">
        <v>46289</v>
      </c>
      <c r="K21" s="33" t="s">
        <v>202</v>
      </c>
      <c r="L21" s="39"/>
      <c r="M21" s="33" t="s">
        <v>202</v>
      </c>
      <c r="N21" s="39"/>
      <c r="O21" s="40">
        <f t="shared" ca="1" si="1"/>
        <v>33</v>
      </c>
      <c r="P21" s="41" t="str">
        <f t="shared" ca="1" si="2"/>
        <v>Monitor Only</v>
      </c>
      <c r="Q21" s="39"/>
    </row>
    <row r="22" spans="1:17" ht="15" hidden="1" customHeight="1" outlineLevel="1" x14ac:dyDescent="0.3">
      <c r="A22" s="32" t="s">
        <v>223</v>
      </c>
      <c r="B22" s="166" t="s">
        <v>215</v>
      </c>
      <c r="C22" s="34">
        <v>46245</v>
      </c>
      <c r="D22" s="33"/>
      <c r="E22" s="33">
        <v>1.21</v>
      </c>
      <c r="F22" s="35"/>
      <c r="G22" s="162">
        <v>14.39</v>
      </c>
      <c r="H22" s="36" t="str">
        <f t="array" aca="1" ref="H22" ca="1">IFERROR(INDEX(_xlfn.STOCKHISTORY(A22,TODAY()-5,TODAY(),0,0,1),ROWS(_xlfn.STOCKHISTORY(A22,TODAY()-5,TODAY(),0,0,1)),1),"")</f>
        <v/>
      </c>
      <c r="I22" s="37" t="str">
        <f t="shared" ca="1" si="0"/>
        <v/>
      </c>
      <c r="J22" s="38">
        <v>46328</v>
      </c>
      <c r="K22" s="33" t="s">
        <v>202</v>
      </c>
      <c r="L22" s="39"/>
      <c r="M22" s="33" t="s">
        <v>202</v>
      </c>
      <c r="N22" s="39"/>
      <c r="O22" s="40">
        <f t="shared" ca="1" si="1"/>
        <v>33</v>
      </c>
      <c r="P22" s="41" t="str">
        <f t="shared" ca="1" si="2"/>
        <v>Monitor Only</v>
      </c>
      <c r="Q22" s="39"/>
    </row>
    <row r="23" spans="1:17" ht="15" hidden="1" customHeight="1" outlineLevel="1" x14ac:dyDescent="0.3">
      <c r="A23" s="32" t="s">
        <v>224</v>
      </c>
      <c r="B23" s="166" t="s">
        <v>215</v>
      </c>
      <c r="C23" s="34">
        <v>46245</v>
      </c>
      <c r="D23" s="33"/>
      <c r="E23" s="33">
        <v>2.36</v>
      </c>
      <c r="F23" s="35"/>
      <c r="G23" s="162">
        <v>94.94</v>
      </c>
      <c r="H23" s="36" t="str">
        <f t="array" aca="1" ref="H23" ca="1">IFERROR(INDEX(_xlfn.STOCKHISTORY(A23,TODAY()-5,TODAY(),0,0,1),ROWS(_xlfn.STOCKHISTORY(A23,TODAY()-5,TODAY(),0,0,1)),1),"")</f>
        <v/>
      </c>
      <c r="I23" s="37" t="str">
        <f t="shared" ca="1" si="0"/>
        <v/>
      </c>
      <c r="J23" s="38">
        <v>46240</v>
      </c>
      <c r="K23" s="33" t="s">
        <v>202</v>
      </c>
      <c r="L23" s="39"/>
      <c r="M23" s="33" t="s">
        <v>202</v>
      </c>
      <c r="N23" s="39"/>
      <c r="O23" s="40">
        <f t="shared" ca="1" si="1"/>
        <v>33</v>
      </c>
      <c r="P23" s="41" t="str">
        <f t="shared" ca="1" si="2"/>
        <v>Monitor Only</v>
      </c>
      <c r="Q23" s="39"/>
    </row>
    <row r="24" spans="1:17" ht="15" hidden="1" customHeight="1" outlineLevel="1" x14ac:dyDescent="0.3">
      <c r="A24" s="32" t="s">
        <v>225</v>
      </c>
      <c r="B24" s="166" t="s">
        <v>215</v>
      </c>
      <c r="C24" s="34">
        <v>46258</v>
      </c>
      <c r="D24" s="33"/>
      <c r="E24" s="33">
        <v>2.93</v>
      </c>
      <c r="F24" s="35"/>
      <c r="G24" s="162">
        <v>110.61</v>
      </c>
      <c r="H24" s="36" t="str">
        <f t="array" aca="1" ref="H24" ca="1">IFERROR(INDEX(_xlfn.STOCKHISTORY(A24,TODAY()-5,TODAY(),0,0,1),ROWS(_xlfn.STOCKHISTORY(A24,TODAY()-5,TODAY(),0,0,1)),1),"")</f>
        <v/>
      </c>
      <c r="I24" s="37" t="str">
        <f t="shared" ca="1" si="0"/>
        <v/>
      </c>
      <c r="J24" s="38">
        <v>46338</v>
      </c>
      <c r="K24" s="33" t="s">
        <v>203</v>
      </c>
      <c r="L24" s="39" t="s">
        <v>226</v>
      </c>
      <c r="M24" s="33" t="s">
        <v>202</v>
      </c>
      <c r="N24" s="39"/>
      <c r="O24" s="40">
        <f t="shared" ca="1" si="1"/>
        <v>20</v>
      </c>
      <c r="P24" s="41" t="str">
        <f t="shared" ca="1" si="2"/>
        <v>DUE — INSIDER ACTIVITY</v>
      </c>
      <c r="Q24" s="39"/>
    </row>
    <row r="25" spans="1:17" ht="15" customHeight="1" collapsed="1" x14ac:dyDescent="0.3">
      <c r="A25" s="32" t="s">
        <v>227</v>
      </c>
      <c r="B25" s="165" t="s">
        <v>221</v>
      </c>
      <c r="C25" s="34">
        <v>46245</v>
      </c>
      <c r="D25" s="33"/>
      <c r="E25" s="33">
        <v>4.8600000000000003</v>
      </c>
      <c r="F25" s="35"/>
      <c r="G25" s="162">
        <v>357.34</v>
      </c>
      <c r="H25" s="36" t="str">
        <f t="array" aca="1" ref="H25" ca="1">IFERROR(INDEX(_xlfn.STOCKHISTORY(A25,TODAY()-5,TODAY(),0,0,1),ROWS(_xlfn.STOCKHISTORY(A25,TODAY()-5,TODAY(),0,0,1)),1),"")</f>
        <v/>
      </c>
      <c r="I25" s="37" t="str">
        <f t="shared" ca="1" si="0"/>
        <v/>
      </c>
      <c r="J25" s="38">
        <v>46308</v>
      </c>
      <c r="K25" s="33" t="s">
        <v>202</v>
      </c>
      <c r="L25" s="39"/>
      <c r="M25" s="33" t="s">
        <v>202</v>
      </c>
      <c r="N25" s="39"/>
      <c r="O25" s="40">
        <f t="shared" ca="1" si="1"/>
        <v>33</v>
      </c>
      <c r="P25" s="41" t="str">
        <f t="shared" ca="1" si="2"/>
        <v>Monitor Only</v>
      </c>
      <c r="Q25" s="39"/>
    </row>
    <row r="26" spans="1:17" ht="15" hidden="1" customHeight="1" outlineLevel="1" x14ac:dyDescent="0.3">
      <c r="A26" s="32" t="s">
        <v>228</v>
      </c>
      <c r="B26" s="166" t="s">
        <v>215</v>
      </c>
      <c r="C26" s="34">
        <v>46245</v>
      </c>
      <c r="D26" s="33"/>
      <c r="E26" s="33">
        <v>2.14</v>
      </c>
      <c r="F26" s="35"/>
      <c r="G26" s="162">
        <v>87.78</v>
      </c>
      <c r="H26" s="36" t="str">
        <f t="array" aca="1" ref="H26" ca="1">IFERROR(INDEX(_xlfn.STOCKHISTORY(A26,TODAY()-5,TODAY(),0,0,1),ROWS(_xlfn.STOCKHISTORY(A26,TODAY()-5,TODAY(),0,0,1)),1),"")</f>
        <v/>
      </c>
      <c r="I26" s="37" t="str">
        <f t="shared" ca="1" si="0"/>
        <v/>
      </c>
      <c r="J26" s="38">
        <v>46328</v>
      </c>
      <c r="K26" s="33" t="s">
        <v>203</v>
      </c>
      <c r="L26" s="39" t="s">
        <v>229</v>
      </c>
      <c r="M26" s="33" t="s">
        <v>202</v>
      </c>
      <c r="N26" s="39"/>
      <c r="O26" s="40">
        <f t="shared" ca="1" si="1"/>
        <v>33</v>
      </c>
      <c r="P26" s="41" t="str">
        <f t="shared" ca="1" si="2"/>
        <v>DUE — INSIDER ACTIVITY</v>
      </c>
      <c r="Q26" s="39"/>
    </row>
    <row r="27" spans="1:17" ht="15" customHeight="1" collapsed="1" x14ac:dyDescent="0.3">
      <c r="A27" s="32" t="s">
        <v>230</v>
      </c>
      <c r="B27" s="165" t="s">
        <v>221</v>
      </c>
      <c r="C27" s="34">
        <v>46276</v>
      </c>
      <c r="D27" s="33"/>
      <c r="E27" s="33">
        <v>3.07</v>
      </c>
      <c r="F27" s="35"/>
      <c r="G27" s="162">
        <v>20.78</v>
      </c>
      <c r="H27" s="36" t="str">
        <f t="array" aca="1" ref="H27" ca="1">IFERROR(INDEX(_xlfn.STOCKHISTORY(A27,TODAY()-5,TODAY(),0,0,1),ROWS(_xlfn.STOCKHISTORY(A27,TODAY()-5,TODAY(),0,0,1)),1),"")</f>
        <v/>
      </c>
      <c r="I27" s="37" t="str">
        <f t="shared" ca="1" si="0"/>
        <v/>
      </c>
      <c r="J27" s="38">
        <v>46330</v>
      </c>
      <c r="K27" s="33" t="s">
        <v>203</v>
      </c>
      <c r="L27" s="39" t="s">
        <v>231</v>
      </c>
      <c r="M27" s="33" t="s">
        <v>202</v>
      </c>
      <c r="N27" s="39"/>
      <c r="O27" s="40">
        <f t="shared" ca="1" si="1"/>
        <v>2</v>
      </c>
      <c r="P27" s="41" t="str">
        <f t="shared" ca="1" si="2"/>
        <v>DUE — INSIDER ACTIVITY</v>
      </c>
      <c r="Q27" s="39"/>
    </row>
    <row r="28" spans="1:17" ht="15" customHeight="1" x14ac:dyDescent="0.3">
      <c r="A28" s="32" t="s">
        <v>232</v>
      </c>
      <c r="B28" s="165" t="s">
        <v>221</v>
      </c>
      <c r="C28" s="34">
        <v>46247</v>
      </c>
      <c r="D28" s="33"/>
      <c r="E28" s="33">
        <v>3.5</v>
      </c>
      <c r="F28" s="35"/>
      <c r="G28" s="162">
        <v>453.33</v>
      </c>
      <c r="H28" s="36" t="str">
        <f t="array" aca="1" ref="H28" ca="1">IFERROR(INDEX(_xlfn.STOCKHISTORY(A28,TODAY()-5,TODAY(),0,0,1),ROWS(_xlfn.STOCKHISTORY(A28,TODAY()-5,TODAY(),0,0,1)),1),"")</f>
        <v/>
      </c>
      <c r="I28" s="37" t="str">
        <f t="shared" ca="1" si="0"/>
        <v/>
      </c>
      <c r="J28" s="38">
        <v>46329</v>
      </c>
      <c r="K28" s="33" t="s">
        <v>203</v>
      </c>
      <c r="L28" s="39" t="s">
        <v>233</v>
      </c>
      <c r="M28" s="33" t="s">
        <v>202</v>
      </c>
      <c r="N28" s="39"/>
      <c r="O28" s="40">
        <f t="shared" ca="1" si="1"/>
        <v>31</v>
      </c>
      <c r="P28" s="41" t="str">
        <f t="shared" ca="1" si="2"/>
        <v>DUE — INSIDER ACTIVITY</v>
      </c>
      <c r="Q28" s="39"/>
    </row>
    <row r="29" spans="1:17" ht="15" customHeight="1" x14ac:dyDescent="0.3">
      <c r="A29" s="32" t="s">
        <v>234</v>
      </c>
      <c r="B29" s="165" t="s">
        <v>221</v>
      </c>
      <c r="C29" s="34">
        <v>46246</v>
      </c>
      <c r="D29" s="33"/>
      <c r="E29" s="33">
        <v>3.43</v>
      </c>
      <c r="F29" s="35"/>
      <c r="G29" s="162">
        <v>79.63</v>
      </c>
      <c r="H29" s="36" t="str">
        <f t="array" aca="1" ref="H29" ca="1">IFERROR(INDEX(_xlfn.STOCKHISTORY(A29,TODAY()-5,TODAY(),0,0,1),ROWS(_xlfn.STOCKHISTORY(A29,TODAY()-5,TODAY(),0,0,1)),1),"")</f>
        <v/>
      </c>
      <c r="I29" s="37" t="str">
        <f t="shared" ca="1" si="0"/>
        <v/>
      </c>
      <c r="J29" s="38">
        <v>46330</v>
      </c>
      <c r="K29" s="33" t="s">
        <v>203</v>
      </c>
      <c r="L29" s="39" t="s">
        <v>235</v>
      </c>
      <c r="M29" s="33" t="s">
        <v>202</v>
      </c>
      <c r="N29" s="39"/>
      <c r="O29" s="40">
        <f t="shared" ca="1" si="1"/>
        <v>32</v>
      </c>
      <c r="P29" s="41" t="str">
        <f t="shared" ca="1" si="2"/>
        <v>DUE — INSIDER ACTIVITY</v>
      </c>
      <c r="Q29" s="39"/>
    </row>
    <row r="30" spans="1:17" ht="15" customHeight="1" x14ac:dyDescent="0.3">
      <c r="A30" s="32" t="s">
        <v>236</v>
      </c>
      <c r="B30" s="165" t="s">
        <v>221</v>
      </c>
      <c r="C30" s="34">
        <v>46247</v>
      </c>
      <c r="D30" s="33"/>
      <c r="E30" s="33">
        <v>3.86</v>
      </c>
      <c r="F30" s="35"/>
      <c r="G30" s="162">
        <v>360.64</v>
      </c>
      <c r="H30" s="36" t="str">
        <f t="array" aca="1" ref="H30" ca="1">IFERROR(INDEX(_xlfn.STOCKHISTORY(A30,TODAY()-5,TODAY(),0,0,1),ROWS(_xlfn.STOCKHISTORY(A30,TODAY()-5,TODAY(),0,0,1)),1),"")</f>
        <v/>
      </c>
      <c r="I30" s="37" t="str">
        <f t="shared" ca="1" si="0"/>
        <v/>
      </c>
      <c r="J30" s="38">
        <v>46315</v>
      </c>
      <c r="K30" s="33" t="s">
        <v>203</v>
      </c>
      <c r="L30" s="39" t="s">
        <v>237</v>
      </c>
      <c r="M30" s="33" t="s">
        <v>202</v>
      </c>
      <c r="N30" s="39"/>
      <c r="O30" s="40">
        <f t="shared" ca="1" si="1"/>
        <v>31</v>
      </c>
      <c r="P30" s="41" t="str">
        <f t="shared" ca="1" si="2"/>
        <v>DUE — INSIDER ACTIVITY</v>
      </c>
      <c r="Q30" s="39"/>
    </row>
    <row r="31" spans="1:17" ht="15" hidden="1" customHeight="1" outlineLevel="1" x14ac:dyDescent="0.3">
      <c r="A31" s="32" t="s">
        <v>238</v>
      </c>
      <c r="B31" s="166" t="s">
        <v>215</v>
      </c>
      <c r="C31" s="34">
        <v>46246</v>
      </c>
      <c r="D31" s="33"/>
      <c r="E31" s="33">
        <v>2.5</v>
      </c>
      <c r="F31" s="35"/>
      <c r="G31" s="162">
        <v>8.64</v>
      </c>
      <c r="H31" s="36" t="str">
        <f t="array" aca="1" ref="H31" ca="1">IFERROR(INDEX(_xlfn.STOCKHISTORY(A31,TODAY()-5,TODAY(),0,0,1),ROWS(_xlfn.STOCKHISTORY(A31,TODAY()-5,TODAY(),0,0,1)),1),"")</f>
        <v/>
      </c>
      <c r="I31" s="37" t="str">
        <f t="shared" ca="1" si="0"/>
        <v/>
      </c>
      <c r="J31" s="38">
        <v>46331</v>
      </c>
      <c r="K31" s="33" t="s">
        <v>202</v>
      </c>
      <c r="L31" s="39"/>
      <c r="M31" s="33"/>
      <c r="N31" s="39"/>
      <c r="O31" s="40">
        <f t="shared" ca="1" si="1"/>
        <v>32</v>
      </c>
      <c r="P31" s="41" t="str">
        <f t="shared" ca="1" si="2"/>
        <v>Monitor Only</v>
      </c>
      <c r="Q31" s="39"/>
    </row>
    <row r="32" spans="1:17" ht="15" hidden="1" customHeight="1" outlineLevel="1" x14ac:dyDescent="0.3">
      <c r="A32" s="32" t="s">
        <v>239</v>
      </c>
      <c r="B32" s="166" t="s">
        <v>215</v>
      </c>
      <c r="C32" s="34">
        <v>46245</v>
      </c>
      <c r="D32" s="33"/>
      <c r="E32" s="33">
        <v>1.93</v>
      </c>
      <c r="F32" s="35"/>
      <c r="G32" s="162">
        <v>24.3</v>
      </c>
      <c r="H32" s="36" t="str">
        <f t="array" aca="1" ref="H32" ca="1">IFERROR(INDEX(_xlfn.STOCKHISTORY(A32,TODAY()-5,TODAY(),0,0,1),ROWS(_xlfn.STOCKHISTORY(A32,TODAY()-5,TODAY(),0,0,1)),1),"")</f>
        <v/>
      </c>
      <c r="I32" s="37" t="str">
        <f t="shared" ca="1" si="0"/>
        <v/>
      </c>
      <c r="J32" s="38">
        <v>46261</v>
      </c>
      <c r="K32" s="33" t="s">
        <v>202</v>
      </c>
      <c r="L32" s="39"/>
      <c r="M32" s="33" t="s">
        <v>202</v>
      </c>
      <c r="N32" s="39"/>
      <c r="O32" s="40">
        <f t="shared" ca="1" si="1"/>
        <v>33</v>
      </c>
      <c r="P32" s="41" t="str">
        <f t="shared" ca="1" si="2"/>
        <v>Monitor Only</v>
      </c>
      <c r="Q32" s="39"/>
    </row>
    <row r="33" spans="1:17" ht="15" hidden="1" customHeight="1" outlineLevel="1" x14ac:dyDescent="0.3">
      <c r="A33" s="32" t="s">
        <v>240</v>
      </c>
      <c r="B33" s="166" t="s">
        <v>215</v>
      </c>
      <c r="C33" s="34">
        <v>46245</v>
      </c>
      <c r="D33" s="33"/>
      <c r="E33" s="33">
        <v>2.0699999999999998</v>
      </c>
      <c r="F33" s="35"/>
      <c r="G33" s="162">
        <v>21.48</v>
      </c>
      <c r="H33" s="36" t="str">
        <f t="array" aca="1" ref="H33" ca="1">IFERROR(INDEX(_xlfn.STOCKHISTORY(A33,TODAY()-5,TODAY(),0,0,1),ROWS(_xlfn.STOCKHISTORY(A33,TODAY()-5,TODAY(),0,0,1)),1),"")</f>
        <v/>
      </c>
      <c r="I33" s="37" t="str">
        <f t="shared" ca="1" si="0"/>
        <v/>
      </c>
      <c r="J33" s="38">
        <v>46309</v>
      </c>
      <c r="K33" s="33" t="s">
        <v>203</v>
      </c>
      <c r="L33" s="39" t="s">
        <v>241</v>
      </c>
      <c r="M33" s="33" t="s">
        <v>202</v>
      </c>
      <c r="N33" s="39"/>
      <c r="O33" s="40">
        <f t="shared" ca="1" si="1"/>
        <v>33</v>
      </c>
      <c r="P33" s="41" t="str">
        <f t="shared" ca="1" si="2"/>
        <v>DUE — INSIDER ACTIVITY</v>
      </c>
      <c r="Q33" s="39"/>
    </row>
    <row r="34" spans="1:17" ht="15" customHeight="1" collapsed="1" x14ac:dyDescent="0.3">
      <c r="A34" s="32" t="s">
        <v>242</v>
      </c>
      <c r="B34" s="165" t="s">
        <v>221</v>
      </c>
      <c r="C34" s="34">
        <v>46245</v>
      </c>
      <c r="D34" s="33"/>
      <c r="E34" s="33">
        <v>4.5</v>
      </c>
      <c r="F34" s="35"/>
      <c r="G34" s="162">
        <v>490.53</v>
      </c>
      <c r="H34" s="36" t="str">
        <f t="array" aca="1" ref="H34" ca="1">IFERROR(INDEX(_xlfn.STOCKHISTORY(A34,TODAY()-5,TODAY(),0,0,1),ROWS(_xlfn.STOCKHISTORY(A34,TODAY()-5,TODAY(),0,0,1)),1),"")</f>
        <v/>
      </c>
      <c r="I34" s="37" t="str">
        <f t="shared" ca="1" si="0"/>
        <v/>
      </c>
      <c r="J34" s="38">
        <v>46325</v>
      </c>
      <c r="K34" s="33" t="s">
        <v>203</v>
      </c>
      <c r="L34" s="39" t="s">
        <v>243</v>
      </c>
      <c r="M34" s="33" t="s">
        <v>202</v>
      </c>
      <c r="N34" s="39"/>
      <c r="O34" s="40">
        <f t="shared" ca="1" si="1"/>
        <v>33</v>
      </c>
      <c r="P34" s="41" t="str">
        <f t="shared" ca="1" si="2"/>
        <v>DUE — INSIDER ACTIVITY</v>
      </c>
      <c r="Q34" s="39"/>
    </row>
    <row r="35" spans="1:17" ht="15" hidden="1" customHeight="1" outlineLevel="1" x14ac:dyDescent="0.3">
      <c r="A35" s="32" t="s">
        <v>244</v>
      </c>
      <c r="B35" s="166" t="s">
        <v>215</v>
      </c>
      <c r="C35" s="34">
        <v>46245</v>
      </c>
      <c r="D35" s="33"/>
      <c r="E35" s="33">
        <v>2.5</v>
      </c>
      <c r="F35" s="35"/>
      <c r="G35" s="162">
        <v>85.74</v>
      </c>
      <c r="H35" s="36" t="str">
        <f t="array" aca="1" ref="H35" ca="1">IFERROR(INDEX(_xlfn.STOCKHISTORY(A35,TODAY()-5,TODAY(),0,0,1),ROWS(_xlfn.STOCKHISTORY(A35,TODAY()-5,TODAY(),0,0,1)),1),"")</f>
        <v/>
      </c>
      <c r="I35" s="37" t="str">
        <f t="shared" ca="1" si="0"/>
        <v/>
      </c>
      <c r="J35" s="38">
        <v>46322</v>
      </c>
      <c r="K35" s="33" t="s">
        <v>202</v>
      </c>
      <c r="L35" s="39"/>
      <c r="M35" s="33" t="s">
        <v>202</v>
      </c>
      <c r="N35" s="39"/>
      <c r="O35" s="40">
        <f t="shared" ca="1" si="1"/>
        <v>33</v>
      </c>
      <c r="P35" s="41" t="str">
        <f t="shared" ca="1" si="2"/>
        <v>Monitor Only</v>
      </c>
      <c r="Q35" s="39"/>
    </row>
    <row r="36" spans="1:17" ht="15" customHeight="1" collapsed="1" x14ac:dyDescent="0.3">
      <c r="A36" s="32" t="s">
        <v>245</v>
      </c>
      <c r="B36" s="165" t="s">
        <v>221</v>
      </c>
      <c r="C36" s="34">
        <v>46258</v>
      </c>
      <c r="D36" s="33"/>
      <c r="E36" s="33">
        <v>4.21</v>
      </c>
      <c r="F36" s="35"/>
      <c r="G36" s="162">
        <v>80.010000000000005</v>
      </c>
      <c r="H36" s="36" t="str">
        <f t="array" aca="1" ref="H36" ca="1">IFERROR(INDEX(_xlfn.STOCKHISTORY(A36,TODAY()-5,TODAY(),0,0,1),ROWS(_xlfn.STOCKHISTORY(A36,TODAY()-5,TODAY(),0,0,1)),1),"")</f>
        <v/>
      </c>
      <c r="I36" s="37" t="str">
        <f t="shared" ca="1" si="0"/>
        <v/>
      </c>
      <c r="J36" s="38">
        <v>46315</v>
      </c>
      <c r="K36" s="33" t="s">
        <v>203</v>
      </c>
      <c r="L36" s="39" t="s">
        <v>246</v>
      </c>
      <c r="M36" s="33" t="s">
        <v>202</v>
      </c>
      <c r="N36" s="39"/>
      <c r="O36" s="40">
        <f t="shared" ca="1" si="1"/>
        <v>20</v>
      </c>
      <c r="P36" s="41" t="str">
        <f t="shared" ca="1" si="2"/>
        <v>DUE — INSIDER ACTIVITY</v>
      </c>
      <c r="Q36" s="39"/>
    </row>
    <row r="37" spans="1:17" ht="15" hidden="1" customHeight="1" outlineLevel="1" x14ac:dyDescent="0.3">
      <c r="A37" s="32" t="s">
        <v>247</v>
      </c>
      <c r="B37" s="166" t="s">
        <v>215</v>
      </c>
      <c r="C37" s="34">
        <v>46246</v>
      </c>
      <c r="D37" s="33"/>
      <c r="E37" s="33">
        <v>1.57</v>
      </c>
      <c r="F37" s="35"/>
      <c r="G37" s="162">
        <v>40.51</v>
      </c>
      <c r="H37" s="36" t="str">
        <f t="array" aca="1" ref="H37" ca="1">IFERROR(INDEX(_xlfn.STOCKHISTORY(A37,TODAY()-5,TODAY(),0,0,1),ROWS(_xlfn.STOCKHISTORY(A37,TODAY()-5,TODAY(),0,0,1)),1),"")</f>
        <v/>
      </c>
      <c r="I37" s="37" t="str">
        <f t="shared" ca="1" si="0"/>
        <v/>
      </c>
      <c r="J37" s="38">
        <v>46294</v>
      </c>
      <c r="K37" s="33" t="s">
        <v>203</v>
      </c>
      <c r="L37" s="39" t="s">
        <v>248</v>
      </c>
      <c r="M37" s="33" t="s">
        <v>203</v>
      </c>
      <c r="N37" s="39" t="s">
        <v>249</v>
      </c>
      <c r="O37" s="40">
        <f t="shared" ca="1" si="1"/>
        <v>32</v>
      </c>
      <c r="P37" s="41" t="str">
        <f t="shared" ca="1" si="2"/>
        <v>DUE — INSIDER ACTIVITY</v>
      </c>
      <c r="Q37" s="39"/>
    </row>
    <row r="38" spans="1:17" ht="15" hidden="1" customHeight="1" outlineLevel="1" x14ac:dyDescent="0.3">
      <c r="A38" s="32" t="s">
        <v>250</v>
      </c>
      <c r="B38" s="166" t="s">
        <v>215</v>
      </c>
      <c r="C38" s="34">
        <v>46245</v>
      </c>
      <c r="D38" s="33"/>
      <c r="E38" s="33">
        <v>2.64</v>
      </c>
      <c r="F38" s="35"/>
      <c r="G38" s="162">
        <v>21.02</v>
      </c>
      <c r="H38" s="36" t="str">
        <f t="array" aca="1" ref="H38" ca="1">IFERROR(INDEX(_xlfn.STOCKHISTORY(A38,TODAY()-5,TODAY(),0,0,1),ROWS(_xlfn.STOCKHISTORY(A38,TODAY()-5,TODAY(),0,0,1)),1),"")</f>
        <v/>
      </c>
      <c r="I38" s="37" t="str">
        <f t="shared" ca="1" si="0"/>
        <v/>
      </c>
      <c r="J38" s="38">
        <v>46321</v>
      </c>
      <c r="K38" s="33" t="s">
        <v>203</v>
      </c>
      <c r="L38" s="39" t="s">
        <v>251</v>
      </c>
      <c r="M38" s="33" t="s">
        <v>203</v>
      </c>
      <c r="N38" s="39" t="s">
        <v>252</v>
      </c>
      <c r="O38" s="40">
        <f t="shared" ca="1" si="1"/>
        <v>33</v>
      </c>
      <c r="P38" s="41" t="str">
        <f t="shared" ca="1" si="2"/>
        <v>DUE — INSIDER ACTIVITY</v>
      </c>
      <c r="Q38" s="39"/>
    </row>
    <row r="39" spans="1:17" ht="15" hidden="1" customHeight="1" outlineLevel="1" x14ac:dyDescent="0.3">
      <c r="A39" s="32" t="s">
        <v>173</v>
      </c>
      <c r="B39" s="166" t="s">
        <v>215</v>
      </c>
      <c r="C39" s="34">
        <v>46240</v>
      </c>
      <c r="D39" s="33"/>
      <c r="E39" s="33">
        <v>2.64</v>
      </c>
      <c r="F39" s="35"/>
      <c r="G39" s="162">
        <v>37.340000000000003</v>
      </c>
      <c r="H39" s="36" t="str">
        <f t="array" aca="1" ref="H39" ca="1">IFERROR(INDEX(_xlfn.STOCKHISTORY(A39,TODAY()-5,TODAY(),0,0,1),ROWS(_xlfn.STOCKHISTORY(A39,TODAY()-5,TODAY(),0,0,1)),1),"")</f>
        <v/>
      </c>
      <c r="I39" s="37" t="str">
        <f t="shared" ca="1" si="0"/>
        <v/>
      </c>
      <c r="J39" s="38">
        <v>46337</v>
      </c>
      <c r="K39" s="33" t="s">
        <v>203</v>
      </c>
      <c r="L39" s="39" t="s">
        <v>253</v>
      </c>
      <c r="M39" s="33" t="s">
        <v>202</v>
      </c>
      <c r="N39" s="39"/>
      <c r="O39" s="40">
        <f t="shared" ca="1" si="1"/>
        <v>38</v>
      </c>
      <c r="P39" s="41" t="str">
        <f t="shared" ca="1" si="2"/>
        <v>DUE — INSIDER ACTIVITY</v>
      </c>
      <c r="Q39" s="39"/>
    </row>
    <row r="40" spans="1:17" ht="15" customHeight="1" collapsed="1" x14ac:dyDescent="0.3">
      <c r="A40" s="32" t="s">
        <v>254</v>
      </c>
      <c r="B40" s="165" t="s">
        <v>221</v>
      </c>
      <c r="C40" s="34">
        <v>46245</v>
      </c>
      <c r="D40" s="33"/>
      <c r="E40" s="33">
        <v>4.21</v>
      </c>
      <c r="F40" s="35"/>
      <c r="G40" s="162">
        <v>145.21</v>
      </c>
      <c r="H40" s="36" t="str">
        <f t="array" aca="1" ref="H40" ca="1">IFERROR(INDEX(_xlfn.STOCKHISTORY(A40,TODAY()-5,TODAY(),0,0,1),ROWS(_xlfn.STOCKHISTORY(A40,TODAY()-5,TODAY(),0,0,1)),1),"")</f>
        <v/>
      </c>
      <c r="I40" s="37" t="str">
        <f t="shared" ca="1" si="0"/>
        <v/>
      </c>
      <c r="J40" s="38">
        <v>46317</v>
      </c>
      <c r="K40" s="33" t="s">
        <v>203</v>
      </c>
      <c r="L40" s="39" t="s">
        <v>255</v>
      </c>
      <c r="M40" s="33" t="s">
        <v>202</v>
      </c>
      <c r="N40" s="39"/>
      <c r="O40" s="40">
        <f t="shared" ca="1" si="1"/>
        <v>33</v>
      </c>
      <c r="P40" s="41" t="str">
        <f t="shared" ca="1" si="2"/>
        <v>DUE — INSIDER ACTIVITY</v>
      </c>
      <c r="Q40" s="39"/>
    </row>
    <row r="41" spans="1:17" ht="15" customHeight="1" x14ac:dyDescent="0.3">
      <c r="A41" s="32" t="s">
        <v>256</v>
      </c>
      <c r="B41" s="165" t="s">
        <v>221</v>
      </c>
      <c r="C41" s="34">
        <v>46247</v>
      </c>
      <c r="D41" s="33"/>
      <c r="E41" s="33">
        <v>3.29</v>
      </c>
      <c r="F41" s="35"/>
      <c r="G41" s="162">
        <v>1058.8699999999999</v>
      </c>
      <c r="H41" s="36" t="str">
        <f t="array" aca="1" ref="H41" ca="1">IFERROR(INDEX(_xlfn.STOCKHISTORY(A41,TODAY()-5,TODAY(),0,0,1),ROWS(_xlfn.STOCKHISTORY(A41,TODAY()-5,TODAY(),0,0,1)),1),"")</f>
        <v/>
      </c>
      <c r="I41" s="37" t="str">
        <f t="shared" ca="1" si="0"/>
        <v/>
      </c>
      <c r="J41" s="38">
        <v>46331</v>
      </c>
      <c r="K41" s="33" t="s">
        <v>203</v>
      </c>
      <c r="L41" s="39" t="s">
        <v>257</v>
      </c>
      <c r="M41" s="33" t="s">
        <v>202</v>
      </c>
      <c r="N41" s="39"/>
      <c r="O41" s="40">
        <f t="shared" ca="1" si="1"/>
        <v>31</v>
      </c>
      <c r="P41" s="41" t="str">
        <f t="shared" ca="1" si="2"/>
        <v>DUE — INSIDER ACTIVITY</v>
      </c>
      <c r="Q41" s="39"/>
    </row>
    <row r="42" spans="1:17" ht="15" hidden="1" customHeight="1" outlineLevel="1" x14ac:dyDescent="0.3">
      <c r="A42" s="32" t="s">
        <v>258</v>
      </c>
      <c r="B42" s="39" t="s">
        <v>215</v>
      </c>
      <c r="C42" s="34">
        <v>46245</v>
      </c>
      <c r="D42" s="33"/>
      <c r="E42" s="33">
        <v>1.36</v>
      </c>
      <c r="F42" s="35"/>
      <c r="G42" s="162">
        <v>24.32</v>
      </c>
      <c r="H42" s="36" t="str">
        <f t="array" aca="1" ref="H42" ca="1">IFERROR(INDEX(_xlfn.STOCKHISTORY(A42,TODAY()-5,TODAY(),0,0,1),ROWS(_xlfn.STOCKHISTORY(A42,TODAY()-5,TODAY(),0,0,1)),1),"")</f>
        <v/>
      </c>
      <c r="I42" s="37" t="str">
        <f t="shared" ca="1" si="0"/>
        <v/>
      </c>
      <c r="J42" s="38">
        <v>46331</v>
      </c>
      <c r="K42" s="33" t="s">
        <v>202</v>
      </c>
      <c r="L42" s="39"/>
      <c r="M42" s="33" t="s">
        <v>203</v>
      </c>
      <c r="N42" s="39" t="s">
        <v>259</v>
      </c>
      <c r="O42" s="40">
        <f t="shared" ca="1" si="1"/>
        <v>33</v>
      </c>
      <c r="P42" s="41" t="str">
        <f t="shared" ca="1" si="2"/>
        <v>WATCH — ANALYST SHIFT</v>
      </c>
      <c r="Q42" s="39"/>
    </row>
    <row r="43" spans="1:17" ht="15" hidden="1" customHeight="1" outlineLevel="1" x14ac:dyDescent="0.3">
      <c r="A43" s="42" t="s">
        <v>162</v>
      </c>
      <c r="B43" s="43" t="s">
        <v>215</v>
      </c>
      <c r="C43" s="44">
        <v>46240</v>
      </c>
      <c r="D43" s="45"/>
      <c r="E43" s="45">
        <v>1.86</v>
      </c>
      <c r="F43" s="35"/>
      <c r="G43" s="163">
        <v>87.2</v>
      </c>
      <c r="H43" s="46" t="str">
        <f t="array" aca="1" ref="H43" ca="1">IFERROR(INDEX(_xlfn.STOCKHISTORY(A43,TODAY()-5,TODAY(),0,0,1),ROWS(_xlfn.STOCKHISTORY(A43,TODAY()-5,TODAY(),0,0,1)),1),"")</f>
        <v/>
      </c>
      <c r="I43" s="20" t="str">
        <f t="shared" ca="1" si="0"/>
        <v/>
      </c>
      <c r="J43" s="47">
        <v>46323</v>
      </c>
      <c r="K43" s="45" t="s">
        <v>203</v>
      </c>
      <c r="L43" s="43" t="s">
        <v>260</v>
      </c>
      <c r="M43" s="45" t="s">
        <v>202</v>
      </c>
      <c r="N43" s="43"/>
      <c r="O43" s="48">
        <f t="shared" ca="1" si="1"/>
        <v>38</v>
      </c>
      <c r="P43" s="18" t="str">
        <f t="shared" ca="1" si="2"/>
        <v>DUE — INSIDER ACTIVITY</v>
      </c>
      <c r="Q43" s="43"/>
    </row>
    <row r="44" spans="1:17" ht="15" hidden="1" customHeight="1" outlineLevel="1" x14ac:dyDescent="0.3">
      <c r="A44" s="42" t="s">
        <v>165</v>
      </c>
      <c r="B44" s="43" t="s">
        <v>215</v>
      </c>
      <c r="C44" s="44">
        <v>46240</v>
      </c>
      <c r="D44" s="45"/>
      <c r="E44" s="45">
        <v>1.93</v>
      </c>
      <c r="F44" s="35"/>
      <c r="G44" s="163">
        <v>319.52999999999997</v>
      </c>
      <c r="H44" s="46" t="str">
        <f t="array" aca="1" ref="H44" ca="1">IFERROR(INDEX(_xlfn.STOCKHISTORY(A44,TODAY()-5,TODAY(),0,0,1),ROWS(_xlfn.STOCKHISTORY(A44,TODAY()-5,TODAY(),0,0,1)),1),"")</f>
        <v/>
      </c>
      <c r="I44" s="20" t="str">
        <f t="shared" ca="1" si="0"/>
        <v/>
      </c>
      <c r="J44" s="47">
        <v>46316</v>
      </c>
      <c r="K44" s="45" t="s">
        <v>202</v>
      </c>
      <c r="L44" s="43"/>
      <c r="M44" s="45" t="s">
        <v>202</v>
      </c>
      <c r="N44" s="43"/>
      <c r="O44" s="48">
        <f t="shared" ca="1" si="1"/>
        <v>38</v>
      </c>
      <c r="P44" s="18" t="str">
        <f t="shared" ca="1" si="2"/>
        <v>Monitor Only</v>
      </c>
      <c r="Q44" s="43"/>
    </row>
    <row r="45" spans="1:17" ht="15" customHeight="1" collapsed="1" x14ac:dyDescent="0.3">
      <c r="A45" s="42" t="s">
        <v>113</v>
      </c>
      <c r="B45" s="45" t="s">
        <v>200</v>
      </c>
      <c r="C45" s="44">
        <v>46245</v>
      </c>
      <c r="D45" s="45">
        <v>86.4</v>
      </c>
      <c r="E45" s="45">
        <v>4.57</v>
      </c>
      <c r="F45" s="35" t="s">
        <v>201</v>
      </c>
      <c r="G45" s="163">
        <v>362.82</v>
      </c>
      <c r="H45" s="46" t="str">
        <f t="array" aca="1" ref="H45" ca="1">IFERROR(INDEX(_xlfn.STOCKHISTORY(A45,TODAY()-5,TODAY(),0,0,1),ROWS(_xlfn.STOCKHISTORY(A45,TODAY()-5,TODAY(),0,0,1)),1),"")</f>
        <v/>
      </c>
      <c r="I45" s="20" t="str">
        <f t="shared" ca="1" si="0"/>
        <v/>
      </c>
      <c r="J45" s="47">
        <v>46322</v>
      </c>
      <c r="K45" s="45" t="s">
        <v>203</v>
      </c>
      <c r="L45" s="43" t="s">
        <v>261</v>
      </c>
      <c r="M45" s="45" t="s">
        <v>202</v>
      </c>
      <c r="N45" s="43"/>
      <c r="O45" s="48">
        <f t="shared" ca="1" si="1"/>
        <v>33</v>
      </c>
      <c r="P45" s="18" t="str">
        <f t="shared" ca="1" si="2"/>
        <v>DUE — INSIDER ACTIVITY</v>
      </c>
      <c r="Q45" s="43"/>
    </row>
    <row r="46" spans="1:17" ht="15" hidden="1" customHeight="1" outlineLevel="1" x14ac:dyDescent="0.3">
      <c r="A46" s="42" t="s">
        <v>262</v>
      </c>
      <c r="B46" s="43" t="s">
        <v>215</v>
      </c>
      <c r="C46" s="44">
        <v>46246</v>
      </c>
      <c r="D46" s="45"/>
      <c r="E46" s="45">
        <v>2.86</v>
      </c>
      <c r="F46" s="35"/>
      <c r="G46" s="163">
        <v>14.57</v>
      </c>
      <c r="H46" s="46" t="str">
        <f t="array" aca="1" ref="H46" ca="1">IFERROR(INDEX(_xlfn.STOCKHISTORY(A46,TODAY()-5,TODAY(),0,0,1),ROWS(_xlfn.STOCKHISTORY(A46,TODAY()-5,TODAY(),0,0,1)),1),"")</f>
        <v/>
      </c>
      <c r="I46" s="20" t="str">
        <f t="shared" ca="1" si="0"/>
        <v/>
      </c>
      <c r="J46" s="47">
        <v>46321</v>
      </c>
      <c r="K46" s="45" t="s">
        <v>203</v>
      </c>
      <c r="L46" s="43" t="s">
        <v>263</v>
      </c>
      <c r="M46" s="45" t="s">
        <v>202</v>
      </c>
      <c r="N46" s="43"/>
      <c r="O46" s="48">
        <f t="shared" ca="1" si="1"/>
        <v>32</v>
      </c>
      <c r="P46" s="18" t="str">
        <f t="shared" ca="1" si="2"/>
        <v>DUE — INSIDER ACTIVITY</v>
      </c>
      <c r="Q46" s="43"/>
    </row>
    <row r="47" spans="1:17" ht="15" customHeight="1" collapsed="1" x14ac:dyDescent="0.3">
      <c r="A47" s="42" t="s">
        <v>264</v>
      </c>
      <c r="B47" s="167" t="s">
        <v>221</v>
      </c>
      <c r="C47" s="44">
        <v>46245</v>
      </c>
      <c r="D47" s="45"/>
      <c r="E47" s="45">
        <v>4.29</v>
      </c>
      <c r="F47" s="35"/>
      <c r="G47" s="163">
        <v>144.75</v>
      </c>
      <c r="H47" s="46" t="str">
        <f t="array" aca="1" ref="H47" ca="1">IFERROR(INDEX(_xlfn.STOCKHISTORY(A47,TODAY()-5,TODAY(),0,0,1),ROWS(_xlfn.STOCKHISTORY(A47,TODAY()-5,TODAY(),0,0,1)),1),"")</f>
        <v/>
      </c>
      <c r="I47" s="20" t="str">
        <f t="shared" ca="1" si="0"/>
        <v/>
      </c>
      <c r="J47" s="47">
        <v>46329</v>
      </c>
      <c r="K47" s="45" t="s">
        <v>203</v>
      </c>
      <c r="L47" s="43" t="s">
        <v>265</v>
      </c>
      <c r="M47" s="45" t="s">
        <v>202</v>
      </c>
      <c r="N47" s="43"/>
      <c r="O47" s="48">
        <f t="shared" ca="1" si="1"/>
        <v>33</v>
      </c>
      <c r="P47" s="18" t="str">
        <f t="shared" ca="1" si="2"/>
        <v>DUE — INSIDER ACTIVITY</v>
      </c>
      <c r="Q47" s="43"/>
    </row>
    <row r="48" spans="1:17" ht="15" customHeight="1" x14ac:dyDescent="0.3">
      <c r="A48" s="32" t="s">
        <v>266</v>
      </c>
      <c r="B48" s="165" t="s">
        <v>221</v>
      </c>
      <c r="C48" s="34">
        <v>46276</v>
      </c>
      <c r="D48" s="33"/>
      <c r="E48" s="33">
        <v>4</v>
      </c>
      <c r="F48" s="35"/>
      <c r="G48" s="162">
        <v>63.85</v>
      </c>
      <c r="H48" s="36" t="str">
        <f t="array" aca="1" ref="H48" ca="1">IFERROR(INDEX(_xlfn.STOCKHISTORY(A48,TODAY()-5,TODAY(),0,0,1),ROWS(_xlfn.STOCKHISTORY(A48,TODAY()-5,TODAY(),0,0,1)),1),"")</f>
        <v/>
      </c>
      <c r="I48" s="37" t="str">
        <f t="shared" ca="1" si="0"/>
        <v/>
      </c>
      <c r="J48" s="38">
        <v>46329</v>
      </c>
      <c r="K48" s="33" t="s">
        <v>202</v>
      </c>
      <c r="L48" s="39"/>
      <c r="M48" s="33" t="s">
        <v>202</v>
      </c>
      <c r="N48" s="39"/>
      <c r="O48" s="40">
        <f t="shared" ca="1" si="1"/>
        <v>2</v>
      </c>
      <c r="P48" s="41" t="str">
        <f t="shared" ca="1" si="2"/>
        <v>Monitor Only</v>
      </c>
      <c r="Q48" s="39" t="s">
        <v>267</v>
      </c>
    </row>
  </sheetData>
  <mergeCells count="1">
    <mergeCell ref="A1:Q1"/>
  </mergeCells>
  <conditionalFormatting sqref="B3:B47">
    <cfRule type="expression" dxfId="76" priority="10">
      <formula>ISNUMBER(SEARCH("AVOID",B3))</formula>
    </cfRule>
  </conditionalFormatting>
  <conditionalFormatting sqref="F3:F47">
    <cfRule type="cellIs" dxfId="75" priority="2" operator="equal">
      <formula>"STRONG BUY"</formula>
    </cfRule>
    <cfRule type="cellIs" dxfId="74" priority="3" operator="equal">
      <formula>"BUY"</formula>
    </cfRule>
    <cfRule type="cellIs" dxfId="73" priority="4" operator="equal">
      <formula>"WATCH LIST"</formula>
    </cfRule>
    <cfRule type="cellIs" dxfId="72" priority="5" operator="equal">
      <formula>"AVOID"</formula>
    </cfRule>
    <cfRule type="cellIs" dxfId="71" priority="6" operator="equal">
      <formula>"PASS"</formula>
    </cfRule>
  </conditionalFormatting>
  <conditionalFormatting sqref="P3:P47">
    <cfRule type="expression" dxfId="70" priority="7">
      <formula>ISNUMBER(SEARCH("DUE",O3))</formula>
    </cfRule>
    <cfRule type="expression" dxfId="69" priority="8">
      <formula>ISNUMBER(SEARCH("WATCH",O3))</formula>
    </cfRule>
    <cfRule type="expression" dxfId="68" priority="9">
      <formula>O3="Monitor Only"</formula>
    </cfRule>
  </conditionalFormatting>
  <dataValidations count="2">
    <dataValidation type="list" allowBlank="1" sqref="B19:B42" xr:uid="{00000000-0002-0000-0300-000000000000}">
      <formula1>"Owned,Owned - Tier1 AVOID,Closed,Watch List,Tier-1 Avoid (external),Near-Miss"</formula1>
      <formula2>0</formula2>
    </dataValidation>
    <dataValidation type="list" allowBlank="1" sqref="K3:K42 M3:M42" xr:uid="{00000000-0002-0000-0300-000001000000}">
      <formula1>"Y,N"</formula1>
      <formula2>0</formula2>
    </dataValidation>
  </dataValidations>
  <pageMargins left="0.75" right="0.75" top="1" bottom="1" header="0.511811023622047" footer="0.51180555555555596"/>
  <pageSetup paperSize="9" orientation="portrait" horizontalDpi="300" verticalDpi="300"/>
  <headerFooter>
    <oddFooter>&amp;L&amp;"Arial Narrow,Regular"&amp;8 &amp;F&amp;C&amp;"Arial Narrow,Regular"&amp;8 &amp;A - &amp;D &amp;T&amp;R&amp;"Arial,Regular" &amp;P / &amp;N</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65"/>
  <sheetViews>
    <sheetView showGridLines="0" zoomScaleNormal="100" workbookViewId="0">
      <pane xSplit="1" ySplit="2" topLeftCell="B3" activePane="bottomRight" state="frozen"/>
      <selection pane="topRight" activeCell="B1" sqref="B1"/>
      <selection pane="bottomLeft" activeCell="A149" sqref="A149"/>
      <selection pane="bottomRight" activeCell="Q128" sqref="Q128"/>
    </sheetView>
  </sheetViews>
  <sheetFormatPr defaultColWidth="8.6640625" defaultRowHeight="13.8" x14ac:dyDescent="0.3"/>
  <cols>
    <col min="1" max="1" width="12" style="168" customWidth="1"/>
    <col min="2" max="2" width="6.6640625" style="168" customWidth="1"/>
    <col min="3" max="3" width="6.5546875" style="168" customWidth="1"/>
    <col min="4" max="5" width="7" style="168" customWidth="1"/>
    <col min="6" max="6" width="7.109375" style="168" customWidth="1"/>
    <col min="7" max="7" width="6.5546875" style="168" customWidth="1"/>
    <col min="8" max="8" width="7" style="168" customWidth="1"/>
    <col min="9" max="9" width="6.77734375" style="168" customWidth="1"/>
    <col min="10" max="10" width="5.6640625" style="168" customWidth="1"/>
    <col min="11" max="11" width="6.109375" style="168" customWidth="1"/>
    <col min="12" max="13" width="5.6640625" style="168" customWidth="1"/>
    <col min="14" max="14" width="6.5546875" style="168" customWidth="1"/>
    <col min="15" max="15" width="6.77734375" style="168" customWidth="1"/>
    <col min="16" max="16" width="4.44140625" style="168" customWidth="1"/>
    <col min="17" max="17" width="6.5546875" style="168" customWidth="1"/>
    <col min="18" max="18" width="6.33203125" style="168" customWidth="1"/>
    <col min="19" max="19" width="6.77734375" style="168" customWidth="1"/>
    <col min="20" max="20" width="6.5546875" style="168" customWidth="1"/>
    <col min="21" max="21" width="3.77734375" style="168" customWidth="1"/>
    <col min="22" max="22" width="6.5546875" style="168" customWidth="1"/>
    <col min="23" max="27" width="5.6640625" style="168" bestFit="1" customWidth="1"/>
    <col min="28" max="16384" width="8.6640625" style="168"/>
  </cols>
  <sheetData>
    <row r="1" spans="1:27" ht="25.5" customHeight="1" x14ac:dyDescent="0.3">
      <c r="A1" s="176" t="s">
        <v>268</v>
      </c>
      <c r="B1" s="175"/>
      <c r="C1" s="175"/>
      <c r="D1" s="175"/>
      <c r="E1" s="175"/>
      <c r="F1" s="175"/>
      <c r="G1" s="175"/>
      <c r="H1" s="175"/>
      <c r="I1" s="175"/>
      <c r="J1" s="175"/>
      <c r="K1" s="175"/>
      <c r="L1" s="175"/>
      <c r="M1" s="175"/>
      <c r="N1" s="175"/>
      <c r="O1" s="175"/>
      <c r="P1" s="175"/>
      <c r="Q1" s="175"/>
    </row>
    <row r="2" spans="1:27" ht="15" customHeight="1" thickBot="1" x14ac:dyDescent="0.35">
      <c r="A2" s="169" t="s">
        <v>269</v>
      </c>
      <c r="B2" s="169" t="s">
        <v>90</v>
      </c>
      <c r="C2" s="169" t="s">
        <v>95</v>
      </c>
      <c r="D2" s="169" t="s">
        <v>97</v>
      </c>
      <c r="E2" s="169" t="s">
        <v>154</v>
      </c>
      <c r="F2" s="169" t="s">
        <v>99</v>
      </c>
      <c r="G2" s="169" t="s">
        <v>101</v>
      </c>
      <c r="H2" s="169" t="s">
        <v>103</v>
      </c>
      <c r="I2" s="169" t="s">
        <v>105</v>
      </c>
      <c r="J2" s="169" t="s">
        <v>159</v>
      </c>
      <c r="K2" s="169" t="s">
        <v>107</v>
      </c>
      <c r="L2" s="169" t="s">
        <v>109</v>
      </c>
      <c r="M2" s="169" t="s">
        <v>111</v>
      </c>
      <c r="N2" s="169" t="s">
        <v>156</v>
      </c>
      <c r="O2" s="169" t="s">
        <v>145</v>
      </c>
      <c r="P2" s="169"/>
      <c r="Q2" s="169" t="s">
        <v>151</v>
      </c>
      <c r="R2" s="169" t="s">
        <v>141</v>
      </c>
      <c r="S2" s="169" t="s">
        <v>133</v>
      </c>
      <c r="T2" s="169" t="s">
        <v>124</v>
      </c>
      <c r="U2" s="169"/>
      <c r="V2" s="169" t="s">
        <v>113</v>
      </c>
      <c r="W2" s="169"/>
      <c r="X2" s="169"/>
      <c r="Y2" s="169"/>
      <c r="Z2" s="169"/>
      <c r="AA2" s="169"/>
    </row>
    <row r="3" spans="1:27" ht="15" customHeight="1" x14ac:dyDescent="0.3">
      <c r="A3" s="170">
        <v>45149</v>
      </c>
      <c r="B3" s="171">
        <v>508.45</v>
      </c>
      <c r="C3" s="171">
        <v>43.74</v>
      </c>
      <c r="D3" s="171">
        <v>661.78</v>
      </c>
      <c r="E3" s="171">
        <v>82.98</v>
      </c>
      <c r="F3" s="171">
        <v>37.06</v>
      </c>
      <c r="G3" s="171">
        <v>47.9</v>
      </c>
      <c r="H3" s="171">
        <v>64.37</v>
      </c>
      <c r="I3" s="171">
        <v>40.85</v>
      </c>
      <c r="J3" s="171">
        <v>123.51</v>
      </c>
      <c r="K3" s="171">
        <v>15.41</v>
      </c>
      <c r="L3" s="171">
        <v>91.99</v>
      </c>
      <c r="M3" s="171">
        <v>33.51</v>
      </c>
      <c r="N3" s="171">
        <v>349.86</v>
      </c>
      <c r="O3" s="171">
        <v>82.85</v>
      </c>
      <c r="P3" s="171"/>
      <c r="Q3" s="171">
        <v>49.84</v>
      </c>
      <c r="R3" s="171">
        <v>47.82</v>
      </c>
      <c r="S3" s="171">
        <v>58.54</v>
      </c>
      <c r="T3" s="171">
        <v>26.91</v>
      </c>
      <c r="U3" s="171"/>
      <c r="V3" s="171"/>
      <c r="W3" s="171"/>
      <c r="X3" s="171"/>
      <c r="Y3" s="171"/>
      <c r="Z3" s="171"/>
      <c r="AA3" s="171"/>
    </row>
    <row r="4" spans="1:27" ht="15" customHeight="1" x14ac:dyDescent="0.3">
      <c r="A4" s="172">
        <v>45156</v>
      </c>
      <c r="B4" s="173">
        <v>508.13</v>
      </c>
      <c r="C4" s="173">
        <v>45.14</v>
      </c>
      <c r="D4" s="173">
        <v>655.33000000000004</v>
      </c>
      <c r="E4" s="173">
        <v>82.58</v>
      </c>
      <c r="F4" s="173">
        <v>36.700000000000003</v>
      </c>
      <c r="G4" s="173">
        <v>47.8</v>
      </c>
      <c r="H4" s="173">
        <v>63.59</v>
      </c>
      <c r="I4" s="173">
        <v>43.3</v>
      </c>
      <c r="J4" s="173">
        <v>121.47</v>
      </c>
      <c r="K4" s="173">
        <v>14.4</v>
      </c>
      <c r="L4" s="173">
        <v>91.1</v>
      </c>
      <c r="M4" s="173">
        <v>33.97</v>
      </c>
      <c r="N4" s="173">
        <v>344.82</v>
      </c>
      <c r="O4" s="173">
        <v>80.3</v>
      </c>
      <c r="P4" s="173"/>
      <c r="Q4" s="173">
        <v>50</v>
      </c>
      <c r="R4" s="173">
        <v>46.93</v>
      </c>
      <c r="S4" s="173">
        <v>58.05</v>
      </c>
      <c r="T4" s="173">
        <v>26.19</v>
      </c>
      <c r="U4" s="173"/>
      <c r="V4" s="173"/>
      <c r="W4" s="173"/>
      <c r="X4" s="173"/>
      <c r="Y4" s="173"/>
      <c r="Z4" s="173"/>
      <c r="AA4" s="173"/>
    </row>
    <row r="5" spans="1:27" ht="15" customHeight="1" x14ac:dyDescent="0.3">
      <c r="A5" s="172">
        <v>45163</v>
      </c>
      <c r="B5" s="173">
        <v>525.05999999999995</v>
      </c>
      <c r="C5" s="173">
        <v>45.23</v>
      </c>
      <c r="D5" s="173">
        <v>651.01</v>
      </c>
      <c r="E5" s="173">
        <v>85.18</v>
      </c>
      <c r="F5" s="173">
        <v>37.4</v>
      </c>
      <c r="G5" s="173">
        <v>48.17</v>
      </c>
      <c r="H5" s="173">
        <v>63.72</v>
      </c>
      <c r="I5" s="173">
        <v>46.02</v>
      </c>
      <c r="J5" s="173">
        <v>122.66</v>
      </c>
      <c r="K5" s="173">
        <v>14.53</v>
      </c>
      <c r="L5" s="173">
        <v>93.1</v>
      </c>
      <c r="M5" s="173">
        <v>37.5</v>
      </c>
      <c r="N5" s="173">
        <v>350.06</v>
      </c>
      <c r="O5" s="173">
        <v>79</v>
      </c>
      <c r="P5" s="173"/>
      <c r="Q5" s="173">
        <v>50.17</v>
      </c>
      <c r="R5" s="173">
        <v>47.68</v>
      </c>
      <c r="S5" s="173">
        <v>57.89</v>
      </c>
      <c r="T5" s="173">
        <v>25.98</v>
      </c>
      <c r="U5" s="173"/>
      <c r="V5" s="173"/>
      <c r="W5" s="173"/>
      <c r="X5" s="173"/>
      <c r="Y5" s="173"/>
      <c r="Z5" s="173"/>
      <c r="AA5" s="173"/>
    </row>
    <row r="6" spans="1:27" ht="15" customHeight="1" x14ac:dyDescent="0.3">
      <c r="A6" s="172">
        <v>45170</v>
      </c>
      <c r="B6" s="173">
        <v>563.21</v>
      </c>
      <c r="C6" s="173">
        <v>49.34</v>
      </c>
      <c r="D6" s="173">
        <v>662.52</v>
      </c>
      <c r="E6" s="173">
        <v>87.25</v>
      </c>
      <c r="F6" s="173">
        <v>40.31</v>
      </c>
      <c r="G6" s="173">
        <v>50.7</v>
      </c>
      <c r="H6" s="173">
        <v>70.39</v>
      </c>
      <c r="I6" s="173">
        <v>48.51</v>
      </c>
      <c r="J6" s="173">
        <v>124.59</v>
      </c>
      <c r="K6" s="173">
        <v>15.18</v>
      </c>
      <c r="L6" s="173">
        <v>93.19</v>
      </c>
      <c r="M6" s="173">
        <v>39.869999999999997</v>
      </c>
      <c r="N6" s="173">
        <v>351.1</v>
      </c>
      <c r="O6" s="173">
        <v>82.69</v>
      </c>
      <c r="P6" s="173"/>
      <c r="Q6" s="173">
        <v>49.61</v>
      </c>
      <c r="R6" s="173">
        <v>48.55</v>
      </c>
      <c r="S6" s="173">
        <v>58.82</v>
      </c>
      <c r="T6" s="173">
        <v>26.66</v>
      </c>
      <c r="U6" s="173"/>
      <c r="V6" s="173"/>
      <c r="W6" s="173"/>
      <c r="X6" s="173"/>
      <c r="Y6" s="173"/>
      <c r="Z6" s="173"/>
      <c r="AA6" s="173"/>
    </row>
    <row r="7" spans="1:27" ht="15" customHeight="1" x14ac:dyDescent="0.3">
      <c r="A7" s="172">
        <v>45177</v>
      </c>
      <c r="B7" s="173">
        <v>560.36</v>
      </c>
      <c r="C7" s="173">
        <v>49.12</v>
      </c>
      <c r="D7" s="173">
        <v>627.86</v>
      </c>
      <c r="E7" s="173">
        <v>85.76</v>
      </c>
      <c r="F7" s="173">
        <v>42.02</v>
      </c>
      <c r="G7" s="173">
        <v>49.77</v>
      </c>
      <c r="H7" s="173">
        <v>70.180000000000007</v>
      </c>
      <c r="I7" s="173">
        <v>45.57</v>
      </c>
      <c r="J7" s="173">
        <v>122.48</v>
      </c>
      <c r="K7" s="173">
        <v>15.13</v>
      </c>
      <c r="L7" s="173">
        <v>89.64</v>
      </c>
      <c r="M7" s="173">
        <v>39.200000000000003</v>
      </c>
      <c r="N7" s="173">
        <v>343.05</v>
      </c>
      <c r="O7" s="173">
        <v>79.510000000000005</v>
      </c>
      <c r="P7" s="173"/>
      <c r="Q7" s="173">
        <v>48.75</v>
      </c>
      <c r="R7" s="173">
        <v>48.23</v>
      </c>
      <c r="S7" s="173">
        <v>59.17</v>
      </c>
      <c r="T7" s="173">
        <v>26.47</v>
      </c>
      <c r="U7" s="173"/>
      <c r="V7" s="173">
        <v>241.71</v>
      </c>
      <c r="W7" s="173"/>
      <c r="X7" s="173"/>
      <c r="Y7" s="173"/>
      <c r="Z7" s="173"/>
      <c r="AA7" s="173"/>
    </row>
    <row r="8" spans="1:27" ht="15" customHeight="1" x14ac:dyDescent="0.3">
      <c r="A8" s="172">
        <v>45184</v>
      </c>
      <c r="B8" s="173">
        <v>528.89</v>
      </c>
      <c r="C8" s="173">
        <v>46.18</v>
      </c>
      <c r="D8" s="173">
        <v>596.66</v>
      </c>
      <c r="E8" s="173">
        <v>85.17</v>
      </c>
      <c r="F8" s="173">
        <v>41.36</v>
      </c>
      <c r="G8" s="173">
        <v>45.42</v>
      </c>
      <c r="H8" s="173">
        <v>69.88</v>
      </c>
      <c r="I8" s="173">
        <v>43.9</v>
      </c>
      <c r="J8" s="173">
        <v>123.18</v>
      </c>
      <c r="K8" s="173">
        <v>15.33</v>
      </c>
      <c r="L8" s="173">
        <v>89.25</v>
      </c>
      <c r="M8" s="173">
        <v>38.17</v>
      </c>
      <c r="N8" s="173">
        <v>348.9</v>
      </c>
      <c r="O8" s="173">
        <v>79.36</v>
      </c>
      <c r="P8" s="173"/>
      <c r="Q8" s="173">
        <v>50.71</v>
      </c>
      <c r="R8" s="173">
        <v>48.21</v>
      </c>
      <c r="S8" s="173">
        <v>59.17</v>
      </c>
      <c r="T8" s="173">
        <v>26.3</v>
      </c>
      <c r="U8" s="173"/>
      <c r="V8" s="173">
        <v>235.63</v>
      </c>
      <c r="W8" s="173"/>
      <c r="X8" s="173"/>
      <c r="Y8" s="173"/>
      <c r="Z8" s="173"/>
      <c r="AA8" s="173"/>
    </row>
    <row r="9" spans="1:27" ht="15" customHeight="1" x14ac:dyDescent="0.3">
      <c r="A9" s="172">
        <v>45191</v>
      </c>
      <c r="B9" s="173">
        <v>512.9</v>
      </c>
      <c r="C9" s="173">
        <v>45.09</v>
      </c>
      <c r="D9" s="173">
        <v>587.1</v>
      </c>
      <c r="E9" s="173">
        <v>82.91</v>
      </c>
      <c r="F9" s="173">
        <v>40.64</v>
      </c>
      <c r="G9" s="173">
        <v>45.18</v>
      </c>
      <c r="H9" s="173">
        <v>68.88</v>
      </c>
      <c r="I9" s="173">
        <v>41.61</v>
      </c>
      <c r="J9" s="173">
        <v>114.07</v>
      </c>
      <c r="K9" s="173">
        <v>14.13</v>
      </c>
      <c r="L9" s="173">
        <v>85.64</v>
      </c>
      <c r="M9" s="173">
        <v>36.450000000000003</v>
      </c>
      <c r="N9" s="173">
        <v>349.53</v>
      </c>
      <c r="O9" s="173">
        <v>76.69</v>
      </c>
      <c r="P9" s="173"/>
      <c r="Q9" s="173">
        <v>51.22</v>
      </c>
      <c r="R9" s="173">
        <v>46.91</v>
      </c>
      <c r="S9" s="173">
        <v>57.46</v>
      </c>
      <c r="T9" s="173">
        <v>25.91</v>
      </c>
      <c r="U9" s="173"/>
      <c r="V9" s="173">
        <v>229.78</v>
      </c>
      <c r="W9" s="173"/>
      <c r="X9" s="173"/>
      <c r="Y9" s="173"/>
      <c r="Z9" s="173"/>
      <c r="AA9" s="173"/>
    </row>
    <row r="10" spans="1:27" ht="15" customHeight="1" x14ac:dyDescent="0.3">
      <c r="A10" s="172">
        <v>45198</v>
      </c>
      <c r="B10" s="173">
        <v>509.9</v>
      </c>
      <c r="C10" s="173">
        <v>45.98</v>
      </c>
      <c r="D10" s="173">
        <v>588.66</v>
      </c>
      <c r="E10" s="173">
        <v>83.06</v>
      </c>
      <c r="F10" s="173">
        <v>41.85</v>
      </c>
      <c r="G10" s="173">
        <v>45.87</v>
      </c>
      <c r="H10" s="173">
        <v>68.03</v>
      </c>
      <c r="I10" s="173">
        <v>43.5</v>
      </c>
      <c r="J10" s="173">
        <v>112.21</v>
      </c>
      <c r="K10" s="173">
        <v>16</v>
      </c>
      <c r="L10" s="173">
        <v>86.9</v>
      </c>
      <c r="M10" s="173">
        <v>37.200000000000003</v>
      </c>
      <c r="N10" s="173">
        <v>347.74</v>
      </c>
      <c r="O10" s="173">
        <v>77.95</v>
      </c>
      <c r="P10" s="173"/>
      <c r="Q10" s="173">
        <v>51.89</v>
      </c>
      <c r="R10" s="173">
        <v>46.93</v>
      </c>
      <c r="S10" s="173">
        <v>57.28</v>
      </c>
      <c r="T10" s="173">
        <v>25.98</v>
      </c>
      <c r="U10" s="173"/>
      <c r="V10" s="173">
        <v>224.82</v>
      </c>
      <c r="W10" s="173"/>
      <c r="X10" s="173"/>
      <c r="Y10" s="173"/>
      <c r="Z10" s="173"/>
      <c r="AA10" s="173"/>
    </row>
    <row r="11" spans="1:27" ht="15" customHeight="1" x14ac:dyDescent="0.3">
      <c r="A11" s="172">
        <v>45205</v>
      </c>
      <c r="B11" s="173">
        <v>526.67999999999995</v>
      </c>
      <c r="C11" s="173">
        <v>48.51</v>
      </c>
      <c r="D11" s="173">
        <v>597.36</v>
      </c>
      <c r="E11" s="173">
        <v>84.53</v>
      </c>
      <c r="F11" s="173">
        <v>44.17</v>
      </c>
      <c r="G11" s="173">
        <v>46.81</v>
      </c>
      <c r="H11" s="173">
        <v>69.959999999999994</v>
      </c>
      <c r="I11" s="173">
        <v>45.76</v>
      </c>
      <c r="J11" s="173">
        <v>108.91</v>
      </c>
      <c r="K11" s="173">
        <v>16.61</v>
      </c>
      <c r="L11" s="173">
        <v>89.29</v>
      </c>
      <c r="M11" s="173">
        <v>39.770000000000003</v>
      </c>
      <c r="N11" s="173">
        <v>360.62</v>
      </c>
      <c r="O11" s="173">
        <v>75.599999999999994</v>
      </c>
      <c r="P11" s="173"/>
      <c r="Q11" s="173">
        <v>52.12</v>
      </c>
      <c r="R11" s="173">
        <v>47.13</v>
      </c>
      <c r="S11" s="173">
        <v>57.92</v>
      </c>
      <c r="T11" s="173">
        <v>25.5</v>
      </c>
      <c r="U11" s="173"/>
      <c r="V11" s="173">
        <v>229.74</v>
      </c>
      <c r="W11" s="173"/>
      <c r="X11" s="173"/>
      <c r="Y11" s="173"/>
      <c r="Z11" s="173"/>
      <c r="AA11" s="173"/>
    </row>
    <row r="12" spans="1:27" ht="15" customHeight="1" x14ac:dyDescent="0.3">
      <c r="A12" s="172">
        <v>45212</v>
      </c>
      <c r="B12" s="173">
        <v>548.76</v>
      </c>
      <c r="C12" s="173">
        <v>47.46</v>
      </c>
      <c r="D12" s="173">
        <v>599.75</v>
      </c>
      <c r="E12" s="173">
        <v>88.32</v>
      </c>
      <c r="F12" s="173">
        <v>46.43</v>
      </c>
      <c r="G12" s="173">
        <v>48.68</v>
      </c>
      <c r="H12" s="173">
        <v>69.209999999999994</v>
      </c>
      <c r="I12" s="173">
        <v>45.46</v>
      </c>
      <c r="J12" s="173">
        <v>109.65</v>
      </c>
      <c r="K12" s="173">
        <v>17.36</v>
      </c>
      <c r="L12" s="173">
        <v>90.46</v>
      </c>
      <c r="M12" s="173">
        <v>39.1</v>
      </c>
      <c r="N12" s="173">
        <v>371</v>
      </c>
      <c r="O12" s="173">
        <v>75.8</v>
      </c>
      <c r="P12" s="173"/>
      <c r="Q12" s="173">
        <v>52.17</v>
      </c>
      <c r="R12" s="173">
        <v>47.26</v>
      </c>
      <c r="S12" s="173">
        <v>58.25</v>
      </c>
      <c r="T12" s="173">
        <v>25.83</v>
      </c>
      <c r="U12" s="173"/>
      <c r="V12" s="173">
        <v>232.31</v>
      </c>
      <c r="W12" s="173"/>
      <c r="X12" s="173"/>
      <c r="Y12" s="173"/>
      <c r="Z12" s="173"/>
      <c r="AA12" s="173"/>
    </row>
    <row r="13" spans="1:27" ht="15" customHeight="1" x14ac:dyDescent="0.3">
      <c r="A13" s="172">
        <v>45219</v>
      </c>
      <c r="B13" s="173">
        <v>540.96</v>
      </c>
      <c r="C13" s="173">
        <v>46.53</v>
      </c>
      <c r="D13" s="173">
        <v>580.1</v>
      </c>
      <c r="E13" s="173">
        <v>85.36</v>
      </c>
      <c r="F13" s="173">
        <v>44.69</v>
      </c>
      <c r="G13" s="173">
        <v>46.24</v>
      </c>
      <c r="H13" s="173">
        <v>67.22</v>
      </c>
      <c r="I13" s="173">
        <v>41.39</v>
      </c>
      <c r="J13" s="173">
        <v>102.43</v>
      </c>
      <c r="K13" s="173">
        <v>16.11</v>
      </c>
      <c r="L13" s="173">
        <v>91.31</v>
      </c>
      <c r="M13" s="173">
        <v>36.74</v>
      </c>
      <c r="N13" s="173">
        <v>361.86</v>
      </c>
      <c r="O13" s="173">
        <v>74.53</v>
      </c>
      <c r="P13" s="173"/>
      <c r="Q13" s="173">
        <v>52.36</v>
      </c>
      <c r="R13" s="173">
        <v>46.32</v>
      </c>
      <c r="S13" s="173">
        <v>56.56</v>
      </c>
      <c r="T13" s="173">
        <v>25.5</v>
      </c>
      <c r="U13" s="173"/>
      <c r="V13" s="173">
        <v>228.12</v>
      </c>
      <c r="W13" s="173"/>
      <c r="X13" s="173"/>
      <c r="Y13" s="173"/>
      <c r="Z13" s="173"/>
      <c r="AA13" s="173"/>
    </row>
    <row r="14" spans="1:27" ht="15" customHeight="1" x14ac:dyDescent="0.3">
      <c r="A14" s="172">
        <v>45226</v>
      </c>
      <c r="B14" s="173">
        <v>508.12</v>
      </c>
      <c r="C14" s="173">
        <v>44.05</v>
      </c>
      <c r="D14" s="173">
        <v>590</v>
      </c>
      <c r="E14" s="173">
        <v>83.84</v>
      </c>
      <c r="F14" s="173">
        <v>43.21</v>
      </c>
      <c r="G14" s="173">
        <v>45.79</v>
      </c>
      <c r="H14" s="173">
        <v>65.650000000000006</v>
      </c>
      <c r="I14" s="173">
        <v>40.5</v>
      </c>
      <c r="J14" s="173">
        <v>97.32</v>
      </c>
      <c r="K14" s="173">
        <v>15.07</v>
      </c>
      <c r="L14" s="173">
        <v>85.99</v>
      </c>
      <c r="M14" s="173">
        <v>36.42</v>
      </c>
      <c r="N14" s="173">
        <v>355.28</v>
      </c>
      <c r="O14" s="173">
        <v>73.38</v>
      </c>
      <c r="P14" s="173"/>
      <c r="Q14" s="173">
        <v>52.83</v>
      </c>
      <c r="R14" s="173">
        <v>45.36</v>
      </c>
      <c r="S14" s="173">
        <v>55.42</v>
      </c>
      <c r="T14" s="173">
        <v>24.66</v>
      </c>
      <c r="U14" s="173"/>
      <c r="V14" s="173">
        <v>224.1</v>
      </c>
      <c r="W14" s="173"/>
      <c r="X14" s="173"/>
      <c r="Y14" s="173"/>
      <c r="Z14" s="173"/>
      <c r="AA14" s="173"/>
    </row>
    <row r="15" spans="1:27" ht="15" customHeight="1" x14ac:dyDescent="0.3">
      <c r="A15" s="172">
        <v>45233</v>
      </c>
      <c r="B15" s="173">
        <v>563.66</v>
      </c>
      <c r="C15" s="173">
        <v>53.12</v>
      </c>
      <c r="D15" s="173">
        <v>642.41</v>
      </c>
      <c r="E15" s="173">
        <v>88.27</v>
      </c>
      <c r="F15" s="173">
        <v>47.06</v>
      </c>
      <c r="G15" s="173">
        <v>49.96</v>
      </c>
      <c r="H15" s="173">
        <v>72.58</v>
      </c>
      <c r="I15" s="173">
        <v>45.01</v>
      </c>
      <c r="J15" s="173">
        <v>106.55</v>
      </c>
      <c r="K15" s="173">
        <v>18.89</v>
      </c>
      <c r="L15" s="173">
        <v>91.79</v>
      </c>
      <c r="M15" s="173">
        <v>40.44</v>
      </c>
      <c r="N15" s="173">
        <v>376.2</v>
      </c>
      <c r="O15" s="173">
        <v>78.63</v>
      </c>
      <c r="P15" s="173"/>
      <c r="Q15" s="173">
        <v>52.79</v>
      </c>
      <c r="R15" s="173">
        <v>47.52</v>
      </c>
      <c r="S15" s="173">
        <v>58.65</v>
      </c>
      <c r="T15" s="173">
        <v>26.11</v>
      </c>
      <c r="U15" s="173"/>
      <c r="V15" s="173">
        <v>238.11</v>
      </c>
      <c r="W15" s="173"/>
      <c r="X15" s="173"/>
      <c r="Y15" s="173"/>
      <c r="Z15" s="173"/>
      <c r="AA15" s="173"/>
    </row>
    <row r="16" spans="1:27" ht="15" customHeight="1" x14ac:dyDescent="0.3">
      <c r="A16" s="172">
        <v>45240</v>
      </c>
      <c r="B16" s="173">
        <v>597.22</v>
      </c>
      <c r="C16" s="173">
        <v>51.71</v>
      </c>
      <c r="D16" s="173">
        <v>661.28</v>
      </c>
      <c r="E16" s="173">
        <v>95.75</v>
      </c>
      <c r="F16" s="173">
        <v>49.08</v>
      </c>
      <c r="G16" s="173">
        <v>53.43</v>
      </c>
      <c r="H16" s="173">
        <v>75.36</v>
      </c>
      <c r="I16" s="173">
        <v>48.34</v>
      </c>
      <c r="J16" s="173">
        <v>104.55</v>
      </c>
      <c r="K16" s="173">
        <v>19.670000000000002</v>
      </c>
      <c r="L16" s="173">
        <v>97.44</v>
      </c>
      <c r="M16" s="173">
        <v>41.83</v>
      </c>
      <c r="N16" s="173">
        <v>373.65</v>
      </c>
      <c r="O16" s="173">
        <v>75.95</v>
      </c>
      <c r="P16" s="173"/>
      <c r="Q16" s="173">
        <v>52.88</v>
      </c>
      <c r="R16" s="173">
        <v>48.51</v>
      </c>
      <c r="S16" s="173">
        <v>60.38</v>
      </c>
      <c r="T16" s="173">
        <v>25.93</v>
      </c>
      <c r="U16" s="173"/>
      <c r="V16" s="173">
        <v>240.23</v>
      </c>
      <c r="W16" s="173"/>
      <c r="X16" s="173"/>
      <c r="Y16" s="173"/>
      <c r="Z16" s="173"/>
      <c r="AA16" s="173"/>
    </row>
    <row r="17" spans="1:27" ht="15" customHeight="1" x14ac:dyDescent="0.3">
      <c r="A17" s="172">
        <v>45247</v>
      </c>
      <c r="B17" s="173">
        <v>602.66</v>
      </c>
      <c r="C17" s="173">
        <v>53.66</v>
      </c>
      <c r="D17" s="173">
        <v>686.09</v>
      </c>
      <c r="E17" s="173">
        <v>97.77</v>
      </c>
      <c r="F17" s="173">
        <v>51.77</v>
      </c>
      <c r="G17" s="173">
        <v>54.45</v>
      </c>
      <c r="H17" s="173">
        <v>77.56</v>
      </c>
      <c r="I17" s="173">
        <v>49.3</v>
      </c>
      <c r="J17" s="173">
        <v>110.07</v>
      </c>
      <c r="K17" s="173">
        <v>20.49</v>
      </c>
      <c r="L17" s="173">
        <v>99.58</v>
      </c>
      <c r="M17" s="173">
        <v>43.29</v>
      </c>
      <c r="N17" s="173">
        <v>350.5</v>
      </c>
      <c r="O17" s="173">
        <v>80.16</v>
      </c>
      <c r="P17" s="173"/>
      <c r="Q17" s="173">
        <v>52.65</v>
      </c>
      <c r="R17" s="173">
        <v>48.97</v>
      </c>
      <c r="S17" s="173">
        <v>61.69</v>
      </c>
      <c r="T17" s="173">
        <v>26.59</v>
      </c>
      <c r="U17" s="173"/>
      <c r="V17" s="173">
        <v>244.45</v>
      </c>
      <c r="W17" s="173"/>
      <c r="X17" s="173"/>
      <c r="Y17" s="173"/>
      <c r="Z17" s="173"/>
      <c r="AA17" s="173"/>
    </row>
    <row r="18" spans="1:27" ht="15" customHeight="1" x14ac:dyDescent="0.3">
      <c r="A18" s="172">
        <v>45254</v>
      </c>
      <c r="B18" s="173">
        <v>619.42999999999995</v>
      </c>
      <c r="C18" s="173">
        <v>54.6</v>
      </c>
      <c r="D18" s="173">
        <v>691.18</v>
      </c>
      <c r="E18" s="173">
        <v>97.89</v>
      </c>
      <c r="F18" s="173">
        <v>52.67</v>
      </c>
      <c r="G18" s="173">
        <v>55.56</v>
      </c>
      <c r="H18" s="173">
        <v>76.87</v>
      </c>
      <c r="I18" s="173">
        <v>47.78</v>
      </c>
      <c r="J18" s="173">
        <v>112</v>
      </c>
      <c r="K18" s="173">
        <v>19.2</v>
      </c>
      <c r="L18" s="173">
        <v>97.83</v>
      </c>
      <c r="M18" s="173">
        <v>42.68</v>
      </c>
      <c r="N18" s="173">
        <v>353.04</v>
      </c>
      <c r="O18" s="173">
        <v>80.17</v>
      </c>
      <c r="P18" s="173"/>
      <c r="Q18" s="173">
        <v>53.17</v>
      </c>
      <c r="R18" s="173">
        <v>49.23</v>
      </c>
      <c r="S18" s="173">
        <v>62.03</v>
      </c>
      <c r="T18" s="173">
        <v>26.78</v>
      </c>
      <c r="U18" s="173"/>
      <c r="V18" s="173">
        <v>249.1</v>
      </c>
      <c r="W18" s="173"/>
      <c r="X18" s="173"/>
      <c r="Y18" s="173"/>
      <c r="Z18" s="173"/>
      <c r="AA18" s="173"/>
    </row>
    <row r="19" spans="1:27" ht="15" customHeight="1" x14ac:dyDescent="0.3">
      <c r="A19" s="172">
        <v>45261</v>
      </c>
      <c r="B19" s="173">
        <v>612.47</v>
      </c>
      <c r="C19" s="173">
        <v>54.16</v>
      </c>
      <c r="D19" s="173">
        <v>692.2</v>
      </c>
      <c r="E19" s="173">
        <v>93</v>
      </c>
      <c r="F19" s="173">
        <v>58.76</v>
      </c>
      <c r="G19" s="173">
        <v>54.9</v>
      </c>
      <c r="H19" s="173">
        <v>75.930000000000007</v>
      </c>
      <c r="I19" s="173">
        <v>46.77</v>
      </c>
      <c r="J19" s="173">
        <v>118.26</v>
      </c>
      <c r="K19" s="173">
        <v>20.27</v>
      </c>
      <c r="L19" s="173">
        <v>98.55</v>
      </c>
      <c r="M19" s="173">
        <v>45.14</v>
      </c>
      <c r="N19" s="173">
        <v>351.16</v>
      </c>
      <c r="O19" s="173">
        <v>82.86</v>
      </c>
      <c r="P19" s="173"/>
      <c r="Q19" s="173">
        <v>53.48</v>
      </c>
      <c r="R19" s="173">
        <v>48.9</v>
      </c>
      <c r="S19" s="173">
        <v>61.89</v>
      </c>
      <c r="T19" s="173">
        <v>27.14</v>
      </c>
      <c r="U19" s="173"/>
      <c r="V19" s="173">
        <v>251.2</v>
      </c>
      <c r="W19" s="173"/>
      <c r="X19" s="173"/>
      <c r="Y19" s="173"/>
      <c r="Z19" s="173"/>
      <c r="AA19" s="173"/>
    </row>
    <row r="20" spans="1:27" ht="15" customHeight="1" x14ac:dyDescent="0.3">
      <c r="A20" s="172">
        <v>45268</v>
      </c>
      <c r="B20" s="173">
        <v>610.01</v>
      </c>
      <c r="C20" s="173">
        <v>56.01</v>
      </c>
      <c r="D20" s="173">
        <v>696.43</v>
      </c>
      <c r="E20" s="173">
        <v>94.43</v>
      </c>
      <c r="F20" s="173">
        <v>60.64</v>
      </c>
      <c r="G20" s="173">
        <v>53.44</v>
      </c>
      <c r="H20" s="173">
        <v>74.959999999999994</v>
      </c>
      <c r="I20" s="173">
        <v>47.51</v>
      </c>
      <c r="J20" s="173">
        <v>119.85</v>
      </c>
      <c r="K20" s="173">
        <v>17.77</v>
      </c>
      <c r="L20" s="173">
        <v>100.35</v>
      </c>
      <c r="M20" s="173">
        <v>47.14</v>
      </c>
      <c r="N20" s="173">
        <v>350.15</v>
      </c>
      <c r="O20" s="173">
        <v>83.55</v>
      </c>
      <c r="P20" s="173"/>
      <c r="Q20" s="173">
        <v>53.82</v>
      </c>
      <c r="R20" s="173">
        <v>49.26</v>
      </c>
      <c r="S20" s="173">
        <v>62.12</v>
      </c>
      <c r="T20" s="173">
        <v>27.38</v>
      </c>
      <c r="U20" s="173"/>
      <c r="V20" s="173">
        <v>250.51</v>
      </c>
      <c r="W20" s="173"/>
      <c r="X20" s="173"/>
      <c r="Y20" s="173"/>
      <c r="Z20" s="173"/>
      <c r="AA20" s="173"/>
    </row>
    <row r="21" spans="1:27" ht="15" customHeight="1" x14ac:dyDescent="0.3">
      <c r="A21" s="172">
        <v>45275</v>
      </c>
      <c r="B21" s="173">
        <v>584.67999999999995</v>
      </c>
      <c r="C21" s="173">
        <v>58.9</v>
      </c>
      <c r="D21" s="173">
        <v>752.96</v>
      </c>
      <c r="E21" s="173">
        <v>112.97</v>
      </c>
      <c r="F21" s="173">
        <v>65.02</v>
      </c>
      <c r="G21" s="173">
        <v>58.51</v>
      </c>
      <c r="H21" s="173">
        <v>81.41</v>
      </c>
      <c r="I21" s="173">
        <v>48.89</v>
      </c>
      <c r="J21" s="173">
        <v>134.26</v>
      </c>
      <c r="K21" s="173">
        <v>18.2</v>
      </c>
      <c r="L21" s="173">
        <v>102.54</v>
      </c>
      <c r="M21" s="173">
        <v>47.73</v>
      </c>
      <c r="N21" s="173">
        <v>410.68</v>
      </c>
      <c r="O21" s="173">
        <v>88.13</v>
      </c>
      <c r="P21" s="173"/>
      <c r="Q21" s="173">
        <v>54.58</v>
      </c>
      <c r="R21" s="173">
        <v>50</v>
      </c>
      <c r="S21" s="173">
        <v>64.239999999999995</v>
      </c>
      <c r="T21" s="173">
        <v>28.14</v>
      </c>
      <c r="U21" s="173"/>
      <c r="V21" s="173">
        <v>252.75</v>
      </c>
      <c r="W21" s="173"/>
      <c r="X21" s="173"/>
      <c r="Y21" s="173"/>
      <c r="Z21" s="173"/>
      <c r="AA21" s="173"/>
    </row>
    <row r="22" spans="1:27" ht="15" customHeight="1" x14ac:dyDescent="0.3">
      <c r="A22" s="172">
        <v>45282</v>
      </c>
      <c r="B22" s="173">
        <v>598.75</v>
      </c>
      <c r="C22" s="173">
        <v>59.57</v>
      </c>
      <c r="D22" s="173">
        <v>752.53</v>
      </c>
      <c r="E22" s="173">
        <v>112.2</v>
      </c>
      <c r="F22" s="173">
        <v>63.91</v>
      </c>
      <c r="G22" s="173">
        <v>58.27</v>
      </c>
      <c r="H22" s="173">
        <v>86.49</v>
      </c>
      <c r="I22" s="173">
        <v>48.83</v>
      </c>
      <c r="J22" s="173">
        <v>132.4</v>
      </c>
      <c r="K22" s="173">
        <v>17.41</v>
      </c>
      <c r="L22" s="173">
        <v>103.15</v>
      </c>
      <c r="M22" s="173">
        <v>48.78</v>
      </c>
      <c r="N22" s="173">
        <v>405.25</v>
      </c>
      <c r="O22" s="173">
        <v>90.13</v>
      </c>
      <c r="P22" s="173"/>
      <c r="Q22" s="173">
        <v>54.82</v>
      </c>
      <c r="R22" s="173">
        <v>50.16</v>
      </c>
      <c r="S22" s="173">
        <v>65.040000000000006</v>
      </c>
      <c r="T22" s="173">
        <v>28.41</v>
      </c>
      <c r="U22" s="173"/>
      <c r="V22" s="173">
        <v>253.14</v>
      </c>
      <c r="W22" s="173"/>
      <c r="X22" s="173"/>
      <c r="Y22" s="173"/>
      <c r="Z22" s="173"/>
      <c r="AA22" s="173"/>
    </row>
    <row r="23" spans="1:27" ht="15" customHeight="1" x14ac:dyDescent="0.3">
      <c r="A23" s="172">
        <v>45289</v>
      </c>
      <c r="B23" s="173">
        <v>596.6</v>
      </c>
      <c r="C23" s="173">
        <v>58.88</v>
      </c>
      <c r="D23" s="173">
        <v>756.92</v>
      </c>
      <c r="E23" s="173">
        <v>111.63</v>
      </c>
      <c r="F23" s="173">
        <v>63.83</v>
      </c>
      <c r="G23" s="173">
        <v>58.13</v>
      </c>
      <c r="H23" s="173">
        <v>85.34</v>
      </c>
      <c r="I23" s="173">
        <v>49.52</v>
      </c>
      <c r="J23" s="173">
        <v>133.30000000000001</v>
      </c>
      <c r="K23" s="173">
        <v>17.170000000000002</v>
      </c>
      <c r="L23" s="173">
        <v>104</v>
      </c>
      <c r="M23" s="173">
        <v>48.03</v>
      </c>
      <c r="N23" s="173">
        <v>406.89</v>
      </c>
      <c r="O23" s="173">
        <v>89.8</v>
      </c>
      <c r="P23" s="173"/>
      <c r="Q23" s="173">
        <v>54.52</v>
      </c>
      <c r="R23" s="173">
        <v>49.93</v>
      </c>
      <c r="S23" s="173">
        <v>65.5</v>
      </c>
      <c r="T23" s="173">
        <v>28.34</v>
      </c>
      <c r="U23" s="173"/>
      <c r="V23" s="173">
        <v>255.02</v>
      </c>
      <c r="W23" s="173"/>
      <c r="X23" s="173"/>
      <c r="Y23" s="173"/>
      <c r="Z23" s="173"/>
      <c r="AA23" s="173"/>
    </row>
    <row r="24" spans="1:27" ht="15" customHeight="1" x14ac:dyDescent="0.3">
      <c r="A24" s="172">
        <v>45296</v>
      </c>
      <c r="B24" s="173">
        <v>564.6</v>
      </c>
      <c r="C24" s="173">
        <v>57.73</v>
      </c>
      <c r="D24" s="173">
        <v>703.34</v>
      </c>
      <c r="E24" s="173">
        <v>104.93</v>
      </c>
      <c r="F24" s="173">
        <v>61.87</v>
      </c>
      <c r="G24" s="173">
        <v>54.43</v>
      </c>
      <c r="H24" s="173">
        <v>83.45</v>
      </c>
      <c r="I24" s="173">
        <v>49.1</v>
      </c>
      <c r="J24" s="173">
        <v>130.56</v>
      </c>
      <c r="K24" s="173">
        <v>15.98</v>
      </c>
      <c r="L24" s="173">
        <v>99.61</v>
      </c>
      <c r="M24" s="173">
        <v>46.31</v>
      </c>
      <c r="N24" s="173">
        <v>416.5</v>
      </c>
      <c r="O24" s="173">
        <v>87.47</v>
      </c>
      <c r="P24" s="173"/>
      <c r="Q24" s="173">
        <v>54.93</v>
      </c>
      <c r="R24" s="173">
        <v>49.15</v>
      </c>
      <c r="S24" s="173">
        <v>64.819999999999993</v>
      </c>
      <c r="T24" s="173">
        <v>28.37</v>
      </c>
      <c r="U24" s="173"/>
      <c r="V24" s="173">
        <v>254.37</v>
      </c>
      <c r="W24" s="173"/>
      <c r="X24" s="173"/>
      <c r="Y24" s="173"/>
      <c r="Z24" s="173"/>
      <c r="AA24" s="173"/>
    </row>
    <row r="25" spans="1:27" ht="15" customHeight="1" x14ac:dyDescent="0.3">
      <c r="A25" s="172">
        <v>45303</v>
      </c>
      <c r="B25" s="173">
        <v>596.54</v>
      </c>
      <c r="C25" s="173">
        <v>63.01</v>
      </c>
      <c r="D25" s="173">
        <v>713.22</v>
      </c>
      <c r="E25" s="173">
        <v>110.77</v>
      </c>
      <c r="F25" s="173">
        <v>70.84</v>
      </c>
      <c r="G25" s="173">
        <v>56.06</v>
      </c>
      <c r="H25" s="173">
        <v>82.39</v>
      </c>
      <c r="I25" s="173">
        <v>54.71</v>
      </c>
      <c r="J25" s="173">
        <v>131.55000000000001</v>
      </c>
      <c r="K25" s="173">
        <v>16.760000000000002</v>
      </c>
      <c r="L25" s="173">
        <v>101.24</v>
      </c>
      <c r="M25" s="173">
        <v>49.52</v>
      </c>
      <c r="N25" s="173">
        <v>433.4</v>
      </c>
      <c r="O25" s="173">
        <v>86.48</v>
      </c>
      <c r="P25" s="173"/>
      <c r="Q25" s="173">
        <v>55.27</v>
      </c>
      <c r="R25" s="173">
        <v>50.49</v>
      </c>
      <c r="S25" s="173">
        <v>66.84</v>
      </c>
      <c r="T25" s="173">
        <v>28.29</v>
      </c>
      <c r="U25" s="173"/>
      <c r="V25" s="173">
        <v>258.76</v>
      </c>
      <c r="W25" s="173"/>
      <c r="X25" s="173"/>
      <c r="Y25" s="173"/>
      <c r="Z25" s="173"/>
      <c r="AA25" s="173"/>
    </row>
    <row r="26" spans="1:27" ht="15" customHeight="1" x14ac:dyDescent="0.3">
      <c r="A26" s="172">
        <v>45310</v>
      </c>
      <c r="B26" s="173">
        <v>611.54999999999995</v>
      </c>
      <c r="C26" s="173">
        <v>65.88</v>
      </c>
      <c r="D26" s="173">
        <v>757.83</v>
      </c>
      <c r="E26" s="173">
        <v>121.12</v>
      </c>
      <c r="F26" s="173">
        <v>72.64</v>
      </c>
      <c r="G26" s="173">
        <v>61.3</v>
      </c>
      <c r="H26" s="173">
        <v>87.51</v>
      </c>
      <c r="I26" s="173">
        <v>59.49</v>
      </c>
      <c r="J26" s="173">
        <v>128.44</v>
      </c>
      <c r="K26" s="173">
        <v>16.78</v>
      </c>
      <c r="L26" s="173">
        <v>114.2</v>
      </c>
      <c r="M26" s="173">
        <v>53.67</v>
      </c>
      <c r="N26" s="173">
        <v>435.02</v>
      </c>
      <c r="O26" s="173">
        <v>86.74</v>
      </c>
      <c r="P26" s="173"/>
      <c r="Q26" s="173">
        <v>55.31</v>
      </c>
      <c r="R26" s="173">
        <v>51.39</v>
      </c>
      <c r="S26" s="173">
        <v>68.25</v>
      </c>
      <c r="T26" s="173">
        <v>28.02</v>
      </c>
      <c r="U26" s="173"/>
      <c r="V26" s="173">
        <v>265.36</v>
      </c>
      <c r="W26" s="173"/>
      <c r="X26" s="173"/>
      <c r="Y26" s="173"/>
      <c r="Z26" s="173"/>
      <c r="AA26" s="173"/>
    </row>
    <row r="27" spans="1:27" ht="15" customHeight="1" x14ac:dyDescent="0.3">
      <c r="A27" s="172">
        <v>45317</v>
      </c>
      <c r="B27" s="173">
        <v>613.92999999999995</v>
      </c>
      <c r="C27" s="173">
        <v>66.099999999999994</v>
      </c>
      <c r="D27" s="173">
        <v>867.75</v>
      </c>
      <c r="E27" s="173">
        <v>120.49</v>
      </c>
      <c r="F27" s="173">
        <v>72.58</v>
      </c>
      <c r="G27" s="173">
        <v>59.94</v>
      </c>
      <c r="H27" s="173">
        <v>88.05</v>
      </c>
      <c r="I27" s="173">
        <v>61.03</v>
      </c>
      <c r="J27" s="173">
        <v>126.87</v>
      </c>
      <c r="K27" s="173">
        <v>16.350000000000001</v>
      </c>
      <c r="L27" s="173">
        <v>117.26</v>
      </c>
      <c r="M27" s="173">
        <v>53.46</v>
      </c>
      <c r="N27" s="173">
        <v>430.17</v>
      </c>
      <c r="O27" s="173">
        <v>88.78</v>
      </c>
      <c r="P27" s="173"/>
      <c r="Q27" s="173">
        <v>55.32</v>
      </c>
      <c r="R27" s="173">
        <v>51.79</v>
      </c>
      <c r="S27" s="173">
        <v>69.349999999999994</v>
      </c>
      <c r="T27" s="173">
        <v>28.25</v>
      </c>
      <c r="U27" s="173"/>
      <c r="V27" s="173">
        <v>262.45999999999998</v>
      </c>
      <c r="W27" s="173"/>
      <c r="X27" s="173"/>
      <c r="Y27" s="173"/>
      <c r="Z27" s="173"/>
      <c r="AA27" s="173"/>
    </row>
    <row r="28" spans="1:27" ht="15" customHeight="1" x14ac:dyDescent="0.3">
      <c r="A28" s="172">
        <v>45324</v>
      </c>
      <c r="B28" s="173">
        <v>634.76</v>
      </c>
      <c r="C28" s="173">
        <v>68.28</v>
      </c>
      <c r="D28" s="173">
        <v>890.66</v>
      </c>
      <c r="E28" s="173">
        <v>122.43</v>
      </c>
      <c r="F28" s="173">
        <v>75.89</v>
      </c>
      <c r="G28" s="173">
        <v>60.43</v>
      </c>
      <c r="H28" s="173">
        <v>86.48</v>
      </c>
      <c r="I28" s="173">
        <v>66.16</v>
      </c>
      <c r="J28" s="173">
        <v>129.25</v>
      </c>
      <c r="K28" s="173">
        <v>17.02</v>
      </c>
      <c r="L28" s="173">
        <v>115.75</v>
      </c>
      <c r="M28" s="173">
        <v>61.47</v>
      </c>
      <c r="N28" s="173">
        <v>424.68</v>
      </c>
      <c r="O28" s="173">
        <v>87.12</v>
      </c>
      <c r="P28" s="173"/>
      <c r="Q28" s="173">
        <v>55.93</v>
      </c>
      <c r="R28" s="173">
        <v>51.94</v>
      </c>
      <c r="S28" s="173">
        <v>72.52</v>
      </c>
      <c r="T28" s="173">
        <v>28.52</v>
      </c>
      <c r="U28" s="173"/>
      <c r="V28" s="173">
        <v>271.51</v>
      </c>
      <c r="W28" s="173"/>
      <c r="X28" s="173"/>
      <c r="Y28" s="173"/>
      <c r="Z28" s="173"/>
      <c r="AA28" s="173"/>
    </row>
    <row r="29" spans="1:27" ht="15" customHeight="1" x14ac:dyDescent="0.3">
      <c r="A29" s="172">
        <v>45331</v>
      </c>
      <c r="B29" s="173">
        <v>627.21</v>
      </c>
      <c r="C29" s="173">
        <v>70.61</v>
      </c>
      <c r="D29" s="173">
        <v>949.6</v>
      </c>
      <c r="E29" s="173">
        <v>128.34</v>
      </c>
      <c r="F29" s="173">
        <v>82.34</v>
      </c>
      <c r="G29" s="173">
        <v>64.98</v>
      </c>
      <c r="H29" s="173">
        <v>85.56</v>
      </c>
      <c r="I29" s="173">
        <v>72.13</v>
      </c>
      <c r="J29" s="173">
        <v>132.47999999999999</v>
      </c>
      <c r="K29" s="173">
        <v>24.38</v>
      </c>
      <c r="L29" s="173">
        <v>133.11000000000001</v>
      </c>
      <c r="M29" s="173">
        <v>63.52</v>
      </c>
      <c r="N29" s="173">
        <v>422.91</v>
      </c>
      <c r="O29" s="173">
        <v>87.91</v>
      </c>
      <c r="P29" s="173"/>
      <c r="Q29" s="173">
        <v>55.97</v>
      </c>
      <c r="R29" s="173">
        <v>52.49</v>
      </c>
      <c r="S29" s="173">
        <v>74.25</v>
      </c>
      <c r="T29" s="173">
        <v>28.63</v>
      </c>
      <c r="U29" s="173"/>
      <c r="V29" s="173">
        <v>271.27999999999997</v>
      </c>
      <c r="W29" s="173"/>
      <c r="X29" s="173"/>
      <c r="Y29" s="173"/>
      <c r="Z29" s="173"/>
      <c r="AA29" s="173"/>
    </row>
    <row r="30" spans="1:27" ht="15" customHeight="1" x14ac:dyDescent="0.3">
      <c r="A30" s="172">
        <v>45338</v>
      </c>
      <c r="B30" s="173">
        <v>546.66</v>
      </c>
      <c r="C30" s="173">
        <v>65.44</v>
      </c>
      <c r="D30" s="173">
        <v>928.94</v>
      </c>
      <c r="E30" s="173">
        <v>124.55</v>
      </c>
      <c r="F30" s="173">
        <v>82.31</v>
      </c>
      <c r="G30" s="173">
        <v>66.14</v>
      </c>
      <c r="H30" s="173">
        <v>79.5</v>
      </c>
      <c r="I30" s="173">
        <v>72.61</v>
      </c>
      <c r="J30" s="173">
        <v>133.38999999999999</v>
      </c>
      <c r="K30" s="173">
        <v>24.44</v>
      </c>
      <c r="L30" s="173">
        <v>126.69</v>
      </c>
      <c r="M30" s="173">
        <v>62.97</v>
      </c>
      <c r="N30" s="173">
        <v>422.2</v>
      </c>
      <c r="O30" s="173">
        <v>88.53</v>
      </c>
      <c r="P30" s="173"/>
      <c r="Q30" s="173">
        <v>55.76</v>
      </c>
      <c r="R30" s="173">
        <v>52.32</v>
      </c>
      <c r="S30" s="173">
        <v>74.87</v>
      </c>
      <c r="T30" s="173">
        <v>28.87</v>
      </c>
      <c r="U30" s="173"/>
      <c r="V30" s="173">
        <v>273.37</v>
      </c>
      <c r="W30" s="173"/>
      <c r="X30" s="173"/>
      <c r="Y30" s="173"/>
      <c r="Z30" s="173"/>
      <c r="AA30" s="173"/>
    </row>
    <row r="31" spans="1:27" ht="15" customHeight="1" x14ac:dyDescent="0.3">
      <c r="A31" s="172">
        <v>45345</v>
      </c>
      <c r="B31" s="173">
        <v>553.44000000000005</v>
      </c>
      <c r="C31" s="173">
        <v>66.92</v>
      </c>
      <c r="D31" s="173">
        <v>933.25</v>
      </c>
      <c r="E31" s="173">
        <v>129.63999999999999</v>
      </c>
      <c r="F31" s="173">
        <v>77.87</v>
      </c>
      <c r="G31" s="173">
        <v>66.88</v>
      </c>
      <c r="H31" s="173">
        <v>86</v>
      </c>
      <c r="I31" s="173">
        <v>78.819999999999993</v>
      </c>
      <c r="J31" s="173">
        <v>133.21</v>
      </c>
      <c r="K31" s="173">
        <v>22.97</v>
      </c>
      <c r="L31" s="173">
        <v>129.53</v>
      </c>
      <c r="M31" s="173">
        <v>62.7</v>
      </c>
      <c r="N31" s="173">
        <v>430.11</v>
      </c>
      <c r="O31" s="173">
        <v>88.24</v>
      </c>
      <c r="P31" s="173"/>
      <c r="Q31" s="173">
        <v>55.41</v>
      </c>
      <c r="R31" s="173">
        <v>52.98</v>
      </c>
      <c r="S31" s="173">
        <v>76.55</v>
      </c>
      <c r="T31" s="173">
        <v>29.5</v>
      </c>
      <c r="U31" s="173"/>
      <c r="V31" s="173">
        <v>278.31</v>
      </c>
      <c r="W31" s="173"/>
      <c r="X31" s="173"/>
      <c r="Y31" s="173"/>
      <c r="Z31" s="173"/>
      <c r="AA31" s="173"/>
    </row>
    <row r="32" spans="1:27" ht="15" customHeight="1" x14ac:dyDescent="0.3">
      <c r="A32" s="172">
        <v>45352</v>
      </c>
      <c r="B32" s="173">
        <v>570.92999999999995</v>
      </c>
      <c r="C32" s="173">
        <v>71.94</v>
      </c>
      <c r="D32" s="173">
        <v>990.94</v>
      </c>
      <c r="E32" s="173">
        <v>139.91999999999999</v>
      </c>
      <c r="F32" s="173">
        <v>78.650000000000006</v>
      </c>
      <c r="G32" s="173">
        <v>71.760000000000005</v>
      </c>
      <c r="H32" s="173">
        <v>95.15</v>
      </c>
      <c r="I32" s="173">
        <v>82.28</v>
      </c>
      <c r="J32" s="173">
        <v>134.6</v>
      </c>
      <c r="K32" s="173">
        <v>24.93</v>
      </c>
      <c r="L32" s="173">
        <v>133.9</v>
      </c>
      <c r="M32" s="173">
        <v>70.569999999999993</v>
      </c>
      <c r="N32" s="173">
        <v>432.76</v>
      </c>
      <c r="O32" s="173">
        <v>89.63</v>
      </c>
      <c r="P32" s="173"/>
      <c r="Q32" s="173">
        <v>54.33</v>
      </c>
      <c r="R32" s="173">
        <v>53.26</v>
      </c>
      <c r="S32" s="173">
        <v>78.7</v>
      </c>
      <c r="T32" s="173">
        <v>30.15</v>
      </c>
      <c r="U32" s="173"/>
      <c r="V32" s="173">
        <v>277.88</v>
      </c>
      <c r="W32" s="173"/>
      <c r="X32" s="173"/>
      <c r="Y32" s="173"/>
      <c r="Z32" s="173"/>
      <c r="AA32" s="173"/>
    </row>
    <row r="33" spans="1:27" ht="15" customHeight="1" x14ac:dyDescent="0.3">
      <c r="A33" s="172">
        <v>45359</v>
      </c>
      <c r="B33" s="173">
        <v>551.69000000000005</v>
      </c>
      <c r="C33" s="173">
        <v>68.28</v>
      </c>
      <c r="D33" s="173">
        <v>994.33</v>
      </c>
      <c r="E33" s="173">
        <v>130.87</v>
      </c>
      <c r="F33" s="173">
        <v>80.709999999999994</v>
      </c>
      <c r="G33" s="173">
        <v>69.92</v>
      </c>
      <c r="H33" s="173">
        <v>97.62</v>
      </c>
      <c r="I33" s="173">
        <v>87.53</v>
      </c>
      <c r="J33" s="173">
        <v>135.07</v>
      </c>
      <c r="K33" s="173">
        <v>26.04</v>
      </c>
      <c r="L33" s="173">
        <v>146.37</v>
      </c>
      <c r="M33" s="173">
        <v>69.37</v>
      </c>
      <c r="N33" s="173">
        <v>413.59</v>
      </c>
      <c r="O33" s="173">
        <v>89.73</v>
      </c>
      <c r="P33" s="173"/>
      <c r="Q33" s="173">
        <v>55.45</v>
      </c>
      <c r="R33" s="173">
        <v>53.19</v>
      </c>
      <c r="S33" s="173">
        <v>79</v>
      </c>
      <c r="T33" s="173">
        <v>30.74</v>
      </c>
      <c r="U33" s="173"/>
      <c r="V33" s="173">
        <v>274.82</v>
      </c>
      <c r="W33" s="173"/>
      <c r="X33" s="173"/>
      <c r="Y33" s="173"/>
      <c r="Z33" s="173"/>
      <c r="AA33" s="173"/>
    </row>
    <row r="34" spans="1:27" ht="15" customHeight="1" x14ac:dyDescent="0.3">
      <c r="A34" s="172">
        <v>45366</v>
      </c>
      <c r="B34" s="173">
        <v>492.46</v>
      </c>
      <c r="C34" s="173">
        <v>69.430000000000007</v>
      </c>
      <c r="D34" s="173">
        <v>940.21</v>
      </c>
      <c r="E34" s="173">
        <v>123.55</v>
      </c>
      <c r="F34" s="173">
        <v>78.91</v>
      </c>
      <c r="G34" s="173">
        <v>68.39</v>
      </c>
      <c r="H34" s="173">
        <v>93.25</v>
      </c>
      <c r="I34" s="173">
        <v>87.84</v>
      </c>
      <c r="J34" s="173">
        <v>129.02000000000001</v>
      </c>
      <c r="K34" s="173">
        <v>23.49</v>
      </c>
      <c r="L34" s="173">
        <v>136.97999999999999</v>
      </c>
      <c r="M34" s="173">
        <v>74.16</v>
      </c>
      <c r="N34" s="173">
        <v>407.69</v>
      </c>
      <c r="O34" s="173">
        <v>88.97</v>
      </c>
      <c r="P34" s="173"/>
      <c r="Q34" s="173">
        <v>55.68</v>
      </c>
      <c r="R34" s="173">
        <v>52.91</v>
      </c>
      <c r="S34" s="173">
        <v>78.59</v>
      </c>
      <c r="T34" s="173">
        <v>31.16</v>
      </c>
      <c r="U34" s="173"/>
      <c r="V34" s="173">
        <v>277.76</v>
      </c>
      <c r="W34" s="173"/>
      <c r="X34" s="173"/>
      <c r="Y34" s="173"/>
      <c r="Z34" s="173"/>
      <c r="AA34" s="173"/>
    </row>
    <row r="35" spans="1:27" ht="15" customHeight="1" x14ac:dyDescent="0.3">
      <c r="A35" s="172">
        <v>45373</v>
      </c>
      <c r="B35" s="173">
        <v>499.52</v>
      </c>
      <c r="C35" s="173">
        <v>76.61</v>
      </c>
      <c r="D35" s="173">
        <v>979.96</v>
      </c>
      <c r="E35" s="173">
        <v>135.35</v>
      </c>
      <c r="F35" s="173">
        <v>81.900000000000006</v>
      </c>
      <c r="G35" s="173">
        <v>71.06</v>
      </c>
      <c r="H35" s="173">
        <v>110.21</v>
      </c>
      <c r="I35" s="173">
        <v>94.29</v>
      </c>
      <c r="J35" s="173">
        <v>128.62</v>
      </c>
      <c r="K35" s="173">
        <v>24.18</v>
      </c>
      <c r="L35" s="173">
        <v>140.54</v>
      </c>
      <c r="M35" s="173">
        <v>82.5</v>
      </c>
      <c r="N35" s="173">
        <v>415.66</v>
      </c>
      <c r="O35" s="173">
        <v>91.1</v>
      </c>
      <c r="P35" s="173"/>
      <c r="Q35" s="173">
        <v>56.54</v>
      </c>
      <c r="R35" s="173">
        <v>54.26</v>
      </c>
      <c r="S35" s="173">
        <v>80.83</v>
      </c>
      <c r="T35" s="173">
        <v>31.91</v>
      </c>
      <c r="U35" s="173"/>
      <c r="V35" s="173">
        <v>277.98</v>
      </c>
      <c r="W35" s="173"/>
      <c r="X35" s="173"/>
      <c r="Y35" s="173"/>
      <c r="Z35" s="173"/>
      <c r="AA35" s="173"/>
    </row>
    <row r="36" spans="1:27" ht="15" customHeight="1" x14ac:dyDescent="0.3">
      <c r="A36" s="172">
        <v>45379</v>
      </c>
      <c r="B36" s="173">
        <v>504.6</v>
      </c>
      <c r="C36" s="173">
        <v>72.5</v>
      </c>
      <c r="D36" s="173">
        <v>970.47</v>
      </c>
      <c r="E36" s="173">
        <v>132.54</v>
      </c>
      <c r="F36" s="173">
        <v>80.150000000000006</v>
      </c>
      <c r="G36" s="173">
        <v>69.86</v>
      </c>
      <c r="H36" s="173">
        <v>117.89</v>
      </c>
      <c r="I36" s="173">
        <v>90.36</v>
      </c>
      <c r="J36" s="173">
        <v>130.22</v>
      </c>
      <c r="K36" s="173">
        <v>23.01</v>
      </c>
      <c r="L36" s="173">
        <v>136.05000000000001</v>
      </c>
      <c r="M36" s="173">
        <v>81.67</v>
      </c>
      <c r="N36" s="173">
        <v>418.01</v>
      </c>
      <c r="O36" s="173">
        <v>93.71</v>
      </c>
      <c r="P36" s="173"/>
      <c r="Q36" s="173">
        <v>57.15</v>
      </c>
      <c r="R36" s="173">
        <v>54.24</v>
      </c>
      <c r="S36" s="173">
        <v>80.22</v>
      </c>
      <c r="T36" s="173">
        <v>32.409999999999997</v>
      </c>
      <c r="U36" s="173"/>
      <c r="V36" s="173"/>
      <c r="W36" s="173"/>
      <c r="X36" s="173"/>
      <c r="Y36" s="173"/>
      <c r="Z36" s="173"/>
      <c r="AA36" s="173"/>
    </row>
    <row r="37" spans="1:27" ht="15" customHeight="1" x14ac:dyDescent="0.3">
      <c r="A37" s="172">
        <v>45387</v>
      </c>
      <c r="B37" s="173">
        <v>485.12</v>
      </c>
      <c r="C37" s="173">
        <v>74.400000000000006</v>
      </c>
      <c r="D37" s="173">
        <v>979.55</v>
      </c>
      <c r="E37" s="173">
        <v>133.94</v>
      </c>
      <c r="F37" s="173">
        <v>78.88</v>
      </c>
      <c r="G37" s="173">
        <v>68.28</v>
      </c>
      <c r="H37" s="173">
        <v>123.58</v>
      </c>
      <c r="I37" s="173">
        <v>88.01</v>
      </c>
      <c r="J37" s="173">
        <v>124.74</v>
      </c>
      <c r="K37" s="173">
        <v>22.96</v>
      </c>
      <c r="L37" s="173">
        <v>141.36000000000001</v>
      </c>
      <c r="M37" s="173">
        <v>85.34</v>
      </c>
      <c r="N37" s="173">
        <v>406.67</v>
      </c>
      <c r="O37" s="173">
        <v>91.69</v>
      </c>
      <c r="P37" s="173"/>
      <c r="Q37" s="173">
        <v>57.21</v>
      </c>
      <c r="R37" s="173">
        <v>53.59</v>
      </c>
      <c r="S37" s="173">
        <v>80.45</v>
      </c>
      <c r="T37" s="173">
        <v>32.33</v>
      </c>
      <c r="U37" s="173"/>
      <c r="V37" s="173">
        <v>271.97000000000003</v>
      </c>
      <c r="W37" s="173"/>
      <c r="X37" s="173"/>
      <c r="Y37" s="173"/>
      <c r="Z37" s="173"/>
      <c r="AA37" s="173"/>
    </row>
    <row r="38" spans="1:27" ht="15" customHeight="1" x14ac:dyDescent="0.3">
      <c r="A38" s="172">
        <v>45394</v>
      </c>
      <c r="B38" s="173">
        <v>474.09</v>
      </c>
      <c r="C38" s="173">
        <v>67.81</v>
      </c>
      <c r="D38" s="173">
        <v>961.84</v>
      </c>
      <c r="E38" s="173">
        <v>134.41</v>
      </c>
      <c r="F38" s="173">
        <v>77.260000000000005</v>
      </c>
      <c r="G38" s="173">
        <v>68.08</v>
      </c>
      <c r="H38" s="173">
        <v>122.52</v>
      </c>
      <c r="I38" s="173">
        <v>88.19</v>
      </c>
      <c r="J38" s="173">
        <v>119</v>
      </c>
      <c r="K38" s="173">
        <v>22.67</v>
      </c>
      <c r="L38" s="173">
        <v>142.52000000000001</v>
      </c>
      <c r="M38" s="173">
        <v>83.89</v>
      </c>
      <c r="N38" s="173">
        <v>396.55</v>
      </c>
      <c r="O38" s="173">
        <v>88.86</v>
      </c>
      <c r="P38" s="173"/>
      <c r="Q38" s="173">
        <v>57.06</v>
      </c>
      <c r="R38" s="173">
        <v>53.4</v>
      </c>
      <c r="S38" s="173">
        <v>79.319999999999993</v>
      </c>
      <c r="T38" s="173">
        <v>31.49</v>
      </c>
      <c r="U38" s="173"/>
      <c r="V38" s="173">
        <v>270.82</v>
      </c>
      <c r="W38" s="173"/>
      <c r="X38" s="173"/>
      <c r="Y38" s="173"/>
      <c r="Z38" s="173"/>
      <c r="AA38" s="173"/>
    </row>
    <row r="39" spans="1:27" ht="15" customHeight="1" x14ac:dyDescent="0.3">
      <c r="A39" s="172">
        <v>45401</v>
      </c>
      <c r="B39" s="173">
        <v>465.02</v>
      </c>
      <c r="C39" s="173">
        <v>61.52</v>
      </c>
      <c r="D39" s="173">
        <v>859.54</v>
      </c>
      <c r="E39" s="173">
        <v>120.47</v>
      </c>
      <c r="F39" s="173">
        <v>70.66</v>
      </c>
      <c r="G39" s="173">
        <v>62.82</v>
      </c>
      <c r="H39" s="173">
        <v>106.77</v>
      </c>
      <c r="I39" s="173">
        <v>76.2</v>
      </c>
      <c r="J39" s="173">
        <v>103.49</v>
      </c>
      <c r="K39" s="173">
        <v>20.47</v>
      </c>
      <c r="L39" s="173">
        <v>127.7</v>
      </c>
      <c r="M39" s="173">
        <v>75.010000000000005</v>
      </c>
      <c r="N39" s="173">
        <v>394.28</v>
      </c>
      <c r="O39" s="173">
        <v>88.06</v>
      </c>
      <c r="P39" s="173"/>
      <c r="Q39" s="173">
        <v>57.69</v>
      </c>
      <c r="R39" s="173">
        <v>50.84</v>
      </c>
      <c r="S39" s="173">
        <v>74.81</v>
      </c>
      <c r="T39" s="173">
        <v>30.93</v>
      </c>
      <c r="U39" s="173"/>
      <c r="V39" s="173">
        <v>264.75</v>
      </c>
      <c r="W39" s="173"/>
      <c r="X39" s="173"/>
      <c r="Y39" s="173"/>
      <c r="Z39" s="173"/>
      <c r="AA39" s="173"/>
    </row>
    <row r="40" spans="1:27" ht="15" customHeight="1" x14ac:dyDescent="0.3">
      <c r="A40" s="172">
        <v>45408</v>
      </c>
      <c r="B40" s="173">
        <v>477.56</v>
      </c>
      <c r="C40" s="173">
        <v>66.180000000000007</v>
      </c>
      <c r="D40" s="173">
        <v>918.97</v>
      </c>
      <c r="E40" s="173">
        <v>134.41</v>
      </c>
      <c r="F40" s="173">
        <v>76.02</v>
      </c>
      <c r="G40" s="173">
        <v>70.63</v>
      </c>
      <c r="H40" s="173">
        <v>114.84</v>
      </c>
      <c r="I40" s="173">
        <v>87.74</v>
      </c>
      <c r="J40" s="173">
        <v>104.06</v>
      </c>
      <c r="K40" s="173">
        <v>22.52</v>
      </c>
      <c r="L40" s="173">
        <v>138.30000000000001</v>
      </c>
      <c r="M40" s="173">
        <v>93.49</v>
      </c>
      <c r="N40" s="173">
        <v>397.48</v>
      </c>
      <c r="O40" s="173">
        <v>90.24</v>
      </c>
      <c r="P40" s="173"/>
      <c r="Q40" s="173">
        <v>58.21</v>
      </c>
      <c r="R40" s="173">
        <v>52.66</v>
      </c>
      <c r="S40" s="173">
        <v>77.06</v>
      </c>
      <c r="T40" s="173">
        <v>31.32</v>
      </c>
      <c r="U40" s="173"/>
      <c r="V40" s="173">
        <v>269.39999999999998</v>
      </c>
      <c r="W40" s="173"/>
      <c r="X40" s="173"/>
      <c r="Y40" s="173"/>
      <c r="Z40" s="173"/>
      <c r="AA40" s="173"/>
    </row>
    <row r="41" spans="1:27" ht="15" customHeight="1" x14ac:dyDescent="0.3">
      <c r="A41" s="172">
        <v>45415</v>
      </c>
      <c r="B41" s="173">
        <v>486.18</v>
      </c>
      <c r="C41" s="173">
        <v>68.599999999999994</v>
      </c>
      <c r="D41" s="173">
        <v>901.63</v>
      </c>
      <c r="E41" s="173">
        <v>127.81</v>
      </c>
      <c r="F41" s="173">
        <v>77.55</v>
      </c>
      <c r="G41" s="173">
        <v>69.66</v>
      </c>
      <c r="H41" s="173">
        <v>114.7</v>
      </c>
      <c r="I41" s="173">
        <v>88.79</v>
      </c>
      <c r="J41" s="173">
        <v>105.89</v>
      </c>
      <c r="K41" s="173">
        <v>23.33</v>
      </c>
      <c r="L41" s="173">
        <v>141.56</v>
      </c>
      <c r="M41" s="173">
        <v>93.01</v>
      </c>
      <c r="N41" s="173">
        <v>401.08</v>
      </c>
      <c r="O41" s="173">
        <v>90.86</v>
      </c>
      <c r="P41" s="173"/>
      <c r="Q41" s="173">
        <v>58.4</v>
      </c>
      <c r="R41" s="173">
        <v>52.75</v>
      </c>
      <c r="S41" s="173">
        <v>77.819999999999993</v>
      </c>
      <c r="T41" s="173">
        <v>30.83</v>
      </c>
      <c r="U41" s="173"/>
      <c r="V41" s="173">
        <v>263.49</v>
      </c>
      <c r="W41" s="173"/>
      <c r="X41" s="173"/>
      <c r="Y41" s="173"/>
      <c r="Z41" s="173"/>
      <c r="AA41" s="173"/>
    </row>
    <row r="42" spans="1:27" ht="15" customHeight="1" x14ac:dyDescent="0.3">
      <c r="A42" s="172">
        <v>45422</v>
      </c>
      <c r="B42" s="173">
        <v>482.29</v>
      </c>
      <c r="C42" s="173">
        <v>78.510000000000005</v>
      </c>
      <c r="D42" s="173">
        <v>930.29</v>
      </c>
      <c r="E42" s="173">
        <v>133.28</v>
      </c>
      <c r="F42" s="173">
        <v>80.19</v>
      </c>
      <c r="G42" s="173">
        <v>71.83</v>
      </c>
      <c r="H42" s="173">
        <v>121.24</v>
      </c>
      <c r="I42" s="173">
        <v>89.88</v>
      </c>
      <c r="J42" s="173">
        <v>107.49</v>
      </c>
      <c r="K42" s="173">
        <v>20.6</v>
      </c>
      <c r="L42" s="173">
        <v>149.26</v>
      </c>
      <c r="M42" s="173">
        <v>95.4</v>
      </c>
      <c r="N42" s="173">
        <v>422.78</v>
      </c>
      <c r="O42" s="173">
        <v>92.43</v>
      </c>
      <c r="P42" s="173"/>
      <c r="Q42" s="173">
        <v>58.56</v>
      </c>
      <c r="R42" s="173">
        <v>53.48</v>
      </c>
      <c r="S42" s="173">
        <v>79.55</v>
      </c>
      <c r="T42" s="173">
        <v>31.51</v>
      </c>
      <c r="U42" s="173"/>
      <c r="V42" s="173">
        <v>275.51</v>
      </c>
      <c r="W42" s="173"/>
      <c r="X42" s="173"/>
      <c r="Y42" s="173"/>
      <c r="Z42" s="173"/>
      <c r="AA42" s="173"/>
    </row>
    <row r="43" spans="1:27" ht="15" customHeight="1" x14ac:dyDescent="0.3">
      <c r="A43" s="172">
        <v>45429</v>
      </c>
      <c r="B43" s="173">
        <v>483.43</v>
      </c>
      <c r="C43" s="173">
        <v>79.97</v>
      </c>
      <c r="D43" s="173">
        <v>924.97</v>
      </c>
      <c r="E43" s="173">
        <v>139.53</v>
      </c>
      <c r="F43" s="173">
        <v>86.48</v>
      </c>
      <c r="G43" s="173">
        <v>74.77</v>
      </c>
      <c r="H43" s="173">
        <v>125.29</v>
      </c>
      <c r="I43" s="173">
        <v>92.48</v>
      </c>
      <c r="J43" s="173">
        <v>111.5</v>
      </c>
      <c r="K43" s="173">
        <v>21.76</v>
      </c>
      <c r="L43" s="173">
        <v>151.68</v>
      </c>
      <c r="M43" s="173">
        <v>96.81</v>
      </c>
      <c r="N43" s="173">
        <v>445.21</v>
      </c>
      <c r="O43" s="173">
        <v>93.45</v>
      </c>
      <c r="P43" s="173"/>
      <c r="Q43" s="173">
        <v>58.98</v>
      </c>
      <c r="R43" s="173">
        <v>54.12</v>
      </c>
      <c r="S43" s="173">
        <v>80.75</v>
      </c>
      <c r="T43" s="173">
        <v>31.8</v>
      </c>
      <c r="U43" s="173"/>
      <c r="V43" s="173">
        <v>275.39</v>
      </c>
      <c r="W43" s="173"/>
      <c r="X43" s="173"/>
      <c r="Y43" s="173"/>
      <c r="Z43" s="173"/>
      <c r="AA43" s="173"/>
    </row>
    <row r="44" spans="1:27" ht="15" customHeight="1" x14ac:dyDescent="0.3">
      <c r="A44" s="172">
        <v>45436</v>
      </c>
      <c r="B44" s="173">
        <v>475.43</v>
      </c>
      <c r="C44" s="173">
        <v>76.64</v>
      </c>
      <c r="D44" s="173">
        <v>956.22</v>
      </c>
      <c r="E44" s="173">
        <v>140.78</v>
      </c>
      <c r="F44" s="173">
        <v>87.87</v>
      </c>
      <c r="G44" s="173">
        <v>77.91</v>
      </c>
      <c r="H44" s="173">
        <v>129.49</v>
      </c>
      <c r="I44" s="173">
        <v>106.47</v>
      </c>
      <c r="J44" s="173">
        <v>104.75</v>
      </c>
      <c r="K44" s="173">
        <v>21.01</v>
      </c>
      <c r="L44" s="173">
        <v>160</v>
      </c>
      <c r="M44" s="173">
        <v>106.17</v>
      </c>
      <c r="N44" s="173">
        <v>456.95</v>
      </c>
      <c r="O44" s="173">
        <v>92.06</v>
      </c>
      <c r="P44" s="173"/>
      <c r="Q44" s="173">
        <v>59.18</v>
      </c>
      <c r="R44" s="173">
        <v>54.38</v>
      </c>
      <c r="S44" s="173">
        <v>82.32</v>
      </c>
      <c r="T44" s="173">
        <v>31.26</v>
      </c>
      <c r="U44" s="173"/>
      <c r="V44" s="173">
        <v>269.87</v>
      </c>
      <c r="W44" s="173"/>
      <c r="X44" s="173"/>
      <c r="Y44" s="173"/>
      <c r="Z44" s="173"/>
      <c r="AA44" s="173"/>
    </row>
    <row r="45" spans="1:27" ht="15" customHeight="1" x14ac:dyDescent="0.3">
      <c r="A45" s="172">
        <v>45443</v>
      </c>
      <c r="B45" s="173">
        <v>444.76</v>
      </c>
      <c r="C45" s="173">
        <v>74.41</v>
      </c>
      <c r="D45" s="173">
        <v>960.35</v>
      </c>
      <c r="E45" s="173">
        <v>132.85</v>
      </c>
      <c r="F45" s="173">
        <v>78.42</v>
      </c>
      <c r="G45" s="173">
        <v>75.95</v>
      </c>
      <c r="H45" s="173">
        <v>125</v>
      </c>
      <c r="I45" s="173">
        <v>109.63</v>
      </c>
      <c r="J45" s="173">
        <v>110.49</v>
      </c>
      <c r="K45" s="173">
        <v>21.68</v>
      </c>
      <c r="L45" s="173">
        <v>151.04</v>
      </c>
      <c r="M45" s="173">
        <v>98.07</v>
      </c>
      <c r="N45" s="173">
        <v>455.34</v>
      </c>
      <c r="O45" s="173">
        <v>93.05</v>
      </c>
      <c r="P45" s="173"/>
      <c r="Q45" s="173">
        <v>58.79</v>
      </c>
      <c r="R45" s="173">
        <v>54.19</v>
      </c>
      <c r="S45" s="173">
        <v>81.42</v>
      </c>
      <c r="T45" s="173">
        <v>31.62</v>
      </c>
      <c r="U45" s="173"/>
      <c r="V45" s="173">
        <v>267.88</v>
      </c>
      <c r="W45" s="173"/>
      <c r="X45" s="173"/>
      <c r="Y45" s="173"/>
      <c r="Z45" s="173"/>
      <c r="AA45" s="173"/>
    </row>
    <row r="46" spans="1:27" ht="15" customHeight="1" x14ac:dyDescent="0.3">
      <c r="A46" s="172">
        <v>45450</v>
      </c>
      <c r="B46" s="173">
        <v>465.43</v>
      </c>
      <c r="C46" s="173">
        <v>74.2</v>
      </c>
      <c r="D46" s="173">
        <v>1028.42</v>
      </c>
      <c r="E46" s="173">
        <v>140.66</v>
      </c>
      <c r="F46" s="173">
        <v>87.28</v>
      </c>
      <c r="G46" s="173">
        <v>76.900000000000006</v>
      </c>
      <c r="H46" s="173">
        <v>130.94</v>
      </c>
      <c r="I46" s="173">
        <v>120.89</v>
      </c>
      <c r="J46" s="173">
        <v>110.2</v>
      </c>
      <c r="K46" s="173">
        <v>23.31</v>
      </c>
      <c r="L46" s="173">
        <v>164.39</v>
      </c>
      <c r="M46" s="173">
        <v>87.68</v>
      </c>
      <c r="N46" s="173">
        <v>483.04</v>
      </c>
      <c r="O46" s="173">
        <v>89.88</v>
      </c>
      <c r="P46" s="173"/>
      <c r="Q46" s="173">
        <v>58.54</v>
      </c>
      <c r="R46" s="173">
        <v>54.49</v>
      </c>
      <c r="S46" s="173">
        <v>83.89</v>
      </c>
      <c r="T46" s="173">
        <v>30.95</v>
      </c>
      <c r="U46" s="173"/>
      <c r="V46" s="173">
        <v>273.98</v>
      </c>
      <c r="W46" s="173"/>
      <c r="X46" s="173"/>
      <c r="Y46" s="173"/>
      <c r="Z46" s="173"/>
      <c r="AA46" s="173"/>
    </row>
    <row r="47" spans="1:27" ht="15" customHeight="1" x14ac:dyDescent="0.3">
      <c r="A47" s="172">
        <v>45457</v>
      </c>
      <c r="B47" s="173">
        <v>525.30999999999995</v>
      </c>
      <c r="C47" s="173">
        <v>82.13</v>
      </c>
      <c r="D47" s="173">
        <v>1027.9000000000001</v>
      </c>
      <c r="E47" s="173">
        <v>173.5</v>
      </c>
      <c r="F47" s="173">
        <v>96.36</v>
      </c>
      <c r="G47" s="173">
        <v>82.48</v>
      </c>
      <c r="H47" s="173">
        <v>141.36000000000001</v>
      </c>
      <c r="I47" s="173">
        <v>131.88</v>
      </c>
      <c r="J47" s="173">
        <v>112.29</v>
      </c>
      <c r="K47" s="173">
        <v>23.57</v>
      </c>
      <c r="L47" s="173">
        <v>172.51</v>
      </c>
      <c r="M47" s="173">
        <v>91.48</v>
      </c>
      <c r="N47" s="173">
        <v>480.73</v>
      </c>
      <c r="O47" s="173">
        <v>87.73</v>
      </c>
      <c r="P47" s="173"/>
      <c r="Q47" s="173">
        <v>57.91</v>
      </c>
      <c r="R47" s="173">
        <v>55.18</v>
      </c>
      <c r="S47" s="173">
        <v>87.43</v>
      </c>
      <c r="T47" s="173">
        <v>30.82</v>
      </c>
      <c r="U47" s="173"/>
      <c r="V47" s="173">
        <v>266.11</v>
      </c>
      <c r="W47" s="173"/>
      <c r="X47" s="173"/>
      <c r="Y47" s="173"/>
      <c r="Z47" s="173"/>
      <c r="AA47" s="173"/>
    </row>
    <row r="48" spans="1:27" ht="15" customHeight="1" x14ac:dyDescent="0.3">
      <c r="A48" s="172">
        <v>45464</v>
      </c>
      <c r="B48" s="173">
        <v>533.44000000000005</v>
      </c>
      <c r="C48" s="173">
        <v>84.34</v>
      </c>
      <c r="D48" s="173">
        <v>1036.5999999999999</v>
      </c>
      <c r="E48" s="173">
        <v>165.86</v>
      </c>
      <c r="F48" s="173">
        <v>95.16</v>
      </c>
      <c r="G48" s="173">
        <v>81.66</v>
      </c>
      <c r="H48" s="173">
        <v>139.54</v>
      </c>
      <c r="I48" s="173">
        <v>126.57</v>
      </c>
      <c r="J48" s="173">
        <v>109.4</v>
      </c>
      <c r="K48" s="173">
        <v>23.84</v>
      </c>
      <c r="L48" s="173">
        <v>173.96</v>
      </c>
      <c r="M48" s="173">
        <v>90.62</v>
      </c>
      <c r="N48" s="173">
        <v>468.71</v>
      </c>
      <c r="O48" s="173">
        <v>88.68</v>
      </c>
      <c r="P48" s="173"/>
      <c r="Q48" s="173">
        <v>57.95</v>
      </c>
      <c r="R48" s="173">
        <v>55.24</v>
      </c>
      <c r="S48" s="173">
        <v>87.36</v>
      </c>
      <c r="T48" s="173">
        <v>31.12</v>
      </c>
      <c r="U48" s="173"/>
      <c r="V48" s="173">
        <v>270.58999999999997</v>
      </c>
      <c r="W48" s="173"/>
      <c r="X48" s="173"/>
      <c r="Y48" s="173"/>
      <c r="Z48" s="173"/>
      <c r="AA48" s="173"/>
    </row>
    <row r="49" spans="1:27" ht="15" customHeight="1" x14ac:dyDescent="0.3">
      <c r="A49" s="172">
        <v>45471</v>
      </c>
      <c r="B49" s="173">
        <v>555.54</v>
      </c>
      <c r="C49" s="173">
        <v>87.62</v>
      </c>
      <c r="D49" s="173">
        <v>1022.73</v>
      </c>
      <c r="E49" s="173">
        <v>160.55000000000001</v>
      </c>
      <c r="F49" s="173">
        <v>95.8</v>
      </c>
      <c r="G49" s="173">
        <v>82.45</v>
      </c>
      <c r="H49" s="173">
        <v>131.53</v>
      </c>
      <c r="I49" s="173">
        <v>123.54</v>
      </c>
      <c r="J49" s="173">
        <v>112.31</v>
      </c>
      <c r="K49" s="173">
        <v>25.33</v>
      </c>
      <c r="L49" s="173">
        <v>173.81</v>
      </c>
      <c r="M49" s="173">
        <v>86.57</v>
      </c>
      <c r="N49" s="173">
        <v>468.72</v>
      </c>
      <c r="O49" s="173">
        <v>89.72</v>
      </c>
      <c r="P49" s="173"/>
      <c r="Q49" s="173">
        <v>59.47</v>
      </c>
      <c r="R49" s="173">
        <v>55.5</v>
      </c>
      <c r="S49" s="173">
        <v>87.46</v>
      </c>
      <c r="T49" s="173">
        <v>30.92</v>
      </c>
      <c r="U49" s="173"/>
      <c r="V49" s="173">
        <v>258.05</v>
      </c>
      <c r="W49" s="173"/>
      <c r="X49" s="173"/>
      <c r="Y49" s="173"/>
      <c r="Z49" s="173"/>
      <c r="AA49" s="173"/>
    </row>
    <row r="50" spans="1:27" ht="15" customHeight="1" x14ac:dyDescent="0.3">
      <c r="A50" s="172">
        <v>45478</v>
      </c>
      <c r="B50" s="173">
        <v>578.34</v>
      </c>
      <c r="C50" s="173">
        <v>91.54</v>
      </c>
      <c r="D50" s="173">
        <v>1074.48</v>
      </c>
      <c r="E50" s="173">
        <v>170.33</v>
      </c>
      <c r="F50" s="173">
        <v>97.42</v>
      </c>
      <c r="G50" s="173">
        <v>85.52</v>
      </c>
      <c r="H50" s="173">
        <v>131.6</v>
      </c>
      <c r="I50" s="173">
        <v>125.83</v>
      </c>
      <c r="J50" s="173">
        <v>114.46</v>
      </c>
      <c r="K50" s="173">
        <v>27.23</v>
      </c>
      <c r="L50" s="173">
        <v>183.99</v>
      </c>
      <c r="M50" s="173">
        <v>91.78</v>
      </c>
      <c r="N50" s="173">
        <v>474.57</v>
      </c>
      <c r="O50" s="173">
        <v>88.24</v>
      </c>
      <c r="P50" s="173"/>
      <c r="Q50" s="173">
        <v>59.99</v>
      </c>
      <c r="R50" s="173">
        <v>55.88</v>
      </c>
      <c r="S50" s="173">
        <v>90.17</v>
      </c>
      <c r="T50" s="173">
        <v>30.3</v>
      </c>
      <c r="U50" s="173"/>
      <c r="V50" s="173">
        <v>265.81</v>
      </c>
      <c r="W50" s="173"/>
      <c r="X50" s="173"/>
      <c r="Y50" s="173"/>
      <c r="Z50" s="173"/>
      <c r="AA50" s="173"/>
    </row>
    <row r="51" spans="1:27" ht="15" customHeight="1" x14ac:dyDescent="0.3">
      <c r="A51" s="172">
        <v>45485</v>
      </c>
      <c r="B51" s="173">
        <v>559.04999999999995</v>
      </c>
      <c r="C51" s="173">
        <v>90.48</v>
      </c>
      <c r="D51" s="173">
        <v>1085.26</v>
      </c>
      <c r="E51" s="173">
        <v>170.07</v>
      </c>
      <c r="F51" s="173">
        <v>92.83</v>
      </c>
      <c r="G51" s="173">
        <v>85.77</v>
      </c>
      <c r="H51" s="173">
        <v>133.55000000000001</v>
      </c>
      <c r="I51" s="173">
        <v>129.24</v>
      </c>
      <c r="J51" s="173">
        <v>120.15</v>
      </c>
      <c r="K51" s="173">
        <v>28.07</v>
      </c>
      <c r="L51" s="173">
        <v>187.35</v>
      </c>
      <c r="M51" s="173">
        <v>89.67</v>
      </c>
      <c r="N51" s="173">
        <v>488.74</v>
      </c>
      <c r="O51" s="173">
        <v>93.16</v>
      </c>
      <c r="P51" s="173"/>
      <c r="Q51" s="173">
        <v>60.21</v>
      </c>
      <c r="R51" s="173">
        <v>55.84</v>
      </c>
      <c r="S51" s="173">
        <v>89.99</v>
      </c>
      <c r="T51" s="173">
        <v>31.46</v>
      </c>
      <c r="U51" s="173"/>
      <c r="V51" s="173">
        <v>261.27</v>
      </c>
      <c r="W51" s="173"/>
      <c r="X51" s="173"/>
      <c r="Y51" s="173"/>
      <c r="Z51" s="173"/>
      <c r="AA51" s="173"/>
    </row>
    <row r="52" spans="1:27" ht="15" customHeight="1" x14ac:dyDescent="0.3">
      <c r="A52" s="172">
        <v>45492</v>
      </c>
      <c r="B52" s="173">
        <v>551</v>
      </c>
      <c r="C52" s="173">
        <v>82.64</v>
      </c>
      <c r="D52" s="173">
        <v>895.37</v>
      </c>
      <c r="E52" s="173">
        <v>157.35</v>
      </c>
      <c r="F52" s="173">
        <v>76.239999999999995</v>
      </c>
      <c r="G52" s="173">
        <v>76.260000000000005</v>
      </c>
      <c r="H52" s="173">
        <v>114.26</v>
      </c>
      <c r="I52" s="173">
        <v>117.93</v>
      </c>
      <c r="J52" s="173">
        <v>123.75</v>
      </c>
      <c r="K52" s="173">
        <v>28.58</v>
      </c>
      <c r="L52" s="173">
        <v>165.77</v>
      </c>
      <c r="M52" s="173">
        <v>85.31</v>
      </c>
      <c r="N52" s="173">
        <v>491.57</v>
      </c>
      <c r="O52" s="173">
        <v>95.62</v>
      </c>
      <c r="P52" s="173"/>
      <c r="Q52" s="173">
        <v>58.58</v>
      </c>
      <c r="R52" s="173">
        <v>54.19</v>
      </c>
      <c r="S52" s="173">
        <v>86.35</v>
      </c>
      <c r="T52" s="173">
        <v>31.94</v>
      </c>
      <c r="U52" s="173"/>
      <c r="V52" s="173">
        <v>260.99</v>
      </c>
      <c r="W52" s="173"/>
      <c r="X52" s="173"/>
      <c r="Y52" s="173"/>
      <c r="Z52" s="173"/>
      <c r="AA52" s="173"/>
    </row>
    <row r="53" spans="1:27" ht="15" customHeight="1" x14ac:dyDescent="0.3">
      <c r="A53" s="172">
        <v>45499</v>
      </c>
      <c r="B53" s="173">
        <v>542.44000000000005</v>
      </c>
      <c r="C53" s="173">
        <v>79.8</v>
      </c>
      <c r="D53" s="173">
        <v>888.39</v>
      </c>
      <c r="E53" s="173">
        <v>151.63</v>
      </c>
      <c r="F53" s="173">
        <v>64.040000000000006</v>
      </c>
      <c r="G53" s="173">
        <v>78.739999999999995</v>
      </c>
      <c r="H53" s="173">
        <v>109.41</v>
      </c>
      <c r="I53" s="173">
        <v>113.06</v>
      </c>
      <c r="J53" s="173">
        <v>122.68</v>
      </c>
      <c r="K53" s="173">
        <v>27.18</v>
      </c>
      <c r="L53" s="173">
        <v>161.94</v>
      </c>
      <c r="M53" s="173">
        <v>77.12</v>
      </c>
      <c r="N53" s="173">
        <v>495.26</v>
      </c>
      <c r="O53" s="173">
        <v>99.09</v>
      </c>
      <c r="P53" s="173"/>
      <c r="Q53" s="173">
        <v>60.1</v>
      </c>
      <c r="R53" s="173">
        <v>52.96</v>
      </c>
      <c r="S53" s="173">
        <v>84.72</v>
      </c>
      <c r="T53" s="173">
        <v>32.51</v>
      </c>
      <c r="U53" s="173"/>
      <c r="V53" s="173">
        <v>255.09</v>
      </c>
      <c r="W53" s="173"/>
      <c r="X53" s="173"/>
      <c r="Y53" s="173"/>
      <c r="Z53" s="173"/>
      <c r="AA53" s="173"/>
    </row>
    <row r="54" spans="1:27" ht="15" customHeight="1" x14ac:dyDescent="0.3">
      <c r="A54" s="172">
        <v>45506</v>
      </c>
      <c r="B54" s="173">
        <v>526.16999999999996</v>
      </c>
      <c r="C54" s="173">
        <v>79.83</v>
      </c>
      <c r="D54" s="173">
        <v>809.35</v>
      </c>
      <c r="E54" s="173">
        <v>143.82</v>
      </c>
      <c r="F54" s="173">
        <v>54.47</v>
      </c>
      <c r="G54" s="173">
        <v>69.62</v>
      </c>
      <c r="H54" s="173">
        <v>92.7</v>
      </c>
      <c r="I54" s="173">
        <v>107.27</v>
      </c>
      <c r="J54" s="173">
        <v>123.98</v>
      </c>
      <c r="K54" s="173">
        <v>24.74</v>
      </c>
      <c r="L54" s="173">
        <v>149.86000000000001</v>
      </c>
      <c r="M54" s="173">
        <v>69.459999999999994</v>
      </c>
      <c r="N54" s="173">
        <v>494.46</v>
      </c>
      <c r="O54" s="173">
        <v>92.01</v>
      </c>
      <c r="P54" s="173"/>
      <c r="Q54" s="173">
        <v>60.6</v>
      </c>
      <c r="R54" s="173">
        <v>51.14</v>
      </c>
      <c r="S54" s="173">
        <v>82.2</v>
      </c>
      <c r="T54" s="173">
        <v>31.58</v>
      </c>
      <c r="U54" s="173"/>
      <c r="V54" s="173">
        <v>262.10000000000002</v>
      </c>
      <c r="W54" s="173"/>
      <c r="X54" s="173"/>
      <c r="Y54" s="173"/>
      <c r="Z54" s="173"/>
      <c r="AA54" s="173"/>
    </row>
    <row r="55" spans="1:27" ht="15" customHeight="1" x14ac:dyDescent="0.3">
      <c r="A55" s="172">
        <v>45513</v>
      </c>
      <c r="B55" s="173">
        <v>536.29999999999995</v>
      </c>
      <c r="C55" s="173">
        <v>83.95</v>
      </c>
      <c r="D55" s="173">
        <v>860.55</v>
      </c>
      <c r="E55" s="173">
        <v>148.26</v>
      </c>
      <c r="F55" s="173">
        <v>60.23</v>
      </c>
      <c r="G55" s="173">
        <v>74.680000000000007</v>
      </c>
      <c r="H55" s="173">
        <v>93.08</v>
      </c>
      <c r="I55" s="173">
        <v>104.75</v>
      </c>
      <c r="J55" s="173">
        <v>121.9</v>
      </c>
      <c r="K55" s="173">
        <v>30.01</v>
      </c>
      <c r="L55" s="173">
        <v>167.12</v>
      </c>
      <c r="M55" s="173">
        <v>71.459999999999994</v>
      </c>
      <c r="N55" s="173">
        <v>468.45</v>
      </c>
      <c r="O55" s="173">
        <v>90.39</v>
      </c>
      <c r="P55" s="173"/>
      <c r="Q55" s="173">
        <v>60.94</v>
      </c>
      <c r="R55" s="173">
        <v>51.29</v>
      </c>
      <c r="S55" s="173">
        <v>83.62</v>
      </c>
      <c r="T55" s="173">
        <v>31.53</v>
      </c>
      <c r="U55" s="173"/>
      <c r="V55" s="173">
        <v>255.9</v>
      </c>
      <c r="W55" s="173"/>
      <c r="X55" s="173"/>
      <c r="Y55" s="173"/>
      <c r="Z55" s="173"/>
      <c r="AA55" s="173"/>
    </row>
    <row r="56" spans="1:27" ht="15" customHeight="1" x14ac:dyDescent="0.3">
      <c r="A56" s="172">
        <v>45520</v>
      </c>
      <c r="B56" s="173">
        <v>553.46</v>
      </c>
      <c r="C56" s="173">
        <v>88.47</v>
      </c>
      <c r="D56" s="173">
        <v>918.66</v>
      </c>
      <c r="E56" s="173">
        <v>165.72</v>
      </c>
      <c r="F56" s="173">
        <v>65.64</v>
      </c>
      <c r="G56" s="173">
        <v>81.96</v>
      </c>
      <c r="H56" s="173">
        <v>107.99</v>
      </c>
      <c r="I56" s="173">
        <v>124.58</v>
      </c>
      <c r="J56" s="173">
        <v>122.85</v>
      </c>
      <c r="K56" s="173">
        <v>32.08</v>
      </c>
      <c r="L56" s="173">
        <v>174.54</v>
      </c>
      <c r="M56" s="173">
        <v>79.42</v>
      </c>
      <c r="N56" s="173">
        <v>477.37</v>
      </c>
      <c r="O56" s="173">
        <v>92.97</v>
      </c>
      <c r="P56" s="173"/>
      <c r="Q56" s="173">
        <v>61.02</v>
      </c>
      <c r="R56" s="173">
        <v>53.45</v>
      </c>
      <c r="S56" s="173">
        <v>88.39</v>
      </c>
      <c r="T56" s="173">
        <v>32.04</v>
      </c>
      <c r="U56" s="173"/>
      <c r="V56" s="173">
        <v>263.41000000000003</v>
      </c>
      <c r="W56" s="173"/>
      <c r="X56" s="173"/>
      <c r="Y56" s="173"/>
      <c r="Z56" s="173"/>
      <c r="AA56" s="173"/>
    </row>
    <row r="57" spans="1:27" ht="15" customHeight="1" x14ac:dyDescent="0.3">
      <c r="A57" s="172">
        <v>45527</v>
      </c>
      <c r="B57" s="173">
        <v>558.29999999999995</v>
      </c>
      <c r="C57" s="173">
        <v>88.78</v>
      </c>
      <c r="D57" s="173">
        <v>907.26</v>
      </c>
      <c r="E57" s="173">
        <v>166.36</v>
      </c>
      <c r="F57" s="173">
        <v>67.89</v>
      </c>
      <c r="G57" s="173">
        <v>81.78</v>
      </c>
      <c r="H57" s="173">
        <v>102.85</v>
      </c>
      <c r="I57" s="173">
        <v>129.37</v>
      </c>
      <c r="J57" s="173">
        <v>128.86000000000001</v>
      </c>
      <c r="K57" s="173">
        <v>31.78</v>
      </c>
      <c r="L57" s="173">
        <v>171.28</v>
      </c>
      <c r="M57" s="173">
        <v>78.55</v>
      </c>
      <c r="N57" s="173">
        <v>481.24</v>
      </c>
      <c r="O57" s="173">
        <v>95.86</v>
      </c>
      <c r="P57" s="173"/>
      <c r="Q57" s="173">
        <v>61.51</v>
      </c>
      <c r="R57" s="173">
        <v>53.9</v>
      </c>
      <c r="S57" s="173">
        <v>89.61</v>
      </c>
      <c r="T57" s="173">
        <v>33.090000000000003</v>
      </c>
      <c r="U57" s="173"/>
      <c r="V57" s="173">
        <v>263.47000000000003</v>
      </c>
      <c r="W57" s="173"/>
      <c r="X57" s="173"/>
      <c r="Y57" s="173"/>
      <c r="Z57" s="173"/>
      <c r="AA57" s="173"/>
    </row>
    <row r="58" spans="1:27" ht="15" customHeight="1" x14ac:dyDescent="0.3">
      <c r="A58" s="172">
        <v>45534</v>
      </c>
      <c r="B58" s="173">
        <v>574.41</v>
      </c>
      <c r="C58" s="173">
        <v>88.35</v>
      </c>
      <c r="D58" s="173">
        <v>903.87</v>
      </c>
      <c r="E58" s="173">
        <v>162.82</v>
      </c>
      <c r="F58" s="173">
        <v>69.319999999999993</v>
      </c>
      <c r="G58" s="173">
        <v>81.94</v>
      </c>
      <c r="H58" s="173">
        <v>96.24</v>
      </c>
      <c r="I58" s="173">
        <v>119.37</v>
      </c>
      <c r="J58" s="173">
        <v>127.82</v>
      </c>
      <c r="K58" s="173">
        <v>31.48</v>
      </c>
      <c r="L58" s="173">
        <v>171.7</v>
      </c>
      <c r="M58" s="173">
        <v>83.03</v>
      </c>
      <c r="N58" s="173">
        <v>495.89</v>
      </c>
      <c r="O58" s="173">
        <v>95.91</v>
      </c>
      <c r="P58" s="173"/>
      <c r="Q58" s="173">
        <v>62.02</v>
      </c>
      <c r="R58" s="173">
        <v>54.08</v>
      </c>
      <c r="S58" s="173">
        <v>89.25</v>
      </c>
      <c r="T58" s="173">
        <v>33.200000000000003</v>
      </c>
      <c r="U58" s="173"/>
      <c r="V58" s="173">
        <v>272.27</v>
      </c>
      <c r="W58" s="173"/>
      <c r="X58" s="173"/>
      <c r="Y58" s="173"/>
      <c r="Z58" s="173"/>
      <c r="AA58" s="173"/>
    </row>
    <row r="59" spans="1:27" ht="15" customHeight="1" x14ac:dyDescent="0.3">
      <c r="A59" s="172">
        <v>45541</v>
      </c>
      <c r="B59" s="173">
        <v>563.41</v>
      </c>
      <c r="C59" s="173">
        <v>78.58</v>
      </c>
      <c r="D59" s="173">
        <v>752.79</v>
      </c>
      <c r="E59" s="173">
        <v>137</v>
      </c>
      <c r="F59" s="173">
        <v>61.6</v>
      </c>
      <c r="G59" s="173">
        <v>70.28</v>
      </c>
      <c r="H59" s="173">
        <v>86.38</v>
      </c>
      <c r="I59" s="173">
        <v>102.83</v>
      </c>
      <c r="J59" s="173">
        <v>127.23</v>
      </c>
      <c r="K59" s="173">
        <v>30.33</v>
      </c>
      <c r="L59" s="173">
        <v>156.82</v>
      </c>
      <c r="M59" s="173">
        <v>71.77</v>
      </c>
      <c r="N59" s="173">
        <v>468</v>
      </c>
      <c r="O59" s="173">
        <v>90.48</v>
      </c>
      <c r="P59" s="173"/>
      <c r="Q59" s="173">
        <v>61.85</v>
      </c>
      <c r="R59" s="173">
        <v>51.36</v>
      </c>
      <c r="S59" s="173">
        <v>83.92</v>
      </c>
      <c r="T59" s="173">
        <v>31.83</v>
      </c>
      <c r="U59" s="173"/>
      <c r="V59" s="173">
        <v>275.22000000000003</v>
      </c>
      <c r="W59" s="173"/>
      <c r="X59" s="173"/>
      <c r="Y59" s="173"/>
      <c r="Z59" s="173"/>
      <c r="AA59" s="173"/>
    </row>
    <row r="60" spans="1:27" ht="15" customHeight="1" x14ac:dyDescent="0.3">
      <c r="A60" s="172">
        <v>45548</v>
      </c>
      <c r="B60" s="173">
        <v>536.87</v>
      </c>
      <c r="C60" s="173">
        <v>89.94</v>
      </c>
      <c r="D60" s="173">
        <v>816.36</v>
      </c>
      <c r="E60" s="173">
        <v>167.69</v>
      </c>
      <c r="F60" s="173">
        <v>64.78</v>
      </c>
      <c r="G60" s="173">
        <v>75.150000000000006</v>
      </c>
      <c r="H60" s="173">
        <v>91.22</v>
      </c>
      <c r="I60" s="173">
        <v>119.1</v>
      </c>
      <c r="J60" s="173">
        <v>129.97999999999999</v>
      </c>
      <c r="K60" s="173">
        <v>35.590000000000003</v>
      </c>
      <c r="L60" s="173">
        <v>172.5</v>
      </c>
      <c r="M60" s="173">
        <v>85.76</v>
      </c>
      <c r="N60" s="173">
        <v>485.37</v>
      </c>
      <c r="O60" s="173">
        <v>93.09</v>
      </c>
      <c r="P60" s="173"/>
      <c r="Q60" s="173">
        <v>61.3</v>
      </c>
      <c r="R60" s="173">
        <v>53.75</v>
      </c>
      <c r="S60" s="173">
        <v>89.08</v>
      </c>
      <c r="T60" s="173">
        <v>32.58</v>
      </c>
      <c r="U60" s="173"/>
      <c r="V60" s="173">
        <v>283.08</v>
      </c>
      <c r="W60" s="173"/>
      <c r="X60" s="173"/>
      <c r="Y60" s="173"/>
      <c r="Z60" s="173"/>
      <c r="AA60" s="173"/>
    </row>
    <row r="61" spans="1:27" ht="15" customHeight="1" x14ac:dyDescent="0.3">
      <c r="A61" s="172">
        <v>45555</v>
      </c>
      <c r="B61" s="173">
        <v>522.29999999999995</v>
      </c>
      <c r="C61" s="173">
        <v>96.12</v>
      </c>
      <c r="D61" s="173">
        <v>795.28</v>
      </c>
      <c r="E61" s="173">
        <v>171.1</v>
      </c>
      <c r="F61" s="173">
        <v>74.959999999999994</v>
      </c>
      <c r="G61" s="173">
        <v>75.89</v>
      </c>
      <c r="H61" s="173">
        <v>90.9</v>
      </c>
      <c r="I61" s="173">
        <v>116</v>
      </c>
      <c r="J61" s="173">
        <v>125.47</v>
      </c>
      <c r="K61" s="173">
        <v>37.200000000000003</v>
      </c>
      <c r="L61" s="173">
        <v>174.08</v>
      </c>
      <c r="M61" s="173">
        <v>94.54</v>
      </c>
      <c r="N61" s="173">
        <v>464.92</v>
      </c>
      <c r="O61" s="173">
        <v>95.9</v>
      </c>
      <c r="P61" s="173"/>
      <c r="Q61" s="173">
        <v>62.79</v>
      </c>
      <c r="R61" s="173">
        <v>54.41</v>
      </c>
      <c r="S61" s="173">
        <v>90.53</v>
      </c>
      <c r="T61" s="173">
        <v>33.14</v>
      </c>
      <c r="U61" s="173"/>
      <c r="V61" s="173">
        <v>280.54000000000002</v>
      </c>
      <c r="W61" s="173"/>
      <c r="X61" s="173"/>
      <c r="Y61" s="173"/>
      <c r="Z61" s="173"/>
      <c r="AA61" s="173"/>
    </row>
    <row r="62" spans="1:27" ht="15" customHeight="1" x14ac:dyDescent="0.3">
      <c r="A62" s="172">
        <v>45562</v>
      </c>
      <c r="B62" s="173">
        <v>515.48</v>
      </c>
      <c r="C62" s="173">
        <v>95.07</v>
      </c>
      <c r="D62" s="173">
        <v>841.54</v>
      </c>
      <c r="E62" s="173">
        <v>172.69</v>
      </c>
      <c r="F62" s="173">
        <v>71.47</v>
      </c>
      <c r="G62" s="173">
        <v>78.239999999999995</v>
      </c>
      <c r="H62" s="173">
        <v>107.5</v>
      </c>
      <c r="I62" s="173">
        <v>121.4</v>
      </c>
      <c r="J62" s="173">
        <v>125.59</v>
      </c>
      <c r="K62" s="173">
        <v>36.840000000000003</v>
      </c>
      <c r="L62" s="173">
        <v>177.97</v>
      </c>
      <c r="M62" s="173">
        <v>98.41</v>
      </c>
      <c r="N62" s="173">
        <v>462.88</v>
      </c>
      <c r="O62" s="173">
        <v>95.56</v>
      </c>
      <c r="P62" s="173"/>
      <c r="Q62" s="173">
        <v>62.19</v>
      </c>
      <c r="R62" s="173">
        <v>54.8</v>
      </c>
      <c r="S62" s="173">
        <v>90.34</v>
      </c>
      <c r="T62" s="173">
        <v>33.21</v>
      </c>
      <c r="U62" s="173"/>
      <c r="V62" s="173">
        <v>271.08</v>
      </c>
      <c r="W62" s="173"/>
      <c r="X62" s="173"/>
      <c r="Y62" s="173"/>
      <c r="Z62" s="173"/>
      <c r="AA62" s="173"/>
    </row>
    <row r="63" spans="1:27" ht="15" customHeight="1" x14ac:dyDescent="0.3">
      <c r="A63" s="172">
        <v>45569</v>
      </c>
      <c r="B63" s="173">
        <v>507.22</v>
      </c>
      <c r="C63" s="173">
        <v>98.99</v>
      </c>
      <c r="D63" s="173">
        <v>833</v>
      </c>
      <c r="E63" s="173">
        <v>176.64</v>
      </c>
      <c r="F63" s="173">
        <v>73.06</v>
      </c>
      <c r="G63" s="173">
        <v>78.739999999999995</v>
      </c>
      <c r="H63" s="173">
        <v>102.25</v>
      </c>
      <c r="I63" s="173">
        <v>124.92</v>
      </c>
      <c r="J63" s="173">
        <v>122.42</v>
      </c>
      <c r="K63" s="173">
        <v>40.01</v>
      </c>
      <c r="L63" s="173">
        <v>181.16</v>
      </c>
      <c r="M63" s="173">
        <v>105.2</v>
      </c>
      <c r="N63" s="173">
        <v>455.31</v>
      </c>
      <c r="O63" s="173">
        <v>95.83</v>
      </c>
      <c r="P63" s="173"/>
      <c r="Q63" s="173">
        <v>62.66</v>
      </c>
      <c r="R63" s="173">
        <v>54.37</v>
      </c>
      <c r="S63" s="173">
        <v>91.69</v>
      </c>
      <c r="T63" s="173">
        <v>33.83</v>
      </c>
      <c r="U63" s="173"/>
      <c r="V63" s="173">
        <v>273.8</v>
      </c>
      <c r="W63" s="173"/>
      <c r="X63" s="173"/>
      <c r="Y63" s="173"/>
      <c r="Z63" s="173"/>
      <c r="AA63" s="173"/>
    </row>
    <row r="64" spans="1:27" ht="15" customHeight="1" x14ac:dyDescent="0.3">
      <c r="A64" s="172">
        <v>45576</v>
      </c>
      <c r="B64" s="173">
        <v>495.42</v>
      </c>
      <c r="C64" s="173">
        <v>104.23</v>
      </c>
      <c r="D64" s="173">
        <v>840.69</v>
      </c>
      <c r="E64" s="173">
        <v>181.48</v>
      </c>
      <c r="F64" s="173">
        <v>80.05</v>
      </c>
      <c r="G64" s="173">
        <v>80.37</v>
      </c>
      <c r="H64" s="173">
        <v>106.92</v>
      </c>
      <c r="I64" s="173">
        <v>134.80000000000001</v>
      </c>
      <c r="J64" s="173">
        <v>120.24</v>
      </c>
      <c r="K64" s="173">
        <v>43.51</v>
      </c>
      <c r="L64" s="173">
        <v>190.81</v>
      </c>
      <c r="M64" s="173">
        <v>111.84</v>
      </c>
      <c r="N64" s="173">
        <v>481.71</v>
      </c>
      <c r="O64" s="173">
        <v>96.97</v>
      </c>
      <c r="P64" s="173"/>
      <c r="Q64" s="173">
        <v>63.04</v>
      </c>
      <c r="R64" s="173">
        <v>54.86</v>
      </c>
      <c r="S64" s="173">
        <v>93.67</v>
      </c>
      <c r="T64" s="173">
        <v>33.950000000000003</v>
      </c>
      <c r="U64" s="173"/>
      <c r="V64" s="173">
        <v>273.70999999999998</v>
      </c>
      <c r="W64" s="173"/>
      <c r="X64" s="173"/>
      <c r="Y64" s="173"/>
      <c r="Z64" s="173"/>
      <c r="AA64" s="173"/>
    </row>
    <row r="65" spans="1:27" ht="15" customHeight="1" x14ac:dyDescent="0.3">
      <c r="A65" s="172">
        <v>45583</v>
      </c>
      <c r="B65" s="173">
        <v>494.9</v>
      </c>
      <c r="C65" s="173">
        <v>100.5</v>
      </c>
      <c r="D65" s="173">
        <v>723.26</v>
      </c>
      <c r="E65" s="173">
        <v>179.89</v>
      </c>
      <c r="F65" s="173">
        <v>77.540000000000006</v>
      </c>
      <c r="G65" s="173">
        <v>67.849999999999994</v>
      </c>
      <c r="H65" s="173">
        <v>111.15</v>
      </c>
      <c r="I65" s="173">
        <v>138</v>
      </c>
      <c r="J65" s="173">
        <v>122.5</v>
      </c>
      <c r="K65" s="173">
        <v>42.97</v>
      </c>
      <c r="L65" s="173">
        <v>200.78</v>
      </c>
      <c r="M65" s="173">
        <v>112.25</v>
      </c>
      <c r="N65" s="173">
        <v>483</v>
      </c>
      <c r="O65" s="173">
        <v>98.19</v>
      </c>
      <c r="P65" s="173"/>
      <c r="Q65" s="173">
        <v>63.28</v>
      </c>
      <c r="R65" s="173">
        <v>55.27</v>
      </c>
      <c r="S65" s="173">
        <v>94.07</v>
      </c>
      <c r="T65" s="173">
        <v>33.79</v>
      </c>
      <c r="U65" s="173"/>
      <c r="V65" s="173">
        <v>286.3</v>
      </c>
      <c r="W65" s="173"/>
      <c r="X65" s="173"/>
      <c r="Y65" s="173"/>
      <c r="Z65" s="173"/>
      <c r="AA65" s="173"/>
    </row>
    <row r="66" spans="1:27" ht="15" customHeight="1" x14ac:dyDescent="0.3">
      <c r="A66" s="172">
        <v>45590</v>
      </c>
      <c r="B66" s="173">
        <v>483.72</v>
      </c>
      <c r="C66" s="173">
        <v>98.52</v>
      </c>
      <c r="D66" s="173">
        <v>711.7</v>
      </c>
      <c r="E66" s="173">
        <v>173</v>
      </c>
      <c r="F66" s="173">
        <v>75.16</v>
      </c>
      <c r="G66" s="173">
        <v>67.31</v>
      </c>
      <c r="H66" s="173">
        <v>107.91</v>
      </c>
      <c r="I66" s="173">
        <v>141.54</v>
      </c>
      <c r="J66" s="173">
        <v>117.54</v>
      </c>
      <c r="K66" s="173">
        <v>44.86</v>
      </c>
      <c r="L66" s="173">
        <v>203.44</v>
      </c>
      <c r="M66" s="173">
        <v>112.17</v>
      </c>
      <c r="N66" s="173">
        <v>477.7</v>
      </c>
      <c r="O66" s="173">
        <v>94.92</v>
      </c>
      <c r="P66" s="173"/>
      <c r="Q66" s="173">
        <v>63.17</v>
      </c>
      <c r="R66" s="173">
        <v>55.4</v>
      </c>
      <c r="S66" s="173">
        <v>92.69</v>
      </c>
      <c r="T66" s="173">
        <v>33.14</v>
      </c>
      <c r="U66" s="173"/>
      <c r="V66" s="173">
        <v>277.55</v>
      </c>
      <c r="W66" s="173"/>
      <c r="X66" s="173"/>
      <c r="Y66" s="173"/>
      <c r="Z66" s="173"/>
      <c r="AA66" s="173"/>
    </row>
    <row r="67" spans="1:27" ht="15" customHeight="1" x14ac:dyDescent="0.3">
      <c r="A67" s="172">
        <v>45597</v>
      </c>
      <c r="B67" s="173">
        <v>482.8</v>
      </c>
      <c r="C67" s="173">
        <v>98.54</v>
      </c>
      <c r="D67" s="173">
        <v>674.73</v>
      </c>
      <c r="E67" s="173">
        <v>168.92</v>
      </c>
      <c r="F67" s="173">
        <v>75.78</v>
      </c>
      <c r="G67" s="173">
        <v>66.94</v>
      </c>
      <c r="H67" s="173">
        <v>99.73</v>
      </c>
      <c r="I67" s="173">
        <v>135.4</v>
      </c>
      <c r="J67" s="173">
        <v>113.4</v>
      </c>
      <c r="K67" s="173">
        <v>41.92</v>
      </c>
      <c r="L67" s="173">
        <v>192.95</v>
      </c>
      <c r="M67" s="173">
        <v>106.9</v>
      </c>
      <c r="N67" s="173">
        <v>471.12</v>
      </c>
      <c r="O67" s="173">
        <v>94.69</v>
      </c>
      <c r="P67" s="173"/>
      <c r="Q67" s="173">
        <v>62.39</v>
      </c>
      <c r="R67" s="173">
        <v>54.44</v>
      </c>
      <c r="S67" s="173">
        <v>91.42</v>
      </c>
      <c r="T67" s="173">
        <v>33.159999999999997</v>
      </c>
      <c r="U67" s="173"/>
      <c r="V67" s="173">
        <v>286.42</v>
      </c>
      <c r="W67" s="173"/>
      <c r="X67" s="173"/>
      <c r="Y67" s="173"/>
      <c r="Z67" s="173"/>
      <c r="AA67" s="173"/>
    </row>
    <row r="68" spans="1:27" ht="15" customHeight="1" x14ac:dyDescent="0.3">
      <c r="A68" s="172">
        <v>45604</v>
      </c>
      <c r="B68" s="173">
        <v>494.68</v>
      </c>
      <c r="C68" s="173">
        <v>100.11</v>
      </c>
      <c r="D68" s="173">
        <v>669.47</v>
      </c>
      <c r="E68" s="173">
        <v>183.64</v>
      </c>
      <c r="F68" s="173">
        <v>82.51</v>
      </c>
      <c r="G68" s="173">
        <v>68.739999999999995</v>
      </c>
      <c r="H68" s="173">
        <v>111.9</v>
      </c>
      <c r="I68" s="173">
        <v>147.63</v>
      </c>
      <c r="J68" s="173">
        <v>115.83</v>
      </c>
      <c r="K68" s="173">
        <v>58.39</v>
      </c>
      <c r="L68" s="173">
        <v>201.2</v>
      </c>
      <c r="M68" s="173">
        <v>125.75</v>
      </c>
      <c r="N68" s="173">
        <v>516.74</v>
      </c>
      <c r="O68" s="173">
        <v>103.08</v>
      </c>
      <c r="P68" s="173"/>
      <c r="Q68" s="173">
        <v>62.65</v>
      </c>
      <c r="R68" s="173">
        <v>56.54</v>
      </c>
      <c r="S68" s="173">
        <v>96.89</v>
      </c>
      <c r="T68" s="173">
        <v>35.729999999999997</v>
      </c>
      <c r="U68" s="173"/>
      <c r="V68" s="173">
        <v>303.3</v>
      </c>
      <c r="W68" s="173"/>
      <c r="X68" s="173"/>
      <c r="Y68" s="173"/>
      <c r="Z68" s="173"/>
      <c r="AA68" s="173"/>
    </row>
    <row r="69" spans="1:27" ht="15" customHeight="1" x14ac:dyDescent="0.3">
      <c r="A69" s="172">
        <v>45611</v>
      </c>
      <c r="B69" s="173">
        <v>503.37</v>
      </c>
      <c r="C69" s="173">
        <v>93.6</v>
      </c>
      <c r="D69" s="173">
        <v>658.63</v>
      </c>
      <c r="E69" s="173">
        <v>164.84</v>
      </c>
      <c r="F69" s="173">
        <v>84.19</v>
      </c>
      <c r="G69" s="173">
        <v>61.45</v>
      </c>
      <c r="H69" s="173">
        <v>96.34</v>
      </c>
      <c r="I69" s="173">
        <v>141.97999999999999</v>
      </c>
      <c r="J69" s="173">
        <v>113.42</v>
      </c>
      <c r="K69" s="173">
        <v>65.77</v>
      </c>
      <c r="L69" s="173">
        <v>186.01</v>
      </c>
      <c r="M69" s="173">
        <v>120.87</v>
      </c>
      <c r="N69" s="173">
        <v>465.7</v>
      </c>
      <c r="O69" s="173">
        <v>101.08</v>
      </c>
      <c r="P69" s="173"/>
      <c r="Q69" s="173">
        <v>62.4</v>
      </c>
      <c r="R69" s="173">
        <v>55.61</v>
      </c>
      <c r="S69" s="173">
        <v>93.9</v>
      </c>
      <c r="T69" s="173">
        <v>35.18</v>
      </c>
      <c r="U69" s="173"/>
      <c r="V69" s="173">
        <v>305.62</v>
      </c>
      <c r="W69" s="173"/>
      <c r="X69" s="173"/>
      <c r="Y69" s="173"/>
      <c r="Z69" s="173"/>
      <c r="AA69" s="173"/>
    </row>
    <row r="70" spans="1:27" ht="15" customHeight="1" x14ac:dyDescent="0.3">
      <c r="A70" s="172">
        <v>45618</v>
      </c>
      <c r="B70" s="173">
        <v>512.15</v>
      </c>
      <c r="C70" s="173">
        <v>101.62</v>
      </c>
      <c r="D70" s="173">
        <v>672.88</v>
      </c>
      <c r="E70" s="173">
        <v>164.23</v>
      </c>
      <c r="F70" s="173">
        <v>93.07</v>
      </c>
      <c r="G70" s="173">
        <v>63.96</v>
      </c>
      <c r="H70" s="173">
        <v>102.64</v>
      </c>
      <c r="I70" s="173">
        <v>141.94999999999999</v>
      </c>
      <c r="J70" s="173">
        <v>115.8</v>
      </c>
      <c r="K70" s="173">
        <v>64.349999999999994</v>
      </c>
      <c r="L70" s="173">
        <v>190.08</v>
      </c>
      <c r="M70" s="173">
        <v>140.15</v>
      </c>
      <c r="N70" s="173">
        <v>450.97</v>
      </c>
      <c r="O70" s="173">
        <v>104.78</v>
      </c>
      <c r="P70" s="173"/>
      <c r="Q70" s="173">
        <v>61.64</v>
      </c>
      <c r="R70" s="173">
        <v>56.57</v>
      </c>
      <c r="S70" s="173">
        <v>95.58</v>
      </c>
      <c r="T70" s="173">
        <v>36.54</v>
      </c>
      <c r="U70" s="173"/>
      <c r="V70" s="173">
        <v>305.89999999999998</v>
      </c>
      <c r="W70" s="173"/>
      <c r="X70" s="173"/>
      <c r="Y70" s="173"/>
      <c r="Z70" s="173"/>
      <c r="AA70" s="173"/>
    </row>
    <row r="71" spans="1:27" ht="15" customHeight="1" x14ac:dyDescent="0.3">
      <c r="A71" s="172">
        <v>45625</v>
      </c>
      <c r="B71" s="173">
        <v>515.92999999999995</v>
      </c>
      <c r="C71" s="173">
        <v>101.46</v>
      </c>
      <c r="D71" s="173">
        <v>686.61</v>
      </c>
      <c r="E71" s="173">
        <v>162.08000000000001</v>
      </c>
      <c r="F71" s="173">
        <v>86.49</v>
      </c>
      <c r="G71" s="173">
        <v>64.7</v>
      </c>
      <c r="H71" s="173">
        <v>97.95</v>
      </c>
      <c r="I71" s="173">
        <v>138.25</v>
      </c>
      <c r="J71" s="173">
        <v>116.78</v>
      </c>
      <c r="K71" s="173">
        <v>67.08</v>
      </c>
      <c r="L71" s="173">
        <v>184.66</v>
      </c>
      <c r="M71" s="173">
        <v>127.6</v>
      </c>
      <c r="N71" s="173">
        <v>468.13</v>
      </c>
      <c r="O71" s="173">
        <v>105.49</v>
      </c>
      <c r="P71" s="173"/>
      <c r="Q71" s="173">
        <v>62.7</v>
      </c>
      <c r="R71" s="173">
        <v>57.09</v>
      </c>
      <c r="S71" s="173">
        <v>96.83</v>
      </c>
      <c r="T71" s="173">
        <v>36.61</v>
      </c>
      <c r="U71" s="173"/>
      <c r="V71" s="173">
        <v>310.99</v>
      </c>
      <c r="W71" s="173"/>
      <c r="X71" s="173"/>
      <c r="Y71" s="173"/>
      <c r="Z71" s="173"/>
      <c r="AA71" s="173"/>
    </row>
    <row r="72" spans="1:27" ht="15" customHeight="1" x14ac:dyDescent="0.3">
      <c r="A72" s="172">
        <v>45632</v>
      </c>
      <c r="B72" s="173">
        <v>552.96</v>
      </c>
      <c r="C72" s="173">
        <v>108.25</v>
      </c>
      <c r="D72" s="173">
        <v>708.98</v>
      </c>
      <c r="E72" s="173">
        <v>179.53</v>
      </c>
      <c r="F72" s="173">
        <v>91.41</v>
      </c>
      <c r="G72" s="173">
        <v>64.83</v>
      </c>
      <c r="H72" s="173">
        <v>101.17</v>
      </c>
      <c r="I72" s="173">
        <v>142.44</v>
      </c>
      <c r="J72" s="173">
        <v>112</v>
      </c>
      <c r="K72" s="173">
        <v>76.34</v>
      </c>
      <c r="L72" s="173">
        <v>203.02</v>
      </c>
      <c r="M72" s="173">
        <v>133.85</v>
      </c>
      <c r="N72" s="173">
        <v>462.1</v>
      </c>
      <c r="O72" s="173">
        <v>103.29</v>
      </c>
      <c r="P72" s="173"/>
      <c r="Q72" s="173">
        <v>63.35</v>
      </c>
      <c r="R72" s="173">
        <v>57.62</v>
      </c>
      <c r="S72" s="173">
        <v>98.7</v>
      </c>
      <c r="T72" s="173">
        <v>36.58</v>
      </c>
      <c r="U72" s="173"/>
      <c r="V72" s="173">
        <v>306.97000000000003</v>
      </c>
      <c r="W72" s="173"/>
      <c r="X72" s="173"/>
      <c r="Y72" s="173"/>
      <c r="Z72" s="173"/>
      <c r="AA72" s="173"/>
    </row>
    <row r="73" spans="1:27" ht="15" customHeight="1" x14ac:dyDescent="0.3">
      <c r="A73" s="172">
        <v>45639</v>
      </c>
      <c r="B73" s="173">
        <v>465.69</v>
      </c>
      <c r="C73" s="173">
        <v>112.37</v>
      </c>
      <c r="D73" s="173">
        <v>718.58</v>
      </c>
      <c r="E73" s="173">
        <v>224.8</v>
      </c>
      <c r="F73" s="173">
        <v>92.01</v>
      </c>
      <c r="G73" s="173">
        <v>65.38</v>
      </c>
      <c r="H73" s="173">
        <v>102.5</v>
      </c>
      <c r="I73" s="173">
        <v>134.25</v>
      </c>
      <c r="J73" s="173">
        <v>111.13</v>
      </c>
      <c r="K73" s="173">
        <v>76.069999999999993</v>
      </c>
      <c r="L73" s="173">
        <v>200.99</v>
      </c>
      <c r="M73" s="173">
        <v>125.78</v>
      </c>
      <c r="N73" s="173">
        <v>463.73</v>
      </c>
      <c r="O73" s="173">
        <v>102.01</v>
      </c>
      <c r="P73" s="173"/>
      <c r="Q73" s="173">
        <v>62.8</v>
      </c>
      <c r="R73" s="173">
        <v>57.85</v>
      </c>
      <c r="S73" s="173">
        <v>97.77</v>
      </c>
      <c r="T73" s="173">
        <v>34.97</v>
      </c>
      <c r="U73" s="173"/>
      <c r="V73" s="173">
        <v>310.64999999999998</v>
      </c>
      <c r="W73" s="173"/>
      <c r="X73" s="173"/>
      <c r="Y73" s="173"/>
      <c r="Z73" s="173"/>
      <c r="AA73" s="173"/>
    </row>
    <row r="74" spans="1:27" ht="15" customHeight="1" x14ac:dyDescent="0.3">
      <c r="A74" s="172">
        <v>45646</v>
      </c>
      <c r="B74" s="173">
        <v>447.17</v>
      </c>
      <c r="C74" s="173">
        <v>112.81</v>
      </c>
      <c r="D74" s="173">
        <v>705.68</v>
      </c>
      <c r="E74" s="173">
        <v>220.79</v>
      </c>
      <c r="F74" s="173">
        <v>90.57</v>
      </c>
      <c r="G74" s="173">
        <v>62.94</v>
      </c>
      <c r="H74" s="173">
        <v>90.12</v>
      </c>
      <c r="I74" s="173">
        <v>134.69999999999999</v>
      </c>
      <c r="J74" s="173">
        <v>103.32</v>
      </c>
      <c r="K74" s="173">
        <v>80.55</v>
      </c>
      <c r="L74" s="173">
        <v>197.21</v>
      </c>
      <c r="M74" s="173">
        <v>120.04</v>
      </c>
      <c r="N74" s="173">
        <v>397.27</v>
      </c>
      <c r="O74" s="173">
        <v>96.11</v>
      </c>
      <c r="P74" s="173"/>
      <c r="Q74" s="173">
        <v>62.76</v>
      </c>
      <c r="R74" s="173">
        <v>57.2</v>
      </c>
      <c r="S74" s="173">
        <v>95.58</v>
      </c>
      <c r="T74" s="173">
        <v>33.9</v>
      </c>
      <c r="U74" s="173"/>
      <c r="V74" s="173">
        <v>313.58999999999997</v>
      </c>
      <c r="W74" s="173"/>
      <c r="X74" s="173"/>
      <c r="Y74" s="173"/>
      <c r="Z74" s="173"/>
      <c r="AA74" s="173"/>
    </row>
    <row r="75" spans="1:27" ht="15" customHeight="1" x14ac:dyDescent="0.3">
      <c r="A75" s="172">
        <v>45653</v>
      </c>
      <c r="B75" s="173">
        <v>446.48</v>
      </c>
      <c r="C75" s="173">
        <v>113.03</v>
      </c>
      <c r="D75" s="173">
        <v>713.59</v>
      </c>
      <c r="E75" s="173">
        <v>241.75</v>
      </c>
      <c r="F75" s="173">
        <v>88.75</v>
      </c>
      <c r="G75" s="173">
        <v>64.48</v>
      </c>
      <c r="H75" s="173">
        <v>88.63</v>
      </c>
      <c r="I75" s="173">
        <v>137.01</v>
      </c>
      <c r="J75" s="173">
        <v>105.24</v>
      </c>
      <c r="K75" s="173">
        <v>79.08</v>
      </c>
      <c r="L75" s="173">
        <v>201.63</v>
      </c>
      <c r="M75" s="173">
        <v>115.11</v>
      </c>
      <c r="N75" s="173">
        <v>408.76</v>
      </c>
      <c r="O75" s="173">
        <v>96.49</v>
      </c>
      <c r="P75" s="173"/>
      <c r="Q75" s="173">
        <v>63.42</v>
      </c>
      <c r="R75" s="173">
        <v>57.74</v>
      </c>
      <c r="S75" s="173">
        <v>96.59</v>
      </c>
      <c r="T75" s="173">
        <v>34.21</v>
      </c>
      <c r="U75" s="173"/>
      <c r="V75" s="173">
        <v>314.52</v>
      </c>
      <c r="W75" s="173"/>
      <c r="X75" s="173"/>
      <c r="Y75" s="173"/>
      <c r="Z75" s="173"/>
      <c r="AA75" s="173"/>
    </row>
    <row r="76" spans="1:27" ht="15" customHeight="1" x14ac:dyDescent="0.3">
      <c r="A76" s="172">
        <v>45660</v>
      </c>
      <c r="B76" s="173">
        <v>430.57</v>
      </c>
      <c r="C76" s="173">
        <v>115.2</v>
      </c>
      <c r="D76" s="173">
        <v>714.36</v>
      </c>
      <c r="E76" s="173">
        <v>232.55</v>
      </c>
      <c r="F76" s="173">
        <v>89.76</v>
      </c>
      <c r="G76" s="173">
        <v>65.7</v>
      </c>
      <c r="H76" s="173">
        <v>89.87</v>
      </c>
      <c r="I76" s="173">
        <v>144.47</v>
      </c>
      <c r="J76" s="173">
        <v>105.63</v>
      </c>
      <c r="K76" s="173">
        <v>79.89</v>
      </c>
      <c r="L76" s="173">
        <v>208.61</v>
      </c>
      <c r="M76" s="173">
        <v>125.67</v>
      </c>
      <c r="N76" s="173">
        <v>407.11</v>
      </c>
      <c r="O76" s="173">
        <v>97.24</v>
      </c>
      <c r="P76" s="173"/>
      <c r="Q76" s="173">
        <v>62.85</v>
      </c>
      <c r="R76" s="173">
        <v>57.08</v>
      </c>
      <c r="S76" s="173">
        <v>96.89</v>
      </c>
      <c r="T76" s="173">
        <v>34.47</v>
      </c>
      <c r="U76" s="173"/>
      <c r="V76" s="173">
        <v>310.82</v>
      </c>
      <c r="W76" s="173"/>
      <c r="X76" s="173"/>
      <c r="Y76" s="173"/>
      <c r="Z76" s="173"/>
      <c r="AA76" s="173"/>
    </row>
    <row r="77" spans="1:27" ht="15" customHeight="1" x14ac:dyDescent="0.3">
      <c r="A77" s="172">
        <v>45667</v>
      </c>
      <c r="B77" s="173">
        <v>405.92</v>
      </c>
      <c r="C77" s="173">
        <v>114.34</v>
      </c>
      <c r="D77" s="173">
        <v>739.01</v>
      </c>
      <c r="E77" s="173">
        <v>224.31</v>
      </c>
      <c r="F77" s="173">
        <v>87.21</v>
      </c>
      <c r="G77" s="173">
        <v>68.31</v>
      </c>
      <c r="H77" s="173">
        <v>99.34</v>
      </c>
      <c r="I77" s="173">
        <v>135.91</v>
      </c>
      <c r="J77" s="173">
        <v>103.59</v>
      </c>
      <c r="K77" s="173">
        <v>67.260000000000005</v>
      </c>
      <c r="L77" s="173">
        <v>208.37</v>
      </c>
      <c r="M77" s="173">
        <v>128.93</v>
      </c>
      <c r="N77" s="173">
        <v>409.56</v>
      </c>
      <c r="O77" s="173">
        <v>94.69</v>
      </c>
      <c r="P77" s="173"/>
      <c r="Q77" s="173">
        <v>62.45</v>
      </c>
      <c r="R77" s="173">
        <v>55.98</v>
      </c>
      <c r="S77" s="173">
        <v>95.58</v>
      </c>
      <c r="T77" s="173">
        <v>34.46</v>
      </c>
      <c r="U77" s="173"/>
      <c r="V77" s="173">
        <v>303.72000000000003</v>
      </c>
      <c r="W77" s="173"/>
      <c r="X77" s="173"/>
      <c r="Y77" s="173"/>
      <c r="Z77" s="173"/>
      <c r="AA77" s="173"/>
    </row>
    <row r="78" spans="1:27" ht="15" customHeight="1" x14ac:dyDescent="0.3">
      <c r="A78" s="172">
        <v>45674</v>
      </c>
      <c r="B78" s="173">
        <v>429.99</v>
      </c>
      <c r="C78" s="173">
        <v>119.95</v>
      </c>
      <c r="D78" s="173">
        <v>756.33</v>
      </c>
      <c r="E78" s="173">
        <v>237.44</v>
      </c>
      <c r="F78" s="173">
        <v>89.25</v>
      </c>
      <c r="G78" s="173">
        <v>75.75</v>
      </c>
      <c r="H78" s="173">
        <v>105.75</v>
      </c>
      <c r="I78" s="173">
        <v>137.71</v>
      </c>
      <c r="J78" s="173">
        <v>109.48</v>
      </c>
      <c r="K78" s="173">
        <v>71.77</v>
      </c>
      <c r="L78" s="173">
        <v>211.5</v>
      </c>
      <c r="M78" s="173">
        <v>135.88</v>
      </c>
      <c r="N78" s="173">
        <v>422</v>
      </c>
      <c r="O78" s="173">
        <v>99.32</v>
      </c>
      <c r="P78" s="173"/>
      <c r="Q78" s="173">
        <v>61.36</v>
      </c>
      <c r="R78" s="173">
        <v>57.27</v>
      </c>
      <c r="S78" s="173">
        <v>98.65</v>
      </c>
      <c r="T78" s="173">
        <v>35.79</v>
      </c>
      <c r="U78" s="173"/>
      <c r="V78" s="173">
        <v>315.47000000000003</v>
      </c>
      <c r="W78" s="173"/>
      <c r="X78" s="173"/>
      <c r="Y78" s="173"/>
      <c r="Z78" s="173"/>
      <c r="AA78" s="173"/>
    </row>
    <row r="79" spans="1:27" ht="15" customHeight="1" x14ac:dyDescent="0.3">
      <c r="A79" s="172">
        <v>45681</v>
      </c>
      <c r="B79" s="173">
        <v>435.38</v>
      </c>
      <c r="C79" s="173">
        <v>129.16999999999999</v>
      </c>
      <c r="D79" s="173">
        <v>732.25</v>
      </c>
      <c r="E79" s="173">
        <v>244.7</v>
      </c>
      <c r="F79" s="173">
        <v>93.73</v>
      </c>
      <c r="G79" s="173">
        <v>74.98</v>
      </c>
      <c r="H79" s="173">
        <v>103.19</v>
      </c>
      <c r="I79" s="173">
        <v>142.62</v>
      </c>
      <c r="J79" s="173">
        <v>118.93</v>
      </c>
      <c r="K79" s="173">
        <v>78.98</v>
      </c>
      <c r="L79" s="173">
        <v>221.88</v>
      </c>
      <c r="M79" s="173">
        <v>146.32</v>
      </c>
      <c r="N79" s="173">
        <v>439.62</v>
      </c>
      <c r="O79" s="173">
        <v>99.82</v>
      </c>
      <c r="P79" s="173"/>
      <c r="Q79" s="173">
        <v>60.49</v>
      </c>
      <c r="R79" s="173">
        <v>58.07</v>
      </c>
      <c r="S79" s="173">
        <v>101.33</v>
      </c>
      <c r="T79" s="173">
        <v>35.880000000000003</v>
      </c>
      <c r="U79" s="173"/>
      <c r="V79" s="173">
        <v>325.91000000000003</v>
      </c>
      <c r="W79" s="173"/>
      <c r="X79" s="173"/>
      <c r="Y79" s="173"/>
      <c r="Z79" s="173"/>
      <c r="AA79" s="173"/>
    </row>
    <row r="80" spans="1:27" ht="15" customHeight="1" x14ac:dyDescent="0.3">
      <c r="A80" s="172">
        <v>45688</v>
      </c>
      <c r="B80" s="173">
        <v>437.45</v>
      </c>
      <c r="C80" s="173">
        <v>115.23</v>
      </c>
      <c r="D80" s="173">
        <v>739.31</v>
      </c>
      <c r="E80" s="173">
        <v>221.27</v>
      </c>
      <c r="F80" s="173">
        <v>99.52</v>
      </c>
      <c r="G80" s="173">
        <v>73.819999999999993</v>
      </c>
      <c r="H80" s="173">
        <v>91.24</v>
      </c>
      <c r="I80" s="173">
        <v>120.07</v>
      </c>
      <c r="J80" s="173">
        <v>119.25</v>
      </c>
      <c r="K80" s="173">
        <v>82.49</v>
      </c>
      <c r="L80" s="173">
        <v>209.32</v>
      </c>
      <c r="M80" s="173">
        <v>117.02</v>
      </c>
      <c r="N80" s="173">
        <v>461.68</v>
      </c>
      <c r="O80" s="173">
        <v>98.31</v>
      </c>
      <c r="P80" s="173"/>
      <c r="Q80" s="173">
        <v>60.36</v>
      </c>
      <c r="R80" s="173">
        <v>57.47</v>
      </c>
      <c r="S80" s="173">
        <v>100.04</v>
      </c>
      <c r="T80" s="173">
        <v>35.51</v>
      </c>
      <c r="U80" s="173"/>
      <c r="V80" s="173">
        <v>337.36</v>
      </c>
      <c r="W80" s="173"/>
      <c r="X80" s="173"/>
      <c r="Y80" s="173"/>
      <c r="Z80" s="173"/>
      <c r="AA80" s="173"/>
    </row>
    <row r="81" spans="1:27" ht="15" customHeight="1" x14ac:dyDescent="0.3">
      <c r="A81" s="172">
        <v>45695</v>
      </c>
      <c r="B81" s="173">
        <v>433.07</v>
      </c>
      <c r="C81" s="173">
        <v>118.47</v>
      </c>
      <c r="D81" s="173">
        <v>727.7</v>
      </c>
      <c r="E81" s="173">
        <v>224.87</v>
      </c>
      <c r="F81" s="173">
        <v>105.4</v>
      </c>
      <c r="G81" s="173">
        <v>74.77</v>
      </c>
      <c r="H81" s="173">
        <v>92.3</v>
      </c>
      <c r="I81" s="173">
        <v>129.84</v>
      </c>
      <c r="J81" s="173">
        <v>117.35</v>
      </c>
      <c r="K81" s="173">
        <v>110.85</v>
      </c>
      <c r="L81" s="173">
        <v>206.12</v>
      </c>
      <c r="M81" s="173">
        <v>121.38</v>
      </c>
      <c r="N81" s="173">
        <v>469.32</v>
      </c>
      <c r="O81" s="173">
        <v>97.17</v>
      </c>
      <c r="P81" s="173"/>
      <c r="Q81" s="173">
        <v>59.58</v>
      </c>
      <c r="R81" s="173">
        <v>57.17</v>
      </c>
      <c r="S81" s="173">
        <v>102.03</v>
      </c>
      <c r="T81" s="173">
        <v>35.200000000000003</v>
      </c>
      <c r="U81" s="173"/>
      <c r="V81" s="173">
        <v>343.5</v>
      </c>
      <c r="W81" s="173"/>
      <c r="X81" s="173"/>
      <c r="Y81" s="173"/>
      <c r="Z81" s="173"/>
      <c r="AA81" s="173"/>
    </row>
    <row r="82" spans="1:27" ht="15" customHeight="1" x14ac:dyDescent="0.3">
      <c r="A82" s="172">
        <v>45702</v>
      </c>
      <c r="B82" s="173">
        <v>460.16</v>
      </c>
      <c r="C82" s="173">
        <v>106.87</v>
      </c>
      <c r="D82" s="173">
        <v>751.55</v>
      </c>
      <c r="E82" s="173">
        <v>233.04</v>
      </c>
      <c r="F82" s="173">
        <v>112.94</v>
      </c>
      <c r="G82" s="173">
        <v>75.069999999999993</v>
      </c>
      <c r="H82" s="173">
        <v>99.52</v>
      </c>
      <c r="I82" s="173">
        <v>138.85</v>
      </c>
      <c r="J82" s="173">
        <v>120.85</v>
      </c>
      <c r="K82" s="173">
        <v>119.16</v>
      </c>
      <c r="L82" s="173">
        <v>203.9</v>
      </c>
      <c r="M82" s="173">
        <v>108.05</v>
      </c>
      <c r="N82" s="173">
        <v>459</v>
      </c>
      <c r="O82" s="173">
        <v>97.47</v>
      </c>
      <c r="P82" s="173"/>
      <c r="Q82" s="173">
        <v>57.27</v>
      </c>
      <c r="R82" s="173">
        <v>58.27</v>
      </c>
      <c r="S82" s="173">
        <v>103.06</v>
      </c>
      <c r="T82" s="173">
        <v>35.61</v>
      </c>
      <c r="U82" s="173"/>
      <c r="V82" s="173">
        <v>349.81</v>
      </c>
      <c r="W82" s="173"/>
      <c r="X82" s="173"/>
      <c r="Y82" s="173"/>
      <c r="Z82" s="173"/>
      <c r="AA82" s="173"/>
    </row>
    <row r="83" spans="1:27" ht="15" customHeight="1" x14ac:dyDescent="0.3">
      <c r="A83" s="172">
        <v>45709</v>
      </c>
      <c r="B83" s="173">
        <v>444.32</v>
      </c>
      <c r="C83" s="173">
        <v>98.3</v>
      </c>
      <c r="D83" s="173">
        <v>737.21</v>
      </c>
      <c r="E83" s="173">
        <v>218.66</v>
      </c>
      <c r="F83" s="173">
        <v>101.67</v>
      </c>
      <c r="G83" s="173">
        <v>75.430000000000007</v>
      </c>
      <c r="H83" s="173">
        <v>98.84</v>
      </c>
      <c r="I83" s="173">
        <v>134.43</v>
      </c>
      <c r="J83" s="173">
        <v>120.97</v>
      </c>
      <c r="K83" s="173">
        <v>101.35</v>
      </c>
      <c r="L83" s="173">
        <v>198.24</v>
      </c>
      <c r="M83" s="173">
        <v>95.99</v>
      </c>
      <c r="N83" s="173">
        <v>484.24</v>
      </c>
      <c r="O83" s="173">
        <v>93.91</v>
      </c>
      <c r="P83" s="173"/>
      <c r="Q83" s="173">
        <v>58.35</v>
      </c>
      <c r="R83" s="173">
        <v>57.57</v>
      </c>
      <c r="S83" s="173">
        <v>99.91</v>
      </c>
      <c r="T83" s="173">
        <v>35.49</v>
      </c>
      <c r="U83" s="173"/>
      <c r="V83" s="173">
        <v>344.59</v>
      </c>
      <c r="W83" s="173"/>
      <c r="X83" s="173"/>
      <c r="Y83" s="173"/>
      <c r="Z83" s="173"/>
      <c r="AA83" s="173"/>
    </row>
    <row r="84" spans="1:27" ht="15" customHeight="1" x14ac:dyDescent="0.3">
      <c r="A84" s="172">
        <v>45716</v>
      </c>
      <c r="B84" s="173">
        <v>438.56</v>
      </c>
      <c r="C84" s="173">
        <v>93.05</v>
      </c>
      <c r="D84" s="173">
        <v>709.08</v>
      </c>
      <c r="E84" s="173">
        <v>199.43</v>
      </c>
      <c r="F84" s="173">
        <v>97.42</v>
      </c>
      <c r="G84" s="173">
        <v>70.88</v>
      </c>
      <c r="H84" s="173">
        <v>93.63</v>
      </c>
      <c r="I84" s="173">
        <v>124.92</v>
      </c>
      <c r="J84" s="173">
        <v>123.92</v>
      </c>
      <c r="K84" s="173">
        <v>84.92</v>
      </c>
      <c r="L84" s="173">
        <v>180.53</v>
      </c>
      <c r="M84" s="173">
        <v>95.17</v>
      </c>
      <c r="N84" s="173">
        <v>479.79</v>
      </c>
      <c r="O84" s="173">
        <v>92.85</v>
      </c>
      <c r="P84" s="173"/>
      <c r="Q84" s="173">
        <v>58</v>
      </c>
      <c r="R84" s="173">
        <v>55.98</v>
      </c>
      <c r="S84" s="173">
        <v>99.8</v>
      </c>
      <c r="T84" s="173">
        <v>35.32</v>
      </c>
      <c r="U84" s="173"/>
      <c r="V84" s="173">
        <v>358.6</v>
      </c>
      <c r="W84" s="173"/>
      <c r="X84" s="173"/>
      <c r="Y84" s="173"/>
      <c r="Z84" s="173"/>
      <c r="AA84" s="173"/>
    </row>
    <row r="85" spans="1:27" ht="15" customHeight="1" x14ac:dyDescent="0.3">
      <c r="A85" s="172">
        <v>45723</v>
      </c>
      <c r="B85" s="173">
        <v>449.4</v>
      </c>
      <c r="C85" s="173">
        <v>83.36</v>
      </c>
      <c r="D85" s="173">
        <v>732.22</v>
      </c>
      <c r="E85" s="173">
        <v>194.96</v>
      </c>
      <c r="F85" s="173">
        <v>83.38</v>
      </c>
      <c r="G85" s="173">
        <v>71.13</v>
      </c>
      <c r="H85" s="173">
        <v>92.96</v>
      </c>
      <c r="I85" s="173">
        <v>112.69</v>
      </c>
      <c r="J85" s="173">
        <v>119.91</v>
      </c>
      <c r="K85" s="173">
        <v>84.91</v>
      </c>
      <c r="L85" s="173">
        <v>177.1</v>
      </c>
      <c r="M85" s="173">
        <v>85.04</v>
      </c>
      <c r="N85" s="173">
        <v>488.29</v>
      </c>
      <c r="O85" s="173">
        <v>88.68</v>
      </c>
      <c r="P85" s="173"/>
      <c r="Q85" s="173">
        <v>59.03</v>
      </c>
      <c r="R85" s="173">
        <v>53.76</v>
      </c>
      <c r="S85" s="173">
        <v>94.54</v>
      </c>
      <c r="T85" s="173">
        <v>34.81</v>
      </c>
      <c r="U85" s="173"/>
      <c r="V85" s="173">
        <v>341.41</v>
      </c>
      <c r="W85" s="173"/>
      <c r="X85" s="173"/>
      <c r="Y85" s="173"/>
      <c r="Z85" s="173"/>
      <c r="AA85" s="173"/>
    </row>
    <row r="86" spans="1:27" ht="15" customHeight="1" x14ac:dyDescent="0.3">
      <c r="A86" s="172">
        <v>45730</v>
      </c>
      <c r="B86" s="173">
        <v>394.74</v>
      </c>
      <c r="C86" s="173">
        <v>83.51</v>
      </c>
      <c r="D86" s="173">
        <v>714</v>
      </c>
      <c r="E86" s="173">
        <v>195.54</v>
      </c>
      <c r="F86" s="173">
        <v>88.43</v>
      </c>
      <c r="G86" s="173">
        <v>71.3</v>
      </c>
      <c r="H86" s="173">
        <v>100.79</v>
      </c>
      <c r="I86" s="173">
        <v>121.67</v>
      </c>
      <c r="J86" s="173">
        <v>111.89</v>
      </c>
      <c r="K86" s="173">
        <v>86.24</v>
      </c>
      <c r="L86" s="173">
        <v>174.09</v>
      </c>
      <c r="M86" s="173">
        <v>87.45</v>
      </c>
      <c r="N86" s="173">
        <v>504.77</v>
      </c>
      <c r="O86" s="173">
        <v>87.02</v>
      </c>
      <c r="P86" s="173"/>
      <c r="Q86" s="173">
        <v>59.99</v>
      </c>
      <c r="R86" s="173">
        <v>52.61</v>
      </c>
      <c r="S86" s="173">
        <v>93.86</v>
      </c>
      <c r="T86" s="173">
        <v>34.090000000000003</v>
      </c>
      <c r="U86" s="173"/>
      <c r="V86" s="173">
        <v>328.04</v>
      </c>
      <c r="W86" s="173"/>
      <c r="X86" s="173"/>
      <c r="Y86" s="173"/>
      <c r="Z86" s="173"/>
      <c r="AA86" s="173"/>
    </row>
    <row r="87" spans="1:27" ht="15" customHeight="1" x14ac:dyDescent="0.3">
      <c r="A87" s="172">
        <v>45737</v>
      </c>
      <c r="B87" s="173">
        <v>387.26</v>
      </c>
      <c r="C87" s="173">
        <v>83.13</v>
      </c>
      <c r="D87" s="173">
        <v>716.22</v>
      </c>
      <c r="E87" s="173">
        <v>191.66</v>
      </c>
      <c r="F87" s="173">
        <v>90.56</v>
      </c>
      <c r="G87" s="173">
        <v>70.650000000000006</v>
      </c>
      <c r="H87" s="173">
        <v>94.72</v>
      </c>
      <c r="I87" s="173">
        <v>117.7</v>
      </c>
      <c r="J87" s="173">
        <v>108.42</v>
      </c>
      <c r="K87" s="173">
        <v>90.96</v>
      </c>
      <c r="L87" s="173">
        <v>176.73</v>
      </c>
      <c r="M87" s="173">
        <v>88.63</v>
      </c>
      <c r="N87" s="173">
        <v>503.2</v>
      </c>
      <c r="O87" s="173">
        <v>87.86</v>
      </c>
      <c r="P87" s="173"/>
      <c r="Q87" s="173">
        <v>59.84</v>
      </c>
      <c r="R87" s="173">
        <v>52.8</v>
      </c>
      <c r="S87" s="173">
        <v>94.22</v>
      </c>
      <c r="T87" s="173">
        <v>34.67</v>
      </c>
      <c r="U87" s="173"/>
      <c r="V87" s="173">
        <v>331.86</v>
      </c>
      <c r="W87" s="173"/>
      <c r="X87" s="173"/>
      <c r="Y87" s="173"/>
      <c r="Z87" s="173"/>
      <c r="AA87" s="173"/>
    </row>
    <row r="88" spans="1:27" ht="15" customHeight="1" x14ac:dyDescent="0.3">
      <c r="A88" s="172">
        <v>45744</v>
      </c>
      <c r="B88" s="173">
        <v>385.71</v>
      </c>
      <c r="C88" s="173">
        <v>77.94</v>
      </c>
      <c r="D88" s="173">
        <v>674.58</v>
      </c>
      <c r="E88" s="173">
        <v>169.12</v>
      </c>
      <c r="F88" s="173">
        <v>89.28</v>
      </c>
      <c r="G88" s="173">
        <v>67.36</v>
      </c>
      <c r="H88" s="173">
        <v>88.44</v>
      </c>
      <c r="I88" s="173">
        <v>109.67</v>
      </c>
      <c r="J88" s="173">
        <v>110.45</v>
      </c>
      <c r="K88" s="173">
        <v>85.85</v>
      </c>
      <c r="L88" s="173">
        <v>165.25</v>
      </c>
      <c r="M88" s="173">
        <v>74.25</v>
      </c>
      <c r="N88" s="173">
        <v>492.69</v>
      </c>
      <c r="O88" s="173">
        <v>87.12</v>
      </c>
      <c r="P88" s="173"/>
      <c r="Q88" s="173">
        <v>61.6</v>
      </c>
      <c r="R88" s="173">
        <v>51.81</v>
      </c>
      <c r="S88" s="173">
        <v>92.19</v>
      </c>
      <c r="T88" s="173">
        <v>34.1</v>
      </c>
      <c r="U88" s="173"/>
      <c r="V88" s="173">
        <v>338.97</v>
      </c>
      <c r="W88" s="173"/>
      <c r="X88" s="173"/>
      <c r="Y88" s="173"/>
      <c r="Z88" s="173"/>
      <c r="AA88" s="173"/>
    </row>
    <row r="89" spans="1:27" ht="15" customHeight="1" x14ac:dyDescent="0.3">
      <c r="A89" s="172">
        <v>45751</v>
      </c>
      <c r="B89" s="173">
        <v>349.07</v>
      </c>
      <c r="C89" s="173">
        <v>64.37</v>
      </c>
      <c r="D89" s="173">
        <v>605.54999999999995</v>
      </c>
      <c r="E89" s="173">
        <v>146.29</v>
      </c>
      <c r="F89" s="173">
        <v>80.41</v>
      </c>
      <c r="G89" s="173">
        <v>57.65</v>
      </c>
      <c r="H89" s="173">
        <v>64.72</v>
      </c>
      <c r="I89" s="173">
        <v>94.31</v>
      </c>
      <c r="J89" s="173">
        <v>98.23</v>
      </c>
      <c r="K89" s="173">
        <v>74.010000000000005</v>
      </c>
      <c r="L89" s="173">
        <v>146.80000000000001</v>
      </c>
      <c r="M89" s="173">
        <v>59.41</v>
      </c>
      <c r="N89" s="173">
        <v>474.62</v>
      </c>
      <c r="O89" s="173">
        <v>78</v>
      </c>
      <c r="P89" s="173"/>
      <c r="Q89" s="173">
        <v>60.58</v>
      </c>
      <c r="R89" s="173">
        <v>46.6</v>
      </c>
      <c r="S89" s="173">
        <v>82.32</v>
      </c>
      <c r="T89" s="173">
        <v>30.95</v>
      </c>
      <c r="U89" s="173"/>
      <c r="V89" s="173">
        <v>309.58999999999997</v>
      </c>
      <c r="W89" s="173"/>
      <c r="X89" s="173"/>
      <c r="Y89" s="173"/>
      <c r="Z89" s="173"/>
      <c r="AA89" s="173"/>
    </row>
    <row r="90" spans="1:27" ht="15" customHeight="1" x14ac:dyDescent="0.3">
      <c r="A90" s="172">
        <v>45758</v>
      </c>
      <c r="B90" s="173">
        <v>352.47</v>
      </c>
      <c r="C90" s="173">
        <v>72.67</v>
      </c>
      <c r="D90" s="173">
        <v>668.81</v>
      </c>
      <c r="E90" s="173">
        <v>181.94</v>
      </c>
      <c r="F90" s="173">
        <v>94.48</v>
      </c>
      <c r="G90" s="173">
        <v>67.02</v>
      </c>
      <c r="H90" s="173">
        <v>69.55</v>
      </c>
      <c r="I90" s="173">
        <v>110.93</v>
      </c>
      <c r="J90" s="173">
        <v>96.23</v>
      </c>
      <c r="K90" s="173">
        <v>88.55</v>
      </c>
      <c r="L90" s="173">
        <v>157.08000000000001</v>
      </c>
      <c r="M90" s="173">
        <v>69.61</v>
      </c>
      <c r="N90" s="173">
        <v>484.22</v>
      </c>
      <c r="O90" s="173">
        <v>78.98</v>
      </c>
      <c r="P90" s="173"/>
      <c r="Q90" s="173">
        <v>61.24</v>
      </c>
      <c r="R90" s="173">
        <v>49.54</v>
      </c>
      <c r="S90" s="173">
        <v>89.82</v>
      </c>
      <c r="T90" s="173">
        <v>31.56</v>
      </c>
      <c r="U90" s="173"/>
      <c r="V90" s="173">
        <v>329.63</v>
      </c>
      <c r="W90" s="173"/>
      <c r="X90" s="173"/>
      <c r="Y90" s="173"/>
      <c r="Z90" s="173"/>
      <c r="AA90" s="173"/>
    </row>
    <row r="91" spans="1:27" ht="15" customHeight="1" x14ac:dyDescent="0.3">
      <c r="A91" s="172">
        <v>45764</v>
      </c>
      <c r="B91" s="173">
        <v>348.8</v>
      </c>
      <c r="C91" s="173">
        <v>71.2</v>
      </c>
      <c r="D91" s="173">
        <v>640.16</v>
      </c>
      <c r="E91" s="173">
        <v>170.99</v>
      </c>
      <c r="F91" s="173">
        <v>93.91</v>
      </c>
      <c r="G91" s="173">
        <v>63.44</v>
      </c>
      <c r="H91" s="173">
        <v>68.8</v>
      </c>
      <c r="I91" s="173">
        <v>101.49</v>
      </c>
      <c r="J91" s="173">
        <v>102.1</v>
      </c>
      <c r="K91" s="173">
        <v>93.78</v>
      </c>
      <c r="L91" s="173">
        <v>151.74</v>
      </c>
      <c r="M91" s="173">
        <v>73.209999999999994</v>
      </c>
      <c r="N91" s="173">
        <v>489.1</v>
      </c>
      <c r="O91" s="173">
        <v>80.45</v>
      </c>
      <c r="P91" s="173"/>
      <c r="Q91" s="173">
        <v>61.83</v>
      </c>
      <c r="R91" s="173">
        <v>48.74</v>
      </c>
      <c r="S91" s="173">
        <v>88.26</v>
      </c>
      <c r="T91" s="173">
        <v>31.78</v>
      </c>
      <c r="U91" s="173"/>
      <c r="V91" s="173"/>
      <c r="W91" s="173"/>
      <c r="X91" s="173"/>
      <c r="Y91" s="173"/>
      <c r="Z91" s="173"/>
      <c r="AA91" s="173"/>
    </row>
    <row r="92" spans="1:27" ht="15" customHeight="1" x14ac:dyDescent="0.3">
      <c r="A92" s="172">
        <v>45772</v>
      </c>
      <c r="B92" s="173">
        <v>367.72</v>
      </c>
      <c r="C92" s="173">
        <v>77.91</v>
      </c>
      <c r="D92" s="173">
        <v>677.27</v>
      </c>
      <c r="E92" s="173">
        <v>192.31</v>
      </c>
      <c r="F92" s="173">
        <v>106.22</v>
      </c>
      <c r="G92" s="173">
        <v>69.459999999999994</v>
      </c>
      <c r="H92" s="173">
        <v>79.78</v>
      </c>
      <c r="I92" s="173">
        <v>111.01</v>
      </c>
      <c r="J92" s="173">
        <v>102.24</v>
      </c>
      <c r="K92" s="173">
        <v>112.78</v>
      </c>
      <c r="L92" s="173">
        <v>165.1</v>
      </c>
      <c r="M92" s="173">
        <v>86.95</v>
      </c>
      <c r="N92" s="173">
        <v>493.84</v>
      </c>
      <c r="O92" s="173">
        <v>82.71</v>
      </c>
      <c r="P92" s="173"/>
      <c r="Q92" s="173">
        <v>61.82</v>
      </c>
      <c r="R92" s="173">
        <v>51.09</v>
      </c>
      <c r="S92" s="173">
        <v>94.02</v>
      </c>
      <c r="T92" s="173">
        <v>32.83</v>
      </c>
      <c r="U92" s="173"/>
      <c r="V92" s="173">
        <v>331.38</v>
      </c>
      <c r="W92" s="173"/>
      <c r="X92" s="173"/>
      <c r="Y92" s="173"/>
      <c r="Z92" s="173"/>
      <c r="AA92" s="173"/>
    </row>
    <row r="93" spans="1:27" ht="15" customHeight="1" x14ac:dyDescent="0.3">
      <c r="A93" s="172">
        <v>45779</v>
      </c>
      <c r="B93" s="173">
        <v>380.87</v>
      </c>
      <c r="C93" s="173">
        <v>91.02</v>
      </c>
      <c r="D93" s="173">
        <v>690.33</v>
      </c>
      <c r="E93" s="173">
        <v>203.64</v>
      </c>
      <c r="F93" s="173">
        <v>110.15</v>
      </c>
      <c r="G93" s="173">
        <v>69.819999999999993</v>
      </c>
      <c r="H93" s="173">
        <v>80.72</v>
      </c>
      <c r="I93" s="173">
        <v>114.5</v>
      </c>
      <c r="J93" s="173">
        <v>105.41</v>
      </c>
      <c r="K93" s="173">
        <v>124.28</v>
      </c>
      <c r="L93" s="173">
        <v>179.28</v>
      </c>
      <c r="M93" s="173">
        <v>95</v>
      </c>
      <c r="N93" s="173">
        <v>501.15</v>
      </c>
      <c r="O93" s="173">
        <v>85.52</v>
      </c>
      <c r="P93" s="173"/>
      <c r="Q93" s="173">
        <v>61.87</v>
      </c>
      <c r="R93" s="173">
        <v>51.49</v>
      </c>
      <c r="S93" s="173">
        <v>97.8</v>
      </c>
      <c r="T93" s="173">
        <v>33.46</v>
      </c>
      <c r="U93" s="173"/>
      <c r="V93" s="173">
        <v>343.67</v>
      </c>
      <c r="W93" s="173"/>
      <c r="X93" s="173"/>
      <c r="Y93" s="173"/>
      <c r="Z93" s="173"/>
      <c r="AA93" s="173"/>
    </row>
    <row r="94" spans="1:27" ht="15" customHeight="1" x14ac:dyDescent="0.3">
      <c r="A94" s="172">
        <v>45786</v>
      </c>
      <c r="B94" s="173">
        <v>383.28</v>
      </c>
      <c r="C94" s="173">
        <v>86.52</v>
      </c>
      <c r="D94" s="173">
        <v>706.21</v>
      </c>
      <c r="E94" s="173">
        <v>208.2</v>
      </c>
      <c r="F94" s="173">
        <v>102.64</v>
      </c>
      <c r="G94" s="173">
        <v>70.12</v>
      </c>
      <c r="H94" s="173">
        <v>85.86</v>
      </c>
      <c r="I94" s="173">
        <v>116.65</v>
      </c>
      <c r="J94" s="173">
        <v>106.91</v>
      </c>
      <c r="K94" s="173">
        <v>117.3</v>
      </c>
      <c r="L94" s="173">
        <v>176.52</v>
      </c>
      <c r="M94" s="173">
        <v>94.06</v>
      </c>
      <c r="N94" s="173">
        <v>424.99</v>
      </c>
      <c r="O94" s="173">
        <v>86.51</v>
      </c>
      <c r="P94" s="173"/>
      <c r="Q94" s="173">
        <v>62.54</v>
      </c>
      <c r="R94" s="173">
        <v>51.63</v>
      </c>
      <c r="S94" s="173">
        <v>98.48</v>
      </c>
      <c r="T94" s="173">
        <v>33.4</v>
      </c>
      <c r="U94" s="173"/>
      <c r="V94" s="173">
        <v>348.55</v>
      </c>
      <c r="W94" s="173"/>
      <c r="X94" s="173"/>
      <c r="Y94" s="173"/>
      <c r="Z94" s="173"/>
      <c r="AA94" s="173"/>
    </row>
    <row r="95" spans="1:27" ht="15" customHeight="1" x14ac:dyDescent="0.3">
      <c r="A95" s="172">
        <v>45793</v>
      </c>
      <c r="B95" s="173">
        <v>417.13</v>
      </c>
      <c r="C95" s="173">
        <v>96.42</v>
      </c>
      <c r="D95" s="173">
        <v>748.1</v>
      </c>
      <c r="E95" s="173">
        <v>228.61</v>
      </c>
      <c r="F95" s="173">
        <v>109.82</v>
      </c>
      <c r="G95" s="173">
        <v>79.12</v>
      </c>
      <c r="H95" s="173">
        <v>98</v>
      </c>
      <c r="I95" s="173">
        <v>135.4</v>
      </c>
      <c r="J95" s="173">
        <v>110.55</v>
      </c>
      <c r="K95" s="173">
        <v>129.52000000000001</v>
      </c>
      <c r="L95" s="173">
        <v>194.22</v>
      </c>
      <c r="M95" s="173">
        <v>106.04</v>
      </c>
      <c r="N95" s="173">
        <v>438.65</v>
      </c>
      <c r="O95" s="173">
        <v>90.74</v>
      </c>
      <c r="P95" s="173"/>
      <c r="Q95" s="173">
        <v>62.95</v>
      </c>
      <c r="R95" s="173">
        <v>52.52</v>
      </c>
      <c r="S95" s="173">
        <v>105.2</v>
      </c>
      <c r="T95" s="173">
        <v>34.840000000000003</v>
      </c>
      <c r="U95" s="173"/>
      <c r="V95" s="173">
        <v>361.59</v>
      </c>
      <c r="W95" s="173"/>
      <c r="X95" s="173"/>
      <c r="Y95" s="173"/>
      <c r="Z95" s="173"/>
      <c r="AA95" s="173"/>
    </row>
    <row r="96" spans="1:27" ht="15" customHeight="1" x14ac:dyDescent="0.3">
      <c r="A96" s="172">
        <v>45800</v>
      </c>
      <c r="B96" s="173">
        <v>407.69</v>
      </c>
      <c r="C96" s="173">
        <v>91.2</v>
      </c>
      <c r="D96" s="173">
        <v>732.49</v>
      </c>
      <c r="E96" s="173">
        <v>228.72</v>
      </c>
      <c r="F96" s="173">
        <v>113.9</v>
      </c>
      <c r="G96" s="173">
        <v>75.72</v>
      </c>
      <c r="H96" s="173">
        <v>93.37</v>
      </c>
      <c r="I96" s="173">
        <v>131.29</v>
      </c>
      <c r="J96" s="173">
        <v>104.04</v>
      </c>
      <c r="K96" s="173">
        <v>123.31</v>
      </c>
      <c r="L96" s="173">
        <v>191.98</v>
      </c>
      <c r="M96" s="173">
        <v>104.14</v>
      </c>
      <c r="N96" s="173">
        <v>436</v>
      </c>
      <c r="O96" s="173">
        <v>87.11</v>
      </c>
      <c r="P96" s="173"/>
      <c r="Q96" s="173">
        <v>63.05</v>
      </c>
      <c r="R96" s="173">
        <v>52.04</v>
      </c>
      <c r="S96" s="173">
        <v>102.85</v>
      </c>
      <c r="T96" s="173">
        <v>33.630000000000003</v>
      </c>
      <c r="U96" s="173"/>
      <c r="V96" s="173">
        <v>350.12</v>
      </c>
      <c r="W96" s="173"/>
      <c r="X96" s="173"/>
      <c r="Y96" s="173"/>
      <c r="Z96" s="173"/>
      <c r="AA96" s="173"/>
    </row>
    <row r="97" spans="1:27" ht="15" customHeight="1" x14ac:dyDescent="0.3">
      <c r="A97" s="172">
        <v>45807</v>
      </c>
      <c r="B97" s="173">
        <v>415.09</v>
      </c>
      <c r="C97" s="173">
        <v>86.64</v>
      </c>
      <c r="D97" s="173">
        <v>736.77</v>
      </c>
      <c r="E97" s="173">
        <v>242.07</v>
      </c>
      <c r="F97" s="173">
        <v>117.84</v>
      </c>
      <c r="G97" s="173">
        <v>75.69</v>
      </c>
      <c r="H97" s="173">
        <v>94.46</v>
      </c>
      <c r="I97" s="173">
        <v>135.13</v>
      </c>
      <c r="J97" s="173">
        <v>108.6</v>
      </c>
      <c r="K97" s="173">
        <v>131.78</v>
      </c>
      <c r="L97" s="173">
        <v>193.32</v>
      </c>
      <c r="M97" s="173">
        <v>107.93</v>
      </c>
      <c r="N97" s="173">
        <v>442.05</v>
      </c>
      <c r="O97" s="173">
        <v>88.13</v>
      </c>
      <c r="P97" s="173"/>
      <c r="Q97" s="173">
        <v>63.27</v>
      </c>
      <c r="R97" s="173">
        <v>52.63</v>
      </c>
      <c r="S97" s="173">
        <v>105.35</v>
      </c>
      <c r="T97" s="173">
        <v>33.89</v>
      </c>
      <c r="U97" s="173"/>
      <c r="V97" s="173">
        <v>361.66</v>
      </c>
      <c r="W97" s="173"/>
      <c r="X97" s="173"/>
      <c r="Y97" s="173"/>
      <c r="Z97" s="173"/>
      <c r="AA97" s="173"/>
    </row>
    <row r="98" spans="1:27" ht="15" customHeight="1" x14ac:dyDescent="0.3">
      <c r="A98" s="172">
        <v>45814</v>
      </c>
      <c r="B98" s="173">
        <v>416.92</v>
      </c>
      <c r="C98" s="173">
        <v>97.25</v>
      </c>
      <c r="D98" s="173">
        <v>753.02</v>
      </c>
      <c r="E98" s="173">
        <v>246.93</v>
      </c>
      <c r="F98" s="173">
        <v>117.1</v>
      </c>
      <c r="G98" s="173">
        <v>80.8</v>
      </c>
      <c r="H98" s="173">
        <v>108.56</v>
      </c>
      <c r="I98" s="173">
        <v>141.72</v>
      </c>
      <c r="J98" s="173">
        <v>108.79</v>
      </c>
      <c r="K98" s="173">
        <v>127.72</v>
      </c>
      <c r="L98" s="173">
        <v>205.18</v>
      </c>
      <c r="M98" s="173">
        <v>115.36</v>
      </c>
      <c r="N98" s="173">
        <v>450.5</v>
      </c>
      <c r="O98" s="173">
        <v>89.76</v>
      </c>
      <c r="P98" s="173"/>
      <c r="Q98" s="173">
        <v>63.41</v>
      </c>
      <c r="R98" s="173">
        <v>52.7</v>
      </c>
      <c r="S98" s="173">
        <v>106.92</v>
      </c>
      <c r="T98" s="173">
        <v>34.69</v>
      </c>
      <c r="U98" s="173"/>
      <c r="V98" s="173">
        <v>366.64</v>
      </c>
      <c r="W98" s="173"/>
      <c r="X98" s="173"/>
      <c r="Y98" s="173"/>
      <c r="Z98" s="173"/>
      <c r="AA98" s="173"/>
    </row>
    <row r="99" spans="1:27" ht="15" customHeight="1" x14ac:dyDescent="0.3">
      <c r="A99" s="172">
        <v>45821</v>
      </c>
      <c r="B99" s="173">
        <v>391.68</v>
      </c>
      <c r="C99" s="173">
        <v>92.35</v>
      </c>
      <c r="D99" s="173">
        <v>761</v>
      </c>
      <c r="E99" s="173">
        <v>248.7</v>
      </c>
      <c r="F99" s="173">
        <v>120.16</v>
      </c>
      <c r="G99" s="173">
        <v>86.77</v>
      </c>
      <c r="H99" s="173">
        <v>115.6</v>
      </c>
      <c r="I99" s="173">
        <v>141.97</v>
      </c>
      <c r="J99" s="173">
        <v>107.28</v>
      </c>
      <c r="K99" s="173">
        <v>137.4</v>
      </c>
      <c r="L99" s="173">
        <v>211.1</v>
      </c>
      <c r="M99" s="173">
        <v>110.97</v>
      </c>
      <c r="N99" s="173">
        <v>455.45</v>
      </c>
      <c r="O99" s="173">
        <v>89.22</v>
      </c>
      <c r="P99" s="173"/>
      <c r="Q99" s="173">
        <v>62.75</v>
      </c>
      <c r="R99" s="173">
        <v>52.59</v>
      </c>
      <c r="S99" s="173">
        <v>106.16</v>
      </c>
      <c r="T99" s="173">
        <v>35.07</v>
      </c>
      <c r="U99" s="173"/>
      <c r="V99" s="173">
        <v>349.44</v>
      </c>
      <c r="W99" s="173"/>
      <c r="X99" s="173"/>
      <c r="Y99" s="173"/>
      <c r="Z99" s="173"/>
      <c r="AA99" s="173"/>
    </row>
    <row r="100" spans="1:27" ht="15" customHeight="1" x14ac:dyDescent="0.3">
      <c r="A100" s="172">
        <v>45828</v>
      </c>
      <c r="B100" s="173">
        <v>376.92</v>
      </c>
      <c r="C100" s="173">
        <v>86.25</v>
      </c>
      <c r="D100" s="173">
        <v>756.53</v>
      </c>
      <c r="E100" s="173">
        <v>249.99</v>
      </c>
      <c r="F100" s="173">
        <v>119.08</v>
      </c>
      <c r="G100" s="173">
        <v>85</v>
      </c>
      <c r="H100" s="173">
        <v>123.6</v>
      </c>
      <c r="I100" s="173">
        <v>143.85</v>
      </c>
      <c r="J100" s="173">
        <v>105.69</v>
      </c>
      <c r="K100" s="173">
        <v>137.30000000000001</v>
      </c>
      <c r="L100" s="173">
        <v>209.51</v>
      </c>
      <c r="M100" s="173">
        <v>118.54</v>
      </c>
      <c r="N100" s="173">
        <v>440.87</v>
      </c>
      <c r="O100" s="173">
        <v>89.37</v>
      </c>
      <c r="P100" s="173"/>
      <c r="Q100" s="173">
        <v>63.47</v>
      </c>
      <c r="R100" s="173">
        <v>52.75</v>
      </c>
      <c r="S100" s="173">
        <v>106.91</v>
      </c>
      <c r="T100" s="173">
        <v>35.03</v>
      </c>
      <c r="U100" s="173"/>
      <c r="V100" s="173">
        <v>335.29</v>
      </c>
      <c r="W100" s="173"/>
      <c r="X100" s="173"/>
      <c r="Y100" s="173"/>
      <c r="Z100" s="173"/>
      <c r="AA100" s="173"/>
    </row>
    <row r="101" spans="1:27" ht="15" customHeight="1" x14ac:dyDescent="0.3">
      <c r="A101" s="172">
        <v>45835</v>
      </c>
      <c r="B101" s="173">
        <v>385.83</v>
      </c>
      <c r="C101" s="173">
        <v>99.39</v>
      </c>
      <c r="D101" s="173">
        <v>795.95</v>
      </c>
      <c r="E101" s="173">
        <v>269.35000000000002</v>
      </c>
      <c r="F101" s="173">
        <v>124.83</v>
      </c>
      <c r="G101" s="173">
        <v>88.99</v>
      </c>
      <c r="H101" s="173">
        <v>124.76</v>
      </c>
      <c r="I101" s="173">
        <v>157.75</v>
      </c>
      <c r="J101" s="173">
        <v>105.62</v>
      </c>
      <c r="K101" s="173">
        <v>130.74</v>
      </c>
      <c r="L101" s="173">
        <v>228.57</v>
      </c>
      <c r="M101" s="173">
        <v>127.16</v>
      </c>
      <c r="N101" s="173">
        <v>441.3</v>
      </c>
      <c r="O101" s="173">
        <v>91.21</v>
      </c>
      <c r="P101" s="173"/>
      <c r="Q101" s="173">
        <v>63.94</v>
      </c>
      <c r="R101" s="173">
        <v>54.27</v>
      </c>
      <c r="S101" s="173">
        <v>111.84</v>
      </c>
      <c r="T101" s="173">
        <v>35.33</v>
      </c>
      <c r="U101" s="173"/>
      <c r="V101" s="173">
        <v>345.24</v>
      </c>
      <c r="W101" s="173"/>
      <c r="X101" s="173"/>
      <c r="Y101" s="173"/>
      <c r="Z101" s="173"/>
      <c r="AA101" s="173"/>
    </row>
    <row r="102" spans="1:27" ht="15" customHeight="1" x14ac:dyDescent="0.3">
      <c r="A102" s="172">
        <v>45841</v>
      </c>
      <c r="B102" s="173">
        <v>379.31</v>
      </c>
      <c r="C102" s="173">
        <v>102.52</v>
      </c>
      <c r="D102" s="173">
        <v>794.5</v>
      </c>
      <c r="E102" s="173">
        <v>275.18</v>
      </c>
      <c r="F102" s="173">
        <v>128.53</v>
      </c>
      <c r="G102" s="173">
        <v>92.46</v>
      </c>
      <c r="H102" s="173">
        <v>122.29</v>
      </c>
      <c r="I102" s="173">
        <v>159.34</v>
      </c>
      <c r="J102" s="173">
        <v>108.02</v>
      </c>
      <c r="K102" s="173">
        <v>134.36000000000001</v>
      </c>
      <c r="L102" s="173">
        <v>234.8</v>
      </c>
      <c r="M102" s="173">
        <v>127.84</v>
      </c>
      <c r="N102" s="173">
        <v>459.62</v>
      </c>
      <c r="O102" s="173">
        <v>95.01</v>
      </c>
      <c r="P102" s="173"/>
      <c r="Q102" s="173">
        <v>64.17</v>
      </c>
      <c r="R102" s="173">
        <v>54.16</v>
      </c>
      <c r="S102" s="173">
        <v>112.51</v>
      </c>
      <c r="T102" s="173">
        <v>35.770000000000003</v>
      </c>
      <c r="U102" s="173"/>
      <c r="V102" s="173"/>
      <c r="W102" s="173"/>
      <c r="X102" s="173"/>
      <c r="Y102" s="173"/>
      <c r="Z102" s="173"/>
      <c r="AA102" s="173"/>
    </row>
    <row r="103" spans="1:27" ht="15" customHeight="1" x14ac:dyDescent="0.3">
      <c r="A103" s="172">
        <v>45849</v>
      </c>
      <c r="B103" s="173">
        <v>363.35</v>
      </c>
      <c r="C103" s="173">
        <v>108.57</v>
      </c>
      <c r="D103" s="173">
        <v>801.93</v>
      </c>
      <c r="E103" s="173">
        <v>274.38</v>
      </c>
      <c r="F103" s="173">
        <v>119.61</v>
      </c>
      <c r="G103" s="173">
        <v>92.46</v>
      </c>
      <c r="H103" s="173">
        <v>124.53</v>
      </c>
      <c r="I103" s="173">
        <v>164.92</v>
      </c>
      <c r="J103" s="173">
        <v>109.17</v>
      </c>
      <c r="K103" s="173">
        <v>142.1</v>
      </c>
      <c r="L103" s="173">
        <v>230.4</v>
      </c>
      <c r="M103" s="173">
        <v>123.3</v>
      </c>
      <c r="N103" s="173">
        <v>468.85</v>
      </c>
      <c r="O103" s="173">
        <v>94.88</v>
      </c>
      <c r="P103" s="173"/>
      <c r="Q103" s="173">
        <v>64.180000000000007</v>
      </c>
      <c r="R103" s="173">
        <v>54.36</v>
      </c>
      <c r="S103" s="173">
        <v>112.17</v>
      </c>
      <c r="T103" s="173">
        <v>35.840000000000003</v>
      </c>
      <c r="U103" s="173"/>
      <c r="V103" s="173">
        <v>344.56</v>
      </c>
      <c r="W103" s="173"/>
      <c r="X103" s="173"/>
      <c r="Y103" s="173"/>
      <c r="Z103" s="173"/>
      <c r="AA103" s="173"/>
    </row>
    <row r="104" spans="1:27" ht="15" customHeight="1" x14ac:dyDescent="0.3">
      <c r="A104" s="172">
        <v>45856</v>
      </c>
      <c r="B104" s="173">
        <v>365.79</v>
      </c>
      <c r="C104" s="173">
        <v>111.78</v>
      </c>
      <c r="D104" s="173">
        <v>734.58</v>
      </c>
      <c r="E104" s="173">
        <v>283.33999999999997</v>
      </c>
      <c r="F104" s="173">
        <v>118.99</v>
      </c>
      <c r="G104" s="173">
        <v>93.11</v>
      </c>
      <c r="H104" s="173">
        <v>114.39</v>
      </c>
      <c r="I104" s="173">
        <v>172.41</v>
      </c>
      <c r="J104" s="173">
        <v>106.78</v>
      </c>
      <c r="K104" s="173">
        <v>153.52000000000001</v>
      </c>
      <c r="L104" s="173">
        <v>240.4</v>
      </c>
      <c r="M104" s="173">
        <v>129.06</v>
      </c>
      <c r="N104" s="173">
        <v>459.81</v>
      </c>
      <c r="O104" s="173">
        <v>93.77</v>
      </c>
      <c r="P104" s="173"/>
      <c r="Q104" s="173">
        <v>64.319999999999993</v>
      </c>
      <c r="R104" s="173">
        <v>54.69</v>
      </c>
      <c r="S104" s="173">
        <v>113.83</v>
      </c>
      <c r="T104" s="173">
        <v>35.08</v>
      </c>
      <c r="U104" s="173"/>
      <c r="V104" s="173">
        <v>345.67</v>
      </c>
      <c r="W104" s="173"/>
      <c r="X104" s="173"/>
      <c r="Y104" s="173"/>
      <c r="Z104" s="173"/>
      <c r="AA104" s="173"/>
    </row>
    <row r="105" spans="1:27" ht="15" customHeight="1" x14ac:dyDescent="0.3">
      <c r="A105" s="172">
        <v>45863</v>
      </c>
      <c r="B105" s="173">
        <v>370.74</v>
      </c>
      <c r="C105" s="173">
        <v>114.28</v>
      </c>
      <c r="D105" s="173">
        <v>711.25</v>
      </c>
      <c r="E105" s="173">
        <v>290.18</v>
      </c>
      <c r="F105" s="173">
        <v>116.98</v>
      </c>
      <c r="G105" s="173">
        <v>90.21</v>
      </c>
      <c r="H105" s="173">
        <v>111.26</v>
      </c>
      <c r="I105" s="173">
        <v>173.5</v>
      </c>
      <c r="J105" s="173">
        <v>110.29</v>
      </c>
      <c r="K105" s="173">
        <v>158.80000000000001</v>
      </c>
      <c r="L105" s="173">
        <v>245.6</v>
      </c>
      <c r="M105" s="173">
        <v>137.47</v>
      </c>
      <c r="N105" s="173">
        <v>469.65</v>
      </c>
      <c r="O105" s="173">
        <v>95.15</v>
      </c>
      <c r="P105" s="173"/>
      <c r="Q105" s="173">
        <v>64.87</v>
      </c>
      <c r="R105" s="173">
        <v>55.08</v>
      </c>
      <c r="S105" s="173">
        <v>115.03</v>
      </c>
      <c r="T105" s="173">
        <v>35.85</v>
      </c>
      <c r="U105" s="173"/>
      <c r="V105" s="173">
        <v>353.59</v>
      </c>
      <c r="W105" s="173"/>
      <c r="X105" s="173"/>
      <c r="Y105" s="173"/>
      <c r="Z105" s="173"/>
      <c r="AA105" s="173"/>
    </row>
    <row r="106" spans="1:27" ht="15" customHeight="1" x14ac:dyDescent="0.3">
      <c r="A106" s="172">
        <v>45870</v>
      </c>
      <c r="B106" s="173">
        <v>347.8</v>
      </c>
      <c r="C106" s="173">
        <v>117.57</v>
      </c>
      <c r="D106" s="173">
        <v>689.82</v>
      </c>
      <c r="E106" s="173">
        <v>288.64</v>
      </c>
      <c r="F106" s="173">
        <v>111.67</v>
      </c>
      <c r="G106" s="173">
        <v>88.66</v>
      </c>
      <c r="H106" s="173">
        <v>104.88</v>
      </c>
      <c r="I106" s="173">
        <v>173.72</v>
      </c>
      <c r="J106" s="173">
        <v>104.91</v>
      </c>
      <c r="K106" s="173">
        <v>154.27000000000001</v>
      </c>
      <c r="L106" s="173">
        <v>235.21</v>
      </c>
      <c r="M106" s="173">
        <v>141.59</v>
      </c>
      <c r="N106" s="173">
        <v>462.13</v>
      </c>
      <c r="O106" s="173">
        <v>90.37</v>
      </c>
      <c r="P106" s="173"/>
      <c r="Q106" s="173">
        <v>65</v>
      </c>
      <c r="R106" s="173">
        <v>53.81</v>
      </c>
      <c r="S106" s="173">
        <v>113.23</v>
      </c>
      <c r="T106" s="173">
        <v>34.35</v>
      </c>
      <c r="U106" s="173"/>
      <c r="V106" s="173">
        <v>336.07</v>
      </c>
      <c r="W106" s="173"/>
      <c r="X106" s="173"/>
      <c r="Y106" s="173"/>
      <c r="Z106" s="173"/>
      <c r="AA106" s="173"/>
    </row>
    <row r="107" spans="1:27" ht="15" customHeight="1" x14ac:dyDescent="0.3">
      <c r="A107" s="172">
        <v>45877</v>
      </c>
      <c r="B107" s="173">
        <v>341.05</v>
      </c>
      <c r="C107" s="173">
        <v>139.18</v>
      </c>
      <c r="D107" s="173">
        <v>722.32</v>
      </c>
      <c r="E107" s="173">
        <v>304.97000000000003</v>
      </c>
      <c r="F107" s="173">
        <v>106.12</v>
      </c>
      <c r="G107" s="173">
        <v>91.48</v>
      </c>
      <c r="H107" s="173">
        <v>118.89</v>
      </c>
      <c r="I107" s="173">
        <v>182.7</v>
      </c>
      <c r="J107" s="173">
        <v>105.68</v>
      </c>
      <c r="K107" s="173">
        <v>186.96</v>
      </c>
      <c r="L107" s="173">
        <v>241.83</v>
      </c>
      <c r="M107" s="173">
        <v>139.93</v>
      </c>
      <c r="N107" s="173">
        <v>366.54</v>
      </c>
      <c r="O107" s="173">
        <v>92.47</v>
      </c>
      <c r="P107" s="173"/>
      <c r="Q107" s="173">
        <v>64.89</v>
      </c>
      <c r="R107" s="173">
        <v>55.32</v>
      </c>
      <c r="S107" s="173">
        <v>117.19</v>
      </c>
      <c r="T107" s="173">
        <v>34.69</v>
      </c>
      <c r="U107" s="173"/>
      <c r="V107" s="173">
        <v>333.52</v>
      </c>
      <c r="W107" s="173"/>
      <c r="X107" s="173"/>
      <c r="Y107" s="173"/>
      <c r="Z107" s="173"/>
      <c r="AA107" s="173"/>
    </row>
    <row r="108" spans="1:27" ht="15" customHeight="1" x14ac:dyDescent="0.3">
      <c r="A108" s="172">
        <v>45884</v>
      </c>
      <c r="B108" s="173">
        <v>354.85</v>
      </c>
      <c r="C108" s="173">
        <v>137.30000000000001</v>
      </c>
      <c r="D108" s="173">
        <v>742.16</v>
      </c>
      <c r="E108" s="173">
        <v>306.33999999999997</v>
      </c>
      <c r="F108" s="173">
        <v>106.98</v>
      </c>
      <c r="G108" s="173">
        <v>87.49</v>
      </c>
      <c r="H108" s="173">
        <v>120.87</v>
      </c>
      <c r="I108" s="173">
        <v>180.45</v>
      </c>
      <c r="J108" s="173">
        <v>106.59</v>
      </c>
      <c r="K108" s="173">
        <v>177.17</v>
      </c>
      <c r="L108" s="173">
        <v>238.88</v>
      </c>
      <c r="M108" s="173">
        <v>133.07</v>
      </c>
      <c r="N108" s="173">
        <v>392.79</v>
      </c>
      <c r="O108" s="173">
        <v>95.23</v>
      </c>
      <c r="P108" s="173"/>
      <c r="Q108" s="173">
        <v>65.099999999999994</v>
      </c>
      <c r="R108" s="173">
        <v>55.8</v>
      </c>
      <c r="S108" s="173">
        <v>117.31</v>
      </c>
      <c r="T108" s="173">
        <v>36.06</v>
      </c>
      <c r="U108" s="173"/>
      <c r="V108" s="173">
        <v>341.74</v>
      </c>
      <c r="W108" s="173"/>
      <c r="X108" s="173"/>
      <c r="Y108" s="173"/>
      <c r="Z108" s="173"/>
      <c r="AA108" s="173"/>
    </row>
    <row r="109" spans="1:27" ht="15" customHeight="1" x14ac:dyDescent="0.3">
      <c r="A109" s="172">
        <v>45891</v>
      </c>
      <c r="B109" s="173">
        <v>362.09</v>
      </c>
      <c r="C109" s="173">
        <v>133.25</v>
      </c>
      <c r="D109" s="173">
        <v>754.89</v>
      </c>
      <c r="E109" s="173">
        <v>294</v>
      </c>
      <c r="F109" s="173">
        <v>105.14</v>
      </c>
      <c r="G109" s="173">
        <v>87.03</v>
      </c>
      <c r="H109" s="173">
        <v>117.68</v>
      </c>
      <c r="I109" s="173">
        <v>177.99</v>
      </c>
      <c r="J109" s="173">
        <v>112.28</v>
      </c>
      <c r="K109" s="173">
        <v>158.74</v>
      </c>
      <c r="L109" s="173">
        <v>232.99</v>
      </c>
      <c r="M109" s="173">
        <v>125.97</v>
      </c>
      <c r="N109" s="173">
        <v>395.12</v>
      </c>
      <c r="O109" s="173">
        <v>99.02</v>
      </c>
      <c r="P109" s="173"/>
      <c r="Q109" s="173">
        <v>64.28</v>
      </c>
      <c r="R109" s="173">
        <v>55.67</v>
      </c>
      <c r="S109" s="173">
        <v>116.51</v>
      </c>
      <c r="T109" s="173">
        <v>36.99</v>
      </c>
      <c r="U109" s="173"/>
      <c r="V109" s="173">
        <v>347.26</v>
      </c>
      <c r="W109" s="173"/>
      <c r="X109" s="173"/>
      <c r="Y109" s="173"/>
      <c r="Z109" s="173"/>
      <c r="AA109" s="173"/>
    </row>
    <row r="110" spans="1:27" ht="15" customHeight="1" x14ac:dyDescent="0.3">
      <c r="A110" s="172">
        <v>45898</v>
      </c>
      <c r="B110" s="173">
        <v>356.7</v>
      </c>
      <c r="C110" s="173">
        <v>136.55000000000001</v>
      </c>
      <c r="D110" s="173">
        <v>742.62</v>
      </c>
      <c r="E110" s="173">
        <v>297.39</v>
      </c>
      <c r="F110" s="173">
        <v>105.93</v>
      </c>
      <c r="G110" s="173">
        <v>87.2</v>
      </c>
      <c r="H110" s="173">
        <v>119.01</v>
      </c>
      <c r="I110" s="173">
        <v>174.18</v>
      </c>
      <c r="J110" s="173">
        <v>113.78</v>
      </c>
      <c r="K110" s="173">
        <v>156.71</v>
      </c>
      <c r="L110" s="173">
        <v>230.87</v>
      </c>
      <c r="M110" s="173">
        <v>127.55</v>
      </c>
      <c r="N110" s="173">
        <v>391.02</v>
      </c>
      <c r="O110" s="173">
        <v>99.85</v>
      </c>
      <c r="P110" s="173"/>
      <c r="Q110" s="173">
        <v>64.91</v>
      </c>
      <c r="R110" s="173">
        <v>55.68</v>
      </c>
      <c r="S110" s="173">
        <v>116.48</v>
      </c>
      <c r="T110" s="173">
        <v>37.33</v>
      </c>
      <c r="U110" s="173"/>
      <c r="V110" s="173">
        <v>348.99</v>
      </c>
      <c r="W110" s="173"/>
      <c r="X110" s="173"/>
      <c r="Y110" s="173"/>
      <c r="Z110" s="173"/>
      <c r="AA110" s="173"/>
    </row>
    <row r="111" spans="1:27" ht="15" customHeight="1" x14ac:dyDescent="0.3">
      <c r="A111" s="172">
        <v>45905</v>
      </c>
      <c r="B111" s="173">
        <v>348.97</v>
      </c>
      <c r="C111" s="173">
        <v>142.85</v>
      </c>
      <c r="D111" s="173">
        <v>781.7</v>
      </c>
      <c r="E111" s="173">
        <v>334.89</v>
      </c>
      <c r="F111" s="173">
        <v>104.41</v>
      </c>
      <c r="G111" s="173">
        <v>90.51</v>
      </c>
      <c r="H111" s="173">
        <v>131.37</v>
      </c>
      <c r="I111" s="173">
        <v>167.02</v>
      </c>
      <c r="J111" s="173">
        <v>113.65</v>
      </c>
      <c r="K111" s="173">
        <v>153.11000000000001</v>
      </c>
      <c r="L111" s="173">
        <v>243.41</v>
      </c>
      <c r="M111" s="173">
        <v>124</v>
      </c>
      <c r="N111" s="173">
        <v>396.12</v>
      </c>
      <c r="O111" s="173">
        <v>100.94</v>
      </c>
      <c r="P111" s="173"/>
      <c r="Q111" s="173">
        <v>65.56</v>
      </c>
      <c r="R111" s="173">
        <v>55.78</v>
      </c>
      <c r="S111" s="173">
        <v>117.05</v>
      </c>
      <c r="T111" s="173">
        <v>37.61</v>
      </c>
      <c r="U111" s="173"/>
      <c r="V111" s="173">
        <v>340.5</v>
      </c>
      <c r="W111" s="173"/>
      <c r="X111" s="173"/>
      <c r="Y111" s="173"/>
      <c r="Z111" s="173"/>
      <c r="AA111" s="173"/>
    </row>
    <row r="112" spans="1:27" ht="15" customHeight="1" x14ac:dyDescent="0.3">
      <c r="A112" s="172">
        <v>45912</v>
      </c>
      <c r="B112" s="173">
        <v>349.36</v>
      </c>
      <c r="C112" s="173">
        <v>139.38999999999999</v>
      </c>
      <c r="D112" s="173">
        <v>813.87</v>
      </c>
      <c r="E112" s="173">
        <v>359.87</v>
      </c>
      <c r="F112" s="173">
        <v>109.03</v>
      </c>
      <c r="G112" s="173">
        <v>96.4</v>
      </c>
      <c r="H112" s="173">
        <v>157.22999999999999</v>
      </c>
      <c r="I112" s="173">
        <v>177.82</v>
      </c>
      <c r="J112" s="173">
        <v>115.35</v>
      </c>
      <c r="K112" s="173">
        <v>171.43</v>
      </c>
      <c r="L112" s="173">
        <v>259.33</v>
      </c>
      <c r="M112" s="173">
        <v>134.84</v>
      </c>
      <c r="N112" s="173">
        <v>394.53</v>
      </c>
      <c r="O112" s="173">
        <v>100.14</v>
      </c>
      <c r="P112" s="173"/>
      <c r="Q112" s="173">
        <v>65.599999999999994</v>
      </c>
      <c r="R112" s="173">
        <v>56.54</v>
      </c>
      <c r="S112" s="173">
        <v>120.48</v>
      </c>
      <c r="T112" s="173">
        <v>37.5</v>
      </c>
      <c r="U112" s="173"/>
      <c r="V112" s="173">
        <v>336.74</v>
      </c>
      <c r="W112" s="173"/>
      <c r="X112" s="173"/>
      <c r="Y112" s="173"/>
      <c r="Z112" s="173"/>
      <c r="AA112" s="173"/>
    </row>
    <row r="113" spans="1:27" ht="15" customHeight="1" x14ac:dyDescent="0.3">
      <c r="A113" s="172">
        <v>45919</v>
      </c>
      <c r="B113" s="173">
        <v>365.9</v>
      </c>
      <c r="C113" s="173">
        <v>149.61000000000001</v>
      </c>
      <c r="D113" s="173">
        <v>932.15</v>
      </c>
      <c r="E113" s="173">
        <v>344.94</v>
      </c>
      <c r="F113" s="173">
        <v>125.64</v>
      </c>
      <c r="G113" s="173">
        <v>104.48</v>
      </c>
      <c r="H113" s="173">
        <v>162.72999999999999</v>
      </c>
      <c r="I113" s="173">
        <v>176.67</v>
      </c>
      <c r="J113" s="173">
        <v>113.51</v>
      </c>
      <c r="K113" s="173">
        <v>182.39</v>
      </c>
      <c r="L113" s="173">
        <v>264.87</v>
      </c>
      <c r="M113" s="173">
        <v>143.6</v>
      </c>
      <c r="N113" s="173">
        <v>383.12</v>
      </c>
      <c r="O113" s="173">
        <v>100.71</v>
      </c>
      <c r="P113" s="173"/>
      <c r="Q113" s="173">
        <v>65.27</v>
      </c>
      <c r="R113" s="173">
        <v>57.16</v>
      </c>
      <c r="S113" s="173">
        <v>121.93</v>
      </c>
      <c r="T113" s="173">
        <v>37.450000000000003</v>
      </c>
      <c r="U113" s="173"/>
      <c r="V113" s="173">
        <v>338.9</v>
      </c>
      <c r="W113" s="173"/>
      <c r="X113" s="173"/>
      <c r="Y113" s="173"/>
      <c r="Z113" s="173"/>
      <c r="AA113" s="173"/>
    </row>
    <row r="114" spans="1:27" ht="15" customHeight="1" x14ac:dyDescent="0.3">
      <c r="A114" s="172">
        <v>45926</v>
      </c>
      <c r="B114" s="173">
        <v>360.37</v>
      </c>
      <c r="C114" s="173">
        <v>142.5</v>
      </c>
      <c r="D114" s="173">
        <v>951.52</v>
      </c>
      <c r="E114" s="173">
        <v>334.53</v>
      </c>
      <c r="F114" s="173">
        <v>120.36</v>
      </c>
      <c r="G114" s="173">
        <v>106.43</v>
      </c>
      <c r="H114" s="173">
        <v>157.27000000000001</v>
      </c>
      <c r="I114" s="173">
        <v>178.19</v>
      </c>
      <c r="J114" s="173">
        <v>114.19</v>
      </c>
      <c r="K114" s="173">
        <v>177.57</v>
      </c>
      <c r="L114" s="173">
        <v>273.36</v>
      </c>
      <c r="M114" s="173">
        <v>138.62</v>
      </c>
      <c r="N114" s="173">
        <v>385.74</v>
      </c>
      <c r="O114" s="173">
        <v>100.55</v>
      </c>
      <c r="P114" s="173"/>
      <c r="Q114" s="173">
        <v>65.37</v>
      </c>
      <c r="R114" s="173">
        <v>57.25</v>
      </c>
      <c r="S114" s="173">
        <v>120.58</v>
      </c>
      <c r="T114" s="173">
        <v>37.74</v>
      </c>
      <c r="U114" s="173"/>
      <c r="V114" s="173">
        <v>334.69</v>
      </c>
      <c r="W114" s="173"/>
      <c r="X114" s="173"/>
      <c r="Y114" s="173"/>
      <c r="Z114" s="173"/>
      <c r="AA114" s="173"/>
    </row>
    <row r="115" spans="1:27" ht="15" customHeight="1" x14ac:dyDescent="0.3">
      <c r="A115" s="172">
        <v>45933</v>
      </c>
      <c r="B115" s="173">
        <v>346.74</v>
      </c>
      <c r="C115" s="173">
        <v>145.5</v>
      </c>
      <c r="D115" s="173">
        <v>1032.22</v>
      </c>
      <c r="E115" s="173">
        <v>338.37</v>
      </c>
      <c r="F115" s="173">
        <v>122.47</v>
      </c>
      <c r="G115" s="173">
        <v>110.16</v>
      </c>
      <c r="H115" s="173">
        <v>187.83</v>
      </c>
      <c r="I115" s="173">
        <v>187.62</v>
      </c>
      <c r="J115" s="173">
        <v>117.06</v>
      </c>
      <c r="K115" s="173">
        <v>173.07</v>
      </c>
      <c r="L115" s="173">
        <v>292.19</v>
      </c>
      <c r="M115" s="173">
        <v>160.19999999999999</v>
      </c>
      <c r="N115" s="173">
        <v>403.3</v>
      </c>
      <c r="O115" s="173">
        <v>100.66</v>
      </c>
      <c r="P115" s="173"/>
      <c r="Q115" s="173">
        <v>64.790000000000006</v>
      </c>
      <c r="R115" s="173">
        <v>57.28</v>
      </c>
      <c r="S115" s="173">
        <v>120.09</v>
      </c>
      <c r="T115" s="173">
        <v>37.869999999999997</v>
      </c>
      <c r="U115" s="173"/>
      <c r="V115" s="173">
        <v>347.06</v>
      </c>
      <c r="W115" s="173"/>
      <c r="X115" s="173"/>
      <c r="Y115" s="173"/>
      <c r="Z115" s="173"/>
      <c r="AA115" s="173"/>
    </row>
    <row r="116" spans="1:27" ht="15" customHeight="1" x14ac:dyDescent="0.3">
      <c r="A116" s="172">
        <v>45940</v>
      </c>
      <c r="B116" s="173">
        <v>337.51</v>
      </c>
      <c r="C116" s="173">
        <v>154.1</v>
      </c>
      <c r="D116" s="173">
        <v>936.19</v>
      </c>
      <c r="E116" s="173">
        <v>324.63</v>
      </c>
      <c r="F116" s="173">
        <v>123.42</v>
      </c>
      <c r="G116" s="173">
        <v>98.28</v>
      </c>
      <c r="H116" s="173">
        <v>181.6</v>
      </c>
      <c r="I116" s="173">
        <v>183.16</v>
      </c>
      <c r="J116" s="173">
        <v>111.23</v>
      </c>
      <c r="K116" s="173">
        <v>175.44</v>
      </c>
      <c r="L116" s="173">
        <v>280.66000000000003</v>
      </c>
      <c r="M116" s="173">
        <v>169.01</v>
      </c>
      <c r="N116" s="173">
        <v>407.79</v>
      </c>
      <c r="O116" s="173">
        <v>95.19</v>
      </c>
      <c r="P116" s="173"/>
      <c r="Q116" s="173">
        <v>66.2</v>
      </c>
      <c r="R116" s="173">
        <v>56.33</v>
      </c>
      <c r="S116" s="173">
        <v>118.5</v>
      </c>
      <c r="T116" s="173">
        <v>36.58</v>
      </c>
      <c r="U116" s="173"/>
      <c r="V116" s="173">
        <v>340.92</v>
      </c>
      <c r="W116" s="173"/>
      <c r="X116" s="173"/>
      <c r="Y116" s="173"/>
      <c r="Z116" s="173"/>
      <c r="AA116" s="173"/>
    </row>
    <row r="117" spans="1:27" ht="15" customHeight="1" x14ac:dyDescent="0.3">
      <c r="A117" s="172">
        <v>45947</v>
      </c>
      <c r="B117" s="173">
        <v>333.26</v>
      </c>
      <c r="C117" s="173">
        <v>143.1</v>
      </c>
      <c r="D117" s="173">
        <v>1029.27</v>
      </c>
      <c r="E117" s="173">
        <v>349.33</v>
      </c>
      <c r="F117" s="173">
        <v>121.16</v>
      </c>
      <c r="G117" s="173">
        <v>110.67</v>
      </c>
      <c r="H117" s="173">
        <v>202.38</v>
      </c>
      <c r="I117" s="173">
        <v>183.22</v>
      </c>
      <c r="J117" s="173">
        <v>124.08</v>
      </c>
      <c r="K117" s="173">
        <v>178.15</v>
      </c>
      <c r="L117" s="173">
        <v>295.08</v>
      </c>
      <c r="M117" s="173">
        <v>174</v>
      </c>
      <c r="N117" s="173">
        <v>416.81</v>
      </c>
      <c r="O117" s="173">
        <v>97.06</v>
      </c>
      <c r="P117" s="173"/>
      <c r="Q117" s="173">
        <v>66.349999999999994</v>
      </c>
      <c r="R117" s="173">
        <v>57.48</v>
      </c>
      <c r="S117" s="173">
        <v>120.42</v>
      </c>
      <c r="T117" s="173">
        <v>37.090000000000003</v>
      </c>
      <c r="U117" s="173"/>
      <c r="V117" s="173">
        <v>339.18</v>
      </c>
      <c r="W117" s="173"/>
      <c r="X117" s="173"/>
      <c r="Y117" s="173"/>
      <c r="Z117" s="173"/>
      <c r="AA117" s="173"/>
    </row>
    <row r="118" spans="1:27" ht="15" customHeight="1" x14ac:dyDescent="0.3">
      <c r="A118" s="172">
        <v>45954</v>
      </c>
      <c r="B118" s="173">
        <v>353.52</v>
      </c>
      <c r="C118" s="173">
        <v>153.82</v>
      </c>
      <c r="D118" s="173">
        <v>1033.0999999999999</v>
      </c>
      <c r="E118" s="173">
        <v>354.13</v>
      </c>
      <c r="F118" s="173">
        <v>131.83000000000001</v>
      </c>
      <c r="G118" s="173">
        <v>118.28</v>
      </c>
      <c r="H118" s="173">
        <v>219.02</v>
      </c>
      <c r="I118" s="173">
        <v>186.26</v>
      </c>
      <c r="J118" s="173">
        <v>126.43</v>
      </c>
      <c r="K118" s="173">
        <v>184.63</v>
      </c>
      <c r="L118" s="173">
        <v>294.95999999999998</v>
      </c>
      <c r="M118" s="173">
        <v>186.06</v>
      </c>
      <c r="N118" s="173">
        <v>421.39</v>
      </c>
      <c r="O118" s="173">
        <v>99.91</v>
      </c>
      <c r="P118" s="173"/>
      <c r="Q118" s="173">
        <v>66.27</v>
      </c>
      <c r="R118" s="173">
        <v>58.55</v>
      </c>
      <c r="S118" s="173">
        <v>121.71</v>
      </c>
      <c r="T118" s="173">
        <v>38.06</v>
      </c>
      <c r="U118" s="173"/>
      <c r="V118" s="173">
        <v>344.62</v>
      </c>
      <c r="W118" s="173"/>
      <c r="X118" s="173"/>
      <c r="Y118" s="173"/>
      <c r="Z118" s="173"/>
      <c r="AA118" s="173"/>
    </row>
    <row r="119" spans="1:27" ht="15" customHeight="1" x14ac:dyDescent="0.3">
      <c r="A119" s="172">
        <v>45961</v>
      </c>
      <c r="B119" s="173">
        <v>340.31</v>
      </c>
      <c r="C119" s="173">
        <v>157.69</v>
      </c>
      <c r="D119" s="173">
        <v>1059.23</v>
      </c>
      <c r="E119" s="173">
        <v>369.63</v>
      </c>
      <c r="F119" s="173">
        <v>135.75</v>
      </c>
      <c r="G119" s="173">
        <v>120.87</v>
      </c>
      <c r="H119" s="173">
        <v>223.77</v>
      </c>
      <c r="I119" s="173">
        <v>202.49</v>
      </c>
      <c r="J119" s="173">
        <v>124.09</v>
      </c>
      <c r="K119" s="173">
        <v>200.47</v>
      </c>
      <c r="L119" s="173">
        <v>300.43</v>
      </c>
      <c r="M119" s="173">
        <v>192.86</v>
      </c>
      <c r="N119" s="173">
        <v>425.57</v>
      </c>
      <c r="O119" s="173">
        <v>97.8</v>
      </c>
      <c r="P119" s="173"/>
      <c r="Q119" s="173">
        <v>66.290000000000006</v>
      </c>
      <c r="R119" s="173">
        <v>59.1</v>
      </c>
      <c r="S119" s="173">
        <v>121.7</v>
      </c>
      <c r="T119" s="173">
        <v>37.82</v>
      </c>
      <c r="U119" s="173"/>
      <c r="V119" s="173">
        <v>338.04</v>
      </c>
      <c r="W119" s="173"/>
      <c r="X119" s="173"/>
      <c r="Y119" s="173"/>
      <c r="Z119" s="173"/>
      <c r="AA119" s="173"/>
    </row>
    <row r="120" spans="1:27" ht="15" customHeight="1" x14ac:dyDescent="0.3">
      <c r="A120" s="172">
        <v>45968</v>
      </c>
      <c r="B120" s="173">
        <v>326.95</v>
      </c>
      <c r="C120" s="173">
        <v>134.65</v>
      </c>
      <c r="D120" s="173">
        <v>1016.96</v>
      </c>
      <c r="E120" s="173">
        <v>349.43</v>
      </c>
      <c r="F120" s="173">
        <v>134.94999999999999</v>
      </c>
      <c r="G120" s="173">
        <v>119.34</v>
      </c>
      <c r="H120" s="173">
        <v>237.92</v>
      </c>
      <c r="I120" s="173">
        <v>188.15</v>
      </c>
      <c r="J120" s="173">
        <v>125.6</v>
      </c>
      <c r="K120" s="173">
        <v>177.93</v>
      </c>
      <c r="L120" s="173">
        <v>286.5</v>
      </c>
      <c r="M120" s="173">
        <v>179.8</v>
      </c>
      <c r="N120" s="173">
        <v>409.47</v>
      </c>
      <c r="O120" s="173">
        <v>97.74</v>
      </c>
      <c r="P120" s="173"/>
      <c r="Q120" s="173">
        <v>67</v>
      </c>
      <c r="R120" s="173">
        <v>57.71</v>
      </c>
      <c r="S120" s="173">
        <v>118.53</v>
      </c>
      <c r="T120" s="173">
        <v>37.880000000000003</v>
      </c>
      <c r="U120" s="173"/>
      <c r="V120" s="173">
        <v>333.35</v>
      </c>
      <c r="W120" s="173"/>
      <c r="X120" s="173"/>
      <c r="Y120" s="173"/>
      <c r="Z120" s="173"/>
      <c r="AA120" s="173"/>
    </row>
    <row r="121" spans="1:27" ht="15" customHeight="1" x14ac:dyDescent="0.3">
      <c r="A121" s="172">
        <v>45975</v>
      </c>
      <c r="B121" s="173">
        <v>331.11</v>
      </c>
      <c r="C121" s="173">
        <v>131.37</v>
      </c>
      <c r="D121" s="173">
        <v>1006.98</v>
      </c>
      <c r="E121" s="173">
        <v>342.46</v>
      </c>
      <c r="F121" s="173">
        <v>134.38999999999999</v>
      </c>
      <c r="G121" s="173">
        <v>113.43</v>
      </c>
      <c r="H121" s="173">
        <v>246.83</v>
      </c>
      <c r="I121" s="173">
        <v>190.17</v>
      </c>
      <c r="J121" s="173">
        <v>122.83</v>
      </c>
      <c r="K121" s="173">
        <v>174.01</v>
      </c>
      <c r="L121" s="173">
        <v>284.82</v>
      </c>
      <c r="M121" s="173">
        <v>170.97</v>
      </c>
      <c r="N121" s="173">
        <v>437.15</v>
      </c>
      <c r="O121" s="173">
        <v>97.59</v>
      </c>
      <c r="P121" s="173"/>
      <c r="Q121" s="173">
        <v>66.44</v>
      </c>
      <c r="R121" s="173">
        <v>57.82</v>
      </c>
      <c r="S121" s="173">
        <v>117.83</v>
      </c>
      <c r="T121" s="173">
        <v>38.299999999999997</v>
      </c>
      <c r="U121" s="173"/>
      <c r="V121" s="173">
        <v>328.05</v>
      </c>
      <c r="W121" s="173"/>
      <c r="X121" s="173"/>
      <c r="Y121" s="173"/>
      <c r="Z121" s="173"/>
      <c r="AA121" s="173"/>
    </row>
    <row r="122" spans="1:27" ht="15" customHeight="1" x14ac:dyDescent="0.3">
      <c r="A122" s="172">
        <v>45982</v>
      </c>
      <c r="B122" s="173">
        <v>324.19</v>
      </c>
      <c r="C122" s="173">
        <v>117.43</v>
      </c>
      <c r="D122" s="173">
        <v>966.57</v>
      </c>
      <c r="E122" s="173">
        <v>340.2</v>
      </c>
      <c r="F122" s="173">
        <v>122.67</v>
      </c>
      <c r="G122" s="173">
        <v>109.71</v>
      </c>
      <c r="H122" s="173">
        <v>207.37</v>
      </c>
      <c r="I122" s="173">
        <v>178.88</v>
      </c>
      <c r="J122" s="173">
        <v>125.79</v>
      </c>
      <c r="K122" s="173">
        <v>154.85</v>
      </c>
      <c r="L122" s="173">
        <v>275.06</v>
      </c>
      <c r="M122" s="173">
        <v>159.83000000000001</v>
      </c>
      <c r="N122" s="173">
        <v>426.76</v>
      </c>
      <c r="O122" s="173">
        <v>96.83</v>
      </c>
      <c r="P122" s="173"/>
      <c r="Q122" s="173">
        <v>67.05</v>
      </c>
      <c r="R122" s="173">
        <v>56.24</v>
      </c>
      <c r="S122" s="173">
        <v>114.3</v>
      </c>
      <c r="T122" s="173">
        <v>37.53</v>
      </c>
      <c r="U122" s="173"/>
      <c r="V122" s="173">
        <v>326.02</v>
      </c>
      <c r="W122" s="173"/>
      <c r="X122" s="173"/>
      <c r="Y122" s="173"/>
      <c r="Z122" s="173"/>
      <c r="AA122" s="173"/>
    </row>
    <row r="123" spans="1:27" ht="15" customHeight="1" x14ac:dyDescent="0.3">
      <c r="A123" s="172">
        <v>45989</v>
      </c>
      <c r="B123" s="173">
        <v>320.13</v>
      </c>
      <c r="C123" s="173">
        <v>130.68</v>
      </c>
      <c r="D123" s="173">
        <v>1060</v>
      </c>
      <c r="E123" s="173">
        <v>402.96</v>
      </c>
      <c r="F123" s="173">
        <v>127.29</v>
      </c>
      <c r="G123" s="173">
        <v>117.55</v>
      </c>
      <c r="H123" s="173">
        <v>236.48</v>
      </c>
      <c r="I123" s="173">
        <v>177</v>
      </c>
      <c r="J123" s="173">
        <v>128.53</v>
      </c>
      <c r="K123" s="173">
        <v>168.45</v>
      </c>
      <c r="L123" s="173">
        <v>291.51</v>
      </c>
      <c r="M123" s="173">
        <v>179.73</v>
      </c>
      <c r="N123" s="173">
        <v>433.61</v>
      </c>
      <c r="O123" s="173">
        <v>101.13</v>
      </c>
      <c r="P123" s="173"/>
      <c r="Q123" s="173">
        <v>66.739999999999995</v>
      </c>
      <c r="R123" s="173">
        <v>58.81</v>
      </c>
      <c r="S123" s="173">
        <v>120.12</v>
      </c>
      <c r="T123" s="173">
        <v>38.82</v>
      </c>
      <c r="U123" s="173"/>
      <c r="V123" s="173">
        <v>332.44</v>
      </c>
      <c r="W123" s="173"/>
      <c r="X123" s="173"/>
      <c r="Y123" s="173"/>
      <c r="Z123" s="173"/>
      <c r="AA123" s="173"/>
    </row>
    <row r="124" spans="1:27" ht="15" customHeight="1" x14ac:dyDescent="0.3">
      <c r="A124" s="172">
        <v>45996</v>
      </c>
      <c r="B124" s="173">
        <v>346.26</v>
      </c>
      <c r="C124" s="173">
        <v>128.59</v>
      </c>
      <c r="D124" s="173">
        <v>1099.47</v>
      </c>
      <c r="E124" s="173">
        <v>390.24</v>
      </c>
      <c r="F124" s="173">
        <v>128.01</v>
      </c>
      <c r="G124" s="173">
        <v>121.45</v>
      </c>
      <c r="H124" s="173">
        <v>237.22</v>
      </c>
      <c r="I124" s="173">
        <v>182.41</v>
      </c>
      <c r="J124" s="173">
        <v>127.98</v>
      </c>
      <c r="K124" s="173">
        <v>181.76</v>
      </c>
      <c r="L124" s="173">
        <v>294.72000000000003</v>
      </c>
      <c r="M124" s="173">
        <v>189.02</v>
      </c>
      <c r="N124" s="173">
        <v>455.48</v>
      </c>
      <c r="O124" s="173">
        <v>102.9</v>
      </c>
      <c r="P124" s="173"/>
      <c r="Q124" s="173">
        <v>66.72</v>
      </c>
      <c r="R124" s="173">
        <v>58.82</v>
      </c>
      <c r="S124" s="173">
        <v>120.85</v>
      </c>
      <c r="T124" s="173">
        <v>39.42</v>
      </c>
      <c r="U124" s="173"/>
      <c r="V124" s="173">
        <v>329.26</v>
      </c>
      <c r="W124" s="173"/>
      <c r="X124" s="173"/>
      <c r="Y124" s="173"/>
      <c r="Z124" s="173"/>
      <c r="AA124" s="173"/>
    </row>
    <row r="125" spans="1:27" ht="15" customHeight="1" x14ac:dyDescent="0.3">
      <c r="A125" s="172">
        <v>46003</v>
      </c>
      <c r="B125" s="173">
        <v>356.43</v>
      </c>
      <c r="C125" s="173">
        <v>124.76</v>
      </c>
      <c r="D125" s="173">
        <v>1080.8499999999999</v>
      </c>
      <c r="E125" s="173">
        <v>359.93</v>
      </c>
      <c r="F125" s="173">
        <v>126.2</v>
      </c>
      <c r="G125" s="173">
        <v>119.39</v>
      </c>
      <c r="H125" s="173">
        <v>241.14</v>
      </c>
      <c r="I125" s="173">
        <v>175.02</v>
      </c>
      <c r="J125" s="173">
        <v>130.18</v>
      </c>
      <c r="K125" s="173">
        <v>183.57</v>
      </c>
      <c r="L125" s="173">
        <v>292.04000000000002</v>
      </c>
      <c r="M125" s="173">
        <v>161.27000000000001</v>
      </c>
      <c r="N125" s="173">
        <v>452.04</v>
      </c>
      <c r="O125" s="173">
        <v>105.11</v>
      </c>
      <c r="P125" s="173"/>
      <c r="Q125" s="173">
        <v>66.97</v>
      </c>
      <c r="R125" s="173">
        <v>58.18</v>
      </c>
      <c r="S125" s="173">
        <v>119.1</v>
      </c>
      <c r="T125" s="173">
        <v>39.700000000000003</v>
      </c>
      <c r="U125" s="173"/>
      <c r="V125" s="173">
        <v>345.75</v>
      </c>
      <c r="W125" s="173"/>
      <c r="X125" s="173"/>
      <c r="Y125" s="173"/>
      <c r="Z125" s="173"/>
      <c r="AA125" s="173"/>
    </row>
    <row r="126" spans="1:27" ht="15" customHeight="1" x14ac:dyDescent="0.3">
      <c r="A126" s="172">
        <v>46010</v>
      </c>
      <c r="B126" s="173">
        <v>355.86</v>
      </c>
      <c r="C126" s="173">
        <v>131.12</v>
      </c>
      <c r="D126" s="173">
        <v>1056.02</v>
      </c>
      <c r="E126" s="173">
        <v>340.36</v>
      </c>
      <c r="F126" s="173">
        <v>120.32</v>
      </c>
      <c r="G126" s="173">
        <v>124.57</v>
      </c>
      <c r="H126" s="173">
        <v>265.92</v>
      </c>
      <c r="I126" s="173">
        <v>180.99</v>
      </c>
      <c r="J126" s="173">
        <v>127.23</v>
      </c>
      <c r="K126" s="173">
        <v>193.38</v>
      </c>
      <c r="L126" s="173">
        <v>288.95</v>
      </c>
      <c r="M126" s="173">
        <v>159.82</v>
      </c>
      <c r="N126" s="173">
        <v>456.2</v>
      </c>
      <c r="O126" s="173">
        <v>103.78</v>
      </c>
      <c r="P126" s="173"/>
      <c r="Q126" s="173">
        <v>67.16</v>
      </c>
      <c r="R126" s="173">
        <v>58.62</v>
      </c>
      <c r="S126" s="173">
        <v>119.53</v>
      </c>
      <c r="T126" s="173">
        <v>39.53</v>
      </c>
      <c r="U126" s="173"/>
      <c r="V126" s="173">
        <v>347.17</v>
      </c>
      <c r="W126" s="173"/>
      <c r="X126" s="173"/>
      <c r="Y126" s="173"/>
      <c r="Z126" s="173"/>
      <c r="AA126" s="173"/>
    </row>
    <row r="127" spans="1:27" ht="15" customHeight="1" x14ac:dyDescent="0.3">
      <c r="A127" s="172">
        <v>46017</v>
      </c>
      <c r="B127" s="173">
        <v>353.8</v>
      </c>
      <c r="C127" s="173">
        <v>131.84</v>
      </c>
      <c r="D127" s="173">
        <v>1072.75</v>
      </c>
      <c r="E127" s="173">
        <v>352.13</v>
      </c>
      <c r="F127" s="173">
        <v>120.3</v>
      </c>
      <c r="G127" s="173">
        <v>127.96</v>
      </c>
      <c r="H127" s="173">
        <v>284.79000000000002</v>
      </c>
      <c r="I127" s="173">
        <v>190.53</v>
      </c>
      <c r="J127" s="173">
        <v>128.71</v>
      </c>
      <c r="K127" s="173">
        <v>188.71</v>
      </c>
      <c r="L127" s="173">
        <v>302.83999999999997</v>
      </c>
      <c r="M127" s="173">
        <v>167.58</v>
      </c>
      <c r="N127" s="173">
        <v>462.9</v>
      </c>
      <c r="O127" s="173">
        <v>103.69</v>
      </c>
      <c r="P127" s="173"/>
      <c r="Q127" s="173">
        <v>66.569999999999993</v>
      </c>
      <c r="R127" s="173">
        <v>59.34</v>
      </c>
      <c r="S127" s="173">
        <v>121.38</v>
      </c>
      <c r="T127" s="173">
        <v>39.79</v>
      </c>
      <c r="U127" s="173"/>
      <c r="V127" s="173">
        <v>352.88</v>
      </c>
      <c r="W127" s="173"/>
      <c r="X127" s="173"/>
      <c r="Y127" s="173"/>
      <c r="Z127" s="173"/>
      <c r="AA127" s="173"/>
    </row>
    <row r="128" spans="1:27" ht="15" customHeight="1" x14ac:dyDescent="0.3">
      <c r="A128" s="172">
        <v>46024</v>
      </c>
      <c r="B128" s="173">
        <v>333.3</v>
      </c>
      <c r="C128" s="173">
        <v>133.6</v>
      </c>
      <c r="D128" s="173">
        <v>1163.78</v>
      </c>
      <c r="E128" s="173">
        <v>347.62</v>
      </c>
      <c r="F128" s="173">
        <v>113.4</v>
      </c>
      <c r="G128" s="173">
        <v>127.45</v>
      </c>
      <c r="H128" s="173">
        <v>315.42</v>
      </c>
      <c r="I128" s="173">
        <v>188.85</v>
      </c>
      <c r="J128" s="173">
        <v>129.05000000000001</v>
      </c>
      <c r="K128" s="173">
        <v>167.86</v>
      </c>
      <c r="L128" s="173">
        <v>319.61</v>
      </c>
      <c r="M128" s="173">
        <v>175.61</v>
      </c>
      <c r="N128" s="173">
        <v>452.13</v>
      </c>
      <c r="O128" s="173">
        <v>103.12</v>
      </c>
      <c r="P128" s="173"/>
      <c r="Q128" s="173">
        <v>67.03</v>
      </c>
      <c r="R128" s="173">
        <v>58.09</v>
      </c>
      <c r="S128" s="173">
        <v>119.67</v>
      </c>
      <c r="T128" s="173">
        <v>39.42</v>
      </c>
      <c r="U128" s="173"/>
      <c r="V128" s="173">
        <v>344.41</v>
      </c>
      <c r="W128" s="173"/>
      <c r="X128" s="173"/>
      <c r="Y128" s="173"/>
      <c r="Z128" s="173"/>
      <c r="AA128" s="173"/>
    </row>
    <row r="129" spans="1:27" ht="15" customHeight="1" x14ac:dyDescent="0.3">
      <c r="A129" s="172">
        <v>46031</v>
      </c>
      <c r="B129" s="173">
        <v>333.95</v>
      </c>
      <c r="C129" s="173">
        <v>122.89</v>
      </c>
      <c r="D129" s="173">
        <v>1273.8800000000001</v>
      </c>
      <c r="E129" s="173">
        <v>344.97</v>
      </c>
      <c r="F129" s="173">
        <v>117.65</v>
      </c>
      <c r="G129" s="173">
        <v>140</v>
      </c>
      <c r="H129" s="173">
        <v>345.09</v>
      </c>
      <c r="I129" s="173">
        <v>184.86</v>
      </c>
      <c r="J129" s="173">
        <v>129.4</v>
      </c>
      <c r="K129" s="173">
        <v>177.49</v>
      </c>
      <c r="L129" s="173">
        <v>323.63</v>
      </c>
      <c r="M129" s="173">
        <v>163.58000000000001</v>
      </c>
      <c r="N129" s="173">
        <v>463.86</v>
      </c>
      <c r="O129" s="173">
        <v>107.33</v>
      </c>
      <c r="P129" s="173"/>
      <c r="Q129" s="173">
        <v>66.64</v>
      </c>
      <c r="R129" s="173">
        <v>59.16</v>
      </c>
      <c r="S129" s="173">
        <v>120.03</v>
      </c>
      <c r="T129" s="173">
        <v>40.43</v>
      </c>
      <c r="U129" s="173"/>
      <c r="V129" s="173">
        <v>347.68</v>
      </c>
      <c r="W129" s="173"/>
      <c r="X129" s="173"/>
      <c r="Y129" s="173"/>
      <c r="Z129" s="173"/>
      <c r="AA129" s="173"/>
    </row>
    <row r="130" spans="1:27" ht="15" customHeight="1" x14ac:dyDescent="0.3">
      <c r="A130" s="172">
        <v>46038</v>
      </c>
      <c r="B130" s="173">
        <v>296.12</v>
      </c>
      <c r="C130" s="173">
        <v>129.83000000000001</v>
      </c>
      <c r="D130" s="173">
        <v>1358.57</v>
      </c>
      <c r="E130" s="173">
        <v>351.71</v>
      </c>
      <c r="F130" s="173">
        <v>113.47</v>
      </c>
      <c r="G130" s="173">
        <v>156.78</v>
      </c>
      <c r="H130" s="173">
        <v>362.75</v>
      </c>
      <c r="I130" s="173">
        <v>186.23</v>
      </c>
      <c r="J130" s="173">
        <v>133.21</v>
      </c>
      <c r="K130" s="173">
        <v>170.96</v>
      </c>
      <c r="L130" s="173">
        <v>342.4</v>
      </c>
      <c r="M130" s="173">
        <v>176.93</v>
      </c>
      <c r="N130" s="173">
        <v>441.36</v>
      </c>
      <c r="O130" s="173">
        <v>108.51</v>
      </c>
      <c r="P130" s="173"/>
      <c r="Q130" s="173">
        <v>65.89</v>
      </c>
      <c r="R130" s="173">
        <v>58.92</v>
      </c>
      <c r="S130" s="173">
        <v>120</v>
      </c>
      <c r="T130" s="173">
        <v>39.61</v>
      </c>
      <c r="U130" s="173"/>
      <c r="V130" s="173">
        <v>326.33999999999997</v>
      </c>
      <c r="W130" s="173"/>
      <c r="X130" s="173"/>
      <c r="Y130" s="173"/>
      <c r="Z130" s="173"/>
      <c r="AA130" s="173"/>
    </row>
    <row r="131" spans="1:27" ht="15" customHeight="1" x14ac:dyDescent="0.3">
      <c r="A131" s="172">
        <v>46045</v>
      </c>
      <c r="B131" s="173">
        <v>301.07</v>
      </c>
      <c r="C131" s="173">
        <v>136.34</v>
      </c>
      <c r="D131" s="173">
        <v>1389.04</v>
      </c>
      <c r="E131" s="173">
        <v>320.05</v>
      </c>
      <c r="F131" s="173">
        <v>113.12</v>
      </c>
      <c r="G131" s="173">
        <v>151.28</v>
      </c>
      <c r="H131" s="173">
        <v>399.65</v>
      </c>
      <c r="I131" s="173">
        <v>187.67</v>
      </c>
      <c r="J131" s="173">
        <v>127.15</v>
      </c>
      <c r="K131" s="173">
        <v>169.6</v>
      </c>
      <c r="L131" s="173">
        <v>334.87</v>
      </c>
      <c r="M131" s="173">
        <v>182.49</v>
      </c>
      <c r="N131" s="173">
        <v>468.41</v>
      </c>
      <c r="O131" s="173">
        <v>108.49</v>
      </c>
      <c r="P131" s="173"/>
      <c r="Q131" s="173">
        <v>65.010000000000005</v>
      </c>
      <c r="R131" s="173">
        <v>59.22</v>
      </c>
      <c r="S131" s="173">
        <v>117.92</v>
      </c>
      <c r="T131" s="173">
        <v>39.86</v>
      </c>
      <c r="U131" s="173"/>
      <c r="V131" s="173">
        <v>324.23</v>
      </c>
      <c r="W131" s="173"/>
      <c r="X131" s="173"/>
      <c r="Y131" s="173"/>
      <c r="Z131" s="173"/>
      <c r="AA131" s="173"/>
    </row>
    <row r="132" spans="1:27" ht="15" customHeight="1" x14ac:dyDescent="0.3">
      <c r="A132" s="172">
        <v>46052</v>
      </c>
      <c r="B132" s="173">
        <v>293.25</v>
      </c>
      <c r="C132" s="173">
        <v>141.74</v>
      </c>
      <c r="D132" s="173">
        <v>1423</v>
      </c>
      <c r="E132" s="173">
        <v>331.3</v>
      </c>
      <c r="F132" s="173">
        <v>110.35</v>
      </c>
      <c r="G132" s="173">
        <v>142.79</v>
      </c>
      <c r="H132" s="173">
        <v>414.88</v>
      </c>
      <c r="I132" s="173">
        <v>191.13</v>
      </c>
      <c r="J132" s="173">
        <v>130.56</v>
      </c>
      <c r="K132" s="173">
        <v>146.59</v>
      </c>
      <c r="L132" s="173">
        <v>330.56</v>
      </c>
      <c r="M132" s="173">
        <v>186.18</v>
      </c>
      <c r="N132" s="173">
        <v>469.9</v>
      </c>
      <c r="O132" s="173">
        <v>109.27</v>
      </c>
      <c r="P132" s="173"/>
      <c r="Q132" s="173">
        <v>64.28</v>
      </c>
      <c r="R132" s="173">
        <v>59.43</v>
      </c>
      <c r="S132" s="173">
        <v>119.87</v>
      </c>
      <c r="T132" s="173">
        <v>39.47</v>
      </c>
      <c r="U132" s="173"/>
      <c r="V132" s="173">
        <v>319.91000000000003</v>
      </c>
      <c r="W132" s="173"/>
      <c r="X132" s="173"/>
      <c r="Y132" s="173"/>
      <c r="Z132" s="173"/>
      <c r="AA132" s="173"/>
    </row>
    <row r="133" spans="1:27" ht="15" customHeight="1" x14ac:dyDescent="0.3">
      <c r="A133" s="172">
        <v>46059</v>
      </c>
      <c r="B133" s="173">
        <v>268.38</v>
      </c>
      <c r="C133" s="173">
        <v>137.49</v>
      </c>
      <c r="D133" s="173">
        <v>1413.01</v>
      </c>
      <c r="E133" s="173">
        <v>332.92</v>
      </c>
      <c r="F133" s="173">
        <v>98.88</v>
      </c>
      <c r="G133" s="173">
        <v>144.29</v>
      </c>
      <c r="H133" s="173">
        <v>394.69</v>
      </c>
      <c r="I133" s="173">
        <v>185.41</v>
      </c>
      <c r="J133" s="173">
        <v>136.94999999999999</v>
      </c>
      <c r="K133" s="173">
        <v>135.9</v>
      </c>
      <c r="L133" s="173">
        <v>348.85</v>
      </c>
      <c r="M133" s="173">
        <v>195.58</v>
      </c>
      <c r="N133" s="173">
        <v>477.92</v>
      </c>
      <c r="O133" s="173">
        <v>115.19</v>
      </c>
      <c r="P133" s="173"/>
      <c r="Q133" s="173">
        <v>63.39</v>
      </c>
      <c r="R133" s="173">
        <v>58.05</v>
      </c>
      <c r="S133" s="173">
        <v>119.84</v>
      </c>
      <c r="T133" s="173">
        <v>40.43</v>
      </c>
      <c r="U133" s="173"/>
      <c r="V133" s="173">
        <v>329.6</v>
      </c>
      <c r="W133" s="173"/>
      <c r="X133" s="173"/>
      <c r="Y133" s="173"/>
      <c r="Z133" s="173"/>
      <c r="AA133" s="173"/>
    </row>
    <row r="134" spans="1:27" ht="15" customHeight="1" x14ac:dyDescent="0.3">
      <c r="A134" s="172">
        <v>46066</v>
      </c>
      <c r="B134" s="173">
        <v>263.97000000000003</v>
      </c>
      <c r="C134" s="173">
        <v>141.59</v>
      </c>
      <c r="D134" s="173">
        <v>1406.61</v>
      </c>
      <c r="E134" s="173">
        <v>325.17</v>
      </c>
      <c r="F134" s="173">
        <v>107.41</v>
      </c>
      <c r="G134" s="173">
        <v>146.41</v>
      </c>
      <c r="H134" s="173">
        <v>411.66</v>
      </c>
      <c r="I134" s="173">
        <v>182.81</v>
      </c>
      <c r="J134" s="173">
        <v>138.97</v>
      </c>
      <c r="K134" s="173">
        <v>131.41</v>
      </c>
      <c r="L134" s="173">
        <v>366.36</v>
      </c>
      <c r="M134" s="173">
        <v>234.53</v>
      </c>
      <c r="N134" s="173">
        <v>491.47</v>
      </c>
      <c r="O134" s="173">
        <v>114.9</v>
      </c>
      <c r="P134" s="173"/>
      <c r="Q134" s="173">
        <v>64.13</v>
      </c>
      <c r="R134" s="173">
        <v>57.51</v>
      </c>
      <c r="S134" s="173">
        <v>118.25</v>
      </c>
      <c r="T134" s="173">
        <v>40.26</v>
      </c>
      <c r="U134" s="173"/>
      <c r="V134" s="173">
        <v>312.85000000000002</v>
      </c>
      <c r="W134" s="173"/>
      <c r="X134" s="173"/>
      <c r="Y134" s="173"/>
      <c r="Z134" s="173"/>
      <c r="AA134" s="173"/>
    </row>
    <row r="135" spans="1:27" ht="15" customHeight="1" x14ac:dyDescent="0.3">
      <c r="A135" s="172">
        <v>46073</v>
      </c>
      <c r="B135" s="173">
        <v>258.61</v>
      </c>
      <c r="C135" s="173">
        <v>132.79</v>
      </c>
      <c r="D135" s="173">
        <v>1469.59</v>
      </c>
      <c r="E135" s="173">
        <v>332.65</v>
      </c>
      <c r="F135" s="173">
        <v>97.15</v>
      </c>
      <c r="G135" s="173">
        <v>149.6</v>
      </c>
      <c r="H135" s="173">
        <v>428.17</v>
      </c>
      <c r="I135" s="173">
        <v>189.82</v>
      </c>
      <c r="J135" s="173">
        <v>141.51</v>
      </c>
      <c r="K135" s="173">
        <v>135.24</v>
      </c>
      <c r="L135" s="173">
        <v>370.54</v>
      </c>
      <c r="M135" s="173">
        <v>243.75</v>
      </c>
      <c r="N135" s="173">
        <v>476.9</v>
      </c>
      <c r="O135" s="173">
        <v>115.54</v>
      </c>
      <c r="P135" s="173"/>
      <c r="Q135" s="173">
        <v>65.44</v>
      </c>
      <c r="R135" s="173">
        <v>58.15</v>
      </c>
      <c r="S135" s="173">
        <v>119.96</v>
      </c>
      <c r="T135" s="173">
        <v>40.340000000000003</v>
      </c>
      <c r="U135" s="173"/>
      <c r="V135" s="173">
        <v>319.69</v>
      </c>
      <c r="W135" s="173"/>
      <c r="X135" s="173"/>
      <c r="Y135" s="173"/>
      <c r="Z135" s="173"/>
      <c r="AA135" s="173"/>
    </row>
    <row r="136" spans="1:27" ht="15" customHeight="1" x14ac:dyDescent="0.3">
      <c r="A136" s="172">
        <v>46080</v>
      </c>
      <c r="B136" s="173">
        <v>262.41000000000003</v>
      </c>
      <c r="C136" s="173">
        <v>133.5</v>
      </c>
      <c r="D136" s="173">
        <v>1450.56</v>
      </c>
      <c r="E136" s="173">
        <v>319.55</v>
      </c>
      <c r="F136" s="173">
        <v>93</v>
      </c>
      <c r="G136" s="173">
        <v>152.46</v>
      </c>
      <c r="H136" s="173">
        <v>412.37</v>
      </c>
      <c r="I136" s="173">
        <v>177.19</v>
      </c>
      <c r="J136" s="173">
        <v>142.57</v>
      </c>
      <c r="K136" s="173">
        <v>137.19</v>
      </c>
      <c r="L136" s="173">
        <v>374.58</v>
      </c>
      <c r="M136" s="173">
        <v>254.89</v>
      </c>
      <c r="N136" s="173">
        <v>496.83</v>
      </c>
      <c r="O136" s="173">
        <v>112.98</v>
      </c>
      <c r="P136" s="173"/>
      <c r="Q136" s="173">
        <v>67.12</v>
      </c>
      <c r="R136" s="173">
        <v>58.04</v>
      </c>
      <c r="S136" s="173">
        <v>119.47</v>
      </c>
      <c r="T136" s="173">
        <v>40.479999999999997</v>
      </c>
      <c r="U136" s="173"/>
      <c r="V136" s="173">
        <v>318.89</v>
      </c>
      <c r="W136" s="173"/>
      <c r="X136" s="173"/>
      <c r="Y136" s="173"/>
      <c r="Z136" s="173"/>
      <c r="AA136" s="173"/>
    </row>
    <row r="137" spans="1:27" ht="15" customHeight="1" x14ac:dyDescent="0.3">
      <c r="A137" s="172">
        <v>46087</v>
      </c>
      <c r="B137" s="173">
        <v>283.62</v>
      </c>
      <c r="C137" s="173">
        <v>132.88999999999999</v>
      </c>
      <c r="D137" s="173">
        <v>1292.8</v>
      </c>
      <c r="E137" s="173">
        <v>330.48</v>
      </c>
      <c r="F137" s="173">
        <v>107.25</v>
      </c>
      <c r="G137" s="173">
        <v>134.46</v>
      </c>
      <c r="H137" s="173">
        <v>370.3</v>
      </c>
      <c r="I137" s="173">
        <v>177.82</v>
      </c>
      <c r="J137" s="173">
        <v>134.54</v>
      </c>
      <c r="K137" s="173">
        <v>157.16</v>
      </c>
      <c r="L137" s="173">
        <v>338.89</v>
      </c>
      <c r="M137" s="173">
        <v>241.78</v>
      </c>
      <c r="N137" s="173">
        <v>456.69</v>
      </c>
      <c r="O137" s="173">
        <v>108.65</v>
      </c>
      <c r="P137" s="173"/>
      <c r="Q137" s="173">
        <v>67.27</v>
      </c>
      <c r="R137" s="173">
        <v>56.85</v>
      </c>
      <c r="S137" s="173">
        <v>118.24</v>
      </c>
      <c r="T137" s="173">
        <v>40.11</v>
      </c>
      <c r="U137" s="173"/>
      <c r="V137" s="173">
        <v>316.12</v>
      </c>
      <c r="W137" s="173"/>
      <c r="X137" s="173"/>
      <c r="Y137" s="173"/>
      <c r="Z137" s="173"/>
      <c r="AA137" s="173"/>
    </row>
    <row r="138" spans="1:27" ht="15" customHeight="1" x14ac:dyDescent="0.3">
      <c r="A138" s="172">
        <v>46094</v>
      </c>
      <c r="B138" s="173">
        <v>249.32</v>
      </c>
      <c r="C138" s="173">
        <v>133.57</v>
      </c>
      <c r="D138" s="173">
        <v>1345.69</v>
      </c>
      <c r="E138" s="173">
        <v>322.16000000000003</v>
      </c>
      <c r="F138" s="173">
        <v>110.45</v>
      </c>
      <c r="G138" s="173">
        <v>141.86000000000001</v>
      </c>
      <c r="H138" s="173">
        <v>426.13</v>
      </c>
      <c r="I138" s="173">
        <v>180.25</v>
      </c>
      <c r="J138" s="173">
        <v>131.75</v>
      </c>
      <c r="K138" s="173">
        <v>150.94999999999999</v>
      </c>
      <c r="L138" s="173">
        <v>338.31</v>
      </c>
      <c r="M138" s="173">
        <v>258.88</v>
      </c>
      <c r="N138" s="173">
        <v>469.34</v>
      </c>
      <c r="O138" s="173">
        <v>106.29</v>
      </c>
      <c r="P138" s="173"/>
      <c r="Q138" s="173">
        <v>67.540000000000006</v>
      </c>
      <c r="R138" s="173">
        <v>56.56</v>
      </c>
      <c r="S138" s="173">
        <v>116.18</v>
      </c>
      <c r="T138" s="173">
        <v>39.200000000000003</v>
      </c>
      <c r="U138" s="173"/>
      <c r="V138" s="173">
        <v>305.94</v>
      </c>
      <c r="W138" s="173"/>
      <c r="X138" s="173"/>
      <c r="Y138" s="173"/>
      <c r="Z138" s="173"/>
      <c r="AA138" s="173"/>
    </row>
    <row r="139" spans="1:27" ht="15" customHeight="1" x14ac:dyDescent="0.3">
      <c r="A139" s="172">
        <v>46101</v>
      </c>
      <c r="B139" s="173">
        <v>248.15</v>
      </c>
      <c r="C139" s="173">
        <v>131.22</v>
      </c>
      <c r="D139" s="173">
        <v>1317.25</v>
      </c>
      <c r="E139" s="173">
        <v>310.51</v>
      </c>
      <c r="F139" s="173">
        <v>102.25</v>
      </c>
      <c r="G139" s="173">
        <v>149.87</v>
      </c>
      <c r="H139" s="173">
        <v>422.9</v>
      </c>
      <c r="I139" s="173">
        <v>172.7</v>
      </c>
      <c r="J139" s="173">
        <v>128.01</v>
      </c>
      <c r="K139" s="173">
        <v>150.68</v>
      </c>
      <c r="L139" s="173">
        <v>329.24</v>
      </c>
      <c r="M139" s="173">
        <v>255.88</v>
      </c>
      <c r="N139" s="173">
        <v>454</v>
      </c>
      <c r="O139" s="173">
        <v>106.08</v>
      </c>
      <c r="P139" s="173"/>
      <c r="Q139" s="173">
        <v>67.680000000000007</v>
      </c>
      <c r="R139" s="173">
        <v>55.76</v>
      </c>
      <c r="S139" s="173">
        <v>113.78</v>
      </c>
      <c r="T139" s="173">
        <v>39.24</v>
      </c>
      <c r="U139" s="173"/>
      <c r="V139" s="173">
        <v>300.44</v>
      </c>
      <c r="W139" s="173"/>
      <c r="X139" s="173"/>
      <c r="Y139" s="173"/>
      <c r="Z139" s="173"/>
      <c r="AA139" s="173"/>
    </row>
    <row r="140" spans="1:27" ht="15" customHeight="1" x14ac:dyDescent="0.3">
      <c r="A140" s="172">
        <v>46108</v>
      </c>
      <c r="B140" s="173">
        <v>234.84</v>
      </c>
      <c r="C140" s="173">
        <v>120.77</v>
      </c>
      <c r="D140" s="173">
        <v>1302.47</v>
      </c>
      <c r="E140" s="173">
        <v>300.68</v>
      </c>
      <c r="F140" s="173">
        <v>92.4</v>
      </c>
      <c r="G140" s="173">
        <v>144.32</v>
      </c>
      <c r="H140" s="173">
        <v>357.22</v>
      </c>
      <c r="I140" s="173">
        <v>167.52</v>
      </c>
      <c r="J140" s="173">
        <v>128.9</v>
      </c>
      <c r="K140" s="173">
        <v>143.06</v>
      </c>
      <c r="L140" s="173">
        <v>326.74</v>
      </c>
      <c r="M140" s="173">
        <v>251.07</v>
      </c>
      <c r="N140" s="173">
        <v>433.07</v>
      </c>
      <c r="O140" s="173">
        <v>109.23</v>
      </c>
      <c r="P140" s="173"/>
      <c r="Q140" s="173">
        <v>67.7</v>
      </c>
      <c r="R140" s="173">
        <v>54.13</v>
      </c>
      <c r="S140" s="173">
        <v>110.31</v>
      </c>
      <c r="T140" s="173">
        <v>38.75</v>
      </c>
      <c r="U140" s="173"/>
      <c r="V140" s="173">
        <v>294.36</v>
      </c>
      <c r="W140" s="173"/>
      <c r="X140" s="173"/>
      <c r="Y140" s="173"/>
      <c r="Z140" s="173"/>
      <c r="AA140" s="173"/>
    </row>
    <row r="141" spans="1:27" ht="15" customHeight="1" x14ac:dyDescent="0.3">
      <c r="A141" s="172">
        <v>46114</v>
      </c>
      <c r="B141" s="173">
        <v>242.92</v>
      </c>
      <c r="C141" s="173">
        <v>126.68</v>
      </c>
      <c r="D141" s="173">
        <v>1317.23</v>
      </c>
      <c r="E141" s="173">
        <v>314.55</v>
      </c>
      <c r="F141" s="173">
        <v>99.78</v>
      </c>
      <c r="G141" s="173">
        <v>151.68</v>
      </c>
      <c r="H141" s="173">
        <v>366.24</v>
      </c>
      <c r="I141" s="173">
        <v>177.39</v>
      </c>
      <c r="J141" s="173">
        <v>133.77000000000001</v>
      </c>
      <c r="K141" s="173">
        <v>148.46</v>
      </c>
      <c r="L141" s="173">
        <v>339.04</v>
      </c>
      <c r="M141" s="173">
        <v>261.29000000000002</v>
      </c>
      <c r="N141" s="173">
        <v>438.71</v>
      </c>
      <c r="O141" s="173">
        <v>111.42</v>
      </c>
      <c r="P141" s="173"/>
      <c r="Q141" s="173">
        <v>67.75</v>
      </c>
      <c r="R141" s="173">
        <v>55.59</v>
      </c>
      <c r="S141" s="173">
        <v>114.74</v>
      </c>
      <c r="T141" s="173">
        <v>39.840000000000003</v>
      </c>
      <c r="U141" s="173"/>
      <c r="V141" s="173"/>
      <c r="W141" s="173"/>
      <c r="X141" s="173"/>
      <c r="Y141" s="173"/>
      <c r="Z141" s="173"/>
      <c r="AA141" s="173"/>
    </row>
    <row r="142" spans="1:27" ht="15" customHeight="1" x14ac:dyDescent="0.3">
      <c r="A142" s="172">
        <v>46122</v>
      </c>
      <c r="B142" s="173">
        <v>225.35</v>
      </c>
      <c r="C142" s="173">
        <v>147.35</v>
      </c>
      <c r="D142" s="173">
        <v>1478.28</v>
      </c>
      <c r="E142" s="173">
        <v>371.55</v>
      </c>
      <c r="F142" s="173">
        <v>94.76</v>
      </c>
      <c r="G142" s="173">
        <v>173.73</v>
      </c>
      <c r="H142" s="173">
        <v>420.59</v>
      </c>
      <c r="I142" s="173">
        <v>188.63</v>
      </c>
      <c r="J142" s="173">
        <v>137.19</v>
      </c>
      <c r="K142" s="173">
        <v>128.06</v>
      </c>
      <c r="L142" s="173">
        <v>370.6</v>
      </c>
      <c r="M142" s="173">
        <v>295.11</v>
      </c>
      <c r="N142" s="173">
        <v>436.27</v>
      </c>
      <c r="O142" s="173">
        <v>114.73</v>
      </c>
      <c r="P142" s="173"/>
      <c r="Q142" s="173">
        <v>68.040000000000006</v>
      </c>
      <c r="R142" s="173">
        <v>57.62</v>
      </c>
      <c r="S142" s="173">
        <v>123.34</v>
      </c>
      <c r="T142" s="173">
        <v>39.64</v>
      </c>
      <c r="U142" s="173"/>
      <c r="V142" s="173">
        <v>303.17</v>
      </c>
      <c r="W142" s="173"/>
      <c r="X142" s="173"/>
      <c r="Y142" s="173"/>
      <c r="Z142" s="173"/>
      <c r="AA142" s="173"/>
    </row>
    <row r="143" spans="1:27" ht="15" customHeight="1" x14ac:dyDescent="0.3">
      <c r="A143" s="172">
        <v>46129</v>
      </c>
      <c r="B143" s="173">
        <v>244.45</v>
      </c>
      <c r="C143" s="173">
        <v>164.23</v>
      </c>
      <c r="D143" s="173">
        <v>1459.8</v>
      </c>
      <c r="E143" s="173">
        <v>406.54</v>
      </c>
      <c r="F143" s="173">
        <v>105.99</v>
      </c>
      <c r="G143" s="173">
        <v>179.14</v>
      </c>
      <c r="H143" s="173">
        <v>455.07</v>
      </c>
      <c r="I143" s="173">
        <v>201.68</v>
      </c>
      <c r="J143" s="173">
        <v>145.1</v>
      </c>
      <c r="K143" s="173">
        <v>146.38999999999999</v>
      </c>
      <c r="L143" s="173">
        <v>370.5</v>
      </c>
      <c r="M143" s="173">
        <v>307.33999999999997</v>
      </c>
      <c r="N143" s="173">
        <v>441.2</v>
      </c>
      <c r="O143" s="173">
        <v>117.52</v>
      </c>
      <c r="P143" s="173"/>
      <c r="Q143" s="173">
        <v>67.319999999999993</v>
      </c>
      <c r="R143" s="173">
        <v>58.66</v>
      </c>
      <c r="S143" s="173">
        <v>128.30000000000001</v>
      </c>
      <c r="T143" s="173">
        <v>41.76</v>
      </c>
      <c r="U143" s="173"/>
      <c r="V143" s="173">
        <v>315.77999999999997</v>
      </c>
      <c r="W143" s="173"/>
      <c r="X143" s="173"/>
      <c r="Y143" s="173"/>
      <c r="Z143" s="173"/>
      <c r="AA143" s="173"/>
    </row>
    <row r="144" spans="1:27" ht="15" customHeight="1" x14ac:dyDescent="0.3">
      <c r="A144" s="172">
        <v>46136</v>
      </c>
      <c r="B144" s="173">
        <v>245.44</v>
      </c>
      <c r="C144" s="173">
        <v>176.91</v>
      </c>
      <c r="D144" s="173">
        <v>1457.7</v>
      </c>
      <c r="E144" s="173">
        <v>422.76</v>
      </c>
      <c r="F144" s="173">
        <v>112.03</v>
      </c>
      <c r="G144" s="173">
        <v>193.5</v>
      </c>
      <c r="H144" s="173">
        <v>496.72</v>
      </c>
      <c r="I144" s="173">
        <v>208.27</v>
      </c>
      <c r="J144" s="173">
        <v>142.1</v>
      </c>
      <c r="K144" s="173">
        <v>143.09</v>
      </c>
      <c r="L144" s="173">
        <v>402.46</v>
      </c>
      <c r="M144" s="173">
        <v>323.45999999999998</v>
      </c>
      <c r="N144" s="173">
        <v>430.29</v>
      </c>
      <c r="O144" s="173">
        <v>118.96</v>
      </c>
      <c r="P144" s="173"/>
      <c r="Q144" s="173">
        <v>67.349999999999994</v>
      </c>
      <c r="R144" s="173">
        <v>58.99</v>
      </c>
      <c r="S144" s="173">
        <v>131.52000000000001</v>
      </c>
      <c r="T144" s="173">
        <v>41.52</v>
      </c>
      <c r="U144" s="173"/>
      <c r="V144" s="173">
        <v>308.20999999999998</v>
      </c>
      <c r="W144" s="173"/>
      <c r="X144" s="173"/>
      <c r="Y144" s="173"/>
      <c r="Z144" s="173"/>
      <c r="AA144" s="173"/>
    </row>
    <row r="145" spans="1:27" ht="15" customHeight="1" x14ac:dyDescent="0.3">
      <c r="A145" s="172">
        <v>46143</v>
      </c>
      <c r="B145" s="173">
        <v>250.71</v>
      </c>
      <c r="C145" s="173">
        <v>172.7</v>
      </c>
      <c r="D145" s="173">
        <v>1427.02</v>
      </c>
      <c r="E145" s="173">
        <v>421.28</v>
      </c>
      <c r="F145" s="173">
        <v>113.91</v>
      </c>
      <c r="G145" s="173">
        <v>172.63</v>
      </c>
      <c r="H145" s="173">
        <v>542.21</v>
      </c>
      <c r="I145" s="173">
        <v>198.45</v>
      </c>
      <c r="J145" s="173">
        <v>141.41</v>
      </c>
      <c r="K145" s="173">
        <v>144.07</v>
      </c>
      <c r="L145" s="173">
        <v>397.67</v>
      </c>
      <c r="M145" s="173">
        <v>328.31</v>
      </c>
      <c r="N145" s="173">
        <v>423.92</v>
      </c>
      <c r="O145" s="173">
        <v>119.96</v>
      </c>
      <c r="P145" s="173"/>
      <c r="Q145" s="173">
        <v>67.92</v>
      </c>
      <c r="R145" s="173">
        <v>58.86</v>
      </c>
      <c r="S145" s="173">
        <v>134.41999999999999</v>
      </c>
      <c r="T145" s="173">
        <v>42.59</v>
      </c>
      <c r="U145" s="173"/>
      <c r="V145" s="173">
        <v>326.74</v>
      </c>
      <c r="W145" s="173"/>
      <c r="X145" s="173"/>
      <c r="Y145" s="173"/>
      <c r="Z145" s="173"/>
      <c r="AA145" s="173"/>
    </row>
    <row r="146" spans="1:27" ht="15" customHeight="1" x14ac:dyDescent="0.3">
      <c r="A146" s="172">
        <v>46150</v>
      </c>
      <c r="B146" s="173">
        <v>253.04</v>
      </c>
      <c r="C146" s="173">
        <v>141.77000000000001</v>
      </c>
      <c r="D146" s="173">
        <v>1592.02</v>
      </c>
      <c r="E146" s="173">
        <v>430</v>
      </c>
      <c r="F146" s="173">
        <v>131.94</v>
      </c>
      <c r="G146" s="173">
        <v>186.92</v>
      </c>
      <c r="H146" s="173">
        <v>746.81</v>
      </c>
      <c r="I146" s="173">
        <v>215.2</v>
      </c>
      <c r="J146" s="173">
        <v>144.09</v>
      </c>
      <c r="K146" s="173">
        <v>137.80000000000001</v>
      </c>
      <c r="L146" s="173">
        <v>411.68</v>
      </c>
      <c r="M146" s="173">
        <v>339.97</v>
      </c>
      <c r="N146" s="173">
        <v>429.82</v>
      </c>
      <c r="O146" s="173">
        <v>119.84</v>
      </c>
      <c r="P146" s="173"/>
      <c r="Q146" s="173">
        <v>67.08</v>
      </c>
      <c r="R146" s="173">
        <v>59.61</v>
      </c>
      <c r="S146" s="173">
        <v>143.81</v>
      </c>
      <c r="T146" s="173">
        <v>43.62</v>
      </c>
      <c r="U146" s="173"/>
      <c r="V146" s="173">
        <v>317.54000000000002</v>
      </c>
      <c r="W146" s="173"/>
      <c r="X146" s="173"/>
      <c r="Y146" s="173"/>
      <c r="Z146" s="173"/>
      <c r="AA146" s="173"/>
    </row>
    <row r="147" spans="1:27" ht="15" customHeight="1" x14ac:dyDescent="0.3">
      <c r="A147" s="172">
        <v>46157</v>
      </c>
      <c r="B147" s="173">
        <v>247.6</v>
      </c>
      <c r="C147" s="173">
        <v>141.97</v>
      </c>
      <c r="D147" s="173">
        <v>1501.81</v>
      </c>
      <c r="E147" s="173">
        <v>425.19</v>
      </c>
      <c r="F147" s="173">
        <v>148.52000000000001</v>
      </c>
      <c r="G147" s="173">
        <v>180.43</v>
      </c>
      <c r="H147" s="173">
        <v>724.66</v>
      </c>
      <c r="I147" s="173">
        <v>225.32</v>
      </c>
      <c r="J147" s="173">
        <v>140.53</v>
      </c>
      <c r="K147" s="173">
        <v>133.99</v>
      </c>
      <c r="L147" s="173">
        <v>404.35</v>
      </c>
      <c r="M147" s="173">
        <v>370.94</v>
      </c>
      <c r="N147" s="173">
        <v>436.95</v>
      </c>
      <c r="O147" s="173">
        <v>117.25</v>
      </c>
      <c r="P147" s="173"/>
      <c r="Q147" s="173">
        <v>67.59</v>
      </c>
      <c r="R147" s="173">
        <v>59.77</v>
      </c>
      <c r="S147" s="173">
        <v>143.47999999999999</v>
      </c>
      <c r="T147" s="173">
        <v>42.5</v>
      </c>
      <c r="U147" s="173"/>
      <c r="V147" s="173">
        <v>325.14999999999998</v>
      </c>
      <c r="W147" s="173"/>
      <c r="X147" s="173"/>
      <c r="Y147" s="173"/>
      <c r="Z147" s="173"/>
      <c r="AA147" s="173"/>
    </row>
    <row r="148" spans="1:27" ht="15" customHeight="1" x14ac:dyDescent="0.3">
      <c r="A148" s="172">
        <v>46164</v>
      </c>
      <c r="B148" s="173">
        <v>244.76</v>
      </c>
      <c r="C148" s="173">
        <v>154.03</v>
      </c>
      <c r="D148" s="173">
        <v>1632.9</v>
      </c>
      <c r="E148" s="173">
        <v>414.14</v>
      </c>
      <c r="F148" s="173">
        <v>165.87</v>
      </c>
      <c r="G148" s="173">
        <v>188.84</v>
      </c>
      <c r="H148" s="173">
        <v>751</v>
      </c>
      <c r="I148" s="173">
        <v>215.33</v>
      </c>
      <c r="J148" s="173">
        <v>145.9</v>
      </c>
      <c r="K148" s="173">
        <v>136.88</v>
      </c>
      <c r="L148" s="173">
        <v>404.52</v>
      </c>
      <c r="M148" s="173">
        <v>327.45999999999998</v>
      </c>
      <c r="N148" s="173">
        <v>434.52</v>
      </c>
      <c r="O148" s="173">
        <v>120.03</v>
      </c>
      <c r="P148" s="173"/>
      <c r="Q148" s="173">
        <v>68.33</v>
      </c>
      <c r="R148" s="173">
        <v>60.21</v>
      </c>
      <c r="S148" s="173">
        <v>144.94</v>
      </c>
      <c r="T148" s="173">
        <v>44.18</v>
      </c>
      <c r="U148" s="173"/>
      <c r="V148" s="173">
        <v>328.27</v>
      </c>
      <c r="W148" s="173"/>
      <c r="X148" s="173"/>
      <c r="Y148" s="173"/>
      <c r="Z148" s="173"/>
      <c r="AA148" s="173"/>
    </row>
    <row r="149" spans="1:27" ht="15" customHeight="1" x14ac:dyDescent="0.3">
      <c r="A149" s="172">
        <v>46171</v>
      </c>
      <c r="B149" s="173">
        <v>259.20999999999998</v>
      </c>
      <c r="C149" s="173">
        <v>159.47</v>
      </c>
      <c r="D149" s="173">
        <v>1612.76</v>
      </c>
      <c r="E149" s="173">
        <v>446.77</v>
      </c>
      <c r="F149" s="173">
        <v>182.75</v>
      </c>
      <c r="G149" s="173">
        <v>192.17</v>
      </c>
      <c r="H149" s="173">
        <v>971</v>
      </c>
      <c r="I149" s="173">
        <v>211.14</v>
      </c>
      <c r="J149" s="173">
        <v>143.47</v>
      </c>
      <c r="K149" s="173">
        <v>156.54</v>
      </c>
      <c r="L149" s="173">
        <v>418.45</v>
      </c>
      <c r="M149" s="173">
        <v>315.70999999999998</v>
      </c>
      <c r="N149" s="173">
        <v>447.54</v>
      </c>
      <c r="O149" s="173">
        <v>120.05</v>
      </c>
      <c r="P149" s="173"/>
      <c r="Q149" s="173">
        <v>67.7</v>
      </c>
      <c r="R149" s="173">
        <v>61.15</v>
      </c>
      <c r="S149" s="173">
        <v>150.59</v>
      </c>
      <c r="T149" s="173">
        <v>46.57</v>
      </c>
      <c r="U149" s="173"/>
      <c r="V149" s="173">
        <v>325.75</v>
      </c>
      <c r="W149" s="173"/>
      <c r="X149" s="173"/>
      <c r="Y149" s="173"/>
      <c r="Z149" s="173"/>
      <c r="AA149" s="173"/>
    </row>
    <row r="150" spans="1:27" ht="15" customHeight="1" x14ac:dyDescent="0.3">
      <c r="A150" s="172">
        <v>46178</v>
      </c>
      <c r="B150" s="173">
        <v>251.44</v>
      </c>
      <c r="C150" s="173">
        <v>154.27000000000001</v>
      </c>
      <c r="D150" s="173">
        <v>1641.74</v>
      </c>
      <c r="E150" s="173">
        <v>385.73</v>
      </c>
      <c r="F150" s="173">
        <v>167.76</v>
      </c>
      <c r="G150" s="173">
        <v>192.92</v>
      </c>
      <c r="H150" s="173">
        <v>864.01</v>
      </c>
      <c r="I150" s="173">
        <v>205.1</v>
      </c>
      <c r="J150" s="173">
        <v>144.54</v>
      </c>
      <c r="K150" s="173">
        <v>135.53</v>
      </c>
      <c r="L150" s="173">
        <v>415.17</v>
      </c>
      <c r="M150" s="173">
        <v>300.51</v>
      </c>
      <c r="N150" s="173">
        <v>446.83</v>
      </c>
      <c r="O150" s="173">
        <v>119.7</v>
      </c>
      <c r="P150" s="173"/>
      <c r="Q150" s="173">
        <v>67.58</v>
      </c>
      <c r="R150" s="173">
        <v>58.9</v>
      </c>
      <c r="S150" s="173">
        <v>144.28</v>
      </c>
      <c r="T150" s="173">
        <v>46.05</v>
      </c>
      <c r="U150" s="173"/>
      <c r="V150" s="173">
        <v>322.97000000000003</v>
      </c>
      <c r="W150" s="173"/>
      <c r="X150" s="173"/>
      <c r="Y150" s="173"/>
      <c r="Z150" s="173"/>
      <c r="AA150" s="173"/>
    </row>
    <row r="151" spans="1:27" ht="15" customHeight="1" x14ac:dyDescent="0.3">
      <c r="A151" s="172">
        <v>46185</v>
      </c>
      <c r="B151" s="173">
        <v>204.02</v>
      </c>
      <c r="C151" s="173">
        <v>163.24</v>
      </c>
      <c r="D151" s="173">
        <v>1863.55</v>
      </c>
      <c r="E151" s="173">
        <v>382.07</v>
      </c>
      <c r="F151" s="173">
        <v>170.7</v>
      </c>
      <c r="G151" s="173">
        <v>254.54</v>
      </c>
      <c r="H151" s="173">
        <v>981.61</v>
      </c>
      <c r="I151" s="173">
        <v>205.19</v>
      </c>
      <c r="J151" s="173">
        <v>148.74</v>
      </c>
      <c r="K151" s="173">
        <v>127.99</v>
      </c>
      <c r="L151" s="173">
        <v>423.93</v>
      </c>
      <c r="M151" s="173">
        <v>302.87</v>
      </c>
      <c r="N151" s="173">
        <v>444.93</v>
      </c>
      <c r="O151" s="173">
        <v>124.38</v>
      </c>
      <c r="P151" s="173"/>
      <c r="Q151" s="173">
        <v>68.45</v>
      </c>
      <c r="R151" s="173">
        <v>59.86</v>
      </c>
      <c r="S151" s="173">
        <v>152.47999999999999</v>
      </c>
      <c r="T151" s="173">
        <v>46.29</v>
      </c>
      <c r="U151" s="173"/>
      <c r="V151" s="173">
        <v>321.79000000000002</v>
      </c>
      <c r="W151" s="173"/>
      <c r="X151" s="173"/>
      <c r="Y151" s="173"/>
      <c r="Z151" s="173"/>
      <c r="AA151" s="173"/>
    </row>
    <row r="152" spans="1:27" ht="15" customHeight="1" x14ac:dyDescent="0.3">
      <c r="A152" s="172">
        <v>46191</v>
      </c>
      <c r="B152" s="173">
        <v>195.16</v>
      </c>
      <c r="C152" s="173">
        <v>169.67</v>
      </c>
      <c r="D152" s="173">
        <v>1929.68</v>
      </c>
      <c r="E152" s="173">
        <v>411.35</v>
      </c>
      <c r="F152" s="173">
        <v>171.22</v>
      </c>
      <c r="G152" s="173">
        <v>259.56</v>
      </c>
      <c r="H152" s="173">
        <v>1133.99</v>
      </c>
      <c r="I152" s="173">
        <v>210.69</v>
      </c>
      <c r="J152" s="173">
        <v>140.54</v>
      </c>
      <c r="K152" s="173">
        <v>128.47</v>
      </c>
      <c r="L152" s="173">
        <v>462.12</v>
      </c>
      <c r="M152" s="173">
        <v>333.05</v>
      </c>
      <c r="N152" s="173">
        <v>451.63</v>
      </c>
      <c r="O152" s="173">
        <v>122</v>
      </c>
      <c r="P152" s="173"/>
      <c r="Q152" s="173"/>
      <c r="R152" s="173">
        <v>61.34</v>
      </c>
      <c r="S152" s="173">
        <v>159.9</v>
      </c>
      <c r="T152" s="173">
        <v>45.25</v>
      </c>
      <c r="U152" s="173"/>
      <c r="V152" s="173"/>
      <c r="W152" s="173"/>
      <c r="X152" s="173"/>
      <c r="Y152" s="173"/>
      <c r="Z152" s="173"/>
      <c r="AA152" s="173"/>
    </row>
    <row r="153" spans="1:27" ht="15" customHeight="1" x14ac:dyDescent="0.3">
      <c r="A153" s="172">
        <v>46199</v>
      </c>
      <c r="B153" s="173">
        <v>202.73</v>
      </c>
      <c r="C153" s="173">
        <v>157.6</v>
      </c>
      <c r="D153" s="173">
        <v>1794.62</v>
      </c>
      <c r="E153" s="173">
        <v>365.02</v>
      </c>
      <c r="F153" s="173">
        <v>175.27</v>
      </c>
      <c r="G153" s="173">
        <v>248.64</v>
      </c>
      <c r="H153" s="173">
        <v>1132.33</v>
      </c>
      <c r="I153" s="173">
        <v>192.53</v>
      </c>
      <c r="J153" s="173">
        <v>139.97</v>
      </c>
      <c r="K153" s="173">
        <v>112.93</v>
      </c>
      <c r="L153" s="173">
        <v>432.35</v>
      </c>
      <c r="M153" s="173">
        <v>303.95</v>
      </c>
      <c r="N153" s="173">
        <v>491.34</v>
      </c>
      <c r="O153" s="173">
        <v>124.94</v>
      </c>
      <c r="P153" s="173"/>
      <c r="Q153" s="174">
        <v>67.08</v>
      </c>
      <c r="R153" s="173">
        <v>59.42</v>
      </c>
      <c r="S153" s="173">
        <v>154.19999999999999</v>
      </c>
      <c r="T153" s="173">
        <v>46.19</v>
      </c>
      <c r="U153" s="173"/>
      <c r="V153" s="173">
        <v>335.61</v>
      </c>
      <c r="W153" s="173"/>
      <c r="X153" s="173"/>
      <c r="Y153" s="173"/>
      <c r="Z153" s="173"/>
      <c r="AA153" s="173"/>
    </row>
    <row r="154" spans="1:27" ht="15" customHeight="1" x14ac:dyDescent="0.3">
      <c r="A154" s="172">
        <v>46205</v>
      </c>
      <c r="B154" s="173">
        <v>219.72</v>
      </c>
      <c r="C154" s="173">
        <v>159.99</v>
      </c>
      <c r="D154" s="173">
        <v>1769.32</v>
      </c>
      <c r="E154" s="173">
        <v>360.45</v>
      </c>
      <c r="F154" s="173">
        <v>193.98</v>
      </c>
      <c r="G154" s="173">
        <v>235.55</v>
      </c>
      <c r="H154" s="173">
        <v>975.56</v>
      </c>
      <c r="I154" s="173">
        <v>194.83</v>
      </c>
      <c r="J154" s="173">
        <v>139.43</v>
      </c>
      <c r="K154" s="173">
        <v>129.30000000000001</v>
      </c>
      <c r="L154" s="173">
        <v>434.16</v>
      </c>
      <c r="M154" s="173">
        <v>300.52999999999997</v>
      </c>
      <c r="N154" s="173">
        <v>528.04</v>
      </c>
      <c r="O154" s="173">
        <v>123.51</v>
      </c>
      <c r="P154" s="173"/>
      <c r="Q154" s="173"/>
      <c r="R154" s="173">
        <v>59.39</v>
      </c>
      <c r="S154" s="173">
        <v>150.83000000000001</v>
      </c>
      <c r="T154" s="173">
        <v>47</v>
      </c>
      <c r="U154" s="173"/>
      <c r="V154" s="173"/>
      <c r="W154" s="173"/>
      <c r="X154" s="173"/>
      <c r="Y154" s="173"/>
      <c r="Z154" s="173"/>
      <c r="AA154" s="173"/>
    </row>
    <row r="155" spans="1:27" ht="15" customHeight="1" x14ac:dyDescent="0.3">
      <c r="A155" s="172">
        <v>46213</v>
      </c>
      <c r="B155" s="173">
        <v>223.64</v>
      </c>
      <c r="C155" s="173">
        <v>186.96</v>
      </c>
      <c r="D155" s="173">
        <v>1797.32</v>
      </c>
      <c r="E155" s="173">
        <v>399.97</v>
      </c>
      <c r="F155" s="173">
        <v>187.18</v>
      </c>
      <c r="G155" s="173">
        <v>231.52</v>
      </c>
      <c r="H155" s="173">
        <v>979.3</v>
      </c>
      <c r="I155" s="173">
        <v>210.96</v>
      </c>
      <c r="J155" s="173">
        <v>140.87</v>
      </c>
      <c r="K155" s="173">
        <v>126.79</v>
      </c>
      <c r="L155" s="173">
        <v>434.11</v>
      </c>
      <c r="M155" s="173">
        <v>318.86</v>
      </c>
      <c r="N155" s="173">
        <v>485.39</v>
      </c>
      <c r="O155" s="173">
        <v>123.95</v>
      </c>
      <c r="P155" s="173"/>
      <c r="Q155" s="174">
        <v>68.33</v>
      </c>
      <c r="R155" s="173">
        <v>60.51</v>
      </c>
      <c r="S155" s="173">
        <v>153.75</v>
      </c>
      <c r="T155" s="173">
        <v>47.39</v>
      </c>
      <c r="U155" s="173"/>
      <c r="V155" s="173">
        <v>348.32</v>
      </c>
      <c r="W155" s="173"/>
      <c r="X155" s="173"/>
      <c r="Y155" s="173"/>
      <c r="Z155" s="173"/>
      <c r="AA155" s="173"/>
    </row>
    <row r="156" spans="1:27" ht="15" customHeight="1" x14ac:dyDescent="0.3">
      <c r="A156" s="172">
        <v>46220</v>
      </c>
      <c r="B156" s="173">
        <v>237.25</v>
      </c>
      <c r="C156" s="173">
        <v>168.61</v>
      </c>
      <c r="D156" s="173">
        <v>1747.58</v>
      </c>
      <c r="E156" s="173">
        <v>370.83</v>
      </c>
      <c r="F156" s="173">
        <v>203.08</v>
      </c>
      <c r="G156" s="173">
        <v>212.75</v>
      </c>
      <c r="H156" s="173">
        <v>848.95</v>
      </c>
      <c r="I156" s="173">
        <v>202.81</v>
      </c>
      <c r="J156" s="173">
        <v>149.79</v>
      </c>
      <c r="K156" s="173">
        <v>132.38</v>
      </c>
      <c r="L156" s="173">
        <v>398.37</v>
      </c>
      <c r="M156" s="173">
        <v>289.56</v>
      </c>
      <c r="N156" s="173">
        <v>485.65</v>
      </c>
      <c r="O156" s="173">
        <v>125.35</v>
      </c>
      <c r="P156" s="173"/>
      <c r="Q156" s="173">
        <v>67.7</v>
      </c>
      <c r="R156" s="173">
        <v>58.51</v>
      </c>
      <c r="S156" s="173">
        <v>143.88999999999999</v>
      </c>
      <c r="T156" s="173">
        <v>47.8</v>
      </c>
      <c r="U156" s="173"/>
      <c r="V156" s="173">
        <v>357.9</v>
      </c>
      <c r="W156" s="173"/>
      <c r="X156" s="173"/>
      <c r="Y156" s="173"/>
      <c r="Z156" s="173"/>
      <c r="AA156" s="173"/>
    </row>
    <row r="157" spans="1:27" ht="15" customHeight="1" x14ac:dyDescent="0.3">
      <c r="A157" s="172">
        <v>46227</v>
      </c>
      <c r="B157" s="173">
        <v>225.11</v>
      </c>
      <c r="C157" s="173">
        <v>173.99</v>
      </c>
      <c r="D157" s="173">
        <v>1757.09</v>
      </c>
      <c r="E157" s="173">
        <v>381.92</v>
      </c>
      <c r="F157" s="173">
        <v>183.28</v>
      </c>
      <c r="G157" s="173">
        <v>210.52</v>
      </c>
      <c r="H157" s="173">
        <v>920.95</v>
      </c>
      <c r="I157" s="173">
        <v>206.84</v>
      </c>
      <c r="J157" s="173">
        <v>147.63</v>
      </c>
      <c r="K157" s="173">
        <v>122.92</v>
      </c>
      <c r="L157" s="173">
        <v>403.41</v>
      </c>
      <c r="M157" s="173">
        <v>290.36</v>
      </c>
      <c r="N157" s="173">
        <v>477.36</v>
      </c>
      <c r="O157" s="173">
        <v>125.28</v>
      </c>
      <c r="P157" s="173"/>
      <c r="Q157" s="173">
        <v>67.58</v>
      </c>
      <c r="R157" s="173">
        <v>57.96</v>
      </c>
      <c r="S157" s="173">
        <v>146.51</v>
      </c>
      <c r="T157" s="173">
        <v>48.14</v>
      </c>
      <c r="U157" s="173"/>
      <c r="V157" s="173">
        <v>355.08</v>
      </c>
      <c r="W157" s="173"/>
      <c r="X157" s="173"/>
      <c r="Y157" s="173"/>
      <c r="Z157" s="173"/>
      <c r="AA157" s="173"/>
    </row>
    <row r="158" spans="1:27" ht="15" customHeight="1" x14ac:dyDescent="0.3">
      <c r="A158" s="172">
        <v>46234</v>
      </c>
      <c r="B158" s="173">
        <v>250.41</v>
      </c>
      <c r="C158" s="173">
        <v>180.35</v>
      </c>
      <c r="D158" s="173">
        <v>1629</v>
      </c>
      <c r="E158" s="173">
        <v>389.28</v>
      </c>
      <c r="F158" s="173">
        <v>190.86</v>
      </c>
      <c r="G158" s="173">
        <v>182.82</v>
      </c>
      <c r="H158" s="173">
        <v>823.03</v>
      </c>
      <c r="I158" s="173">
        <v>200.75</v>
      </c>
      <c r="J158" s="173">
        <v>144.61000000000001</v>
      </c>
      <c r="K158" s="173">
        <v>123.06</v>
      </c>
      <c r="L158" s="173">
        <v>404.25</v>
      </c>
      <c r="M158" s="173">
        <v>241.57</v>
      </c>
      <c r="N158" s="173">
        <v>477.1</v>
      </c>
      <c r="O158" s="173">
        <v>125.28</v>
      </c>
      <c r="P158" s="173"/>
      <c r="Q158" s="173">
        <v>68.45</v>
      </c>
      <c r="R158" s="173">
        <v>58.25</v>
      </c>
      <c r="S158" s="173">
        <v>143.83000000000001</v>
      </c>
      <c r="T158" s="173">
        <v>49.74</v>
      </c>
      <c r="U158" s="173"/>
      <c r="V158" s="173">
        <v>365.45</v>
      </c>
      <c r="W158" s="173"/>
      <c r="X158" s="173"/>
      <c r="Y158" s="173"/>
      <c r="Z158" s="173"/>
      <c r="AA158" s="173"/>
    </row>
    <row r="159" spans="1:27" ht="15" customHeight="1" x14ac:dyDescent="0.3">
      <c r="A159" s="172">
        <v>46241</v>
      </c>
      <c r="B159" s="173">
        <v>265.20999999999998</v>
      </c>
      <c r="C159" s="173">
        <v>188.67</v>
      </c>
      <c r="D159" s="173">
        <v>1740.99</v>
      </c>
      <c r="E159" s="173">
        <v>427.76</v>
      </c>
      <c r="F159" s="173">
        <v>214.42</v>
      </c>
      <c r="G159" s="173">
        <v>197.89</v>
      </c>
      <c r="H159" s="173">
        <v>877.57</v>
      </c>
      <c r="I159" s="173">
        <v>223.96</v>
      </c>
      <c r="J159" s="173">
        <v>140.16</v>
      </c>
      <c r="K159" s="173">
        <v>172.01</v>
      </c>
      <c r="L159" s="173">
        <v>420.04</v>
      </c>
      <c r="M159" s="173">
        <v>272.39999999999998</v>
      </c>
      <c r="N159" s="173">
        <v>496.07</v>
      </c>
      <c r="O159" s="173">
        <v>126.88</v>
      </c>
      <c r="P159" s="173"/>
      <c r="Q159" s="173">
        <v>69.86</v>
      </c>
      <c r="R159" s="173">
        <v>59.74</v>
      </c>
      <c r="S159" s="173">
        <v>149.69</v>
      </c>
      <c r="T159" s="173">
        <v>51.46</v>
      </c>
      <c r="U159" s="173"/>
      <c r="V159" s="173">
        <v>361.83</v>
      </c>
      <c r="W159" s="173"/>
      <c r="X159" s="173"/>
      <c r="Y159" s="173"/>
      <c r="Z159" s="173"/>
      <c r="AA159" s="173"/>
    </row>
    <row r="160" spans="1:27" ht="15" customHeight="1" x14ac:dyDescent="0.3">
      <c r="A160" s="172">
        <v>46248</v>
      </c>
      <c r="B160" s="173">
        <v>264.02</v>
      </c>
      <c r="C160" s="173">
        <v>198.82</v>
      </c>
      <c r="D160" s="173">
        <v>1844.08</v>
      </c>
      <c r="E160" s="173">
        <v>392.99</v>
      </c>
      <c r="F160" s="173">
        <v>216.95</v>
      </c>
      <c r="G160" s="173">
        <v>203.49</v>
      </c>
      <c r="H160" s="173">
        <v>971.66</v>
      </c>
      <c r="I160" s="173">
        <v>225.16</v>
      </c>
      <c r="J160" s="173">
        <v>141.03</v>
      </c>
      <c r="K160" s="173">
        <v>174.04</v>
      </c>
      <c r="L160" s="173">
        <v>426.35</v>
      </c>
      <c r="M160" s="173">
        <v>293.83999999999997</v>
      </c>
      <c r="N160" s="173">
        <v>505.75</v>
      </c>
      <c r="O160" s="173">
        <v>128.72999999999999</v>
      </c>
      <c r="P160" s="173"/>
      <c r="Q160" s="173">
        <v>70.150000000000006</v>
      </c>
      <c r="R160" s="173">
        <v>60.53</v>
      </c>
      <c r="S160" s="173">
        <v>153.31</v>
      </c>
      <c r="T160" s="173">
        <v>53.71</v>
      </c>
      <c r="U160" s="173"/>
      <c r="V160" s="173">
        <v>364.15</v>
      </c>
      <c r="W160" s="173"/>
      <c r="X160" s="173"/>
      <c r="Y160" s="173"/>
      <c r="Z160" s="173"/>
      <c r="AA160" s="173"/>
    </row>
    <row r="161" spans="1:27" ht="15" customHeight="1" x14ac:dyDescent="0.3">
      <c r="A161" s="172">
        <v>46255</v>
      </c>
      <c r="B161" s="173">
        <v>275.3</v>
      </c>
      <c r="C161" s="173">
        <v>188.65</v>
      </c>
      <c r="D161" s="173">
        <v>1763.76</v>
      </c>
      <c r="E161" s="173">
        <v>368.45</v>
      </c>
      <c r="F161" s="173">
        <v>191.95</v>
      </c>
      <c r="G161" s="173">
        <v>183.99</v>
      </c>
      <c r="H161" s="173">
        <v>966.78</v>
      </c>
      <c r="I161" s="173">
        <v>214.72</v>
      </c>
      <c r="J161" s="173">
        <v>141.80000000000001</v>
      </c>
      <c r="K161" s="173">
        <v>179.94</v>
      </c>
      <c r="L161" s="173">
        <v>418.95</v>
      </c>
      <c r="M161" s="173">
        <v>261.95</v>
      </c>
      <c r="N161" s="173">
        <v>548.04999999999995</v>
      </c>
      <c r="O161" s="173">
        <v>126.45</v>
      </c>
      <c r="P161" s="173"/>
      <c r="Q161" s="173">
        <v>69.41</v>
      </c>
      <c r="R161" s="173">
        <v>59.84</v>
      </c>
      <c r="S161" s="173">
        <v>148.72999999999999</v>
      </c>
      <c r="T161" s="173">
        <v>55.45</v>
      </c>
      <c r="U161" s="173"/>
      <c r="V161" s="173">
        <v>371.04</v>
      </c>
      <c r="W161" s="173"/>
      <c r="X161" s="173"/>
      <c r="Y161" s="173"/>
      <c r="Z161" s="173"/>
      <c r="AA161" s="173"/>
    </row>
    <row r="162" spans="1:27" ht="15" customHeight="1" x14ac:dyDescent="0.3">
      <c r="A162" s="172">
        <v>46262</v>
      </c>
      <c r="B162" s="173">
        <v>291.52</v>
      </c>
      <c r="C162" s="173">
        <v>195.38</v>
      </c>
      <c r="D162" s="173">
        <v>1696.16</v>
      </c>
      <c r="E162" s="173">
        <v>368.79</v>
      </c>
      <c r="F162" s="173">
        <v>218.4</v>
      </c>
      <c r="G162" s="173">
        <v>175.54</v>
      </c>
      <c r="H162" s="173">
        <v>932.86</v>
      </c>
      <c r="I162" s="173">
        <v>217.55</v>
      </c>
      <c r="J162" s="173">
        <v>140.69999999999999</v>
      </c>
      <c r="K162" s="173">
        <v>186.29</v>
      </c>
      <c r="L162" s="173">
        <v>417.52</v>
      </c>
      <c r="M162" s="173">
        <v>257.08</v>
      </c>
      <c r="N162" s="173">
        <v>541.69000000000005</v>
      </c>
      <c r="O162" s="173">
        <v>125.57</v>
      </c>
      <c r="P162" s="173"/>
      <c r="Q162" s="173">
        <v>69.69</v>
      </c>
      <c r="R162" s="173">
        <v>59.47</v>
      </c>
      <c r="S162" s="173">
        <v>146.78</v>
      </c>
      <c r="T162" s="173">
        <v>55.66</v>
      </c>
      <c r="U162" s="173"/>
      <c r="V162" s="173">
        <v>381.6</v>
      </c>
      <c r="W162" s="173"/>
      <c r="X162" s="173"/>
      <c r="Y162" s="173"/>
      <c r="Z162" s="173"/>
      <c r="AA162" s="173"/>
    </row>
    <row r="163" spans="1:27" ht="15" customHeight="1" x14ac:dyDescent="0.3">
      <c r="A163" s="172">
        <v>46269</v>
      </c>
      <c r="B163" s="173">
        <v>266.51</v>
      </c>
      <c r="C163" s="173">
        <v>193.78</v>
      </c>
      <c r="D163" s="173">
        <v>1714.88</v>
      </c>
      <c r="E163" s="173">
        <v>357.9</v>
      </c>
      <c r="F163" s="173">
        <v>213.1</v>
      </c>
      <c r="G163" s="173">
        <v>185.6</v>
      </c>
      <c r="H163" s="173">
        <v>1016.59</v>
      </c>
      <c r="I163" s="173">
        <v>230.36</v>
      </c>
      <c r="J163" s="173">
        <v>137.34</v>
      </c>
      <c r="K163" s="173">
        <v>174.33</v>
      </c>
      <c r="L163" s="173">
        <v>428.91</v>
      </c>
      <c r="M163" s="173">
        <v>280.52999999999997</v>
      </c>
      <c r="N163" s="173">
        <v>546.12</v>
      </c>
      <c r="O163" s="173">
        <v>126.93</v>
      </c>
      <c r="P163" s="173"/>
      <c r="Q163" s="173">
        <v>69.72</v>
      </c>
      <c r="R163" s="173">
        <v>59.87</v>
      </c>
      <c r="S163" s="173">
        <v>149.72</v>
      </c>
      <c r="T163" s="173">
        <v>55.29</v>
      </c>
      <c r="U163" s="173"/>
      <c r="V163" s="173">
        <v>375.07</v>
      </c>
      <c r="W163" s="173"/>
      <c r="X163" s="173"/>
      <c r="Y163" s="173"/>
      <c r="Z163" s="173"/>
      <c r="AA163" s="173"/>
    </row>
    <row r="164" spans="1:27" ht="15" customHeight="1" thickBot="1" x14ac:dyDescent="0.35"/>
    <row r="165" spans="1:27" ht="15.6" x14ac:dyDescent="0.3">
      <c r="A165" s="178">
        <f>COUNT(A3:A163)</f>
        <v>161</v>
      </c>
      <c r="B165" s="178" t="s">
        <v>727</v>
      </c>
    </row>
  </sheetData>
  <pageMargins left="0.75" right="0.75" top="1" bottom="1" header="0.511811023622047" footer="0.51180555555555596"/>
  <pageSetup paperSize="9" orientation="portrait" horizontalDpi="300" verticalDpi="300"/>
  <headerFooter>
    <oddFooter>&amp;L&amp;"Arial Narrow,Regular"&amp;8 &amp;F&amp;C&amp;"Arial Narrow,Regular"&amp;8 &amp;A - &amp;D &amp;T&amp;R&amp;"Arial,Regular" &amp;P /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49"/>
  <sheetViews>
    <sheetView showGridLines="0" zoomScaleNormal="100" workbookViewId="0">
      <pane ySplit="1" topLeftCell="A13" activePane="bottomLeft" state="frozen"/>
      <selection pane="bottomLeft" activeCell="H53" sqref="H53"/>
    </sheetView>
  </sheetViews>
  <sheetFormatPr defaultColWidth="8.6640625" defaultRowHeight="14.4" outlineLevelRow="1" x14ac:dyDescent="0.3"/>
  <cols>
    <col min="1" max="1" width="10" customWidth="1"/>
    <col min="2" max="2" width="18" customWidth="1"/>
    <col min="3" max="3" width="12" customWidth="1"/>
    <col min="5" max="5" width="10.21875" customWidth="1"/>
    <col min="6" max="6" width="13" customWidth="1"/>
    <col min="7" max="8" width="9" customWidth="1"/>
    <col min="9" max="9" width="7.33203125" customWidth="1"/>
    <col min="10" max="10" width="8" customWidth="1"/>
  </cols>
  <sheetData>
    <row r="1" spans="1:10" ht="31.5" customHeight="1" x14ac:dyDescent="0.3">
      <c r="A1" s="49" t="s">
        <v>76</v>
      </c>
      <c r="B1" s="49" t="s">
        <v>270</v>
      </c>
      <c r="C1" s="49" t="s">
        <v>271</v>
      </c>
      <c r="D1" s="50" t="s">
        <v>272</v>
      </c>
      <c r="E1" s="50" t="s">
        <v>273</v>
      </c>
      <c r="F1" s="49" t="s">
        <v>274</v>
      </c>
      <c r="G1" s="49" t="s">
        <v>275</v>
      </c>
      <c r="H1" s="49" t="s">
        <v>276</v>
      </c>
      <c r="I1" s="49" t="s">
        <v>277</v>
      </c>
      <c r="J1" s="49" t="s">
        <v>278</v>
      </c>
    </row>
    <row r="2" spans="1:10" ht="15" customHeight="1" x14ac:dyDescent="0.3">
      <c r="A2" s="51" t="str">
        <f>IF(Scoring!A3="","",Scoring!A3)</f>
        <v>MU</v>
      </c>
      <c r="B2" s="52" t="str">
        <f>IF(Scoring!B3="","",Scoring!B3)</f>
        <v>Micron Technology</v>
      </c>
      <c r="C2" s="53">
        <f>IF(Scoring!C3="","",Scoring!C3)</f>
        <v>46240</v>
      </c>
      <c r="D2" s="54">
        <f>IF(Scoring!N3="","",Scoring!N3)</f>
        <v>3.6428571428571428</v>
      </c>
      <c r="E2" s="55">
        <f>IF(Scoring!AF3="","",Scoring!AF3)</f>
        <v>71.8</v>
      </c>
      <c r="F2" s="35" t="str">
        <f>IF(Scoring!AG3&lt;&gt;"",Scoring!AG3,IF(Scoring!AH3="OK","PENDING",""))</f>
        <v>BUY</v>
      </c>
      <c r="G2" s="35" t="str">
        <f>IF(Scoring!AH3="","",Scoring!AH3)</f>
        <v>OK</v>
      </c>
      <c r="H2" s="35" t="str">
        <f>IF(Scoring!AI3="","",Scoring!AI3)</f>
        <v>OK</v>
      </c>
      <c r="I2" s="35" t="str">
        <f>IF(Scoring!AJ3="","",Scoring!AJ3)</f>
        <v>OK</v>
      </c>
      <c r="J2" s="35" t="str">
        <f>IF(Scoring!AK3="","",Scoring!AK3)</f>
        <v>OK</v>
      </c>
    </row>
    <row r="3" spans="1:10" ht="15" customHeight="1" x14ac:dyDescent="0.3">
      <c r="A3" s="51" t="str">
        <f>IF(Scoring!A4="","",Scoring!A4)</f>
        <v>AVGO</v>
      </c>
      <c r="B3" s="52" t="str">
        <f>IF(Scoring!B4="","",Scoring!B4)</f>
        <v>Broadcom Inc.</v>
      </c>
      <c r="C3" s="53">
        <f>IF(Scoring!C4="","",Scoring!C4)</f>
        <v>46240</v>
      </c>
      <c r="D3" s="54">
        <f>IF(Scoring!N4="","",Scoring!N4)</f>
        <v>4.0714285714285721</v>
      </c>
      <c r="E3" s="55">
        <f>IF(Scoring!AF4="","",Scoring!AF4)</f>
        <v>80.8</v>
      </c>
      <c r="F3" s="35" t="str">
        <f>IF(Scoring!AG4&lt;&gt;"",Scoring!AG4,IF(Scoring!AH4="OK","PENDING",""))</f>
        <v>STRONG BUY</v>
      </c>
      <c r="G3" s="35" t="str">
        <f>IF(Scoring!AH4="","",Scoring!AH4)</f>
        <v>OK</v>
      </c>
      <c r="H3" s="35" t="str">
        <f>IF(Scoring!AI4="","",Scoring!AI4)</f>
        <v>OK</v>
      </c>
      <c r="I3" s="35" t="str">
        <f>IF(Scoring!AJ4="","",Scoring!AJ4)</f>
        <v>OK</v>
      </c>
      <c r="J3" s="35" t="str">
        <f>IF(Scoring!AK4="","",Scoring!AK4)</f>
        <v>OK</v>
      </c>
    </row>
    <row r="4" spans="1:10" ht="15" customHeight="1" x14ac:dyDescent="0.3">
      <c r="A4" s="51" t="str">
        <f>IF(Scoring!A5="","",Scoring!A5)</f>
        <v>PLTR</v>
      </c>
      <c r="B4" s="52" t="str">
        <f>IF(Scoring!B5="","",Scoring!B5)</f>
        <v>Palantir Technologies</v>
      </c>
      <c r="C4" s="53">
        <f>IF(Scoring!C5="","",Scoring!C5)</f>
        <v>46240</v>
      </c>
      <c r="D4" s="54">
        <f>IF(Scoring!N5="","",Scoring!N5)</f>
        <v>4</v>
      </c>
      <c r="E4" s="55">
        <f>IF(Scoring!AF5="","",Scoring!AF5)</f>
        <v>75.199999999999989</v>
      </c>
      <c r="F4" s="35" t="str">
        <f>IF(Scoring!AG5&lt;&gt;"",Scoring!AG5,IF(Scoring!AH5="OK","PENDING",""))</f>
        <v>BUY</v>
      </c>
      <c r="G4" s="35" t="str">
        <f>IF(Scoring!AH5="","",Scoring!AH5)</f>
        <v>OK</v>
      </c>
      <c r="H4" s="35" t="str">
        <f>IF(Scoring!AI5="","",Scoring!AI5)</f>
        <v>OK</v>
      </c>
      <c r="I4" s="35" t="str">
        <f>IF(Scoring!AJ5="","",Scoring!AJ5)</f>
        <v>OK</v>
      </c>
      <c r="J4" s="35" t="str">
        <f>IF(Scoring!AK5="","",Scoring!AK5)</f>
        <v>OK</v>
      </c>
    </row>
    <row r="5" spans="1:10" ht="15" customHeight="1" x14ac:dyDescent="0.3">
      <c r="A5" s="51" t="str">
        <f>IF(Scoring!A6="","",Scoring!A6)</f>
        <v>NVDA</v>
      </c>
      <c r="B5" s="52" t="str">
        <f>IF(Scoring!B6="","",Scoring!B6)</f>
        <v>NVIDIA Corporation</v>
      </c>
      <c r="C5" s="53">
        <f>IF(Scoring!C6="","",Scoring!C6)</f>
        <v>46240</v>
      </c>
      <c r="D5" s="54">
        <f>IF(Scoring!N6="","",Scoring!N6)</f>
        <v>4.5714285714285712</v>
      </c>
      <c r="E5" s="55">
        <f>IF(Scoring!AF6="","",Scoring!AF6)</f>
        <v>93.199999999999989</v>
      </c>
      <c r="F5" s="35" t="str">
        <f>IF(Scoring!AG6&lt;&gt;"",Scoring!AG6,IF(Scoring!AH6="OK","PENDING",""))</f>
        <v>STRONG BUY</v>
      </c>
      <c r="G5" s="35" t="str">
        <f>IF(Scoring!AH6="","",Scoring!AH6)</f>
        <v>OK</v>
      </c>
      <c r="H5" s="35" t="str">
        <f>IF(Scoring!AI6="","",Scoring!AI6)</f>
        <v>OK</v>
      </c>
      <c r="I5" s="35" t="str">
        <f>IF(Scoring!AJ6="","",Scoring!AJ6)</f>
        <v>OK</v>
      </c>
      <c r="J5" s="35" t="str">
        <f>IF(Scoring!AK6="","",Scoring!AK6)</f>
        <v>OK</v>
      </c>
    </row>
    <row r="6" spans="1:10" ht="15" customHeight="1" x14ac:dyDescent="0.3">
      <c r="A6" s="51" t="str">
        <f>IF(Scoring!A7="","",Scoring!A7)</f>
        <v>VRTX</v>
      </c>
      <c r="B6" s="52" t="str">
        <f>IF(Scoring!B7="","",Scoring!B7)</f>
        <v>Vertex Pharmaceuticals</v>
      </c>
      <c r="C6" s="53">
        <f>IF(Scoring!C7="","",Scoring!C7)</f>
        <v>46241</v>
      </c>
      <c r="D6" s="54">
        <f>IF(Scoring!N7="","",Scoring!N7)</f>
        <v>3.785714285714286</v>
      </c>
      <c r="E6" s="55">
        <f>IF(Scoring!AF7="","",Scoring!AF7)</f>
        <v>75.599999999999994</v>
      </c>
      <c r="F6" s="35" t="str">
        <f>IF(Scoring!AG7&lt;&gt;"",Scoring!AG7,IF(Scoring!AH7="OK","PENDING",""))</f>
        <v>BUY</v>
      </c>
      <c r="G6" s="35" t="str">
        <f>IF(Scoring!AH7="","",Scoring!AH7)</f>
        <v>OK</v>
      </c>
      <c r="H6" s="35" t="str">
        <f>IF(Scoring!AI7="","",Scoring!AI7)</f>
        <v>OK</v>
      </c>
      <c r="I6" s="35" t="str">
        <f>IF(Scoring!AJ7="","",Scoring!AJ7)</f>
        <v>OK</v>
      </c>
      <c r="J6" s="35" t="str">
        <f>IF(Scoring!AK7="","",Scoring!AK7)</f>
        <v>OK</v>
      </c>
    </row>
    <row r="7" spans="1:10" ht="15" customHeight="1" x14ac:dyDescent="0.3">
      <c r="A7" s="51" t="str">
        <f>IF(Scoring!A8="","",Scoring!A8)</f>
        <v>PLD</v>
      </c>
      <c r="B7" s="52" t="str">
        <f>IF(Scoring!B8="","",Scoring!B8)</f>
        <v>Prologis Inc. (REIT-adapted)</v>
      </c>
      <c r="C7" s="53">
        <f>IF(Scoring!C8="","",Scoring!C8)</f>
        <v>46240</v>
      </c>
      <c r="D7" s="54">
        <f>IF(Scoring!N8="","",Scoring!N8)</f>
        <v>4.3571428571428568</v>
      </c>
      <c r="E7" s="55">
        <f>IF(Scoring!AF8="","",Scoring!AF8)</f>
        <v>82.000000000000014</v>
      </c>
      <c r="F7" s="35" t="str">
        <f>IF(Scoring!AG8&lt;&gt;"",Scoring!AG8,IF(Scoring!AH8="OK","PENDING",""))</f>
        <v>STRONG BUY</v>
      </c>
      <c r="G7" s="35" t="str">
        <f>IF(Scoring!AH8="","",Scoring!AH8)</f>
        <v>OK</v>
      </c>
      <c r="H7" s="35" t="str">
        <f>IF(Scoring!AI8="","",Scoring!AI8)</f>
        <v>OK</v>
      </c>
      <c r="I7" s="35" t="str">
        <f>IF(Scoring!AJ8="","",Scoring!AJ8)</f>
        <v>OK</v>
      </c>
      <c r="J7" s="35" t="str">
        <f>IF(Scoring!AK8="","",Scoring!AK8)</f>
        <v>OK</v>
      </c>
    </row>
    <row r="8" spans="1:10" ht="15" hidden="1" customHeight="1" outlineLevel="1" x14ac:dyDescent="0.3">
      <c r="A8" s="51" t="str">
        <f>IF(Scoring!A9="","",Scoring!A9)</f>
        <v>SFM</v>
      </c>
      <c r="B8" s="52" t="str">
        <f>IF(Scoring!B9="","",Scoring!B9)</f>
        <v>Sprouts Farmers Market</v>
      </c>
      <c r="C8" s="53">
        <f>IF(Scoring!C9="","",Scoring!C9)</f>
        <v>46240</v>
      </c>
      <c r="D8" s="54">
        <f>IF(Scoring!N9="","",Scoring!N9)</f>
        <v>1.8571428571428574</v>
      </c>
      <c r="E8" s="55" t="str">
        <f>IF(Scoring!AF9="","",Scoring!AF9)</f>
        <v/>
      </c>
      <c r="F8" s="35" t="str">
        <f>IF(Scoring!AG9&lt;&gt;"",Scoring!AG9,IF(Scoring!AH9="OK","PENDING",""))</f>
        <v/>
      </c>
      <c r="G8" s="35" t="str">
        <f>IF(Scoring!AH9="","",Scoring!AH9)</f>
        <v>FAIL</v>
      </c>
      <c r="H8" s="35" t="str">
        <f>IF(Scoring!AI9="","",Scoring!AI9)</f>
        <v>REVIEW</v>
      </c>
      <c r="I8" s="35" t="str">
        <f>IF(Scoring!AJ9="","",Scoring!AJ9)</f>
        <v>AVOID</v>
      </c>
      <c r="J8" s="35" t="str">
        <f>IF(Scoring!AK9="","",Scoring!AK9)</f>
        <v>OK</v>
      </c>
    </row>
    <row r="9" spans="1:10" ht="15" hidden="1" customHeight="1" outlineLevel="1" x14ac:dyDescent="0.3">
      <c r="A9" s="51" t="str">
        <f>IF(Scoring!A10="","",Scoring!A10)</f>
        <v>ONON</v>
      </c>
      <c r="B9" s="52" t="str">
        <f>IF(Scoring!B10="","",Scoring!B10)</f>
        <v>On Holding AG</v>
      </c>
      <c r="C9" s="53">
        <f>IF(Scoring!C10="","",Scoring!C10)</f>
        <v>46240</v>
      </c>
      <c r="D9" s="54">
        <f>IF(Scoring!N10="","",Scoring!N10)</f>
        <v>2.6428571428571428</v>
      </c>
      <c r="E9" s="55" t="str">
        <f>IF(Scoring!AF10="","",Scoring!AF10)</f>
        <v/>
      </c>
      <c r="F9" s="35" t="str">
        <f>IF(Scoring!AG10&lt;&gt;"",Scoring!AG10,IF(Scoring!AH10="OK","PENDING",""))</f>
        <v/>
      </c>
      <c r="G9" s="35" t="str">
        <f>IF(Scoring!AH10="","",Scoring!AH10)</f>
        <v>FAIL</v>
      </c>
      <c r="H9" s="35" t="str">
        <f>IF(Scoring!AI10="","",Scoring!AI10)</f>
        <v>OK</v>
      </c>
      <c r="I9" s="35" t="str">
        <f>IF(Scoring!AJ10="","",Scoring!AJ10)</f>
        <v>AVOID</v>
      </c>
      <c r="J9" s="35" t="str">
        <f>IF(Scoring!AK10="","",Scoring!AK10)</f>
        <v>OK</v>
      </c>
    </row>
    <row r="10" spans="1:10" ht="15" hidden="1" customHeight="1" outlineLevel="1" x14ac:dyDescent="0.3">
      <c r="A10" s="51" t="str">
        <f>IF(Scoring!A11="","",Scoring!A11)</f>
        <v>TSLA</v>
      </c>
      <c r="B10" s="52" t="str">
        <f>IF(Scoring!B11="","",Scoring!B11)</f>
        <v>Tesla Inc.</v>
      </c>
      <c r="C10" s="53">
        <f>IF(Scoring!C11="","",Scoring!C11)</f>
        <v>46240</v>
      </c>
      <c r="D10" s="54">
        <f>IF(Scoring!N11="","",Scoring!N11)</f>
        <v>1.9285714285714288</v>
      </c>
      <c r="E10" s="55" t="str">
        <f>IF(Scoring!AF11="","",Scoring!AF11)</f>
        <v/>
      </c>
      <c r="F10" s="35" t="str">
        <f>IF(Scoring!AG11&lt;&gt;"",Scoring!AG11,IF(Scoring!AH11="OK","PENDING",""))</f>
        <v/>
      </c>
      <c r="G10" s="35" t="str">
        <f>IF(Scoring!AH11="","",Scoring!AH11)</f>
        <v>FAIL</v>
      </c>
      <c r="H10" s="35" t="str">
        <f>IF(Scoring!AI11="","",Scoring!AI11)</f>
        <v>REVIEW</v>
      </c>
      <c r="I10" s="35" t="str">
        <f>IF(Scoring!AJ11="","",Scoring!AJ11)</f>
        <v>AVOID</v>
      </c>
      <c r="J10" s="35" t="str">
        <f>IF(Scoring!AK11="","",Scoring!AK11)</f>
        <v>OK</v>
      </c>
    </row>
    <row r="11" spans="1:10" ht="15" customHeight="1" collapsed="1" x14ac:dyDescent="0.3">
      <c r="A11" s="51" t="str">
        <f>IF(Scoring!A12="","",Scoring!A12)</f>
        <v>ADBE</v>
      </c>
      <c r="B11" s="52" t="str">
        <f>IF(Scoring!B12="","",Scoring!B12)</f>
        <v>Adobe Inc.</v>
      </c>
      <c r="C11" s="53">
        <f>IF(Scoring!C12="","",Scoring!C12)</f>
        <v>46240</v>
      </c>
      <c r="D11" s="54">
        <f>IF(Scoring!N12="","",Scoring!N12)</f>
        <v>4.5714285714285721</v>
      </c>
      <c r="E11" s="55">
        <f>IF(Scoring!AF12="","",Scoring!AF12)</f>
        <v>85.8</v>
      </c>
      <c r="F11" s="35" t="str">
        <f>IF(Scoring!AG12&lt;&gt;"",Scoring!AG12,IF(Scoring!AH12="OK","PENDING",""))</f>
        <v>STRONG BUY</v>
      </c>
      <c r="G11" s="35" t="str">
        <f>IF(Scoring!AH12="","",Scoring!AH12)</f>
        <v>OK</v>
      </c>
      <c r="H11" s="35" t="str">
        <f>IF(Scoring!AI12="","",Scoring!AI12)</f>
        <v>OK</v>
      </c>
      <c r="I11" s="35" t="str">
        <f>IF(Scoring!AJ12="","",Scoring!AJ12)</f>
        <v>OK</v>
      </c>
      <c r="J11" s="35" t="str">
        <f>IF(Scoring!AK12="","",Scoring!AK12)</f>
        <v>OK</v>
      </c>
    </row>
    <row r="12" spans="1:10" ht="15" customHeight="1" x14ac:dyDescent="0.3">
      <c r="A12" s="51" t="str">
        <f>IF(Scoring!A13="","",Scoring!A13)</f>
        <v>ANET</v>
      </c>
      <c r="B12" s="52" t="str">
        <f>IF(Scoring!B13="","",Scoring!B13)</f>
        <v>Arista Networks</v>
      </c>
      <c r="C12" s="53">
        <f>IF(Scoring!C13="","",Scoring!C13)</f>
        <v>46240</v>
      </c>
      <c r="D12" s="54">
        <f>IF(Scoring!N13="","",Scoring!N13)</f>
        <v>4.5714285714285712</v>
      </c>
      <c r="E12" s="55">
        <f>IF(Scoring!AF13="","",Scoring!AF13)</f>
        <v>85</v>
      </c>
      <c r="F12" s="35" t="str">
        <f>IF(Scoring!AG13&lt;&gt;"",Scoring!AG13,IF(Scoring!AH13="OK","PENDING",""))</f>
        <v>STRONG BUY</v>
      </c>
      <c r="G12" s="35" t="str">
        <f>IF(Scoring!AH13="","",Scoring!AH13)</f>
        <v>OK</v>
      </c>
      <c r="H12" s="35" t="str">
        <f>IF(Scoring!AI13="","",Scoring!AI13)</f>
        <v>OK</v>
      </c>
      <c r="I12" s="35" t="str">
        <f>IF(Scoring!AJ13="","",Scoring!AJ13)</f>
        <v>OK</v>
      </c>
      <c r="J12" s="35" t="str">
        <f>IF(Scoring!AK13="","",Scoring!AK13)</f>
        <v>OK</v>
      </c>
    </row>
    <row r="13" spans="1:10" ht="15" customHeight="1" x14ac:dyDescent="0.3">
      <c r="A13" s="51" t="str">
        <f>IF(Scoring!A14="","",Scoring!A14)</f>
        <v>ASML</v>
      </c>
      <c r="B13" s="52" t="str">
        <f>IF(Scoring!B14="","",Scoring!B14)</f>
        <v>ASML Holding</v>
      </c>
      <c r="C13" s="53">
        <f>IF(Scoring!C14="","",Scoring!C14)</f>
        <v>46240</v>
      </c>
      <c r="D13" s="54">
        <f>IF(Scoring!N14="","",Scoring!N14)</f>
        <v>3.5714285714285716</v>
      </c>
      <c r="E13" s="55">
        <f>IF(Scoring!AF14="","",Scoring!AF14)</f>
        <v>73.2</v>
      </c>
      <c r="F13" s="35" t="str">
        <f>IF(Scoring!AG14&lt;&gt;"",Scoring!AG14,IF(Scoring!AH14="OK","PENDING",""))</f>
        <v>BUY</v>
      </c>
      <c r="G13" s="35" t="str">
        <f>IF(Scoring!AH14="","",Scoring!AH14)</f>
        <v>OK</v>
      </c>
      <c r="H13" s="35" t="str">
        <f>IF(Scoring!AI14="","",Scoring!AI14)</f>
        <v>OK</v>
      </c>
      <c r="I13" s="35" t="str">
        <f>IF(Scoring!AJ14="","",Scoring!AJ14)</f>
        <v>OK</v>
      </c>
      <c r="J13" s="35" t="str">
        <f>IF(Scoring!AK14="","",Scoring!AK14)</f>
        <v>OK</v>
      </c>
    </row>
    <row r="14" spans="1:10" ht="15" customHeight="1" x14ac:dyDescent="0.3">
      <c r="A14" s="51" t="str">
        <f>IF(Scoring!A15="","",Scoring!A15)</f>
        <v>CRWD</v>
      </c>
      <c r="B14" s="52" t="str">
        <f>IF(Scoring!B15="","",Scoring!B15)</f>
        <v>CrowdStrike Holdings</v>
      </c>
      <c r="C14" s="53">
        <f>IF(Scoring!C15="","",Scoring!C15)</f>
        <v>46240</v>
      </c>
      <c r="D14" s="54">
        <f>IF(Scoring!N15="","",Scoring!N15)</f>
        <v>4.0000000000000009</v>
      </c>
      <c r="E14" s="55">
        <f>IF(Scoring!AF15="","",Scoring!AF15)</f>
        <v>70.400000000000006</v>
      </c>
      <c r="F14" s="35" t="str">
        <f>IF(Scoring!AG15&lt;&gt;"",Scoring!AG15,IF(Scoring!AH15="OK","PENDING",""))</f>
        <v>BUY</v>
      </c>
      <c r="G14" s="35" t="str">
        <f>IF(Scoring!AH15="","",Scoring!AH15)</f>
        <v>OK</v>
      </c>
      <c r="H14" s="35" t="str">
        <f>IF(Scoring!AI15="","",Scoring!AI15)</f>
        <v>OK</v>
      </c>
      <c r="I14" s="35" t="str">
        <f>IF(Scoring!AJ15="","",Scoring!AJ15)</f>
        <v>OK</v>
      </c>
      <c r="J14" s="35" t="str">
        <f>IF(Scoring!AK15="","",Scoring!AK15)</f>
        <v>OK</v>
      </c>
    </row>
    <row r="15" spans="1:10" ht="15" customHeight="1" x14ac:dyDescent="0.3">
      <c r="A15" s="51" t="str">
        <f>IF(Scoring!A16="","",Scoring!A16)</f>
        <v>KLAC</v>
      </c>
      <c r="B15" s="52" t="str">
        <f>IF(Scoring!B16="","",Scoring!B16)</f>
        <v>KLA Corporation</v>
      </c>
      <c r="C15" s="53">
        <f>IF(Scoring!C16="","",Scoring!C16)</f>
        <v>46240</v>
      </c>
      <c r="D15" s="54">
        <f>IF(Scoring!N16="","",Scoring!N16)</f>
        <v>3.4285714285714293</v>
      </c>
      <c r="E15" s="55">
        <f>IF(Scoring!AF16="","",Scoring!AF16)</f>
        <v>68.600000000000009</v>
      </c>
      <c r="F15" s="35" t="str">
        <f>IF(Scoring!AG16&lt;&gt;"",Scoring!AG16,IF(Scoring!AH16="OK","PENDING",""))</f>
        <v>BUY</v>
      </c>
      <c r="G15" s="35" t="str">
        <f>IF(Scoring!AH16="","",Scoring!AH16)</f>
        <v>OK</v>
      </c>
      <c r="H15" s="35" t="str">
        <f>IF(Scoring!AI16="","",Scoring!AI16)</f>
        <v>OK</v>
      </c>
      <c r="I15" s="35" t="str">
        <f>IF(Scoring!AJ16="","",Scoring!AJ16)</f>
        <v>OK</v>
      </c>
      <c r="J15" s="35" t="str">
        <f>IF(Scoring!AK16="","",Scoring!AK16)</f>
        <v>OK</v>
      </c>
    </row>
    <row r="16" spans="1:10" ht="15" customHeight="1" x14ac:dyDescent="0.3">
      <c r="A16" s="51" t="str">
        <f>IF(Scoring!A17="","",Scoring!A17)</f>
        <v>TSM</v>
      </c>
      <c r="B16" s="52" t="str">
        <f>IF(Scoring!B17="","",Scoring!B17)</f>
        <v>Taiwan Semiconductor Mfg.</v>
      </c>
      <c r="C16" s="53">
        <f>IF(Scoring!C17="","",Scoring!C17)</f>
        <v>46240</v>
      </c>
      <c r="D16" s="54">
        <f>IF(Scoring!N17="","",Scoring!N17)</f>
        <v>4</v>
      </c>
      <c r="E16" s="55">
        <f>IF(Scoring!AF17="","",Scoring!AF17)</f>
        <v>81</v>
      </c>
      <c r="F16" s="35" t="str">
        <f>IF(Scoring!AG17&lt;&gt;"",Scoring!AG17,IF(Scoring!AH17="OK","PENDING",""))</f>
        <v>STRONG BUY</v>
      </c>
      <c r="G16" s="35" t="str">
        <f>IF(Scoring!AH17="","",Scoring!AH17)</f>
        <v>OK</v>
      </c>
      <c r="H16" s="35" t="str">
        <f>IF(Scoring!AI17="","",Scoring!AI17)</f>
        <v>OK</v>
      </c>
      <c r="I16" s="35" t="str">
        <f>IF(Scoring!AJ17="","",Scoring!AJ17)</f>
        <v>OK</v>
      </c>
      <c r="J16" s="35" t="str">
        <f>IF(Scoring!AK17="","",Scoring!AK17)</f>
        <v>OK</v>
      </c>
    </row>
    <row r="17" spans="1:10" ht="15" customHeight="1" x14ac:dyDescent="0.3">
      <c r="A17" s="51" t="str">
        <f>IF(Scoring!A18="","",Scoring!A18)</f>
        <v>VRT</v>
      </c>
      <c r="B17" s="52" t="str">
        <f>IF(Scoring!B18="","",Scoring!B18)</f>
        <v>Vertiv Holdings</v>
      </c>
      <c r="C17" s="53">
        <f>IF(Scoring!C18="","",Scoring!C18)</f>
        <v>46240</v>
      </c>
      <c r="D17" s="54">
        <f>IF(Scoring!N18="","",Scoring!N18)</f>
        <v>4.3571428571428568</v>
      </c>
      <c r="E17" s="55">
        <f>IF(Scoring!AF18="","",Scoring!AF18)</f>
        <v>82.8</v>
      </c>
      <c r="F17" s="35" t="str">
        <f>IF(Scoring!AG18&lt;&gt;"",Scoring!AG18,IF(Scoring!AH18="OK","PENDING",""))</f>
        <v>STRONG BUY</v>
      </c>
      <c r="G17" s="35" t="str">
        <f>IF(Scoring!AH18="","",Scoring!AH18)</f>
        <v>OK</v>
      </c>
      <c r="H17" s="35" t="str">
        <f>IF(Scoring!AI18="","",Scoring!AI18)</f>
        <v>OK</v>
      </c>
      <c r="I17" s="35" t="str">
        <f>IF(Scoring!AJ18="","",Scoring!AJ18)</f>
        <v>OK</v>
      </c>
      <c r="J17" s="35" t="str">
        <f>IF(Scoring!AK18="","",Scoring!AK18)</f>
        <v>OK</v>
      </c>
    </row>
    <row r="18" spans="1:10" ht="15" customHeight="1" x14ac:dyDescent="0.3">
      <c r="A18" s="51" t="str">
        <f>IF(Scoring!A19="","",Scoring!A19)</f>
        <v>COST</v>
      </c>
      <c r="B18" s="52" t="str">
        <f>IF(Scoring!B19="","",Scoring!B19)</f>
        <v>Costco Wholesale Corp.</v>
      </c>
      <c r="C18" s="53">
        <f>IF(Scoring!C19="","",Scoring!C19)</f>
        <v>46245</v>
      </c>
      <c r="D18" s="54">
        <f>IF(Scoring!N19="","",Scoring!N19)</f>
        <v>4.1428571428571432</v>
      </c>
      <c r="E18" s="55">
        <f>IF(Scoring!AF19="","",Scoring!AF19)</f>
        <v>77.400000000000006</v>
      </c>
      <c r="F18" s="35" t="str">
        <f>IF(Scoring!AG19&lt;&gt;"",Scoring!AG19,IF(Scoring!AH19="OK","PENDING",""))</f>
        <v>BUY</v>
      </c>
      <c r="G18" s="35" t="str">
        <f>IF(Scoring!AH19="","",Scoring!AH19)</f>
        <v>OK</v>
      </c>
      <c r="H18" s="35" t="str">
        <f>IF(Scoring!AI19="","",Scoring!AI19)</f>
        <v>OK</v>
      </c>
      <c r="I18" s="35" t="str">
        <f>IF(Scoring!AJ19="","",Scoring!AJ19)</f>
        <v>OK</v>
      </c>
      <c r="J18" s="35" t="str">
        <f>IF(Scoring!AK19="","",Scoring!AK19)</f>
        <v>OK</v>
      </c>
    </row>
    <row r="19" spans="1:10" ht="15" customHeight="1" x14ac:dyDescent="0.3">
      <c r="A19" s="51" t="str">
        <f>IF(Scoring!A20="","",Scoring!A20)</f>
        <v>V</v>
      </c>
      <c r="B19" s="52" t="str">
        <f>IF(Scoring!B20="","",Scoring!B20)</f>
        <v>Visa Inc.</v>
      </c>
      <c r="C19" s="53">
        <f>IF(Scoring!C20="","",Scoring!C20)</f>
        <v>46245</v>
      </c>
      <c r="D19" s="54">
        <f>IF(Scoring!N20="","",Scoring!N20)</f>
        <v>4.5714285714285712</v>
      </c>
      <c r="E19" s="55">
        <f>IF(Scoring!AF20="","",Scoring!AF20)</f>
        <v>86.399999999999991</v>
      </c>
      <c r="F19" s="35" t="str">
        <f>IF(Scoring!AG20&lt;&gt;"",Scoring!AG20,IF(Scoring!AH20="OK","PENDING",""))</f>
        <v>STRONG BUY</v>
      </c>
      <c r="G19" s="35" t="str">
        <f>IF(Scoring!AH20="","",Scoring!AH20)</f>
        <v>OK</v>
      </c>
      <c r="H19" s="35" t="str">
        <f>IF(Scoring!AI20="","",Scoring!AI20)</f>
        <v>OK</v>
      </c>
      <c r="I19" s="35" t="str">
        <f>IF(Scoring!AJ20="","",Scoring!AJ20)</f>
        <v>OK</v>
      </c>
      <c r="J19" s="35" t="str">
        <f>IF(Scoring!AK20="","",Scoring!AK20)</f>
        <v>OK</v>
      </c>
    </row>
    <row r="20" spans="1:10" ht="15" hidden="1" customHeight="1" outlineLevel="1" x14ac:dyDescent="0.3">
      <c r="A20" s="51" t="str">
        <f>IF(Scoring!A21="","",Scoring!A21)</f>
        <v>NEE</v>
      </c>
      <c r="B20" s="52" t="str">
        <f>IF(Scoring!B21="","",Scoring!B21)</f>
        <v>NextEra Energy Inc.</v>
      </c>
      <c r="C20" s="53">
        <f>IF(Scoring!C21="","",Scoring!C21)</f>
        <v>46245</v>
      </c>
      <c r="D20" s="54">
        <f>IF(Scoring!N21="","",Scoring!N21)</f>
        <v>2.5</v>
      </c>
      <c r="E20" s="55" t="str">
        <f>IF(Scoring!AF21="","",Scoring!AF21)</f>
        <v/>
      </c>
      <c r="F20" s="35" t="str">
        <f>IF(Scoring!AG21&lt;&gt;"",Scoring!AG21,IF(Scoring!AH21="OK","PENDING",""))</f>
        <v/>
      </c>
      <c r="G20" s="35" t="str">
        <f>IF(Scoring!AH21="","",Scoring!AH21)</f>
        <v>FAIL</v>
      </c>
      <c r="H20" s="35" t="str">
        <f>IF(Scoring!AI21="","",Scoring!AI21)</f>
        <v>REVIEW</v>
      </c>
      <c r="I20" s="35" t="str">
        <f>IF(Scoring!AJ21="","",Scoring!AJ21)</f>
        <v>AVOID</v>
      </c>
      <c r="J20" s="35" t="str">
        <f>IF(Scoring!AK21="","",Scoring!AK21)</f>
        <v>OK</v>
      </c>
    </row>
    <row r="21" spans="1:10" ht="15" hidden="1" customHeight="1" outlineLevel="1" x14ac:dyDescent="0.3">
      <c r="A21" s="51" t="str">
        <f>IF(Scoring!A22="","",Scoring!A22)</f>
        <v>CRK</v>
      </c>
      <c r="B21" s="52" t="str">
        <f>IF(Scoring!B22="","",Scoring!B22)</f>
        <v>Comstock Resources Inc.</v>
      </c>
      <c r="C21" s="53">
        <f>IF(Scoring!C22="","",Scoring!C22)</f>
        <v>46245</v>
      </c>
      <c r="D21" s="54">
        <f>IF(Scoring!N22="","",Scoring!N22)</f>
        <v>1.2142857142857142</v>
      </c>
      <c r="E21" s="55" t="str">
        <f>IF(Scoring!AF22="","",Scoring!AF22)</f>
        <v/>
      </c>
      <c r="F21" s="35" t="str">
        <f>IF(Scoring!AG22&lt;&gt;"",Scoring!AG22,IF(Scoring!AH22="OK","PENDING",""))</f>
        <v/>
      </c>
      <c r="G21" s="35" t="str">
        <f>IF(Scoring!AH22="","",Scoring!AH22)</f>
        <v>FAIL</v>
      </c>
      <c r="H21" s="35" t="str">
        <f>IF(Scoring!AI22="","",Scoring!AI22)</f>
        <v>REVIEW</v>
      </c>
      <c r="I21" s="35" t="str">
        <f>IF(Scoring!AJ22="","",Scoring!AJ22)</f>
        <v>AVOID</v>
      </c>
      <c r="J21" s="35" t="str">
        <f>IF(Scoring!AK22="","",Scoring!AK22)</f>
        <v>OK</v>
      </c>
    </row>
    <row r="22" spans="1:10" ht="15" customHeight="1" collapsed="1" x14ac:dyDescent="0.3">
      <c r="A22" s="51" t="str">
        <f>IF(Scoring!A23="","",Scoring!A23)</f>
        <v>ET</v>
      </c>
      <c r="B22" s="52" t="str">
        <f>IF(Scoring!B23="","",Scoring!B23)</f>
        <v>Energy Transfer LP</v>
      </c>
      <c r="C22" s="53">
        <f>IF(Scoring!C23="","",Scoring!C23)</f>
        <v>46276</v>
      </c>
      <c r="D22" s="54">
        <f>IF(Scoring!N23="","",Scoring!N23)</f>
        <v>3.0714285714285721</v>
      </c>
      <c r="E22" s="55" t="str">
        <f>IF(Scoring!AF23="","",Scoring!AF23)</f>
        <v/>
      </c>
      <c r="F22" s="35" t="str">
        <f>IF(Scoring!AG23&lt;&gt;"",Scoring!AG23,IF(Scoring!AH23="OK","PENDING",""))</f>
        <v>PENDING</v>
      </c>
      <c r="G22" s="35" t="str">
        <f>IF(Scoring!AH23="","",Scoring!AH23)</f>
        <v>OK</v>
      </c>
      <c r="H22" s="35" t="str">
        <f>IF(Scoring!AI23="","",Scoring!AI23)</f>
        <v>REVIEW</v>
      </c>
      <c r="I22" s="35" t="str">
        <f>IF(Scoring!AJ23="","",Scoring!AJ23)</f>
        <v>AVOID</v>
      </c>
      <c r="J22" s="35" t="str">
        <f>IF(Scoring!AK23="","",Scoring!AK23)</f>
        <v>OK</v>
      </c>
    </row>
    <row r="23" spans="1:10" ht="15" hidden="1" customHeight="1" outlineLevel="1" x14ac:dyDescent="0.3">
      <c r="A23" s="51" t="str">
        <f>IF(Scoring!A24="","",Scoring!A24)</f>
        <v>LBRT</v>
      </c>
      <c r="B23" s="52" t="str">
        <f>IF(Scoring!B24="","",Scoring!B24)</f>
        <v>Liberty Energy Inc.</v>
      </c>
      <c r="C23" s="53">
        <f>IF(Scoring!C24="","",Scoring!C24)</f>
        <v>46245</v>
      </c>
      <c r="D23" s="54">
        <f>IF(Scoring!N24="","",Scoring!N24)</f>
        <v>2.0714285714285716</v>
      </c>
      <c r="E23" s="55" t="str">
        <f>IF(Scoring!AF24="","",Scoring!AF24)</f>
        <v/>
      </c>
      <c r="F23" s="35" t="str">
        <f>IF(Scoring!AG24&lt;&gt;"",Scoring!AG24,IF(Scoring!AH24="OK","PENDING",""))</f>
        <v/>
      </c>
      <c r="G23" s="35" t="str">
        <f>IF(Scoring!AH24="","",Scoring!AH24)</f>
        <v>FAIL</v>
      </c>
      <c r="H23" s="35" t="str">
        <f>IF(Scoring!AI24="","",Scoring!AI24)</f>
        <v>REVIEW</v>
      </c>
      <c r="I23" s="35" t="str">
        <f>IF(Scoring!AJ24="","",Scoring!AJ24)</f>
        <v>AVOID</v>
      </c>
      <c r="J23" s="35" t="str">
        <f>IF(Scoring!AK24="","",Scoring!AK24)</f>
        <v>OK</v>
      </c>
    </row>
    <row r="24" spans="1:10" ht="15" hidden="1" customHeight="1" outlineLevel="1" x14ac:dyDescent="0.3">
      <c r="A24" s="51" t="str">
        <f>IF(Scoring!A25="","",Scoring!A25)</f>
        <v>NOV</v>
      </c>
      <c r="B24" s="52" t="str">
        <f>IF(Scoring!B25="","",Scoring!B25)</f>
        <v>NOV Inc.</v>
      </c>
      <c r="C24" s="53">
        <f>IF(Scoring!C25="","",Scoring!C25)</f>
        <v>46245</v>
      </c>
      <c r="D24" s="54">
        <f>IF(Scoring!N25="","",Scoring!N25)</f>
        <v>2.6428571428571432</v>
      </c>
      <c r="E24" s="55" t="str">
        <f>IF(Scoring!AF25="","",Scoring!AF25)</f>
        <v/>
      </c>
      <c r="F24" s="35" t="str">
        <f>IF(Scoring!AG25&lt;&gt;"",Scoring!AG25,IF(Scoring!AH25="OK","PENDING",""))</f>
        <v/>
      </c>
      <c r="G24" s="35" t="str">
        <f>IF(Scoring!AH25="","",Scoring!AH25)</f>
        <v>FAIL</v>
      </c>
      <c r="H24" s="35" t="str">
        <f>IF(Scoring!AI25="","",Scoring!AI25)</f>
        <v>OK</v>
      </c>
      <c r="I24" s="35" t="str">
        <f>IF(Scoring!AJ25="","",Scoring!AJ25)</f>
        <v>AVOID</v>
      </c>
      <c r="J24" s="35" t="str">
        <f>IF(Scoring!AK25="","",Scoring!AK25)</f>
        <v>OK</v>
      </c>
    </row>
    <row r="25" spans="1:10" ht="15" hidden="1" customHeight="1" outlineLevel="1" x14ac:dyDescent="0.3">
      <c r="A25" s="51" t="str">
        <f>IF(Scoring!A26="","",Scoring!A26)</f>
        <v>CE</v>
      </c>
      <c r="B25" s="52" t="str">
        <f>IF(Scoring!B26="","",Scoring!B26)</f>
        <v>Celanese Corp.</v>
      </c>
      <c r="C25" s="53">
        <f>IF(Scoring!C26="","",Scoring!C26)</f>
        <v>46245</v>
      </c>
      <c r="D25" s="54">
        <f>IF(Scoring!N26="","",Scoring!N26)</f>
        <v>1.7857142857142858</v>
      </c>
      <c r="E25" s="55" t="str">
        <f>IF(Scoring!AF26="","",Scoring!AF26)</f>
        <v/>
      </c>
      <c r="F25" s="35" t="str">
        <f>IF(Scoring!AG26&lt;&gt;"",Scoring!AG26,IF(Scoring!AH26="OK","PENDING",""))</f>
        <v/>
      </c>
      <c r="G25" s="35" t="str">
        <f>IF(Scoring!AH26="","",Scoring!AH26)</f>
        <v>FAIL</v>
      </c>
      <c r="H25" s="35" t="str">
        <f>IF(Scoring!AI26="","",Scoring!AI26)</f>
        <v>REVIEW</v>
      </c>
      <c r="I25" s="35" t="str">
        <f>IF(Scoring!AJ26="","",Scoring!AJ26)</f>
        <v>AVOID</v>
      </c>
      <c r="J25" s="35" t="str">
        <f>IF(Scoring!AK26="","",Scoring!AK26)</f>
        <v>OK</v>
      </c>
    </row>
    <row r="26" spans="1:10" ht="15" hidden="1" customHeight="1" outlineLevel="1" x14ac:dyDescent="0.3">
      <c r="A26" s="51" t="str">
        <f>IF(Scoring!A27="","",Scoring!A27)</f>
        <v>CLF</v>
      </c>
      <c r="B26" s="52" t="str">
        <f>IF(Scoring!B27="","",Scoring!B27)</f>
        <v>Cleveland-Cliffs Inc.</v>
      </c>
      <c r="C26" s="53">
        <f>IF(Scoring!C27="","",Scoring!C27)</f>
        <v>46245</v>
      </c>
      <c r="D26" s="54">
        <f>IF(Scoring!N27="","",Scoring!N27)</f>
        <v>1.8571428571428574</v>
      </c>
      <c r="E26" s="55" t="str">
        <f>IF(Scoring!AF27="","",Scoring!AF27)</f>
        <v/>
      </c>
      <c r="F26" s="35" t="str">
        <f>IF(Scoring!AG27&lt;&gt;"",Scoring!AG27,IF(Scoring!AH27="OK","PENDING",""))</f>
        <v/>
      </c>
      <c r="G26" s="35" t="str">
        <f>IF(Scoring!AH27="","",Scoring!AH27)</f>
        <v>FAIL</v>
      </c>
      <c r="H26" s="35" t="str">
        <f>IF(Scoring!AI27="","",Scoring!AI27)</f>
        <v>REVIEW</v>
      </c>
      <c r="I26" s="35" t="str">
        <f>IF(Scoring!AJ27="","",Scoring!AJ27)</f>
        <v>AVOID</v>
      </c>
      <c r="J26" s="35" t="str">
        <f>IF(Scoring!AK27="","",Scoring!AK27)</f>
        <v>OK</v>
      </c>
    </row>
    <row r="27" spans="1:10" ht="15" customHeight="1" collapsed="1" x14ac:dyDescent="0.3">
      <c r="A27" s="51" t="str">
        <f>IF(Scoring!A28="","",Scoring!A28)</f>
        <v>LIN</v>
      </c>
      <c r="B27" s="52" t="str">
        <f>IF(Scoring!B28="","",Scoring!B28)</f>
        <v>Linde plc</v>
      </c>
      <c r="C27" s="53">
        <f>IF(Scoring!C28="","",Scoring!C28)</f>
        <v>46276</v>
      </c>
      <c r="D27" s="54">
        <f>IF(Scoring!N28="","",Scoring!N28)</f>
        <v>3.0714285714285716</v>
      </c>
      <c r="E27" s="55" t="str">
        <f>IF(Scoring!AF28="","",Scoring!AF28)</f>
        <v/>
      </c>
      <c r="F27" s="35" t="str">
        <f>IF(Scoring!AG28&lt;&gt;"",Scoring!AG28,IF(Scoring!AH28="OK","PENDING",""))</f>
        <v>PENDING</v>
      </c>
      <c r="G27" s="35" t="str">
        <f>IF(Scoring!AH28="","",Scoring!AH28)</f>
        <v>OK</v>
      </c>
      <c r="H27" s="35" t="str">
        <f>IF(Scoring!AI28="","",Scoring!AI28)</f>
        <v>OK</v>
      </c>
      <c r="I27" s="35" t="str">
        <f>IF(Scoring!AJ28="","",Scoring!AJ28)</f>
        <v>AVOID</v>
      </c>
      <c r="J27" s="35" t="str">
        <f>IF(Scoring!AK28="","",Scoring!AK28)</f>
        <v>OK</v>
      </c>
    </row>
    <row r="28" spans="1:10" ht="15" hidden="1" customHeight="1" outlineLevel="1" x14ac:dyDescent="0.3">
      <c r="A28" s="51" t="str">
        <f>IF(Scoring!A29="","",Scoring!A29)</f>
        <v>DEO</v>
      </c>
      <c r="B28" s="52" t="str">
        <f>IF(Scoring!B29="","",Scoring!B29)</f>
        <v>Diageo plc</v>
      </c>
      <c r="C28" s="53">
        <f>IF(Scoring!C29="","",Scoring!C29)</f>
        <v>46245</v>
      </c>
      <c r="D28" s="54">
        <f>IF(Scoring!N29="","",Scoring!N29)</f>
        <v>2.3571428571428572</v>
      </c>
      <c r="E28" s="55" t="str">
        <f>IF(Scoring!AF29="","",Scoring!AF29)</f>
        <v/>
      </c>
      <c r="F28" s="35" t="str">
        <f>IF(Scoring!AG29&lt;&gt;"",Scoring!AG29,IF(Scoring!AH29="OK","PENDING",""))</f>
        <v/>
      </c>
      <c r="G28" s="35" t="str">
        <f>IF(Scoring!AH29="","",Scoring!AH29)</f>
        <v>FAIL</v>
      </c>
      <c r="H28" s="35" t="str">
        <f>IF(Scoring!AI29="","",Scoring!AI29)</f>
        <v>OK</v>
      </c>
      <c r="I28" s="35" t="str">
        <f>IF(Scoring!AJ29="","",Scoring!AJ29)</f>
        <v>AVOID</v>
      </c>
      <c r="J28" s="35" t="str">
        <f>IF(Scoring!AK29="","",Scoring!AK29)</f>
        <v>OK</v>
      </c>
    </row>
    <row r="29" spans="1:10" ht="15" hidden="1" customHeight="1" outlineLevel="1" x14ac:dyDescent="0.3">
      <c r="A29" s="51" t="str">
        <f>IF(Scoring!A30="","",Scoring!A30)</f>
        <v>EL</v>
      </c>
      <c r="B29" s="52" t="str">
        <f>IF(Scoring!B30="","",Scoring!B30)</f>
        <v>Estee Lauder Companies</v>
      </c>
      <c r="C29" s="53">
        <f>IF(Scoring!C30="","",Scoring!C30)</f>
        <v>46245</v>
      </c>
      <c r="D29" s="54">
        <f>IF(Scoring!N30="","",Scoring!N30)</f>
        <v>2.1428571428571428</v>
      </c>
      <c r="E29" s="55" t="str">
        <f>IF(Scoring!AF30="","",Scoring!AF30)</f>
        <v/>
      </c>
      <c r="F29" s="35" t="str">
        <f>IF(Scoring!AG30&lt;&gt;"",Scoring!AG30,IF(Scoring!AH30="OK","PENDING",""))</f>
        <v/>
      </c>
      <c r="G29" s="35" t="str">
        <f>IF(Scoring!AH30="","",Scoring!AH30)</f>
        <v>FAIL</v>
      </c>
      <c r="H29" s="35" t="str">
        <f>IF(Scoring!AI30="","",Scoring!AI30)</f>
        <v>REVIEW</v>
      </c>
      <c r="I29" s="35" t="str">
        <f>IF(Scoring!AJ30="","",Scoring!AJ30)</f>
        <v>AVOID</v>
      </c>
      <c r="J29" s="35" t="str">
        <f>IF(Scoring!AK30="","",Scoring!AK30)</f>
        <v>OK</v>
      </c>
    </row>
    <row r="30" spans="1:10" ht="15" hidden="1" customHeight="1" outlineLevel="1" x14ac:dyDescent="0.3">
      <c r="A30" s="51" t="str">
        <f>IF(Scoring!A31="","",Scoring!A31)</f>
        <v>HRL</v>
      </c>
      <c r="B30" s="52" t="str">
        <f>IF(Scoring!B31="","",Scoring!B31)</f>
        <v>Hormel Foods Corp.</v>
      </c>
      <c r="C30" s="53">
        <f>IF(Scoring!C31="","",Scoring!C31)</f>
        <v>46245</v>
      </c>
      <c r="D30" s="54">
        <f>IF(Scoring!N31="","",Scoring!N31)</f>
        <v>1.9285714285714288</v>
      </c>
      <c r="E30" s="55" t="str">
        <f>IF(Scoring!AF31="","",Scoring!AF31)</f>
        <v/>
      </c>
      <c r="F30" s="35" t="str">
        <f>IF(Scoring!AG31&lt;&gt;"",Scoring!AG31,IF(Scoring!AH31="OK","PENDING",""))</f>
        <v/>
      </c>
      <c r="G30" s="35" t="str">
        <f>IF(Scoring!AH31="","",Scoring!AH31)</f>
        <v>FAIL</v>
      </c>
      <c r="H30" s="35" t="str">
        <f>IF(Scoring!AI31="","",Scoring!AI31)</f>
        <v>REVIEW</v>
      </c>
      <c r="I30" s="35" t="str">
        <f>IF(Scoring!AJ31="","",Scoring!AJ31)</f>
        <v>AVOID</v>
      </c>
      <c r="J30" s="35" t="str">
        <f>IF(Scoring!AK31="","",Scoring!AK31)</f>
        <v>OK</v>
      </c>
    </row>
    <row r="31" spans="1:10" ht="15" customHeight="1" collapsed="1" x14ac:dyDescent="0.3">
      <c r="A31" s="51" t="str">
        <f>IF(Scoring!A32="","",Scoring!A32)</f>
        <v>PG</v>
      </c>
      <c r="B31" s="52" t="str">
        <f>IF(Scoring!B32="","",Scoring!B32)</f>
        <v>Procter &amp; Gamble Co.</v>
      </c>
      <c r="C31" s="53">
        <f>IF(Scoring!C32="","",Scoring!C32)</f>
        <v>46245</v>
      </c>
      <c r="D31" s="54">
        <f>IF(Scoring!N32="","",Scoring!N32)</f>
        <v>4.2142857142857144</v>
      </c>
      <c r="E31" s="55" t="str">
        <f>IF(Scoring!AF32="","",Scoring!AF32)</f>
        <v/>
      </c>
      <c r="F31" s="35" t="str">
        <f>IF(Scoring!AG32&lt;&gt;"",Scoring!AG32,IF(Scoring!AH32="OK","PENDING",""))</f>
        <v>PENDING</v>
      </c>
      <c r="G31" s="35" t="str">
        <f>IF(Scoring!AH32="","",Scoring!AH32)</f>
        <v>OK</v>
      </c>
      <c r="H31" s="35" t="str">
        <f>IF(Scoring!AI32="","",Scoring!AI32)</f>
        <v>OK</v>
      </c>
      <c r="I31" s="35" t="str">
        <f>IF(Scoring!AJ32="","",Scoring!AJ32)</f>
        <v>OK</v>
      </c>
      <c r="J31" s="35" t="str">
        <f>IF(Scoring!AK32="","",Scoring!AK32)</f>
        <v>OK</v>
      </c>
    </row>
    <row r="32" spans="1:10" ht="15" customHeight="1" x14ac:dyDescent="0.3">
      <c r="A32" s="51" t="str">
        <f>IF(Scoring!A33="","",Scoring!A33)</f>
        <v>CMG</v>
      </c>
      <c r="B32" s="52" t="str">
        <f>IF(Scoring!B33="","",Scoring!B33)</f>
        <v>Chipotle Mexican Grill</v>
      </c>
      <c r="C32" s="53">
        <f>IF(Scoring!C33="","",Scoring!C33)</f>
        <v>46245</v>
      </c>
      <c r="D32" s="54">
        <f>IF(Scoring!N33="","",Scoring!N33)</f>
        <v>3.714285714285714</v>
      </c>
      <c r="E32" s="55" t="str">
        <f>IF(Scoring!AF33="","",Scoring!AF33)</f>
        <v/>
      </c>
      <c r="F32" s="35" t="str">
        <f>IF(Scoring!AG33&lt;&gt;"",Scoring!AG33,IF(Scoring!AH33="OK","PENDING",""))</f>
        <v>PENDING</v>
      </c>
      <c r="G32" s="35" t="str">
        <f>IF(Scoring!AH33="","",Scoring!AH33)</f>
        <v>OK</v>
      </c>
      <c r="H32" s="35" t="str">
        <f>IF(Scoring!AI33="","",Scoring!AI33)</f>
        <v>OK</v>
      </c>
      <c r="I32" s="35" t="str">
        <f>IF(Scoring!AJ33="","",Scoring!AJ33)</f>
        <v>OK</v>
      </c>
      <c r="J32" s="35" t="str">
        <f>IF(Scoring!AK33="","",Scoring!AK33)</f>
        <v>OK</v>
      </c>
    </row>
    <row r="33" spans="1:10" ht="15" customHeight="1" x14ac:dyDescent="0.3">
      <c r="A33" s="51" t="str">
        <f>IF(Scoring!A34="","",Scoring!A34)</f>
        <v>DPZ</v>
      </c>
      <c r="B33" s="52" t="str">
        <f>IF(Scoring!B34="","",Scoring!B34)</f>
        <v>Domino's Pizza Inc.</v>
      </c>
      <c r="C33" s="53">
        <f>IF(Scoring!C34="","",Scoring!C34)</f>
        <v>46245</v>
      </c>
      <c r="D33" s="54">
        <f>IF(Scoring!N34="","",Scoring!N34)</f>
        <v>4.8571428571428577</v>
      </c>
      <c r="E33" s="55" t="str">
        <f>IF(Scoring!AF34="","",Scoring!AF34)</f>
        <v/>
      </c>
      <c r="F33" s="35" t="str">
        <f>IF(Scoring!AG34&lt;&gt;"",Scoring!AG34,IF(Scoring!AH34="OK","PENDING",""))</f>
        <v>PENDING</v>
      </c>
      <c r="G33" s="35" t="str">
        <f>IF(Scoring!AH34="","",Scoring!AH34)</f>
        <v>OK</v>
      </c>
      <c r="H33" s="35" t="str">
        <f>IF(Scoring!AI34="","",Scoring!AI34)</f>
        <v>OK</v>
      </c>
      <c r="I33" s="35" t="str">
        <f>IF(Scoring!AJ34="","",Scoring!AJ34)</f>
        <v>OK</v>
      </c>
      <c r="J33" s="35" t="str">
        <f>IF(Scoring!AK34="","",Scoring!AK34)</f>
        <v>OK</v>
      </c>
    </row>
    <row r="34" spans="1:10" ht="15" hidden="1" customHeight="1" outlineLevel="1" x14ac:dyDescent="0.3">
      <c r="A34" s="51" t="str">
        <f>IF(Scoring!A35="","",Scoring!A35)</f>
        <v>PZZA</v>
      </c>
      <c r="B34" s="52" t="str">
        <f>IF(Scoring!B35="","",Scoring!B35)</f>
        <v>Papa John's Intl.</v>
      </c>
      <c r="C34" s="53">
        <f>IF(Scoring!C35="","",Scoring!C35)</f>
        <v>46245</v>
      </c>
      <c r="D34" s="54">
        <f>IF(Scoring!N35="","",Scoring!N35)</f>
        <v>1.357142857142857</v>
      </c>
      <c r="E34" s="55" t="str">
        <f>IF(Scoring!AF35="","",Scoring!AF35)</f>
        <v/>
      </c>
      <c r="F34" s="35" t="str">
        <f>IF(Scoring!AG35&lt;&gt;"",Scoring!AG35,IF(Scoring!AH35="OK","PENDING",""))</f>
        <v/>
      </c>
      <c r="G34" s="35" t="str">
        <f>IF(Scoring!AH35="","",Scoring!AH35)</f>
        <v>FAIL</v>
      </c>
      <c r="H34" s="35" t="str">
        <f>IF(Scoring!AI35="","",Scoring!AI35)</f>
        <v>REVIEW</v>
      </c>
      <c r="I34" s="35" t="str">
        <f>IF(Scoring!AJ35="","",Scoring!AJ35)</f>
        <v>AVOID</v>
      </c>
      <c r="J34" s="35" t="str">
        <f>IF(Scoring!AK35="","",Scoring!AK35)</f>
        <v>OK</v>
      </c>
    </row>
    <row r="35" spans="1:10" ht="15" customHeight="1" collapsed="1" x14ac:dyDescent="0.3">
      <c r="A35" s="51" t="str">
        <f>IF(Scoring!A36="","",Scoring!A36)</f>
        <v>YUM</v>
      </c>
      <c r="B35" s="52" t="str">
        <f>IF(Scoring!B36="","",Scoring!B36)</f>
        <v>Yum! Brands Inc.</v>
      </c>
      <c r="C35" s="53">
        <f>IF(Scoring!C36="","",Scoring!C36)</f>
        <v>46245</v>
      </c>
      <c r="D35" s="54">
        <f>IF(Scoring!N36="","",Scoring!N36)</f>
        <v>4.2857142857142856</v>
      </c>
      <c r="E35" s="55" t="str">
        <f>IF(Scoring!AF36="","",Scoring!AF36)</f>
        <v/>
      </c>
      <c r="F35" s="35" t="str">
        <f>IF(Scoring!AG36&lt;&gt;"",Scoring!AG36,IF(Scoring!AH36="OK","PENDING",""))</f>
        <v>PENDING</v>
      </c>
      <c r="G35" s="35" t="str">
        <f>IF(Scoring!AH36="","",Scoring!AH36)</f>
        <v>OK</v>
      </c>
      <c r="H35" s="35" t="str">
        <f>IF(Scoring!AI36="","",Scoring!AI36)</f>
        <v>OK</v>
      </c>
      <c r="I35" s="35" t="str">
        <f>IF(Scoring!AJ36="","",Scoring!AJ36)</f>
        <v>OK</v>
      </c>
      <c r="J35" s="35" t="str">
        <f>IF(Scoring!AK36="","",Scoring!AK36)</f>
        <v>OK</v>
      </c>
    </row>
    <row r="36" spans="1:10" ht="15" hidden="1" customHeight="1" outlineLevel="1" x14ac:dyDescent="0.3">
      <c r="A36" s="51" t="str">
        <f>IF(Scoring!A37="","",Scoring!A37)</f>
        <v>NKE</v>
      </c>
      <c r="B36" s="52" t="str">
        <f>IF(Scoring!B37="","",Scoring!B37)</f>
        <v>Nike Inc.</v>
      </c>
      <c r="C36" s="53">
        <f>IF(Scoring!C37="","",Scoring!C37)</f>
        <v>46246</v>
      </c>
      <c r="D36" s="54">
        <f>IF(Scoring!N37="","",Scoring!N37)</f>
        <v>1.5714285714285716</v>
      </c>
      <c r="E36" s="55" t="str">
        <f>IF(Scoring!AF37="","",Scoring!AF37)</f>
        <v/>
      </c>
      <c r="F36" s="35" t="str">
        <f>IF(Scoring!AG37&lt;&gt;"",Scoring!AG37,IF(Scoring!AH37="OK","PENDING",""))</f>
        <v/>
      </c>
      <c r="G36" s="35" t="str">
        <f>IF(Scoring!AH37="","",Scoring!AH37)</f>
        <v>FAIL</v>
      </c>
      <c r="H36" s="35" t="str">
        <f>IF(Scoring!AI37="","",Scoring!AI37)</f>
        <v>REVIEW</v>
      </c>
      <c r="I36" s="35" t="str">
        <f>IF(Scoring!AJ37="","",Scoring!AJ37)</f>
        <v>AVOID</v>
      </c>
      <c r="J36" s="35" t="str">
        <f>IF(Scoring!AK37="","",Scoring!AK37)</f>
        <v>OK</v>
      </c>
    </row>
    <row r="37" spans="1:10" ht="15" hidden="1" customHeight="1" outlineLevel="1" x14ac:dyDescent="0.3">
      <c r="A37" s="51" t="str">
        <f>IF(Scoring!A38="","",Scoring!A38)</f>
        <v>VFC</v>
      </c>
      <c r="B37" s="52" t="str">
        <f>IF(Scoring!B38="","",Scoring!B38)</f>
        <v>V.F. Corporation</v>
      </c>
      <c r="C37" s="53">
        <f>IF(Scoring!C38="","",Scoring!C38)</f>
        <v>46246</v>
      </c>
      <c r="D37" s="54">
        <f>IF(Scoring!N38="","",Scoring!N38)</f>
        <v>2.8571428571428572</v>
      </c>
      <c r="E37" s="55" t="str">
        <f>IF(Scoring!AF38="","",Scoring!AF38)</f>
        <v/>
      </c>
      <c r="F37" s="35" t="str">
        <f>IF(Scoring!AG38&lt;&gt;"",Scoring!AG38,IF(Scoring!AH38="OK","PENDING",""))</f>
        <v/>
      </c>
      <c r="G37" s="35" t="str">
        <f>IF(Scoring!AH38="","",Scoring!AH38)</f>
        <v>FAIL</v>
      </c>
      <c r="H37" s="35" t="str">
        <f>IF(Scoring!AI38="","",Scoring!AI38)</f>
        <v>OK</v>
      </c>
      <c r="I37" s="35" t="str">
        <f>IF(Scoring!AJ38="","",Scoring!AJ38)</f>
        <v>OK</v>
      </c>
      <c r="J37" s="35" t="str">
        <f>IF(Scoring!AK38="","",Scoring!AK38)</f>
        <v>OK</v>
      </c>
    </row>
    <row r="38" spans="1:10" ht="15" hidden="1" customHeight="1" outlineLevel="1" x14ac:dyDescent="0.3">
      <c r="A38" s="51" t="str">
        <f>IF(Scoring!A39="","",Scoring!A39)</f>
        <v>GOOS</v>
      </c>
      <c r="B38" s="52" t="str">
        <f>IF(Scoring!B39="","",Scoring!B39)</f>
        <v>Canada Goose Holdings</v>
      </c>
      <c r="C38" s="53">
        <f>IF(Scoring!C39="","",Scoring!C39)</f>
        <v>46246</v>
      </c>
      <c r="D38" s="54">
        <f>IF(Scoring!N39="","",Scoring!N39)</f>
        <v>2.5</v>
      </c>
      <c r="E38" s="55" t="str">
        <f>IF(Scoring!AF39="","",Scoring!AF39)</f>
        <v/>
      </c>
      <c r="F38" s="35" t="str">
        <f>IF(Scoring!AG39&lt;&gt;"",Scoring!AG39,IF(Scoring!AH39="OK","PENDING",""))</f>
        <v/>
      </c>
      <c r="G38" s="35" t="str">
        <f>IF(Scoring!AH39="","",Scoring!AH39)</f>
        <v>FAIL</v>
      </c>
      <c r="H38" s="35" t="str">
        <f>IF(Scoring!AI39="","",Scoring!AI39)</f>
        <v>REVIEW</v>
      </c>
      <c r="I38" s="35" t="str">
        <f>IF(Scoring!AJ39="","",Scoring!AJ39)</f>
        <v>AVOID</v>
      </c>
      <c r="J38" s="35" t="str">
        <f>IF(Scoring!AK39="","",Scoring!AK39)</f>
        <v>OK</v>
      </c>
    </row>
    <row r="39" spans="1:10" ht="15" hidden="1" customHeight="1" outlineLevel="1" x14ac:dyDescent="0.3">
      <c r="A39" s="51" t="str">
        <f>IF(Scoring!A40="","",Scoring!A40)</f>
        <v>AAP</v>
      </c>
      <c r="B39" s="52" t="str">
        <f>IF(Scoring!B40="","",Scoring!B40)</f>
        <v>Advance Auto Parts Inc.</v>
      </c>
      <c r="C39" s="53">
        <f>IF(Scoring!C40="","",Scoring!C40)</f>
        <v>46246</v>
      </c>
      <c r="D39" s="54">
        <f>IF(Scoring!N40="","",Scoring!N40)</f>
        <v>1.357142857142857</v>
      </c>
      <c r="E39" s="55" t="str">
        <f>IF(Scoring!AF40="","",Scoring!AF40)</f>
        <v/>
      </c>
      <c r="F39" s="35" t="str">
        <f>IF(Scoring!AG40&lt;&gt;"",Scoring!AG40,IF(Scoring!AH40="OK","PENDING",""))</f>
        <v/>
      </c>
      <c r="G39" s="35" t="str">
        <f>IF(Scoring!AH40="","",Scoring!AH40)</f>
        <v>FAIL</v>
      </c>
      <c r="H39" s="35" t="str">
        <f>IF(Scoring!AI40="","",Scoring!AI40)</f>
        <v>REVIEW</v>
      </c>
      <c r="I39" s="35" t="str">
        <f>IF(Scoring!AJ40="","",Scoring!AJ40)</f>
        <v>AVOID</v>
      </c>
      <c r="J39" s="35" t="str">
        <f>IF(Scoring!AK40="","",Scoring!AK40)</f>
        <v>OK</v>
      </c>
    </row>
    <row r="40" spans="1:10" ht="15" hidden="1" customHeight="1" outlineLevel="1" x14ac:dyDescent="0.3">
      <c r="A40" s="51" t="str">
        <f>IF(Scoring!A41="","",Scoring!A41)</f>
        <v>BABA</v>
      </c>
      <c r="B40" s="52" t="str">
        <f>IF(Scoring!B41="","",Scoring!B41)</f>
        <v>Alibaba Group Holding Ltd.</v>
      </c>
      <c r="C40" s="53">
        <f>IF(Scoring!C41="","",Scoring!C41)</f>
        <v>46246</v>
      </c>
      <c r="D40" s="54">
        <f>IF(Scoring!N41="","",Scoring!N41)</f>
        <v>2.785714285714286</v>
      </c>
      <c r="E40" s="55" t="str">
        <f>IF(Scoring!AF41="","",Scoring!AF41)</f>
        <v/>
      </c>
      <c r="F40" s="35" t="str">
        <f>IF(Scoring!AG41&lt;&gt;"",Scoring!AG41,IF(Scoring!AH41="OK","PENDING",""))</f>
        <v/>
      </c>
      <c r="G40" s="35" t="str">
        <f>IF(Scoring!AH41="","",Scoring!AH41)</f>
        <v>FAIL</v>
      </c>
      <c r="H40" s="35" t="str">
        <f>IF(Scoring!AI41="","",Scoring!AI41)</f>
        <v>OK</v>
      </c>
      <c r="I40" s="35" t="str">
        <f>IF(Scoring!AJ41="","",Scoring!AJ41)</f>
        <v>AVOID</v>
      </c>
      <c r="J40" s="35" t="str">
        <f>IF(Scoring!AK41="","",Scoring!AK41)</f>
        <v>OK</v>
      </c>
    </row>
    <row r="41" spans="1:10" ht="15" customHeight="1" collapsed="1" x14ac:dyDescent="0.3">
      <c r="A41" s="51" t="str">
        <f>IF(Scoring!A42="","",Scoring!A42)</f>
        <v>ETSY</v>
      </c>
      <c r="B41" s="52" t="str">
        <f>IF(Scoring!B42="","",Scoring!B42)</f>
        <v>Etsy Inc.</v>
      </c>
      <c r="C41" s="53">
        <f>IF(Scoring!C42="","",Scoring!C42)</f>
        <v>46246</v>
      </c>
      <c r="D41" s="54">
        <f>IF(Scoring!N42="","",Scoring!N42)</f>
        <v>3.4285714285714288</v>
      </c>
      <c r="E41" s="55" t="str">
        <f>IF(Scoring!AF42="","",Scoring!AF42)</f>
        <v/>
      </c>
      <c r="F41" s="35" t="str">
        <f>IF(Scoring!AG42&lt;&gt;"",Scoring!AG42,IF(Scoring!AH42="OK","PENDING",""))</f>
        <v>PENDING</v>
      </c>
      <c r="G41" s="35" t="str">
        <f>IF(Scoring!AH42="","",Scoring!AH42)</f>
        <v>OK</v>
      </c>
      <c r="H41" s="35" t="str">
        <f>IF(Scoring!AI42="","",Scoring!AI42)</f>
        <v>OK</v>
      </c>
      <c r="I41" s="35" t="str">
        <f>IF(Scoring!AJ42="","",Scoring!AJ42)</f>
        <v>OK</v>
      </c>
      <c r="J41" s="35" t="str">
        <f>IF(Scoring!AK42="","",Scoring!AK42)</f>
        <v>OK</v>
      </c>
    </row>
    <row r="42" spans="1:10" ht="15" customHeight="1" x14ac:dyDescent="0.3">
      <c r="A42" s="51" t="str">
        <f>IF(Scoring!A43="","",Scoring!A43)</f>
        <v>GE</v>
      </c>
      <c r="B42" s="52" t="str">
        <f>IF(Scoring!B43="","",Scoring!B43)</f>
        <v>GE Aerospace</v>
      </c>
      <c r="C42" s="53">
        <f>IF(Scoring!C43="","",Scoring!C43)</f>
        <v>46247</v>
      </c>
      <c r="D42" s="54">
        <f>IF(Scoring!N43="","",Scoring!N43)</f>
        <v>3.8571428571428577</v>
      </c>
      <c r="E42" s="55" t="str">
        <f>IF(Scoring!AF43="","",Scoring!AF43)</f>
        <v/>
      </c>
      <c r="F42" s="35" t="str">
        <f>IF(Scoring!AG43&lt;&gt;"",Scoring!AG43,IF(Scoring!AH43="OK","PENDING",""))</f>
        <v>PENDING</v>
      </c>
      <c r="G42" s="35" t="str">
        <f>IF(Scoring!AH43="","",Scoring!AH43)</f>
        <v>OK</v>
      </c>
      <c r="H42" s="35" t="str">
        <f>IF(Scoring!AI43="","",Scoring!AI43)</f>
        <v>OK</v>
      </c>
      <c r="I42" s="35" t="str">
        <f>IF(Scoring!AJ43="","",Scoring!AJ43)</f>
        <v>OK</v>
      </c>
      <c r="J42" s="35" t="str">
        <f>IF(Scoring!AK43="","",Scoring!AK43)</f>
        <v>OK</v>
      </c>
    </row>
    <row r="43" spans="1:10" ht="15" customHeight="1" x14ac:dyDescent="0.3">
      <c r="A43" s="51" t="str">
        <f>IF(Scoring!A44="","",Scoring!A44)</f>
        <v>PH</v>
      </c>
      <c r="B43" s="52" t="str">
        <f>IF(Scoring!B44="","",Scoring!B44)</f>
        <v>Parker-Hannifin Corporation</v>
      </c>
      <c r="C43" s="53">
        <f>IF(Scoring!C44="","",Scoring!C44)</f>
        <v>46247</v>
      </c>
      <c r="D43" s="54">
        <f>IF(Scoring!N44="","",Scoring!N44)</f>
        <v>3.2857142857142856</v>
      </c>
      <c r="E43" s="55" t="str">
        <f>IF(Scoring!AF44="","",Scoring!AF44)</f>
        <v/>
      </c>
      <c r="F43" s="35" t="str">
        <f>IF(Scoring!AG44&lt;&gt;"",Scoring!AG44,IF(Scoring!AH44="OK","PENDING",""))</f>
        <v>PENDING</v>
      </c>
      <c r="G43" s="35" t="str">
        <f>IF(Scoring!AH44="","",Scoring!AH44)</f>
        <v>OK</v>
      </c>
      <c r="H43" s="35" t="str">
        <f>IF(Scoring!AI44="","",Scoring!AI44)</f>
        <v>OK</v>
      </c>
      <c r="I43" s="35" t="str">
        <f>IF(Scoring!AJ44="","",Scoring!AJ44)</f>
        <v>OK</v>
      </c>
      <c r="J43" s="35" t="str">
        <f>IF(Scoring!AK44="","",Scoring!AK44)</f>
        <v>OK</v>
      </c>
    </row>
    <row r="44" spans="1:10" ht="15" customHeight="1" x14ac:dyDescent="0.3">
      <c r="A44" s="51" t="str">
        <f>IF(Scoring!A45="","",Scoring!A45)</f>
        <v>ETN</v>
      </c>
      <c r="B44" s="52" t="str">
        <f>IF(Scoring!B45="","",Scoring!B45)</f>
        <v>Eaton Corporation plc</v>
      </c>
      <c r="C44" s="53">
        <f>IF(Scoring!C45="","",Scoring!C45)</f>
        <v>46247</v>
      </c>
      <c r="D44" s="54">
        <f>IF(Scoring!N45="","",Scoring!N45)</f>
        <v>3.5000000000000004</v>
      </c>
      <c r="E44" s="55" t="str">
        <f>IF(Scoring!AF45="","",Scoring!AF45)</f>
        <v/>
      </c>
      <c r="F44" s="35" t="str">
        <f>IF(Scoring!AG45&lt;&gt;"",Scoring!AG45,IF(Scoring!AH45="OK","PENDING",""))</f>
        <v>PENDING</v>
      </c>
      <c r="G44" s="35" t="str">
        <f>IF(Scoring!AH45="","",Scoring!AH45)</f>
        <v>OK</v>
      </c>
      <c r="H44" s="35" t="str">
        <f>IF(Scoring!AI45="","",Scoring!AI45)</f>
        <v>OK</v>
      </c>
      <c r="I44" s="35" t="str">
        <f>IF(Scoring!AJ45="","",Scoring!AJ45)</f>
        <v>OK</v>
      </c>
      <c r="J44" s="35" t="str">
        <f>IF(Scoring!AK45="","",Scoring!AK45)</f>
        <v>OK</v>
      </c>
    </row>
    <row r="45" spans="1:10" ht="15" hidden="1" customHeight="1" outlineLevel="1" x14ac:dyDescent="0.3">
      <c r="A45" s="51" t="str">
        <f>IF(Scoring!A46="","",Scoring!A46)</f>
        <v>DIS</v>
      </c>
      <c r="B45" s="52" t="str">
        <f>IF(Scoring!B46="","",Scoring!B46)</f>
        <v>The Walt Disney Company</v>
      </c>
      <c r="C45" s="53">
        <f>IF(Scoring!C46="","",Scoring!C46)</f>
        <v>46258</v>
      </c>
      <c r="D45" s="54">
        <f>IF(Scoring!N46="","",Scoring!N46)</f>
        <v>2.9285714285714284</v>
      </c>
      <c r="E45" s="55" t="str">
        <f>IF(Scoring!AF46="","",Scoring!AF46)</f>
        <v/>
      </c>
      <c r="F45" s="35" t="str">
        <f>IF(Scoring!AG46&lt;&gt;"",Scoring!AG46,IF(Scoring!AH46="OK","PENDING",""))</f>
        <v/>
      </c>
      <c r="G45" s="35" t="str">
        <f>IF(Scoring!AH46="","",Scoring!AH46)</f>
        <v>FAIL</v>
      </c>
      <c r="H45" s="35" t="str">
        <f>IF(Scoring!AI46="","",Scoring!AI46)</f>
        <v>OK</v>
      </c>
      <c r="I45" s="35" t="str">
        <f>IF(Scoring!AJ46="","",Scoring!AJ46)</f>
        <v>AVOID</v>
      </c>
      <c r="J45" s="35" t="str">
        <f>IF(Scoring!AK46="","",Scoring!AK46)</f>
        <v>OK</v>
      </c>
    </row>
    <row r="46" spans="1:10" ht="15" customHeight="1" collapsed="1" x14ac:dyDescent="0.3">
      <c r="A46" s="51" t="str">
        <f>IF(Scoring!A47="","",Scoring!A47)</f>
        <v>NFLX</v>
      </c>
      <c r="B46" s="52" t="str">
        <f>IF(Scoring!B47="","",Scoring!B47)</f>
        <v>Netflix, Inc.</v>
      </c>
      <c r="C46" s="53">
        <f>IF(Scoring!C47="","",Scoring!C47)</f>
        <v>46258</v>
      </c>
      <c r="D46" s="54">
        <f>IF(Scoring!N47="","",Scoring!N47)</f>
        <v>4.2142857142857144</v>
      </c>
      <c r="E46" s="55" t="str">
        <f>IF(Scoring!AF47="","",Scoring!AF47)</f>
        <v/>
      </c>
      <c r="F46" s="35" t="str">
        <f>IF(Scoring!AG47&lt;&gt;"",Scoring!AG47,IF(Scoring!AH47="OK","PENDING",""))</f>
        <v>PENDING</v>
      </c>
      <c r="G46" s="35" t="str">
        <f>IF(Scoring!AH47="","",Scoring!AH47)</f>
        <v>OK</v>
      </c>
      <c r="H46" s="35" t="str">
        <f>IF(Scoring!AI47="","",Scoring!AI47)</f>
        <v>OK</v>
      </c>
      <c r="I46" s="35" t="str">
        <f>IF(Scoring!AJ47="","",Scoring!AJ47)</f>
        <v>OK</v>
      </c>
      <c r="J46" s="35" t="str">
        <f>IF(Scoring!AK47="","",Scoring!AK47)</f>
        <v>OK</v>
      </c>
    </row>
    <row r="48" spans="1:10" ht="15" customHeight="1" thickBot="1" x14ac:dyDescent="0.35">
      <c r="A48" s="137" t="s">
        <v>279</v>
      </c>
      <c r="B48" s="137"/>
      <c r="C48" s="137"/>
      <c r="D48" s="137"/>
      <c r="E48" s="137"/>
      <c r="F48" s="137"/>
    </row>
    <row r="49" spans="1:2" ht="15.75" customHeight="1" x14ac:dyDescent="0.3">
      <c r="A49" s="179">
        <f>SUBTOTAL(103,A2:A47)</f>
        <v>26</v>
      </c>
      <c r="B49" s="180" t="s">
        <v>280</v>
      </c>
    </row>
  </sheetData>
  <conditionalFormatting sqref="F2:F46">
    <cfRule type="cellIs" dxfId="67" priority="2" operator="equal">
      <formula>"STRONG BUY"</formula>
    </cfRule>
    <cfRule type="cellIs" dxfId="66" priority="3" operator="equal">
      <formula>"BUY"</formula>
    </cfRule>
    <cfRule type="cellIs" dxfId="65" priority="4" operator="equal">
      <formula>"WATCH LIST"</formula>
    </cfRule>
    <cfRule type="cellIs" dxfId="64" priority="5" operator="equal">
      <formula>"AVOID"</formula>
    </cfRule>
    <cfRule type="cellIs" dxfId="63" priority="6" operator="equal">
      <formula>"PASS"</formula>
    </cfRule>
  </conditionalFormatting>
  <conditionalFormatting sqref="G2:G46">
    <cfRule type="cellIs" dxfId="62" priority="7" operator="equal">
      <formula>"FAIL"</formula>
    </cfRule>
  </conditionalFormatting>
  <conditionalFormatting sqref="H2:H46">
    <cfRule type="cellIs" dxfId="61" priority="9" operator="equal">
      <formula>"REVIEW"</formula>
    </cfRule>
  </conditionalFormatting>
  <conditionalFormatting sqref="I2:I46">
    <cfRule type="cellIs" dxfId="60" priority="8" operator="equal">
      <formula>"AVOID"</formula>
    </cfRule>
  </conditionalFormatting>
  <conditionalFormatting sqref="J2:J46">
    <cfRule type="cellIs" dxfId="59" priority="10" operator="equal">
      <formula>"CAP AT BUY"</formula>
    </cfRule>
  </conditionalFormatting>
  <pageMargins left="0.75" right="0.75" top="1" bottom="1" header="0.511811023622047" footer="0.51180555555555596"/>
  <pageSetup paperSize="9" orientation="portrait" horizontalDpi="300" verticalDpi="300"/>
  <headerFooter>
    <oddFooter>&amp;L&amp;"Arial Narrow,Regular"&amp;8 &amp;F&amp;C&amp;"Arial Narrow,Regular"&amp;8 &amp;A - &amp;D &amp;T&amp;R&amp;"Arial,Regular" &amp;P / &amp;N</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T62"/>
  <sheetViews>
    <sheetView showGridLines="0" zoomScaleNormal="100" workbookViewId="0">
      <pane xSplit="3" ySplit="2" topLeftCell="AI43" activePane="bottomRight" state="frozen"/>
      <selection pane="topRight" activeCell="D1" sqref="D1"/>
      <selection pane="bottomLeft" activeCell="A3" sqref="A3"/>
      <selection pane="bottomRight" activeCell="AM55" sqref="AM55"/>
    </sheetView>
  </sheetViews>
  <sheetFormatPr defaultColWidth="8.6640625" defaultRowHeight="13.8" outlineLevelRow="1" outlineLevelCol="1" x14ac:dyDescent="0.25"/>
  <cols>
    <col min="1" max="1" width="8" style="57" customWidth="1"/>
    <col min="2" max="2" width="19.77734375" style="57" customWidth="1"/>
    <col min="3" max="3" width="10" style="57" customWidth="1"/>
    <col min="4" max="4" width="8.77734375" style="57" customWidth="1" outlineLevel="1"/>
    <col min="5" max="5" width="7.109375" style="57" customWidth="1" outlineLevel="1"/>
    <col min="6" max="6" width="7.6640625" style="57" customWidth="1" outlineLevel="1"/>
    <col min="7" max="7" width="6.77734375" style="57" customWidth="1" outlineLevel="1"/>
    <col min="8" max="8" width="7.21875" style="57" customWidth="1" outlineLevel="1"/>
    <col min="9" max="9" width="6.44140625" style="57" customWidth="1" outlineLevel="1"/>
    <col min="10" max="10" width="7.88671875" style="57" customWidth="1" outlineLevel="1"/>
    <col min="11" max="11" width="6.44140625" style="57" customWidth="1" outlineLevel="1"/>
    <col min="12" max="12" width="7.44140625" style="57" customWidth="1" outlineLevel="1"/>
    <col min="13" max="13" width="9.5546875" style="57" customWidth="1" outlineLevel="1"/>
    <col min="14" max="14" width="8.77734375" style="57" customWidth="1" outlineLevel="1"/>
    <col min="15" max="15" width="7.5546875" style="57" customWidth="1" outlineLevel="1"/>
    <col min="16" max="16" width="8.77734375" style="57" customWidth="1" outlineLevel="1"/>
    <col min="17" max="17" width="6.44140625" style="57" customWidth="1" outlineLevel="1"/>
    <col min="18" max="18" width="6.88671875" style="57" customWidth="1" outlineLevel="1"/>
    <col min="19" max="19" width="6.33203125" style="57" customWidth="1" outlineLevel="1"/>
    <col min="20" max="20" width="7.77734375" style="57" customWidth="1" outlineLevel="1"/>
    <col min="21" max="21" width="6.33203125" style="57" customWidth="1" outlineLevel="1"/>
    <col min="22" max="22" width="8.77734375" style="57" customWidth="1" outlineLevel="1"/>
    <col min="23" max="23" width="6.33203125" style="57" customWidth="1" outlineLevel="1"/>
    <col min="24" max="24" width="7.109375" style="57" customWidth="1" outlineLevel="1"/>
    <col min="25" max="25" width="8" style="57" customWidth="1" outlineLevel="1"/>
    <col min="26" max="26" width="6.109375" style="57" customWidth="1" outlineLevel="1"/>
    <col min="27" max="27" width="9.5546875" style="57" customWidth="1" outlineLevel="1"/>
    <col min="28" max="28" width="6.88671875" style="57" customWidth="1" outlineLevel="1"/>
    <col min="29" max="29" width="8" style="57" customWidth="1" outlineLevel="1"/>
    <col min="30" max="30" width="6.5546875" style="57" customWidth="1" outlineLevel="1"/>
    <col min="31" max="31" width="7.6640625" style="57" customWidth="1" outlineLevel="1"/>
    <col min="32" max="32" width="9" style="57" customWidth="1" outlineLevel="1"/>
    <col min="33" max="33" width="12" style="57" customWidth="1"/>
    <col min="34" max="34" width="8" style="57" customWidth="1"/>
    <col min="35" max="35" width="6.44140625" style="57" customWidth="1"/>
    <col min="36" max="36" width="7" style="57" customWidth="1"/>
    <col min="37" max="37" width="7.6640625" style="57" customWidth="1"/>
    <col min="38" max="38" width="16.21875" style="57" customWidth="1"/>
    <col min="39" max="39" width="24.77734375" style="57" customWidth="1"/>
    <col min="40" max="40" width="13.6640625" style="57" hidden="1" customWidth="1" outlineLevel="1"/>
    <col min="41" max="41" width="14.109375" style="57" hidden="1" customWidth="1" outlineLevel="1"/>
    <col min="42" max="45" width="10" style="57" hidden="1" customWidth="1" outlineLevel="1"/>
    <col min="46" max="46" width="8.6640625" style="57" collapsed="1"/>
    <col min="47" max="16384" width="8.6640625" style="57"/>
  </cols>
  <sheetData>
    <row r="1" spans="1:45" ht="22.2" customHeight="1" x14ac:dyDescent="0.25">
      <c r="D1" s="1" t="s">
        <v>281</v>
      </c>
      <c r="E1" s="1"/>
      <c r="F1" s="1"/>
      <c r="G1" s="1"/>
      <c r="H1" s="1"/>
      <c r="I1" s="1"/>
      <c r="J1" s="1"/>
      <c r="K1" s="1"/>
      <c r="L1" s="1"/>
      <c r="M1" s="1"/>
      <c r="N1" s="1"/>
      <c r="O1" s="1"/>
      <c r="P1" s="1" t="s">
        <v>282</v>
      </c>
      <c r="Q1" s="1"/>
      <c r="R1" s="1"/>
      <c r="S1" s="1"/>
      <c r="T1" s="1"/>
      <c r="U1" s="1"/>
      <c r="V1" s="1"/>
      <c r="W1" s="1"/>
      <c r="X1" s="1"/>
      <c r="Y1" s="181" t="s">
        <v>283</v>
      </c>
      <c r="Z1" s="181"/>
      <c r="AA1" s="181"/>
      <c r="AB1" s="181"/>
      <c r="AC1" s="181"/>
      <c r="AD1" s="181"/>
      <c r="AE1" s="181"/>
      <c r="AH1" s="122" t="s">
        <v>284</v>
      </c>
      <c r="AI1" s="122"/>
      <c r="AJ1" s="122"/>
      <c r="AK1" s="122"/>
      <c r="AL1" s="122" t="s">
        <v>285</v>
      </c>
      <c r="AM1" s="122"/>
      <c r="AN1" s="184" t="s">
        <v>286</v>
      </c>
      <c r="AO1" s="184"/>
      <c r="AP1" s="184"/>
      <c r="AQ1" s="184"/>
      <c r="AR1" s="184"/>
      <c r="AS1" s="184"/>
    </row>
    <row r="2" spans="1:45" ht="40.200000000000003" customHeight="1" x14ac:dyDescent="0.25">
      <c r="A2" s="101" t="s">
        <v>76</v>
      </c>
      <c r="B2" s="101" t="s">
        <v>270</v>
      </c>
      <c r="C2" s="101" t="s">
        <v>287</v>
      </c>
      <c r="D2" s="101" t="s">
        <v>288</v>
      </c>
      <c r="E2" s="101" t="s">
        <v>289</v>
      </c>
      <c r="F2" s="101" t="s">
        <v>290</v>
      </c>
      <c r="G2" s="101" t="s">
        <v>289</v>
      </c>
      <c r="H2" s="101" t="s">
        <v>291</v>
      </c>
      <c r="I2" s="101" t="s">
        <v>289</v>
      </c>
      <c r="J2" s="101" t="s">
        <v>292</v>
      </c>
      <c r="K2" s="101" t="s">
        <v>289</v>
      </c>
      <c r="L2" s="101" t="s">
        <v>293</v>
      </c>
      <c r="M2" s="101" t="s">
        <v>294</v>
      </c>
      <c r="N2" s="101" t="s">
        <v>295</v>
      </c>
      <c r="O2" s="101" t="s">
        <v>296</v>
      </c>
      <c r="P2" s="101" t="s">
        <v>297</v>
      </c>
      <c r="Q2" s="101" t="s">
        <v>289</v>
      </c>
      <c r="R2" s="101" t="s">
        <v>298</v>
      </c>
      <c r="S2" s="101" t="s">
        <v>289</v>
      </c>
      <c r="T2" s="101" t="s">
        <v>299</v>
      </c>
      <c r="U2" s="101" t="s">
        <v>289</v>
      </c>
      <c r="V2" s="101" t="s">
        <v>300</v>
      </c>
      <c r="W2" s="101" t="s">
        <v>289</v>
      </c>
      <c r="X2" s="101" t="s">
        <v>301</v>
      </c>
      <c r="Y2" s="101" t="s">
        <v>302</v>
      </c>
      <c r="Z2" s="101" t="s">
        <v>289</v>
      </c>
      <c r="AA2" s="101" t="s">
        <v>303</v>
      </c>
      <c r="AB2" s="101" t="s">
        <v>289</v>
      </c>
      <c r="AC2" s="101" t="s">
        <v>304</v>
      </c>
      <c r="AD2" s="101" t="s">
        <v>289</v>
      </c>
      <c r="AE2" s="101" t="s">
        <v>305</v>
      </c>
      <c r="AF2" s="101" t="s">
        <v>306</v>
      </c>
      <c r="AG2" s="101" t="s">
        <v>274</v>
      </c>
      <c r="AH2" s="185" t="s">
        <v>307</v>
      </c>
      <c r="AI2" s="185" t="s">
        <v>308</v>
      </c>
      <c r="AJ2" s="185" t="s">
        <v>728</v>
      </c>
      <c r="AK2" s="185" t="s">
        <v>729</v>
      </c>
      <c r="AL2" s="100" t="s">
        <v>309</v>
      </c>
      <c r="AM2" s="50" t="s">
        <v>310</v>
      </c>
      <c r="AN2" s="59" t="s">
        <v>311</v>
      </c>
      <c r="AO2" s="59" t="s">
        <v>312</v>
      </c>
      <c r="AP2" s="59" t="s">
        <v>313</v>
      </c>
      <c r="AQ2" s="59" t="s">
        <v>314</v>
      </c>
      <c r="AR2" s="59" t="s">
        <v>315</v>
      </c>
      <c r="AS2" s="58" t="s">
        <v>316</v>
      </c>
    </row>
    <row r="3" spans="1:45" ht="15" customHeight="1" x14ac:dyDescent="0.25">
      <c r="A3" s="32" t="s">
        <v>103</v>
      </c>
      <c r="B3" s="182" t="s">
        <v>104</v>
      </c>
      <c r="C3" s="61">
        <v>46240</v>
      </c>
      <c r="D3" s="60">
        <v>3</v>
      </c>
      <c r="E3" s="60" t="s">
        <v>317</v>
      </c>
      <c r="F3" s="60">
        <v>3</v>
      </c>
      <c r="G3" s="60" t="s">
        <v>317</v>
      </c>
      <c r="H3" s="60">
        <v>4</v>
      </c>
      <c r="I3" s="60" t="s">
        <v>318</v>
      </c>
      <c r="J3" s="60">
        <v>5</v>
      </c>
      <c r="K3" s="60" t="s">
        <v>318</v>
      </c>
      <c r="L3" s="60">
        <v>4</v>
      </c>
      <c r="M3" s="60" t="s">
        <v>317</v>
      </c>
      <c r="N3" s="62">
        <f t="shared" ref="N3:N34" si="0">IF(COUNT(D3,F3,H3,J3,L3)=0,"",(D3*0.2+F3*0.15+H3*0.15+J3*0.1+L3*0.1)/(IF(D3&lt;&gt;"",0.2,0)+IF(F3&lt;&gt;"",0.15,0)+IF(H3&lt;&gt;"",0.15,0)+IF(J3&lt;&gt;"",0.1,0)+IF(L3&lt;&gt;"",0.1,0)))</f>
        <v>3.6428571428571428</v>
      </c>
      <c r="O3" s="63">
        <f t="shared" ref="O3:O34" si="1">IF(COUNT(D3,F3,H3,J3,L3)=0,"",D3*0.2+F3*0.15+H3*0.15+J3*0.1+L3*0.1)</f>
        <v>2.5499999999999998</v>
      </c>
      <c r="P3" s="60">
        <v>4</v>
      </c>
      <c r="Q3" s="60" t="s">
        <v>317</v>
      </c>
      <c r="R3" s="60">
        <v>5</v>
      </c>
      <c r="S3" s="60" t="s">
        <v>317</v>
      </c>
      <c r="T3" s="60">
        <v>5</v>
      </c>
      <c r="U3" s="60" t="s">
        <v>318</v>
      </c>
      <c r="V3" s="60">
        <v>1</v>
      </c>
      <c r="W3" s="60" t="s">
        <v>318</v>
      </c>
      <c r="X3" s="63">
        <f t="shared" ref="X3:X34" si="2">IF(COUNT(P3,R3,T3,V3)=0,"",P3*0.08+R3*0.06+T3*0.03+V3*0.08)</f>
        <v>0.85</v>
      </c>
      <c r="Y3" s="60">
        <v>5</v>
      </c>
      <c r="Z3" s="60" t="s">
        <v>318</v>
      </c>
      <c r="AA3" s="60">
        <v>3</v>
      </c>
      <c r="AB3" s="60" t="s">
        <v>317</v>
      </c>
      <c r="AC3" s="60">
        <v>3</v>
      </c>
      <c r="AD3" s="60" t="s">
        <v>319</v>
      </c>
      <c r="AE3" s="63">
        <f t="shared" ref="AE3:AE34" si="3">IF(COUNT(Y3,AA3,AC3)=0,"",Y3*0.02+AA3*0.02+AC3*0.01)</f>
        <v>0.19</v>
      </c>
      <c r="AF3" s="55">
        <f t="shared" ref="AF3:AF34" si="4">IF(OR(O3="",X3="",AE3=""),"",(O3+X3+AE3)*20)</f>
        <v>71.8</v>
      </c>
      <c r="AG3" s="51" t="str">
        <f t="shared" ref="AG3:AG34" si="5">IF(AF3="","",IF(AF3&gt;=80,"STRONG BUY",IF(AF3&gt;=65,"BUY",IF(AF3&gt;=50,"WATCH LIST",IF(AF3&gt;=35,"AVOID","PASS")))))</f>
        <v>BUY</v>
      </c>
      <c r="AH3" s="51" t="str">
        <f t="shared" ref="AH3:AH34" si="6">IF(N3="","",IF(N3&lt;3,"FAIL","OK"))</f>
        <v>OK</v>
      </c>
      <c r="AI3" s="51" t="str">
        <f t="shared" ref="AI3:AI34" si="7">IF(COUNT(D3:L3)=0,"",IF(COUNTIF(D3:L3,1)&gt;0,"REVIEW","OK"))</f>
        <v>OK</v>
      </c>
      <c r="AJ3" s="51" t="str">
        <f t="shared" ref="AJ3:AJ34" si="8">IF(COUNT(D3:L3)=0,"",IF(COUNTIF(D3:L3,"&lt;=2")&gt;=2,"AVOID","OK"))</f>
        <v>OK</v>
      </c>
      <c r="AK3" s="51" t="str">
        <f t="shared" ref="AK3:AK34" si="9">IF(COUNTA(E3:M3)=0,"",IF(COUNTIF(E3:M3,"L")&gt;=2,"CAP AT BUY","OK"))</f>
        <v>OK</v>
      </c>
      <c r="AL3" s="64" t="s">
        <v>320</v>
      </c>
      <c r="AM3" s="70" t="s">
        <v>321</v>
      </c>
      <c r="AN3" s="65">
        <v>17525000000</v>
      </c>
      <c r="AO3" s="66">
        <v>8539000000</v>
      </c>
      <c r="AP3" s="60" t="str">
        <f t="shared" ref="AP3:AP34" si="10">IF(OR(AN3="",AO3=""),"",IF(AN3&gt;AO3,"OK","LOW CONF"))</f>
        <v>OK</v>
      </c>
      <c r="AQ3" s="67">
        <v>9.1590000000000007</v>
      </c>
      <c r="AR3" s="63">
        <v>115.76</v>
      </c>
      <c r="AS3" s="68" t="str">
        <f t="shared" ref="AS3:AS34" si="11">IF(OR(AQ3="",AR3=""),"",IF(AQ3&lt;AR3,"Decreased",IF(AQ3&gt;AR3,"Increased","Flat")))</f>
        <v>Decreased</v>
      </c>
    </row>
    <row r="4" spans="1:45" ht="15" customHeight="1" x14ac:dyDescent="0.25">
      <c r="A4" s="32" t="s">
        <v>154</v>
      </c>
      <c r="B4" s="182" t="s">
        <v>155</v>
      </c>
      <c r="C4" s="61">
        <v>46240</v>
      </c>
      <c r="D4" s="60">
        <v>3</v>
      </c>
      <c r="E4" s="60" t="s">
        <v>317</v>
      </c>
      <c r="F4" s="60">
        <v>4</v>
      </c>
      <c r="G4" s="60" t="s">
        <v>318</v>
      </c>
      <c r="H4" s="60">
        <v>5</v>
      </c>
      <c r="I4" s="60" t="s">
        <v>318</v>
      </c>
      <c r="J4" s="60">
        <v>4</v>
      </c>
      <c r="K4" s="60" t="s">
        <v>317</v>
      </c>
      <c r="L4" s="60">
        <v>5</v>
      </c>
      <c r="M4" s="60" t="s">
        <v>318</v>
      </c>
      <c r="N4" s="62">
        <f t="shared" si="0"/>
        <v>4.0714285714285721</v>
      </c>
      <c r="O4" s="63">
        <f t="shared" si="1"/>
        <v>2.85</v>
      </c>
      <c r="P4" s="60">
        <v>4</v>
      </c>
      <c r="Q4" s="60" t="s">
        <v>318</v>
      </c>
      <c r="R4" s="60">
        <v>4</v>
      </c>
      <c r="S4" s="60" t="s">
        <v>319</v>
      </c>
      <c r="T4" s="60">
        <v>4</v>
      </c>
      <c r="U4" s="60" t="s">
        <v>317</v>
      </c>
      <c r="V4" s="60">
        <v>4</v>
      </c>
      <c r="W4" s="60" t="s">
        <v>317</v>
      </c>
      <c r="X4" s="63">
        <f t="shared" si="2"/>
        <v>1</v>
      </c>
      <c r="Y4" s="60">
        <v>3</v>
      </c>
      <c r="Z4" s="60" t="s">
        <v>317</v>
      </c>
      <c r="AA4" s="60">
        <v>5</v>
      </c>
      <c r="AB4" s="60" t="s">
        <v>318</v>
      </c>
      <c r="AC4" s="60">
        <v>3</v>
      </c>
      <c r="AD4" s="60" t="s">
        <v>317</v>
      </c>
      <c r="AE4" s="63">
        <f t="shared" si="3"/>
        <v>0.19</v>
      </c>
      <c r="AF4" s="55">
        <f t="shared" si="4"/>
        <v>80.8</v>
      </c>
      <c r="AG4" s="51" t="str">
        <f t="shared" si="5"/>
        <v>STRONG BUY</v>
      </c>
      <c r="AH4" s="51" t="str">
        <f t="shared" si="6"/>
        <v>OK</v>
      </c>
      <c r="AI4" s="51" t="str">
        <f t="shared" si="7"/>
        <v>OK</v>
      </c>
      <c r="AJ4" s="51" t="str">
        <f t="shared" si="8"/>
        <v>OK</v>
      </c>
      <c r="AK4" s="51" t="str">
        <f t="shared" si="9"/>
        <v>OK</v>
      </c>
      <c r="AL4" s="64" t="s">
        <v>320</v>
      </c>
      <c r="AM4" s="70" t="s">
        <v>321</v>
      </c>
      <c r="AN4" s="60"/>
      <c r="AO4" s="51"/>
      <c r="AP4" s="60" t="str">
        <f t="shared" si="10"/>
        <v/>
      </c>
      <c r="AQ4" s="60"/>
      <c r="AR4" s="51"/>
      <c r="AS4" s="68" t="str">
        <f t="shared" si="11"/>
        <v/>
      </c>
    </row>
    <row r="5" spans="1:45" ht="15" customHeight="1" x14ac:dyDescent="0.25">
      <c r="A5" s="32" t="s">
        <v>107</v>
      </c>
      <c r="B5" s="182" t="s">
        <v>108</v>
      </c>
      <c r="C5" s="61">
        <v>46240</v>
      </c>
      <c r="D5" s="60">
        <v>2</v>
      </c>
      <c r="E5" s="60" t="s">
        <v>318</v>
      </c>
      <c r="F5" s="60">
        <v>5</v>
      </c>
      <c r="G5" s="60" t="s">
        <v>318</v>
      </c>
      <c r="H5" s="60">
        <v>5</v>
      </c>
      <c r="I5" s="60" t="s">
        <v>317</v>
      </c>
      <c r="J5" s="60">
        <v>4</v>
      </c>
      <c r="K5" s="60" t="s">
        <v>317</v>
      </c>
      <c r="L5" s="60">
        <v>5</v>
      </c>
      <c r="M5" s="60" t="s">
        <v>318</v>
      </c>
      <c r="N5" s="62">
        <f t="shared" si="0"/>
        <v>4</v>
      </c>
      <c r="O5" s="63">
        <f t="shared" si="1"/>
        <v>2.8</v>
      </c>
      <c r="P5" s="60">
        <v>3</v>
      </c>
      <c r="Q5" s="60" t="s">
        <v>317</v>
      </c>
      <c r="R5" s="60">
        <v>5</v>
      </c>
      <c r="S5" s="60" t="s">
        <v>318</v>
      </c>
      <c r="T5" s="60">
        <v>3</v>
      </c>
      <c r="U5" s="60" t="s">
        <v>317</v>
      </c>
      <c r="V5" s="60">
        <v>2</v>
      </c>
      <c r="W5" s="60" t="s">
        <v>317</v>
      </c>
      <c r="X5" s="63">
        <f t="shared" si="2"/>
        <v>0.79</v>
      </c>
      <c r="Y5" s="60">
        <v>3</v>
      </c>
      <c r="Z5" s="60" t="s">
        <v>319</v>
      </c>
      <c r="AA5" s="60">
        <v>4</v>
      </c>
      <c r="AB5" s="60" t="s">
        <v>317</v>
      </c>
      <c r="AC5" s="60">
        <v>3</v>
      </c>
      <c r="AD5" s="60" t="s">
        <v>319</v>
      </c>
      <c r="AE5" s="63">
        <f t="shared" si="3"/>
        <v>0.17</v>
      </c>
      <c r="AF5" s="55">
        <f t="shared" si="4"/>
        <v>75.199999999999989</v>
      </c>
      <c r="AG5" s="51" t="str">
        <f t="shared" si="5"/>
        <v>BUY</v>
      </c>
      <c r="AH5" s="51" t="str">
        <f t="shared" si="6"/>
        <v>OK</v>
      </c>
      <c r="AI5" s="51" t="str">
        <f t="shared" si="7"/>
        <v>OK</v>
      </c>
      <c r="AJ5" s="51" t="str">
        <f t="shared" si="8"/>
        <v>OK</v>
      </c>
      <c r="AK5" s="51" t="str">
        <f t="shared" si="9"/>
        <v>OK</v>
      </c>
      <c r="AL5" s="64" t="s">
        <v>320</v>
      </c>
      <c r="AM5" s="70" t="s">
        <v>322</v>
      </c>
      <c r="AN5" s="60"/>
      <c r="AO5" s="51"/>
      <c r="AP5" s="60" t="str">
        <f t="shared" si="10"/>
        <v/>
      </c>
      <c r="AQ5" s="60"/>
      <c r="AR5" s="51"/>
      <c r="AS5" s="68" t="str">
        <f t="shared" si="11"/>
        <v/>
      </c>
    </row>
    <row r="6" spans="1:45" ht="15" customHeight="1" x14ac:dyDescent="0.25">
      <c r="A6" s="32" t="s">
        <v>105</v>
      </c>
      <c r="B6" s="182" t="s">
        <v>106</v>
      </c>
      <c r="C6" s="61">
        <v>46240</v>
      </c>
      <c r="D6" s="60">
        <v>4</v>
      </c>
      <c r="E6" s="60" t="s">
        <v>318</v>
      </c>
      <c r="F6" s="60">
        <v>5</v>
      </c>
      <c r="G6" s="60" t="s">
        <v>318</v>
      </c>
      <c r="H6" s="60">
        <v>5</v>
      </c>
      <c r="I6" s="60" t="s">
        <v>318</v>
      </c>
      <c r="J6" s="60">
        <v>4</v>
      </c>
      <c r="K6" s="60" t="s">
        <v>318</v>
      </c>
      <c r="L6" s="60">
        <v>5</v>
      </c>
      <c r="M6" s="60" t="s">
        <v>318</v>
      </c>
      <c r="N6" s="62">
        <f t="shared" si="0"/>
        <v>4.5714285714285712</v>
      </c>
      <c r="O6" s="63">
        <f t="shared" si="1"/>
        <v>3.1999999999999997</v>
      </c>
      <c r="P6" s="60">
        <v>5</v>
      </c>
      <c r="Q6" s="60" t="s">
        <v>318</v>
      </c>
      <c r="R6" s="60">
        <v>5</v>
      </c>
      <c r="S6" s="60" t="s">
        <v>318</v>
      </c>
      <c r="T6" s="60">
        <v>5</v>
      </c>
      <c r="U6" s="60" t="s">
        <v>318</v>
      </c>
      <c r="V6" s="60">
        <v>5</v>
      </c>
      <c r="W6" s="60" t="s">
        <v>317</v>
      </c>
      <c r="X6" s="63">
        <f t="shared" si="2"/>
        <v>1.25</v>
      </c>
      <c r="Y6" s="60">
        <v>4</v>
      </c>
      <c r="Z6" s="60" t="s">
        <v>317</v>
      </c>
      <c r="AA6" s="60">
        <v>5</v>
      </c>
      <c r="AB6" s="60" t="s">
        <v>317</v>
      </c>
      <c r="AC6" s="60">
        <v>3</v>
      </c>
      <c r="AD6" s="60" t="s">
        <v>319</v>
      </c>
      <c r="AE6" s="63">
        <f t="shared" si="3"/>
        <v>0.21</v>
      </c>
      <c r="AF6" s="55">
        <f t="shared" si="4"/>
        <v>93.199999999999989</v>
      </c>
      <c r="AG6" s="51" t="str">
        <f t="shared" si="5"/>
        <v>STRONG BUY</v>
      </c>
      <c r="AH6" s="51" t="str">
        <f t="shared" si="6"/>
        <v>OK</v>
      </c>
      <c r="AI6" s="51" t="str">
        <f t="shared" si="7"/>
        <v>OK</v>
      </c>
      <c r="AJ6" s="51" t="str">
        <f t="shared" si="8"/>
        <v>OK</v>
      </c>
      <c r="AK6" s="51" t="str">
        <f t="shared" si="9"/>
        <v>OK</v>
      </c>
      <c r="AL6" s="64" t="s">
        <v>320</v>
      </c>
      <c r="AM6" s="70" t="s">
        <v>321</v>
      </c>
      <c r="AN6" s="60"/>
      <c r="AO6" s="51"/>
      <c r="AP6" s="60" t="str">
        <f t="shared" si="10"/>
        <v/>
      </c>
      <c r="AQ6" s="60"/>
      <c r="AR6" s="51"/>
      <c r="AS6" s="68" t="str">
        <f t="shared" si="11"/>
        <v/>
      </c>
    </row>
    <row r="7" spans="1:45" ht="15" customHeight="1" x14ac:dyDescent="0.25">
      <c r="A7" s="32" t="s">
        <v>156</v>
      </c>
      <c r="B7" s="182" t="s">
        <v>157</v>
      </c>
      <c r="C7" s="61">
        <v>46241</v>
      </c>
      <c r="D7" s="60">
        <v>4</v>
      </c>
      <c r="E7" s="60" t="s">
        <v>318</v>
      </c>
      <c r="F7" s="60">
        <v>3</v>
      </c>
      <c r="G7" s="60" t="s">
        <v>317</v>
      </c>
      <c r="H7" s="60">
        <v>4</v>
      </c>
      <c r="I7" s="60" t="s">
        <v>317</v>
      </c>
      <c r="J7" s="60">
        <v>4</v>
      </c>
      <c r="K7" s="60" t="s">
        <v>317</v>
      </c>
      <c r="L7" s="60">
        <v>4</v>
      </c>
      <c r="M7" s="60" t="s">
        <v>318</v>
      </c>
      <c r="N7" s="62">
        <f t="shared" si="0"/>
        <v>3.785714285714286</v>
      </c>
      <c r="O7" s="63">
        <f t="shared" si="1"/>
        <v>2.65</v>
      </c>
      <c r="P7" s="60">
        <v>3</v>
      </c>
      <c r="Q7" s="60" t="s">
        <v>317</v>
      </c>
      <c r="R7" s="60">
        <v>4</v>
      </c>
      <c r="S7" s="60" t="s">
        <v>317</v>
      </c>
      <c r="T7" s="60">
        <v>4</v>
      </c>
      <c r="U7" s="60" t="s">
        <v>317</v>
      </c>
      <c r="V7" s="60">
        <v>4</v>
      </c>
      <c r="W7" s="60" t="s">
        <v>317</v>
      </c>
      <c r="X7" s="63">
        <f t="shared" si="2"/>
        <v>0.91999999999999993</v>
      </c>
      <c r="Y7" s="60">
        <v>4</v>
      </c>
      <c r="Z7" s="60" t="s">
        <v>317</v>
      </c>
      <c r="AA7" s="60">
        <v>5</v>
      </c>
      <c r="AB7" s="60" t="s">
        <v>318</v>
      </c>
      <c r="AC7" s="60">
        <v>3</v>
      </c>
      <c r="AD7" s="60" t="s">
        <v>319</v>
      </c>
      <c r="AE7" s="63">
        <f t="shared" si="3"/>
        <v>0.21</v>
      </c>
      <c r="AF7" s="55">
        <f t="shared" si="4"/>
        <v>75.599999999999994</v>
      </c>
      <c r="AG7" s="51" t="str">
        <f t="shared" si="5"/>
        <v>BUY</v>
      </c>
      <c r="AH7" s="51" t="str">
        <f t="shared" si="6"/>
        <v>OK</v>
      </c>
      <c r="AI7" s="51" t="str">
        <f t="shared" si="7"/>
        <v>OK</v>
      </c>
      <c r="AJ7" s="51" t="str">
        <f t="shared" si="8"/>
        <v>OK</v>
      </c>
      <c r="AK7" s="51" t="str">
        <f t="shared" si="9"/>
        <v>OK</v>
      </c>
      <c r="AL7" s="64" t="s">
        <v>323</v>
      </c>
      <c r="AM7" s="70" t="s">
        <v>324</v>
      </c>
      <c r="AN7" s="65">
        <v>3631400000</v>
      </c>
      <c r="AO7" s="66">
        <v>3953200000</v>
      </c>
      <c r="AP7" s="60" t="str">
        <f t="shared" si="10"/>
        <v>LOW CONF</v>
      </c>
      <c r="AQ7" s="67">
        <v>0.63600000000000001</v>
      </c>
      <c r="AR7" s="63">
        <v>-1.784</v>
      </c>
      <c r="AS7" s="68" t="str">
        <f t="shared" si="11"/>
        <v>Increased</v>
      </c>
    </row>
    <row r="8" spans="1:45" ht="15" customHeight="1" x14ac:dyDescent="0.25">
      <c r="A8" s="32" t="s">
        <v>159</v>
      </c>
      <c r="B8" s="182" t="s">
        <v>325</v>
      </c>
      <c r="C8" s="61">
        <v>46240</v>
      </c>
      <c r="D8" s="60">
        <v>4</v>
      </c>
      <c r="E8" s="60" t="s">
        <v>317</v>
      </c>
      <c r="F8" s="60">
        <v>4</v>
      </c>
      <c r="G8" s="60" t="s">
        <v>317</v>
      </c>
      <c r="H8" s="60">
        <v>5</v>
      </c>
      <c r="I8" s="60" t="s">
        <v>318</v>
      </c>
      <c r="J8" s="60">
        <v>4</v>
      </c>
      <c r="K8" s="60" t="s">
        <v>317</v>
      </c>
      <c r="L8" s="60">
        <v>5</v>
      </c>
      <c r="M8" s="60" t="s">
        <v>318</v>
      </c>
      <c r="N8" s="62">
        <f t="shared" si="0"/>
        <v>4.3571428571428568</v>
      </c>
      <c r="O8" s="63">
        <f t="shared" si="1"/>
        <v>3.05</v>
      </c>
      <c r="P8" s="60">
        <v>5</v>
      </c>
      <c r="Q8" s="60" t="s">
        <v>318</v>
      </c>
      <c r="R8" s="60">
        <v>3</v>
      </c>
      <c r="S8" s="60" t="s">
        <v>319</v>
      </c>
      <c r="T8" s="60">
        <v>4</v>
      </c>
      <c r="U8" s="60" t="s">
        <v>319</v>
      </c>
      <c r="V8" s="60">
        <v>2</v>
      </c>
      <c r="W8" s="60" t="s">
        <v>318</v>
      </c>
      <c r="X8" s="63">
        <f t="shared" si="2"/>
        <v>0.8600000000000001</v>
      </c>
      <c r="Y8" s="60">
        <v>4</v>
      </c>
      <c r="Z8" s="60" t="s">
        <v>319</v>
      </c>
      <c r="AA8" s="60">
        <v>4</v>
      </c>
      <c r="AB8" s="60" t="s">
        <v>317</v>
      </c>
      <c r="AC8" s="60">
        <v>3</v>
      </c>
      <c r="AD8" s="60" t="s">
        <v>319</v>
      </c>
      <c r="AE8" s="63">
        <f t="shared" si="3"/>
        <v>0.19</v>
      </c>
      <c r="AF8" s="55">
        <f t="shared" si="4"/>
        <v>82.000000000000014</v>
      </c>
      <c r="AG8" s="51" t="str">
        <f t="shared" si="5"/>
        <v>STRONG BUY</v>
      </c>
      <c r="AH8" s="51" t="str">
        <f t="shared" si="6"/>
        <v>OK</v>
      </c>
      <c r="AI8" s="51" t="str">
        <f t="shared" si="7"/>
        <v>OK</v>
      </c>
      <c r="AJ8" s="51" t="str">
        <f t="shared" si="8"/>
        <v>OK</v>
      </c>
      <c r="AK8" s="51" t="str">
        <f t="shared" si="9"/>
        <v>OK</v>
      </c>
      <c r="AL8" s="64" t="s">
        <v>326</v>
      </c>
      <c r="AM8" s="70" t="s">
        <v>327</v>
      </c>
      <c r="AN8" s="60"/>
      <c r="AO8" s="51"/>
      <c r="AP8" s="60" t="str">
        <f t="shared" si="10"/>
        <v/>
      </c>
      <c r="AQ8" s="60"/>
      <c r="AR8" s="51"/>
      <c r="AS8" s="68" t="str">
        <f t="shared" si="11"/>
        <v/>
      </c>
    </row>
    <row r="9" spans="1:45" ht="15" hidden="1" customHeight="1" outlineLevel="1" x14ac:dyDescent="0.25">
      <c r="A9" s="32" t="s">
        <v>162</v>
      </c>
      <c r="B9" s="182" t="s">
        <v>163</v>
      </c>
      <c r="C9" s="61">
        <v>46240</v>
      </c>
      <c r="D9" s="60">
        <v>2</v>
      </c>
      <c r="E9" s="60" t="s">
        <v>317</v>
      </c>
      <c r="F9" s="60">
        <v>2</v>
      </c>
      <c r="G9" s="60" t="s">
        <v>317</v>
      </c>
      <c r="H9" s="60">
        <v>2</v>
      </c>
      <c r="I9" s="60" t="s">
        <v>317</v>
      </c>
      <c r="J9" s="60">
        <v>2</v>
      </c>
      <c r="K9" s="60" t="s">
        <v>317</v>
      </c>
      <c r="L9" s="60">
        <v>1</v>
      </c>
      <c r="M9" s="60" t="s">
        <v>318</v>
      </c>
      <c r="N9" s="62">
        <f t="shared" si="0"/>
        <v>1.8571428571428574</v>
      </c>
      <c r="O9" s="63">
        <f t="shared" si="1"/>
        <v>1.3</v>
      </c>
      <c r="P9" s="60"/>
      <c r="Q9" s="60"/>
      <c r="R9" s="60"/>
      <c r="S9" s="60"/>
      <c r="T9" s="60"/>
      <c r="U9" s="60"/>
      <c r="V9" s="60"/>
      <c r="W9" s="60"/>
      <c r="X9" s="63" t="str">
        <f t="shared" si="2"/>
        <v/>
      </c>
      <c r="Y9" s="60"/>
      <c r="Z9" s="60"/>
      <c r="AA9" s="60"/>
      <c r="AB9" s="60"/>
      <c r="AC9" s="60"/>
      <c r="AD9" s="60"/>
      <c r="AE9" s="63" t="str">
        <f t="shared" si="3"/>
        <v/>
      </c>
      <c r="AF9" s="55" t="str">
        <f t="shared" si="4"/>
        <v/>
      </c>
      <c r="AG9" s="51" t="str">
        <f t="shared" si="5"/>
        <v/>
      </c>
      <c r="AH9" s="51" t="str">
        <f t="shared" si="6"/>
        <v>FAIL</v>
      </c>
      <c r="AI9" s="51" t="str">
        <f t="shared" si="7"/>
        <v>REVIEW</v>
      </c>
      <c r="AJ9" s="51" t="str">
        <f t="shared" si="8"/>
        <v>AVOID</v>
      </c>
      <c r="AK9" s="51" t="str">
        <f t="shared" si="9"/>
        <v>OK</v>
      </c>
      <c r="AL9" s="64" t="s">
        <v>328</v>
      </c>
      <c r="AM9" s="70" t="s">
        <v>329</v>
      </c>
      <c r="AN9" s="65">
        <v>715998000</v>
      </c>
      <c r="AO9" s="66">
        <v>523670000</v>
      </c>
      <c r="AP9" s="60" t="str">
        <f t="shared" si="10"/>
        <v>OK</v>
      </c>
      <c r="AQ9" s="67">
        <v>4.1550000000000002</v>
      </c>
      <c r="AR9" s="63">
        <v>4.048</v>
      </c>
      <c r="AS9" s="68" t="str">
        <f t="shared" si="11"/>
        <v>Increased</v>
      </c>
    </row>
    <row r="10" spans="1:45" ht="15" hidden="1" customHeight="1" outlineLevel="1" x14ac:dyDescent="0.25">
      <c r="A10" s="32" t="s">
        <v>173</v>
      </c>
      <c r="B10" s="182" t="s">
        <v>174</v>
      </c>
      <c r="C10" s="61">
        <v>46240</v>
      </c>
      <c r="D10" s="60">
        <v>2</v>
      </c>
      <c r="E10" s="60" t="s">
        <v>317</v>
      </c>
      <c r="F10" s="60">
        <v>4</v>
      </c>
      <c r="G10" s="60" t="s">
        <v>318</v>
      </c>
      <c r="H10" s="60">
        <v>3</v>
      </c>
      <c r="I10" s="60" t="s">
        <v>317</v>
      </c>
      <c r="J10" s="60">
        <v>2</v>
      </c>
      <c r="K10" s="60" t="s">
        <v>317</v>
      </c>
      <c r="L10" s="60">
        <v>2</v>
      </c>
      <c r="M10" s="60" t="s">
        <v>318</v>
      </c>
      <c r="N10" s="62">
        <f t="shared" si="0"/>
        <v>2.6428571428571428</v>
      </c>
      <c r="O10" s="63">
        <f t="shared" si="1"/>
        <v>1.8499999999999999</v>
      </c>
      <c r="P10" s="60"/>
      <c r="Q10" s="60"/>
      <c r="R10" s="60"/>
      <c r="S10" s="60"/>
      <c r="T10" s="60"/>
      <c r="U10" s="60"/>
      <c r="V10" s="60"/>
      <c r="W10" s="60"/>
      <c r="X10" s="63" t="str">
        <f t="shared" si="2"/>
        <v/>
      </c>
      <c r="Y10" s="60"/>
      <c r="Z10" s="60"/>
      <c r="AA10" s="60"/>
      <c r="AB10" s="60"/>
      <c r="AC10" s="60"/>
      <c r="AD10" s="60"/>
      <c r="AE10" s="63" t="str">
        <f t="shared" si="3"/>
        <v/>
      </c>
      <c r="AF10" s="55" t="str">
        <f t="shared" si="4"/>
        <v/>
      </c>
      <c r="AG10" s="51" t="str">
        <f t="shared" si="5"/>
        <v/>
      </c>
      <c r="AH10" s="51" t="str">
        <f t="shared" si="6"/>
        <v>FAIL</v>
      </c>
      <c r="AI10" s="51" t="str">
        <f t="shared" si="7"/>
        <v>OK</v>
      </c>
      <c r="AJ10" s="51" t="str">
        <f t="shared" si="8"/>
        <v>AVOID</v>
      </c>
      <c r="AK10" s="51" t="str">
        <f t="shared" si="9"/>
        <v>OK</v>
      </c>
      <c r="AL10" s="64" t="s">
        <v>330</v>
      </c>
      <c r="AM10" s="70" t="s">
        <v>331</v>
      </c>
      <c r="AN10" s="65">
        <v>359500000</v>
      </c>
      <c r="AO10" s="66">
        <v>203700000</v>
      </c>
      <c r="AP10" s="60" t="str">
        <f t="shared" si="10"/>
        <v>OK</v>
      </c>
      <c r="AQ10" s="67">
        <v>1.857</v>
      </c>
      <c r="AR10" s="63">
        <v>0.78</v>
      </c>
      <c r="AS10" s="68" t="str">
        <f t="shared" si="11"/>
        <v>Increased</v>
      </c>
    </row>
    <row r="11" spans="1:45" ht="15" hidden="1" customHeight="1" outlineLevel="1" x14ac:dyDescent="0.25">
      <c r="A11" s="32" t="s">
        <v>165</v>
      </c>
      <c r="B11" s="182" t="s">
        <v>166</v>
      </c>
      <c r="C11" s="61">
        <v>46240</v>
      </c>
      <c r="D11" s="60">
        <v>1</v>
      </c>
      <c r="E11" s="60" t="s">
        <v>318</v>
      </c>
      <c r="F11" s="60">
        <v>2</v>
      </c>
      <c r="G11" s="60" t="s">
        <v>317</v>
      </c>
      <c r="H11" s="60">
        <v>3</v>
      </c>
      <c r="I11" s="60" t="s">
        <v>317</v>
      </c>
      <c r="J11" s="60">
        <v>3</v>
      </c>
      <c r="K11" s="60" t="s">
        <v>317</v>
      </c>
      <c r="L11" s="60">
        <v>1</v>
      </c>
      <c r="M11" s="60" t="s">
        <v>318</v>
      </c>
      <c r="N11" s="62">
        <f t="shared" si="0"/>
        <v>1.9285714285714288</v>
      </c>
      <c r="O11" s="63">
        <f t="shared" si="1"/>
        <v>1.35</v>
      </c>
      <c r="P11" s="60"/>
      <c r="Q11" s="60"/>
      <c r="R11" s="60"/>
      <c r="S11" s="60"/>
      <c r="T11" s="60"/>
      <c r="U11" s="60"/>
      <c r="V11" s="60"/>
      <c r="W11" s="60"/>
      <c r="X11" s="63" t="str">
        <f t="shared" si="2"/>
        <v/>
      </c>
      <c r="Y11" s="60"/>
      <c r="Z11" s="60"/>
      <c r="AA11" s="60"/>
      <c r="AB11" s="60"/>
      <c r="AC11" s="60"/>
      <c r="AD11" s="60"/>
      <c r="AE11" s="63" t="str">
        <f t="shared" si="3"/>
        <v/>
      </c>
      <c r="AF11" s="55" t="str">
        <f t="shared" si="4"/>
        <v/>
      </c>
      <c r="AG11" s="51" t="str">
        <f t="shared" si="5"/>
        <v/>
      </c>
      <c r="AH11" s="51" t="str">
        <f t="shared" si="6"/>
        <v>FAIL</v>
      </c>
      <c r="AI11" s="51" t="str">
        <f t="shared" si="7"/>
        <v>REVIEW</v>
      </c>
      <c r="AJ11" s="51" t="str">
        <f t="shared" si="8"/>
        <v>AVOID</v>
      </c>
      <c r="AK11" s="51" t="str">
        <f t="shared" si="9"/>
        <v>OK</v>
      </c>
      <c r="AL11" s="64" t="s">
        <v>330</v>
      </c>
      <c r="AM11" s="70" t="s">
        <v>332</v>
      </c>
      <c r="AN11" s="65">
        <v>14747000000</v>
      </c>
      <c r="AO11" s="66">
        <v>3794000000</v>
      </c>
      <c r="AP11" s="60" t="str">
        <f t="shared" si="10"/>
        <v>OK</v>
      </c>
      <c r="AQ11" s="67">
        <v>2.3660000000000001</v>
      </c>
      <c r="AR11" s="63">
        <v>3.8039999999999998</v>
      </c>
      <c r="AS11" s="68" t="str">
        <f t="shared" si="11"/>
        <v>Decreased</v>
      </c>
    </row>
    <row r="12" spans="1:45" ht="15" customHeight="1" collapsed="1" x14ac:dyDescent="0.25">
      <c r="A12" s="32" t="s">
        <v>90</v>
      </c>
      <c r="B12" s="182" t="s">
        <v>91</v>
      </c>
      <c r="C12" s="61">
        <v>46240</v>
      </c>
      <c r="D12" s="60">
        <v>5</v>
      </c>
      <c r="E12" s="60" t="s">
        <v>318</v>
      </c>
      <c r="F12" s="60">
        <v>4</v>
      </c>
      <c r="G12" s="60" t="s">
        <v>318</v>
      </c>
      <c r="H12" s="60">
        <v>4</v>
      </c>
      <c r="I12" s="60" t="s">
        <v>317</v>
      </c>
      <c r="J12" s="60">
        <v>5</v>
      </c>
      <c r="K12" s="60" t="s">
        <v>318</v>
      </c>
      <c r="L12" s="60">
        <v>5</v>
      </c>
      <c r="M12" s="60" t="s">
        <v>318</v>
      </c>
      <c r="N12" s="62">
        <f t="shared" si="0"/>
        <v>4.5714285714285721</v>
      </c>
      <c r="O12" s="63">
        <f t="shared" si="1"/>
        <v>3.2</v>
      </c>
      <c r="P12" s="60">
        <v>3</v>
      </c>
      <c r="Q12" s="60" t="s">
        <v>317</v>
      </c>
      <c r="R12" s="60">
        <v>5</v>
      </c>
      <c r="S12" s="60" t="s">
        <v>318</v>
      </c>
      <c r="T12" s="60">
        <v>1</v>
      </c>
      <c r="U12" s="60" t="s">
        <v>318</v>
      </c>
      <c r="V12" s="60">
        <v>5</v>
      </c>
      <c r="W12" s="60" t="s">
        <v>318</v>
      </c>
      <c r="X12" s="63">
        <f t="shared" si="2"/>
        <v>0.97000000000000008</v>
      </c>
      <c r="Y12" s="60">
        <v>2</v>
      </c>
      <c r="Z12" s="60" t="s">
        <v>317</v>
      </c>
      <c r="AA12" s="60">
        <v>3</v>
      </c>
      <c r="AB12" s="60" t="s">
        <v>317</v>
      </c>
      <c r="AC12" s="60">
        <v>2</v>
      </c>
      <c r="AD12" s="60" t="s">
        <v>319</v>
      </c>
      <c r="AE12" s="63">
        <f t="shared" si="3"/>
        <v>0.12000000000000001</v>
      </c>
      <c r="AF12" s="55">
        <f t="shared" si="4"/>
        <v>85.8</v>
      </c>
      <c r="AG12" s="51" t="str">
        <f t="shared" si="5"/>
        <v>STRONG BUY</v>
      </c>
      <c r="AH12" s="51" t="str">
        <f t="shared" si="6"/>
        <v>OK</v>
      </c>
      <c r="AI12" s="51" t="str">
        <f t="shared" si="7"/>
        <v>OK</v>
      </c>
      <c r="AJ12" s="51" t="str">
        <f t="shared" si="8"/>
        <v>OK</v>
      </c>
      <c r="AK12" s="51" t="str">
        <f t="shared" si="9"/>
        <v>OK</v>
      </c>
      <c r="AL12" s="64" t="s">
        <v>320</v>
      </c>
      <c r="AM12" s="70" t="s">
        <v>333</v>
      </c>
      <c r="AN12" s="60"/>
      <c r="AO12" s="51"/>
      <c r="AP12" s="60" t="str">
        <f t="shared" si="10"/>
        <v/>
      </c>
      <c r="AQ12" s="60"/>
      <c r="AR12" s="51"/>
      <c r="AS12" s="68" t="str">
        <f t="shared" si="11"/>
        <v/>
      </c>
    </row>
    <row r="13" spans="1:45" ht="15" customHeight="1" x14ac:dyDescent="0.25">
      <c r="A13" s="32" t="s">
        <v>95</v>
      </c>
      <c r="B13" s="182" t="s">
        <v>96</v>
      </c>
      <c r="C13" s="61">
        <v>46240</v>
      </c>
      <c r="D13" s="60">
        <v>4</v>
      </c>
      <c r="E13" s="60" t="s">
        <v>317</v>
      </c>
      <c r="F13" s="60">
        <v>5</v>
      </c>
      <c r="G13" s="60" t="s">
        <v>318</v>
      </c>
      <c r="H13" s="60">
        <v>5</v>
      </c>
      <c r="I13" s="60" t="s">
        <v>318</v>
      </c>
      <c r="J13" s="60">
        <v>4</v>
      </c>
      <c r="K13" s="60" t="s">
        <v>317</v>
      </c>
      <c r="L13" s="60">
        <v>5</v>
      </c>
      <c r="M13" s="60" t="s">
        <v>318</v>
      </c>
      <c r="N13" s="62">
        <f t="shared" si="0"/>
        <v>4.5714285714285712</v>
      </c>
      <c r="O13" s="63">
        <f t="shared" si="1"/>
        <v>3.1999999999999997</v>
      </c>
      <c r="P13" s="60">
        <v>4</v>
      </c>
      <c r="Q13" s="60" t="s">
        <v>318</v>
      </c>
      <c r="R13" s="60">
        <v>5</v>
      </c>
      <c r="S13" s="60" t="s">
        <v>318</v>
      </c>
      <c r="T13" s="60">
        <v>5</v>
      </c>
      <c r="U13" s="60" t="s">
        <v>317</v>
      </c>
      <c r="V13" s="60">
        <v>1</v>
      </c>
      <c r="W13" s="60" t="s">
        <v>318</v>
      </c>
      <c r="X13" s="63">
        <f t="shared" si="2"/>
        <v>0.85</v>
      </c>
      <c r="Y13" s="60">
        <v>4</v>
      </c>
      <c r="Z13" s="60" t="s">
        <v>317</v>
      </c>
      <c r="AA13" s="60">
        <v>5</v>
      </c>
      <c r="AB13" s="60" t="s">
        <v>318</v>
      </c>
      <c r="AC13" s="60">
        <v>2</v>
      </c>
      <c r="AD13" s="60" t="s">
        <v>317</v>
      </c>
      <c r="AE13" s="63">
        <f t="shared" si="3"/>
        <v>0.19999999999999998</v>
      </c>
      <c r="AF13" s="55">
        <f t="shared" si="4"/>
        <v>85</v>
      </c>
      <c r="AG13" s="51" t="str">
        <f t="shared" si="5"/>
        <v>STRONG BUY</v>
      </c>
      <c r="AH13" s="51" t="str">
        <f t="shared" si="6"/>
        <v>OK</v>
      </c>
      <c r="AI13" s="51" t="str">
        <f t="shared" si="7"/>
        <v>OK</v>
      </c>
      <c r="AJ13" s="51" t="str">
        <f t="shared" si="8"/>
        <v>OK</v>
      </c>
      <c r="AK13" s="51" t="str">
        <f t="shared" si="9"/>
        <v>OK</v>
      </c>
      <c r="AL13" s="64" t="s">
        <v>320</v>
      </c>
      <c r="AM13" s="70" t="s">
        <v>334</v>
      </c>
      <c r="AN13" s="60"/>
      <c r="AO13" s="51"/>
      <c r="AP13" s="60" t="str">
        <f t="shared" si="10"/>
        <v/>
      </c>
      <c r="AQ13" s="60"/>
      <c r="AR13" s="51"/>
      <c r="AS13" s="68" t="str">
        <f t="shared" si="11"/>
        <v/>
      </c>
    </row>
    <row r="14" spans="1:45" ht="15" customHeight="1" x14ac:dyDescent="0.25">
      <c r="A14" s="32" t="s">
        <v>97</v>
      </c>
      <c r="B14" s="182" t="s">
        <v>98</v>
      </c>
      <c r="C14" s="61">
        <v>46240</v>
      </c>
      <c r="D14" s="60">
        <v>3</v>
      </c>
      <c r="E14" s="60" t="s">
        <v>317</v>
      </c>
      <c r="F14" s="60">
        <v>3</v>
      </c>
      <c r="G14" s="60" t="s">
        <v>317</v>
      </c>
      <c r="H14" s="60">
        <v>5</v>
      </c>
      <c r="I14" s="60" t="s">
        <v>318</v>
      </c>
      <c r="J14" s="60">
        <v>4</v>
      </c>
      <c r="K14" s="60" t="s">
        <v>317</v>
      </c>
      <c r="L14" s="60">
        <v>3</v>
      </c>
      <c r="M14" s="60" t="s">
        <v>317</v>
      </c>
      <c r="N14" s="62">
        <f t="shared" si="0"/>
        <v>3.5714285714285716</v>
      </c>
      <c r="O14" s="63">
        <f t="shared" si="1"/>
        <v>2.5</v>
      </c>
      <c r="P14" s="60">
        <v>4</v>
      </c>
      <c r="Q14" s="60" t="s">
        <v>317</v>
      </c>
      <c r="R14" s="60">
        <v>5</v>
      </c>
      <c r="S14" s="60" t="s">
        <v>318</v>
      </c>
      <c r="T14" s="60">
        <v>5</v>
      </c>
      <c r="U14" s="60" t="s">
        <v>318</v>
      </c>
      <c r="V14" s="60">
        <v>2</v>
      </c>
      <c r="W14" s="60" t="s">
        <v>317</v>
      </c>
      <c r="X14" s="63">
        <f t="shared" si="2"/>
        <v>0.93</v>
      </c>
      <c r="Y14" s="60">
        <v>5</v>
      </c>
      <c r="Z14" s="60" t="s">
        <v>317</v>
      </c>
      <c r="AA14" s="60">
        <v>5</v>
      </c>
      <c r="AB14" s="60" t="s">
        <v>318</v>
      </c>
      <c r="AC14" s="60">
        <v>3</v>
      </c>
      <c r="AD14" s="60" t="s">
        <v>319</v>
      </c>
      <c r="AE14" s="63">
        <f t="shared" si="3"/>
        <v>0.23</v>
      </c>
      <c r="AF14" s="55">
        <f t="shared" si="4"/>
        <v>73.2</v>
      </c>
      <c r="AG14" s="51" t="str">
        <f t="shared" si="5"/>
        <v>BUY</v>
      </c>
      <c r="AH14" s="51" t="str">
        <f t="shared" si="6"/>
        <v>OK</v>
      </c>
      <c r="AI14" s="51" t="str">
        <f t="shared" si="7"/>
        <v>OK</v>
      </c>
      <c r="AJ14" s="51" t="str">
        <f t="shared" si="8"/>
        <v>OK</v>
      </c>
      <c r="AK14" s="51" t="str">
        <f t="shared" si="9"/>
        <v>OK</v>
      </c>
      <c r="AL14" s="64" t="s">
        <v>320</v>
      </c>
      <c r="AM14" s="70" t="s">
        <v>335</v>
      </c>
      <c r="AN14" s="60"/>
      <c r="AO14" s="51"/>
      <c r="AP14" s="60" t="str">
        <f t="shared" si="10"/>
        <v/>
      </c>
      <c r="AQ14" s="60"/>
      <c r="AR14" s="51"/>
      <c r="AS14" s="68" t="str">
        <f t="shared" si="11"/>
        <v/>
      </c>
    </row>
    <row r="15" spans="1:45" ht="15" customHeight="1" x14ac:dyDescent="0.25">
      <c r="A15" s="32" t="s">
        <v>99</v>
      </c>
      <c r="B15" s="182" t="s">
        <v>100</v>
      </c>
      <c r="C15" s="61">
        <v>46240</v>
      </c>
      <c r="D15" s="60">
        <v>3</v>
      </c>
      <c r="E15" s="60" t="s">
        <v>317</v>
      </c>
      <c r="F15" s="60">
        <v>4</v>
      </c>
      <c r="G15" s="60" t="s">
        <v>317</v>
      </c>
      <c r="H15" s="60">
        <v>4</v>
      </c>
      <c r="I15" s="60" t="s">
        <v>317</v>
      </c>
      <c r="J15" s="60">
        <v>5</v>
      </c>
      <c r="K15" s="60" t="s">
        <v>318</v>
      </c>
      <c r="L15" s="60">
        <v>5</v>
      </c>
      <c r="M15" s="60" t="s">
        <v>318</v>
      </c>
      <c r="N15" s="62">
        <f t="shared" si="0"/>
        <v>4.0000000000000009</v>
      </c>
      <c r="O15" s="63">
        <f t="shared" si="1"/>
        <v>2.8000000000000003</v>
      </c>
      <c r="P15" s="60">
        <v>3</v>
      </c>
      <c r="Q15" s="60" t="s">
        <v>317</v>
      </c>
      <c r="R15" s="60">
        <v>2</v>
      </c>
      <c r="S15" s="60" t="s">
        <v>317</v>
      </c>
      <c r="T15" s="60">
        <v>4</v>
      </c>
      <c r="U15" s="60" t="s">
        <v>318</v>
      </c>
      <c r="V15" s="60">
        <v>1</v>
      </c>
      <c r="W15" s="60" t="s">
        <v>318</v>
      </c>
      <c r="X15" s="63">
        <f t="shared" si="2"/>
        <v>0.55999999999999994</v>
      </c>
      <c r="Y15" s="60">
        <v>4</v>
      </c>
      <c r="Z15" s="60" t="s">
        <v>317</v>
      </c>
      <c r="AA15" s="60">
        <v>3</v>
      </c>
      <c r="AB15" s="60" t="s">
        <v>317</v>
      </c>
      <c r="AC15" s="60">
        <v>2</v>
      </c>
      <c r="AD15" s="60" t="s">
        <v>317</v>
      </c>
      <c r="AE15" s="63">
        <f t="shared" si="3"/>
        <v>0.16</v>
      </c>
      <c r="AF15" s="55">
        <f t="shared" si="4"/>
        <v>70.400000000000006</v>
      </c>
      <c r="AG15" s="51" t="str">
        <f t="shared" si="5"/>
        <v>BUY</v>
      </c>
      <c r="AH15" s="51" t="str">
        <f t="shared" si="6"/>
        <v>OK</v>
      </c>
      <c r="AI15" s="51" t="str">
        <f t="shared" si="7"/>
        <v>OK</v>
      </c>
      <c r="AJ15" s="51" t="str">
        <f t="shared" si="8"/>
        <v>OK</v>
      </c>
      <c r="AK15" s="51" t="str">
        <f t="shared" si="9"/>
        <v>OK</v>
      </c>
      <c r="AL15" s="64" t="s">
        <v>320</v>
      </c>
      <c r="AM15" s="70" t="s">
        <v>322</v>
      </c>
      <c r="AN15" s="60"/>
      <c r="AO15" s="51"/>
      <c r="AP15" s="60" t="str">
        <f t="shared" si="10"/>
        <v/>
      </c>
      <c r="AQ15" s="60"/>
      <c r="AR15" s="51"/>
      <c r="AS15" s="68" t="str">
        <f t="shared" si="11"/>
        <v/>
      </c>
    </row>
    <row r="16" spans="1:45" ht="15" customHeight="1" x14ac:dyDescent="0.25">
      <c r="A16" s="32" t="s">
        <v>101</v>
      </c>
      <c r="B16" s="182" t="s">
        <v>102</v>
      </c>
      <c r="C16" s="61">
        <v>46240</v>
      </c>
      <c r="D16" s="60">
        <v>2</v>
      </c>
      <c r="E16" s="60" t="s">
        <v>317</v>
      </c>
      <c r="F16" s="60">
        <v>3</v>
      </c>
      <c r="G16" s="60" t="s">
        <v>317</v>
      </c>
      <c r="H16" s="60">
        <v>5</v>
      </c>
      <c r="I16" s="60" t="s">
        <v>318</v>
      </c>
      <c r="J16" s="60">
        <v>3</v>
      </c>
      <c r="K16" s="60" t="s">
        <v>317</v>
      </c>
      <c r="L16" s="60">
        <v>5</v>
      </c>
      <c r="M16" s="60" t="s">
        <v>318</v>
      </c>
      <c r="N16" s="62">
        <f t="shared" si="0"/>
        <v>3.4285714285714293</v>
      </c>
      <c r="O16" s="63">
        <f t="shared" si="1"/>
        <v>2.4000000000000004</v>
      </c>
      <c r="P16" s="60">
        <v>4</v>
      </c>
      <c r="Q16" s="60" t="s">
        <v>318</v>
      </c>
      <c r="R16" s="60">
        <v>5</v>
      </c>
      <c r="S16" s="60" t="s">
        <v>318</v>
      </c>
      <c r="T16" s="60">
        <v>3</v>
      </c>
      <c r="U16" s="60" t="s">
        <v>317</v>
      </c>
      <c r="V16" s="60">
        <v>2</v>
      </c>
      <c r="W16" s="60" t="s">
        <v>317</v>
      </c>
      <c r="X16" s="63">
        <f t="shared" si="2"/>
        <v>0.87</v>
      </c>
      <c r="Y16" s="60">
        <v>2</v>
      </c>
      <c r="Z16" s="60" t="s">
        <v>317</v>
      </c>
      <c r="AA16" s="60">
        <v>5</v>
      </c>
      <c r="AB16" s="60" t="s">
        <v>318</v>
      </c>
      <c r="AC16" s="60">
        <v>2</v>
      </c>
      <c r="AD16" s="60" t="s">
        <v>319</v>
      </c>
      <c r="AE16" s="63">
        <f t="shared" si="3"/>
        <v>0.16</v>
      </c>
      <c r="AF16" s="55">
        <f t="shared" si="4"/>
        <v>68.600000000000009</v>
      </c>
      <c r="AG16" s="51" t="str">
        <f t="shared" si="5"/>
        <v>BUY</v>
      </c>
      <c r="AH16" s="51" t="str">
        <f t="shared" si="6"/>
        <v>OK</v>
      </c>
      <c r="AI16" s="51" t="str">
        <f t="shared" si="7"/>
        <v>OK</v>
      </c>
      <c r="AJ16" s="51" t="str">
        <f t="shared" si="8"/>
        <v>OK</v>
      </c>
      <c r="AK16" s="51" t="str">
        <f t="shared" si="9"/>
        <v>OK</v>
      </c>
      <c r="AL16" s="64" t="s">
        <v>320</v>
      </c>
      <c r="AM16" s="70" t="s">
        <v>335</v>
      </c>
      <c r="AN16" s="65">
        <v>4143079000</v>
      </c>
      <c r="AO16" s="66">
        <v>4830771000</v>
      </c>
      <c r="AP16" s="60" t="str">
        <f t="shared" si="10"/>
        <v>LOW CONF</v>
      </c>
      <c r="AQ16" s="67">
        <v>1.633</v>
      </c>
      <c r="AR16" s="63">
        <v>1.625</v>
      </c>
      <c r="AS16" s="68" t="str">
        <f t="shared" si="11"/>
        <v>Increased</v>
      </c>
    </row>
    <row r="17" spans="1:45" ht="15" customHeight="1" x14ac:dyDescent="0.25">
      <c r="A17" s="32" t="s">
        <v>109</v>
      </c>
      <c r="B17" s="182" t="s">
        <v>336</v>
      </c>
      <c r="C17" s="61">
        <v>46240</v>
      </c>
      <c r="D17" s="60">
        <v>3</v>
      </c>
      <c r="E17" s="60" t="s">
        <v>317</v>
      </c>
      <c r="F17" s="60">
        <v>5</v>
      </c>
      <c r="G17" s="60" t="s">
        <v>318</v>
      </c>
      <c r="H17" s="60">
        <v>5</v>
      </c>
      <c r="I17" s="60" t="s">
        <v>318</v>
      </c>
      <c r="J17" s="60">
        <v>4</v>
      </c>
      <c r="K17" s="60" t="s">
        <v>317</v>
      </c>
      <c r="L17" s="60">
        <v>3</v>
      </c>
      <c r="M17" s="60" t="s">
        <v>317</v>
      </c>
      <c r="N17" s="62">
        <f t="shared" si="0"/>
        <v>4</v>
      </c>
      <c r="O17" s="63">
        <f t="shared" si="1"/>
        <v>2.8</v>
      </c>
      <c r="P17" s="60">
        <v>4</v>
      </c>
      <c r="Q17" s="60" t="s">
        <v>318</v>
      </c>
      <c r="R17" s="60">
        <v>5</v>
      </c>
      <c r="S17" s="60" t="s">
        <v>318</v>
      </c>
      <c r="T17" s="60">
        <v>4</v>
      </c>
      <c r="U17" s="60" t="s">
        <v>317</v>
      </c>
      <c r="V17" s="60">
        <v>4</v>
      </c>
      <c r="W17" s="60" t="s">
        <v>317</v>
      </c>
      <c r="X17" s="63">
        <f t="shared" si="2"/>
        <v>1.06</v>
      </c>
      <c r="Y17" s="60">
        <v>3</v>
      </c>
      <c r="Z17" s="60" t="s">
        <v>317</v>
      </c>
      <c r="AA17" s="60">
        <v>5</v>
      </c>
      <c r="AB17" s="60" t="s">
        <v>318</v>
      </c>
      <c r="AC17" s="60">
        <v>3</v>
      </c>
      <c r="AD17" s="60" t="s">
        <v>319</v>
      </c>
      <c r="AE17" s="63">
        <f t="shared" si="3"/>
        <v>0.19</v>
      </c>
      <c r="AF17" s="55">
        <f t="shared" si="4"/>
        <v>81</v>
      </c>
      <c r="AG17" s="51" t="str">
        <f t="shared" si="5"/>
        <v>STRONG BUY</v>
      </c>
      <c r="AH17" s="51" t="str">
        <f t="shared" si="6"/>
        <v>OK</v>
      </c>
      <c r="AI17" s="51" t="str">
        <f t="shared" si="7"/>
        <v>OK</v>
      </c>
      <c r="AJ17" s="51" t="str">
        <f t="shared" si="8"/>
        <v>OK</v>
      </c>
      <c r="AK17" s="51" t="str">
        <f t="shared" si="9"/>
        <v>OK</v>
      </c>
      <c r="AL17" s="70" t="s">
        <v>320</v>
      </c>
      <c r="AM17" s="70" t="s">
        <v>321</v>
      </c>
      <c r="AN17" s="60"/>
      <c r="AO17" s="51"/>
      <c r="AP17" s="60" t="str">
        <f t="shared" si="10"/>
        <v/>
      </c>
      <c r="AQ17" s="60"/>
      <c r="AR17" s="51"/>
      <c r="AS17" s="68" t="str">
        <f t="shared" si="11"/>
        <v/>
      </c>
    </row>
    <row r="18" spans="1:45" ht="15" customHeight="1" x14ac:dyDescent="0.25">
      <c r="A18" s="32" t="s">
        <v>111</v>
      </c>
      <c r="B18" s="182" t="s">
        <v>112</v>
      </c>
      <c r="C18" s="61">
        <v>46240</v>
      </c>
      <c r="D18" s="60">
        <v>4</v>
      </c>
      <c r="E18" s="60" t="s">
        <v>318</v>
      </c>
      <c r="F18" s="60">
        <v>5</v>
      </c>
      <c r="G18" s="60" t="s">
        <v>318</v>
      </c>
      <c r="H18" s="60">
        <v>4</v>
      </c>
      <c r="I18" s="60" t="s">
        <v>317</v>
      </c>
      <c r="J18" s="60">
        <v>4</v>
      </c>
      <c r="K18" s="60" t="s">
        <v>317</v>
      </c>
      <c r="L18" s="60">
        <v>5</v>
      </c>
      <c r="M18" s="60" t="s">
        <v>318</v>
      </c>
      <c r="N18" s="62">
        <f t="shared" si="0"/>
        <v>4.3571428571428568</v>
      </c>
      <c r="O18" s="63">
        <f t="shared" si="1"/>
        <v>3.05</v>
      </c>
      <c r="P18" s="60">
        <v>4</v>
      </c>
      <c r="Q18" s="60" t="s">
        <v>317</v>
      </c>
      <c r="R18" s="60">
        <v>5</v>
      </c>
      <c r="S18" s="60" t="s">
        <v>318</v>
      </c>
      <c r="T18" s="60">
        <v>4</v>
      </c>
      <c r="U18" s="60" t="s">
        <v>317</v>
      </c>
      <c r="V18" s="60">
        <v>2</v>
      </c>
      <c r="W18" s="60" t="s">
        <v>317</v>
      </c>
      <c r="X18" s="63">
        <f t="shared" si="2"/>
        <v>0.9</v>
      </c>
      <c r="Y18" s="60">
        <v>4</v>
      </c>
      <c r="Z18" s="60" t="s">
        <v>317</v>
      </c>
      <c r="AA18" s="60">
        <v>4</v>
      </c>
      <c r="AB18" s="60" t="s">
        <v>317</v>
      </c>
      <c r="AC18" s="60">
        <v>3</v>
      </c>
      <c r="AD18" s="60" t="s">
        <v>319</v>
      </c>
      <c r="AE18" s="63">
        <f t="shared" si="3"/>
        <v>0.19</v>
      </c>
      <c r="AF18" s="55">
        <f t="shared" si="4"/>
        <v>82.8</v>
      </c>
      <c r="AG18" s="51" t="str">
        <f t="shared" si="5"/>
        <v>STRONG BUY</v>
      </c>
      <c r="AH18" s="51" t="str">
        <f t="shared" si="6"/>
        <v>OK</v>
      </c>
      <c r="AI18" s="51" t="str">
        <f t="shared" si="7"/>
        <v>OK</v>
      </c>
      <c r="AJ18" s="51" t="str">
        <f t="shared" si="8"/>
        <v>OK</v>
      </c>
      <c r="AK18" s="51" t="str">
        <f t="shared" si="9"/>
        <v>OK</v>
      </c>
      <c r="AL18" s="70" t="s">
        <v>337</v>
      </c>
      <c r="AM18" s="70" t="s">
        <v>338</v>
      </c>
      <c r="AN18" s="65">
        <v>2113800000</v>
      </c>
      <c r="AO18" s="66">
        <v>1332800000</v>
      </c>
      <c r="AP18" s="60" t="str">
        <f t="shared" si="10"/>
        <v>OK</v>
      </c>
      <c r="AQ18" s="67">
        <v>1.71</v>
      </c>
      <c r="AR18" s="63">
        <v>2.7709999999999999</v>
      </c>
      <c r="AS18" s="68" t="str">
        <f t="shared" si="11"/>
        <v>Decreased</v>
      </c>
    </row>
    <row r="19" spans="1:45" ht="15" customHeight="1" x14ac:dyDescent="0.25">
      <c r="A19" s="32" t="s">
        <v>222</v>
      </c>
      <c r="B19" s="182" t="s">
        <v>339</v>
      </c>
      <c r="C19" s="61">
        <v>46245</v>
      </c>
      <c r="D19" s="60">
        <v>3</v>
      </c>
      <c r="E19" s="60" t="s">
        <v>317</v>
      </c>
      <c r="F19" s="60">
        <v>5</v>
      </c>
      <c r="G19" s="60" t="s">
        <v>318</v>
      </c>
      <c r="H19" s="60">
        <v>5</v>
      </c>
      <c r="I19" s="60" t="s">
        <v>318</v>
      </c>
      <c r="J19" s="60">
        <v>4</v>
      </c>
      <c r="K19" s="60" t="s">
        <v>317</v>
      </c>
      <c r="L19" s="60">
        <v>4</v>
      </c>
      <c r="M19" s="60" t="s">
        <v>318</v>
      </c>
      <c r="N19" s="62">
        <f t="shared" si="0"/>
        <v>4.1428571428571432</v>
      </c>
      <c r="O19" s="63">
        <f t="shared" si="1"/>
        <v>2.9</v>
      </c>
      <c r="P19" s="60">
        <v>3</v>
      </c>
      <c r="Q19" s="60" t="s">
        <v>319</v>
      </c>
      <c r="R19" s="60">
        <v>5</v>
      </c>
      <c r="S19" s="60" t="s">
        <v>318</v>
      </c>
      <c r="T19" s="60">
        <v>5</v>
      </c>
      <c r="U19" s="60" t="s">
        <v>318</v>
      </c>
      <c r="V19" s="60">
        <v>1</v>
      </c>
      <c r="W19" s="60" t="s">
        <v>318</v>
      </c>
      <c r="X19" s="63">
        <f t="shared" si="2"/>
        <v>0.77</v>
      </c>
      <c r="Y19" s="60">
        <v>4</v>
      </c>
      <c r="Z19" s="60" t="s">
        <v>317</v>
      </c>
      <c r="AA19" s="60">
        <v>4</v>
      </c>
      <c r="AB19" s="60" t="s">
        <v>317</v>
      </c>
      <c r="AC19" s="60">
        <v>4</v>
      </c>
      <c r="AD19" s="60" t="s">
        <v>317</v>
      </c>
      <c r="AE19" s="63">
        <f t="shared" si="3"/>
        <v>0.2</v>
      </c>
      <c r="AF19" s="55">
        <f t="shared" si="4"/>
        <v>77.400000000000006</v>
      </c>
      <c r="AG19" s="51" t="str">
        <f t="shared" si="5"/>
        <v>BUY</v>
      </c>
      <c r="AH19" s="51" t="str">
        <f t="shared" si="6"/>
        <v>OK</v>
      </c>
      <c r="AI19" s="51" t="str">
        <f t="shared" si="7"/>
        <v>OK</v>
      </c>
      <c r="AJ19" s="51" t="str">
        <f t="shared" si="8"/>
        <v>OK</v>
      </c>
      <c r="AK19" s="51" t="str">
        <f t="shared" si="9"/>
        <v>OK</v>
      </c>
      <c r="AL19" s="70" t="s">
        <v>328</v>
      </c>
      <c r="AM19" s="70" t="s">
        <v>340</v>
      </c>
      <c r="AN19" s="60"/>
      <c r="AO19" s="51"/>
      <c r="AP19" s="60" t="str">
        <f t="shared" si="10"/>
        <v/>
      </c>
      <c r="AQ19" s="60"/>
      <c r="AR19" s="51"/>
      <c r="AS19" s="68" t="str">
        <f t="shared" si="11"/>
        <v/>
      </c>
    </row>
    <row r="20" spans="1:45" ht="15" customHeight="1" x14ac:dyDescent="0.25">
      <c r="A20" s="32" t="s">
        <v>113</v>
      </c>
      <c r="B20" s="182" t="s">
        <v>114</v>
      </c>
      <c r="C20" s="61">
        <v>46245</v>
      </c>
      <c r="D20" s="60">
        <v>4</v>
      </c>
      <c r="E20" s="60" t="s">
        <v>318</v>
      </c>
      <c r="F20" s="60">
        <v>5</v>
      </c>
      <c r="G20" s="60" t="s">
        <v>318</v>
      </c>
      <c r="H20" s="60">
        <v>5</v>
      </c>
      <c r="I20" s="60" t="s">
        <v>318</v>
      </c>
      <c r="J20" s="60">
        <v>4</v>
      </c>
      <c r="K20" s="60" t="s">
        <v>317</v>
      </c>
      <c r="L20" s="60">
        <v>5</v>
      </c>
      <c r="M20" s="60" t="s">
        <v>318</v>
      </c>
      <c r="N20" s="62">
        <f t="shared" si="0"/>
        <v>4.5714285714285712</v>
      </c>
      <c r="O20" s="63">
        <f t="shared" si="1"/>
        <v>3.1999999999999997</v>
      </c>
      <c r="P20" s="60">
        <v>4</v>
      </c>
      <c r="Q20" s="60" t="s">
        <v>317</v>
      </c>
      <c r="R20" s="60">
        <v>5</v>
      </c>
      <c r="S20" s="60" t="s">
        <v>318</v>
      </c>
      <c r="T20" s="60">
        <v>3</v>
      </c>
      <c r="U20" s="60" t="s">
        <v>317</v>
      </c>
      <c r="V20" s="60">
        <v>3</v>
      </c>
      <c r="W20" s="60" t="s">
        <v>317</v>
      </c>
      <c r="X20" s="63">
        <f t="shared" si="2"/>
        <v>0.95</v>
      </c>
      <c r="Y20" s="60">
        <v>3</v>
      </c>
      <c r="Z20" s="60" t="s">
        <v>317</v>
      </c>
      <c r="AA20" s="60">
        <v>4</v>
      </c>
      <c r="AB20" s="60" t="s">
        <v>317</v>
      </c>
      <c r="AC20" s="60">
        <v>3</v>
      </c>
      <c r="AD20" s="60" t="s">
        <v>319</v>
      </c>
      <c r="AE20" s="63">
        <f t="shared" si="3"/>
        <v>0.17</v>
      </c>
      <c r="AF20" s="55">
        <f t="shared" si="4"/>
        <v>86.399999999999991</v>
      </c>
      <c r="AG20" s="51" t="str">
        <f t="shared" si="5"/>
        <v>STRONG BUY</v>
      </c>
      <c r="AH20" s="51" t="str">
        <f t="shared" si="6"/>
        <v>OK</v>
      </c>
      <c r="AI20" s="51" t="str">
        <f t="shared" si="7"/>
        <v>OK</v>
      </c>
      <c r="AJ20" s="51" t="str">
        <f t="shared" si="8"/>
        <v>OK</v>
      </c>
      <c r="AK20" s="51" t="str">
        <f t="shared" si="9"/>
        <v>OK</v>
      </c>
      <c r="AL20" s="70" t="s">
        <v>341</v>
      </c>
      <c r="AM20" s="70" t="s">
        <v>342</v>
      </c>
      <c r="AN20" s="65">
        <v>23059000000</v>
      </c>
      <c r="AO20" s="66">
        <v>20058000000</v>
      </c>
      <c r="AP20" s="60" t="str">
        <f t="shared" si="10"/>
        <v>OK</v>
      </c>
      <c r="AQ20" s="67">
        <v>1.167</v>
      </c>
      <c r="AR20" s="63">
        <v>1.115</v>
      </c>
      <c r="AS20" s="68" t="str">
        <f t="shared" si="11"/>
        <v>Increased</v>
      </c>
    </row>
    <row r="21" spans="1:45" ht="15" hidden="1" customHeight="1" outlineLevel="1" x14ac:dyDescent="0.25">
      <c r="A21" s="32" t="s">
        <v>244</v>
      </c>
      <c r="B21" s="182" t="s">
        <v>343</v>
      </c>
      <c r="C21" s="61">
        <v>46245</v>
      </c>
      <c r="D21" s="60">
        <v>1</v>
      </c>
      <c r="E21" s="60" t="s">
        <v>318</v>
      </c>
      <c r="F21" s="60">
        <v>3</v>
      </c>
      <c r="G21" s="60" t="s">
        <v>317</v>
      </c>
      <c r="H21" s="60">
        <v>4</v>
      </c>
      <c r="I21" s="60" t="s">
        <v>317</v>
      </c>
      <c r="J21" s="60">
        <v>4</v>
      </c>
      <c r="K21" s="60" t="s">
        <v>317</v>
      </c>
      <c r="L21" s="60">
        <v>1</v>
      </c>
      <c r="M21" s="60" t="s">
        <v>318</v>
      </c>
      <c r="N21" s="62">
        <f t="shared" si="0"/>
        <v>2.5</v>
      </c>
      <c r="O21" s="63">
        <f t="shared" si="1"/>
        <v>1.75</v>
      </c>
      <c r="P21" s="60"/>
      <c r="Q21" s="60"/>
      <c r="R21" s="60"/>
      <c r="S21" s="60"/>
      <c r="T21" s="60"/>
      <c r="U21" s="60"/>
      <c r="V21" s="60"/>
      <c r="W21" s="60"/>
      <c r="X21" s="63" t="str">
        <f t="shared" si="2"/>
        <v/>
      </c>
      <c r="Y21" s="60"/>
      <c r="Z21" s="60"/>
      <c r="AA21" s="60"/>
      <c r="AB21" s="60"/>
      <c r="AC21" s="60"/>
      <c r="AD21" s="60"/>
      <c r="AE21" s="63" t="str">
        <f t="shared" si="3"/>
        <v/>
      </c>
      <c r="AF21" s="55" t="str">
        <f t="shared" si="4"/>
        <v/>
      </c>
      <c r="AG21" s="51" t="str">
        <f t="shared" si="5"/>
        <v/>
      </c>
      <c r="AH21" s="51" t="str">
        <f t="shared" si="6"/>
        <v>FAIL</v>
      </c>
      <c r="AI21" s="51" t="str">
        <f t="shared" si="7"/>
        <v>REVIEW</v>
      </c>
      <c r="AJ21" s="51" t="str">
        <f t="shared" si="8"/>
        <v>AVOID</v>
      </c>
      <c r="AK21" s="51" t="str">
        <f t="shared" si="9"/>
        <v>OK</v>
      </c>
      <c r="AL21" s="70" t="s">
        <v>344</v>
      </c>
      <c r="AM21" s="70" t="s">
        <v>345</v>
      </c>
      <c r="AN21" s="60"/>
      <c r="AO21" s="51"/>
      <c r="AP21" s="60" t="str">
        <f t="shared" si="10"/>
        <v/>
      </c>
      <c r="AQ21" s="60"/>
      <c r="AR21" s="51"/>
      <c r="AS21" s="68" t="str">
        <f t="shared" si="11"/>
        <v/>
      </c>
    </row>
    <row r="22" spans="1:45" ht="15" hidden="1" customHeight="1" outlineLevel="1" x14ac:dyDescent="0.25">
      <c r="A22" s="32" t="s">
        <v>223</v>
      </c>
      <c r="B22" s="182" t="s">
        <v>346</v>
      </c>
      <c r="C22" s="61">
        <v>46245</v>
      </c>
      <c r="D22" s="60">
        <v>1</v>
      </c>
      <c r="E22" s="60" t="s">
        <v>318</v>
      </c>
      <c r="F22" s="60">
        <v>1</v>
      </c>
      <c r="G22" s="60" t="s">
        <v>318</v>
      </c>
      <c r="H22" s="60">
        <v>2</v>
      </c>
      <c r="I22" s="60" t="s">
        <v>317</v>
      </c>
      <c r="J22" s="60">
        <v>1</v>
      </c>
      <c r="K22" s="60" t="s">
        <v>318</v>
      </c>
      <c r="L22" s="60">
        <v>1</v>
      </c>
      <c r="M22" s="60" t="s">
        <v>318</v>
      </c>
      <c r="N22" s="62">
        <f t="shared" si="0"/>
        <v>1.2142857142857142</v>
      </c>
      <c r="O22" s="63">
        <f t="shared" si="1"/>
        <v>0.84999999999999987</v>
      </c>
      <c r="P22" s="60"/>
      <c r="Q22" s="60"/>
      <c r="R22" s="60"/>
      <c r="S22" s="60"/>
      <c r="T22" s="60"/>
      <c r="U22" s="60"/>
      <c r="V22" s="60"/>
      <c r="W22" s="60"/>
      <c r="X22" s="63" t="str">
        <f t="shared" si="2"/>
        <v/>
      </c>
      <c r="Y22" s="60"/>
      <c r="Z22" s="60"/>
      <c r="AA22" s="60"/>
      <c r="AB22" s="60"/>
      <c r="AC22" s="60"/>
      <c r="AD22" s="60"/>
      <c r="AE22" s="63" t="str">
        <f t="shared" si="3"/>
        <v/>
      </c>
      <c r="AF22" s="55" t="str">
        <f t="shared" si="4"/>
        <v/>
      </c>
      <c r="AG22" s="51" t="str">
        <f t="shared" si="5"/>
        <v/>
      </c>
      <c r="AH22" s="51" t="str">
        <f t="shared" si="6"/>
        <v>FAIL</v>
      </c>
      <c r="AI22" s="51" t="str">
        <f t="shared" si="7"/>
        <v>REVIEW</v>
      </c>
      <c r="AJ22" s="51" t="str">
        <f t="shared" si="8"/>
        <v>AVOID</v>
      </c>
      <c r="AK22" s="51" t="str">
        <f t="shared" si="9"/>
        <v>OK</v>
      </c>
      <c r="AL22" s="70" t="s">
        <v>347</v>
      </c>
      <c r="AM22" s="70" t="s">
        <v>348</v>
      </c>
      <c r="AN22" s="60"/>
      <c r="AO22" s="51"/>
      <c r="AP22" s="60" t="str">
        <f t="shared" si="10"/>
        <v/>
      </c>
      <c r="AQ22" s="60"/>
      <c r="AR22" s="51"/>
      <c r="AS22" s="68" t="str">
        <f t="shared" si="11"/>
        <v/>
      </c>
    </row>
    <row r="23" spans="1:45" ht="15" customHeight="1" collapsed="1" x14ac:dyDescent="0.25">
      <c r="A23" s="32" t="s">
        <v>230</v>
      </c>
      <c r="B23" s="182" t="s">
        <v>349</v>
      </c>
      <c r="C23" s="61">
        <v>46276</v>
      </c>
      <c r="D23" s="60">
        <v>4</v>
      </c>
      <c r="E23" s="60" t="s">
        <v>317</v>
      </c>
      <c r="F23" s="60">
        <v>1</v>
      </c>
      <c r="G23" s="60" t="s">
        <v>317</v>
      </c>
      <c r="H23" s="60">
        <v>4</v>
      </c>
      <c r="I23" s="60" t="s">
        <v>317</v>
      </c>
      <c r="J23" s="60">
        <v>4</v>
      </c>
      <c r="K23" s="60" t="s">
        <v>317</v>
      </c>
      <c r="L23" s="60">
        <v>2</v>
      </c>
      <c r="M23" s="60" t="s">
        <v>317</v>
      </c>
      <c r="N23" s="62">
        <f t="shared" si="0"/>
        <v>3.0714285714285721</v>
      </c>
      <c r="O23" s="63">
        <f t="shared" si="1"/>
        <v>2.1500000000000004</v>
      </c>
      <c r="P23" s="60"/>
      <c r="Q23" s="60"/>
      <c r="R23" s="60"/>
      <c r="S23" s="60"/>
      <c r="T23" s="60"/>
      <c r="U23" s="60"/>
      <c r="V23" s="60"/>
      <c r="W23" s="60"/>
      <c r="X23" s="63" t="str">
        <f t="shared" si="2"/>
        <v/>
      </c>
      <c r="Y23" s="60"/>
      <c r="Z23" s="60"/>
      <c r="AA23" s="60"/>
      <c r="AB23" s="60"/>
      <c r="AC23" s="60"/>
      <c r="AD23" s="60"/>
      <c r="AE23" s="63" t="str">
        <f t="shared" si="3"/>
        <v/>
      </c>
      <c r="AF23" s="55" t="str">
        <f t="shared" si="4"/>
        <v/>
      </c>
      <c r="AG23" s="51" t="str">
        <f t="shared" si="5"/>
        <v/>
      </c>
      <c r="AH23" s="51" t="str">
        <f t="shared" si="6"/>
        <v>OK</v>
      </c>
      <c r="AI23" s="51" t="str">
        <f t="shared" si="7"/>
        <v>REVIEW</v>
      </c>
      <c r="AJ23" s="51" t="str">
        <f t="shared" si="8"/>
        <v>AVOID</v>
      </c>
      <c r="AK23" s="51" t="str">
        <f t="shared" si="9"/>
        <v>OK</v>
      </c>
      <c r="AL23" s="70" t="s">
        <v>347</v>
      </c>
      <c r="AM23" s="70" t="s">
        <v>350</v>
      </c>
      <c r="AN23" s="60"/>
      <c r="AO23" s="51"/>
      <c r="AP23" s="60" t="str">
        <f t="shared" si="10"/>
        <v/>
      </c>
      <c r="AQ23" s="60"/>
      <c r="AR23" s="51"/>
      <c r="AS23" s="68" t="str">
        <f t="shared" si="11"/>
        <v/>
      </c>
    </row>
    <row r="24" spans="1:45" ht="15" hidden="1" customHeight="1" outlineLevel="1" x14ac:dyDescent="0.25">
      <c r="A24" s="32" t="s">
        <v>240</v>
      </c>
      <c r="B24" s="182" t="s">
        <v>351</v>
      </c>
      <c r="C24" s="61">
        <v>46245</v>
      </c>
      <c r="D24" s="60">
        <v>2</v>
      </c>
      <c r="E24" s="60" t="s">
        <v>319</v>
      </c>
      <c r="F24" s="60">
        <v>2</v>
      </c>
      <c r="G24" s="60" t="s">
        <v>317</v>
      </c>
      <c r="H24" s="60">
        <v>3</v>
      </c>
      <c r="I24" s="60" t="s">
        <v>317</v>
      </c>
      <c r="J24" s="60">
        <v>2</v>
      </c>
      <c r="K24" s="60" t="s">
        <v>317</v>
      </c>
      <c r="L24" s="60">
        <v>1</v>
      </c>
      <c r="M24" s="60" t="s">
        <v>318</v>
      </c>
      <c r="N24" s="62">
        <f t="shared" si="0"/>
        <v>2.0714285714285716</v>
      </c>
      <c r="O24" s="63">
        <f t="shared" si="1"/>
        <v>1.45</v>
      </c>
      <c r="P24" s="60"/>
      <c r="Q24" s="60"/>
      <c r="R24" s="60"/>
      <c r="S24" s="60"/>
      <c r="T24" s="60"/>
      <c r="U24" s="60"/>
      <c r="V24" s="60"/>
      <c r="W24" s="60"/>
      <c r="X24" s="63" t="str">
        <f t="shared" si="2"/>
        <v/>
      </c>
      <c r="Y24" s="60"/>
      <c r="Z24" s="60"/>
      <c r="AA24" s="60"/>
      <c r="AB24" s="60"/>
      <c r="AC24" s="60"/>
      <c r="AD24" s="60"/>
      <c r="AE24" s="63" t="str">
        <f t="shared" si="3"/>
        <v/>
      </c>
      <c r="AF24" s="55" t="str">
        <f t="shared" si="4"/>
        <v/>
      </c>
      <c r="AG24" s="51" t="str">
        <f t="shared" si="5"/>
        <v/>
      </c>
      <c r="AH24" s="51" t="str">
        <f t="shared" si="6"/>
        <v>FAIL</v>
      </c>
      <c r="AI24" s="51" t="str">
        <f t="shared" si="7"/>
        <v>REVIEW</v>
      </c>
      <c r="AJ24" s="51" t="str">
        <f t="shared" si="8"/>
        <v>AVOID</v>
      </c>
      <c r="AK24" s="51" t="str">
        <f t="shared" si="9"/>
        <v>OK</v>
      </c>
      <c r="AL24" s="70" t="s">
        <v>347</v>
      </c>
      <c r="AM24" s="70" t="s">
        <v>352</v>
      </c>
      <c r="AN24" s="60"/>
      <c r="AO24" s="51"/>
      <c r="AP24" s="60" t="str">
        <f t="shared" si="10"/>
        <v/>
      </c>
      <c r="AQ24" s="60"/>
      <c r="AR24" s="51"/>
      <c r="AS24" s="68" t="str">
        <f t="shared" si="11"/>
        <v/>
      </c>
    </row>
    <row r="25" spans="1:45" ht="15" hidden="1" customHeight="1" outlineLevel="1" x14ac:dyDescent="0.25">
      <c r="A25" s="32" t="s">
        <v>250</v>
      </c>
      <c r="B25" s="182" t="s">
        <v>353</v>
      </c>
      <c r="C25" s="61">
        <v>46245</v>
      </c>
      <c r="D25" s="60">
        <v>3</v>
      </c>
      <c r="E25" s="60" t="s">
        <v>317</v>
      </c>
      <c r="F25" s="60">
        <v>2</v>
      </c>
      <c r="G25" s="60" t="s">
        <v>318</v>
      </c>
      <c r="H25" s="60">
        <v>3</v>
      </c>
      <c r="I25" s="60" t="s">
        <v>317</v>
      </c>
      <c r="J25" s="60">
        <v>3</v>
      </c>
      <c r="K25" s="60" t="s">
        <v>317</v>
      </c>
      <c r="L25" s="60">
        <v>2</v>
      </c>
      <c r="M25" s="60" t="s">
        <v>318</v>
      </c>
      <c r="N25" s="62">
        <f t="shared" si="0"/>
        <v>2.6428571428571432</v>
      </c>
      <c r="O25" s="63">
        <f t="shared" si="1"/>
        <v>1.85</v>
      </c>
      <c r="P25" s="60"/>
      <c r="Q25" s="60"/>
      <c r="R25" s="60"/>
      <c r="S25" s="60"/>
      <c r="T25" s="60"/>
      <c r="U25" s="60"/>
      <c r="V25" s="60"/>
      <c r="W25" s="60"/>
      <c r="X25" s="63" t="str">
        <f t="shared" si="2"/>
        <v/>
      </c>
      <c r="Y25" s="60"/>
      <c r="Z25" s="60"/>
      <c r="AA25" s="60"/>
      <c r="AB25" s="60"/>
      <c r="AC25" s="60"/>
      <c r="AD25" s="60"/>
      <c r="AE25" s="63" t="str">
        <f t="shared" si="3"/>
        <v/>
      </c>
      <c r="AF25" s="55" t="str">
        <f t="shared" si="4"/>
        <v/>
      </c>
      <c r="AG25" s="51" t="str">
        <f t="shared" si="5"/>
        <v/>
      </c>
      <c r="AH25" s="51" t="str">
        <f t="shared" si="6"/>
        <v>FAIL</v>
      </c>
      <c r="AI25" s="51" t="str">
        <f t="shared" si="7"/>
        <v>OK</v>
      </c>
      <c r="AJ25" s="51" t="str">
        <f t="shared" si="8"/>
        <v>AVOID</v>
      </c>
      <c r="AK25" s="51" t="str">
        <f t="shared" si="9"/>
        <v>OK</v>
      </c>
      <c r="AL25" s="70" t="s">
        <v>347</v>
      </c>
      <c r="AM25" s="70" t="s">
        <v>352</v>
      </c>
      <c r="AN25" s="60"/>
      <c r="AO25" s="51"/>
      <c r="AP25" s="60" t="str">
        <f t="shared" si="10"/>
        <v/>
      </c>
      <c r="AQ25" s="60"/>
      <c r="AR25" s="51"/>
      <c r="AS25" s="68" t="str">
        <f t="shared" si="11"/>
        <v/>
      </c>
    </row>
    <row r="26" spans="1:45" ht="15" hidden="1" customHeight="1" outlineLevel="1" x14ac:dyDescent="0.25">
      <c r="A26" s="32" t="s">
        <v>218</v>
      </c>
      <c r="B26" s="182" t="s">
        <v>354</v>
      </c>
      <c r="C26" s="61">
        <v>46245</v>
      </c>
      <c r="D26" s="60">
        <v>2</v>
      </c>
      <c r="E26" s="60" t="s">
        <v>317</v>
      </c>
      <c r="F26" s="60">
        <v>1</v>
      </c>
      <c r="G26" s="60" t="s">
        <v>318</v>
      </c>
      <c r="H26" s="60">
        <v>2</v>
      </c>
      <c r="I26" s="60" t="s">
        <v>317</v>
      </c>
      <c r="J26" s="60">
        <v>2</v>
      </c>
      <c r="K26" s="60" t="s">
        <v>317</v>
      </c>
      <c r="L26" s="60">
        <v>2</v>
      </c>
      <c r="M26" s="60" t="s">
        <v>317</v>
      </c>
      <c r="N26" s="62">
        <f t="shared" si="0"/>
        <v>1.7857142857142858</v>
      </c>
      <c r="O26" s="63">
        <f t="shared" si="1"/>
        <v>1.25</v>
      </c>
      <c r="P26" s="60"/>
      <c r="Q26" s="60"/>
      <c r="R26" s="60"/>
      <c r="S26" s="60"/>
      <c r="T26" s="60"/>
      <c r="U26" s="60"/>
      <c r="V26" s="60"/>
      <c r="W26" s="60"/>
      <c r="X26" s="63" t="str">
        <f t="shared" si="2"/>
        <v/>
      </c>
      <c r="Y26" s="60"/>
      <c r="Z26" s="60"/>
      <c r="AA26" s="60"/>
      <c r="AB26" s="60"/>
      <c r="AC26" s="60"/>
      <c r="AD26" s="60"/>
      <c r="AE26" s="63" t="str">
        <f t="shared" si="3"/>
        <v/>
      </c>
      <c r="AF26" s="55" t="str">
        <f t="shared" si="4"/>
        <v/>
      </c>
      <c r="AG26" s="51" t="str">
        <f t="shared" si="5"/>
        <v/>
      </c>
      <c r="AH26" s="51" t="str">
        <f t="shared" si="6"/>
        <v>FAIL</v>
      </c>
      <c r="AI26" s="51" t="str">
        <f t="shared" si="7"/>
        <v>REVIEW</v>
      </c>
      <c r="AJ26" s="51" t="str">
        <f t="shared" si="8"/>
        <v>AVOID</v>
      </c>
      <c r="AK26" s="51" t="str">
        <f t="shared" si="9"/>
        <v>OK</v>
      </c>
      <c r="AL26" s="70" t="s">
        <v>355</v>
      </c>
      <c r="AM26" s="70" t="s">
        <v>356</v>
      </c>
      <c r="AN26" s="60"/>
      <c r="AO26" s="51"/>
      <c r="AP26" s="60" t="str">
        <f t="shared" si="10"/>
        <v/>
      </c>
      <c r="AQ26" s="60"/>
      <c r="AR26" s="51"/>
      <c r="AS26" s="68" t="str">
        <f t="shared" si="11"/>
        <v/>
      </c>
    </row>
    <row r="27" spans="1:45" ht="15" hidden="1" customHeight="1" outlineLevel="1" x14ac:dyDescent="0.25">
      <c r="A27" s="32" t="s">
        <v>219</v>
      </c>
      <c r="B27" s="182" t="s">
        <v>357</v>
      </c>
      <c r="C27" s="61">
        <v>46245</v>
      </c>
      <c r="D27" s="60">
        <v>2</v>
      </c>
      <c r="E27" s="60" t="s">
        <v>318</v>
      </c>
      <c r="F27" s="60">
        <v>2</v>
      </c>
      <c r="G27" s="60" t="s">
        <v>317</v>
      </c>
      <c r="H27" s="60">
        <v>2</v>
      </c>
      <c r="I27" s="60" t="s">
        <v>317</v>
      </c>
      <c r="J27" s="60">
        <v>2</v>
      </c>
      <c r="K27" s="60" t="s">
        <v>317</v>
      </c>
      <c r="L27" s="60">
        <v>1</v>
      </c>
      <c r="M27" s="60" t="s">
        <v>318</v>
      </c>
      <c r="N27" s="62">
        <f t="shared" si="0"/>
        <v>1.8571428571428574</v>
      </c>
      <c r="O27" s="63">
        <f t="shared" si="1"/>
        <v>1.3</v>
      </c>
      <c r="P27" s="60"/>
      <c r="Q27" s="60"/>
      <c r="R27" s="60"/>
      <c r="S27" s="60"/>
      <c r="T27" s="60"/>
      <c r="U27" s="60"/>
      <c r="V27" s="60"/>
      <c r="W27" s="60"/>
      <c r="X27" s="63" t="str">
        <f t="shared" si="2"/>
        <v/>
      </c>
      <c r="Y27" s="60"/>
      <c r="Z27" s="60"/>
      <c r="AA27" s="60"/>
      <c r="AB27" s="60"/>
      <c r="AC27" s="60"/>
      <c r="AD27" s="60"/>
      <c r="AE27" s="63" t="str">
        <f t="shared" si="3"/>
        <v/>
      </c>
      <c r="AF27" s="55" t="str">
        <f t="shared" si="4"/>
        <v/>
      </c>
      <c r="AG27" s="51" t="str">
        <f t="shared" si="5"/>
        <v/>
      </c>
      <c r="AH27" s="51" t="str">
        <f t="shared" si="6"/>
        <v>FAIL</v>
      </c>
      <c r="AI27" s="51" t="str">
        <f t="shared" si="7"/>
        <v>REVIEW</v>
      </c>
      <c r="AJ27" s="51" t="str">
        <f t="shared" si="8"/>
        <v>AVOID</v>
      </c>
      <c r="AK27" s="51" t="str">
        <f t="shared" si="9"/>
        <v>OK</v>
      </c>
      <c r="AL27" s="70" t="s">
        <v>355</v>
      </c>
      <c r="AM27" s="70" t="s">
        <v>358</v>
      </c>
      <c r="AN27" s="60"/>
      <c r="AO27" s="51"/>
      <c r="AP27" s="60" t="str">
        <f t="shared" si="10"/>
        <v/>
      </c>
      <c r="AQ27" s="60"/>
      <c r="AR27" s="51"/>
      <c r="AS27" s="68" t="str">
        <f t="shared" si="11"/>
        <v/>
      </c>
    </row>
    <row r="28" spans="1:45" ht="15" customHeight="1" collapsed="1" x14ac:dyDescent="0.25">
      <c r="A28" s="32" t="s">
        <v>242</v>
      </c>
      <c r="B28" s="182" t="s">
        <v>359</v>
      </c>
      <c r="C28" s="69">
        <v>46276</v>
      </c>
      <c r="D28" s="60">
        <v>2</v>
      </c>
      <c r="E28" s="60" t="s">
        <v>317</v>
      </c>
      <c r="F28" s="60">
        <v>2</v>
      </c>
      <c r="G28" s="60" t="s">
        <v>317</v>
      </c>
      <c r="H28" s="60">
        <v>5</v>
      </c>
      <c r="I28" s="60" t="s">
        <v>318</v>
      </c>
      <c r="J28" s="60">
        <v>5</v>
      </c>
      <c r="K28" s="60" t="s">
        <v>318</v>
      </c>
      <c r="L28" s="60">
        <v>2</v>
      </c>
      <c r="M28" s="60" t="s">
        <v>317</v>
      </c>
      <c r="N28" s="62">
        <f t="shared" si="0"/>
        <v>3.0714285714285716</v>
      </c>
      <c r="O28" s="51">
        <f t="shared" si="1"/>
        <v>2.15</v>
      </c>
      <c r="P28" s="60"/>
      <c r="Q28" s="60"/>
      <c r="R28" s="60"/>
      <c r="S28" s="60"/>
      <c r="T28" s="60"/>
      <c r="U28" s="60"/>
      <c r="V28" s="60"/>
      <c r="W28" s="60"/>
      <c r="X28" s="35" t="str">
        <f t="shared" si="2"/>
        <v/>
      </c>
      <c r="Y28" s="60"/>
      <c r="Z28" s="60"/>
      <c r="AA28" s="60"/>
      <c r="AB28" s="60"/>
      <c r="AC28" s="60"/>
      <c r="AD28" s="60"/>
      <c r="AE28" s="35" t="str">
        <f t="shared" si="3"/>
        <v/>
      </c>
      <c r="AF28" s="51" t="str">
        <f t="shared" si="4"/>
        <v/>
      </c>
      <c r="AG28" s="51" t="str">
        <f t="shared" si="5"/>
        <v/>
      </c>
      <c r="AH28" s="51" t="str">
        <f t="shared" si="6"/>
        <v>OK</v>
      </c>
      <c r="AI28" s="51" t="str">
        <f t="shared" si="7"/>
        <v>OK</v>
      </c>
      <c r="AJ28" s="51" t="str">
        <f t="shared" si="8"/>
        <v>AVOID</v>
      </c>
      <c r="AK28" s="51" t="str">
        <f t="shared" si="9"/>
        <v>OK</v>
      </c>
      <c r="AL28" s="70" t="s">
        <v>355</v>
      </c>
      <c r="AM28" s="70" t="s">
        <v>360</v>
      </c>
      <c r="AN28" s="60"/>
      <c r="AO28" s="51"/>
      <c r="AP28" s="60" t="str">
        <f t="shared" si="10"/>
        <v/>
      </c>
      <c r="AQ28" s="60"/>
      <c r="AR28" s="51"/>
      <c r="AS28" s="71" t="str">
        <f t="shared" si="11"/>
        <v/>
      </c>
    </row>
    <row r="29" spans="1:45" ht="15" hidden="1" customHeight="1" outlineLevel="1" x14ac:dyDescent="0.25">
      <c r="A29" s="32" t="s">
        <v>224</v>
      </c>
      <c r="B29" s="182" t="s">
        <v>361</v>
      </c>
      <c r="C29" s="69">
        <v>46245</v>
      </c>
      <c r="D29" s="60">
        <v>2</v>
      </c>
      <c r="E29" s="60" t="s">
        <v>317</v>
      </c>
      <c r="F29" s="60">
        <v>2</v>
      </c>
      <c r="G29" s="60" t="s">
        <v>317</v>
      </c>
      <c r="H29" s="60">
        <v>3</v>
      </c>
      <c r="I29" s="60" t="s">
        <v>317</v>
      </c>
      <c r="J29" s="60">
        <v>3</v>
      </c>
      <c r="K29" s="60" t="s">
        <v>317</v>
      </c>
      <c r="L29" s="60">
        <v>2</v>
      </c>
      <c r="M29" s="60" t="s">
        <v>318</v>
      </c>
      <c r="N29" s="62">
        <f t="shared" si="0"/>
        <v>2.3571428571428572</v>
      </c>
      <c r="O29" s="51">
        <f t="shared" si="1"/>
        <v>1.65</v>
      </c>
      <c r="P29" s="60"/>
      <c r="Q29" s="60"/>
      <c r="R29" s="60"/>
      <c r="S29" s="60"/>
      <c r="T29" s="60"/>
      <c r="U29" s="60"/>
      <c r="V29" s="60"/>
      <c r="W29" s="60"/>
      <c r="X29" s="35" t="str">
        <f t="shared" si="2"/>
        <v/>
      </c>
      <c r="Y29" s="60"/>
      <c r="Z29" s="60"/>
      <c r="AA29" s="60"/>
      <c r="AB29" s="60"/>
      <c r="AC29" s="60"/>
      <c r="AD29" s="60"/>
      <c r="AE29" s="35" t="str">
        <f t="shared" si="3"/>
        <v/>
      </c>
      <c r="AF29" s="51" t="str">
        <f t="shared" si="4"/>
        <v/>
      </c>
      <c r="AG29" s="51" t="str">
        <f t="shared" si="5"/>
        <v/>
      </c>
      <c r="AH29" s="51" t="str">
        <f t="shared" si="6"/>
        <v>FAIL</v>
      </c>
      <c r="AI29" s="51" t="str">
        <f t="shared" si="7"/>
        <v>OK</v>
      </c>
      <c r="AJ29" s="51" t="str">
        <f t="shared" si="8"/>
        <v>AVOID</v>
      </c>
      <c r="AK29" s="51" t="str">
        <f t="shared" si="9"/>
        <v>OK</v>
      </c>
      <c r="AL29" s="70" t="s">
        <v>328</v>
      </c>
      <c r="AM29" s="70" t="s">
        <v>362</v>
      </c>
      <c r="AN29" s="60"/>
      <c r="AO29" s="51"/>
      <c r="AP29" s="60" t="str">
        <f t="shared" si="10"/>
        <v/>
      </c>
      <c r="AQ29" s="60"/>
      <c r="AR29" s="51"/>
      <c r="AS29" s="71" t="str">
        <f t="shared" si="11"/>
        <v/>
      </c>
    </row>
    <row r="30" spans="1:45" ht="15" hidden="1" customHeight="1" outlineLevel="1" x14ac:dyDescent="0.25">
      <c r="A30" s="32" t="s">
        <v>228</v>
      </c>
      <c r="B30" s="182" t="s">
        <v>363</v>
      </c>
      <c r="C30" s="69">
        <v>46245</v>
      </c>
      <c r="D30" s="60">
        <v>2</v>
      </c>
      <c r="E30" s="60" t="s">
        <v>317</v>
      </c>
      <c r="F30" s="60">
        <v>1</v>
      </c>
      <c r="G30" s="60" t="s">
        <v>318</v>
      </c>
      <c r="H30" s="60">
        <v>3</v>
      </c>
      <c r="I30" s="60" t="s">
        <v>317</v>
      </c>
      <c r="J30" s="60">
        <v>2</v>
      </c>
      <c r="K30" s="60" t="s">
        <v>317</v>
      </c>
      <c r="L30" s="60">
        <v>3</v>
      </c>
      <c r="M30" s="60" t="s">
        <v>317</v>
      </c>
      <c r="N30" s="62">
        <f t="shared" si="0"/>
        <v>2.1428571428571428</v>
      </c>
      <c r="O30" s="51">
        <f t="shared" si="1"/>
        <v>1.5</v>
      </c>
      <c r="P30" s="60"/>
      <c r="Q30" s="60"/>
      <c r="R30" s="60"/>
      <c r="S30" s="60"/>
      <c r="T30" s="60"/>
      <c r="U30" s="60"/>
      <c r="V30" s="60"/>
      <c r="W30" s="60"/>
      <c r="X30" s="35" t="str">
        <f t="shared" si="2"/>
        <v/>
      </c>
      <c r="Y30" s="60"/>
      <c r="Z30" s="60"/>
      <c r="AA30" s="60"/>
      <c r="AB30" s="60"/>
      <c r="AC30" s="60"/>
      <c r="AD30" s="60"/>
      <c r="AE30" s="35" t="str">
        <f t="shared" si="3"/>
        <v/>
      </c>
      <c r="AF30" s="51" t="str">
        <f t="shared" si="4"/>
        <v/>
      </c>
      <c r="AG30" s="51" t="str">
        <f t="shared" si="5"/>
        <v/>
      </c>
      <c r="AH30" s="51" t="str">
        <f t="shared" si="6"/>
        <v>FAIL</v>
      </c>
      <c r="AI30" s="51" t="str">
        <f t="shared" si="7"/>
        <v>REVIEW</v>
      </c>
      <c r="AJ30" s="51" t="str">
        <f t="shared" si="8"/>
        <v>AVOID</v>
      </c>
      <c r="AK30" s="51" t="str">
        <f t="shared" si="9"/>
        <v>OK</v>
      </c>
      <c r="AL30" s="70" t="s">
        <v>328</v>
      </c>
      <c r="AM30" s="70" t="s">
        <v>364</v>
      </c>
      <c r="AN30" s="60"/>
      <c r="AO30" s="51"/>
      <c r="AP30" s="60" t="str">
        <f t="shared" si="10"/>
        <v/>
      </c>
      <c r="AQ30" s="60"/>
      <c r="AR30" s="51"/>
      <c r="AS30" s="71" t="str">
        <f t="shared" si="11"/>
        <v/>
      </c>
    </row>
    <row r="31" spans="1:45" ht="15" hidden="1" customHeight="1" outlineLevel="1" x14ac:dyDescent="0.25">
      <c r="A31" s="32" t="s">
        <v>239</v>
      </c>
      <c r="B31" s="182" t="s">
        <v>365</v>
      </c>
      <c r="C31" s="69">
        <v>46245</v>
      </c>
      <c r="D31" s="60">
        <v>1</v>
      </c>
      <c r="E31" s="60" t="s">
        <v>318</v>
      </c>
      <c r="F31" s="60">
        <v>2</v>
      </c>
      <c r="G31" s="60" t="s">
        <v>317</v>
      </c>
      <c r="H31" s="60">
        <v>3</v>
      </c>
      <c r="I31" s="60" t="s">
        <v>317</v>
      </c>
      <c r="J31" s="60">
        <v>3</v>
      </c>
      <c r="K31" s="60" t="s">
        <v>317</v>
      </c>
      <c r="L31" s="60">
        <v>1</v>
      </c>
      <c r="M31" s="60" t="s">
        <v>318</v>
      </c>
      <c r="N31" s="62">
        <f t="shared" si="0"/>
        <v>1.9285714285714288</v>
      </c>
      <c r="O31" s="51">
        <f t="shared" si="1"/>
        <v>1.35</v>
      </c>
      <c r="P31" s="60"/>
      <c r="Q31" s="60"/>
      <c r="R31" s="60"/>
      <c r="S31" s="60"/>
      <c r="T31" s="60"/>
      <c r="U31" s="60"/>
      <c r="V31" s="60"/>
      <c r="W31" s="60"/>
      <c r="X31" s="35" t="str">
        <f t="shared" si="2"/>
        <v/>
      </c>
      <c r="Y31" s="60"/>
      <c r="Z31" s="60"/>
      <c r="AA31" s="60"/>
      <c r="AB31" s="60"/>
      <c r="AC31" s="60"/>
      <c r="AD31" s="60"/>
      <c r="AE31" s="35" t="str">
        <f t="shared" si="3"/>
        <v/>
      </c>
      <c r="AF31" s="51" t="str">
        <f t="shared" si="4"/>
        <v/>
      </c>
      <c r="AG31" s="51" t="str">
        <f t="shared" si="5"/>
        <v/>
      </c>
      <c r="AH31" s="51" t="str">
        <f t="shared" si="6"/>
        <v>FAIL</v>
      </c>
      <c r="AI31" s="51" t="str">
        <f t="shared" si="7"/>
        <v>REVIEW</v>
      </c>
      <c r="AJ31" s="51" t="str">
        <f t="shared" si="8"/>
        <v>AVOID</v>
      </c>
      <c r="AK31" s="51" t="str">
        <f t="shared" si="9"/>
        <v>OK</v>
      </c>
      <c r="AL31" s="70" t="s">
        <v>328</v>
      </c>
      <c r="AM31" s="70" t="s">
        <v>366</v>
      </c>
      <c r="AN31" s="60"/>
      <c r="AO31" s="51"/>
      <c r="AP31" s="60" t="str">
        <f t="shared" si="10"/>
        <v/>
      </c>
      <c r="AQ31" s="60"/>
      <c r="AR31" s="51"/>
      <c r="AS31" s="71" t="str">
        <f t="shared" si="11"/>
        <v/>
      </c>
    </row>
    <row r="32" spans="1:45" ht="15" customHeight="1" collapsed="1" x14ac:dyDescent="0.25">
      <c r="A32" s="32" t="s">
        <v>254</v>
      </c>
      <c r="B32" s="182" t="s">
        <v>367</v>
      </c>
      <c r="C32" s="69">
        <v>46245</v>
      </c>
      <c r="D32" s="60">
        <v>4</v>
      </c>
      <c r="E32" s="60" t="s">
        <v>317</v>
      </c>
      <c r="F32" s="60">
        <v>4</v>
      </c>
      <c r="G32" s="60" t="s">
        <v>318</v>
      </c>
      <c r="H32" s="60">
        <v>5</v>
      </c>
      <c r="I32" s="60" t="s">
        <v>318</v>
      </c>
      <c r="J32" s="60">
        <v>4</v>
      </c>
      <c r="K32" s="60" t="s">
        <v>317</v>
      </c>
      <c r="L32" s="60">
        <v>4</v>
      </c>
      <c r="M32" s="60" t="s">
        <v>318</v>
      </c>
      <c r="N32" s="62">
        <f t="shared" si="0"/>
        <v>4.2142857142857144</v>
      </c>
      <c r="O32" s="51">
        <f t="shared" si="1"/>
        <v>2.9499999999999997</v>
      </c>
      <c r="P32" s="60"/>
      <c r="Q32" s="60"/>
      <c r="R32" s="60"/>
      <c r="S32" s="60"/>
      <c r="T32" s="60"/>
      <c r="U32" s="60"/>
      <c r="V32" s="60"/>
      <c r="W32" s="60"/>
      <c r="X32" s="35" t="str">
        <f t="shared" si="2"/>
        <v/>
      </c>
      <c r="Y32" s="60"/>
      <c r="Z32" s="60"/>
      <c r="AA32" s="60"/>
      <c r="AB32" s="60"/>
      <c r="AC32" s="60"/>
      <c r="AD32" s="60"/>
      <c r="AE32" s="35" t="str">
        <f t="shared" si="3"/>
        <v/>
      </c>
      <c r="AF32" s="51" t="str">
        <f t="shared" si="4"/>
        <v/>
      </c>
      <c r="AG32" s="51" t="str">
        <f t="shared" si="5"/>
        <v/>
      </c>
      <c r="AH32" s="51" t="str">
        <f t="shared" si="6"/>
        <v>OK</v>
      </c>
      <c r="AI32" s="51" t="str">
        <f t="shared" si="7"/>
        <v>OK</v>
      </c>
      <c r="AJ32" s="51" t="str">
        <f t="shared" si="8"/>
        <v>OK</v>
      </c>
      <c r="AK32" s="51" t="str">
        <f t="shared" si="9"/>
        <v>OK</v>
      </c>
      <c r="AL32" s="70" t="s">
        <v>328</v>
      </c>
      <c r="AM32" s="70" t="s">
        <v>364</v>
      </c>
      <c r="AN32" s="60"/>
      <c r="AO32" s="51"/>
      <c r="AP32" s="60" t="str">
        <f t="shared" si="10"/>
        <v/>
      </c>
      <c r="AQ32" s="60"/>
      <c r="AR32" s="51"/>
      <c r="AS32" s="71" t="str">
        <f t="shared" si="11"/>
        <v/>
      </c>
    </row>
    <row r="33" spans="1:45" ht="15" customHeight="1" x14ac:dyDescent="0.25">
      <c r="A33" s="32" t="s">
        <v>220</v>
      </c>
      <c r="B33" s="182" t="s">
        <v>368</v>
      </c>
      <c r="C33" s="69">
        <v>46245</v>
      </c>
      <c r="D33" s="60">
        <v>4</v>
      </c>
      <c r="E33" s="60" t="s">
        <v>318</v>
      </c>
      <c r="F33" s="60">
        <v>4</v>
      </c>
      <c r="G33" s="60" t="s">
        <v>318</v>
      </c>
      <c r="H33" s="60">
        <v>4</v>
      </c>
      <c r="I33" s="60" t="s">
        <v>318</v>
      </c>
      <c r="J33" s="60">
        <v>3</v>
      </c>
      <c r="K33" s="60" t="s">
        <v>317</v>
      </c>
      <c r="L33" s="60">
        <v>3</v>
      </c>
      <c r="M33" s="60" t="s">
        <v>318</v>
      </c>
      <c r="N33" s="62">
        <f t="shared" si="0"/>
        <v>3.714285714285714</v>
      </c>
      <c r="O33" s="51">
        <f t="shared" si="1"/>
        <v>2.5999999999999996</v>
      </c>
      <c r="P33" s="60"/>
      <c r="Q33" s="60"/>
      <c r="R33" s="60"/>
      <c r="S33" s="60"/>
      <c r="T33" s="60"/>
      <c r="U33" s="60"/>
      <c r="V33" s="60"/>
      <c r="W33" s="60"/>
      <c r="X33" s="35" t="str">
        <f t="shared" si="2"/>
        <v/>
      </c>
      <c r="Y33" s="60"/>
      <c r="Z33" s="60"/>
      <c r="AA33" s="60"/>
      <c r="AB33" s="60"/>
      <c r="AC33" s="60"/>
      <c r="AD33" s="60"/>
      <c r="AE33" s="35" t="str">
        <f t="shared" si="3"/>
        <v/>
      </c>
      <c r="AF33" s="51" t="str">
        <f t="shared" si="4"/>
        <v/>
      </c>
      <c r="AG33" s="51" t="str">
        <f t="shared" si="5"/>
        <v/>
      </c>
      <c r="AH33" s="51" t="str">
        <f t="shared" si="6"/>
        <v>OK</v>
      </c>
      <c r="AI33" s="51" t="str">
        <f t="shared" si="7"/>
        <v>OK</v>
      </c>
      <c r="AJ33" s="51" t="str">
        <f t="shared" si="8"/>
        <v>OK</v>
      </c>
      <c r="AK33" s="51" t="str">
        <f t="shared" si="9"/>
        <v>OK</v>
      </c>
      <c r="AL33" s="70" t="s">
        <v>330</v>
      </c>
      <c r="AM33" s="70" t="s">
        <v>369</v>
      </c>
      <c r="AN33" s="60"/>
      <c r="AO33" s="51"/>
      <c r="AP33" s="60" t="str">
        <f t="shared" si="10"/>
        <v/>
      </c>
      <c r="AQ33" s="60"/>
      <c r="AR33" s="51"/>
      <c r="AS33" s="71" t="str">
        <f t="shared" si="11"/>
        <v/>
      </c>
    </row>
    <row r="34" spans="1:45" ht="15" customHeight="1" x14ac:dyDescent="0.25">
      <c r="A34" s="32" t="s">
        <v>227</v>
      </c>
      <c r="B34" s="182" t="s">
        <v>370</v>
      </c>
      <c r="C34" s="69">
        <v>46245</v>
      </c>
      <c r="D34" s="60">
        <v>5</v>
      </c>
      <c r="E34" s="60" t="s">
        <v>318</v>
      </c>
      <c r="F34" s="60">
        <v>5</v>
      </c>
      <c r="G34" s="60" t="s">
        <v>318</v>
      </c>
      <c r="H34" s="60">
        <v>5</v>
      </c>
      <c r="I34" s="60" t="s">
        <v>318</v>
      </c>
      <c r="J34" s="60">
        <v>4</v>
      </c>
      <c r="K34" s="60" t="s">
        <v>318</v>
      </c>
      <c r="L34" s="60">
        <v>5</v>
      </c>
      <c r="M34" s="60" t="s">
        <v>318</v>
      </c>
      <c r="N34" s="62">
        <f t="shared" si="0"/>
        <v>4.8571428571428577</v>
      </c>
      <c r="O34" s="51">
        <f t="shared" si="1"/>
        <v>3.4</v>
      </c>
      <c r="P34" s="60"/>
      <c r="Q34" s="60"/>
      <c r="R34" s="60"/>
      <c r="S34" s="60"/>
      <c r="T34" s="60"/>
      <c r="U34" s="60"/>
      <c r="V34" s="60"/>
      <c r="W34" s="60"/>
      <c r="X34" s="35" t="str">
        <f t="shared" si="2"/>
        <v/>
      </c>
      <c r="Y34" s="60"/>
      <c r="Z34" s="60"/>
      <c r="AA34" s="60"/>
      <c r="AB34" s="60"/>
      <c r="AC34" s="60"/>
      <c r="AD34" s="60"/>
      <c r="AE34" s="35" t="str">
        <f t="shared" si="3"/>
        <v/>
      </c>
      <c r="AF34" s="51" t="str">
        <f t="shared" si="4"/>
        <v/>
      </c>
      <c r="AG34" s="51" t="str">
        <f t="shared" si="5"/>
        <v/>
      </c>
      <c r="AH34" s="51" t="str">
        <f t="shared" si="6"/>
        <v>OK</v>
      </c>
      <c r="AI34" s="51" t="str">
        <f t="shared" si="7"/>
        <v>OK</v>
      </c>
      <c r="AJ34" s="51" t="str">
        <f t="shared" si="8"/>
        <v>OK</v>
      </c>
      <c r="AK34" s="51" t="str">
        <f t="shared" si="9"/>
        <v>OK</v>
      </c>
      <c r="AL34" s="70" t="s">
        <v>330</v>
      </c>
      <c r="AM34" s="70" t="s">
        <v>369</v>
      </c>
      <c r="AN34" s="60"/>
      <c r="AO34" s="51"/>
      <c r="AP34" s="60" t="str">
        <f t="shared" si="10"/>
        <v/>
      </c>
      <c r="AQ34" s="60"/>
      <c r="AR34" s="51"/>
      <c r="AS34" s="71" t="str">
        <f t="shared" si="11"/>
        <v/>
      </c>
    </row>
    <row r="35" spans="1:45" ht="15" hidden="1" customHeight="1" outlineLevel="1" x14ac:dyDescent="0.25">
      <c r="A35" s="32" t="s">
        <v>258</v>
      </c>
      <c r="B35" s="182" t="s">
        <v>371</v>
      </c>
      <c r="C35" s="69">
        <v>46245</v>
      </c>
      <c r="D35" s="60">
        <v>1</v>
      </c>
      <c r="E35" s="60" t="s">
        <v>318</v>
      </c>
      <c r="F35" s="60">
        <v>1</v>
      </c>
      <c r="G35" s="60" t="s">
        <v>318</v>
      </c>
      <c r="H35" s="60">
        <v>2</v>
      </c>
      <c r="I35" s="60" t="s">
        <v>317</v>
      </c>
      <c r="J35" s="60">
        <v>2</v>
      </c>
      <c r="K35" s="60" t="s">
        <v>317</v>
      </c>
      <c r="L35" s="60">
        <v>1</v>
      </c>
      <c r="M35" s="60" t="s">
        <v>318</v>
      </c>
      <c r="N35" s="62">
        <f t="shared" ref="N35:N60" si="12">IF(COUNT(D35,F35,H35,J35,L35)=0,"",(D35*0.2+F35*0.15+H35*0.15+J35*0.1+L35*0.1)/(IF(D35&lt;&gt;"",0.2,0)+IF(F35&lt;&gt;"",0.15,0)+IF(H35&lt;&gt;"",0.15,0)+IF(J35&lt;&gt;"",0.1,0)+IF(L35&lt;&gt;"",0.1,0)))</f>
        <v>1.357142857142857</v>
      </c>
      <c r="O35" s="51">
        <f t="shared" ref="O35:O60" si="13">IF(COUNT(D35,F35,H35,J35,L35)=0,"",D35*0.2+F35*0.15+H35*0.15+J35*0.1+L35*0.1)</f>
        <v>0.94999999999999984</v>
      </c>
      <c r="P35" s="60"/>
      <c r="Q35" s="60"/>
      <c r="R35" s="60"/>
      <c r="S35" s="60"/>
      <c r="T35" s="60"/>
      <c r="U35" s="60"/>
      <c r="V35" s="60"/>
      <c r="W35" s="60"/>
      <c r="X35" s="35" t="str">
        <f t="shared" ref="X35:X60" si="14">IF(COUNT(P35,R35,T35,V35)=0,"",P35*0.08+R35*0.06+T35*0.03+V35*0.08)</f>
        <v/>
      </c>
      <c r="Y35" s="60"/>
      <c r="Z35" s="60"/>
      <c r="AA35" s="60"/>
      <c r="AB35" s="60"/>
      <c r="AC35" s="60"/>
      <c r="AD35" s="60"/>
      <c r="AE35" s="35" t="str">
        <f t="shared" ref="AE35:AE60" si="15">IF(COUNT(Y35,AA35,AC35)=0,"",Y35*0.02+AA35*0.02+AC35*0.01)</f>
        <v/>
      </c>
      <c r="AF35" s="51" t="str">
        <f t="shared" ref="AF35:AF66" si="16">IF(OR(O35="",X35="",AE35=""),"",(O35+X35+AE35)*20)</f>
        <v/>
      </c>
      <c r="AG35" s="51" t="str">
        <f t="shared" ref="AG35:AG66" si="17">IF(AF35="","",IF(AF35&gt;=80,"STRONG BUY",IF(AF35&gt;=65,"BUY",IF(AF35&gt;=50,"WATCH LIST",IF(AF35&gt;=35,"AVOID","PASS")))))</f>
        <v/>
      </c>
      <c r="AH35" s="51" t="str">
        <f t="shared" ref="AH35:AH60" si="18">IF(N35="","",IF(N35&lt;3,"FAIL","OK"))</f>
        <v>FAIL</v>
      </c>
      <c r="AI35" s="51" t="str">
        <f t="shared" ref="AI35:AI60" si="19">IF(COUNT(D35:L35)=0,"",IF(COUNTIF(D35:L35,1)&gt;0,"REVIEW","OK"))</f>
        <v>REVIEW</v>
      </c>
      <c r="AJ35" s="51" t="str">
        <f t="shared" ref="AJ35:AJ60" si="20">IF(COUNT(D35:L35)=0,"",IF(COUNTIF(D35:L35,"&lt;=2")&gt;=2,"AVOID","OK"))</f>
        <v>AVOID</v>
      </c>
      <c r="AK35" s="51" t="str">
        <f t="shared" ref="AK35:AK60" si="21">IF(COUNTA(E35:M35)=0,"",IF(COUNTIF(E35:M35,"L")&gt;=2,"CAP AT BUY","OK"))</f>
        <v>OK</v>
      </c>
      <c r="AL35" s="70" t="s">
        <v>330</v>
      </c>
      <c r="AM35" s="70" t="s">
        <v>369</v>
      </c>
      <c r="AN35" s="60"/>
      <c r="AO35" s="51"/>
      <c r="AP35" s="60" t="str">
        <f t="shared" ref="AP35:AP66" si="22">IF(OR(AN35="",AO35=""),"",IF(AN35&gt;AO35,"OK","LOW CONF"))</f>
        <v/>
      </c>
      <c r="AQ35" s="60"/>
      <c r="AR35" s="51"/>
      <c r="AS35" s="71" t="str">
        <f t="shared" ref="AS35:AS66" si="23">IF(OR(AQ35="",AR35=""),"",IF(AQ35&lt;AR35,"Decreased",IF(AQ35&gt;AR35,"Increased","Flat")))</f>
        <v/>
      </c>
    </row>
    <row r="36" spans="1:45" ht="15" customHeight="1" collapsed="1" x14ac:dyDescent="0.25">
      <c r="A36" s="32" t="s">
        <v>264</v>
      </c>
      <c r="B36" s="182" t="s">
        <v>372</v>
      </c>
      <c r="C36" s="69">
        <v>46245</v>
      </c>
      <c r="D36" s="60">
        <v>5</v>
      </c>
      <c r="E36" s="60" t="s">
        <v>318</v>
      </c>
      <c r="F36" s="60">
        <v>4</v>
      </c>
      <c r="G36" s="60" t="s">
        <v>318</v>
      </c>
      <c r="H36" s="60">
        <v>4</v>
      </c>
      <c r="I36" s="60" t="s">
        <v>317</v>
      </c>
      <c r="J36" s="60">
        <v>4</v>
      </c>
      <c r="K36" s="60" t="s">
        <v>318</v>
      </c>
      <c r="L36" s="60">
        <v>4</v>
      </c>
      <c r="M36" s="60" t="s">
        <v>318</v>
      </c>
      <c r="N36" s="62">
        <f t="shared" si="12"/>
        <v>4.2857142857142856</v>
      </c>
      <c r="O36" s="51">
        <f t="shared" si="13"/>
        <v>3</v>
      </c>
      <c r="P36" s="60"/>
      <c r="Q36" s="60"/>
      <c r="R36" s="60"/>
      <c r="S36" s="60"/>
      <c r="T36" s="60"/>
      <c r="U36" s="60"/>
      <c r="V36" s="60"/>
      <c r="W36" s="60"/>
      <c r="X36" s="35" t="str">
        <f t="shared" si="14"/>
        <v/>
      </c>
      <c r="Y36" s="60"/>
      <c r="Z36" s="60"/>
      <c r="AA36" s="60"/>
      <c r="AB36" s="60"/>
      <c r="AC36" s="60"/>
      <c r="AD36" s="60"/>
      <c r="AE36" s="35" t="str">
        <f t="shared" si="15"/>
        <v/>
      </c>
      <c r="AF36" s="51" t="str">
        <f t="shared" si="16"/>
        <v/>
      </c>
      <c r="AG36" s="51" t="str">
        <f t="shared" si="17"/>
        <v/>
      </c>
      <c r="AH36" s="51" t="str">
        <f t="shared" si="18"/>
        <v>OK</v>
      </c>
      <c r="AI36" s="51" t="str">
        <f t="shared" si="19"/>
        <v>OK</v>
      </c>
      <c r="AJ36" s="51" t="str">
        <f t="shared" si="20"/>
        <v>OK</v>
      </c>
      <c r="AK36" s="51" t="str">
        <f t="shared" si="21"/>
        <v>OK</v>
      </c>
      <c r="AL36" s="70" t="s">
        <v>330</v>
      </c>
      <c r="AM36" s="70" t="s">
        <v>369</v>
      </c>
      <c r="AN36" s="60"/>
      <c r="AO36" s="51"/>
      <c r="AP36" s="60" t="str">
        <f t="shared" si="22"/>
        <v/>
      </c>
      <c r="AQ36" s="60"/>
      <c r="AR36" s="51"/>
      <c r="AS36" s="71" t="str">
        <f t="shared" si="23"/>
        <v/>
      </c>
    </row>
    <row r="37" spans="1:45" ht="15" hidden="1" customHeight="1" outlineLevel="1" x14ac:dyDescent="0.25">
      <c r="A37" s="32" t="s">
        <v>247</v>
      </c>
      <c r="B37" s="182" t="s">
        <v>373</v>
      </c>
      <c r="C37" s="69">
        <v>46246</v>
      </c>
      <c r="D37" s="60">
        <v>1</v>
      </c>
      <c r="E37" s="60" t="s">
        <v>318</v>
      </c>
      <c r="F37" s="60">
        <v>1</v>
      </c>
      <c r="G37" s="60" t="s">
        <v>318</v>
      </c>
      <c r="H37" s="60">
        <v>3</v>
      </c>
      <c r="I37" s="60" t="s">
        <v>317</v>
      </c>
      <c r="J37" s="60">
        <v>2</v>
      </c>
      <c r="K37" s="60" t="s">
        <v>317</v>
      </c>
      <c r="L37" s="60">
        <v>1</v>
      </c>
      <c r="M37" s="60" t="s">
        <v>318</v>
      </c>
      <c r="N37" s="62">
        <f t="shared" si="12"/>
        <v>1.5714285714285716</v>
      </c>
      <c r="O37" s="51">
        <f t="shared" si="13"/>
        <v>1.1000000000000001</v>
      </c>
      <c r="P37" s="60"/>
      <c r="Q37" s="60"/>
      <c r="R37" s="60"/>
      <c r="S37" s="60"/>
      <c r="T37" s="60"/>
      <c r="U37" s="60"/>
      <c r="V37" s="60"/>
      <c r="W37" s="60"/>
      <c r="X37" s="35" t="str">
        <f t="shared" si="14"/>
        <v/>
      </c>
      <c r="Y37" s="60"/>
      <c r="Z37" s="60"/>
      <c r="AA37" s="60"/>
      <c r="AB37" s="60"/>
      <c r="AC37" s="60"/>
      <c r="AD37" s="60"/>
      <c r="AE37" s="35" t="str">
        <f t="shared" si="15"/>
        <v/>
      </c>
      <c r="AF37" s="51" t="str">
        <f t="shared" si="16"/>
        <v/>
      </c>
      <c r="AG37" s="51" t="str">
        <f t="shared" si="17"/>
        <v/>
      </c>
      <c r="AH37" s="51" t="str">
        <f t="shared" si="18"/>
        <v>FAIL</v>
      </c>
      <c r="AI37" s="51" t="str">
        <f t="shared" si="19"/>
        <v>REVIEW</v>
      </c>
      <c r="AJ37" s="51" t="str">
        <f t="shared" si="20"/>
        <v>AVOID</v>
      </c>
      <c r="AK37" s="51" t="str">
        <f t="shared" si="21"/>
        <v>OK</v>
      </c>
      <c r="AL37" s="70" t="s">
        <v>330</v>
      </c>
      <c r="AM37" s="70" t="s">
        <v>331</v>
      </c>
      <c r="AN37" s="60"/>
      <c r="AO37" s="51"/>
      <c r="AP37" s="60" t="str">
        <f t="shared" si="22"/>
        <v/>
      </c>
      <c r="AQ37" s="60"/>
      <c r="AR37" s="51"/>
      <c r="AS37" s="71" t="str">
        <f t="shared" si="23"/>
        <v/>
      </c>
    </row>
    <row r="38" spans="1:45" ht="15" hidden="1" customHeight="1" outlineLevel="1" x14ac:dyDescent="0.25">
      <c r="A38" s="32" t="s">
        <v>262</v>
      </c>
      <c r="B38" s="182" t="s">
        <v>374</v>
      </c>
      <c r="C38" s="69">
        <v>46246</v>
      </c>
      <c r="D38" s="60">
        <v>3</v>
      </c>
      <c r="E38" s="60" t="s">
        <v>317</v>
      </c>
      <c r="F38" s="60">
        <v>3</v>
      </c>
      <c r="G38" s="60" t="s">
        <v>317</v>
      </c>
      <c r="H38" s="60">
        <v>3</v>
      </c>
      <c r="I38" s="60" t="s">
        <v>317</v>
      </c>
      <c r="J38" s="60">
        <v>2</v>
      </c>
      <c r="K38" s="60" t="s">
        <v>317</v>
      </c>
      <c r="L38" s="60">
        <v>3</v>
      </c>
      <c r="M38" s="60" t="s">
        <v>317</v>
      </c>
      <c r="N38" s="62">
        <f t="shared" si="12"/>
        <v>2.8571428571428572</v>
      </c>
      <c r="O38" s="51">
        <f t="shared" si="13"/>
        <v>2</v>
      </c>
      <c r="P38" s="60"/>
      <c r="Q38" s="60"/>
      <c r="R38" s="60"/>
      <c r="S38" s="60"/>
      <c r="T38" s="60"/>
      <c r="U38" s="60"/>
      <c r="V38" s="60"/>
      <c r="W38" s="60"/>
      <c r="X38" s="35" t="str">
        <f t="shared" si="14"/>
        <v/>
      </c>
      <c r="Y38" s="60"/>
      <c r="Z38" s="60"/>
      <c r="AA38" s="60"/>
      <c r="AB38" s="60"/>
      <c r="AC38" s="60"/>
      <c r="AD38" s="60"/>
      <c r="AE38" s="35" t="str">
        <f t="shared" si="15"/>
        <v/>
      </c>
      <c r="AF38" s="51" t="str">
        <f t="shared" si="16"/>
        <v/>
      </c>
      <c r="AG38" s="51" t="str">
        <f t="shared" si="17"/>
        <v/>
      </c>
      <c r="AH38" s="51" t="str">
        <f t="shared" si="18"/>
        <v>FAIL</v>
      </c>
      <c r="AI38" s="51" t="str">
        <f t="shared" si="19"/>
        <v>OK</v>
      </c>
      <c r="AJ38" s="51" t="str">
        <f t="shared" si="20"/>
        <v>OK</v>
      </c>
      <c r="AK38" s="51" t="str">
        <f t="shared" si="21"/>
        <v>OK</v>
      </c>
      <c r="AL38" s="70" t="s">
        <v>330</v>
      </c>
      <c r="AM38" s="70" t="s">
        <v>375</v>
      </c>
      <c r="AN38" s="60"/>
      <c r="AO38" s="51"/>
      <c r="AP38" s="60" t="str">
        <f t="shared" si="22"/>
        <v/>
      </c>
      <c r="AQ38" s="60"/>
      <c r="AR38" s="51"/>
      <c r="AS38" s="71" t="str">
        <f t="shared" si="23"/>
        <v/>
      </c>
    </row>
    <row r="39" spans="1:45" ht="15" hidden="1" customHeight="1" outlineLevel="1" x14ac:dyDescent="0.25">
      <c r="A39" s="32" t="s">
        <v>238</v>
      </c>
      <c r="B39" s="182" t="s">
        <v>376</v>
      </c>
      <c r="C39" s="69">
        <v>46246</v>
      </c>
      <c r="D39" s="60">
        <v>2</v>
      </c>
      <c r="E39" s="60" t="s">
        <v>319</v>
      </c>
      <c r="F39" s="60">
        <v>4</v>
      </c>
      <c r="G39" s="60" t="s">
        <v>318</v>
      </c>
      <c r="H39" s="60">
        <v>3</v>
      </c>
      <c r="I39" s="60" t="s">
        <v>317</v>
      </c>
      <c r="J39" s="60">
        <v>2</v>
      </c>
      <c r="K39" s="60" t="s">
        <v>317</v>
      </c>
      <c r="L39" s="60">
        <v>1</v>
      </c>
      <c r="M39" s="60" t="s">
        <v>318</v>
      </c>
      <c r="N39" s="62">
        <f t="shared" si="12"/>
        <v>2.5</v>
      </c>
      <c r="O39" s="51">
        <f t="shared" si="13"/>
        <v>1.75</v>
      </c>
      <c r="P39" s="60"/>
      <c r="Q39" s="60"/>
      <c r="R39" s="60"/>
      <c r="S39" s="60"/>
      <c r="T39" s="60"/>
      <c r="U39" s="60"/>
      <c r="V39" s="60"/>
      <c r="W39" s="60"/>
      <c r="X39" s="35" t="str">
        <f t="shared" si="14"/>
        <v/>
      </c>
      <c r="Y39" s="60"/>
      <c r="Z39" s="60"/>
      <c r="AA39" s="60"/>
      <c r="AB39" s="60"/>
      <c r="AC39" s="60"/>
      <c r="AD39" s="60"/>
      <c r="AE39" s="35" t="str">
        <f t="shared" si="15"/>
        <v/>
      </c>
      <c r="AF39" s="51" t="str">
        <f t="shared" si="16"/>
        <v/>
      </c>
      <c r="AG39" s="51" t="str">
        <f t="shared" si="17"/>
        <v/>
      </c>
      <c r="AH39" s="51" t="str">
        <f t="shared" si="18"/>
        <v>FAIL</v>
      </c>
      <c r="AI39" s="51" t="str">
        <f t="shared" si="19"/>
        <v>REVIEW</v>
      </c>
      <c r="AJ39" s="51" t="str">
        <f t="shared" si="20"/>
        <v>AVOID</v>
      </c>
      <c r="AK39" s="51" t="str">
        <f t="shared" si="21"/>
        <v>OK</v>
      </c>
      <c r="AL39" s="70" t="s">
        <v>330</v>
      </c>
      <c r="AM39" s="70" t="s">
        <v>375</v>
      </c>
      <c r="AN39" s="60"/>
      <c r="AO39" s="51"/>
      <c r="AP39" s="60" t="str">
        <f t="shared" si="22"/>
        <v/>
      </c>
      <c r="AQ39" s="60"/>
      <c r="AR39" s="51"/>
      <c r="AS39" s="71" t="str">
        <f t="shared" si="23"/>
        <v/>
      </c>
    </row>
    <row r="40" spans="1:45" ht="15" hidden="1" customHeight="1" outlineLevel="1" x14ac:dyDescent="0.25">
      <c r="A40" s="32" t="s">
        <v>214</v>
      </c>
      <c r="B40" s="182" t="s">
        <v>377</v>
      </c>
      <c r="C40" s="69">
        <v>46246</v>
      </c>
      <c r="D40" s="60">
        <v>1</v>
      </c>
      <c r="E40" s="60" t="s">
        <v>318</v>
      </c>
      <c r="F40" s="60">
        <v>1</v>
      </c>
      <c r="G40" s="60" t="s">
        <v>318</v>
      </c>
      <c r="H40" s="60">
        <v>2</v>
      </c>
      <c r="I40" s="60" t="s">
        <v>317</v>
      </c>
      <c r="J40" s="60">
        <v>2</v>
      </c>
      <c r="K40" s="60" t="s">
        <v>317</v>
      </c>
      <c r="L40" s="60">
        <v>1</v>
      </c>
      <c r="M40" s="60" t="s">
        <v>318</v>
      </c>
      <c r="N40" s="62">
        <f t="shared" si="12"/>
        <v>1.357142857142857</v>
      </c>
      <c r="O40" s="51">
        <f t="shared" si="13"/>
        <v>0.94999999999999984</v>
      </c>
      <c r="P40" s="60"/>
      <c r="Q40" s="60"/>
      <c r="R40" s="60"/>
      <c r="S40" s="60"/>
      <c r="T40" s="60"/>
      <c r="U40" s="60"/>
      <c r="V40" s="60"/>
      <c r="W40" s="60"/>
      <c r="X40" s="35" t="str">
        <f t="shared" si="14"/>
        <v/>
      </c>
      <c r="Y40" s="60"/>
      <c r="Z40" s="60"/>
      <c r="AA40" s="60"/>
      <c r="AB40" s="60"/>
      <c r="AC40" s="60"/>
      <c r="AD40" s="60"/>
      <c r="AE40" s="35" t="str">
        <f t="shared" si="15"/>
        <v/>
      </c>
      <c r="AF40" s="51" t="str">
        <f t="shared" si="16"/>
        <v/>
      </c>
      <c r="AG40" s="51" t="str">
        <f t="shared" si="17"/>
        <v/>
      </c>
      <c r="AH40" s="51" t="str">
        <f t="shared" si="18"/>
        <v>FAIL</v>
      </c>
      <c r="AI40" s="51" t="str">
        <f t="shared" si="19"/>
        <v>REVIEW</v>
      </c>
      <c r="AJ40" s="51" t="str">
        <f t="shared" si="20"/>
        <v>AVOID</v>
      </c>
      <c r="AK40" s="51" t="str">
        <f t="shared" si="21"/>
        <v>OK</v>
      </c>
      <c r="AL40" s="70" t="s">
        <v>330</v>
      </c>
      <c r="AM40" s="70" t="s">
        <v>378</v>
      </c>
      <c r="AN40" s="60"/>
      <c r="AO40" s="51"/>
      <c r="AP40" s="60" t="str">
        <f t="shared" si="22"/>
        <v/>
      </c>
      <c r="AQ40" s="60"/>
      <c r="AR40" s="51"/>
      <c r="AS40" s="71" t="str">
        <f t="shared" si="23"/>
        <v/>
      </c>
    </row>
    <row r="41" spans="1:45" ht="15" hidden="1" customHeight="1" outlineLevel="1" x14ac:dyDescent="0.25">
      <c r="A41" s="32" t="s">
        <v>216</v>
      </c>
      <c r="B41" s="182" t="s">
        <v>379</v>
      </c>
      <c r="C41" s="69">
        <v>46246</v>
      </c>
      <c r="D41" s="60">
        <v>2</v>
      </c>
      <c r="E41" s="60" t="s">
        <v>317</v>
      </c>
      <c r="F41" s="60">
        <v>3</v>
      </c>
      <c r="G41" s="60" t="s">
        <v>318</v>
      </c>
      <c r="H41" s="60">
        <v>4</v>
      </c>
      <c r="I41" s="60" t="s">
        <v>317</v>
      </c>
      <c r="J41" s="60">
        <v>3</v>
      </c>
      <c r="K41" s="60" t="s">
        <v>317</v>
      </c>
      <c r="L41" s="60">
        <v>2</v>
      </c>
      <c r="M41" s="60" t="s">
        <v>318</v>
      </c>
      <c r="N41" s="62">
        <f t="shared" si="12"/>
        <v>2.785714285714286</v>
      </c>
      <c r="O41" s="51">
        <f t="shared" si="13"/>
        <v>1.95</v>
      </c>
      <c r="P41" s="60"/>
      <c r="Q41" s="60"/>
      <c r="R41" s="60"/>
      <c r="S41" s="60"/>
      <c r="T41" s="60"/>
      <c r="U41" s="60"/>
      <c r="V41" s="60"/>
      <c r="W41" s="60"/>
      <c r="X41" s="35" t="str">
        <f t="shared" si="14"/>
        <v/>
      </c>
      <c r="Y41" s="60"/>
      <c r="Z41" s="60"/>
      <c r="AA41" s="60"/>
      <c r="AB41" s="60"/>
      <c r="AC41" s="60"/>
      <c r="AD41" s="60"/>
      <c r="AE41" s="35" t="str">
        <f t="shared" si="15"/>
        <v/>
      </c>
      <c r="AF41" s="51" t="str">
        <f t="shared" si="16"/>
        <v/>
      </c>
      <c r="AG41" s="51" t="str">
        <f t="shared" si="17"/>
        <v/>
      </c>
      <c r="AH41" s="51" t="str">
        <f t="shared" si="18"/>
        <v>FAIL</v>
      </c>
      <c r="AI41" s="51" t="str">
        <f t="shared" si="19"/>
        <v>OK</v>
      </c>
      <c r="AJ41" s="51" t="str">
        <f t="shared" si="20"/>
        <v>AVOID</v>
      </c>
      <c r="AK41" s="51" t="str">
        <f t="shared" si="21"/>
        <v>OK</v>
      </c>
      <c r="AL41" s="70" t="s">
        <v>330</v>
      </c>
      <c r="AM41" s="70" t="s">
        <v>380</v>
      </c>
      <c r="AN41" s="60"/>
      <c r="AO41" s="51"/>
      <c r="AP41" s="60" t="str">
        <f t="shared" si="22"/>
        <v/>
      </c>
      <c r="AQ41" s="60"/>
      <c r="AR41" s="51"/>
      <c r="AS41" s="71" t="str">
        <f t="shared" si="23"/>
        <v/>
      </c>
    </row>
    <row r="42" spans="1:45" ht="15" customHeight="1" collapsed="1" x14ac:dyDescent="0.25">
      <c r="A42" s="32" t="s">
        <v>234</v>
      </c>
      <c r="B42" s="182" t="s">
        <v>381</v>
      </c>
      <c r="C42" s="69">
        <v>46246</v>
      </c>
      <c r="D42" s="60">
        <v>4</v>
      </c>
      <c r="E42" s="60" t="s">
        <v>318</v>
      </c>
      <c r="F42" s="60">
        <v>3</v>
      </c>
      <c r="G42" s="60" t="s">
        <v>318</v>
      </c>
      <c r="H42" s="60">
        <v>3</v>
      </c>
      <c r="I42" s="60" t="s">
        <v>317</v>
      </c>
      <c r="J42" s="60">
        <v>3</v>
      </c>
      <c r="K42" s="60" t="s">
        <v>317</v>
      </c>
      <c r="L42" s="60">
        <v>4</v>
      </c>
      <c r="M42" s="60" t="s">
        <v>318</v>
      </c>
      <c r="N42" s="62">
        <f t="shared" si="12"/>
        <v>3.4285714285714288</v>
      </c>
      <c r="O42" s="51">
        <f t="shared" si="13"/>
        <v>2.4</v>
      </c>
      <c r="P42" s="60"/>
      <c r="Q42" s="60"/>
      <c r="R42" s="60"/>
      <c r="S42" s="60"/>
      <c r="T42" s="60"/>
      <c r="U42" s="60"/>
      <c r="V42" s="60"/>
      <c r="W42" s="60"/>
      <c r="X42" s="35" t="str">
        <f t="shared" si="14"/>
        <v/>
      </c>
      <c r="Y42" s="60"/>
      <c r="Z42" s="60"/>
      <c r="AA42" s="60"/>
      <c r="AB42" s="60"/>
      <c r="AC42" s="60"/>
      <c r="AD42" s="60"/>
      <c r="AE42" s="35" t="str">
        <f t="shared" si="15"/>
        <v/>
      </c>
      <c r="AF42" s="51" t="str">
        <f t="shared" si="16"/>
        <v/>
      </c>
      <c r="AG42" s="51" t="str">
        <f t="shared" si="17"/>
        <v/>
      </c>
      <c r="AH42" s="51" t="str">
        <f t="shared" si="18"/>
        <v>OK</v>
      </c>
      <c r="AI42" s="51" t="str">
        <f t="shared" si="19"/>
        <v>OK</v>
      </c>
      <c r="AJ42" s="51" t="str">
        <f t="shared" si="20"/>
        <v>OK</v>
      </c>
      <c r="AK42" s="51" t="str">
        <f t="shared" si="21"/>
        <v>OK</v>
      </c>
      <c r="AL42" s="70" t="s">
        <v>330</v>
      </c>
      <c r="AM42" s="70" t="s">
        <v>380</v>
      </c>
      <c r="AN42" s="60"/>
      <c r="AO42" s="51"/>
      <c r="AP42" s="60" t="str">
        <f t="shared" si="22"/>
        <v/>
      </c>
      <c r="AQ42" s="60"/>
      <c r="AR42" s="51"/>
      <c r="AS42" s="71" t="str">
        <f t="shared" si="23"/>
        <v/>
      </c>
    </row>
    <row r="43" spans="1:45" ht="15" customHeight="1" x14ac:dyDescent="0.25">
      <c r="A43" s="32" t="s">
        <v>236</v>
      </c>
      <c r="B43" s="182" t="s">
        <v>382</v>
      </c>
      <c r="C43" s="69">
        <v>46247</v>
      </c>
      <c r="D43" s="60">
        <v>3</v>
      </c>
      <c r="E43" s="60" t="s">
        <v>317</v>
      </c>
      <c r="F43" s="60">
        <v>5</v>
      </c>
      <c r="G43" s="60" t="s">
        <v>317</v>
      </c>
      <c r="H43" s="60">
        <v>5</v>
      </c>
      <c r="I43" s="60" t="s">
        <v>317</v>
      </c>
      <c r="J43" s="60">
        <v>4</v>
      </c>
      <c r="K43" s="60" t="s">
        <v>317</v>
      </c>
      <c r="L43" s="60">
        <v>2</v>
      </c>
      <c r="M43" s="60" t="s">
        <v>317</v>
      </c>
      <c r="N43" s="62">
        <f t="shared" si="12"/>
        <v>3.8571428571428577</v>
      </c>
      <c r="O43" s="51">
        <f t="shared" si="13"/>
        <v>2.7</v>
      </c>
      <c r="P43" s="60"/>
      <c r="Q43" s="60"/>
      <c r="R43" s="60"/>
      <c r="S43" s="60"/>
      <c r="T43" s="60"/>
      <c r="U43" s="60"/>
      <c r="V43" s="60"/>
      <c r="W43" s="60"/>
      <c r="X43" s="35" t="str">
        <f t="shared" si="14"/>
        <v/>
      </c>
      <c r="Y43" s="60"/>
      <c r="Z43" s="60"/>
      <c r="AA43" s="60">
        <v>4</v>
      </c>
      <c r="AB43" s="60" t="s">
        <v>317</v>
      </c>
      <c r="AC43" s="60"/>
      <c r="AD43" s="60"/>
      <c r="AE43" s="35">
        <f t="shared" si="15"/>
        <v>0.08</v>
      </c>
      <c r="AF43" s="51" t="str">
        <f t="shared" si="16"/>
        <v/>
      </c>
      <c r="AG43" s="51" t="str">
        <f t="shared" si="17"/>
        <v/>
      </c>
      <c r="AH43" s="51" t="str">
        <f t="shared" si="18"/>
        <v>OK</v>
      </c>
      <c r="AI43" s="51" t="str">
        <f t="shared" si="19"/>
        <v>OK</v>
      </c>
      <c r="AJ43" s="51" t="str">
        <f t="shared" si="20"/>
        <v>OK</v>
      </c>
      <c r="AK43" s="51" t="str">
        <f t="shared" si="21"/>
        <v>OK</v>
      </c>
      <c r="AL43" s="70" t="s">
        <v>337</v>
      </c>
      <c r="AM43" s="70" t="s">
        <v>383</v>
      </c>
      <c r="AN43" s="60"/>
      <c r="AO43" s="51"/>
      <c r="AP43" s="60" t="str">
        <f t="shared" si="22"/>
        <v/>
      </c>
      <c r="AQ43" s="60"/>
      <c r="AR43" s="51"/>
      <c r="AS43" s="71" t="str">
        <f t="shared" si="23"/>
        <v/>
      </c>
    </row>
    <row r="44" spans="1:45" ht="15" customHeight="1" x14ac:dyDescent="0.25">
      <c r="A44" s="32" t="s">
        <v>256</v>
      </c>
      <c r="B44" s="182" t="s">
        <v>384</v>
      </c>
      <c r="C44" s="69">
        <v>46247</v>
      </c>
      <c r="D44" s="60">
        <v>4</v>
      </c>
      <c r="E44" s="60" t="s">
        <v>317</v>
      </c>
      <c r="F44" s="60">
        <v>3</v>
      </c>
      <c r="G44" s="60" t="s">
        <v>317</v>
      </c>
      <c r="H44" s="60">
        <v>3</v>
      </c>
      <c r="I44" s="60" t="s">
        <v>317</v>
      </c>
      <c r="J44" s="60">
        <v>2</v>
      </c>
      <c r="K44" s="60" t="s">
        <v>317</v>
      </c>
      <c r="L44" s="60">
        <v>4</v>
      </c>
      <c r="M44" s="60" t="s">
        <v>317</v>
      </c>
      <c r="N44" s="62">
        <f t="shared" si="12"/>
        <v>3.2857142857142856</v>
      </c>
      <c r="O44" s="51">
        <f t="shared" si="13"/>
        <v>2.2999999999999998</v>
      </c>
      <c r="P44" s="60"/>
      <c r="Q44" s="60"/>
      <c r="R44" s="60"/>
      <c r="S44" s="60"/>
      <c r="T44" s="60"/>
      <c r="U44" s="60"/>
      <c r="V44" s="60"/>
      <c r="W44" s="60"/>
      <c r="X44" s="35" t="str">
        <f t="shared" si="14"/>
        <v/>
      </c>
      <c r="Y44" s="60"/>
      <c r="Z44" s="60"/>
      <c r="AA44" s="60">
        <v>4</v>
      </c>
      <c r="AB44" s="60" t="s">
        <v>317</v>
      </c>
      <c r="AC44" s="60"/>
      <c r="AD44" s="60"/>
      <c r="AE44" s="35">
        <f t="shared" si="15"/>
        <v>0.08</v>
      </c>
      <c r="AF44" s="51" t="str">
        <f t="shared" si="16"/>
        <v/>
      </c>
      <c r="AG44" s="51" t="str">
        <f t="shared" si="17"/>
        <v/>
      </c>
      <c r="AH44" s="51" t="str">
        <f t="shared" si="18"/>
        <v>OK</v>
      </c>
      <c r="AI44" s="51" t="str">
        <f t="shared" si="19"/>
        <v>OK</v>
      </c>
      <c r="AJ44" s="51" t="str">
        <f t="shared" si="20"/>
        <v>OK</v>
      </c>
      <c r="AK44" s="51" t="str">
        <f t="shared" si="21"/>
        <v>OK</v>
      </c>
      <c r="AL44" s="70" t="s">
        <v>337</v>
      </c>
      <c r="AM44" s="70" t="s">
        <v>385</v>
      </c>
      <c r="AN44" s="60"/>
      <c r="AO44" s="51"/>
      <c r="AP44" s="60" t="str">
        <f t="shared" si="22"/>
        <v/>
      </c>
      <c r="AQ44" s="60"/>
      <c r="AR44" s="51"/>
      <c r="AS44" s="71" t="str">
        <f t="shared" si="23"/>
        <v/>
      </c>
    </row>
    <row r="45" spans="1:45" ht="15" customHeight="1" x14ac:dyDescent="0.25">
      <c r="A45" s="32" t="s">
        <v>232</v>
      </c>
      <c r="B45" s="182" t="s">
        <v>386</v>
      </c>
      <c r="C45" s="69">
        <v>46247</v>
      </c>
      <c r="D45" s="60">
        <v>4</v>
      </c>
      <c r="E45" s="60" t="s">
        <v>317</v>
      </c>
      <c r="F45" s="60">
        <v>3</v>
      </c>
      <c r="G45" s="60" t="s">
        <v>317</v>
      </c>
      <c r="H45" s="60">
        <v>4</v>
      </c>
      <c r="I45" s="60" t="s">
        <v>317</v>
      </c>
      <c r="J45" s="60">
        <v>3</v>
      </c>
      <c r="K45" s="60" t="s">
        <v>317</v>
      </c>
      <c r="L45" s="60">
        <v>3</v>
      </c>
      <c r="M45" s="60" t="s">
        <v>317</v>
      </c>
      <c r="N45" s="62">
        <f t="shared" si="12"/>
        <v>3.5000000000000004</v>
      </c>
      <c r="O45" s="51">
        <f t="shared" si="13"/>
        <v>2.4500000000000002</v>
      </c>
      <c r="P45" s="60"/>
      <c r="Q45" s="60"/>
      <c r="R45" s="60"/>
      <c r="S45" s="60"/>
      <c r="T45" s="60"/>
      <c r="U45" s="60"/>
      <c r="V45" s="60"/>
      <c r="W45" s="60"/>
      <c r="X45" s="35" t="str">
        <f t="shared" si="14"/>
        <v/>
      </c>
      <c r="Y45" s="60"/>
      <c r="Z45" s="60"/>
      <c r="AA45" s="60">
        <v>4</v>
      </c>
      <c r="AB45" s="60" t="s">
        <v>317</v>
      </c>
      <c r="AC45" s="60"/>
      <c r="AD45" s="60"/>
      <c r="AE45" s="35">
        <f t="shared" si="15"/>
        <v>0.08</v>
      </c>
      <c r="AF45" s="51" t="str">
        <f t="shared" si="16"/>
        <v/>
      </c>
      <c r="AG45" s="51" t="str">
        <f t="shared" si="17"/>
        <v/>
      </c>
      <c r="AH45" s="51" t="str">
        <f t="shared" si="18"/>
        <v>OK</v>
      </c>
      <c r="AI45" s="51" t="str">
        <f t="shared" si="19"/>
        <v>OK</v>
      </c>
      <c r="AJ45" s="51" t="str">
        <f t="shared" si="20"/>
        <v>OK</v>
      </c>
      <c r="AK45" s="51" t="str">
        <f t="shared" si="21"/>
        <v>OK</v>
      </c>
      <c r="AL45" s="70" t="s">
        <v>337</v>
      </c>
      <c r="AM45" s="70" t="s">
        <v>385</v>
      </c>
      <c r="AN45" s="60"/>
      <c r="AO45" s="51"/>
      <c r="AP45" s="60" t="str">
        <f t="shared" si="22"/>
        <v/>
      </c>
      <c r="AQ45" s="60"/>
      <c r="AR45" s="51"/>
      <c r="AS45" s="71" t="str">
        <f t="shared" si="23"/>
        <v/>
      </c>
    </row>
    <row r="46" spans="1:45" ht="15" hidden="1" customHeight="1" outlineLevel="1" x14ac:dyDescent="0.25">
      <c r="A46" s="32" t="s">
        <v>225</v>
      </c>
      <c r="B46" s="182" t="s">
        <v>387</v>
      </c>
      <c r="C46" s="69">
        <v>46258</v>
      </c>
      <c r="D46" s="60">
        <v>4</v>
      </c>
      <c r="E46" s="60" t="s">
        <v>317</v>
      </c>
      <c r="F46" s="60">
        <v>2</v>
      </c>
      <c r="G46" s="60" t="s">
        <v>317</v>
      </c>
      <c r="H46" s="60">
        <v>3</v>
      </c>
      <c r="I46" s="60" t="s">
        <v>317</v>
      </c>
      <c r="J46" s="60">
        <v>2</v>
      </c>
      <c r="K46" s="60" t="s">
        <v>317</v>
      </c>
      <c r="L46" s="60">
        <v>3</v>
      </c>
      <c r="M46" s="60" t="s">
        <v>317</v>
      </c>
      <c r="N46" s="62">
        <f t="shared" si="12"/>
        <v>2.9285714285714284</v>
      </c>
      <c r="O46" s="51">
        <f t="shared" si="13"/>
        <v>2.0499999999999998</v>
      </c>
      <c r="P46" s="60"/>
      <c r="Q46" s="60"/>
      <c r="R46" s="60"/>
      <c r="S46" s="60"/>
      <c r="T46" s="60"/>
      <c r="U46" s="60"/>
      <c r="V46" s="60"/>
      <c r="W46" s="60"/>
      <c r="X46" s="35" t="str">
        <f t="shared" si="14"/>
        <v/>
      </c>
      <c r="Y46" s="60"/>
      <c r="Z46" s="60"/>
      <c r="AA46" s="60"/>
      <c r="AB46" s="60"/>
      <c r="AC46" s="60"/>
      <c r="AD46" s="60"/>
      <c r="AE46" s="35" t="str">
        <f t="shared" si="15"/>
        <v/>
      </c>
      <c r="AF46" s="51" t="str">
        <f t="shared" si="16"/>
        <v/>
      </c>
      <c r="AG46" s="51" t="str">
        <f t="shared" si="17"/>
        <v/>
      </c>
      <c r="AH46" s="51" t="str">
        <f t="shared" si="18"/>
        <v>FAIL</v>
      </c>
      <c r="AI46" s="51" t="str">
        <f t="shared" si="19"/>
        <v>OK</v>
      </c>
      <c r="AJ46" s="51" t="str">
        <f t="shared" si="20"/>
        <v>AVOID</v>
      </c>
      <c r="AK46" s="51" t="str">
        <f t="shared" si="21"/>
        <v>OK</v>
      </c>
      <c r="AL46" s="70" t="s">
        <v>388</v>
      </c>
      <c r="AM46" s="70" t="s">
        <v>389</v>
      </c>
      <c r="AN46" s="60"/>
      <c r="AO46" s="51"/>
      <c r="AP46" s="60" t="str">
        <f t="shared" si="22"/>
        <v/>
      </c>
      <c r="AQ46" s="60"/>
      <c r="AR46" s="51"/>
      <c r="AS46" s="71" t="str">
        <f t="shared" si="23"/>
        <v/>
      </c>
    </row>
    <row r="47" spans="1:45" ht="15" customHeight="1" collapsed="1" x14ac:dyDescent="0.25">
      <c r="A47" s="32" t="s">
        <v>245</v>
      </c>
      <c r="B47" s="182" t="s">
        <v>390</v>
      </c>
      <c r="C47" s="69">
        <v>46258</v>
      </c>
      <c r="D47" s="60">
        <v>4</v>
      </c>
      <c r="E47" s="60" t="s">
        <v>317</v>
      </c>
      <c r="F47" s="60">
        <v>4</v>
      </c>
      <c r="G47" s="60" t="s">
        <v>317</v>
      </c>
      <c r="H47" s="60">
        <v>5</v>
      </c>
      <c r="I47" s="60" t="s">
        <v>317</v>
      </c>
      <c r="J47" s="60">
        <v>4</v>
      </c>
      <c r="K47" s="60" t="s">
        <v>317</v>
      </c>
      <c r="L47" s="60">
        <v>4</v>
      </c>
      <c r="M47" s="60" t="s">
        <v>317</v>
      </c>
      <c r="N47" s="62">
        <f t="shared" si="12"/>
        <v>4.2142857142857144</v>
      </c>
      <c r="O47" s="51">
        <f t="shared" si="13"/>
        <v>2.9499999999999997</v>
      </c>
      <c r="P47" s="60"/>
      <c r="Q47" s="60"/>
      <c r="R47" s="60"/>
      <c r="S47" s="60"/>
      <c r="T47" s="60"/>
      <c r="U47" s="60"/>
      <c r="V47" s="60"/>
      <c r="W47" s="60"/>
      <c r="X47" s="35" t="str">
        <f t="shared" si="14"/>
        <v/>
      </c>
      <c r="Y47" s="60"/>
      <c r="Z47" s="60"/>
      <c r="AA47" s="60"/>
      <c r="AB47" s="60"/>
      <c r="AC47" s="60"/>
      <c r="AD47" s="60"/>
      <c r="AE47" s="35" t="str">
        <f t="shared" si="15"/>
        <v/>
      </c>
      <c r="AF47" s="51" t="str">
        <f t="shared" si="16"/>
        <v/>
      </c>
      <c r="AG47" s="51" t="str">
        <f t="shared" si="17"/>
        <v/>
      </c>
      <c r="AH47" s="51" t="str">
        <f t="shared" si="18"/>
        <v>OK</v>
      </c>
      <c r="AI47" s="51" t="str">
        <f t="shared" si="19"/>
        <v>OK</v>
      </c>
      <c r="AJ47" s="51" t="str">
        <f t="shared" si="20"/>
        <v>OK</v>
      </c>
      <c r="AK47" s="51" t="str">
        <f t="shared" si="21"/>
        <v>OK</v>
      </c>
      <c r="AL47" s="70" t="s">
        <v>388</v>
      </c>
      <c r="AM47" s="70" t="s">
        <v>389</v>
      </c>
      <c r="AN47" s="60"/>
      <c r="AO47" s="51"/>
      <c r="AP47" s="60" t="str">
        <f t="shared" si="22"/>
        <v/>
      </c>
      <c r="AQ47" s="60"/>
      <c r="AR47" s="51"/>
      <c r="AS47" s="71" t="str">
        <f t="shared" si="23"/>
        <v/>
      </c>
    </row>
    <row r="48" spans="1:45" ht="15" customHeight="1" x14ac:dyDescent="0.25">
      <c r="A48" s="32" t="s">
        <v>266</v>
      </c>
      <c r="B48" s="182" t="s">
        <v>391</v>
      </c>
      <c r="C48" s="61">
        <v>46276</v>
      </c>
      <c r="D48" s="60">
        <v>4</v>
      </c>
      <c r="E48" s="60" t="s">
        <v>317</v>
      </c>
      <c r="F48" s="60">
        <v>4</v>
      </c>
      <c r="G48" s="60" t="s">
        <v>317</v>
      </c>
      <c r="H48" s="60"/>
      <c r="I48" s="60"/>
      <c r="J48" s="60"/>
      <c r="K48" s="60"/>
      <c r="L48" s="60">
        <v>4</v>
      </c>
      <c r="M48" s="60" t="s">
        <v>317</v>
      </c>
      <c r="N48" s="62">
        <f t="shared" si="12"/>
        <v>4</v>
      </c>
      <c r="O48" s="63">
        <f t="shared" si="13"/>
        <v>1.7999999999999998</v>
      </c>
      <c r="P48" s="60"/>
      <c r="Q48" s="60"/>
      <c r="R48" s="60"/>
      <c r="S48" s="60"/>
      <c r="T48" s="60"/>
      <c r="U48" s="60"/>
      <c r="V48" s="60"/>
      <c r="W48" s="60"/>
      <c r="X48" s="63" t="str">
        <f t="shared" si="14"/>
        <v/>
      </c>
      <c r="Y48" s="60"/>
      <c r="Z48" s="60"/>
      <c r="AA48" s="60"/>
      <c r="AB48" s="60"/>
      <c r="AC48" s="60"/>
      <c r="AD48" s="60"/>
      <c r="AE48" s="63" t="str">
        <f t="shared" si="15"/>
        <v/>
      </c>
      <c r="AF48" s="51" t="str">
        <f t="shared" si="16"/>
        <v/>
      </c>
      <c r="AG48" s="51" t="str">
        <f t="shared" si="17"/>
        <v/>
      </c>
      <c r="AH48" s="51" t="str">
        <f t="shared" si="18"/>
        <v>OK</v>
      </c>
      <c r="AI48" s="51" t="str">
        <f t="shared" si="19"/>
        <v>OK</v>
      </c>
      <c r="AJ48" s="51" t="str">
        <f t="shared" si="20"/>
        <v>OK</v>
      </c>
      <c r="AK48" s="51" t="str">
        <f t="shared" si="21"/>
        <v>OK</v>
      </c>
      <c r="AL48" s="70" t="s">
        <v>347</v>
      </c>
      <c r="AM48" s="70" t="s">
        <v>352</v>
      </c>
      <c r="AN48" s="60"/>
      <c r="AO48" s="51"/>
      <c r="AP48" s="60" t="str">
        <f t="shared" si="22"/>
        <v/>
      </c>
      <c r="AQ48" s="60"/>
      <c r="AR48" s="51"/>
      <c r="AS48" s="71" t="str">
        <f t="shared" si="23"/>
        <v/>
      </c>
    </row>
    <row r="49" spans="1:45" ht="15" customHeight="1" x14ac:dyDescent="0.25">
      <c r="A49" s="32"/>
      <c r="B49" s="182"/>
      <c r="C49" s="60"/>
      <c r="D49" s="60"/>
      <c r="E49" s="60"/>
      <c r="F49" s="60"/>
      <c r="G49" s="60"/>
      <c r="H49" s="60"/>
      <c r="I49" s="60"/>
      <c r="J49" s="60"/>
      <c r="K49" s="60"/>
      <c r="L49" s="60"/>
      <c r="M49" s="60"/>
      <c r="N49" s="62" t="str">
        <f t="shared" si="12"/>
        <v/>
      </c>
      <c r="O49" s="51" t="str">
        <f t="shared" si="13"/>
        <v/>
      </c>
      <c r="P49" s="60"/>
      <c r="Q49" s="60"/>
      <c r="R49" s="60"/>
      <c r="S49" s="60"/>
      <c r="T49" s="60"/>
      <c r="U49" s="60"/>
      <c r="V49" s="60"/>
      <c r="W49" s="60"/>
      <c r="X49" s="35" t="str">
        <f t="shared" si="14"/>
        <v/>
      </c>
      <c r="Y49" s="60"/>
      <c r="Z49" s="60"/>
      <c r="AA49" s="60"/>
      <c r="AB49" s="60"/>
      <c r="AC49" s="60"/>
      <c r="AD49" s="60"/>
      <c r="AE49" s="35" t="str">
        <f t="shared" si="15"/>
        <v/>
      </c>
      <c r="AF49" s="51" t="str">
        <f t="shared" si="16"/>
        <v/>
      </c>
      <c r="AG49" s="51" t="str">
        <f t="shared" si="17"/>
        <v/>
      </c>
      <c r="AH49" s="51" t="str">
        <f t="shared" si="18"/>
        <v/>
      </c>
      <c r="AI49" s="51" t="str">
        <f t="shared" si="19"/>
        <v/>
      </c>
      <c r="AJ49" s="51" t="str">
        <f t="shared" si="20"/>
        <v/>
      </c>
      <c r="AK49" s="51" t="str">
        <f t="shared" si="21"/>
        <v/>
      </c>
      <c r="AL49" s="70"/>
      <c r="AM49" s="70"/>
      <c r="AN49" s="60"/>
      <c r="AO49" s="51"/>
      <c r="AP49" s="60" t="str">
        <f t="shared" si="22"/>
        <v/>
      </c>
      <c r="AQ49" s="60"/>
      <c r="AR49" s="51"/>
      <c r="AS49" s="71" t="str">
        <f t="shared" si="23"/>
        <v/>
      </c>
    </row>
    <row r="50" spans="1:45" ht="15" customHeight="1" x14ac:dyDescent="0.25">
      <c r="A50" s="32"/>
      <c r="B50" s="182"/>
      <c r="C50" s="60"/>
      <c r="D50" s="60"/>
      <c r="E50" s="60"/>
      <c r="F50" s="60"/>
      <c r="G50" s="60"/>
      <c r="H50" s="60"/>
      <c r="I50" s="60"/>
      <c r="J50" s="60"/>
      <c r="K50" s="60"/>
      <c r="L50" s="60"/>
      <c r="M50" s="60"/>
      <c r="N50" s="62" t="str">
        <f t="shared" si="12"/>
        <v/>
      </c>
      <c r="O50" s="51" t="str">
        <f t="shared" si="13"/>
        <v/>
      </c>
      <c r="P50" s="60"/>
      <c r="Q50" s="60"/>
      <c r="R50" s="60"/>
      <c r="S50" s="60"/>
      <c r="T50" s="60"/>
      <c r="U50" s="60"/>
      <c r="V50" s="60"/>
      <c r="W50" s="60"/>
      <c r="X50" s="35" t="str">
        <f t="shared" si="14"/>
        <v/>
      </c>
      <c r="Y50" s="60"/>
      <c r="Z50" s="60"/>
      <c r="AA50" s="60"/>
      <c r="AB50" s="60"/>
      <c r="AC50" s="60"/>
      <c r="AD50" s="60"/>
      <c r="AE50" s="35" t="str">
        <f t="shared" si="15"/>
        <v/>
      </c>
      <c r="AF50" s="51" t="str">
        <f t="shared" si="16"/>
        <v/>
      </c>
      <c r="AG50" s="51" t="str">
        <f t="shared" si="17"/>
        <v/>
      </c>
      <c r="AH50" s="51" t="str">
        <f t="shared" si="18"/>
        <v/>
      </c>
      <c r="AI50" s="51" t="str">
        <f t="shared" si="19"/>
        <v/>
      </c>
      <c r="AJ50" s="51" t="str">
        <f t="shared" si="20"/>
        <v/>
      </c>
      <c r="AK50" s="51" t="str">
        <f t="shared" si="21"/>
        <v/>
      </c>
      <c r="AL50" s="70"/>
      <c r="AM50" s="70"/>
      <c r="AN50" s="60"/>
      <c r="AO50" s="51"/>
      <c r="AP50" s="60" t="str">
        <f t="shared" si="22"/>
        <v/>
      </c>
      <c r="AQ50" s="60"/>
      <c r="AR50" s="51"/>
      <c r="AS50" s="71" t="str">
        <f t="shared" si="23"/>
        <v/>
      </c>
    </row>
    <row r="51" spans="1:45" ht="15" customHeight="1" x14ac:dyDescent="0.25">
      <c r="A51" s="32"/>
      <c r="B51" s="182"/>
      <c r="C51" s="60"/>
      <c r="D51" s="60"/>
      <c r="E51" s="60"/>
      <c r="F51" s="60"/>
      <c r="G51" s="60"/>
      <c r="H51" s="60"/>
      <c r="I51" s="60"/>
      <c r="J51" s="60"/>
      <c r="K51" s="60"/>
      <c r="L51" s="60"/>
      <c r="M51" s="60"/>
      <c r="N51" s="62" t="str">
        <f t="shared" si="12"/>
        <v/>
      </c>
      <c r="O51" s="51" t="str">
        <f t="shared" si="13"/>
        <v/>
      </c>
      <c r="P51" s="60"/>
      <c r="Q51" s="60"/>
      <c r="R51" s="60"/>
      <c r="S51" s="60"/>
      <c r="T51" s="60"/>
      <c r="U51" s="60"/>
      <c r="V51" s="60"/>
      <c r="W51" s="60"/>
      <c r="X51" s="35" t="str">
        <f t="shared" si="14"/>
        <v/>
      </c>
      <c r="Y51" s="60"/>
      <c r="Z51" s="60"/>
      <c r="AA51" s="60"/>
      <c r="AB51" s="60"/>
      <c r="AC51" s="60"/>
      <c r="AD51" s="60"/>
      <c r="AE51" s="35" t="str">
        <f t="shared" si="15"/>
        <v/>
      </c>
      <c r="AF51" s="51" t="str">
        <f t="shared" si="16"/>
        <v/>
      </c>
      <c r="AG51" s="51" t="str">
        <f t="shared" si="17"/>
        <v/>
      </c>
      <c r="AH51" s="51" t="str">
        <f t="shared" si="18"/>
        <v/>
      </c>
      <c r="AI51" s="51" t="str">
        <f t="shared" si="19"/>
        <v/>
      </c>
      <c r="AJ51" s="51" t="str">
        <f t="shared" si="20"/>
        <v/>
      </c>
      <c r="AK51" s="51" t="str">
        <f t="shared" si="21"/>
        <v/>
      </c>
      <c r="AL51" s="70"/>
      <c r="AM51" s="70"/>
      <c r="AN51" s="60"/>
      <c r="AO51" s="51"/>
      <c r="AP51" s="60" t="str">
        <f t="shared" si="22"/>
        <v/>
      </c>
      <c r="AQ51" s="60"/>
      <c r="AR51" s="51"/>
      <c r="AS51" s="71" t="str">
        <f t="shared" si="23"/>
        <v/>
      </c>
    </row>
    <row r="52" spans="1:45" ht="15" customHeight="1" x14ac:dyDescent="0.25">
      <c r="A52" s="32"/>
      <c r="B52" s="182"/>
      <c r="C52" s="60"/>
      <c r="D52" s="60"/>
      <c r="E52" s="60"/>
      <c r="F52" s="60"/>
      <c r="G52" s="60"/>
      <c r="H52" s="60"/>
      <c r="I52" s="60"/>
      <c r="J52" s="60"/>
      <c r="K52" s="60"/>
      <c r="L52" s="60"/>
      <c r="M52" s="60"/>
      <c r="N52" s="62" t="str">
        <f t="shared" si="12"/>
        <v/>
      </c>
      <c r="O52" s="51" t="str">
        <f t="shared" si="13"/>
        <v/>
      </c>
      <c r="P52" s="60"/>
      <c r="Q52" s="60"/>
      <c r="R52" s="60"/>
      <c r="S52" s="60"/>
      <c r="T52" s="60"/>
      <c r="U52" s="60"/>
      <c r="V52" s="60"/>
      <c r="W52" s="60"/>
      <c r="X52" s="35" t="str">
        <f t="shared" si="14"/>
        <v/>
      </c>
      <c r="Y52" s="60"/>
      <c r="Z52" s="60"/>
      <c r="AA52" s="60"/>
      <c r="AB52" s="60"/>
      <c r="AC52" s="60"/>
      <c r="AD52" s="60"/>
      <c r="AE52" s="35" t="str">
        <f t="shared" si="15"/>
        <v/>
      </c>
      <c r="AF52" s="51" t="str">
        <f t="shared" si="16"/>
        <v/>
      </c>
      <c r="AG52" s="51" t="str">
        <f t="shared" si="17"/>
        <v/>
      </c>
      <c r="AH52" s="51" t="str">
        <f t="shared" si="18"/>
        <v/>
      </c>
      <c r="AI52" s="51" t="str">
        <f t="shared" si="19"/>
        <v/>
      </c>
      <c r="AJ52" s="51" t="str">
        <f t="shared" si="20"/>
        <v/>
      </c>
      <c r="AK52" s="51" t="str">
        <f t="shared" si="21"/>
        <v/>
      </c>
      <c r="AL52" s="70"/>
      <c r="AM52" s="70"/>
      <c r="AN52" s="60"/>
      <c r="AO52" s="51"/>
      <c r="AP52" s="60" t="str">
        <f t="shared" si="22"/>
        <v/>
      </c>
      <c r="AQ52" s="60"/>
      <c r="AR52" s="51"/>
      <c r="AS52" s="71" t="str">
        <f t="shared" si="23"/>
        <v/>
      </c>
    </row>
    <row r="53" spans="1:45" ht="15" customHeight="1" x14ac:dyDescent="0.25">
      <c r="A53" s="32"/>
      <c r="B53" s="182"/>
      <c r="C53" s="60"/>
      <c r="D53" s="60"/>
      <c r="E53" s="60"/>
      <c r="F53" s="60"/>
      <c r="G53" s="60"/>
      <c r="H53" s="60"/>
      <c r="I53" s="60"/>
      <c r="J53" s="60"/>
      <c r="K53" s="60"/>
      <c r="L53" s="60"/>
      <c r="M53" s="60"/>
      <c r="N53" s="62" t="str">
        <f t="shared" si="12"/>
        <v/>
      </c>
      <c r="O53" s="51" t="str">
        <f t="shared" si="13"/>
        <v/>
      </c>
      <c r="P53" s="60"/>
      <c r="Q53" s="60"/>
      <c r="R53" s="60"/>
      <c r="S53" s="60"/>
      <c r="T53" s="60"/>
      <c r="U53" s="60"/>
      <c r="V53" s="60"/>
      <c r="W53" s="60"/>
      <c r="X53" s="35" t="str">
        <f t="shared" si="14"/>
        <v/>
      </c>
      <c r="Y53" s="60"/>
      <c r="Z53" s="60"/>
      <c r="AA53" s="60"/>
      <c r="AB53" s="60"/>
      <c r="AC53" s="60"/>
      <c r="AD53" s="60"/>
      <c r="AE53" s="35" t="str">
        <f t="shared" si="15"/>
        <v/>
      </c>
      <c r="AF53" s="51" t="str">
        <f t="shared" si="16"/>
        <v/>
      </c>
      <c r="AG53" s="51" t="str">
        <f t="shared" si="17"/>
        <v/>
      </c>
      <c r="AH53" s="51" t="str">
        <f t="shared" si="18"/>
        <v/>
      </c>
      <c r="AI53" s="51" t="str">
        <f t="shared" si="19"/>
        <v/>
      </c>
      <c r="AJ53" s="51" t="str">
        <f t="shared" si="20"/>
        <v/>
      </c>
      <c r="AK53" s="51" t="str">
        <f t="shared" si="21"/>
        <v/>
      </c>
      <c r="AL53" s="70"/>
      <c r="AM53" s="70"/>
      <c r="AN53" s="60"/>
      <c r="AO53" s="51"/>
      <c r="AP53" s="60" t="str">
        <f t="shared" si="22"/>
        <v/>
      </c>
      <c r="AQ53" s="60"/>
      <c r="AR53" s="51"/>
      <c r="AS53" s="71" t="str">
        <f t="shared" si="23"/>
        <v/>
      </c>
    </row>
    <row r="54" spans="1:45" ht="15" customHeight="1" x14ac:dyDescent="0.25">
      <c r="A54" s="32"/>
      <c r="B54" s="182"/>
      <c r="C54" s="60"/>
      <c r="D54" s="60"/>
      <c r="E54" s="60"/>
      <c r="F54" s="60"/>
      <c r="G54" s="60"/>
      <c r="H54" s="60"/>
      <c r="I54" s="60"/>
      <c r="J54" s="60"/>
      <c r="K54" s="60"/>
      <c r="L54" s="60"/>
      <c r="M54" s="60"/>
      <c r="N54" s="62" t="str">
        <f t="shared" si="12"/>
        <v/>
      </c>
      <c r="O54" s="51" t="str">
        <f t="shared" si="13"/>
        <v/>
      </c>
      <c r="P54" s="60"/>
      <c r="Q54" s="60"/>
      <c r="R54" s="60"/>
      <c r="S54" s="60"/>
      <c r="T54" s="60"/>
      <c r="U54" s="60"/>
      <c r="V54" s="60"/>
      <c r="W54" s="60"/>
      <c r="X54" s="35" t="str">
        <f t="shared" si="14"/>
        <v/>
      </c>
      <c r="Y54" s="60"/>
      <c r="Z54" s="60"/>
      <c r="AA54" s="60"/>
      <c r="AB54" s="60"/>
      <c r="AC54" s="60"/>
      <c r="AD54" s="60"/>
      <c r="AE54" s="35" t="str">
        <f t="shared" si="15"/>
        <v/>
      </c>
      <c r="AF54" s="51" t="str">
        <f t="shared" si="16"/>
        <v/>
      </c>
      <c r="AG54" s="51" t="str">
        <f t="shared" si="17"/>
        <v/>
      </c>
      <c r="AH54" s="51" t="str">
        <f t="shared" si="18"/>
        <v/>
      </c>
      <c r="AI54" s="51" t="str">
        <f t="shared" si="19"/>
        <v/>
      </c>
      <c r="AJ54" s="51" t="str">
        <f t="shared" si="20"/>
        <v/>
      </c>
      <c r="AK54" s="51" t="str">
        <f t="shared" si="21"/>
        <v/>
      </c>
      <c r="AL54" s="70"/>
      <c r="AM54" s="70"/>
      <c r="AN54" s="60"/>
      <c r="AO54" s="51"/>
      <c r="AP54" s="60" t="str">
        <f t="shared" si="22"/>
        <v/>
      </c>
      <c r="AQ54" s="60"/>
      <c r="AR54" s="51"/>
      <c r="AS54" s="71" t="str">
        <f t="shared" si="23"/>
        <v/>
      </c>
    </row>
    <row r="55" spans="1:45" ht="15" customHeight="1" x14ac:dyDescent="0.25">
      <c r="A55" s="32"/>
      <c r="B55" s="182"/>
      <c r="C55" s="60"/>
      <c r="D55" s="60"/>
      <c r="E55" s="60"/>
      <c r="F55" s="60"/>
      <c r="G55" s="60"/>
      <c r="H55" s="60"/>
      <c r="I55" s="60"/>
      <c r="J55" s="60"/>
      <c r="K55" s="60"/>
      <c r="L55" s="60"/>
      <c r="M55" s="60"/>
      <c r="N55" s="62" t="str">
        <f t="shared" si="12"/>
        <v/>
      </c>
      <c r="O55" s="51" t="str">
        <f t="shared" si="13"/>
        <v/>
      </c>
      <c r="P55" s="60"/>
      <c r="Q55" s="60"/>
      <c r="R55" s="60"/>
      <c r="S55" s="60"/>
      <c r="T55" s="60"/>
      <c r="U55" s="60"/>
      <c r="V55" s="60"/>
      <c r="W55" s="60"/>
      <c r="X55" s="35" t="str">
        <f t="shared" si="14"/>
        <v/>
      </c>
      <c r="Y55" s="60"/>
      <c r="Z55" s="60"/>
      <c r="AA55" s="60"/>
      <c r="AB55" s="60"/>
      <c r="AC55" s="60"/>
      <c r="AD55" s="60"/>
      <c r="AE55" s="35" t="str">
        <f t="shared" si="15"/>
        <v/>
      </c>
      <c r="AF55" s="51" t="str">
        <f t="shared" si="16"/>
        <v/>
      </c>
      <c r="AG55" s="51" t="str">
        <f t="shared" si="17"/>
        <v/>
      </c>
      <c r="AH55" s="51" t="str">
        <f t="shared" si="18"/>
        <v/>
      </c>
      <c r="AI55" s="51" t="str">
        <f t="shared" si="19"/>
        <v/>
      </c>
      <c r="AJ55" s="51" t="str">
        <f t="shared" si="20"/>
        <v/>
      </c>
      <c r="AK55" s="51" t="str">
        <f t="shared" si="21"/>
        <v/>
      </c>
      <c r="AL55" s="70"/>
      <c r="AM55" s="70"/>
      <c r="AN55" s="60"/>
      <c r="AO55" s="51"/>
      <c r="AP55" s="60" t="str">
        <f t="shared" si="22"/>
        <v/>
      </c>
      <c r="AQ55" s="60"/>
      <c r="AR55" s="51"/>
      <c r="AS55" s="71" t="str">
        <f t="shared" si="23"/>
        <v/>
      </c>
    </row>
    <row r="56" spans="1:45" ht="15" customHeight="1" x14ac:dyDescent="0.25">
      <c r="A56" s="32"/>
      <c r="B56" s="182"/>
      <c r="C56" s="60"/>
      <c r="D56" s="60"/>
      <c r="E56" s="60"/>
      <c r="F56" s="60"/>
      <c r="G56" s="60"/>
      <c r="H56" s="60"/>
      <c r="I56" s="60"/>
      <c r="J56" s="60"/>
      <c r="K56" s="60"/>
      <c r="L56" s="60"/>
      <c r="M56" s="60"/>
      <c r="N56" s="62" t="str">
        <f t="shared" si="12"/>
        <v/>
      </c>
      <c r="O56" s="51" t="str">
        <f t="shared" si="13"/>
        <v/>
      </c>
      <c r="P56" s="60"/>
      <c r="Q56" s="60"/>
      <c r="R56" s="60"/>
      <c r="S56" s="60"/>
      <c r="T56" s="60"/>
      <c r="U56" s="60"/>
      <c r="V56" s="60"/>
      <c r="W56" s="60"/>
      <c r="X56" s="35" t="str">
        <f t="shared" si="14"/>
        <v/>
      </c>
      <c r="Y56" s="60"/>
      <c r="Z56" s="60"/>
      <c r="AA56" s="60"/>
      <c r="AB56" s="60"/>
      <c r="AC56" s="60"/>
      <c r="AD56" s="60"/>
      <c r="AE56" s="35" t="str">
        <f t="shared" si="15"/>
        <v/>
      </c>
      <c r="AF56" s="51" t="str">
        <f t="shared" si="16"/>
        <v/>
      </c>
      <c r="AG56" s="51" t="str">
        <f t="shared" si="17"/>
        <v/>
      </c>
      <c r="AH56" s="51" t="str">
        <f t="shared" si="18"/>
        <v/>
      </c>
      <c r="AI56" s="51" t="str">
        <f t="shared" si="19"/>
        <v/>
      </c>
      <c r="AJ56" s="51" t="str">
        <f t="shared" si="20"/>
        <v/>
      </c>
      <c r="AK56" s="51" t="str">
        <f t="shared" si="21"/>
        <v/>
      </c>
      <c r="AL56" s="70"/>
      <c r="AM56" s="70"/>
      <c r="AN56" s="60"/>
      <c r="AO56" s="51"/>
      <c r="AP56" s="60" t="str">
        <f t="shared" si="22"/>
        <v/>
      </c>
      <c r="AQ56" s="60"/>
      <c r="AR56" s="51"/>
      <c r="AS56" s="71" t="str">
        <f t="shared" si="23"/>
        <v/>
      </c>
    </row>
    <row r="57" spans="1:45" ht="15" customHeight="1" x14ac:dyDescent="0.25">
      <c r="A57" s="32"/>
      <c r="B57" s="182"/>
      <c r="C57" s="60"/>
      <c r="D57" s="60"/>
      <c r="E57" s="60"/>
      <c r="F57" s="60"/>
      <c r="G57" s="60"/>
      <c r="H57" s="60"/>
      <c r="I57" s="60"/>
      <c r="J57" s="60"/>
      <c r="K57" s="60"/>
      <c r="L57" s="60"/>
      <c r="M57" s="60"/>
      <c r="N57" s="62" t="str">
        <f t="shared" si="12"/>
        <v/>
      </c>
      <c r="O57" s="51" t="str">
        <f t="shared" si="13"/>
        <v/>
      </c>
      <c r="P57" s="60"/>
      <c r="Q57" s="60"/>
      <c r="R57" s="60"/>
      <c r="S57" s="60"/>
      <c r="T57" s="60"/>
      <c r="U57" s="60"/>
      <c r="V57" s="60"/>
      <c r="W57" s="60"/>
      <c r="X57" s="35" t="str">
        <f t="shared" si="14"/>
        <v/>
      </c>
      <c r="Y57" s="60"/>
      <c r="Z57" s="60"/>
      <c r="AA57" s="60"/>
      <c r="AB57" s="60"/>
      <c r="AC57" s="60"/>
      <c r="AD57" s="60"/>
      <c r="AE57" s="35" t="str">
        <f t="shared" si="15"/>
        <v/>
      </c>
      <c r="AF57" s="51" t="str">
        <f t="shared" si="16"/>
        <v/>
      </c>
      <c r="AG57" s="51" t="str">
        <f t="shared" si="17"/>
        <v/>
      </c>
      <c r="AH57" s="51" t="str">
        <f t="shared" si="18"/>
        <v/>
      </c>
      <c r="AI57" s="51" t="str">
        <f t="shared" si="19"/>
        <v/>
      </c>
      <c r="AJ57" s="51" t="str">
        <f t="shared" si="20"/>
        <v/>
      </c>
      <c r="AK57" s="51" t="str">
        <f t="shared" si="21"/>
        <v/>
      </c>
      <c r="AL57" s="70"/>
      <c r="AM57" s="70"/>
      <c r="AN57" s="60"/>
      <c r="AO57" s="51"/>
      <c r="AP57" s="60" t="str">
        <f t="shared" si="22"/>
        <v/>
      </c>
      <c r="AQ57" s="60"/>
      <c r="AR57" s="51"/>
      <c r="AS57" s="71" t="str">
        <f t="shared" si="23"/>
        <v/>
      </c>
    </row>
    <row r="58" spans="1:45" ht="15" customHeight="1" x14ac:dyDescent="0.25">
      <c r="A58" s="32"/>
      <c r="B58" s="182"/>
      <c r="C58" s="60"/>
      <c r="D58" s="60"/>
      <c r="E58" s="60"/>
      <c r="F58" s="60"/>
      <c r="G58" s="60"/>
      <c r="H58" s="60"/>
      <c r="I58" s="60"/>
      <c r="J58" s="60"/>
      <c r="K58" s="60"/>
      <c r="L58" s="60"/>
      <c r="M58" s="60"/>
      <c r="N58" s="62" t="str">
        <f t="shared" si="12"/>
        <v/>
      </c>
      <c r="O58" s="51" t="str">
        <f t="shared" si="13"/>
        <v/>
      </c>
      <c r="P58" s="60"/>
      <c r="Q58" s="60"/>
      <c r="R58" s="60"/>
      <c r="S58" s="60"/>
      <c r="T58" s="60"/>
      <c r="U58" s="60"/>
      <c r="V58" s="60"/>
      <c r="W58" s="60"/>
      <c r="X58" s="35" t="str">
        <f t="shared" si="14"/>
        <v/>
      </c>
      <c r="Y58" s="60"/>
      <c r="Z58" s="60"/>
      <c r="AA58" s="60"/>
      <c r="AB58" s="60"/>
      <c r="AC58" s="60"/>
      <c r="AD58" s="60"/>
      <c r="AE58" s="35" t="str">
        <f t="shared" si="15"/>
        <v/>
      </c>
      <c r="AF58" s="51" t="str">
        <f t="shared" si="16"/>
        <v/>
      </c>
      <c r="AG58" s="51" t="str">
        <f t="shared" si="17"/>
        <v/>
      </c>
      <c r="AH58" s="51" t="str">
        <f t="shared" si="18"/>
        <v/>
      </c>
      <c r="AI58" s="51" t="str">
        <f t="shared" si="19"/>
        <v/>
      </c>
      <c r="AJ58" s="51" t="str">
        <f t="shared" si="20"/>
        <v/>
      </c>
      <c r="AK58" s="51" t="str">
        <f t="shared" si="21"/>
        <v/>
      </c>
      <c r="AL58" s="70"/>
      <c r="AM58" s="70"/>
      <c r="AN58" s="60"/>
      <c r="AO58" s="51"/>
      <c r="AP58" s="60" t="str">
        <f t="shared" si="22"/>
        <v/>
      </c>
      <c r="AQ58" s="60"/>
      <c r="AR58" s="51"/>
      <c r="AS58" s="71" t="str">
        <f t="shared" si="23"/>
        <v/>
      </c>
    </row>
    <row r="59" spans="1:45" ht="15" customHeight="1" x14ac:dyDescent="0.25">
      <c r="A59" s="32"/>
      <c r="B59" s="182"/>
      <c r="C59" s="60"/>
      <c r="D59" s="60"/>
      <c r="E59" s="60"/>
      <c r="F59" s="60"/>
      <c r="G59" s="60"/>
      <c r="H59" s="60"/>
      <c r="I59" s="60"/>
      <c r="J59" s="60"/>
      <c r="K59" s="60"/>
      <c r="L59" s="60"/>
      <c r="M59" s="60"/>
      <c r="N59" s="62" t="str">
        <f t="shared" si="12"/>
        <v/>
      </c>
      <c r="O59" s="51" t="str">
        <f t="shared" si="13"/>
        <v/>
      </c>
      <c r="P59" s="60"/>
      <c r="Q59" s="60"/>
      <c r="R59" s="60"/>
      <c r="S59" s="60"/>
      <c r="T59" s="60"/>
      <c r="U59" s="60"/>
      <c r="V59" s="60"/>
      <c r="W59" s="60"/>
      <c r="X59" s="35" t="str">
        <f t="shared" si="14"/>
        <v/>
      </c>
      <c r="Y59" s="60"/>
      <c r="Z59" s="60"/>
      <c r="AA59" s="60"/>
      <c r="AB59" s="60"/>
      <c r="AC59" s="60"/>
      <c r="AD59" s="60"/>
      <c r="AE59" s="35" t="str">
        <f t="shared" si="15"/>
        <v/>
      </c>
      <c r="AF59" s="51" t="str">
        <f t="shared" si="16"/>
        <v/>
      </c>
      <c r="AG59" s="51" t="str">
        <f t="shared" si="17"/>
        <v/>
      </c>
      <c r="AH59" s="51" t="str">
        <f t="shared" si="18"/>
        <v/>
      </c>
      <c r="AI59" s="51" t="str">
        <f t="shared" si="19"/>
        <v/>
      </c>
      <c r="AJ59" s="51" t="str">
        <f t="shared" si="20"/>
        <v/>
      </c>
      <c r="AK59" s="51" t="str">
        <f t="shared" si="21"/>
        <v/>
      </c>
      <c r="AL59" s="70"/>
      <c r="AM59" s="70"/>
      <c r="AN59" s="60"/>
      <c r="AO59" s="51"/>
      <c r="AP59" s="60" t="str">
        <f t="shared" si="22"/>
        <v/>
      </c>
      <c r="AQ59" s="60"/>
      <c r="AR59" s="51"/>
      <c r="AS59" s="71" t="str">
        <f t="shared" si="23"/>
        <v/>
      </c>
    </row>
    <row r="60" spans="1:45" ht="15" customHeight="1" x14ac:dyDescent="0.25">
      <c r="A60" s="32"/>
      <c r="B60" s="182"/>
      <c r="C60" s="60"/>
      <c r="D60" s="60"/>
      <c r="E60" s="60"/>
      <c r="F60" s="60"/>
      <c r="G60" s="60"/>
      <c r="H60" s="60"/>
      <c r="I60" s="60"/>
      <c r="J60" s="60"/>
      <c r="K60" s="60"/>
      <c r="L60" s="60"/>
      <c r="M60" s="60"/>
      <c r="N60" s="62" t="str">
        <f t="shared" si="12"/>
        <v/>
      </c>
      <c r="O60" s="51" t="str">
        <f t="shared" si="13"/>
        <v/>
      </c>
      <c r="P60" s="60"/>
      <c r="Q60" s="60"/>
      <c r="R60" s="60"/>
      <c r="S60" s="60"/>
      <c r="T60" s="60"/>
      <c r="U60" s="60"/>
      <c r="V60" s="60"/>
      <c r="W60" s="60"/>
      <c r="X60" s="35" t="str">
        <f t="shared" si="14"/>
        <v/>
      </c>
      <c r="Y60" s="60"/>
      <c r="Z60" s="60"/>
      <c r="AA60" s="60"/>
      <c r="AB60" s="60"/>
      <c r="AC60" s="60"/>
      <c r="AD60" s="60"/>
      <c r="AE60" s="35" t="str">
        <f t="shared" si="15"/>
        <v/>
      </c>
      <c r="AF60" s="51" t="str">
        <f t="shared" si="16"/>
        <v/>
      </c>
      <c r="AG60" s="51" t="str">
        <f t="shared" si="17"/>
        <v/>
      </c>
      <c r="AH60" s="51" t="str">
        <f t="shared" si="18"/>
        <v/>
      </c>
      <c r="AI60" s="51" t="str">
        <f t="shared" si="19"/>
        <v/>
      </c>
      <c r="AJ60" s="51" t="str">
        <f t="shared" si="20"/>
        <v/>
      </c>
      <c r="AK60" s="51" t="str">
        <f t="shared" si="21"/>
        <v/>
      </c>
      <c r="AL60" s="70"/>
      <c r="AM60" s="70"/>
      <c r="AN60" s="60"/>
      <c r="AO60" s="51"/>
      <c r="AP60" s="60" t="str">
        <f t="shared" si="22"/>
        <v/>
      </c>
      <c r="AQ60" s="60"/>
      <c r="AR60" s="51"/>
      <c r="AS60" s="71" t="str">
        <f t="shared" si="23"/>
        <v/>
      </c>
    </row>
    <row r="61" spans="1:45" ht="14.4" x14ac:dyDescent="0.3">
      <c r="AM61" s="183"/>
    </row>
    <row r="62" spans="1:45" ht="15.75" customHeight="1" x14ac:dyDescent="0.3">
      <c r="A62" s="56">
        <f>SUBTOTAL(103,A3:A60)</f>
        <v>27</v>
      </c>
      <c r="B62" s="72" t="s">
        <v>280</v>
      </c>
    </row>
  </sheetData>
  <autoFilter ref="A2:AS62" xr:uid="{00000000-0009-0000-0000-000006000000}"/>
  <mergeCells count="6">
    <mergeCell ref="AN1:AS1"/>
    <mergeCell ref="D1:O1"/>
    <mergeCell ref="P1:X1"/>
    <mergeCell ref="Y1:AE1"/>
    <mergeCell ref="AH1:AK1"/>
    <mergeCell ref="AL1:AM1"/>
  </mergeCells>
  <conditionalFormatting sqref="N3:N60">
    <cfRule type="cellIs" dxfId="58" priority="13" operator="greaterThanOrEqual">
      <formula>3</formula>
    </cfRule>
  </conditionalFormatting>
  <conditionalFormatting sqref="AG3:AG60">
    <cfRule type="cellIs" dxfId="57" priority="2" operator="equal">
      <formula>"STRONG BUY"</formula>
    </cfRule>
    <cfRule type="cellIs" dxfId="56" priority="3" operator="equal">
      <formula>"BUY"</formula>
    </cfRule>
    <cfRule type="cellIs" dxfId="55" priority="4" operator="equal">
      <formula>"WATCH LIST"</formula>
    </cfRule>
    <cfRule type="cellIs" dxfId="54" priority="5" operator="equal">
      <formula>"AVOID"</formula>
    </cfRule>
    <cfRule type="cellIs" dxfId="53" priority="6" operator="equal">
      <formula>"PASS"</formula>
    </cfRule>
  </conditionalFormatting>
  <conditionalFormatting sqref="AH3:AH60">
    <cfRule type="cellIs" dxfId="52" priority="7" operator="equal">
      <formula>"FAIL"</formula>
    </cfRule>
    <cfRule type="cellIs" dxfId="51" priority="8" operator="equal">
      <formula>"OK"</formula>
    </cfRule>
  </conditionalFormatting>
  <conditionalFormatting sqref="AI3:AI60">
    <cfRule type="cellIs" dxfId="50" priority="11" operator="equal">
      <formula>"REVIEW"</formula>
    </cfRule>
  </conditionalFormatting>
  <conditionalFormatting sqref="AJ3:AJ60">
    <cfRule type="cellIs" dxfId="49" priority="9" operator="equal">
      <formula>"AVOID"</formula>
    </cfRule>
    <cfRule type="cellIs" dxfId="48" priority="10" operator="equal">
      <formula>"OK"</formula>
    </cfRule>
  </conditionalFormatting>
  <conditionalFormatting sqref="AK3:AK60">
    <cfRule type="cellIs" dxfId="47" priority="12" operator="equal">
      <formula>"CAP AT BUY"</formula>
    </cfRule>
  </conditionalFormatting>
  <conditionalFormatting sqref="AP3:AP60">
    <cfRule type="cellIs" dxfId="46" priority="14" operator="equal">
      <formula>"LOW CONF"</formula>
    </cfRule>
    <cfRule type="cellIs" dxfId="45" priority="15" operator="equal">
      <formula>"OK"</formula>
    </cfRule>
  </conditionalFormatting>
  <conditionalFormatting sqref="AS3:AS60">
    <cfRule type="cellIs" dxfId="44" priority="16" operator="equal">
      <formula>"Increased"</formula>
    </cfRule>
    <cfRule type="cellIs" dxfId="43" priority="17" operator="equal">
      <formula>"Decreased"</formula>
    </cfRule>
  </conditionalFormatting>
  <dataValidations count="2">
    <dataValidation type="list" allowBlank="1" sqref="D3:D60 F3:F60 H3:H60 J3:J60 L3:L60 P3:P60 R3:R60 T3:T60 V3:V60 Y3:Y60 AA3:AA60 AC3:AC60" xr:uid="{00000000-0002-0000-0600-000000000000}">
      <formula1>"1,2,3,4,5"</formula1>
      <formula2>0</formula2>
    </dataValidation>
    <dataValidation type="list" allowBlank="1" sqref="E3:E60 G3:G60 I3:I60 K3:K60 M3:M60 Q3:Q60 S3:S60 U3:U60 W3:W60 Z3:Z60 AB3:AB60 AD3:AD60" xr:uid="{00000000-0002-0000-0600-000001000000}">
      <formula1>"H,M,L"</formula1>
      <formula2>0</formula2>
    </dataValidation>
  </dataValidations>
  <pageMargins left="0.75" right="0.75" top="1" bottom="1" header="0.511811023622047" footer="0.51180555555555596"/>
  <pageSetup paperSize="9" orientation="portrait" horizontalDpi="300" verticalDpi="300"/>
  <headerFooter>
    <oddFooter>&amp;L&amp;"Arial Narrow,Regular"&amp;8 &amp;F&amp;C&amp;"Arial Narrow,Regular"&amp;8 &amp;A - &amp;D &amp;T&amp;R&amp;"Arial,Regular" &amp;P /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47"/>
  <sheetViews>
    <sheetView zoomScaleNormal="100" workbookViewId="0">
      <pane xSplit="2" ySplit="14" topLeftCell="G17" activePane="bottomRight" state="frozen"/>
      <selection pane="topRight" activeCell="C1" sqref="C1"/>
      <selection pane="bottomLeft" activeCell="A15" sqref="A15"/>
      <selection pane="bottomRight" activeCell="R9" sqref="R9"/>
    </sheetView>
  </sheetViews>
  <sheetFormatPr defaultColWidth="8.6640625" defaultRowHeight="14.4" x14ac:dyDescent="0.3"/>
  <cols>
    <col min="1" max="1" width="8" customWidth="1"/>
    <col min="2" max="2" width="24.77734375" customWidth="1"/>
    <col min="3" max="3" width="9" style="140" customWidth="1"/>
    <col min="4" max="5" width="8.6640625" style="140"/>
    <col min="6" max="6" width="12.44140625" style="140" customWidth="1"/>
    <col min="7" max="7" width="13.33203125" style="140" customWidth="1"/>
    <col min="8" max="8" width="11.109375" customWidth="1"/>
    <col min="9" max="9" width="10.88671875" style="140" hidden="1" customWidth="1"/>
    <col min="10" max="10" width="9" style="140" customWidth="1"/>
    <col min="11" max="11" width="8.5546875" style="140" customWidth="1"/>
    <col min="12" max="12" width="7.77734375" style="140" customWidth="1"/>
    <col min="13" max="13" width="6.77734375" style="140" customWidth="1"/>
    <col min="14" max="14" width="8" style="140" customWidth="1"/>
    <col min="15" max="15" width="7.44140625" style="140" customWidth="1"/>
    <col min="16" max="16" width="10.5546875" style="140" customWidth="1"/>
    <col min="18" max="18" width="28" customWidth="1"/>
    <col min="19" max="19" width="12.77734375" customWidth="1"/>
  </cols>
  <sheetData>
    <row r="1" spans="1:19" ht="15" customHeight="1" x14ac:dyDescent="0.3">
      <c r="A1" s="186" t="s">
        <v>392</v>
      </c>
      <c r="B1" s="186"/>
      <c r="C1" s="187"/>
      <c r="D1" s="187"/>
      <c r="E1" s="187"/>
      <c r="F1" s="187"/>
      <c r="G1" s="187"/>
      <c r="H1" s="186"/>
      <c r="I1" s="187"/>
      <c r="J1" s="187"/>
      <c r="K1" s="187"/>
      <c r="L1" s="187"/>
      <c r="M1" s="187"/>
      <c r="N1" s="187"/>
      <c r="O1" s="187"/>
      <c r="P1" s="187"/>
      <c r="Q1" s="186"/>
      <c r="R1" s="186"/>
      <c r="S1" s="186"/>
    </row>
    <row r="2" spans="1:19" ht="68.25" customHeight="1" x14ac:dyDescent="0.3">
      <c r="A2" s="73" t="s">
        <v>76</v>
      </c>
      <c r="B2" s="73" t="s">
        <v>270</v>
      </c>
      <c r="C2" s="73" t="s">
        <v>393</v>
      </c>
      <c r="D2" s="73" t="s">
        <v>394</v>
      </c>
      <c r="E2" s="73" t="s">
        <v>395</v>
      </c>
      <c r="F2" s="73" t="s">
        <v>731</v>
      </c>
      <c r="G2" s="73" t="s">
        <v>730</v>
      </c>
      <c r="H2" s="73" t="s">
        <v>396</v>
      </c>
      <c r="I2" s="73" t="s">
        <v>397</v>
      </c>
      <c r="J2" s="73" t="s">
        <v>398</v>
      </c>
      <c r="K2" s="73" t="s">
        <v>399</v>
      </c>
      <c r="L2" s="73" t="s">
        <v>400</v>
      </c>
      <c r="M2" s="73" t="s">
        <v>401</v>
      </c>
      <c r="N2" s="73" t="s">
        <v>402</v>
      </c>
      <c r="O2" s="73" t="s">
        <v>403</v>
      </c>
      <c r="P2" s="73" t="s">
        <v>404</v>
      </c>
      <c r="Q2" s="73" t="s">
        <v>405</v>
      </c>
      <c r="R2" s="73" t="s">
        <v>406</v>
      </c>
      <c r="S2" s="73" t="s">
        <v>407</v>
      </c>
    </row>
    <row r="3" spans="1:19" ht="15" customHeight="1" x14ac:dyDescent="0.3">
      <c r="A3" s="74" t="str">
        <f>IF(Scoring!A3="","",Scoring!A3)</f>
        <v>MU</v>
      </c>
      <c r="B3" s="74" t="str">
        <f>IF(Scoring!B3="","",Scoring!B3)</f>
        <v>Micron Technology</v>
      </c>
      <c r="C3" s="188" t="str">
        <f>IF(Scoring!AG3="","",IF(OR(Scoring!AG3="STRONG BUY",Scoring!AG3="BUY"),"PASS","FAIL"))</f>
        <v>PASS</v>
      </c>
      <c r="D3" s="188" t="str">
        <f>IF(Scoring!AH3="","",IF(Scoring!AH3="OK","PASS","FAIL"))</f>
        <v>PASS</v>
      </c>
      <c r="E3" s="188" t="str">
        <f>IF(Scoring!AI3="","",IF(Scoring!AI3="OK","PASS","FAIL — mandatory review required"))</f>
        <v>PASS</v>
      </c>
      <c r="F3" s="188"/>
      <c r="G3" s="188"/>
      <c r="H3" s="74" t="str">
        <f t="shared" ref="H3:H47" si="0">IF(OR(F3="",G3=""),"",IF(AND(F3="Y",G3="Y"),"Standard initial size","50% of normal initial size + 90-day technical review"))</f>
        <v/>
      </c>
      <c r="I3" s="188"/>
      <c r="J3" s="188"/>
      <c r="K3" s="188" t="str">
        <f t="shared" ref="K3:K47" si="1">IF(I3="","",IF(I3="N","PASS",IF(J3="Y","PASS — risk documented in thesis","FAIL — undocumented binary risk")))</f>
        <v/>
      </c>
      <c r="L3" s="188" t="str">
        <f>IF('Implied-Return Calculator'!S4="","",'Implied-Return Calculator'!S4)</f>
        <v/>
      </c>
      <c r="M3" s="188" t="str">
        <f>IF('Implied-Return Calculator'!T4="","",'Implied-Return Calculator'!T4)</f>
        <v/>
      </c>
      <c r="N3" s="188" t="str">
        <f>IF('Implied-Return Calculator'!U4="","",'Implied-Return Calculator'!U4)</f>
        <v/>
      </c>
      <c r="O3" s="188"/>
      <c r="P3" s="188"/>
      <c r="Q3" s="74" t="str">
        <f t="shared" ref="Q3:Q47" si="2">IF(OR(N3="",O3=""),"",IF(N3&lt;=50,"PASS — within ceiling",IF(AND(O3&gt;0.3,L3="PASS"),"PASS — growth+bear case exception met","FAIL — exceeds 50x, exception not met")))</f>
        <v/>
      </c>
      <c r="R3" s="74" t="str">
        <f t="shared" ref="R3:R47" si="3">IF(OR(C3="",D3="",E3="",K3="",L3="",M3="",N3="",Q3=""),"",IF(AND(C3="PASS",D3="PASS",LEFT(E3,4)="PASS",LEFT(K3,4)="PASS",L3="PASS",M3="PASS",N3="OK",LEFT(Q3,4)="PASS"),"YES","NO — see failing rule(s)"))</f>
        <v/>
      </c>
      <c r="S3" s="74" t="str">
        <f t="shared" ref="S3:S47" si="4">IF(R3="","",IF(R3="YES","Initiate: "&amp;H3,"DO NOT ENTER — resolve failing Entry Rule(s) above first"))</f>
        <v/>
      </c>
    </row>
    <row r="4" spans="1:19" ht="15" customHeight="1" x14ac:dyDescent="0.3">
      <c r="A4" s="74" t="str">
        <f>IF(Scoring!A4="","",Scoring!A4)</f>
        <v>AVGO</v>
      </c>
      <c r="B4" s="74" t="str">
        <f>IF(Scoring!B4="","",Scoring!B4)</f>
        <v>Broadcom Inc.</v>
      </c>
      <c r="C4" s="188" t="str">
        <f>IF(Scoring!AG4="","",IF(OR(Scoring!AG4="STRONG BUY",Scoring!AG4="BUY"),"PASS","FAIL"))</f>
        <v>PASS</v>
      </c>
      <c r="D4" s="188" t="str">
        <f>IF(Scoring!AH4="","",IF(Scoring!AH4="OK","PASS","FAIL"))</f>
        <v>PASS</v>
      </c>
      <c r="E4" s="188" t="str">
        <f>IF(Scoring!AI4="","",IF(Scoring!AI4="OK","PASS","FAIL — mandatory review required"))</f>
        <v>PASS</v>
      </c>
      <c r="F4" s="188"/>
      <c r="G4" s="188"/>
      <c r="H4" s="74" t="str">
        <f t="shared" si="0"/>
        <v/>
      </c>
      <c r="I4" s="188"/>
      <c r="J4" s="188"/>
      <c r="K4" s="188" t="str">
        <f t="shared" si="1"/>
        <v/>
      </c>
      <c r="L4" s="188" t="str">
        <f>IF('Implied-Return Calculator'!S5="","",'Implied-Return Calculator'!S5)</f>
        <v/>
      </c>
      <c r="M4" s="188" t="str">
        <f>IF('Implied-Return Calculator'!T5="","",'Implied-Return Calculator'!T5)</f>
        <v/>
      </c>
      <c r="N4" s="188" t="str">
        <f>IF('Implied-Return Calculator'!U5="","",'Implied-Return Calculator'!U5)</f>
        <v/>
      </c>
      <c r="O4" s="188"/>
      <c r="P4" s="188"/>
      <c r="Q4" s="74" t="str">
        <f t="shared" si="2"/>
        <v/>
      </c>
      <c r="R4" s="74" t="str">
        <f t="shared" si="3"/>
        <v/>
      </c>
      <c r="S4" s="74" t="str">
        <f t="shared" si="4"/>
        <v/>
      </c>
    </row>
    <row r="5" spans="1:19" ht="15" customHeight="1" x14ac:dyDescent="0.3">
      <c r="A5" s="74" t="str">
        <f>IF(Scoring!A5="","",Scoring!A5)</f>
        <v>PLTR</v>
      </c>
      <c r="B5" s="74" t="str">
        <f>IF(Scoring!B5="","",Scoring!B5)</f>
        <v>Palantir Technologies</v>
      </c>
      <c r="C5" s="188" t="str">
        <f>IF(Scoring!AG5="","",IF(OR(Scoring!AG5="STRONG BUY",Scoring!AG5="BUY"),"PASS","FAIL"))</f>
        <v>PASS</v>
      </c>
      <c r="D5" s="188" t="str">
        <f>IF(Scoring!AH5="","",IF(Scoring!AH5="OK","PASS","FAIL"))</f>
        <v>PASS</v>
      </c>
      <c r="E5" s="188" t="str">
        <f>IF(Scoring!AI5="","",IF(Scoring!AI5="OK","PASS","FAIL — mandatory review required"))</f>
        <v>PASS</v>
      </c>
      <c r="F5" s="188"/>
      <c r="G5" s="188"/>
      <c r="H5" s="74" t="str">
        <f t="shared" si="0"/>
        <v/>
      </c>
      <c r="I5" s="188"/>
      <c r="J5" s="188"/>
      <c r="K5" s="188" t="str">
        <f t="shared" si="1"/>
        <v/>
      </c>
      <c r="L5" s="188" t="str">
        <f>IF('Implied-Return Calculator'!S6="","",'Implied-Return Calculator'!S6)</f>
        <v/>
      </c>
      <c r="M5" s="188" t="str">
        <f>IF('Implied-Return Calculator'!T6="","",'Implied-Return Calculator'!T6)</f>
        <v/>
      </c>
      <c r="N5" s="188" t="str">
        <f>IF('Implied-Return Calculator'!U6="","",'Implied-Return Calculator'!U6)</f>
        <v/>
      </c>
      <c r="O5" s="188"/>
      <c r="P5" s="188"/>
      <c r="Q5" s="74" t="str">
        <f t="shared" si="2"/>
        <v/>
      </c>
      <c r="R5" s="74" t="str">
        <f t="shared" si="3"/>
        <v/>
      </c>
      <c r="S5" s="74" t="str">
        <f t="shared" si="4"/>
        <v/>
      </c>
    </row>
    <row r="6" spans="1:19" ht="15" customHeight="1" x14ac:dyDescent="0.3">
      <c r="A6" s="74" t="str">
        <f>IF(Scoring!A6="","",Scoring!A6)</f>
        <v>NVDA</v>
      </c>
      <c r="B6" s="74" t="str">
        <f>IF(Scoring!B6="","",Scoring!B6)</f>
        <v>NVIDIA Corporation</v>
      </c>
      <c r="C6" s="188" t="str">
        <f>IF(Scoring!AG6="","",IF(OR(Scoring!AG6="STRONG BUY",Scoring!AG6="BUY"),"PASS","FAIL"))</f>
        <v>PASS</v>
      </c>
      <c r="D6" s="188" t="str">
        <f>IF(Scoring!AH6="","",IF(Scoring!AH6="OK","PASS","FAIL"))</f>
        <v>PASS</v>
      </c>
      <c r="E6" s="188" t="str">
        <f>IF(Scoring!AI6="","",IF(Scoring!AI6="OK","PASS","FAIL — mandatory review required"))</f>
        <v>PASS</v>
      </c>
      <c r="F6" s="188"/>
      <c r="G6" s="188"/>
      <c r="H6" s="74" t="str">
        <f t="shared" si="0"/>
        <v/>
      </c>
      <c r="I6" s="188"/>
      <c r="J6" s="188"/>
      <c r="K6" s="188" t="str">
        <f t="shared" si="1"/>
        <v/>
      </c>
      <c r="L6" s="188" t="str">
        <f>IF('Implied-Return Calculator'!S7="","",'Implied-Return Calculator'!S7)</f>
        <v/>
      </c>
      <c r="M6" s="188" t="str">
        <f>IF('Implied-Return Calculator'!T7="","",'Implied-Return Calculator'!T7)</f>
        <v/>
      </c>
      <c r="N6" s="188" t="str">
        <f>IF('Implied-Return Calculator'!U7="","",'Implied-Return Calculator'!U7)</f>
        <v/>
      </c>
      <c r="O6" s="188"/>
      <c r="P6" s="188"/>
      <c r="Q6" s="74" t="str">
        <f t="shared" si="2"/>
        <v/>
      </c>
      <c r="R6" s="74" t="str">
        <f t="shared" si="3"/>
        <v/>
      </c>
      <c r="S6" s="74" t="str">
        <f t="shared" si="4"/>
        <v/>
      </c>
    </row>
    <row r="7" spans="1:19" ht="15" customHeight="1" x14ac:dyDescent="0.3">
      <c r="A7" s="74" t="str">
        <f>IF(Scoring!A7="","",Scoring!A7)</f>
        <v>VRTX</v>
      </c>
      <c r="B7" s="74" t="str">
        <f>IF(Scoring!B7="","",Scoring!B7)</f>
        <v>Vertex Pharmaceuticals</v>
      </c>
      <c r="C7" s="188" t="str">
        <f>IF(Scoring!AG7="","",IF(OR(Scoring!AG7="STRONG BUY",Scoring!AG7="BUY"),"PASS","FAIL"))</f>
        <v>PASS</v>
      </c>
      <c r="D7" s="188" t="str">
        <f>IF(Scoring!AH7="","",IF(Scoring!AH7="OK","PASS","FAIL"))</f>
        <v>PASS</v>
      </c>
      <c r="E7" s="188" t="str">
        <f>IF(Scoring!AI7="","",IF(Scoring!AI7="OK","PASS","FAIL — mandatory review required"))</f>
        <v>PASS</v>
      </c>
      <c r="F7" s="188"/>
      <c r="G7" s="188"/>
      <c r="H7" s="74" t="str">
        <f t="shared" si="0"/>
        <v/>
      </c>
      <c r="I7" s="188"/>
      <c r="J7" s="188"/>
      <c r="K7" s="188" t="str">
        <f t="shared" si="1"/>
        <v/>
      </c>
      <c r="L7" s="188" t="str">
        <f>IF('Implied-Return Calculator'!S8="","",'Implied-Return Calculator'!S8)</f>
        <v/>
      </c>
      <c r="M7" s="188" t="str">
        <f>IF('Implied-Return Calculator'!T8="","",'Implied-Return Calculator'!T8)</f>
        <v/>
      </c>
      <c r="N7" s="188" t="str">
        <f>IF('Implied-Return Calculator'!U8="","",'Implied-Return Calculator'!U8)</f>
        <v/>
      </c>
      <c r="O7" s="188"/>
      <c r="P7" s="188"/>
      <c r="Q7" s="74" t="str">
        <f t="shared" si="2"/>
        <v/>
      </c>
      <c r="R7" s="74" t="str">
        <f t="shared" si="3"/>
        <v/>
      </c>
      <c r="S7" s="74" t="str">
        <f t="shared" si="4"/>
        <v/>
      </c>
    </row>
    <row r="8" spans="1:19" ht="15" customHeight="1" x14ac:dyDescent="0.3">
      <c r="A8" s="74" t="str">
        <f>IF(Scoring!A8="","",Scoring!A8)</f>
        <v>PLD</v>
      </c>
      <c r="B8" s="74" t="str">
        <f>IF(Scoring!B8="","",Scoring!B8)</f>
        <v>Prologis Inc. (REIT-adapted)</v>
      </c>
      <c r="C8" s="188" t="str">
        <f>IF(Scoring!AG8="","",IF(OR(Scoring!AG8="STRONG BUY",Scoring!AG8="BUY"),"PASS","FAIL"))</f>
        <v>PASS</v>
      </c>
      <c r="D8" s="188" t="str">
        <f>IF(Scoring!AH8="","",IF(Scoring!AH8="OK","PASS","FAIL"))</f>
        <v>PASS</v>
      </c>
      <c r="E8" s="188" t="str">
        <f>IF(Scoring!AI8="","",IF(Scoring!AI8="OK","PASS","FAIL — mandatory review required"))</f>
        <v>PASS</v>
      </c>
      <c r="F8" s="188"/>
      <c r="G8" s="188"/>
      <c r="H8" s="74" t="str">
        <f t="shared" si="0"/>
        <v/>
      </c>
      <c r="I8" s="188"/>
      <c r="J8" s="188"/>
      <c r="K8" s="188" t="str">
        <f t="shared" si="1"/>
        <v/>
      </c>
      <c r="L8" s="188" t="str">
        <f>IF('Implied-Return Calculator'!S9="","",'Implied-Return Calculator'!S9)</f>
        <v/>
      </c>
      <c r="M8" s="188" t="str">
        <f>IF('Implied-Return Calculator'!T9="","",'Implied-Return Calculator'!T9)</f>
        <v/>
      </c>
      <c r="N8" s="188" t="str">
        <f>IF('Implied-Return Calculator'!U9="","",'Implied-Return Calculator'!U9)</f>
        <v/>
      </c>
      <c r="O8" s="188"/>
      <c r="P8" s="188"/>
      <c r="Q8" s="74" t="str">
        <f t="shared" si="2"/>
        <v/>
      </c>
      <c r="R8" s="74" t="str">
        <f t="shared" si="3"/>
        <v/>
      </c>
      <c r="S8" s="74" t="str">
        <f t="shared" si="4"/>
        <v/>
      </c>
    </row>
    <row r="9" spans="1:19" ht="15" customHeight="1" x14ac:dyDescent="0.3">
      <c r="A9" s="74" t="str">
        <f>IF(Scoring!A9="","",Scoring!A9)</f>
        <v>SFM</v>
      </c>
      <c r="B9" s="74" t="str">
        <f>IF(Scoring!B9="","",Scoring!B9)</f>
        <v>Sprouts Farmers Market</v>
      </c>
      <c r="C9" s="188" t="str">
        <f>IF(Scoring!AG9="","",IF(OR(Scoring!AG9="STRONG BUY",Scoring!AG9="BUY"),"PASS","FAIL"))</f>
        <v/>
      </c>
      <c r="D9" s="188" t="str">
        <f>IF(Scoring!AH9="","",IF(Scoring!AH9="OK","PASS","FAIL"))</f>
        <v>FAIL</v>
      </c>
      <c r="E9" s="188" t="str">
        <f>IF(Scoring!AI9="","",IF(Scoring!AI9="OK","PASS","FAIL — mandatory review required"))</f>
        <v>FAIL — mandatory review required</v>
      </c>
      <c r="F9" s="188"/>
      <c r="G9" s="188"/>
      <c r="H9" s="74" t="str">
        <f t="shared" si="0"/>
        <v/>
      </c>
      <c r="I9" s="188"/>
      <c r="J9" s="188"/>
      <c r="K9" s="188" t="str">
        <f t="shared" si="1"/>
        <v/>
      </c>
      <c r="L9" s="188" t="str">
        <f>IF('Implied-Return Calculator'!S10="","",'Implied-Return Calculator'!S10)</f>
        <v/>
      </c>
      <c r="M9" s="188" t="str">
        <f>IF('Implied-Return Calculator'!T10="","",'Implied-Return Calculator'!T10)</f>
        <v/>
      </c>
      <c r="N9" s="188" t="str">
        <f>IF('Implied-Return Calculator'!U10="","",'Implied-Return Calculator'!U10)</f>
        <v/>
      </c>
      <c r="O9" s="188"/>
      <c r="P9" s="188"/>
      <c r="Q9" s="74" t="str">
        <f t="shared" si="2"/>
        <v/>
      </c>
      <c r="R9" s="74" t="str">
        <f t="shared" si="3"/>
        <v/>
      </c>
      <c r="S9" s="74" t="str">
        <f t="shared" si="4"/>
        <v/>
      </c>
    </row>
    <row r="10" spans="1:19" ht="15" customHeight="1" x14ac:dyDescent="0.3">
      <c r="A10" s="74" t="str">
        <f>IF(Scoring!A10="","",Scoring!A10)</f>
        <v>ONON</v>
      </c>
      <c r="B10" s="74" t="str">
        <f>IF(Scoring!B10="","",Scoring!B10)</f>
        <v>On Holding AG</v>
      </c>
      <c r="C10" s="188" t="str">
        <f>IF(Scoring!AG10="","",IF(OR(Scoring!AG10="STRONG BUY",Scoring!AG10="BUY"),"PASS","FAIL"))</f>
        <v/>
      </c>
      <c r="D10" s="188" t="str">
        <f>IF(Scoring!AH10="","",IF(Scoring!AH10="OK","PASS","FAIL"))</f>
        <v>FAIL</v>
      </c>
      <c r="E10" s="188" t="str">
        <f>IF(Scoring!AI10="","",IF(Scoring!AI10="OK","PASS","FAIL — mandatory review required"))</f>
        <v>PASS</v>
      </c>
      <c r="F10" s="188"/>
      <c r="G10" s="188"/>
      <c r="H10" s="74" t="str">
        <f t="shared" si="0"/>
        <v/>
      </c>
      <c r="I10" s="188"/>
      <c r="J10" s="188"/>
      <c r="K10" s="188" t="str">
        <f t="shared" si="1"/>
        <v/>
      </c>
      <c r="L10" s="188" t="str">
        <f>IF('Implied-Return Calculator'!S11="","",'Implied-Return Calculator'!S11)</f>
        <v/>
      </c>
      <c r="M10" s="188" t="str">
        <f>IF('Implied-Return Calculator'!T11="","",'Implied-Return Calculator'!T11)</f>
        <v/>
      </c>
      <c r="N10" s="188" t="str">
        <f>IF('Implied-Return Calculator'!U11="","",'Implied-Return Calculator'!U11)</f>
        <v/>
      </c>
      <c r="O10" s="188"/>
      <c r="P10" s="188"/>
      <c r="Q10" s="74" t="str">
        <f t="shared" si="2"/>
        <v/>
      </c>
      <c r="R10" s="74" t="str">
        <f t="shared" si="3"/>
        <v/>
      </c>
      <c r="S10" s="74" t="str">
        <f t="shared" si="4"/>
        <v/>
      </c>
    </row>
    <row r="11" spans="1:19" ht="15" customHeight="1" x14ac:dyDescent="0.3">
      <c r="A11" s="74" t="str">
        <f>IF(Scoring!A11="","",Scoring!A11)</f>
        <v>TSLA</v>
      </c>
      <c r="B11" s="74" t="str">
        <f>IF(Scoring!B11="","",Scoring!B11)</f>
        <v>Tesla Inc.</v>
      </c>
      <c r="C11" s="188" t="str">
        <f>IF(Scoring!AG11="","",IF(OR(Scoring!AG11="STRONG BUY",Scoring!AG11="BUY"),"PASS","FAIL"))</f>
        <v/>
      </c>
      <c r="D11" s="188" t="str">
        <f>IF(Scoring!AH11="","",IF(Scoring!AH11="OK","PASS","FAIL"))</f>
        <v>FAIL</v>
      </c>
      <c r="E11" s="188" t="str">
        <f>IF(Scoring!AI11="","",IF(Scoring!AI11="OK","PASS","FAIL — mandatory review required"))</f>
        <v>FAIL — mandatory review required</v>
      </c>
      <c r="F11" s="188"/>
      <c r="G11" s="188"/>
      <c r="H11" s="74" t="str">
        <f t="shared" si="0"/>
        <v/>
      </c>
      <c r="I11" s="188"/>
      <c r="J11" s="188"/>
      <c r="K11" s="188" t="str">
        <f t="shared" si="1"/>
        <v/>
      </c>
      <c r="L11" s="188" t="str">
        <f>IF('Implied-Return Calculator'!S12="","",'Implied-Return Calculator'!S12)</f>
        <v/>
      </c>
      <c r="M11" s="188" t="str">
        <f>IF('Implied-Return Calculator'!T12="","",'Implied-Return Calculator'!T12)</f>
        <v/>
      </c>
      <c r="N11" s="188" t="str">
        <f>IF('Implied-Return Calculator'!U12="","",'Implied-Return Calculator'!U12)</f>
        <v/>
      </c>
      <c r="O11" s="188"/>
      <c r="P11" s="188"/>
      <c r="Q11" s="74" t="str">
        <f t="shared" si="2"/>
        <v/>
      </c>
      <c r="R11" s="74" t="str">
        <f t="shared" si="3"/>
        <v/>
      </c>
      <c r="S11" s="74" t="str">
        <f t="shared" si="4"/>
        <v/>
      </c>
    </row>
    <row r="12" spans="1:19" ht="15" customHeight="1" x14ac:dyDescent="0.3">
      <c r="A12" s="74" t="str">
        <f>IF(Scoring!A12="","",Scoring!A12)</f>
        <v>ADBE</v>
      </c>
      <c r="B12" s="74" t="str">
        <f>IF(Scoring!B12="","",Scoring!B12)</f>
        <v>Adobe Inc.</v>
      </c>
      <c r="C12" s="188" t="str">
        <f>IF(Scoring!AG12="","",IF(OR(Scoring!AG12="STRONG BUY",Scoring!AG12="BUY"),"PASS","FAIL"))</f>
        <v>PASS</v>
      </c>
      <c r="D12" s="188" t="str">
        <f>IF(Scoring!AH12="","",IF(Scoring!AH12="OK","PASS","FAIL"))</f>
        <v>PASS</v>
      </c>
      <c r="E12" s="188" t="str">
        <f>IF(Scoring!AI12="","",IF(Scoring!AI12="OK","PASS","FAIL — mandatory review required"))</f>
        <v>PASS</v>
      </c>
      <c r="F12" s="188"/>
      <c r="G12" s="188"/>
      <c r="H12" s="74" t="str">
        <f t="shared" si="0"/>
        <v/>
      </c>
      <c r="I12" s="188"/>
      <c r="J12" s="188"/>
      <c r="K12" s="188" t="str">
        <f t="shared" si="1"/>
        <v/>
      </c>
      <c r="L12" s="188" t="str">
        <f>IF('Implied-Return Calculator'!S13="","",'Implied-Return Calculator'!S13)</f>
        <v/>
      </c>
      <c r="M12" s="188" t="str">
        <f>IF('Implied-Return Calculator'!T13="","",'Implied-Return Calculator'!T13)</f>
        <v/>
      </c>
      <c r="N12" s="188" t="str">
        <f>IF('Implied-Return Calculator'!U13="","",'Implied-Return Calculator'!U13)</f>
        <v/>
      </c>
      <c r="O12" s="188"/>
      <c r="P12" s="188"/>
      <c r="Q12" s="74" t="str">
        <f t="shared" si="2"/>
        <v/>
      </c>
      <c r="R12" s="74" t="str">
        <f t="shared" si="3"/>
        <v/>
      </c>
      <c r="S12" s="74" t="str">
        <f t="shared" si="4"/>
        <v/>
      </c>
    </row>
    <row r="13" spans="1:19" ht="15" customHeight="1" x14ac:dyDescent="0.3">
      <c r="A13" s="74" t="str">
        <f>IF(Scoring!A13="","",Scoring!A13)</f>
        <v>ANET</v>
      </c>
      <c r="B13" s="74" t="str">
        <f>IF(Scoring!B13="","",Scoring!B13)</f>
        <v>Arista Networks</v>
      </c>
      <c r="C13" s="188" t="str">
        <f>IF(Scoring!AG13="","",IF(OR(Scoring!AG13="STRONG BUY",Scoring!AG13="BUY"),"PASS","FAIL"))</f>
        <v>PASS</v>
      </c>
      <c r="D13" s="188" t="str">
        <f>IF(Scoring!AH13="","",IF(Scoring!AH13="OK","PASS","FAIL"))</f>
        <v>PASS</v>
      </c>
      <c r="E13" s="188" t="str">
        <f>IF(Scoring!AI13="","",IF(Scoring!AI13="OK","PASS","FAIL — mandatory review required"))</f>
        <v>PASS</v>
      </c>
      <c r="F13" s="188"/>
      <c r="G13" s="188"/>
      <c r="H13" s="74" t="str">
        <f t="shared" si="0"/>
        <v/>
      </c>
      <c r="I13" s="188"/>
      <c r="J13" s="188"/>
      <c r="K13" s="188" t="str">
        <f t="shared" si="1"/>
        <v/>
      </c>
      <c r="L13" s="188" t="str">
        <f>IF('Implied-Return Calculator'!S14="","",'Implied-Return Calculator'!S14)</f>
        <v/>
      </c>
      <c r="M13" s="188" t="str">
        <f>IF('Implied-Return Calculator'!T14="","",'Implied-Return Calculator'!T14)</f>
        <v/>
      </c>
      <c r="N13" s="188" t="str">
        <f>IF('Implied-Return Calculator'!U14="","",'Implied-Return Calculator'!U14)</f>
        <v/>
      </c>
      <c r="O13" s="188"/>
      <c r="P13" s="188"/>
      <c r="Q13" s="74" t="str">
        <f t="shared" si="2"/>
        <v/>
      </c>
      <c r="R13" s="74" t="str">
        <f t="shared" si="3"/>
        <v/>
      </c>
      <c r="S13" s="74" t="str">
        <f t="shared" si="4"/>
        <v/>
      </c>
    </row>
    <row r="14" spans="1:19" ht="15" customHeight="1" x14ac:dyDescent="0.3">
      <c r="A14" s="74" t="str">
        <f>IF(Scoring!A14="","",Scoring!A14)</f>
        <v>ASML</v>
      </c>
      <c r="B14" s="74" t="str">
        <f>IF(Scoring!B14="","",Scoring!B14)</f>
        <v>ASML Holding</v>
      </c>
      <c r="C14" s="188" t="str">
        <f>IF(Scoring!AG14="","",IF(OR(Scoring!AG14="STRONG BUY",Scoring!AG14="BUY"),"PASS","FAIL"))</f>
        <v>PASS</v>
      </c>
      <c r="D14" s="188" t="str">
        <f>IF(Scoring!AH14="","",IF(Scoring!AH14="OK","PASS","FAIL"))</f>
        <v>PASS</v>
      </c>
      <c r="E14" s="188" t="str">
        <f>IF(Scoring!AI14="","",IF(Scoring!AI14="OK","PASS","FAIL — mandatory review required"))</f>
        <v>PASS</v>
      </c>
      <c r="F14" s="188"/>
      <c r="G14" s="188"/>
      <c r="H14" s="74" t="str">
        <f t="shared" si="0"/>
        <v/>
      </c>
      <c r="I14" s="188"/>
      <c r="J14" s="188"/>
      <c r="K14" s="188" t="str">
        <f t="shared" si="1"/>
        <v/>
      </c>
      <c r="L14" s="188" t="str">
        <f>IF('Implied-Return Calculator'!S15="","",'Implied-Return Calculator'!S15)</f>
        <v/>
      </c>
      <c r="M14" s="188" t="str">
        <f>IF('Implied-Return Calculator'!T15="","",'Implied-Return Calculator'!T15)</f>
        <v/>
      </c>
      <c r="N14" s="188" t="str">
        <f>IF('Implied-Return Calculator'!U15="","",'Implied-Return Calculator'!U15)</f>
        <v/>
      </c>
      <c r="O14" s="188"/>
      <c r="P14" s="188"/>
      <c r="Q14" s="74" t="str">
        <f t="shared" si="2"/>
        <v/>
      </c>
      <c r="R14" s="74" t="str">
        <f t="shared" si="3"/>
        <v/>
      </c>
      <c r="S14" s="74" t="str">
        <f t="shared" si="4"/>
        <v/>
      </c>
    </row>
    <row r="15" spans="1:19" ht="15" customHeight="1" x14ac:dyDescent="0.3">
      <c r="A15" s="74" t="str">
        <f>IF(Scoring!A15="","",Scoring!A15)</f>
        <v>CRWD</v>
      </c>
      <c r="B15" s="74" t="str">
        <f>IF(Scoring!B15="","",Scoring!B15)</f>
        <v>CrowdStrike Holdings</v>
      </c>
      <c r="C15" s="188" t="str">
        <f>IF(Scoring!AG15="","",IF(OR(Scoring!AG15="STRONG BUY",Scoring!AG15="BUY"),"PASS","FAIL"))</f>
        <v>PASS</v>
      </c>
      <c r="D15" s="188" t="str">
        <f>IF(Scoring!AH15="","",IF(Scoring!AH15="OK","PASS","FAIL"))</f>
        <v>PASS</v>
      </c>
      <c r="E15" s="188" t="str">
        <f>IF(Scoring!AI15="","",IF(Scoring!AI15="OK","PASS","FAIL — mandatory review required"))</f>
        <v>PASS</v>
      </c>
      <c r="F15" s="188"/>
      <c r="G15" s="188"/>
      <c r="H15" s="74" t="str">
        <f t="shared" si="0"/>
        <v/>
      </c>
      <c r="I15" s="188"/>
      <c r="J15" s="188"/>
      <c r="K15" s="188" t="str">
        <f t="shared" si="1"/>
        <v/>
      </c>
      <c r="L15" s="188" t="str">
        <f>IF('Implied-Return Calculator'!S16="","",'Implied-Return Calculator'!S16)</f>
        <v/>
      </c>
      <c r="M15" s="188" t="str">
        <f>IF('Implied-Return Calculator'!T16="","",'Implied-Return Calculator'!T16)</f>
        <v/>
      </c>
      <c r="N15" s="188" t="str">
        <f>IF('Implied-Return Calculator'!U16="","",'Implied-Return Calculator'!U16)</f>
        <v/>
      </c>
      <c r="O15" s="188"/>
      <c r="P15" s="188"/>
      <c r="Q15" s="74" t="str">
        <f t="shared" si="2"/>
        <v/>
      </c>
      <c r="R15" s="74" t="str">
        <f t="shared" si="3"/>
        <v/>
      </c>
      <c r="S15" s="74" t="str">
        <f t="shared" si="4"/>
        <v/>
      </c>
    </row>
    <row r="16" spans="1:19" ht="15" customHeight="1" x14ac:dyDescent="0.3">
      <c r="A16" s="74" t="str">
        <f>IF(Scoring!A16="","",Scoring!A16)</f>
        <v>KLAC</v>
      </c>
      <c r="B16" s="74" t="str">
        <f>IF(Scoring!B16="","",Scoring!B16)</f>
        <v>KLA Corporation</v>
      </c>
      <c r="C16" s="188" t="str">
        <f>IF(Scoring!AG16="","",IF(OR(Scoring!AG16="STRONG BUY",Scoring!AG16="BUY"),"PASS","FAIL"))</f>
        <v>PASS</v>
      </c>
      <c r="D16" s="188" t="str">
        <f>IF(Scoring!AH16="","",IF(Scoring!AH16="OK","PASS","FAIL"))</f>
        <v>PASS</v>
      </c>
      <c r="E16" s="188" t="str">
        <f>IF(Scoring!AI16="","",IF(Scoring!AI16="OK","PASS","FAIL — mandatory review required"))</f>
        <v>PASS</v>
      </c>
      <c r="F16" s="188"/>
      <c r="G16" s="188"/>
      <c r="H16" s="74" t="str">
        <f t="shared" si="0"/>
        <v/>
      </c>
      <c r="I16" s="188"/>
      <c r="J16" s="188"/>
      <c r="K16" s="188" t="str">
        <f t="shared" si="1"/>
        <v/>
      </c>
      <c r="L16" s="188" t="str">
        <f>IF('Implied-Return Calculator'!S17="","",'Implied-Return Calculator'!S17)</f>
        <v/>
      </c>
      <c r="M16" s="188" t="str">
        <f>IF('Implied-Return Calculator'!T17="","",'Implied-Return Calculator'!T17)</f>
        <v/>
      </c>
      <c r="N16" s="188" t="str">
        <f>IF('Implied-Return Calculator'!U17="","",'Implied-Return Calculator'!U17)</f>
        <v/>
      </c>
      <c r="O16" s="188"/>
      <c r="P16" s="188"/>
      <c r="Q16" s="74" t="str">
        <f t="shared" si="2"/>
        <v/>
      </c>
      <c r="R16" s="74" t="str">
        <f t="shared" si="3"/>
        <v/>
      </c>
      <c r="S16" s="74" t="str">
        <f t="shared" si="4"/>
        <v/>
      </c>
    </row>
    <row r="17" spans="1:19" ht="15" customHeight="1" x14ac:dyDescent="0.3">
      <c r="A17" s="74" t="str">
        <f>IF(Scoring!A17="","",Scoring!A17)</f>
        <v>TSM</v>
      </c>
      <c r="B17" s="74" t="str">
        <f>IF(Scoring!B17="","",Scoring!B17)</f>
        <v>Taiwan Semiconductor Mfg.</v>
      </c>
      <c r="C17" s="188" t="str">
        <f>IF(Scoring!AG17="","",IF(OR(Scoring!AG17="STRONG BUY",Scoring!AG17="BUY"),"PASS","FAIL"))</f>
        <v>PASS</v>
      </c>
      <c r="D17" s="188" t="str">
        <f>IF(Scoring!AH17="","",IF(Scoring!AH17="OK","PASS","FAIL"))</f>
        <v>PASS</v>
      </c>
      <c r="E17" s="188" t="str">
        <f>IF(Scoring!AI17="","",IF(Scoring!AI17="OK","PASS","FAIL — mandatory review required"))</f>
        <v>PASS</v>
      </c>
      <c r="F17" s="188"/>
      <c r="G17" s="188"/>
      <c r="H17" s="74" t="str">
        <f t="shared" si="0"/>
        <v/>
      </c>
      <c r="I17" s="188"/>
      <c r="J17" s="188"/>
      <c r="K17" s="188" t="str">
        <f t="shared" si="1"/>
        <v/>
      </c>
      <c r="L17" s="188" t="str">
        <f>IF('Implied-Return Calculator'!S18="","",'Implied-Return Calculator'!S18)</f>
        <v/>
      </c>
      <c r="M17" s="188" t="str">
        <f>IF('Implied-Return Calculator'!T18="","",'Implied-Return Calculator'!T18)</f>
        <v/>
      </c>
      <c r="N17" s="188" t="str">
        <f>IF('Implied-Return Calculator'!U18="","",'Implied-Return Calculator'!U18)</f>
        <v/>
      </c>
      <c r="O17" s="188"/>
      <c r="P17" s="188"/>
      <c r="Q17" s="74" t="str">
        <f t="shared" si="2"/>
        <v/>
      </c>
      <c r="R17" s="74" t="str">
        <f t="shared" si="3"/>
        <v/>
      </c>
      <c r="S17" s="74" t="str">
        <f t="shared" si="4"/>
        <v/>
      </c>
    </row>
    <row r="18" spans="1:19" ht="15" customHeight="1" x14ac:dyDescent="0.3">
      <c r="A18" s="74" t="str">
        <f>IF(Scoring!A18="","",Scoring!A18)</f>
        <v>VRT</v>
      </c>
      <c r="B18" s="74" t="str">
        <f>IF(Scoring!B18="","",Scoring!B18)</f>
        <v>Vertiv Holdings</v>
      </c>
      <c r="C18" s="188" t="str">
        <f>IF(Scoring!AG18="","",IF(OR(Scoring!AG18="STRONG BUY",Scoring!AG18="BUY"),"PASS","FAIL"))</f>
        <v>PASS</v>
      </c>
      <c r="D18" s="188" t="str">
        <f>IF(Scoring!AH18="","",IF(Scoring!AH18="OK","PASS","FAIL"))</f>
        <v>PASS</v>
      </c>
      <c r="E18" s="188" t="str">
        <f>IF(Scoring!AI18="","",IF(Scoring!AI18="OK","PASS","FAIL — mandatory review required"))</f>
        <v>PASS</v>
      </c>
      <c r="F18" s="188"/>
      <c r="G18" s="188"/>
      <c r="H18" s="74" t="str">
        <f t="shared" si="0"/>
        <v/>
      </c>
      <c r="I18" s="188"/>
      <c r="J18" s="188"/>
      <c r="K18" s="188" t="str">
        <f t="shared" si="1"/>
        <v/>
      </c>
      <c r="L18" s="188" t="str">
        <f>IF('Implied-Return Calculator'!S19="","",'Implied-Return Calculator'!S19)</f>
        <v/>
      </c>
      <c r="M18" s="188" t="str">
        <f>IF('Implied-Return Calculator'!T19="","",'Implied-Return Calculator'!T19)</f>
        <v/>
      </c>
      <c r="N18" s="188" t="str">
        <f>IF('Implied-Return Calculator'!U19="","",'Implied-Return Calculator'!U19)</f>
        <v/>
      </c>
      <c r="O18" s="188"/>
      <c r="P18" s="188"/>
      <c r="Q18" s="74" t="str">
        <f t="shared" si="2"/>
        <v/>
      </c>
      <c r="R18" s="74" t="str">
        <f t="shared" si="3"/>
        <v/>
      </c>
      <c r="S18" s="74" t="str">
        <f t="shared" si="4"/>
        <v/>
      </c>
    </row>
    <row r="19" spans="1:19" ht="15" customHeight="1" x14ac:dyDescent="0.3">
      <c r="A19" s="74" t="str">
        <f>IF(Scoring!A19="","",Scoring!A19)</f>
        <v>COST</v>
      </c>
      <c r="B19" s="74" t="str">
        <f>IF(Scoring!B19="","",Scoring!B19)</f>
        <v>Costco Wholesale Corp.</v>
      </c>
      <c r="C19" s="188" t="str">
        <f>IF(Scoring!AG19="","",IF(OR(Scoring!AG19="STRONG BUY",Scoring!AG19="BUY"),"PASS","FAIL"))</f>
        <v>PASS</v>
      </c>
      <c r="D19" s="188" t="str">
        <f>IF(Scoring!AH19="","",IF(Scoring!AH19="OK","PASS","FAIL"))</f>
        <v>PASS</v>
      </c>
      <c r="E19" s="188" t="str">
        <f>IF(Scoring!AI19="","",IF(Scoring!AI19="OK","PASS","FAIL — mandatory review required"))</f>
        <v>PASS</v>
      </c>
      <c r="F19" s="188" t="s">
        <v>203</v>
      </c>
      <c r="G19" s="188" t="s">
        <v>203</v>
      </c>
      <c r="H19" s="74" t="str">
        <f t="shared" si="0"/>
        <v>Standard initial size</v>
      </c>
      <c r="I19" s="188" t="s">
        <v>202</v>
      </c>
      <c r="J19" s="188"/>
      <c r="K19" s="188" t="str">
        <f t="shared" si="1"/>
        <v>PASS</v>
      </c>
      <c r="L19" s="188" t="str">
        <f>IF('Implied-Return Calculator'!S20="","",'Implied-Return Calculator'!S20)</f>
        <v>FAIL</v>
      </c>
      <c r="M19" s="188" t="str">
        <f>IF('Implied-Return Calculator'!T20="","",'Implied-Return Calculator'!T20)</f>
        <v>PASS</v>
      </c>
      <c r="N19" s="188" t="str">
        <f>IF('Implied-Return Calculator'!U20="","",'Implied-Return Calculator'!U20)</f>
        <v>OK</v>
      </c>
      <c r="O19" s="188">
        <v>61.48</v>
      </c>
      <c r="P19" s="188">
        <v>7.0000000000000007E-2</v>
      </c>
      <c r="Q19" s="74" t="str">
        <f t="shared" si="2"/>
        <v>FAIL — exceeds 50x, exception not met</v>
      </c>
      <c r="R19" s="74" t="str">
        <f t="shared" si="3"/>
        <v>NO — see failing rule(s)</v>
      </c>
      <c r="S19" s="74" t="str">
        <f t="shared" si="4"/>
        <v>DO NOT ENTER — resolve failing Entry Rule(s) above first</v>
      </c>
    </row>
    <row r="20" spans="1:19" ht="15" customHeight="1" x14ac:dyDescent="0.3">
      <c r="A20" s="74" t="str">
        <f>IF(Scoring!A20="","",Scoring!A20)</f>
        <v>V</v>
      </c>
      <c r="B20" s="74" t="str">
        <f>IF(Scoring!B20="","",Scoring!B20)</f>
        <v>Visa Inc.</v>
      </c>
      <c r="C20" s="188" t="str">
        <f>IF(Scoring!AG20="","",IF(OR(Scoring!AG20="STRONG BUY",Scoring!AG20="BUY"),"PASS","FAIL"))</f>
        <v>PASS</v>
      </c>
      <c r="D20" s="188" t="str">
        <f>IF(Scoring!AH20="","",IF(Scoring!AH20="OK","PASS","FAIL"))</f>
        <v>PASS</v>
      </c>
      <c r="E20" s="188" t="str">
        <f>IF(Scoring!AI20="","",IF(Scoring!AI20="OK","PASS","FAIL — mandatory review required"))</f>
        <v>PASS</v>
      </c>
      <c r="F20" s="188" t="s">
        <v>203</v>
      </c>
      <c r="G20" s="188" t="s">
        <v>203</v>
      </c>
      <c r="H20" s="74" t="str">
        <f t="shared" si="0"/>
        <v>Standard initial size</v>
      </c>
      <c r="I20" s="188" t="s">
        <v>203</v>
      </c>
      <c r="J20" s="188" t="s">
        <v>203</v>
      </c>
      <c r="K20" s="188" t="str">
        <f t="shared" si="1"/>
        <v>PASS — risk documented in thesis</v>
      </c>
      <c r="L20" s="188" t="str">
        <f>IF('Implied-Return Calculator'!S21="","",'Implied-Return Calculator'!S21)</f>
        <v>PASS</v>
      </c>
      <c r="M20" s="188" t="str">
        <f>IF('Implied-Return Calculator'!T21="","",'Implied-Return Calculator'!T21)</f>
        <v>PASS</v>
      </c>
      <c r="N20" s="188" t="str">
        <f>IF('Implied-Return Calculator'!U21="","",'Implied-Return Calculator'!U21)</f>
        <v>OK</v>
      </c>
      <c r="O20" s="188">
        <v>34.36</v>
      </c>
      <c r="P20" s="188">
        <v>0.11</v>
      </c>
      <c r="Q20" s="74" t="str">
        <f t="shared" si="2"/>
        <v>PASS — growth+bear case exception met</v>
      </c>
      <c r="R20" s="74" t="str">
        <f t="shared" si="3"/>
        <v>YES</v>
      </c>
      <c r="S20" s="74" t="str">
        <f t="shared" si="4"/>
        <v>Initiate: Standard initial size</v>
      </c>
    </row>
    <row r="21" spans="1:19" ht="15" customHeight="1" x14ac:dyDescent="0.3">
      <c r="A21" s="74" t="str">
        <f>IF(Scoring!A21="","",Scoring!A21)</f>
        <v>NEE</v>
      </c>
      <c r="B21" s="74" t="str">
        <f>IF(Scoring!B21="","",Scoring!B21)</f>
        <v>NextEra Energy Inc.</v>
      </c>
      <c r="C21" s="188" t="str">
        <f>IF(Scoring!AG21="","",IF(OR(Scoring!AG21="STRONG BUY",Scoring!AG21="BUY"),"PASS","FAIL"))</f>
        <v/>
      </c>
      <c r="D21" s="188" t="str">
        <f>IF(Scoring!AH21="","",IF(Scoring!AH21="OK","PASS","FAIL"))</f>
        <v>FAIL</v>
      </c>
      <c r="E21" s="188" t="str">
        <f>IF(Scoring!AI21="","",IF(Scoring!AI21="OK","PASS","FAIL — mandatory review required"))</f>
        <v>FAIL — mandatory review required</v>
      </c>
      <c r="F21" s="188"/>
      <c r="G21" s="188"/>
      <c r="H21" s="74" t="str">
        <f t="shared" si="0"/>
        <v/>
      </c>
      <c r="I21" s="188"/>
      <c r="J21" s="188"/>
      <c r="K21" s="188" t="str">
        <f t="shared" si="1"/>
        <v/>
      </c>
      <c r="L21" s="188" t="str">
        <f>IF('Implied-Return Calculator'!S22="","",'Implied-Return Calculator'!S22)</f>
        <v/>
      </c>
      <c r="M21" s="188" t="str">
        <f>IF('Implied-Return Calculator'!T22="","",'Implied-Return Calculator'!T22)</f>
        <v/>
      </c>
      <c r="N21" s="188" t="str">
        <f>IF('Implied-Return Calculator'!U22="","",'Implied-Return Calculator'!U22)</f>
        <v/>
      </c>
      <c r="O21" s="188"/>
      <c r="P21" s="188"/>
      <c r="Q21" s="74" t="str">
        <f t="shared" si="2"/>
        <v/>
      </c>
      <c r="R21" s="74" t="str">
        <f t="shared" si="3"/>
        <v/>
      </c>
      <c r="S21" s="74" t="str">
        <f t="shared" si="4"/>
        <v/>
      </c>
    </row>
    <row r="22" spans="1:19" ht="15" customHeight="1" x14ac:dyDescent="0.3">
      <c r="A22" s="74" t="str">
        <f>IF(Scoring!A22="","",Scoring!A22)</f>
        <v>CRK</v>
      </c>
      <c r="B22" s="74" t="str">
        <f>IF(Scoring!B22="","",Scoring!B22)</f>
        <v>Comstock Resources Inc.</v>
      </c>
      <c r="C22" s="188" t="str">
        <f>IF(Scoring!AG22="","",IF(OR(Scoring!AG22="STRONG BUY",Scoring!AG22="BUY"),"PASS","FAIL"))</f>
        <v/>
      </c>
      <c r="D22" s="188" t="str">
        <f>IF(Scoring!AH22="","",IF(Scoring!AH22="OK","PASS","FAIL"))</f>
        <v>FAIL</v>
      </c>
      <c r="E22" s="188" t="str">
        <f>IF(Scoring!AI22="","",IF(Scoring!AI22="OK","PASS","FAIL — mandatory review required"))</f>
        <v>FAIL — mandatory review required</v>
      </c>
      <c r="F22" s="188"/>
      <c r="G22" s="188"/>
      <c r="H22" s="74" t="str">
        <f t="shared" si="0"/>
        <v/>
      </c>
      <c r="I22" s="188"/>
      <c r="J22" s="188"/>
      <c r="K22" s="188" t="str">
        <f t="shared" si="1"/>
        <v/>
      </c>
      <c r="L22" s="188" t="str">
        <f>IF('Implied-Return Calculator'!S23="","",'Implied-Return Calculator'!S23)</f>
        <v/>
      </c>
      <c r="M22" s="188" t="str">
        <f>IF('Implied-Return Calculator'!T23="","",'Implied-Return Calculator'!T23)</f>
        <v/>
      </c>
      <c r="N22" s="188" t="str">
        <f>IF('Implied-Return Calculator'!U23="","",'Implied-Return Calculator'!U23)</f>
        <v/>
      </c>
      <c r="O22" s="188"/>
      <c r="P22" s="188"/>
      <c r="Q22" s="74" t="str">
        <f t="shared" si="2"/>
        <v/>
      </c>
      <c r="R22" s="74" t="str">
        <f t="shared" si="3"/>
        <v/>
      </c>
      <c r="S22" s="74" t="str">
        <f t="shared" si="4"/>
        <v/>
      </c>
    </row>
    <row r="23" spans="1:19" ht="15" customHeight="1" x14ac:dyDescent="0.3">
      <c r="A23" s="74" t="str">
        <f>IF(Scoring!A23="","",Scoring!A23)</f>
        <v>ET</v>
      </c>
      <c r="B23" s="74" t="str">
        <f>IF(Scoring!B23="","",Scoring!B23)</f>
        <v>Energy Transfer LP</v>
      </c>
      <c r="C23" s="188" t="str">
        <f>IF(Scoring!AG23="","",IF(OR(Scoring!AG23="STRONG BUY",Scoring!AG23="BUY"),"PASS","FAIL"))</f>
        <v/>
      </c>
      <c r="D23" s="188" t="str">
        <f>IF(Scoring!AH23="","",IF(Scoring!AH23="OK","PASS","FAIL"))</f>
        <v>PASS</v>
      </c>
      <c r="E23" s="188" t="str">
        <f>IF(Scoring!AI23="","",IF(Scoring!AI23="OK","PASS","FAIL — mandatory review required"))</f>
        <v>FAIL — mandatory review required</v>
      </c>
      <c r="F23" s="188"/>
      <c r="G23" s="188"/>
      <c r="H23" s="74" t="str">
        <f t="shared" si="0"/>
        <v/>
      </c>
      <c r="I23" s="188"/>
      <c r="J23" s="188"/>
      <c r="K23" s="188" t="str">
        <f t="shared" si="1"/>
        <v/>
      </c>
      <c r="L23" s="188" t="str">
        <f>IF('Implied-Return Calculator'!S24="","",'Implied-Return Calculator'!S24)</f>
        <v/>
      </c>
      <c r="M23" s="188" t="str">
        <f>IF('Implied-Return Calculator'!T24="","",'Implied-Return Calculator'!T24)</f>
        <v/>
      </c>
      <c r="N23" s="188" t="str">
        <f>IF('Implied-Return Calculator'!U24="","",'Implied-Return Calculator'!U24)</f>
        <v/>
      </c>
      <c r="O23" s="188"/>
      <c r="P23" s="188"/>
      <c r="Q23" s="74" t="str">
        <f t="shared" si="2"/>
        <v/>
      </c>
      <c r="R23" s="74" t="str">
        <f t="shared" si="3"/>
        <v/>
      </c>
      <c r="S23" s="74" t="str">
        <f t="shared" si="4"/>
        <v/>
      </c>
    </row>
    <row r="24" spans="1:19" ht="15" customHeight="1" x14ac:dyDescent="0.3">
      <c r="A24" s="74" t="str">
        <f>IF(Scoring!A24="","",Scoring!A24)</f>
        <v>LBRT</v>
      </c>
      <c r="B24" s="74" t="str">
        <f>IF(Scoring!B24="","",Scoring!B24)</f>
        <v>Liberty Energy Inc.</v>
      </c>
      <c r="C24" s="188" t="str">
        <f>IF(Scoring!AG24="","",IF(OR(Scoring!AG24="STRONG BUY",Scoring!AG24="BUY"),"PASS","FAIL"))</f>
        <v/>
      </c>
      <c r="D24" s="188" t="str">
        <f>IF(Scoring!AH24="","",IF(Scoring!AH24="OK","PASS","FAIL"))</f>
        <v>FAIL</v>
      </c>
      <c r="E24" s="188" t="str">
        <f>IF(Scoring!AI24="","",IF(Scoring!AI24="OK","PASS","FAIL — mandatory review required"))</f>
        <v>FAIL — mandatory review required</v>
      </c>
      <c r="F24" s="188"/>
      <c r="G24" s="188"/>
      <c r="H24" s="74" t="str">
        <f t="shared" si="0"/>
        <v/>
      </c>
      <c r="I24" s="188"/>
      <c r="J24" s="188"/>
      <c r="K24" s="188" t="str">
        <f t="shared" si="1"/>
        <v/>
      </c>
      <c r="L24" s="188" t="str">
        <f>IF('Implied-Return Calculator'!S25="","",'Implied-Return Calculator'!S25)</f>
        <v/>
      </c>
      <c r="M24" s="188" t="str">
        <f>IF('Implied-Return Calculator'!T25="","",'Implied-Return Calculator'!T25)</f>
        <v/>
      </c>
      <c r="N24" s="188" t="str">
        <f>IF('Implied-Return Calculator'!U25="","",'Implied-Return Calculator'!U25)</f>
        <v/>
      </c>
      <c r="O24" s="188"/>
      <c r="P24" s="188"/>
      <c r="Q24" s="74" t="str">
        <f t="shared" si="2"/>
        <v/>
      </c>
      <c r="R24" s="74" t="str">
        <f t="shared" si="3"/>
        <v/>
      </c>
      <c r="S24" s="74" t="str">
        <f t="shared" si="4"/>
        <v/>
      </c>
    </row>
    <row r="25" spans="1:19" ht="15" customHeight="1" x14ac:dyDescent="0.3">
      <c r="A25" s="74" t="str">
        <f>IF(Scoring!A25="","",Scoring!A25)</f>
        <v>NOV</v>
      </c>
      <c r="B25" s="74" t="str">
        <f>IF(Scoring!B25="","",Scoring!B25)</f>
        <v>NOV Inc.</v>
      </c>
      <c r="C25" s="188" t="str">
        <f>IF(Scoring!AG25="","",IF(OR(Scoring!AG25="STRONG BUY",Scoring!AG25="BUY"),"PASS","FAIL"))</f>
        <v/>
      </c>
      <c r="D25" s="188" t="str">
        <f>IF(Scoring!AH25="","",IF(Scoring!AH25="OK","PASS","FAIL"))</f>
        <v>FAIL</v>
      </c>
      <c r="E25" s="188" t="str">
        <f>IF(Scoring!AI25="","",IF(Scoring!AI25="OK","PASS","FAIL — mandatory review required"))</f>
        <v>PASS</v>
      </c>
      <c r="F25" s="188"/>
      <c r="G25" s="188"/>
      <c r="H25" s="74" t="str">
        <f t="shared" si="0"/>
        <v/>
      </c>
      <c r="I25" s="188"/>
      <c r="J25" s="188"/>
      <c r="K25" s="188" t="str">
        <f t="shared" si="1"/>
        <v/>
      </c>
      <c r="L25" s="188" t="str">
        <f>IF('Implied-Return Calculator'!S26="","",'Implied-Return Calculator'!S26)</f>
        <v/>
      </c>
      <c r="M25" s="188" t="str">
        <f>IF('Implied-Return Calculator'!T26="","",'Implied-Return Calculator'!T26)</f>
        <v/>
      </c>
      <c r="N25" s="188" t="str">
        <f>IF('Implied-Return Calculator'!U26="","",'Implied-Return Calculator'!U26)</f>
        <v/>
      </c>
      <c r="O25" s="188"/>
      <c r="P25" s="188"/>
      <c r="Q25" s="74" t="str">
        <f t="shared" si="2"/>
        <v/>
      </c>
      <c r="R25" s="74" t="str">
        <f t="shared" si="3"/>
        <v/>
      </c>
      <c r="S25" s="74" t="str">
        <f t="shared" si="4"/>
        <v/>
      </c>
    </row>
    <row r="26" spans="1:19" ht="15" customHeight="1" x14ac:dyDescent="0.3">
      <c r="A26" s="74" t="str">
        <f>IF(Scoring!A26="","",Scoring!A26)</f>
        <v>CE</v>
      </c>
      <c r="B26" s="74" t="str">
        <f>IF(Scoring!B26="","",Scoring!B26)</f>
        <v>Celanese Corp.</v>
      </c>
      <c r="C26" s="188" t="str">
        <f>IF(Scoring!AG26="","",IF(OR(Scoring!AG26="STRONG BUY",Scoring!AG26="BUY"),"PASS","FAIL"))</f>
        <v/>
      </c>
      <c r="D26" s="188" t="str">
        <f>IF(Scoring!AH26="","",IF(Scoring!AH26="OK","PASS","FAIL"))</f>
        <v>FAIL</v>
      </c>
      <c r="E26" s="188" t="str">
        <f>IF(Scoring!AI26="","",IF(Scoring!AI26="OK","PASS","FAIL — mandatory review required"))</f>
        <v>FAIL — mandatory review required</v>
      </c>
      <c r="F26" s="188"/>
      <c r="G26" s="188"/>
      <c r="H26" s="74" t="str">
        <f t="shared" si="0"/>
        <v/>
      </c>
      <c r="I26" s="188"/>
      <c r="J26" s="188"/>
      <c r="K26" s="188" t="str">
        <f t="shared" si="1"/>
        <v/>
      </c>
      <c r="L26" s="188" t="str">
        <f>IF('Implied-Return Calculator'!S27="","",'Implied-Return Calculator'!S27)</f>
        <v/>
      </c>
      <c r="M26" s="188" t="str">
        <f>IF('Implied-Return Calculator'!T27="","",'Implied-Return Calculator'!T27)</f>
        <v/>
      </c>
      <c r="N26" s="188" t="str">
        <f>IF('Implied-Return Calculator'!U27="","",'Implied-Return Calculator'!U27)</f>
        <v/>
      </c>
      <c r="O26" s="188"/>
      <c r="P26" s="188"/>
      <c r="Q26" s="74" t="str">
        <f t="shared" si="2"/>
        <v/>
      </c>
      <c r="R26" s="74" t="str">
        <f t="shared" si="3"/>
        <v/>
      </c>
      <c r="S26" s="74" t="str">
        <f t="shared" si="4"/>
        <v/>
      </c>
    </row>
    <row r="27" spans="1:19" ht="15" customHeight="1" x14ac:dyDescent="0.3">
      <c r="A27" s="74" t="str">
        <f>IF(Scoring!A27="","",Scoring!A27)</f>
        <v>CLF</v>
      </c>
      <c r="B27" s="74" t="str">
        <f>IF(Scoring!B27="","",Scoring!B27)</f>
        <v>Cleveland-Cliffs Inc.</v>
      </c>
      <c r="C27" s="188" t="str">
        <f>IF(Scoring!AG27="","",IF(OR(Scoring!AG27="STRONG BUY",Scoring!AG27="BUY"),"PASS","FAIL"))</f>
        <v/>
      </c>
      <c r="D27" s="188" t="str">
        <f>IF(Scoring!AH27="","",IF(Scoring!AH27="OK","PASS","FAIL"))</f>
        <v>FAIL</v>
      </c>
      <c r="E27" s="188" t="str">
        <f>IF(Scoring!AI27="","",IF(Scoring!AI27="OK","PASS","FAIL — mandatory review required"))</f>
        <v>FAIL — mandatory review required</v>
      </c>
      <c r="F27" s="188"/>
      <c r="G27" s="188"/>
      <c r="H27" s="74" t="str">
        <f t="shared" si="0"/>
        <v/>
      </c>
      <c r="I27" s="188"/>
      <c r="J27" s="188"/>
      <c r="K27" s="188" t="str">
        <f t="shared" si="1"/>
        <v/>
      </c>
      <c r="L27" s="188" t="str">
        <f>IF('Implied-Return Calculator'!S28="","",'Implied-Return Calculator'!S28)</f>
        <v/>
      </c>
      <c r="M27" s="188" t="str">
        <f>IF('Implied-Return Calculator'!T28="","",'Implied-Return Calculator'!T28)</f>
        <v/>
      </c>
      <c r="N27" s="188" t="str">
        <f>IF('Implied-Return Calculator'!U28="","",'Implied-Return Calculator'!U28)</f>
        <v/>
      </c>
      <c r="O27" s="188"/>
      <c r="P27" s="188"/>
      <c r="Q27" s="74" t="str">
        <f t="shared" si="2"/>
        <v/>
      </c>
      <c r="R27" s="74" t="str">
        <f t="shared" si="3"/>
        <v/>
      </c>
      <c r="S27" s="74" t="str">
        <f t="shared" si="4"/>
        <v/>
      </c>
    </row>
    <row r="28" spans="1:19" ht="15" customHeight="1" x14ac:dyDescent="0.3">
      <c r="A28" s="74" t="str">
        <f>IF(Scoring!A28="","",Scoring!A28)</f>
        <v>LIN</v>
      </c>
      <c r="B28" s="74" t="str">
        <f>IF(Scoring!B28="","",Scoring!B28)</f>
        <v>Linde plc</v>
      </c>
      <c r="C28" s="188" t="str">
        <f>IF(Scoring!AG28="","",IF(OR(Scoring!AG28="STRONG BUY",Scoring!AG28="BUY"),"PASS","FAIL"))</f>
        <v/>
      </c>
      <c r="D28" s="188" t="str">
        <f>IF(Scoring!AH28="","",IF(Scoring!AH28="OK","PASS","FAIL"))</f>
        <v>PASS</v>
      </c>
      <c r="E28" s="188" t="str">
        <f>IF(Scoring!AI28="","",IF(Scoring!AI28="OK","PASS","FAIL — mandatory review required"))</f>
        <v>PASS</v>
      </c>
      <c r="F28" s="188"/>
      <c r="G28" s="188"/>
      <c r="H28" s="74" t="str">
        <f t="shared" si="0"/>
        <v/>
      </c>
      <c r="I28" s="188"/>
      <c r="J28" s="188"/>
      <c r="K28" s="188" t="str">
        <f t="shared" si="1"/>
        <v/>
      </c>
      <c r="L28" s="188" t="str">
        <f>IF('Implied-Return Calculator'!S29="","",'Implied-Return Calculator'!S29)</f>
        <v/>
      </c>
      <c r="M28" s="188" t="str">
        <f>IF('Implied-Return Calculator'!T29="","",'Implied-Return Calculator'!T29)</f>
        <v/>
      </c>
      <c r="N28" s="188" t="str">
        <f>IF('Implied-Return Calculator'!U29="","",'Implied-Return Calculator'!U29)</f>
        <v/>
      </c>
      <c r="O28" s="188"/>
      <c r="P28" s="188"/>
      <c r="Q28" s="74" t="str">
        <f t="shared" si="2"/>
        <v/>
      </c>
      <c r="R28" s="74" t="str">
        <f t="shared" si="3"/>
        <v/>
      </c>
      <c r="S28" s="74" t="str">
        <f t="shared" si="4"/>
        <v/>
      </c>
    </row>
    <row r="29" spans="1:19" ht="15" customHeight="1" x14ac:dyDescent="0.3">
      <c r="A29" s="74" t="str">
        <f>IF(Scoring!A29="","",Scoring!A29)</f>
        <v>DEO</v>
      </c>
      <c r="B29" s="74" t="str">
        <f>IF(Scoring!B29="","",Scoring!B29)</f>
        <v>Diageo plc</v>
      </c>
      <c r="C29" s="188" t="str">
        <f>IF(Scoring!AG29="","",IF(OR(Scoring!AG29="STRONG BUY",Scoring!AG29="BUY"),"PASS","FAIL"))</f>
        <v/>
      </c>
      <c r="D29" s="188" t="str">
        <f>IF(Scoring!AH29="","",IF(Scoring!AH29="OK","PASS","FAIL"))</f>
        <v>FAIL</v>
      </c>
      <c r="E29" s="188" t="str">
        <f>IF(Scoring!AI29="","",IF(Scoring!AI29="OK","PASS","FAIL — mandatory review required"))</f>
        <v>PASS</v>
      </c>
      <c r="F29" s="188"/>
      <c r="G29" s="188"/>
      <c r="H29" s="74" t="str">
        <f t="shared" si="0"/>
        <v/>
      </c>
      <c r="I29" s="188"/>
      <c r="J29" s="188"/>
      <c r="K29" s="188" t="str">
        <f t="shared" si="1"/>
        <v/>
      </c>
      <c r="L29" s="188" t="str">
        <f>IF('Implied-Return Calculator'!S30="","",'Implied-Return Calculator'!S30)</f>
        <v/>
      </c>
      <c r="M29" s="188" t="str">
        <f>IF('Implied-Return Calculator'!T30="","",'Implied-Return Calculator'!T30)</f>
        <v/>
      </c>
      <c r="N29" s="188" t="str">
        <f>IF('Implied-Return Calculator'!U30="","",'Implied-Return Calculator'!U30)</f>
        <v/>
      </c>
      <c r="O29" s="188"/>
      <c r="P29" s="188"/>
      <c r="Q29" s="74" t="str">
        <f t="shared" si="2"/>
        <v/>
      </c>
      <c r="R29" s="74" t="str">
        <f t="shared" si="3"/>
        <v/>
      </c>
      <c r="S29" s="74" t="str">
        <f t="shared" si="4"/>
        <v/>
      </c>
    </row>
    <row r="30" spans="1:19" ht="15" customHeight="1" x14ac:dyDescent="0.3">
      <c r="A30" s="74" t="str">
        <f>IF(Scoring!A30="","",Scoring!A30)</f>
        <v>EL</v>
      </c>
      <c r="B30" s="74" t="str">
        <f>IF(Scoring!B30="","",Scoring!B30)</f>
        <v>Estee Lauder Companies</v>
      </c>
      <c r="C30" s="188" t="str">
        <f>IF(Scoring!AG30="","",IF(OR(Scoring!AG30="STRONG BUY",Scoring!AG30="BUY"),"PASS","FAIL"))</f>
        <v/>
      </c>
      <c r="D30" s="188" t="str">
        <f>IF(Scoring!AH30="","",IF(Scoring!AH30="OK","PASS","FAIL"))</f>
        <v>FAIL</v>
      </c>
      <c r="E30" s="188" t="str">
        <f>IF(Scoring!AI30="","",IF(Scoring!AI30="OK","PASS","FAIL — mandatory review required"))</f>
        <v>FAIL — mandatory review required</v>
      </c>
      <c r="F30" s="188"/>
      <c r="G30" s="188"/>
      <c r="H30" s="74" t="str">
        <f t="shared" si="0"/>
        <v/>
      </c>
      <c r="I30" s="188"/>
      <c r="J30" s="188"/>
      <c r="K30" s="188" t="str">
        <f t="shared" si="1"/>
        <v/>
      </c>
      <c r="L30" s="188" t="str">
        <f>IF('Implied-Return Calculator'!S31="","",'Implied-Return Calculator'!S31)</f>
        <v/>
      </c>
      <c r="M30" s="188" t="str">
        <f>IF('Implied-Return Calculator'!T31="","",'Implied-Return Calculator'!T31)</f>
        <v/>
      </c>
      <c r="N30" s="188" t="str">
        <f>IF('Implied-Return Calculator'!U31="","",'Implied-Return Calculator'!U31)</f>
        <v/>
      </c>
      <c r="O30" s="188"/>
      <c r="P30" s="188"/>
      <c r="Q30" s="74" t="str">
        <f t="shared" si="2"/>
        <v/>
      </c>
      <c r="R30" s="74" t="str">
        <f t="shared" si="3"/>
        <v/>
      </c>
      <c r="S30" s="74" t="str">
        <f t="shared" si="4"/>
        <v/>
      </c>
    </row>
    <row r="31" spans="1:19" ht="15" customHeight="1" x14ac:dyDescent="0.3">
      <c r="A31" s="74" t="str">
        <f>IF(Scoring!A31="","",Scoring!A31)</f>
        <v>HRL</v>
      </c>
      <c r="B31" s="74" t="str">
        <f>IF(Scoring!B31="","",Scoring!B31)</f>
        <v>Hormel Foods Corp.</v>
      </c>
      <c r="C31" s="188" t="str">
        <f>IF(Scoring!AG31="","",IF(OR(Scoring!AG31="STRONG BUY",Scoring!AG31="BUY"),"PASS","FAIL"))</f>
        <v/>
      </c>
      <c r="D31" s="188" t="str">
        <f>IF(Scoring!AH31="","",IF(Scoring!AH31="OK","PASS","FAIL"))</f>
        <v>FAIL</v>
      </c>
      <c r="E31" s="188" t="str">
        <f>IF(Scoring!AI31="","",IF(Scoring!AI31="OK","PASS","FAIL — mandatory review required"))</f>
        <v>FAIL — mandatory review required</v>
      </c>
      <c r="F31" s="188"/>
      <c r="G31" s="188"/>
      <c r="H31" s="74" t="str">
        <f t="shared" si="0"/>
        <v/>
      </c>
      <c r="I31" s="188"/>
      <c r="J31" s="188"/>
      <c r="K31" s="188" t="str">
        <f t="shared" si="1"/>
        <v/>
      </c>
      <c r="L31" s="188" t="str">
        <f>IF('Implied-Return Calculator'!S32="","",'Implied-Return Calculator'!S32)</f>
        <v/>
      </c>
      <c r="M31" s="188" t="str">
        <f>IF('Implied-Return Calculator'!T32="","",'Implied-Return Calculator'!T32)</f>
        <v/>
      </c>
      <c r="N31" s="188" t="str">
        <f>IF('Implied-Return Calculator'!U32="","",'Implied-Return Calculator'!U32)</f>
        <v/>
      </c>
      <c r="O31" s="188"/>
      <c r="P31" s="188"/>
      <c r="Q31" s="74" t="str">
        <f t="shared" si="2"/>
        <v/>
      </c>
      <c r="R31" s="74" t="str">
        <f t="shared" si="3"/>
        <v/>
      </c>
      <c r="S31" s="74" t="str">
        <f t="shared" si="4"/>
        <v/>
      </c>
    </row>
    <row r="32" spans="1:19" ht="15" customHeight="1" x14ac:dyDescent="0.3">
      <c r="A32" s="74" t="str">
        <f>IF(Scoring!A32="","",Scoring!A32)</f>
        <v>PG</v>
      </c>
      <c r="B32" s="74" t="str">
        <f>IF(Scoring!B32="","",Scoring!B32)</f>
        <v>Procter &amp; Gamble Co.</v>
      </c>
      <c r="C32" s="188" t="str">
        <f>IF(Scoring!AG32="","",IF(OR(Scoring!AG32="STRONG BUY",Scoring!AG32="BUY"),"PASS","FAIL"))</f>
        <v/>
      </c>
      <c r="D32" s="188" t="str">
        <f>IF(Scoring!AH32="","",IF(Scoring!AH32="OK","PASS","FAIL"))</f>
        <v>PASS</v>
      </c>
      <c r="E32" s="188" t="str">
        <f>IF(Scoring!AI32="","",IF(Scoring!AI32="OK","PASS","FAIL — mandatory review required"))</f>
        <v>PASS</v>
      </c>
      <c r="F32" s="188"/>
      <c r="G32" s="188"/>
      <c r="H32" s="74" t="str">
        <f t="shared" si="0"/>
        <v/>
      </c>
      <c r="I32" s="188"/>
      <c r="J32" s="188"/>
      <c r="K32" s="188" t="str">
        <f t="shared" si="1"/>
        <v/>
      </c>
      <c r="L32" s="188" t="str">
        <f>IF('Implied-Return Calculator'!S33="","",'Implied-Return Calculator'!S33)</f>
        <v/>
      </c>
      <c r="M32" s="188" t="str">
        <f>IF('Implied-Return Calculator'!T33="","",'Implied-Return Calculator'!T33)</f>
        <v/>
      </c>
      <c r="N32" s="188" t="str">
        <f>IF('Implied-Return Calculator'!U33="","",'Implied-Return Calculator'!U33)</f>
        <v/>
      </c>
      <c r="O32" s="188"/>
      <c r="P32" s="188"/>
      <c r="Q32" s="74" t="str">
        <f t="shared" si="2"/>
        <v/>
      </c>
      <c r="R32" s="74" t="str">
        <f t="shared" si="3"/>
        <v/>
      </c>
      <c r="S32" s="74" t="str">
        <f t="shared" si="4"/>
        <v/>
      </c>
    </row>
    <row r="33" spans="1:19" ht="15" customHeight="1" x14ac:dyDescent="0.3">
      <c r="A33" s="74" t="str">
        <f>IF(Scoring!A33="","",Scoring!A33)</f>
        <v>CMG</v>
      </c>
      <c r="B33" s="74" t="str">
        <f>IF(Scoring!B33="","",Scoring!B33)</f>
        <v>Chipotle Mexican Grill</v>
      </c>
      <c r="C33" s="188" t="str">
        <f>IF(Scoring!AG33="","",IF(OR(Scoring!AG33="STRONG BUY",Scoring!AG33="BUY"),"PASS","FAIL"))</f>
        <v/>
      </c>
      <c r="D33" s="188" t="str">
        <f>IF(Scoring!AH33="","",IF(Scoring!AH33="OK","PASS","FAIL"))</f>
        <v>PASS</v>
      </c>
      <c r="E33" s="188" t="str">
        <f>IF(Scoring!AI33="","",IF(Scoring!AI33="OK","PASS","FAIL — mandatory review required"))</f>
        <v>PASS</v>
      </c>
      <c r="F33" s="188"/>
      <c r="G33" s="188"/>
      <c r="H33" s="74" t="str">
        <f t="shared" si="0"/>
        <v/>
      </c>
      <c r="I33" s="188"/>
      <c r="J33" s="188"/>
      <c r="K33" s="188" t="str">
        <f t="shared" si="1"/>
        <v/>
      </c>
      <c r="L33" s="188" t="str">
        <f>IF('Implied-Return Calculator'!S34="","",'Implied-Return Calculator'!S34)</f>
        <v/>
      </c>
      <c r="M33" s="188" t="str">
        <f>IF('Implied-Return Calculator'!T34="","",'Implied-Return Calculator'!T34)</f>
        <v/>
      </c>
      <c r="N33" s="188" t="str">
        <f>IF('Implied-Return Calculator'!U34="","",'Implied-Return Calculator'!U34)</f>
        <v/>
      </c>
      <c r="O33" s="188"/>
      <c r="P33" s="188"/>
      <c r="Q33" s="74" t="str">
        <f t="shared" si="2"/>
        <v/>
      </c>
      <c r="R33" s="74" t="str">
        <f t="shared" si="3"/>
        <v/>
      </c>
      <c r="S33" s="74" t="str">
        <f t="shared" si="4"/>
        <v/>
      </c>
    </row>
    <row r="34" spans="1:19" ht="15" customHeight="1" x14ac:dyDescent="0.3">
      <c r="A34" s="74" t="str">
        <f>IF(Scoring!A34="","",Scoring!A34)</f>
        <v>DPZ</v>
      </c>
      <c r="B34" s="74" t="str">
        <f>IF(Scoring!B34="","",Scoring!B34)</f>
        <v>Domino's Pizza Inc.</v>
      </c>
      <c r="C34" s="188" t="str">
        <f>IF(Scoring!AG34="","",IF(OR(Scoring!AG34="STRONG BUY",Scoring!AG34="BUY"),"PASS","FAIL"))</f>
        <v/>
      </c>
      <c r="D34" s="188" t="str">
        <f>IF(Scoring!AH34="","",IF(Scoring!AH34="OK","PASS","FAIL"))</f>
        <v>PASS</v>
      </c>
      <c r="E34" s="188" t="str">
        <f>IF(Scoring!AI34="","",IF(Scoring!AI34="OK","PASS","FAIL — mandatory review required"))</f>
        <v>PASS</v>
      </c>
      <c r="F34" s="188"/>
      <c r="G34" s="188"/>
      <c r="H34" s="74" t="str">
        <f t="shared" si="0"/>
        <v/>
      </c>
      <c r="I34" s="188"/>
      <c r="J34" s="188"/>
      <c r="K34" s="188" t="str">
        <f t="shared" si="1"/>
        <v/>
      </c>
      <c r="L34" s="188" t="str">
        <f>IF('Implied-Return Calculator'!S35="","",'Implied-Return Calculator'!S35)</f>
        <v/>
      </c>
      <c r="M34" s="188" t="str">
        <f>IF('Implied-Return Calculator'!T35="","",'Implied-Return Calculator'!T35)</f>
        <v/>
      </c>
      <c r="N34" s="188" t="str">
        <f>IF('Implied-Return Calculator'!U35="","",'Implied-Return Calculator'!U35)</f>
        <v/>
      </c>
      <c r="O34" s="188"/>
      <c r="P34" s="188"/>
      <c r="Q34" s="74" t="str">
        <f t="shared" si="2"/>
        <v/>
      </c>
      <c r="R34" s="74" t="str">
        <f t="shared" si="3"/>
        <v/>
      </c>
      <c r="S34" s="74" t="str">
        <f t="shared" si="4"/>
        <v/>
      </c>
    </row>
    <row r="35" spans="1:19" ht="15" customHeight="1" x14ac:dyDescent="0.3">
      <c r="A35" s="74" t="str">
        <f>IF(Scoring!A35="","",Scoring!A35)</f>
        <v>PZZA</v>
      </c>
      <c r="B35" s="74" t="str">
        <f>IF(Scoring!B35="","",Scoring!B35)</f>
        <v>Papa John's Intl.</v>
      </c>
      <c r="C35" s="188" t="str">
        <f>IF(Scoring!AG35="","",IF(OR(Scoring!AG35="STRONG BUY",Scoring!AG35="BUY"),"PASS","FAIL"))</f>
        <v/>
      </c>
      <c r="D35" s="188" t="str">
        <f>IF(Scoring!AH35="","",IF(Scoring!AH35="OK","PASS","FAIL"))</f>
        <v>FAIL</v>
      </c>
      <c r="E35" s="188" t="str">
        <f>IF(Scoring!AI35="","",IF(Scoring!AI35="OK","PASS","FAIL — mandatory review required"))</f>
        <v>FAIL — mandatory review required</v>
      </c>
      <c r="F35" s="188"/>
      <c r="G35" s="188"/>
      <c r="H35" s="74" t="str">
        <f t="shared" si="0"/>
        <v/>
      </c>
      <c r="I35" s="188"/>
      <c r="J35" s="188"/>
      <c r="K35" s="188" t="str">
        <f t="shared" si="1"/>
        <v/>
      </c>
      <c r="L35" s="188" t="str">
        <f>IF('Implied-Return Calculator'!S36="","",'Implied-Return Calculator'!S36)</f>
        <v/>
      </c>
      <c r="M35" s="188" t="str">
        <f>IF('Implied-Return Calculator'!T36="","",'Implied-Return Calculator'!T36)</f>
        <v/>
      </c>
      <c r="N35" s="188" t="str">
        <f>IF('Implied-Return Calculator'!U36="","",'Implied-Return Calculator'!U36)</f>
        <v/>
      </c>
      <c r="O35" s="188"/>
      <c r="P35" s="188"/>
      <c r="Q35" s="74" t="str">
        <f t="shared" si="2"/>
        <v/>
      </c>
      <c r="R35" s="74" t="str">
        <f t="shared" si="3"/>
        <v/>
      </c>
      <c r="S35" s="74" t="str">
        <f t="shared" si="4"/>
        <v/>
      </c>
    </row>
    <row r="36" spans="1:19" ht="15" customHeight="1" x14ac:dyDescent="0.3">
      <c r="A36" s="74" t="str">
        <f>IF(Scoring!A36="","",Scoring!A36)</f>
        <v>YUM</v>
      </c>
      <c r="B36" s="74" t="str">
        <f>IF(Scoring!B36="","",Scoring!B36)</f>
        <v>Yum! Brands Inc.</v>
      </c>
      <c r="C36" s="188" t="str">
        <f>IF(Scoring!AG36="","",IF(OR(Scoring!AG36="STRONG BUY",Scoring!AG36="BUY"),"PASS","FAIL"))</f>
        <v/>
      </c>
      <c r="D36" s="188" t="str">
        <f>IF(Scoring!AH36="","",IF(Scoring!AH36="OK","PASS","FAIL"))</f>
        <v>PASS</v>
      </c>
      <c r="E36" s="188" t="str">
        <f>IF(Scoring!AI36="","",IF(Scoring!AI36="OK","PASS","FAIL — mandatory review required"))</f>
        <v>PASS</v>
      </c>
      <c r="F36" s="188"/>
      <c r="G36" s="188"/>
      <c r="H36" s="74" t="str">
        <f t="shared" si="0"/>
        <v/>
      </c>
      <c r="I36" s="188"/>
      <c r="J36" s="188"/>
      <c r="K36" s="188" t="str">
        <f t="shared" si="1"/>
        <v/>
      </c>
      <c r="L36" s="188" t="str">
        <f>IF('Implied-Return Calculator'!S37="","",'Implied-Return Calculator'!S37)</f>
        <v/>
      </c>
      <c r="M36" s="188" t="str">
        <f>IF('Implied-Return Calculator'!T37="","",'Implied-Return Calculator'!T37)</f>
        <v/>
      </c>
      <c r="N36" s="188" t="str">
        <f>IF('Implied-Return Calculator'!U37="","",'Implied-Return Calculator'!U37)</f>
        <v/>
      </c>
      <c r="O36" s="188"/>
      <c r="P36" s="188"/>
      <c r="Q36" s="74" t="str">
        <f t="shared" si="2"/>
        <v/>
      </c>
      <c r="R36" s="74" t="str">
        <f t="shared" si="3"/>
        <v/>
      </c>
      <c r="S36" s="74" t="str">
        <f t="shared" si="4"/>
        <v/>
      </c>
    </row>
    <row r="37" spans="1:19" ht="15" customHeight="1" x14ac:dyDescent="0.3">
      <c r="A37" s="74" t="str">
        <f>IF(Scoring!A37="","",Scoring!A37)</f>
        <v>NKE</v>
      </c>
      <c r="B37" s="74" t="str">
        <f>IF(Scoring!B37="","",Scoring!B37)</f>
        <v>Nike Inc.</v>
      </c>
      <c r="C37" s="188" t="str">
        <f>IF(Scoring!AG37="","",IF(OR(Scoring!AG37="STRONG BUY",Scoring!AG37="BUY"),"PASS","FAIL"))</f>
        <v/>
      </c>
      <c r="D37" s="188" t="str">
        <f>IF(Scoring!AH37="","",IF(Scoring!AH37="OK","PASS","FAIL"))</f>
        <v>FAIL</v>
      </c>
      <c r="E37" s="188" t="str">
        <f>IF(Scoring!AI37="","",IF(Scoring!AI37="OK","PASS","FAIL — mandatory review required"))</f>
        <v>FAIL — mandatory review required</v>
      </c>
      <c r="F37" s="188"/>
      <c r="G37" s="188"/>
      <c r="H37" s="74" t="str">
        <f t="shared" si="0"/>
        <v/>
      </c>
      <c r="I37" s="188"/>
      <c r="J37" s="188"/>
      <c r="K37" s="188" t="str">
        <f t="shared" si="1"/>
        <v/>
      </c>
      <c r="L37" s="188" t="str">
        <f>IF('Implied-Return Calculator'!S38="","",'Implied-Return Calculator'!S38)</f>
        <v/>
      </c>
      <c r="M37" s="188" t="str">
        <f>IF('Implied-Return Calculator'!T38="","",'Implied-Return Calculator'!T38)</f>
        <v/>
      </c>
      <c r="N37" s="188" t="str">
        <f>IF('Implied-Return Calculator'!U38="","",'Implied-Return Calculator'!U38)</f>
        <v/>
      </c>
      <c r="O37" s="188"/>
      <c r="P37" s="188"/>
      <c r="Q37" s="74" t="str">
        <f t="shared" si="2"/>
        <v/>
      </c>
      <c r="R37" s="74" t="str">
        <f t="shared" si="3"/>
        <v/>
      </c>
      <c r="S37" s="74" t="str">
        <f t="shared" si="4"/>
        <v/>
      </c>
    </row>
    <row r="38" spans="1:19" ht="15" customHeight="1" x14ac:dyDescent="0.3">
      <c r="A38" s="74" t="str">
        <f>IF(Scoring!A38="","",Scoring!A38)</f>
        <v>VFC</v>
      </c>
      <c r="B38" s="74" t="str">
        <f>IF(Scoring!B38="","",Scoring!B38)</f>
        <v>V.F. Corporation</v>
      </c>
      <c r="C38" s="188" t="str">
        <f>IF(Scoring!AG38="","",IF(OR(Scoring!AG38="STRONG BUY",Scoring!AG38="BUY"),"PASS","FAIL"))</f>
        <v/>
      </c>
      <c r="D38" s="188" t="str">
        <f>IF(Scoring!AH38="","",IF(Scoring!AH38="OK","PASS","FAIL"))</f>
        <v>FAIL</v>
      </c>
      <c r="E38" s="188" t="str">
        <f>IF(Scoring!AI38="","",IF(Scoring!AI38="OK","PASS","FAIL — mandatory review required"))</f>
        <v>PASS</v>
      </c>
      <c r="F38" s="188"/>
      <c r="G38" s="188"/>
      <c r="H38" s="74" t="str">
        <f t="shared" si="0"/>
        <v/>
      </c>
      <c r="I38" s="188"/>
      <c r="J38" s="188"/>
      <c r="K38" s="188" t="str">
        <f t="shared" si="1"/>
        <v/>
      </c>
      <c r="L38" s="188" t="str">
        <f>IF('Implied-Return Calculator'!S39="","",'Implied-Return Calculator'!S39)</f>
        <v/>
      </c>
      <c r="M38" s="188" t="str">
        <f>IF('Implied-Return Calculator'!T39="","",'Implied-Return Calculator'!T39)</f>
        <v/>
      </c>
      <c r="N38" s="188" t="str">
        <f>IF('Implied-Return Calculator'!U39="","",'Implied-Return Calculator'!U39)</f>
        <v/>
      </c>
      <c r="O38" s="188"/>
      <c r="P38" s="188"/>
      <c r="Q38" s="74" t="str">
        <f t="shared" si="2"/>
        <v/>
      </c>
      <c r="R38" s="74" t="str">
        <f t="shared" si="3"/>
        <v/>
      </c>
      <c r="S38" s="74" t="str">
        <f t="shared" si="4"/>
        <v/>
      </c>
    </row>
    <row r="39" spans="1:19" ht="15" customHeight="1" x14ac:dyDescent="0.3">
      <c r="A39" s="74" t="str">
        <f>IF(Scoring!A39="","",Scoring!A39)</f>
        <v>GOOS</v>
      </c>
      <c r="B39" s="74" t="str">
        <f>IF(Scoring!B39="","",Scoring!B39)</f>
        <v>Canada Goose Holdings</v>
      </c>
      <c r="C39" s="188" t="str">
        <f>IF(Scoring!AG39="","",IF(OR(Scoring!AG39="STRONG BUY",Scoring!AG39="BUY"),"PASS","FAIL"))</f>
        <v/>
      </c>
      <c r="D39" s="188" t="str">
        <f>IF(Scoring!AH39="","",IF(Scoring!AH39="OK","PASS","FAIL"))</f>
        <v>FAIL</v>
      </c>
      <c r="E39" s="188" t="str">
        <f>IF(Scoring!AI39="","",IF(Scoring!AI39="OK","PASS","FAIL — mandatory review required"))</f>
        <v>FAIL — mandatory review required</v>
      </c>
      <c r="F39" s="188"/>
      <c r="G39" s="188"/>
      <c r="H39" s="74" t="str">
        <f t="shared" si="0"/>
        <v/>
      </c>
      <c r="I39" s="188"/>
      <c r="J39" s="188"/>
      <c r="K39" s="188" t="str">
        <f t="shared" si="1"/>
        <v/>
      </c>
      <c r="L39" s="188" t="str">
        <f>IF('Implied-Return Calculator'!S40="","",'Implied-Return Calculator'!S40)</f>
        <v/>
      </c>
      <c r="M39" s="188" t="str">
        <f>IF('Implied-Return Calculator'!T40="","",'Implied-Return Calculator'!T40)</f>
        <v/>
      </c>
      <c r="N39" s="188" t="str">
        <f>IF('Implied-Return Calculator'!U40="","",'Implied-Return Calculator'!U40)</f>
        <v/>
      </c>
      <c r="O39" s="188"/>
      <c r="P39" s="188"/>
      <c r="Q39" s="74" t="str">
        <f t="shared" si="2"/>
        <v/>
      </c>
      <c r="R39" s="74" t="str">
        <f t="shared" si="3"/>
        <v/>
      </c>
      <c r="S39" s="74" t="str">
        <f t="shared" si="4"/>
        <v/>
      </c>
    </row>
    <row r="40" spans="1:19" ht="15" customHeight="1" x14ac:dyDescent="0.3">
      <c r="A40" s="74" t="str">
        <f>IF(Scoring!A40="","",Scoring!A40)</f>
        <v>AAP</v>
      </c>
      <c r="B40" s="74" t="str">
        <f>IF(Scoring!B40="","",Scoring!B40)</f>
        <v>Advance Auto Parts Inc.</v>
      </c>
      <c r="C40" s="188" t="str">
        <f>IF(Scoring!AG40="","",IF(OR(Scoring!AG40="STRONG BUY",Scoring!AG40="BUY"),"PASS","FAIL"))</f>
        <v/>
      </c>
      <c r="D40" s="188" t="str">
        <f>IF(Scoring!AH40="","",IF(Scoring!AH40="OK","PASS","FAIL"))</f>
        <v>FAIL</v>
      </c>
      <c r="E40" s="188" t="str">
        <f>IF(Scoring!AI40="","",IF(Scoring!AI40="OK","PASS","FAIL — mandatory review required"))</f>
        <v>FAIL — mandatory review required</v>
      </c>
      <c r="F40" s="188"/>
      <c r="G40" s="188"/>
      <c r="H40" s="74" t="str">
        <f t="shared" si="0"/>
        <v/>
      </c>
      <c r="I40" s="188"/>
      <c r="J40" s="188"/>
      <c r="K40" s="188" t="str">
        <f t="shared" si="1"/>
        <v/>
      </c>
      <c r="L40" s="188" t="str">
        <f>IF('Implied-Return Calculator'!S41="","",'Implied-Return Calculator'!S41)</f>
        <v/>
      </c>
      <c r="M40" s="188" t="str">
        <f>IF('Implied-Return Calculator'!T41="","",'Implied-Return Calculator'!T41)</f>
        <v/>
      </c>
      <c r="N40" s="188" t="str">
        <f>IF('Implied-Return Calculator'!U41="","",'Implied-Return Calculator'!U41)</f>
        <v/>
      </c>
      <c r="O40" s="188"/>
      <c r="P40" s="188"/>
      <c r="Q40" s="74" t="str">
        <f t="shared" si="2"/>
        <v/>
      </c>
      <c r="R40" s="74" t="str">
        <f t="shared" si="3"/>
        <v/>
      </c>
      <c r="S40" s="74" t="str">
        <f t="shared" si="4"/>
        <v/>
      </c>
    </row>
    <row r="41" spans="1:19" ht="15" customHeight="1" x14ac:dyDescent="0.3">
      <c r="A41" s="74" t="str">
        <f>IF(Scoring!A41="","",Scoring!A41)</f>
        <v>BABA</v>
      </c>
      <c r="B41" s="74" t="str">
        <f>IF(Scoring!B41="","",Scoring!B41)</f>
        <v>Alibaba Group Holding Ltd.</v>
      </c>
      <c r="C41" s="188" t="str">
        <f>IF(Scoring!AG41="","",IF(OR(Scoring!AG41="STRONG BUY",Scoring!AG41="BUY"),"PASS","FAIL"))</f>
        <v/>
      </c>
      <c r="D41" s="188" t="str">
        <f>IF(Scoring!AH41="","",IF(Scoring!AH41="OK","PASS","FAIL"))</f>
        <v>FAIL</v>
      </c>
      <c r="E41" s="188" t="str">
        <f>IF(Scoring!AI41="","",IF(Scoring!AI41="OK","PASS","FAIL — mandatory review required"))</f>
        <v>PASS</v>
      </c>
      <c r="F41" s="188"/>
      <c r="G41" s="188"/>
      <c r="H41" s="74" t="str">
        <f t="shared" si="0"/>
        <v/>
      </c>
      <c r="I41" s="188"/>
      <c r="J41" s="188"/>
      <c r="K41" s="188" t="str">
        <f t="shared" si="1"/>
        <v/>
      </c>
      <c r="L41" s="188" t="str">
        <f>IF('Implied-Return Calculator'!S42="","",'Implied-Return Calculator'!S42)</f>
        <v/>
      </c>
      <c r="M41" s="188" t="str">
        <f>IF('Implied-Return Calculator'!T42="","",'Implied-Return Calculator'!T42)</f>
        <v/>
      </c>
      <c r="N41" s="188" t="str">
        <f>IF('Implied-Return Calculator'!U42="","",'Implied-Return Calculator'!U42)</f>
        <v/>
      </c>
      <c r="O41" s="188"/>
      <c r="P41" s="188"/>
      <c r="Q41" s="74" t="str">
        <f t="shared" si="2"/>
        <v/>
      </c>
      <c r="R41" s="74" t="str">
        <f t="shared" si="3"/>
        <v/>
      </c>
      <c r="S41" s="74" t="str">
        <f t="shared" si="4"/>
        <v/>
      </c>
    </row>
    <row r="42" spans="1:19" ht="15" customHeight="1" x14ac:dyDescent="0.3">
      <c r="A42" s="74" t="str">
        <f>IF(Scoring!A42="","",Scoring!A42)</f>
        <v>ETSY</v>
      </c>
      <c r="B42" s="74" t="str">
        <f>IF(Scoring!B42="","",Scoring!B42)</f>
        <v>Etsy Inc.</v>
      </c>
      <c r="C42" s="188" t="str">
        <f>IF(Scoring!AG42="","",IF(OR(Scoring!AG42="STRONG BUY",Scoring!AG42="BUY"),"PASS","FAIL"))</f>
        <v/>
      </c>
      <c r="D42" s="188" t="str">
        <f>IF(Scoring!AH42="","",IF(Scoring!AH42="OK","PASS","FAIL"))</f>
        <v>PASS</v>
      </c>
      <c r="E42" s="188" t="str">
        <f>IF(Scoring!AI42="","",IF(Scoring!AI42="OK","PASS","FAIL — mandatory review required"))</f>
        <v>PASS</v>
      </c>
      <c r="F42" s="188"/>
      <c r="G42" s="188"/>
      <c r="H42" s="74" t="str">
        <f t="shared" si="0"/>
        <v/>
      </c>
      <c r="I42" s="188"/>
      <c r="J42" s="188"/>
      <c r="K42" s="188" t="str">
        <f t="shared" si="1"/>
        <v/>
      </c>
      <c r="L42" s="188" t="str">
        <f>IF('Implied-Return Calculator'!S43="","",'Implied-Return Calculator'!S43)</f>
        <v/>
      </c>
      <c r="M42" s="188" t="str">
        <f>IF('Implied-Return Calculator'!T43="","",'Implied-Return Calculator'!T43)</f>
        <v/>
      </c>
      <c r="N42" s="188" t="str">
        <f>IF('Implied-Return Calculator'!U43="","",'Implied-Return Calculator'!U43)</f>
        <v/>
      </c>
      <c r="O42" s="188"/>
      <c r="P42" s="188"/>
      <c r="Q42" s="74" t="str">
        <f t="shared" si="2"/>
        <v/>
      </c>
      <c r="R42" s="74" t="str">
        <f t="shared" si="3"/>
        <v/>
      </c>
      <c r="S42" s="74" t="str">
        <f t="shared" si="4"/>
        <v/>
      </c>
    </row>
    <row r="43" spans="1:19" ht="15" customHeight="1" x14ac:dyDescent="0.3">
      <c r="A43" s="74" t="str">
        <f>IF(Scoring!A43="","",Scoring!A43)</f>
        <v>GE</v>
      </c>
      <c r="B43" s="74" t="str">
        <f>IF(Scoring!B43="","",Scoring!B43)</f>
        <v>GE Aerospace</v>
      </c>
      <c r="C43" s="188" t="str">
        <f>IF(Scoring!AG43="","",IF(OR(Scoring!AG43="STRONG BUY",Scoring!AG43="BUY"),"PASS","FAIL"))</f>
        <v/>
      </c>
      <c r="D43" s="188" t="str">
        <f>IF(Scoring!AH43="","",IF(Scoring!AH43="OK","PASS","FAIL"))</f>
        <v>PASS</v>
      </c>
      <c r="E43" s="188" t="str">
        <f>IF(Scoring!AI43="","",IF(Scoring!AI43="OK","PASS","FAIL — mandatory review required"))</f>
        <v>PASS</v>
      </c>
      <c r="F43" s="188"/>
      <c r="G43" s="188"/>
      <c r="H43" s="74" t="str">
        <f t="shared" si="0"/>
        <v/>
      </c>
      <c r="I43" s="188"/>
      <c r="J43" s="188"/>
      <c r="K43" s="188" t="str">
        <f t="shared" si="1"/>
        <v/>
      </c>
      <c r="L43" s="188" t="str">
        <f>IF('Implied-Return Calculator'!S44="","",'Implied-Return Calculator'!S44)</f>
        <v/>
      </c>
      <c r="M43" s="188" t="str">
        <f>IF('Implied-Return Calculator'!T44="","",'Implied-Return Calculator'!T44)</f>
        <v/>
      </c>
      <c r="N43" s="188" t="str">
        <f>IF('Implied-Return Calculator'!U44="","",'Implied-Return Calculator'!U44)</f>
        <v/>
      </c>
      <c r="O43" s="188"/>
      <c r="P43" s="188"/>
      <c r="Q43" s="74" t="str">
        <f t="shared" si="2"/>
        <v/>
      </c>
      <c r="R43" s="74" t="str">
        <f t="shared" si="3"/>
        <v/>
      </c>
      <c r="S43" s="74" t="str">
        <f t="shared" si="4"/>
        <v/>
      </c>
    </row>
    <row r="44" spans="1:19" ht="15" customHeight="1" x14ac:dyDescent="0.3">
      <c r="A44" s="74" t="str">
        <f>IF(Scoring!A44="","",Scoring!A44)</f>
        <v>PH</v>
      </c>
      <c r="B44" s="74" t="str">
        <f>IF(Scoring!B44="","",Scoring!B44)</f>
        <v>Parker-Hannifin Corporation</v>
      </c>
      <c r="C44" s="188" t="str">
        <f>IF(Scoring!AG44="","",IF(OR(Scoring!AG44="STRONG BUY",Scoring!AG44="BUY"),"PASS","FAIL"))</f>
        <v/>
      </c>
      <c r="D44" s="188" t="str">
        <f>IF(Scoring!AH44="","",IF(Scoring!AH44="OK","PASS","FAIL"))</f>
        <v>PASS</v>
      </c>
      <c r="E44" s="188" t="str">
        <f>IF(Scoring!AI44="","",IF(Scoring!AI44="OK","PASS","FAIL — mandatory review required"))</f>
        <v>PASS</v>
      </c>
      <c r="F44" s="188"/>
      <c r="G44" s="188"/>
      <c r="H44" s="74" t="str">
        <f t="shared" si="0"/>
        <v/>
      </c>
      <c r="I44" s="188"/>
      <c r="J44" s="188"/>
      <c r="K44" s="188" t="str">
        <f t="shared" si="1"/>
        <v/>
      </c>
      <c r="L44" s="188" t="str">
        <f>IF('Implied-Return Calculator'!S45="","",'Implied-Return Calculator'!S45)</f>
        <v/>
      </c>
      <c r="M44" s="188" t="str">
        <f>IF('Implied-Return Calculator'!T45="","",'Implied-Return Calculator'!T45)</f>
        <v/>
      </c>
      <c r="N44" s="188" t="str">
        <f>IF('Implied-Return Calculator'!U45="","",'Implied-Return Calculator'!U45)</f>
        <v/>
      </c>
      <c r="O44" s="188"/>
      <c r="P44" s="188"/>
      <c r="Q44" s="74" t="str">
        <f t="shared" si="2"/>
        <v/>
      </c>
      <c r="R44" s="74" t="str">
        <f t="shared" si="3"/>
        <v/>
      </c>
      <c r="S44" s="74" t="str">
        <f t="shared" si="4"/>
        <v/>
      </c>
    </row>
    <row r="45" spans="1:19" ht="15" customHeight="1" x14ac:dyDescent="0.3">
      <c r="A45" s="74" t="str">
        <f>IF(Scoring!A45="","",Scoring!A45)</f>
        <v>ETN</v>
      </c>
      <c r="B45" s="74" t="str">
        <f>IF(Scoring!B45="","",Scoring!B45)</f>
        <v>Eaton Corporation plc</v>
      </c>
      <c r="C45" s="188" t="str">
        <f>IF(Scoring!AG45="","",IF(OR(Scoring!AG45="STRONG BUY",Scoring!AG45="BUY"),"PASS","FAIL"))</f>
        <v/>
      </c>
      <c r="D45" s="188" t="str">
        <f>IF(Scoring!AH45="","",IF(Scoring!AH45="OK","PASS","FAIL"))</f>
        <v>PASS</v>
      </c>
      <c r="E45" s="188" t="str">
        <f>IF(Scoring!AI45="","",IF(Scoring!AI45="OK","PASS","FAIL — mandatory review required"))</f>
        <v>PASS</v>
      </c>
      <c r="F45" s="188"/>
      <c r="G45" s="188"/>
      <c r="H45" s="74" t="str">
        <f t="shared" si="0"/>
        <v/>
      </c>
      <c r="I45" s="188"/>
      <c r="J45" s="188"/>
      <c r="K45" s="188" t="str">
        <f t="shared" si="1"/>
        <v/>
      </c>
      <c r="L45" s="188" t="str">
        <f>IF('Implied-Return Calculator'!S46="","",'Implied-Return Calculator'!S46)</f>
        <v/>
      </c>
      <c r="M45" s="188" t="str">
        <f>IF('Implied-Return Calculator'!T46="","",'Implied-Return Calculator'!T46)</f>
        <v/>
      </c>
      <c r="N45" s="188" t="str">
        <f>IF('Implied-Return Calculator'!U46="","",'Implied-Return Calculator'!U46)</f>
        <v/>
      </c>
      <c r="O45" s="188"/>
      <c r="P45" s="188"/>
      <c r="Q45" s="74" t="str">
        <f t="shared" si="2"/>
        <v/>
      </c>
      <c r="R45" s="74" t="str">
        <f t="shared" si="3"/>
        <v/>
      </c>
      <c r="S45" s="74" t="str">
        <f t="shared" si="4"/>
        <v/>
      </c>
    </row>
    <row r="46" spans="1:19" ht="15" customHeight="1" x14ac:dyDescent="0.3">
      <c r="A46" s="74" t="str">
        <f>IF(Scoring!A46="","",Scoring!A46)</f>
        <v>DIS</v>
      </c>
      <c r="B46" s="74" t="str">
        <f>IF(Scoring!B46="","",Scoring!B46)</f>
        <v>The Walt Disney Company</v>
      </c>
      <c r="C46" s="188" t="str">
        <f>IF(Scoring!AG46="","",IF(OR(Scoring!AG46="STRONG BUY",Scoring!AG46="BUY"),"PASS","FAIL"))</f>
        <v/>
      </c>
      <c r="D46" s="188" t="str">
        <f>IF(Scoring!AH46="","",IF(Scoring!AH46="OK","PASS","FAIL"))</f>
        <v>FAIL</v>
      </c>
      <c r="E46" s="188" t="str">
        <f>IF(Scoring!AI46="","",IF(Scoring!AI46="OK","PASS","FAIL — mandatory review required"))</f>
        <v>PASS</v>
      </c>
      <c r="F46" s="188"/>
      <c r="G46" s="188"/>
      <c r="H46" s="74" t="str">
        <f t="shared" si="0"/>
        <v/>
      </c>
      <c r="I46" s="188"/>
      <c r="J46" s="188"/>
      <c r="K46" s="188" t="str">
        <f t="shared" si="1"/>
        <v/>
      </c>
      <c r="L46" s="188" t="str">
        <f>IF('Implied-Return Calculator'!S47="","",'Implied-Return Calculator'!S47)</f>
        <v/>
      </c>
      <c r="M46" s="188" t="str">
        <f>IF('Implied-Return Calculator'!T47="","",'Implied-Return Calculator'!T47)</f>
        <v/>
      </c>
      <c r="N46" s="188" t="str">
        <f>IF('Implied-Return Calculator'!U47="","",'Implied-Return Calculator'!U47)</f>
        <v/>
      </c>
      <c r="O46" s="188"/>
      <c r="P46" s="188"/>
      <c r="Q46" s="74" t="str">
        <f t="shared" si="2"/>
        <v/>
      </c>
      <c r="R46" s="74" t="str">
        <f t="shared" si="3"/>
        <v/>
      </c>
      <c r="S46" s="74" t="str">
        <f t="shared" si="4"/>
        <v/>
      </c>
    </row>
    <row r="47" spans="1:19" ht="15" customHeight="1" x14ac:dyDescent="0.3">
      <c r="A47" s="74" t="str">
        <f>IF(Scoring!A47="","",Scoring!A47)</f>
        <v>NFLX</v>
      </c>
      <c r="B47" s="74" t="str">
        <f>IF(Scoring!B47="","",Scoring!B47)</f>
        <v>Netflix, Inc.</v>
      </c>
      <c r="C47" s="188" t="str">
        <f>IF(Scoring!AG47="","",IF(OR(Scoring!AG47="STRONG BUY",Scoring!AG47="BUY"),"PASS","FAIL"))</f>
        <v/>
      </c>
      <c r="D47" s="188" t="str">
        <f>IF(Scoring!AH47="","",IF(Scoring!AH47="OK","PASS","FAIL"))</f>
        <v>PASS</v>
      </c>
      <c r="E47" s="188" t="str">
        <f>IF(Scoring!AI47="","",IF(Scoring!AI47="OK","PASS","FAIL — mandatory review required"))</f>
        <v>PASS</v>
      </c>
      <c r="F47" s="188"/>
      <c r="G47" s="188"/>
      <c r="H47" s="74" t="str">
        <f t="shared" si="0"/>
        <v/>
      </c>
      <c r="I47" s="188"/>
      <c r="J47" s="188"/>
      <c r="K47" s="188" t="str">
        <f t="shared" si="1"/>
        <v/>
      </c>
      <c r="L47" s="188" t="str">
        <f>IF('Implied-Return Calculator'!S48="","",'Implied-Return Calculator'!S48)</f>
        <v/>
      </c>
      <c r="M47" s="188" t="str">
        <f>IF('Implied-Return Calculator'!T48="","",'Implied-Return Calculator'!T48)</f>
        <v/>
      </c>
      <c r="N47" s="188" t="str">
        <f>IF('Implied-Return Calculator'!U48="","",'Implied-Return Calculator'!U48)</f>
        <v/>
      </c>
      <c r="O47" s="188"/>
      <c r="P47" s="188"/>
      <c r="Q47" s="74" t="str">
        <f t="shared" si="2"/>
        <v/>
      </c>
      <c r="R47" s="74" t="str">
        <f t="shared" si="3"/>
        <v/>
      </c>
      <c r="S47" s="74" t="str">
        <f t="shared" si="4"/>
        <v/>
      </c>
    </row>
  </sheetData>
  <pageMargins left="0.75" right="0.75" top="1" bottom="1" header="0.511811023622047" footer="0.51180555555555596"/>
  <pageSetup paperSize="9" orientation="portrait" horizontalDpi="300" verticalDpi="300"/>
  <headerFooter>
    <oddFooter>&amp;L&amp;"Arial Narrow,Regular"&amp;8 &amp;F&amp;C&amp;"Arial Narrow,Regular"&amp;8 &amp;A - &amp;D &amp;T&amp;R&amp;"Arial,Regular" &amp;P / &amp;N</oddFooter>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38"/>
  <sheetViews>
    <sheetView showGridLines="0" zoomScaleNormal="100" workbookViewId="0">
      <pane ySplit="2" topLeftCell="A20" activePane="bottomLeft" state="frozen"/>
      <selection pane="bottomLeft" activeCell="L31" sqref="L31"/>
    </sheetView>
  </sheetViews>
  <sheetFormatPr defaultColWidth="8.6640625" defaultRowHeight="14.4" x14ac:dyDescent="0.3"/>
  <cols>
    <col min="1" max="1" width="10" customWidth="1"/>
    <col min="2" max="2" width="20" style="189" customWidth="1"/>
    <col min="3" max="3" width="9.33203125" customWidth="1"/>
    <col min="4" max="4" width="13" customWidth="1"/>
    <col min="5" max="5" width="15" customWidth="1"/>
    <col min="6" max="6" width="6.33203125" customWidth="1"/>
    <col min="7" max="8" width="11" customWidth="1"/>
    <col min="9" max="9" width="12" customWidth="1"/>
  </cols>
  <sheetData>
    <row r="1" spans="1:9" ht="15" customHeight="1" x14ac:dyDescent="0.3">
      <c r="A1" s="114" t="s">
        <v>408</v>
      </c>
      <c r="B1" s="114"/>
      <c r="C1" s="114"/>
      <c r="D1" s="114"/>
      <c r="E1" s="114"/>
      <c r="F1" s="114"/>
      <c r="G1" s="114"/>
      <c r="H1" s="114"/>
      <c r="I1" s="114"/>
    </row>
    <row r="2" spans="1:9" ht="25.5" customHeight="1" x14ac:dyDescent="0.3">
      <c r="A2" s="59" t="s">
        <v>76</v>
      </c>
      <c r="B2" s="59" t="s">
        <v>270</v>
      </c>
      <c r="C2" s="59" t="s">
        <v>409</v>
      </c>
      <c r="D2" s="59" t="s">
        <v>410</v>
      </c>
      <c r="E2" s="59" t="s">
        <v>411</v>
      </c>
      <c r="F2" s="59" t="s">
        <v>412</v>
      </c>
      <c r="G2" s="59" t="s">
        <v>413</v>
      </c>
      <c r="H2" s="59" t="s">
        <v>414</v>
      </c>
      <c r="I2" s="59" t="s">
        <v>415</v>
      </c>
    </row>
    <row r="3" spans="1:9" ht="15" customHeight="1" x14ac:dyDescent="0.3">
      <c r="A3" s="60" t="s">
        <v>90</v>
      </c>
      <c r="B3" s="182" t="s">
        <v>91</v>
      </c>
      <c r="C3" s="75">
        <v>257.26</v>
      </c>
      <c r="D3" s="65">
        <v>5338194</v>
      </c>
      <c r="E3" s="76">
        <v>102260.9</v>
      </c>
      <c r="F3" s="77">
        <v>14.717392</v>
      </c>
      <c r="G3" s="75">
        <v>190.12</v>
      </c>
      <c r="H3" s="75">
        <v>370.86</v>
      </c>
      <c r="I3" s="67"/>
    </row>
    <row r="4" spans="1:9" ht="15" customHeight="1" x14ac:dyDescent="0.3">
      <c r="A4" s="60" t="s">
        <v>95</v>
      </c>
      <c r="B4" s="182" t="s">
        <v>96</v>
      </c>
      <c r="C4" s="75">
        <v>194.96</v>
      </c>
      <c r="D4" s="65">
        <v>4693298</v>
      </c>
      <c r="E4" s="76">
        <v>245888.4</v>
      </c>
      <c r="F4" s="77">
        <v>61.696199999999997</v>
      </c>
      <c r="G4" s="75">
        <v>114.52</v>
      </c>
      <c r="H4" s="75">
        <v>214.89</v>
      </c>
      <c r="I4" s="67"/>
    </row>
    <row r="5" spans="1:9" ht="15" customHeight="1" x14ac:dyDescent="0.3">
      <c r="A5" s="60" t="s">
        <v>97</v>
      </c>
      <c r="B5" s="182" t="s">
        <v>98</v>
      </c>
      <c r="C5" s="75">
        <v>1764.85</v>
      </c>
      <c r="D5" s="65">
        <v>1345523</v>
      </c>
      <c r="E5" s="76">
        <v>677878.9</v>
      </c>
      <c r="F5" s="77">
        <v>59.825423999999998</v>
      </c>
      <c r="G5" s="75">
        <v>791.02</v>
      </c>
      <c r="H5" s="75">
        <v>1999.96</v>
      </c>
      <c r="I5" s="67">
        <v>0.53</v>
      </c>
    </row>
    <row r="6" spans="1:9" ht="15" customHeight="1" x14ac:dyDescent="0.3">
      <c r="A6" s="60" t="s">
        <v>154</v>
      </c>
      <c r="B6" s="182" t="s">
        <v>155</v>
      </c>
      <c r="C6" s="75">
        <v>368.56</v>
      </c>
      <c r="D6" s="65">
        <v>29838709</v>
      </c>
      <c r="E6" s="76">
        <v>1753453.8</v>
      </c>
      <c r="F6" s="77">
        <v>47.010204000000002</v>
      </c>
      <c r="G6" s="75">
        <v>289.95999999999998</v>
      </c>
      <c r="H6" s="75">
        <v>495</v>
      </c>
      <c r="I6" s="67">
        <v>0.73</v>
      </c>
    </row>
    <row r="7" spans="1:9" ht="15" customHeight="1" x14ac:dyDescent="0.3">
      <c r="A7" s="60" t="s">
        <v>145</v>
      </c>
      <c r="B7" s="182" t="s">
        <v>146</v>
      </c>
      <c r="C7" s="75">
        <v>125.32</v>
      </c>
      <c r="D7" s="65">
        <v>1210096</v>
      </c>
      <c r="E7" s="76"/>
      <c r="F7" s="77">
        <v>12.445399999999999</v>
      </c>
      <c r="G7" s="75">
        <v>93.87</v>
      </c>
      <c r="H7" s="75">
        <v>129.05000000000001</v>
      </c>
      <c r="I7" s="67">
        <v>1.25</v>
      </c>
    </row>
    <row r="8" spans="1:9" ht="15" customHeight="1" x14ac:dyDescent="0.3">
      <c r="A8" s="60" t="s">
        <v>220</v>
      </c>
      <c r="B8" s="182" t="s">
        <v>368</v>
      </c>
      <c r="C8" s="75">
        <v>36.96</v>
      </c>
      <c r="D8" s="65">
        <v>9787856</v>
      </c>
      <c r="E8" s="76">
        <v>46769.8</v>
      </c>
      <c r="F8" s="77">
        <v>34.22222</v>
      </c>
      <c r="G8" s="75">
        <v>28.04</v>
      </c>
      <c r="H8" s="75">
        <v>42.82</v>
      </c>
      <c r="I8" s="67"/>
    </row>
    <row r="9" spans="1:9" ht="15" customHeight="1" x14ac:dyDescent="0.3">
      <c r="A9" s="60" t="s">
        <v>222</v>
      </c>
      <c r="B9" s="182" t="s">
        <v>339</v>
      </c>
      <c r="C9" s="75">
        <v>910.18</v>
      </c>
      <c r="D9" s="65">
        <v>2225742</v>
      </c>
      <c r="E9" s="76">
        <v>403645.5</v>
      </c>
      <c r="F9" s="77">
        <v>45.806739999999998</v>
      </c>
      <c r="G9" s="75">
        <v>844.06</v>
      </c>
      <c r="H9" s="75">
        <v>1096.5</v>
      </c>
      <c r="I9" s="67">
        <v>0.64</v>
      </c>
    </row>
    <row r="10" spans="1:9" ht="15" customHeight="1" x14ac:dyDescent="0.3">
      <c r="A10" s="60" t="s">
        <v>99</v>
      </c>
      <c r="B10" s="182" t="s">
        <v>100</v>
      </c>
      <c r="C10" s="75">
        <v>210.02</v>
      </c>
      <c r="D10" s="65">
        <v>7862445</v>
      </c>
      <c r="E10" s="76">
        <v>215046.8</v>
      </c>
      <c r="F10" s="77">
        <v>5250.5</v>
      </c>
      <c r="G10" s="75">
        <v>85.68</v>
      </c>
      <c r="H10" s="75">
        <v>233.88</v>
      </c>
      <c r="I10" s="67"/>
    </row>
    <row r="11" spans="1:9" ht="15" customHeight="1" x14ac:dyDescent="0.3">
      <c r="A11" s="60" t="s">
        <v>227</v>
      </c>
      <c r="B11" s="182" t="s">
        <v>370</v>
      </c>
      <c r="C11" s="75">
        <v>335.41</v>
      </c>
      <c r="D11" s="65">
        <v>556220</v>
      </c>
      <c r="E11" s="76">
        <v>11095.9</v>
      </c>
      <c r="F11" s="77">
        <v>19.024958000000002</v>
      </c>
      <c r="G11" s="75">
        <v>282</v>
      </c>
      <c r="H11" s="75">
        <v>464.23</v>
      </c>
      <c r="I11" s="67">
        <v>2.33</v>
      </c>
    </row>
    <row r="12" spans="1:9" ht="15" customHeight="1" x14ac:dyDescent="0.3">
      <c r="A12" s="60" t="s">
        <v>121</v>
      </c>
      <c r="B12" s="182" t="s">
        <v>122</v>
      </c>
      <c r="C12" s="75">
        <v>163.31</v>
      </c>
      <c r="D12" s="65">
        <v>283983</v>
      </c>
      <c r="E12" s="76"/>
      <c r="F12" s="77">
        <v>15.530593</v>
      </c>
      <c r="G12" s="75">
        <v>137.16</v>
      </c>
      <c r="H12" s="75">
        <v>167.06</v>
      </c>
      <c r="I12" s="67">
        <v>3.24</v>
      </c>
    </row>
    <row r="13" spans="1:9" ht="15" customHeight="1" x14ac:dyDescent="0.3">
      <c r="A13" s="60" t="s">
        <v>230</v>
      </c>
      <c r="B13" s="182" t="s">
        <v>349</v>
      </c>
      <c r="C13" s="75">
        <v>21.51</v>
      </c>
      <c r="D13" s="65">
        <v>6978880</v>
      </c>
      <c r="E13" s="76">
        <v>74065.399999999994</v>
      </c>
      <c r="F13" s="77">
        <v>14.732877</v>
      </c>
      <c r="G13" s="75">
        <v>16.18</v>
      </c>
      <c r="H13" s="75">
        <v>21.77</v>
      </c>
      <c r="I13" s="67">
        <v>6.33</v>
      </c>
    </row>
    <row r="14" spans="1:9" ht="15" customHeight="1" x14ac:dyDescent="0.3">
      <c r="A14" s="60" t="s">
        <v>232</v>
      </c>
      <c r="B14" s="182" t="s">
        <v>386</v>
      </c>
      <c r="C14" s="75">
        <v>422.13</v>
      </c>
      <c r="D14" s="65">
        <v>2032961</v>
      </c>
      <c r="E14" s="76">
        <v>163955.29999999999</v>
      </c>
      <c r="F14" s="77">
        <v>42.986763000000003</v>
      </c>
      <c r="G14" s="75">
        <v>311.92</v>
      </c>
      <c r="H14" s="75">
        <v>478</v>
      </c>
      <c r="I14" s="67">
        <v>1.07</v>
      </c>
    </row>
    <row r="15" spans="1:9" ht="15" customHeight="1" x14ac:dyDescent="0.3">
      <c r="A15" s="60" t="s">
        <v>234</v>
      </c>
      <c r="B15" s="182" t="s">
        <v>381</v>
      </c>
      <c r="C15" s="75">
        <v>72.819999999999993</v>
      </c>
      <c r="D15" s="65">
        <v>4895271</v>
      </c>
      <c r="E15" s="76">
        <v>6683.5</v>
      </c>
      <c r="F15" s="77">
        <v>23.044304</v>
      </c>
      <c r="G15" s="75">
        <v>44</v>
      </c>
      <c r="H15" s="75">
        <v>87.974000000000004</v>
      </c>
      <c r="I15" s="67">
        <v>0.54</v>
      </c>
    </row>
    <row r="16" spans="1:9" ht="15" customHeight="1" x14ac:dyDescent="0.3">
      <c r="A16" s="60" t="s">
        <v>236</v>
      </c>
      <c r="B16" s="182" t="s">
        <v>382</v>
      </c>
      <c r="C16" s="75">
        <v>334.91</v>
      </c>
      <c r="D16" s="65">
        <v>3059378</v>
      </c>
      <c r="E16" s="76">
        <v>347490.1</v>
      </c>
      <c r="F16" s="77">
        <v>39.401176</v>
      </c>
      <c r="G16" s="75">
        <v>268.91000000000003</v>
      </c>
      <c r="H16" s="75">
        <v>388.84</v>
      </c>
      <c r="I16" s="67">
        <v>0.56000000000000005</v>
      </c>
    </row>
    <row r="17" spans="1:9" ht="15" customHeight="1" x14ac:dyDescent="0.3">
      <c r="A17" s="60" t="s">
        <v>151</v>
      </c>
      <c r="B17" s="182" t="s">
        <v>152</v>
      </c>
      <c r="C17" s="75">
        <v>69.39</v>
      </c>
      <c r="D17" s="65">
        <v>203268</v>
      </c>
      <c r="E17" s="76"/>
      <c r="F17" s="77">
        <v>24.457599999999999</v>
      </c>
      <c r="G17" s="75">
        <v>63.24</v>
      </c>
      <c r="H17" s="75">
        <v>70.23</v>
      </c>
      <c r="I17" s="67">
        <v>0.62</v>
      </c>
    </row>
    <row r="18" spans="1:9" ht="15" customHeight="1" x14ac:dyDescent="0.3">
      <c r="A18" s="60" t="s">
        <v>176</v>
      </c>
      <c r="B18" s="182" t="s">
        <v>177</v>
      </c>
      <c r="C18" s="75">
        <v>56.87</v>
      </c>
      <c r="D18" s="65">
        <v>4759638</v>
      </c>
      <c r="E18" s="76"/>
      <c r="F18" s="77">
        <v>25.282298999999998</v>
      </c>
      <c r="G18" s="75">
        <v>55.1</v>
      </c>
      <c r="H18" s="75">
        <v>59.9</v>
      </c>
      <c r="I18" s="67">
        <v>7.97</v>
      </c>
    </row>
    <row r="19" spans="1:9" ht="15" customHeight="1" x14ac:dyDescent="0.3">
      <c r="A19" s="60" t="s">
        <v>141</v>
      </c>
      <c r="B19" s="182" t="s">
        <v>142</v>
      </c>
      <c r="C19" s="75">
        <v>59.85</v>
      </c>
      <c r="D19" s="65">
        <v>5120618</v>
      </c>
      <c r="E19" s="76">
        <v>225986.3</v>
      </c>
      <c r="F19" s="77">
        <v>28.95007</v>
      </c>
      <c r="G19" s="75">
        <v>53.51</v>
      </c>
      <c r="H19" s="75">
        <v>61.72</v>
      </c>
      <c r="I19" s="67">
        <v>10.84</v>
      </c>
    </row>
    <row r="20" spans="1:9" ht="15" customHeight="1" x14ac:dyDescent="0.3">
      <c r="A20" s="60" t="s">
        <v>101</v>
      </c>
      <c r="B20" s="182" t="s">
        <v>102</v>
      </c>
      <c r="C20" s="75">
        <v>188.98</v>
      </c>
      <c r="D20" s="65">
        <v>12158445</v>
      </c>
      <c r="E20" s="76">
        <v>246911.2</v>
      </c>
      <c r="F20" s="77">
        <v>51.633876999999998</v>
      </c>
      <c r="G20" s="75">
        <v>91.022999999999996</v>
      </c>
      <c r="H20" s="75">
        <v>307.37</v>
      </c>
      <c r="I20" s="67">
        <v>0.5</v>
      </c>
    </row>
    <row r="21" spans="1:9" ht="15" customHeight="1" x14ac:dyDescent="0.3">
      <c r="A21" s="60" t="s">
        <v>242</v>
      </c>
      <c r="B21" s="182" t="s">
        <v>359</v>
      </c>
      <c r="C21" s="75">
        <v>468.38</v>
      </c>
      <c r="D21" s="65">
        <v>2533696</v>
      </c>
      <c r="E21" s="76">
        <v>215913.9</v>
      </c>
      <c r="F21" s="77">
        <v>30.179123000000001</v>
      </c>
      <c r="G21" s="75">
        <v>387.78</v>
      </c>
      <c r="H21" s="75">
        <v>548.20000000000005</v>
      </c>
      <c r="I21" s="67">
        <v>1.34</v>
      </c>
    </row>
    <row r="22" spans="1:9" ht="15" customHeight="1" x14ac:dyDescent="0.3">
      <c r="A22" s="60" t="s">
        <v>131</v>
      </c>
      <c r="B22" s="182" t="s">
        <v>132</v>
      </c>
      <c r="C22" s="75">
        <v>54.93</v>
      </c>
      <c r="D22" s="65">
        <v>350807</v>
      </c>
      <c r="E22" s="76"/>
      <c r="F22" s="77">
        <v>18.950302000000001</v>
      </c>
      <c r="G22" s="75">
        <v>49.15</v>
      </c>
      <c r="H22" s="75">
        <v>58.47</v>
      </c>
      <c r="I22" s="67">
        <v>0.47</v>
      </c>
    </row>
    <row r="23" spans="1:9" ht="15" customHeight="1" x14ac:dyDescent="0.3">
      <c r="A23" s="60" t="s">
        <v>103</v>
      </c>
      <c r="B23" s="182" t="s">
        <v>104</v>
      </c>
      <c r="C23" s="75">
        <v>1000.26</v>
      </c>
      <c r="D23" s="65">
        <v>26248193</v>
      </c>
      <c r="E23" s="76">
        <v>1129686.8</v>
      </c>
      <c r="F23" s="77">
        <v>22.620080000000002</v>
      </c>
      <c r="G23" s="75">
        <v>131.56</v>
      </c>
      <c r="H23" s="75">
        <v>1255</v>
      </c>
      <c r="I23" s="67">
        <v>0.05</v>
      </c>
    </row>
    <row r="24" spans="1:9" ht="15" customHeight="1" x14ac:dyDescent="0.3">
      <c r="A24" s="60" t="s">
        <v>245</v>
      </c>
      <c r="B24" s="182" t="s">
        <v>390</v>
      </c>
      <c r="C24" s="75">
        <v>76.77</v>
      </c>
      <c r="D24" s="65">
        <v>33613528</v>
      </c>
      <c r="E24" s="76">
        <v>319665.59999999998</v>
      </c>
      <c r="F24" s="77">
        <v>24.141508000000002</v>
      </c>
      <c r="G24" s="75">
        <v>65.08</v>
      </c>
      <c r="H24" s="75">
        <v>126.7</v>
      </c>
      <c r="I24" s="67">
        <v>0.79</v>
      </c>
    </row>
    <row r="25" spans="1:9" ht="15" customHeight="1" x14ac:dyDescent="0.3">
      <c r="A25" s="60" t="s">
        <v>105</v>
      </c>
      <c r="B25" s="182" t="s">
        <v>106</v>
      </c>
      <c r="C25" s="75">
        <v>225.73</v>
      </c>
      <c r="D25" s="65">
        <v>118354258</v>
      </c>
      <c r="E25" s="76">
        <v>5450702</v>
      </c>
      <c r="F25" s="77">
        <v>28.573418</v>
      </c>
      <c r="G25" s="75">
        <v>164.27</v>
      </c>
      <c r="H25" s="75">
        <v>236.54</v>
      </c>
      <c r="I25" s="67">
        <v>0.43</v>
      </c>
    </row>
    <row r="26" spans="1:9" ht="15" customHeight="1" x14ac:dyDescent="0.3">
      <c r="A26" s="60" t="s">
        <v>254</v>
      </c>
      <c r="B26" s="182" t="s">
        <v>367</v>
      </c>
      <c r="C26" s="75">
        <v>145.58000000000001</v>
      </c>
      <c r="D26" s="65">
        <v>6281928</v>
      </c>
      <c r="E26" s="76">
        <v>338134.7</v>
      </c>
      <c r="F26" s="77">
        <v>21.990936000000001</v>
      </c>
      <c r="G26" s="75">
        <v>137.62</v>
      </c>
      <c r="H26" s="75">
        <v>167.25</v>
      </c>
      <c r="I26" s="67">
        <v>2.97</v>
      </c>
    </row>
    <row r="27" spans="1:9" ht="15" customHeight="1" x14ac:dyDescent="0.3">
      <c r="A27" s="60" t="s">
        <v>256</v>
      </c>
      <c r="B27" s="182" t="s">
        <v>384</v>
      </c>
      <c r="C27" s="75">
        <v>955.87</v>
      </c>
      <c r="D27" s="65">
        <v>437579</v>
      </c>
      <c r="E27" s="76">
        <v>120485</v>
      </c>
      <c r="F27" s="77">
        <v>33.551070000000003</v>
      </c>
      <c r="G27" s="75">
        <v>715.37</v>
      </c>
      <c r="H27" s="75">
        <v>1099.94</v>
      </c>
      <c r="I27" s="67">
        <v>0.83</v>
      </c>
    </row>
    <row r="28" spans="1:9" ht="15" customHeight="1" x14ac:dyDescent="0.3">
      <c r="A28" s="60" t="s">
        <v>159</v>
      </c>
      <c r="B28" s="182" t="s">
        <v>325</v>
      </c>
      <c r="C28" s="75">
        <v>138.47999999999999</v>
      </c>
      <c r="D28" s="65">
        <v>2505273</v>
      </c>
      <c r="E28" s="76">
        <v>134615.20000000001</v>
      </c>
      <c r="F28" s="77">
        <v>30.841871000000001</v>
      </c>
      <c r="G28" s="75">
        <v>110.6</v>
      </c>
      <c r="H28" s="75">
        <v>153.35</v>
      </c>
      <c r="I28" s="67">
        <v>3.12</v>
      </c>
    </row>
    <row r="29" spans="1:9" ht="15" customHeight="1" x14ac:dyDescent="0.3">
      <c r="A29" s="60" t="s">
        <v>107</v>
      </c>
      <c r="B29" s="182" t="s">
        <v>108</v>
      </c>
      <c r="C29" s="75">
        <v>170.3</v>
      </c>
      <c r="D29" s="65">
        <v>24103759</v>
      </c>
      <c r="E29" s="76">
        <v>409240.9</v>
      </c>
      <c r="F29" s="77">
        <v>145.55556000000001</v>
      </c>
      <c r="G29" s="75">
        <v>106.37</v>
      </c>
      <c r="H29" s="75">
        <v>207.52</v>
      </c>
      <c r="I29" s="67">
        <v>0.7</v>
      </c>
    </row>
    <row r="30" spans="1:9" ht="15" customHeight="1" x14ac:dyDescent="0.3">
      <c r="A30" s="60" t="s">
        <v>127</v>
      </c>
      <c r="B30" s="182" t="s">
        <v>128</v>
      </c>
      <c r="C30" s="75">
        <v>34.409999999999997</v>
      </c>
      <c r="D30" s="65">
        <v>31697581</v>
      </c>
      <c r="E30" s="76"/>
      <c r="F30" s="77">
        <v>18.989982999999999</v>
      </c>
      <c r="G30" s="75">
        <v>26.32</v>
      </c>
      <c r="H30" s="75">
        <v>35.31</v>
      </c>
      <c r="I30" s="67">
        <v>3</v>
      </c>
    </row>
    <row r="31" spans="1:9" ht="15" customHeight="1" x14ac:dyDescent="0.3">
      <c r="A31" s="60" t="s">
        <v>133</v>
      </c>
      <c r="B31" s="182" t="s">
        <v>134</v>
      </c>
      <c r="C31" s="75">
        <v>150.47</v>
      </c>
      <c r="D31" s="65">
        <v>1584554</v>
      </c>
      <c r="E31" s="76">
        <v>100824.6</v>
      </c>
      <c r="F31" s="77">
        <v>27.783249000000001</v>
      </c>
      <c r="G31" s="75">
        <v>107.24</v>
      </c>
      <c r="H31" s="75">
        <v>162.30000000000001</v>
      </c>
      <c r="I31" s="67">
        <v>0.71</v>
      </c>
    </row>
    <row r="32" spans="1:9" ht="15" customHeight="1" x14ac:dyDescent="0.3">
      <c r="A32" s="60" t="s">
        <v>109</v>
      </c>
      <c r="B32" s="182" t="s">
        <v>336</v>
      </c>
      <c r="C32" s="75">
        <v>439</v>
      </c>
      <c r="D32" s="65">
        <v>13005540</v>
      </c>
      <c r="E32" s="76">
        <v>2276862.2000000002</v>
      </c>
      <c r="F32" s="77">
        <v>32.590941999999998</v>
      </c>
      <c r="G32" s="75">
        <v>246.93</v>
      </c>
      <c r="H32" s="75">
        <v>479</v>
      </c>
      <c r="I32" s="67">
        <v>0.95</v>
      </c>
    </row>
    <row r="33" spans="1:9" ht="15" customHeight="1" x14ac:dyDescent="0.3">
      <c r="A33" s="60" t="s">
        <v>113</v>
      </c>
      <c r="B33" s="182" t="s">
        <v>114</v>
      </c>
      <c r="C33" s="75">
        <v>368.64</v>
      </c>
      <c r="D33" s="65">
        <v>4906741</v>
      </c>
      <c r="E33" s="76">
        <v>688268.3</v>
      </c>
      <c r="F33" s="77">
        <v>31.400342999999999</v>
      </c>
      <c r="G33" s="75">
        <v>293.89</v>
      </c>
      <c r="H33" s="75">
        <v>385.57</v>
      </c>
      <c r="I33" s="67">
        <v>0.71</v>
      </c>
    </row>
    <row r="34" spans="1:9" ht="15" customHeight="1" x14ac:dyDescent="0.3">
      <c r="A34" s="60" t="s">
        <v>124</v>
      </c>
      <c r="B34" s="182" t="s">
        <v>125</v>
      </c>
      <c r="C34" s="75">
        <v>54.08</v>
      </c>
      <c r="D34" s="65">
        <v>2336695</v>
      </c>
      <c r="E34" s="76"/>
      <c r="F34" s="77">
        <v>17.175789999999999</v>
      </c>
      <c r="G34" s="75">
        <v>36.56</v>
      </c>
      <c r="H34" s="75">
        <v>56.44</v>
      </c>
      <c r="I34" s="67">
        <v>1.01</v>
      </c>
    </row>
    <row r="35" spans="1:9" ht="15" customHeight="1" x14ac:dyDescent="0.3">
      <c r="A35" s="60" t="s">
        <v>111</v>
      </c>
      <c r="B35" s="182" t="s">
        <v>112</v>
      </c>
      <c r="C35" s="75">
        <v>290.83</v>
      </c>
      <c r="D35" s="65">
        <v>4668881</v>
      </c>
      <c r="E35" s="76">
        <v>111966.1</v>
      </c>
      <c r="F35" s="77">
        <v>65.650115999999997</v>
      </c>
      <c r="G35" s="75">
        <v>120.83</v>
      </c>
      <c r="H35" s="75">
        <v>379.935</v>
      </c>
      <c r="I35" s="67">
        <v>0.09</v>
      </c>
    </row>
    <row r="36" spans="1:9" ht="15" customHeight="1" x14ac:dyDescent="0.3">
      <c r="A36" s="60" t="s">
        <v>156</v>
      </c>
      <c r="B36" s="182" t="s">
        <v>157</v>
      </c>
      <c r="C36" s="75">
        <v>528.9</v>
      </c>
      <c r="D36" s="65">
        <v>1090748</v>
      </c>
      <c r="E36" s="76">
        <v>134055.5</v>
      </c>
      <c r="F36" s="77">
        <v>30.839652999999998</v>
      </c>
      <c r="G36" s="75">
        <v>374.17</v>
      </c>
      <c r="H36" s="75">
        <v>560.25</v>
      </c>
      <c r="I36" s="67"/>
    </row>
    <row r="37" spans="1:9" ht="15" customHeight="1" x14ac:dyDescent="0.3">
      <c r="A37" s="60" t="s">
        <v>129</v>
      </c>
      <c r="B37" s="182" t="s">
        <v>130</v>
      </c>
      <c r="C37" s="75">
        <v>163.52000000000001</v>
      </c>
      <c r="D37" s="65">
        <v>1232607</v>
      </c>
      <c r="E37" s="76"/>
      <c r="F37" s="77">
        <v>21.198972999999999</v>
      </c>
      <c r="G37" s="75">
        <v>137.41999999999999</v>
      </c>
      <c r="H37" s="75">
        <v>167.61</v>
      </c>
      <c r="I37" s="67">
        <v>2.2200000000000002</v>
      </c>
    </row>
    <row r="38" spans="1:9" ht="15" customHeight="1" x14ac:dyDescent="0.3">
      <c r="A38" s="60" t="s">
        <v>264</v>
      </c>
      <c r="B38" s="182" t="s">
        <v>372</v>
      </c>
      <c r="C38" s="75">
        <v>149.51</v>
      </c>
      <c r="D38" s="65">
        <v>1616462</v>
      </c>
      <c r="E38" s="76">
        <v>40801.4</v>
      </c>
      <c r="F38" s="77">
        <v>18.829972999999999</v>
      </c>
      <c r="G38" s="75">
        <v>137.33000000000001</v>
      </c>
      <c r="H38" s="75">
        <v>170.14</v>
      </c>
      <c r="I38" s="67">
        <v>1.99</v>
      </c>
    </row>
  </sheetData>
  <autoFilter ref="A2:I44" xr:uid="{00000000-0009-0000-0000-000008000000}"/>
  <mergeCells count="1">
    <mergeCell ref="A1:I1"/>
  </mergeCells>
  <pageMargins left="0.75" right="0.75" top="1" bottom="1" header="0.511811023622047" footer="0.51180555555555596"/>
  <pageSetup paperSize="9" orientation="portrait" horizontalDpi="300" verticalDpi="300"/>
  <headerFooter>
    <oddFooter>&amp;L&amp;"Arial Narrow,Regular"&amp;8 &amp;F&amp;C&amp;"Arial Narrow,Regular"&amp;8 &amp;A - &amp;D &amp;T&amp;R&amp;"Arial,Regular" &amp;P /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O162"/>
  <sheetViews>
    <sheetView showGridLines="0" zoomScaleNormal="100" workbookViewId="0">
      <selection activeCell="V7" sqref="V7"/>
    </sheetView>
  </sheetViews>
  <sheetFormatPr defaultColWidth="8.6640625" defaultRowHeight="14.4" x14ac:dyDescent="0.3"/>
  <cols>
    <col min="1" max="1" width="10.77734375" customWidth="1"/>
    <col min="2" max="21" width="5.6640625" customWidth="1"/>
    <col min="22" max="22" width="4.109375" customWidth="1"/>
    <col min="23" max="40" width="10.109375" customWidth="1"/>
  </cols>
  <sheetData>
    <row r="1" spans="1:41" ht="27" customHeight="1" x14ac:dyDescent="0.3">
      <c r="A1" s="115" t="s">
        <v>416</v>
      </c>
      <c r="B1" s="115"/>
      <c r="C1" s="115"/>
      <c r="D1" s="115"/>
      <c r="E1" s="115"/>
      <c r="F1" s="115"/>
      <c r="G1" s="115"/>
      <c r="H1" s="115"/>
      <c r="I1" s="115"/>
      <c r="J1" s="115"/>
      <c r="K1" s="115"/>
      <c r="L1" s="115"/>
      <c r="M1" s="115"/>
      <c r="N1" s="115"/>
      <c r="O1" s="115"/>
      <c r="P1" s="115"/>
      <c r="Q1" s="115"/>
      <c r="R1" s="115"/>
      <c r="S1" s="115"/>
      <c r="T1" s="115"/>
      <c r="U1" s="115"/>
    </row>
    <row r="2" spans="1:41" ht="15" customHeight="1" x14ac:dyDescent="0.3">
      <c r="A2" s="59" t="s">
        <v>269</v>
      </c>
      <c r="B2" s="59" t="str">
        <f>'Price History'!B2</f>
        <v>ADBE</v>
      </c>
      <c r="C2" s="59" t="str">
        <f>'Price History'!C2</f>
        <v>ANET</v>
      </c>
      <c r="D2" s="59" t="str">
        <f>'Price History'!D2</f>
        <v>ASML</v>
      </c>
      <c r="E2" s="59" t="str">
        <f>'Price History'!E2</f>
        <v>AVGO</v>
      </c>
      <c r="F2" s="59" t="str">
        <f>'Price History'!F2</f>
        <v>CRWD</v>
      </c>
      <c r="G2" s="59" t="str">
        <f>'Price History'!G2</f>
        <v>KLAC</v>
      </c>
      <c r="H2" s="59" t="str">
        <f>'Price History'!H2</f>
        <v>MU</v>
      </c>
      <c r="I2" s="59" t="str">
        <f>'Price History'!I2</f>
        <v>NVDA</v>
      </c>
      <c r="J2" s="59" t="str">
        <f>'Price History'!J2</f>
        <v>PLD</v>
      </c>
      <c r="K2" s="59" t="str">
        <f>'Price History'!K2</f>
        <v>PLTR</v>
      </c>
      <c r="L2" s="59" t="str">
        <f>'Price History'!L2</f>
        <v>TSM</v>
      </c>
      <c r="M2" s="59" t="str">
        <f>'Price History'!M2</f>
        <v>VRT</v>
      </c>
      <c r="N2" s="59" t="str">
        <f>'Price History'!N2</f>
        <v>VRTX</v>
      </c>
      <c r="O2" s="59" t="str">
        <f>'Price History'!O2</f>
        <v>AVUV</v>
      </c>
      <c r="P2" s="59">
        <f>'Price History'!P2</f>
        <v>0</v>
      </c>
      <c r="Q2" s="59" t="str">
        <f>'Price History'!Q2</f>
        <v>HELO</v>
      </c>
      <c r="R2" s="59" t="str">
        <f>'Price History'!R2</f>
        <v>JEPQ</v>
      </c>
      <c r="S2" s="59" t="str">
        <f>'Price History'!S2</f>
        <v>SPMO</v>
      </c>
      <c r="T2" s="59" t="str">
        <f>'Price History'!T2</f>
        <v>VFLO</v>
      </c>
      <c r="U2" s="59">
        <f>'Price History'!U2</f>
        <v>0</v>
      </c>
      <c r="V2" s="79" t="str">
        <f>'Price History'!V2</f>
        <v>V</v>
      </c>
      <c r="W2" s="80" t="s">
        <v>417</v>
      </c>
      <c r="X2" s="80" t="s">
        <v>418</v>
      </c>
      <c r="Y2" s="80" t="s">
        <v>419</v>
      </c>
      <c r="Z2" s="80" t="s">
        <v>420</v>
      </c>
      <c r="AA2" s="80" t="s">
        <v>421</v>
      </c>
      <c r="AB2" s="80" t="s">
        <v>422</v>
      </c>
      <c r="AC2" s="80" t="s">
        <v>423</v>
      </c>
      <c r="AD2" s="80" t="s">
        <v>424</v>
      </c>
      <c r="AE2" s="80" t="s">
        <v>425</v>
      </c>
      <c r="AF2" s="80" t="s">
        <v>426</v>
      </c>
      <c r="AG2" s="80" t="s">
        <v>427</v>
      </c>
      <c r="AH2" s="80" t="s">
        <v>428</v>
      </c>
      <c r="AI2" s="80" t="s">
        <v>429</v>
      </c>
      <c r="AJ2" s="80" t="s">
        <v>430</v>
      </c>
      <c r="AK2" s="80" t="s">
        <v>431</v>
      </c>
      <c r="AL2" s="80" t="s">
        <v>432</v>
      </c>
      <c r="AM2" s="80" t="s">
        <v>433</v>
      </c>
      <c r="AN2" s="80" t="s">
        <v>434</v>
      </c>
      <c r="AO2" s="79" t="s">
        <v>435</v>
      </c>
    </row>
    <row r="3" spans="1:41" ht="15" customHeight="1" x14ac:dyDescent="0.3">
      <c r="A3" s="81">
        <f>IF('Price History'!A4="","",'Price History'!A4)</f>
        <v>45156</v>
      </c>
      <c r="B3" s="82">
        <f>IFERROR(IF(OR(NOT(ISNUMBER('Price History'!B4)),NOT(ISNUMBER('Price History'!B3)),'Price History'!B3=0),"",'Price History'!B4/'Price History'!B3-1),"")</f>
        <v>-6.2936375258138E-4</v>
      </c>
      <c r="C3" s="82">
        <f>IFERROR(IF(OR(NOT(ISNUMBER('Price History'!C4)),NOT(ISNUMBER('Price History'!C3)),'Price History'!C3=0),"",'Price History'!C4/'Price History'!C3-1),"")</f>
        <v>3.2007315957933269E-2</v>
      </c>
      <c r="D3" s="82">
        <f>IFERROR(IF(OR(NOT(ISNUMBER('Price History'!D4)),NOT(ISNUMBER('Price History'!D3)),'Price History'!D3=0),"",'Price History'!D4/'Price History'!D3-1),"")</f>
        <v>-9.7464414155761236E-3</v>
      </c>
      <c r="E3" s="82">
        <f>IFERROR(IF(OR(NOT(ISNUMBER('Price History'!E4)),NOT(ISNUMBER('Price History'!E3)),'Price History'!E3=0),"",'Price History'!E4/'Price History'!E3-1),"")</f>
        <v>-4.8204386599181026E-3</v>
      </c>
      <c r="F3" s="82">
        <f>IFERROR(IF(OR(NOT(ISNUMBER('Price History'!F4)),NOT(ISNUMBER('Price History'!F3)),'Price History'!F3=0),"",'Price History'!F4/'Price History'!F3-1),"")</f>
        <v>-9.7139773340528812E-3</v>
      </c>
      <c r="G3" s="82">
        <f>IFERROR(IF(OR(NOT(ISNUMBER('Price History'!G4)),NOT(ISNUMBER('Price History'!G3)),'Price History'!G3=0),"",'Price History'!G4/'Price History'!G3-1),"")</f>
        <v>-2.0876826722338038E-3</v>
      </c>
      <c r="H3" s="82">
        <f>IFERROR(IF(OR(NOT(ISNUMBER('Price History'!H4)),NOT(ISNUMBER('Price History'!H3)),'Price History'!H3=0),"",'Price History'!H4/'Price History'!H3-1),"")</f>
        <v>-1.2117446015224465E-2</v>
      </c>
      <c r="I3" s="82">
        <f>IFERROR(IF(OR(NOT(ISNUMBER('Price History'!I4)),NOT(ISNUMBER('Price History'!I3)),'Price History'!I3=0),"",'Price History'!I4/'Price History'!I3-1),"")</f>
        <v>5.9975520195838294E-2</v>
      </c>
      <c r="J3" s="82">
        <f>IFERROR(IF(OR(NOT(ISNUMBER('Price History'!J4)),NOT(ISNUMBER('Price History'!J3)),'Price History'!J3=0),"",'Price History'!J4/'Price History'!J3-1),"")</f>
        <v>-1.651688122419237E-2</v>
      </c>
      <c r="K3" s="82">
        <f>IFERROR(IF(OR(NOT(ISNUMBER('Price History'!K4)),NOT(ISNUMBER('Price History'!K3)),'Price History'!K3=0),"",'Price History'!K4/'Price History'!K3-1),"")</f>
        <v>-6.5541855937702787E-2</v>
      </c>
      <c r="L3" s="82">
        <f>IFERROR(IF(OR(NOT(ISNUMBER('Price History'!L4)),NOT(ISNUMBER('Price History'!L3)),'Price History'!L3=0),"",'Price History'!L4/'Price History'!L3-1),"")</f>
        <v>-9.6749646700728942E-3</v>
      </c>
      <c r="M3" s="82">
        <f>IFERROR(IF(OR(NOT(ISNUMBER('Price History'!M4)),NOT(ISNUMBER('Price History'!M3)),'Price History'!M3=0),"",'Price History'!M4/'Price History'!M3-1),"")</f>
        <v>1.372724559832883E-2</v>
      </c>
      <c r="N3" s="82">
        <f>IFERROR(IF(OR(NOT(ISNUMBER('Price History'!N4)),NOT(ISNUMBER('Price History'!N3)),'Price History'!N3=0),"",'Price History'!N4/'Price History'!N3-1),"")</f>
        <v>-1.4405762304922076E-2</v>
      </c>
      <c r="O3" s="82">
        <f>IFERROR(IF(OR(NOT(ISNUMBER('Price History'!O4)),NOT(ISNUMBER('Price History'!O3)),'Price History'!O3=0),"",'Price History'!O4/'Price History'!O3-1),"")</f>
        <v>-3.0778515389257688E-2</v>
      </c>
      <c r="P3" s="82" t="str">
        <f>IFERROR(IF(OR(NOT(ISNUMBER('Price History'!P4)),NOT(ISNUMBER('Price History'!P3)),'Price History'!P3=0),"",'Price History'!P4/'Price History'!P3-1),"")</f>
        <v/>
      </c>
      <c r="Q3" s="82">
        <f>IFERROR(IF(OR(NOT(ISNUMBER('Price History'!Q4)),NOT(ISNUMBER('Price History'!Q3)),'Price History'!Q3=0),"",'Price History'!Q4/'Price History'!Q3-1),"")</f>
        <v>3.2102728731941976E-3</v>
      </c>
      <c r="R3" s="82">
        <f>IFERROR(IF(OR(NOT(ISNUMBER('Price History'!R4)),NOT(ISNUMBER('Price History'!R3)),'Price History'!R3=0),"",'Price History'!R4/'Price History'!R3-1),"")</f>
        <v>-1.8611459640317851E-2</v>
      </c>
      <c r="S3" s="82">
        <f>IFERROR(IF(OR(NOT(ISNUMBER('Price History'!S4)),NOT(ISNUMBER('Price History'!S3)),'Price History'!S3=0),"",'Price History'!S4/'Price History'!S3-1),"")</f>
        <v>-8.370345063204665E-3</v>
      </c>
      <c r="T3" s="82">
        <f>IFERROR(IF(OR(NOT(ISNUMBER('Price History'!T4)),NOT(ISNUMBER('Price History'!T3)),'Price History'!T3=0),"",'Price History'!T4/'Price History'!T3-1),"")</f>
        <v>-2.6755852842809347E-2</v>
      </c>
      <c r="U3" s="82" t="str">
        <f>IFERROR(IF(OR(NOT(ISNUMBER('Price History'!U4)),NOT(ISNUMBER('Price History'!U3)),'Price History'!U3=0),"",'Price History'!U4/'Price History'!U3-1),"")</f>
        <v/>
      </c>
      <c r="V3" s="83" t="str">
        <f>IFERROR(IF(OR(NOT(ISNUMBER('Price History'!V4)),NOT(ISNUMBER('Price History'!V3)),'Price History'!V3=0),"",'Price History'!V4/'Price History'!V3-1),"")</f>
        <v/>
      </c>
      <c r="W3" s="84" t="str">
        <f>IFERROR('Price History'!B3+(INDEX('Price History'!B:B,MATCH(9.99E+307,'Price History'!$A:$A))-'Price History'!B3)*(ROW()-3)/(MATCH(9.99E+307,'Returns (Calc)'!$A:$A)-3),"")</f>
        <v/>
      </c>
      <c r="X3" s="84">
        <f>IFERROR('Price History'!C3+(INDEX('Price History'!C:C,MATCH(9.99E+307,'Price History'!$A:$A))-'Price History'!C3)*(ROW()-3)/(MATCH(9.99E+307,'Returns (Calc)'!$A:$A)-3),"")</f>
        <v>43.74</v>
      </c>
      <c r="Y3" s="84">
        <f>IFERROR('Price History'!D3+(INDEX('Price History'!D:D,MATCH(9.99E+307,'Price History'!$A:$A))-'Price History'!D3)*(ROW()-3)/(MATCH(9.99E+307,'Returns (Calc)'!$A:$A)-3),"")</f>
        <v>661.78</v>
      </c>
      <c r="Z3" s="84">
        <f>IFERROR('Price History'!E3+(INDEX('Price History'!E:E,MATCH(9.99E+307,'Price History'!$A:$A))-'Price History'!E3)*(ROW()-3)/(MATCH(9.99E+307,'Returns (Calc)'!$A:$A)-3),"")</f>
        <v>82.98</v>
      </c>
      <c r="AA3" s="84">
        <f>IFERROR('Price History'!F3+(INDEX('Price History'!F:F,MATCH(9.99E+307,'Price History'!$A:$A))-'Price History'!F3)*(ROW()-3)/(MATCH(9.99E+307,'Returns (Calc)'!$A:$A)-3),"")</f>
        <v>37.06</v>
      </c>
      <c r="AB3" s="84">
        <f>IFERROR('Price History'!G3+(INDEX('Price History'!G:G,MATCH(9.99E+307,'Price History'!$A:$A))-'Price History'!G3)*(ROW()-3)/(MATCH(9.99E+307,'Returns (Calc)'!$A:$A)-3),"")</f>
        <v>47.9</v>
      </c>
      <c r="AC3" s="84">
        <f>IFERROR('Price History'!H3+(INDEX('Price History'!H:H,MATCH(9.99E+307,'Price History'!$A:$A))-'Price History'!H3)*(ROW()-3)/(MATCH(9.99E+307,'Returns (Calc)'!$A:$A)-3),"")</f>
        <v>64.37</v>
      </c>
      <c r="AD3" s="84">
        <f>IFERROR('Price History'!I3+(INDEX('Price History'!I:I,MATCH(9.99E+307,'Price History'!$A:$A))-'Price History'!I3)*(ROW()-3)/(MATCH(9.99E+307,'Returns (Calc)'!$A:$A)-3),"")</f>
        <v>40.85</v>
      </c>
      <c r="AE3" s="84">
        <f>IFERROR('Price History'!J3+(INDEX('Price History'!J:J,MATCH(9.99E+307,'Price History'!$A:$A))-'Price History'!J3)*(ROW()-3)/(MATCH(9.99E+307,'Returns (Calc)'!$A:$A)-3),"")</f>
        <v>123.51</v>
      </c>
      <c r="AF3" s="84">
        <f>IFERROR('Price History'!K3+(INDEX('Price History'!K:K,MATCH(9.99E+307,'Price History'!$A:$A))-'Price History'!K3)*(ROW()-3)/(MATCH(9.99E+307,'Returns (Calc)'!$A:$A)-3),"")</f>
        <v>15.41</v>
      </c>
      <c r="AG3" s="84">
        <f>IFERROR('Price History'!L3+(INDEX('Price History'!L:L,MATCH(9.99E+307,'Price History'!$A:$A))-'Price History'!L3)*(ROW()-3)/(MATCH(9.99E+307,'Returns (Calc)'!$A:$A)-3),"")</f>
        <v>91.99</v>
      </c>
      <c r="AH3" s="84">
        <f>IFERROR('Price History'!M3+(INDEX('Price History'!M:M,MATCH(9.99E+307,'Price History'!$A:$A))-'Price History'!M3)*(ROW()-3)/(MATCH(9.99E+307,'Returns (Calc)'!$A:$A)-3),"")</f>
        <v>33.51</v>
      </c>
      <c r="AI3" s="84">
        <f>IFERROR('Price History'!N3+(INDEX('Price History'!N:N,MATCH(9.99E+307,'Price History'!$A:$A))-'Price History'!N3)*(ROW()-3)/(MATCH(9.99E+307,'Returns (Calc)'!$A:$A)-3),"")</f>
        <v>349.86</v>
      </c>
      <c r="AJ3" s="84">
        <f>IFERROR('Price History'!O3+(INDEX('Price History'!O:O,MATCH(9.99E+307,'Price History'!$A:$A))-'Price History'!O3)*(ROW()-3)/(MATCH(9.99E+307,'Returns (Calc)'!$A:$A)-3),"")</f>
        <v>82.85</v>
      </c>
      <c r="AK3" s="84">
        <f>IFERROR('Price History'!Q3+(INDEX('Price History'!Q:Q,MATCH(9.99E+307,'Price History'!$A:$A))-'Price History'!Q3)*(ROW()-3)/(MATCH(9.99E+307,'Returns (Calc)'!$A:$A)-3),"")</f>
        <v>49.84</v>
      </c>
      <c r="AL3" s="84">
        <f>IFERROR('Price History'!R3+(INDEX('Price History'!R:R,MATCH(9.99E+307,'Price History'!$A:$A))-'Price History'!R3)*(ROW()-3)/(MATCH(9.99E+307,'Returns (Calc)'!$A:$A)-3),"")</f>
        <v>47.82</v>
      </c>
      <c r="AM3" s="84">
        <f>IFERROR('Price History'!S3+(INDEX('Price History'!S:S,MATCH(9.99E+307,'Price History'!$A:$A))-'Price History'!S3)*(ROW()-3)/(MATCH(9.99E+307,'Returns (Calc)'!$A:$A)-3),"")</f>
        <v>58.54</v>
      </c>
      <c r="AN3" s="84">
        <f>IFERROR('Price History'!T3+(INDEX('Price History'!T:T,MATCH(9.99E+307,'Price History'!$A:$A))-'Price History'!T3)*(ROW()-3)/(MATCH(9.99E+307,'Returns (Calc)'!$A:$A)-3),"")</f>
        <v>26.91</v>
      </c>
      <c r="AO3" s="85">
        <f>IFERROR('Price History'!V3+(INDEX('Price History'!V:V,MATCH(9.99E+307,'Price History'!$A:$A))-'Price History'!V3)*(ROW()-3)/(MATCH(9.99E+307,'Returns (Calc)'!$A:$A)-3),"")</f>
        <v>0</v>
      </c>
    </row>
    <row r="4" spans="1:41" ht="15" customHeight="1" x14ac:dyDescent="0.3">
      <c r="A4" s="81">
        <f>IF('Price History'!A5="","",'Price History'!A5)</f>
        <v>45163</v>
      </c>
      <c r="B4" s="82">
        <f>IFERROR(IF(OR(NOT(ISNUMBER('Price History'!B5)),NOT(ISNUMBER('Price History'!B4)),'Price History'!B4=0),"",'Price History'!B5/'Price History'!B4-1),"")</f>
        <v>3.3318245330919094E-2</v>
      </c>
      <c r="C4" s="82">
        <f>IFERROR(IF(OR(NOT(ISNUMBER('Price History'!C5)),NOT(ISNUMBER('Price History'!C4)),'Price History'!C4=0),"",'Price History'!C5/'Price History'!C4-1),"")</f>
        <v>1.9937970757641921E-3</v>
      </c>
      <c r="D4" s="82">
        <f>IFERROR(IF(OR(NOT(ISNUMBER('Price History'!D5)),NOT(ISNUMBER('Price History'!D4)),'Price History'!D4=0),"",'Price History'!D5/'Price History'!D4-1),"")</f>
        <v>-6.5920986373277923E-3</v>
      </c>
      <c r="E4" s="82">
        <f>IFERROR(IF(OR(NOT(ISNUMBER('Price History'!E5)),NOT(ISNUMBER('Price History'!E4)),'Price History'!E4=0),"",'Price History'!E5/'Price History'!E4-1),"")</f>
        <v>3.1484620973601496E-2</v>
      </c>
      <c r="F4" s="82">
        <f>IFERROR(IF(OR(NOT(ISNUMBER('Price History'!F5)),NOT(ISNUMBER('Price History'!F4)),'Price History'!F4=0),"",'Price History'!F5/'Price History'!F4-1),"")</f>
        <v>1.9073569482288777E-2</v>
      </c>
      <c r="G4" s="82">
        <f>IFERROR(IF(OR(NOT(ISNUMBER('Price History'!G5)),NOT(ISNUMBER('Price History'!G4)),'Price History'!G4=0),"",'Price History'!G5/'Price History'!G4-1),"")</f>
        <v>7.7405857740586725E-3</v>
      </c>
      <c r="H4" s="82">
        <f>IFERROR(IF(OR(NOT(ISNUMBER('Price History'!H5)),NOT(ISNUMBER('Price History'!H4)),'Price History'!H4=0),"",'Price History'!H5/'Price History'!H4-1),"")</f>
        <v>2.0443465953765561E-3</v>
      </c>
      <c r="I4" s="82">
        <f>IFERROR(IF(OR(NOT(ISNUMBER('Price History'!I5)),NOT(ISNUMBER('Price History'!I4)),'Price History'!I4=0),"",'Price History'!I5/'Price History'!I4-1),"")</f>
        <v>6.2817551963048723E-2</v>
      </c>
      <c r="J4" s="82">
        <f>IFERROR(IF(OR(NOT(ISNUMBER('Price History'!J5)),NOT(ISNUMBER('Price History'!J4)),'Price History'!J4=0),"",'Price History'!J5/'Price History'!J4-1),"")</f>
        <v>9.7966576109327352E-3</v>
      </c>
      <c r="K4" s="82">
        <f>IFERROR(IF(OR(NOT(ISNUMBER('Price History'!K5)),NOT(ISNUMBER('Price History'!K4)),'Price History'!K4=0),"",'Price History'!K5/'Price History'!K4-1),"")</f>
        <v>9.0277777777776347E-3</v>
      </c>
      <c r="L4" s="82">
        <f>IFERROR(IF(OR(NOT(ISNUMBER('Price History'!L5)),NOT(ISNUMBER('Price History'!L4)),'Price History'!L4=0),"",'Price History'!L5/'Price History'!L4-1),"")</f>
        <v>2.1953896816685026E-2</v>
      </c>
      <c r="M4" s="82">
        <f>IFERROR(IF(OR(NOT(ISNUMBER('Price History'!M5)),NOT(ISNUMBER('Price History'!M4)),'Price History'!M4=0),"",'Price History'!M5/'Price History'!M4-1),"")</f>
        <v>0.10391521931115699</v>
      </c>
      <c r="N4" s="82">
        <f>IFERROR(IF(OR(NOT(ISNUMBER('Price History'!N5)),NOT(ISNUMBER('Price History'!N4)),'Price History'!N4=0),"",'Price History'!N5/'Price History'!N4-1),"")</f>
        <v>1.5196334319355076E-2</v>
      </c>
      <c r="O4" s="82">
        <f>IFERROR(IF(OR(NOT(ISNUMBER('Price History'!O5)),NOT(ISNUMBER('Price History'!O4)),'Price History'!O4=0),"",'Price History'!O5/'Price History'!O4-1),"")</f>
        <v>-1.6189290161892855E-2</v>
      </c>
      <c r="P4" s="82" t="str">
        <f>IFERROR(IF(OR(NOT(ISNUMBER('Price History'!P5)),NOT(ISNUMBER('Price History'!P4)),'Price History'!P4=0),"",'Price History'!P5/'Price History'!P4-1),"")</f>
        <v/>
      </c>
      <c r="Q4" s="82">
        <f>IFERROR(IF(OR(NOT(ISNUMBER('Price History'!Q5)),NOT(ISNUMBER('Price History'!Q4)),'Price History'!Q4=0),"",'Price History'!Q5/'Price History'!Q4-1),"")</f>
        <v>3.4000000000000696E-3</v>
      </c>
      <c r="R4" s="82">
        <f>IFERROR(IF(OR(NOT(ISNUMBER('Price History'!R5)),NOT(ISNUMBER('Price History'!R4)),'Price History'!R4=0),"",'Price History'!R5/'Price History'!R4-1),"")</f>
        <v>1.5981248668229364E-2</v>
      </c>
      <c r="S4" s="82">
        <f>IFERROR(IF(OR(NOT(ISNUMBER('Price History'!S5)),NOT(ISNUMBER('Price History'!S4)),'Price History'!S4=0),"",'Price History'!S5/'Price History'!S4-1),"")</f>
        <v>-2.7562446167096466E-3</v>
      </c>
      <c r="T4" s="82">
        <f>IFERROR(IF(OR(NOT(ISNUMBER('Price History'!T5)),NOT(ISNUMBER('Price History'!T4)),'Price History'!T4=0),"",'Price History'!T5/'Price History'!T4-1),"")</f>
        <v>-8.0183276059565545E-3</v>
      </c>
      <c r="U4" s="82" t="str">
        <f>IFERROR(IF(OR(NOT(ISNUMBER('Price History'!U5)),NOT(ISNUMBER('Price History'!U4)),'Price History'!U4=0),"",'Price History'!U5/'Price History'!U4-1),"")</f>
        <v/>
      </c>
      <c r="V4" s="83" t="str">
        <f>IFERROR(IF(OR(NOT(ISNUMBER('Price History'!V5)),NOT(ISNUMBER('Price History'!V4)),'Price History'!V4=0),"",'Price History'!V5/'Price History'!V4-1),"")</f>
        <v/>
      </c>
      <c r="W4" s="84" t="str">
        <f>IFERROR('Price History'!B3+(INDEX('Price History'!B:B,MATCH(9.99E+307,'Price History'!$A:$A))-'Price History'!B3)*(ROW()-3)/(MATCH(9.99E+307,'Returns (Calc)'!$A:$A)-3),"")</f>
        <v/>
      </c>
      <c r="X4" s="84">
        <f>IFERROR('Price History'!C3+(INDEX('Price History'!C:C,MATCH(9.99E+307,'Price History'!$A:$A))-'Price History'!C3)*(ROW()-3)/(MATCH(9.99E+307,'Returns (Calc)'!$A:$A)-3),"")</f>
        <v>43.464905660377362</v>
      </c>
      <c r="Y4" s="84">
        <f>IFERROR('Price History'!D3+(INDEX('Price History'!D:D,MATCH(9.99E+307,'Price History'!$A:$A))-'Price History'!D3)*(ROW()-3)/(MATCH(9.99E+307,'Returns (Calc)'!$A:$A)-3),"")</f>
        <v>657.61786163522015</v>
      </c>
      <c r="Z4" s="84">
        <f>IFERROR('Price History'!E3+(INDEX('Price History'!E:E,MATCH(9.99E+307,'Price History'!$A:$A))-'Price History'!E3)*(ROW()-3)/(MATCH(9.99E+307,'Returns (Calc)'!$A:$A)-3),"")</f>
        <v>82.458113207547171</v>
      </c>
      <c r="AA4" s="84">
        <f>IFERROR('Price History'!F3+(INDEX('Price History'!F:F,MATCH(9.99E+307,'Price History'!$A:$A))-'Price History'!F3)*(ROW()-3)/(MATCH(9.99E+307,'Returns (Calc)'!$A:$A)-3),"")</f>
        <v>36.826918238993713</v>
      </c>
      <c r="AB4" s="84">
        <f>IFERROR('Price History'!G3+(INDEX('Price History'!G:G,MATCH(9.99E+307,'Price History'!$A:$A))-'Price History'!G3)*(ROW()-3)/(MATCH(9.99E+307,'Returns (Calc)'!$A:$A)-3),"")</f>
        <v>47.598742138364777</v>
      </c>
      <c r="AC4" s="84">
        <f>IFERROR('Price History'!H3+(INDEX('Price History'!H:H,MATCH(9.99E+307,'Price History'!$A:$A))-'Price History'!H3)*(ROW()-3)/(MATCH(9.99E+307,'Returns (Calc)'!$A:$A)-3),"")</f>
        <v>63.965157232704406</v>
      </c>
      <c r="AD4" s="84">
        <f>IFERROR('Price History'!I3+(INDEX('Price History'!I:I,MATCH(9.99E+307,'Price History'!$A:$A))-'Price History'!I3)*(ROW()-3)/(MATCH(9.99E+307,'Returns (Calc)'!$A:$A)-3),"")</f>
        <v>40.593081761006289</v>
      </c>
      <c r="AE4" s="84">
        <f>IFERROR('Price History'!J3+(INDEX('Price History'!J:J,MATCH(9.99E+307,'Price History'!$A:$A))-'Price History'!J3)*(ROW()-3)/(MATCH(9.99E+307,'Returns (Calc)'!$A:$A)-3),"")</f>
        <v>122.73320754716981</v>
      </c>
      <c r="AF4" s="84">
        <f>IFERROR('Price History'!K3+(INDEX('Price History'!K:K,MATCH(9.99E+307,'Price History'!$A:$A))-'Price History'!K3)*(ROW()-3)/(MATCH(9.99E+307,'Returns (Calc)'!$A:$A)-3),"")</f>
        <v>15.313081761006289</v>
      </c>
      <c r="AG4" s="84">
        <f>IFERROR('Price History'!L3+(INDEX('Price History'!L:L,MATCH(9.99E+307,'Price History'!$A:$A))-'Price History'!L3)*(ROW()-3)/(MATCH(9.99E+307,'Returns (Calc)'!$A:$A)-3),"")</f>
        <v>91.411446540880505</v>
      </c>
      <c r="AH4" s="84">
        <f>IFERROR('Price History'!M3+(INDEX('Price History'!M:M,MATCH(9.99E+307,'Price History'!$A:$A))-'Price History'!M3)*(ROW()-3)/(MATCH(9.99E+307,'Returns (Calc)'!$A:$A)-3),"")</f>
        <v>33.299245283018863</v>
      </c>
      <c r="AI4" s="84">
        <f>IFERROR('Price History'!N3+(INDEX('Price History'!N:N,MATCH(9.99E+307,'Price History'!$A:$A))-'Price History'!N3)*(ROW()-3)/(MATCH(9.99E+307,'Returns (Calc)'!$A:$A)-3),"")</f>
        <v>347.65962264150943</v>
      </c>
      <c r="AJ4" s="84">
        <f>IFERROR('Price History'!O3+(INDEX('Price History'!O:O,MATCH(9.99E+307,'Price History'!$A:$A))-'Price History'!O3)*(ROW()-3)/(MATCH(9.99E+307,'Returns (Calc)'!$A:$A)-3),"")</f>
        <v>82.328930817610058</v>
      </c>
      <c r="AK4" s="84">
        <f>IFERROR('Price History'!Q3+(INDEX('Price History'!Q:Q,MATCH(9.99E+307,'Price History'!$A:$A))-'Price History'!Q3)*(ROW()-3)/(MATCH(9.99E+307,'Returns (Calc)'!$A:$A)-3),"")</f>
        <v>49.526540880503148</v>
      </c>
      <c r="AL4" s="84">
        <f>IFERROR('Price History'!R3+(INDEX('Price History'!R:R,MATCH(9.99E+307,'Price History'!$A:$A))-'Price History'!R3)*(ROW()-3)/(MATCH(9.99E+307,'Returns (Calc)'!$A:$A)-3),"")</f>
        <v>47.519245283018869</v>
      </c>
      <c r="AM4" s="84">
        <f>IFERROR('Price History'!S3+(INDEX('Price History'!S:S,MATCH(9.99E+307,'Price History'!$A:$A))-'Price History'!S3)*(ROW()-3)/(MATCH(9.99E+307,'Returns (Calc)'!$A:$A)-3),"")</f>
        <v>58.17182389937107</v>
      </c>
      <c r="AN4" s="84">
        <f>IFERROR('Price History'!T3+(INDEX('Price History'!T:T,MATCH(9.99E+307,'Price History'!$A:$A))-'Price History'!T3)*(ROW()-3)/(MATCH(9.99E+307,'Returns (Calc)'!$A:$A)-3),"")</f>
        <v>26.740754716981133</v>
      </c>
      <c r="AO4" s="85">
        <f>IFERROR('Price History'!V3+(INDEX('Price History'!V:V,MATCH(9.99E+307,'Price History'!$A:$A))-'Price History'!V3)*(ROW()-3)/(MATCH(9.99E+307,'Returns (Calc)'!$A:$A)-3),"")</f>
        <v>0</v>
      </c>
    </row>
    <row r="5" spans="1:41" ht="15" customHeight="1" x14ac:dyDescent="0.3">
      <c r="A5" s="81">
        <f>IF('Price History'!A6="","",'Price History'!A6)</f>
        <v>45170</v>
      </c>
      <c r="B5" s="82">
        <f>IFERROR(IF(OR(NOT(ISNUMBER('Price History'!B6)),NOT(ISNUMBER('Price History'!B5)),'Price History'!B5=0),"",'Price History'!B6/'Price History'!B5-1),"")</f>
        <v>7.2658362853769365E-2</v>
      </c>
      <c r="C5" s="82">
        <f>IFERROR(IF(OR(NOT(ISNUMBER('Price History'!C6)),NOT(ISNUMBER('Price History'!C5)),'Price History'!C5=0),"",'Price History'!C6/'Price History'!C5-1),"")</f>
        <v>9.0868892328100914E-2</v>
      </c>
      <c r="D5" s="82">
        <f>IFERROR(IF(OR(NOT(ISNUMBER('Price History'!D6)),NOT(ISNUMBER('Price History'!D5)),'Price History'!D5=0),"",'Price History'!D6/'Price History'!D5-1),"")</f>
        <v>1.7680219965899191E-2</v>
      </c>
      <c r="E5" s="82">
        <f>IFERROR(IF(OR(NOT(ISNUMBER('Price History'!E6)),NOT(ISNUMBER('Price History'!E5)),'Price History'!E5=0),"",'Price History'!E6/'Price History'!E5-1),"")</f>
        <v>2.4301479220474098E-2</v>
      </c>
      <c r="F5" s="82">
        <f>IFERROR(IF(OR(NOT(ISNUMBER('Price History'!F6)),NOT(ISNUMBER('Price History'!F5)),'Price History'!F5=0),"",'Price History'!F6/'Price History'!F5-1),"")</f>
        <v>7.780748663101611E-2</v>
      </c>
      <c r="G5" s="82">
        <f>IFERROR(IF(OR(NOT(ISNUMBER('Price History'!G6)),NOT(ISNUMBER('Price History'!G5)),'Price History'!G5=0),"",'Price History'!G6/'Price History'!G5-1),"")</f>
        <v>5.2522316794685553E-2</v>
      </c>
      <c r="H5" s="82">
        <f>IFERROR(IF(OR(NOT(ISNUMBER('Price History'!H6)),NOT(ISNUMBER('Price History'!H5)),'Price History'!H5=0),"",'Price History'!H6/'Price History'!H5-1),"")</f>
        <v>0.10467671060891393</v>
      </c>
      <c r="I5" s="82">
        <f>IFERROR(IF(OR(NOT(ISNUMBER('Price History'!I6)),NOT(ISNUMBER('Price History'!I5)),'Price History'!I5=0),"",'Price History'!I6/'Price History'!I5-1),"")</f>
        <v>5.4106910039113387E-2</v>
      </c>
      <c r="J5" s="82">
        <f>IFERROR(IF(OR(NOT(ISNUMBER('Price History'!J6)),NOT(ISNUMBER('Price History'!J5)),'Price History'!J5=0),"",'Price History'!J6/'Price History'!J5-1),"")</f>
        <v>1.5734550790803992E-2</v>
      </c>
      <c r="K5" s="82">
        <f>IFERROR(IF(OR(NOT(ISNUMBER('Price History'!K6)),NOT(ISNUMBER('Price History'!K5)),'Price History'!K5=0),"",'Price History'!K6/'Price History'!K5-1),"")</f>
        <v>4.4735030970405987E-2</v>
      </c>
      <c r="L5" s="82">
        <f>IFERROR(IF(OR(NOT(ISNUMBER('Price History'!L6)),NOT(ISNUMBER('Price History'!L5)),'Price History'!L5=0),"",'Price History'!L6/'Price History'!L5-1),"")</f>
        <v>9.6670247046182212E-4</v>
      </c>
      <c r="M5" s="82">
        <f>IFERROR(IF(OR(NOT(ISNUMBER('Price History'!M6)),NOT(ISNUMBER('Price History'!M5)),'Price History'!M5=0),"",'Price History'!M6/'Price History'!M5-1),"")</f>
        <v>6.3199999999999923E-2</v>
      </c>
      <c r="N5" s="82">
        <f>IFERROR(IF(OR(NOT(ISNUMBER('Price History'!N6)),NOT(ISNUMBER('Price History'!N5)),'Price History'!N5=0),"",'Price History'!N6/'Price History'!N5-1),"")</f>
        <v>2.9709192709821419E-3</v>
      </c>
      <c r="O5" s="82">
        <f>IFERROR(IF(OR(NOT(ISNUMBER('Price History'!O6)),NOT(ISNUMBER('Price History'!O5)),'Price History'!O5=0),"",'Price History'!O6/'Price History'!O5-1),"")</f>
        <v>4.6708860759493653E-2</v>
      </c>
      <c r="P5" s="82" t="str">
        <f>IFERROR(IF(OR(NOT(ISNUMBER('Price History'!P6)),NOT(ISNUMBER('Price History'!P5)),'Price History'!P5=0),"",'Price History'!P6/'Price History'!P5-1),"")</f>
        <v/>
      </c>
      <c r="Q5" s="82">
        <f>IFERROR(IF(OR(NOT(ISNUMBER('Price History'!Q6)),NOT(ISNUMBER('Price History'!Q5)),'Price History'!Q5=0),"",'Price History'!Q6/'Price History'!Q5-1),"")</f>
        <v>-1.116204903328688E-2</v>
      </c>
      <c r="R5" s="82">
        <f>IFERROR(IF(OR(NOT(ISNUMBER('Price History'!R6)),NOT(ISNUMBER('Price History'!R5)),'Price History'!R5=0),"",'Price History'!R6/'Price History'!R5-1),"")</f>
        <v>1.8246644295301984E-2</v>
      </c>
      <c r="S5" s="82">
        <f>IFERROR(IF(OR(NOT(ISNUMBER('Price History'!S6)),NOT(ISNUMBER('Price History'!S5)),'Price History'!S5=0),"",'Price History'!S6/'Price History'!S5-1),"")</f>
        <v>1.6064950768699182E-2</v>
      </c>
      <c r="T5" s="82">
        <f>IFERROR(IF(OR(NOT(ISNUMBER('Price History'!T6)),NOT(ISNUMBER('Price History'!T5)),'Price History'!T5=0),"",'Price History'!T6/'Price History'!T5-1),"")</f>
        <v>2.6173979984603468E-2</v>
      </c>
      <c r="U5" s="82" t="str">
        <f>IFERROR(IF(OR(NOT(ISNUMBER('Price History'!U6)),NOT(ISNUMBER('Price History'!U5)),'Price History'!U5=0),"",'Price History'!U6/'Price History'!U5-1),"")</f>
        <v/>
      </c>
      <c r="V5" s="83" t="str">
        <f>IFERROR(IF(OR(NOT(ISNUMBER('Price History'!V6)),NOT(ISNUMBER('Price History'!V5)),'Price History'!V5=0),"",'Price History'!V6/'Price History'!V5-1),"")</f>
        <v/>
      </c>
      <c r="W5" s="84" t="str">
        <f>IFERROR('Price History'!B3+(INDEX('Price History'!B:B,MATCH(9.99E+307,'Price History'!$A:$A))-'Price History'!B3)*(ROW()-3)/(MATCH(9.99E+307,'Returns (Calc)'!$A:$A)-3),"")</f>
        <v/>
      </c>
      <c r="X5" s="84">
        <f>IFERROR('Price History'!C3+(INDEX('Price History'!C:C,MATCH(9.99E+307,'Price History'!$A:$A))-'Price History'!C3)*(ROW()-3)/(MATCH(9.99E+307,'Returns (Calc)'!$A:$A)-3),"")</f>
        <v>43.189811320754721</v>
      </c>
      <c r="Y5" s="84">
        <f>IFERROR('Price History'!D3+(INDEX('Price History'!D:D,MATCH(9.99E+307,'Price History'!$A:$A))-'Price History'!D3)*(ROW()-3)/(MATCH(9.99E+307,'Returns (Calc)'!$A:$A)-3),"")</f>
        <v>653.45572327044022</v>
      </c>
      <c r="Z5" s="84">
        <f>IFERROR('Price History'!E3+(INDEX('Price History'!E:E,MATCH(9.99E+307,'Price History'!$A:$A))-'Price History'!E3)*(ROW()-3)/(MATCH(9.99E+307,'Returns (Calc)'!$A:$A)-3),"")</f>
        <v>81.936226415094339</v>
      </c>
      <c r="AA5" s="84">
        <f>IFERROR('Price History'!F3+(INDEX('Price History'!F:F,MATCH(9.99E+307,'Price History'!$A:$A))-'Price History'!F3)*(ROW()-3)/(MATCH(9.99E+307,'Returns (Calc)'!$A:$A)-3),"")</f>
        <v>36.593836477987423</v>
      </c>
      <c r="AB5" s="84">
        <f>IFERROR('Price History'!G3+(INDEX('Price History'!G:G,MATCH(9.99E+307,'Price History'!$A:$A))-'Price History'!G3)*(ROW()-3)/(MATCH(9.99E+307,'Returns (Calc)'!$A:$A)-3),"")</f>
        <v>47.297484276729556</v>
      </c>
      <c r="AC5" s="84">
        <f>IFERROR('Price History'!H3+(INDEX('Price History'!H:H,MATCH(9.99E+307,'Price History'!$A:$A))-'Price History'!H3)*(ROW()-3)/(MATCH(9.99E+307,'Returns (Calc)'!$A:$A)-3),"")</f>
        <v>63.560314465408808</v>
      </c>
      <c r="AD5" s="84">
        <f>IFERROR('Price History'!I3+(INDEX('Price History'!I:I,MATCH(9.99E+307,'Price History'!$A:$A))-'Price History'!I3)*(ROW()-3)/(MATCH(9.99E+307,'Returns (Calc)'!$A:$A)-3),"")</f>
        <v>40.336163522012583</v>
      </c>
      <c r="AE5" s="84">
        <f>IFERROR('Price History'!J3+(INDEX('Price History'!J:J,MATCH(9.99E+307,'Price History'!$A:$A))-'Price History'!J3)*(ROW()-3)/(MATCH(9.99E+307,'Returns (Calc)'!$A:$A)-3),"")</f>
        <v>121.95641509433963</v>
      </c>
      <c r="AF5" s="84">
        <f>IFERROR('Price History'!K3+(INDEX('Price History'!K:K,MATCH(9.99E+307,'Price History'!$A:$A))-'Price History'!K3)*(ROW()-3)/(MATCH(9.99E+307,'Returns (Calc)'!$A:$A)-3),"")</f>
        <v>15.216163522012579</v>
      </c>
      <c r="AG5" s="84">
        <f>IFERROR('Price History'!L3+(INDEX('Price History'!L:L,MATCH(9.99E+307,'Price History'!$A:$A))-'Price History'!L3)*(ROW()-3)/(MATCH(9.99E+307,'Returns (Calc)'!$A:$A)-3),"")</f>
        <v>90.832893081761</v>
      </c>
      <c r="AH5" s="84">
        <f>IFERROR('Price History'!M3+(INDEX('Price History'!M:M,MATCH(9.99E+307,'Price History'!$A:$A))-'Price History'!M3)*(ROW()-3)/(MATCH(9.99E+307,'Returns (Calc)'!$A:$A)-3),"")</f>
        <v>33.088490566037734</v>
      </c>
      <c r="AI5" s="84">
        <f>IFERROR('Price History'!N3+(INDEX('Price History'!N:N,MATCH(9.99E+307,'Price History'!$A:$A))-'Price History'!N3)*(ROW()-3)/(MATCH(9.99E+307,'Returns (Calc)'!$A:$A)-3),"")</f>
        <v>345.4592452830189</v>
      </c>
      <c r="AJ5" s="84">
        <f>IFERROR('Price History'!O3+(INDEX('Price History'!O:O,MATCH(9.99E+307,'Price History'!$A:$A))-'Price History'!O3)*(ROW()-3)/(MATCH(9.99E+307,'Returns (Calc)'!$A:$A)-3),"")</f>
        <v>81.807861635220121</v>
      </c>
      <c r="AK5" s="84">
        <f>IFERROR('Price History'!Q3+(INDEX('Price History'!Q:Q,MATCH(9.99E+307,'Price History'!$A:$A))-'Price History'!Q3)*(ROW()-3)/(MATCH(9.99E+307,'Returns (Calc)'!$A:$A)-3),"")</f>
        <v>49.213081761006293</v>
      </c>
      <c r="AL5" s="84">
        <f>IFERROR('Price History'!R3+(INDEX('Price History'!R:R,MATCH(9.99E+307,'Price History'!$A:$A))-'Price History'!R3)*(ROW()-3)/(MATCH(9.99E+307,'Returns (Calc)'!$A:$A)-3),"")</f>
        <v>47.218490566037737</v>
      </c>
      <c r="AM5" s="84">
        <f>IFERROR('Price History'!S3+(INDEX('Price History'!S:S,MATCH(9.99E+307,'Price History'!$A:$A))-'Price History'!S3)*(ROW()-3)/(MATCH(9.99E+307,'Returns (Calc)'!$A:$A)-3),"")</f>
        <v>57.803647798742141</v>
      </c>
      <c r="AN5" s="84">
        <f>IFERROR('Price History'!T3+(INDEX('Price History'!T:T,MATCH(9.99E+307,'Price History'!$A:$A))-'Price History'!T3)*(ROW()-3)/(MATCH(9.99E+307,'Returns (Calc)'!$A:$A)-3),"")</f>
        <v>26.571509433962266</v>
      </c>
      <c r="AO5" s="85">
        <f>IFERROR('Price History'!V3+(INDEX('Price History'!V:V,MATCH(9.99E+307,'Price History'!$A:$A))-'Price History'!V3)*(ROW()-3)/(MATCH(9.99E+307,'Returns (Calc)'!$A:$A)-3),"")</f>
        <v>0</v>
      </c>
    </row>
    <row r="6" spans="1:41" ht="15" customHeight="1" x14ac:dyDescent="0.3">
      <c r="A6" s="81">
        <f>IF('Price History'!A7="","",'Price History'!A7)</f>
        <v>45177</v>
      </c>
      <c r="B6" s="82">
        <f>IFERROR(IF(OR(NOT(ISNUMBER('Price History'!B7)),NOT(ISNUMBER('Price History'!B6)),'Price History'!B6=0),"",'Price History'!B7/'Price History'!B6-1),"")</f>
        <v>-5.0602794694697417E-3</v>
      </c>
      <c r="C6" s="82">
        <f>IFERROR(IF(OR(NOT(ISNUMBER('Price History'!C7)),NOT(ISNUMBER('Price History'!C6)),'Price History'!C6=0),"",'Price History'!C7/'Price History'!C6-1),"")</f>
        <v>-4.4588569112283816E-3</v>
      </c>
      <c r="D6" s="82">
        <f>IFERROR(IF(OR(NOT(ISNUMBER('Price History'!D7)),NOT(ISNUMBER('Price History'!D6)),'Price History'!D6=0),"",'Price History'!D7/'Price History'!D6-1),"")</f>
        <v>-5.2315401799190919E-2</v>
      </c>
      <c r="E6" s="82">
        <f>IFERROR(IF(OR(NOT(ISNUMBER('Price History'!E7)),NOT(ISNUMBER('Price History'!E6)),'Price History'!E6=0),"",'Price History'!E7/'Price History'!E6-1),"")</f>
        <v>-1.7077363896848108E-2</v>
      </c>
      <c r="F6" s="82">
        <f>IFERROR(IF(OR(NOT(ISNUMBER('Price History'!F7)),NOT(ISNUMBER('Price History'!F6)),'Price History'!F6=0),"",'Price History'!F7/'Price History'!F6-1),"")</f>
        <v>4.242123542545273E-2</v>
      </c>
      <c r="G6" s="82">
        <f>IFERROR(IF(OR(NOT(ISNUMBER('Price History'!G7)),NOT(ISNUMBER('Price History'!G6)),'Price History'!G6=0),"",'Price History'!G7/'Price History'!G6-1),"")</f>
        <v>-1.834319526627215E-2</v>
      </c>
      <c r="H6" s="82">
        <f>IFERROR(IF(OR(NOT(ISNUMBER('Price History'!H7)),NOT(ISNUMBER('Price History'!H6)),'Price History'!H6=0),"",'Price History'!H7/'Price History'!H6-1),"")</f>
        <v>-2.9833783207841025E-3</v>
      </c>
      <c r="I6" s="82">
        <f>IFERROR(IF(OR(NOT(ISNUMBER('Price History'!I7)),NOT(ISNUMBER('Price History'!I6)),'Price History'!I6=0),"",'Price History'!I7/'Price History'!I6-1),"")</f>
        <v>-6.0606060606060552E-2</v>
      </c>
      <c r="J6" s="82">
        <f>IFERROR(IF(OR(NOT(ISNUMBER('Price History'!J7)),NOT(ISNUMBER('Price History'!J6)),'Price History'!J6=0),"",'Price History'!J7/'Price History'!J6-1),"")</f>
        <v>-1.6935548599406047E-2</v>
      </c>
      <c r="K6" s="82">
        <f>IFERROR(IF(OR(NOT(ISNUMBER('Price History'!K7)),NOT(ISNUMBER('Price History'!K6)),'Price History'!K6=0),"",'Price History'!K7/'Price History'!K6-1),"")</f>
        <v>-3.2938076416336726E-3</v>
      </c>
      <c r="L6" s="82">
        <f>IFERROR(IF(OR(NOT(ISNUMBER('Price History'!L7)),NOT(ISNUMBER('Price History'!L6)),'Price History'!L6=0),"",'Price History'!L7/'Price History'!L6-1),"")</f>
        <v>-3.8094216117609103E-2</v>
      </c>
      <c r="M6" s="82">
        <f>IFERROR(IF(OR(NOT(ISNUMBER('Price History'!M7)),NOT(ISNUMBER('Price History'!M6)),'Price History'!M6=0),"",'Price History'!M7/'Price History'!M6-1),"")</f>
        <v>-1.6804614998745748E-2</v>
      </c>
      <c r="N6" s="82">
        <f>IFERROR(IF(OR(NOT(ISNUMBER('Price History'!N7)),NOT(ISNUMBER('Price History'!N6)),'Price History'!N6=0),"",'Price History'!N7/'Price History'!N6-1),"")</f>
        <v>-2.2927940757618948E-2</v>
      </c>
      <c r="O6" s="82">
        <f>IFERROR(IF(OR(NOT(ISNUMBER('Price History'!O7)),NOT(ISNUMBER('Price History'!O6)),'Price History'!O6=0),"",'Price History'!O7/'Price History'!O6-1),"")</f>
        <v>-3.8456887168944132E-2</v>
      </c>
      <c r="P6" s="82" t="str">
        <f>IFERROR(IF(OR(NOT(ISNUMBER('Price History'!P7)),NOT(ISNUMBER('Price History'!P6)),'Price History'!P6=0),"",'Price History'!P7/'Price History'!P6-1),"")</f>
        <v/>
      </c>
      <c r="Q6" s="82">
        <f>IFERROR(IF(OR(NOT(ISNUMBER('Price History'!Q7)),NOT(ISNUMBER('Price History'!Q6)),'Price History'!Q6=0),"",'Price History'!Q7/'Price History'!Q6-1),"")</f>
        <v>-1.7335214674460753E-2</v>
      </c>
      <c r="R6" s="82">
        <f>IFERROR(IF(OR(NOT(ISNUMBER('Price History'!R7)),NOT(ISNUMBER('Price History'!R6)),'Price History'!R6=0),"",'Price History'!R7/'Price History'!R6-1),"")</f>
        <v>-6.5911431513903107E-3</v>
      </c>
      <c r="S6" s="82">
        <f>IFERROR(IF(OR(NOT(ISNUMBER('Price History'!S7)),NOT(ISNUMBER('Price History'!S6)),'Price History'!S6=0),"",'Price History'!S7/'Price History'!S6-1),"")</f>
        <v>5.9503570214212154E-3</v>
      </c>
      <c r="T6" s="82">
        <f>IFERROR(IF(OR(NOT(ISNUMBER('Price History'!T7)),NOT(ISNUMBER('Price History'!T6)),'Price History'!T6=0),"",'Price History'!T7/'Price History'!T6-1),"")</f>
        <v>-7.1267816954239116E-3</v>
      </c>
      <c r="U6" s="82" t="str">
        <f>IFERROR(IF(OR(NOT(ISNUMBER('Price History'!U7)),NOT(ISNUMBER('Price History'!U6)),'Price History'!U6=0),"",'Price History'!U7/'Price History'!U6-1),"")</f>
        <v/>
      </c>
      <c r="V6" s="83" t="str">
        <f>IFERROR(IF(OR(NOT(ISNUMBER('Price History'!V7)),NOT(ISNUMBER('Price History'!V6)),'Price History'!V6=0),"",'Price History'!V7/'Price History'!V6-1),"")</f>
        <v/>
      </c>
      <c r="W6" s="84" t="str">
        <f>IFERROR('Price History'!B3+(INDEX('Price History'!B:B,MATCH(9.99E+307,'Price History'!$A:$A))-'Price History'!B3)*(ROW()-3)/(MATCH(9.99E+307,'Returns (Calc)'!$A:$A)-3),"")</f>
        <v/>
      </c>
      <c r="X6" s="84">
        <f>IFERROR('Price History'!C3+(INDEX('Price History'!C:C,MATCH(9.99E+307,'Price History'!$A:$A))-'Price History'!C3)*(ROW()-3)/(MATCH(9.99E+307,'Returns (Calc)'!$A:$A)-3),"")</f>
        <v>42.914716981132081</v>
      </c>
      <c r="Y6" s="84">
        <f>IFERROR('Price History'!D3+(INDEX('Price History'!D:D,MATCH(9.99E+307,'Price History'!$A:$A))-'Price History'!D3)*(ROW()-3)/(MATCH(9.99E+307,'Returns (Calc)'!$A:$A)-3),"")</f>
        <v>649.2935849056604</v>
      </c>
      <c r="Z6" s="84">
        <f>IFERROR('Price History'!E3+(INDEX('Price History'!E:E,MATCH(9.99E+307,'Price History'!$A:$A))-'Price History'!E3)*(ROW()-3)/(MATCH(9.99E+307,'Returns (Calc)'!$A:$A)-3),"")</f>
        <v>81.414339622641506</v>
      </c>
      <c r="AA6" s="84">
        <f>IFERROR('Price History'!F3+(INDEX('Price History'!F:F,MATCH(9.99E+307,'Price History'!$A:$A))-'Price History'!F3)*(ROW()-3)/(MATCH(9.99E+307,'Returns (Calc)'!$A:$A)-3),"")</f>
        <v>36.360754716981134</v>
      </c>
      <c r="AB6" s="84">
        <f>IFERROR('Price History'!G3+(INDEX('Price History'!G:G,MATCH(9.99E+307,'Price History'!$A:$A))-'Price History'!G3)*(ROW()-3)/(MATCH(9.99E+307,'Returns (Calc)'!$A:$A)-3),"")</f>
        <v>46.996226415094341</v>
      </c>
      <c r="AC6" s="84">
        <f>IFERROR('Price History'!H3+(INDEX('Price History'!H:H,MATCH(9.99E+307,'Price History'!$A:$A))-'Price History'!H3)*(ROW()-3)/(MATCH(9.99E+307,'Returns (Calc)'!$A:$A)-3),"")</f>
        <v>63.15547169811321</v>
      </c>
      <c r="AD6" s="84">
        <f>IFERROR('Price History'!I3+(INDEX('Price History'!I:I,MATCH(9.99E+307,'Price History'!$A:$A))-'Price History'!I3)*(ROW()-3)/(MATCH(9.99E+307,'Returns (Calc)'!$A:$A)-3),"")</f>
        <v>40.079245283018871</v>
      </c>
      <c r="AE6" s="84">
        <f>IFERROR('Price History'!J3+(INDEX('Price History'!J:J,MATCH(9.99E+307,'Price History'!$A:$A))-'Price History'!J3)*(ROW()-3)/(MATCH(9.99E+307,'Returns (Calc)'!$A:$A)-3),"")</f>
        <v>121.17962264150944</v>
      </c>
      <c r="AF6" s="84">
        <f>IFERROR('Price History'!K3+(INDEX('Price History'!K:K,MATCH(9.99E+307,'Price History'!$A:$A))-'Price History'!K3)*(ROW()-3)/(MATCH(9.99E+307,'Returns (Calc)'!$A:$A)-3),"")</f>
        <v>15.119245283018868</v>
      </c>
      <c r="AG6" s="84">
        <f>IFERROR('Price History'!L3+(INDEX('Price History'!L:L,MATCH(9.99E+307,'Price History'!$A:$A))-'Price History'!L3)*(ROW()-3)/(MATCH(9.99E+307,'Returns (Calc)'!$A:$A)-3),"")</f>
        <v>90.25433962264151</v>
      </c>
      <c r="AH6" s="84">
        <f>IFERROR('Price History'!M3+(INDEX('Price History'!M:M,MATCH(9.99E+307,'Price History'!$A:$A))-'Price History'!M3)*(ROW()-3)/(MATCH(9.99E+307,'Returns (Calc)'!$A:$A)-3),"")</f>
        <v>32.877735849056599</v>
      </c>
      <c r="AI6" s="84">
        <f>IFERROR('Price History'!N3+(INDEX('Price History'!N:N,MATCH(9.99E+307,'Price History'!$A:$A))-'Price History'!N3)*(ROW()-3)/(MATCH(9.99E+307,'Returns (Calc)'!$A:$A)-3),"")</f>
        <v>343.25886792452832</v>
      </c>
      <c r="AJ6" s="84">
        <f>IFERROR('Price History'!O3+(INDEX('Price History'!O:O,MATCH(9.99E+307,'Price History'!$A:$A))-'Price History'!O3)*(ROW()-3)/(MATCH(9.99E+307,'Returns (Calc)'!$A:$A)-3),"")</f>
        <v>81.286792452830184</v>
      </c>
      <c r="AK6" s="84">
        <f>IFERROR('Price History'!Q3+(INDEX('Price History'!Q:Q,MATCH(9.99E+307,'Price History'!$A:$A))-'Price History'!Q3)*(ROW()-3)/(MATCH(9.99E+307,'Returns (Calc)'!$A:$A)-3),"")</f>
        <v>48.899622641509438</v>
      </c>
      <c r="AL6" s="84">
        <f>IFERROR('Price History'!R3+(INDEX('Price History'!R:R,MATCH(9.99E+307,'Price History'!$A:$A))-'Price History'!R3)*(ROW()-3)/(MATCH(9.99E+307,'Returns (Calc)'!$A:$A)-3),"")</f>
        <v>46.917735849056605</v>
      </c>
      <c r="AM6" s="84">
        <f>IFERROR('Price History'!S3+(INDEX('Price History'!S:S,MATCH(9.99E+307,'Price History'!$A:$A))-'Price History'!S3)*(ROW()-3)/(MATCH(9.99E+307,'Returns (Calc)'!$A:$A)-3),"")</f>
        <v>57.435471698113204</v>
      </c>
      <c r="AN6" s="84">
        <f>IFERROR('Price History'!T3+(INDEX('Price History'!T:T,MATCH(9.99E+307,'Price History'!$A:$A))-'Price History'!T3)*(ROW()-3)/(MATCH(9.99E+307,'Returns (Calc)'!$A:$A)-3),"")</f>
        <v>26.402264150943395</v>
      </c>
      <c r="AO6" s="85">
        <f>IFERROR('Price History'!V3+(INDEX('Price History'!V:V,MATCH(9.99E+307,'Price History'!$A:$A))-'Price History'!V3)*(ROW()-3)/(MATCH(9.99E+307,'Returns (Calc)'!$A:$A)-3),"")</f>
        <v>0</v>
      </c>
    </row>
    <row r="7" spans="1:41" ht="15" customHeight="1" x14ac:dyDescent="0.3">
      <c r="A7" s="81">
        <f>IF('Price History'!A8="","",'Price History'!A8)</f>
        <v>45184</v>
      </c>
      <c r="B7" s="82">
        <f>IFERROR(IF(OR(NOT(ISNUMBER('Price History'!B8)),NOT(ISNUMBER('Price History'!B7)),'Price History'!B7=0),"",'Price History'!B8/'Price History'!B7-1),"")</f>
        <v>-5.6160325505032471E-2</v>
      </c>
      <c r="C7" s="82">
        <f>IFERROR(IF(OR(NOT(ISNUMBER('Price History'!C8)),NOT(ISNUMBER('Price History'!C7)),'Price History'!C7=0),"",'Price History'!C8/'Price History'!C7-1),"")</f>
        <v>-5.985342019543971E-2</v>
      </c>
      <c r="D7" s="82">
        <f>IFERROR(IF(OR(NOT(ISNUMBER('Price History'!D8)),NOT(ISNUMBER('Price History'!D7)),'Price History'!D7=0),"",'Price History'!D8/'Price History'!D7-1),"")</f>
        <v>-4.9692606632051772E-2</v>
      </c>
      <c r="E7" s="82">
        <f>IFERROR(IF(OR(NOT(ISNUMBER('Price History'!E8)),NOT(ISNUMBER('Price History'!E7)),'Price History'!E7=0),"",'Price History'!E8/'Price History'!E7-1),"")</f>
        <v>-6.8796641791045721E-3</v>
      </c>
      <c r="F7" s="82">
        <f>IFERROR(IF(OR(NOT(ISNUMBER('Price History'!F8)),NOT(ISNUMBER('Price History'!F7)),'Price History'!F7=0),"",'Price History'!F8/'Price History'!F7-1),"")</f>
        <v>-1.5706806282722585E-2</v>
      </c>
      <c r="G7" s="82">
        <f>IFERROR(IF(OR(NOT(ISNUMBER('Price History'!G8)),NOT(ISNUMBER('Price History'!G7)),'Price History'!G7=0),"",'Price History'!G8/'Price History'!G7-1),"")</f>
        <v>-8.7402049427365958E-2</v>
      </c>
      <c r="H7" s="82">
        <f>IFERROR(IF(OR(NOT(ISNUMBER('Price History'!H8)),NOT(ISNUMBER('Price History'!H7)),'Price History'!H7=0),"",'Price History'!H8/'Price History'!H7-1),"")</f>
        <v>-4.274722143060905E-3</v>
      </c>
      <c r="I7" s="82">
        <f>IFERROR(IF(OR(NOT(ISNUMBER('Price History'!I8)),NOT(ISNUMBER('Price History'!I7)),'Price History'!I7=0),"",'Price History'!I8/'Price History'!I7-1),"")</f>
        <v>-3.6646916831248655E-2</v>
      </c>
      <c r="J7" s="82">
        <f>IFERROR(IF(OR(NOT(ISNUMBER('Price History'!J8)),NOT(ISNUMBER('Price History'!J7)),'Price History'!J7=0),"",'Price History'!J8/'Price History'!J7-1),"")</f>
        <v>5.7152188112346014E-3</v>
      </c>
      <c r="K7" s="82">
        <f>IFERROR(IF(OR(NOT(ISNUMBER('Price History'!K8)),NOT(ISNUMBER('Price History'!K7)),'Price History'!K7=0),"",'Price History'!K8/'Price History'!K7-1),"")</f>
        <v>1.3218770654329193E-2</v>
      </c>
      <c r="L7" s="82">
        <f>IFERROR(IF(OR(NOT(ISNUMBER('Price History'!L8)),NOT(ISNUMBER('Price History'!L7)),'Price History'!L7=0),"",'Price History'!L8/'Price History'!L7-1),"")</f>
        <v>-4.3507362784471759E-3</v>
      </c>
      <c r="M7" s="82">
        <f>IFERROR(IF(OR(NOT(ISNUMBER('Price History'!M8)),NOT(ISNUMBER('Price History'!M7)),'Price History'!M7=0),"",'Price History'!M8/'Price History'!M7-1),"")</f>
        <v>-2.6275510204081698E-2</v>
      </c>
      <c r="N7" s="82">
        <f>IFERROR(IF(OR(NOT(ISNUMBER('Price History'!N8)),NOT(ISNUMBER('Price History'!N7)),'Price History'!N7=0),"",'Price History'!N8/'Price History'!N7-1),"")</f>
        <v>1.7052907739396383E-2</v>
      </c>
      <c r="O7" s="82">
        <f>IFERROR(IF(OR(NOT(ISNUMBER('Price History'!O8)),NOT(ISNUMBER('Price History'!O7)),'Price History'!O7=0),"",'Price History'!O8/'Price History'!O7-1),"")</f>
        <v>-1.8865551502956768E-3</v>
      </c>
      <c r="P7" s="82" t="str">
        <f>IFERROR(IF(OR(NOT(ISNUMBER('Price History'!P8)),NOT(ISNUMBER('Price History'!P7)),'Price History'!P7=0),"",'Price History'!P8/'Price History'!P7-1),"")</f>
        <v/>
      </c>
      <c r="Q7" s="82">
        <f>IFERROR(IF(OR(NOT(ISNUMBER('Price History'!Q8)),NOT(ISNUMBER('Price History'!Q7)),'Price History'!Q7=0),"",'Price History'!Q8/'Price History'!Q7-1),"")</f>
        <v>4.0205128205128116E-2</v>
      </c>
      <c r="R7" s="82">
        <f>IFERROR(IF(OR(NOT(ISNUMBER('Price History'!R8)),NOT(ISNUMBER('Price History'!R7)),'Price History'!R7=0),"",'Price History'!R8/'Price History'!R7-1),"")</f>
        <v>-4.1467965996255796E-4</v>
      </c>
      <c r="S7" s="82">
        <f>IFERROR(IF(OR(NOT(ISNUMBER('Price History'!S8)),NOT(ISNUMBER('Price History'!S7)),'Price History'!S7=0),"",'Price History'!S8/'Price History'!S7-1),"")</f>
        <v>0</v>
      </c>
      <c r="T7" s="82">
        <f>IFERROR(IF(OR(NOT(ISNUMBER('Price History'!T8)),NOT(ISNUMBER('Price History'!T7)),'Price History'!T7=0),"",'Price History'!T8/'Price History'!T7-1),"")</f>
        <v>-6.4223649414431039E-3</v>
      </c>
      <c r="U7" s="82" t="str">
        <f>IFERROR(IF(OR(NOT(ISNUMBER('Price History'!U8)),NOT(ISNUMBER('Price History'!U7)),'Price History'!U7=0),"",'Price History'!U8/'Price History'!U7-1),"")</f>
        <v/>
      </c>
      <c r="V7" s="83">
        <f>IFERROR(IF(OR(NOT(ISNUMBER('Price History'!V8)),NOT(ISNUMBER('Price History'!V7)),'Price History'!V7=0),"",'Price History'!V8/'Price History'!V7-1),"")</f>
        <v>-2.515411029746395E-2</v>
      </c>
      <c r="W7" s="84" t="str">
        <f>IFERROR('Price History'!B3+(INDEX('Price History'!B:B,MATCH(9.99E+307,'Price History'!$A:$A))-'Price History'!B3)*(ROW()-3)/(MATCH(9.99E+307,'Returns (Calc)'!$A:$A)-3),"")</f>
        <v/>
      </c>
      <c r="X7" s="84">
        <f>IFERROR('Price History'!C3+(INDEX('Price History'!C:C,MATCH(9.99E+307,'Price History'!$A:$A))-'Price History'!C3)*(ROW()-3)/(MATCH(9.99E+307,'Returns (Calc)'!$A:$A)-3),"")</f>
        <v>42.639622641509433</v>
      </c>
      <c r="Y7" s="84">
        <f>IFERROR('Price History'!D3+(INDEX('Price History'!D:D,MATCH(9.99E+307,'Price History'!$A:$A))-'Price History'!D3)*(ROW()-3)/(MATCH(9.99E+307,'Returns (Calc)'!$A:$A)-3),"")</f>
        <v>645.13144654088046</v>
      </c>
      <c r="Z7" s="84">
        <f>IFERROR('Price History'!E3+(INDEX('Price History'!E:E,MATCH(9.99E+307,'Price History'!$A:$A))-'Price History'!E3)*(ROW()-3)/(MATCH(9.99E+307,'Returns (Calc)'!$A:$A)-3),"")</f>
        <v>80.892452830188688</v>
      </c>
      <c r="AA7" s="84">
        <f>IFERROR('Price History'!F3+(INDEX('Price History'!F:F,MATCH(9.99E+307,'Price History'!$A:$A))-'Price History'!F3)*(ROW()-3)/(MATCH(9.99E+307,'Returns (Calc)'!$A:$A)-3),"")</f>
        <v>36.127672955974845</v>
      </c>
      <c r="AB7" s="84">
        <f>IFERROR('Price History'!G3+(INDEX('Price History'!G:G,MATCH(9.99E+307,'Price History'!$A:$A))-'Price History'!G3)*(ROW()-3)/(MATCH(9.99E+307,'Returns (Calc)'!$A:$A)-3),"")</f>
        <v>46.69496855345912</v>
      </c>
      <c r="AC7" s="84">
        <f>IFERROR('Price History'!H3+(INDEX('Price History'!H:H,MATCH(9.99E+307,'Price History'!$A:$A))-'Price History'!H3)*(ROW()-3)/(MATCH(9.99E+307,'Returns (Calc)'!$A:$A)-3),"")</f>
        <v>62.750628930817612</v>
      </c>
      <c r="AD7" s="84">
        <f>IFERROR('Price History'!I3+(INDEX('Price History'!I:I,MATCH(9.99E+307,'Price History'!$A:$A))-'Price History'!I3)*(ROW()-3)/(MATCH(9.99E+307,'Returns (Calc)'!$A:$A)-3),"")</f>
        <v>39.822327044025158</v>
      </c>
      <c r="AE7" s="84">
        <f>IFERROR('Price History'!J3+(INDEX('Price History'!J:J,MATCH(9.99E+307,'Price History'!$A:$A))-'Price History'!J3)*(ROW()-3)/(MATCH(9.99E+307,'Returns (Calc)'!$A:$A)-3),"")</f>
        <v>120.40283018867925</v>
      </c>
      <c r="AF7" s="84">
        <f>IFERROR('Price History'!K3+(INDEX('Price History'!K:K,MATCH(9.99E+307,'Price History'!$A:$A))-'Price History'!K3)*(ROW()-3)/(MATCH(9.99E+307,'Returns (Calc)'!$A:$A)-3),"")</f>
        <v>15.022327044025158</v>
      </c>
      <c r="AG7" s="84">
        <f>IFERROR('Price History'!L3+(INDEX('Price History'!L:L,MATCH(9.99E+307,'Price History'!$A:$A))-'Price History'!L3)*(ROW()-3)/(MATCH(9.99E+307,'Returns (Calc)'!$A:$A)-3),"")</f>
        <v>89.675786163522005</v>
      </c>
      <c r="AH7" s="84">
        <f>IFERROR('Price History'!M3+(INDEX('Price History'!M:M,MATCH(9.99E+307,'Price History'!$A:$A))-'Price History'!M3)*(ROW()-3)/(MATCH(9.99E+307,'Returns (Calc)'!$A:$A)-3),"")</f>
        <v>32.66698113207547</v>
      </c>
      <c r="AI7" s="84">
        <f>IFERROR('Price History'!N3+(INDEX('Price History'!N:N,MATCH(9.99E+307,'Price History'!$A:$A))-'Price History'!N3)*(ROW()-3)/(MATCH(9.99E+307,'Returns (Calc)'!$A:$A)-3),"")</f>
        <v>341.05849056603773</v>
      </c>
      <c r="AJ7" s="84">
        <f>IFERROR('Price History'!O3+(INDEX('Price History'!O:O,MATCH(9.99E+307,'Price History'!$A:$A))-'Price History'!O3)*(ROW()-3)/(MATCH(9.99E+307,'Returns (Calc)'!$A:$A)-3),"")</f>
        <v>80.765723270440247</v>
      </c>
      <c r="AK7" s="84">
        <f>IFERROR('Price History'!Q3+(INDEX('Price History'!Q:Q,MATCH(9.99E+307,'Price History'!$A:$A))-'Price History'!Q3)*(ROW()-3)/(MATCH(9.99E+307,'Returns (Calc)'!$A:$A)-3),"")</f>
        <v>48.586163522012583</v>
      </c>
      <c r="AL7" s="84">
        <f>IFERROR('Price History'!R3+(INDEX('Price History'!R:R,MATCH(9.99E+307,'Price History'!$A:$A))-'Price History'!R3)*(ROW()-3)/(MATCH(9.99E+307,'Returns (Calc)'!$A:$A)-3),"")</f>
        <v>46.616981132075473</v>
      </c>
      <c r="AM7" s="84">
        <f>IFERROR('Price History'!S3+(INDEX('Price History'!S:S,MATCH(9.99E+307,'Price History'!$A:$A))-'Price History'!S3)*(ROW()-3)/(MATCH(9.99E+307,'Returns (Calc)'!$A:$A)-3),"")</f>
        <v>57.067295597484275</v>
      </c>
      <c r="AN7" s="84">
        <f>IFERROR('Price History'!T3+(INDEX('Price History'!T:T,MATCH(9.99E+307,'Price History'!$A:$A))-'Price History'!T3)*(ROW()-3)/(MATCH(9.99E+307,'Returns (Calc)'!$A:$A)-3),"")</f>
        <v>26.233018867924528</v>
      </c>
      <c r="AO7" s="85">
        <f>IFERROR('Price History'!V3+(INDEX('Price History'!V:V,MATCH(9.99E+307,'Price History'!$A:$A))-'Price History'!V3)*(ROW()-3)/(MATCH(9.99E+307,'Returns (Calc)'!$A:$A)-3),"")</f>
        <v>0</v>
      </c>
    </row>
    <row r="8" spans="1:41" ht="15" customHeight="1" x14ac:dyDescent="0.3">
      <c r="A8" s="81">
        <f>IF('Price History'!A9="","",'Price History'!A9)</f>
        <v>45191</v>
      </c>
      <c r="B8" s="82">
        <f>IFERROR(IF(OR(NOT(ISNUMBER('Price History'!B9)),NOT(ISNUMBER('Price History'!B8)),'Price History'!B8=0),"",'Price History'!B9/'Price History'!B8-1),"")</f>
        <v>-3.02331297623325E-2</v>
      </c>
      <c r="C8" s="82">
        <f>IFERROR(IF(OR(NOT(ISNUMBER('Price History'!C9)),NOT(ISNUMBER('Price History'!C8)),'Price History'!C8=0),"",'Price History'!C9/'Price History'!C8-1),"")</f>
        <v>-2.3603291468167975E-2</v>
      </c>
      <c r="D8" s="82">
        <f>IFERROR(IF(OR(NOT(ISNUMBER('Price History'!D9)),NOT(ISNUMBER('Price History'!D8)),'Price History'!D8=0),"",'Price History'!D9/'Price History'!D8-1),"")</f>
        <v>-1.6022525391345077E-2</v>
      </c>
      <c r="E8" s="82">
        <f>IFERROR(IF(OR(NOT(ISNUMBER('Price History'!E9)),NOT(ISNUMBER('Price History'!E8)),'Price History'!E8=0),"",'Price History'!E9/'Price History'!E8-1),"")</f>
        <v>-2.6535164964189284E-2</v>
      </c>
      <c r="F8" s="82">
        <f>IFERROR(IF(OR(NOT(ISNUMBER('Price History'!F9)),NOT(ISNUMBER('Price History'!F8)),'Price History'!F8=0),"",'Price History'!F9/'Price History'!F8-1),"")</f>
        <v>-1.7408123791102459E-2</v>
      </c>
      <c r="G8" s="82">
        <f>IFERROR(IF(OR(NOT(ISNUMBER('Price History'!G9)),NOT(ISNUMBER('Price History'!G8)),'Price History'!G8=0),"",'Price History'!G9/'Price History'!G8-1),"")</f>
        <v>-5.2840158520476299E-3</v>
      </c>
      <c r="H8" s="82">
        <f>IFERROR(IF(OR(NOT(ISNUMBER('Price History'!H9)),NOT(ISNUMBER('Price History'!H8)),'Price History'!H8=0),"",'Price History'!H9/'Price History'!H8-1),"")</f>
        <v>-1.4310246136233551E-2</v>
      </c>
      <c r="I8" s="82">
        <f>IFERROR(IF(OR(NOT(ISNUMBER('Price History'!I9)),NOT(ISNUMBER('Price History'!I8)),'Price History'!I8=0),"",'Price History'!I9/'Price History'!I8-1),"")</f>
        <v>-5.2164009111617338E-2</v>
      </c>
      <c r="J8" s="82">
        <f>IFERROR(IF(OR(NOT(ISNUMBER('Price History'!J9)),NOT(ISNUMBER('Price History'!J8)),'Price History'!J8=0),"",'Price History'!J9/'Price History'!J8-1),"")</f>
        <v>-7.3956811170644676E-2</v>
      </c>
      <c r="K8" s="82">
        <f>IFERROR(IF(OR(NOT(ISNUMBER('Price History'!K9)),NOT(ISNUMBER('Price History'!K8)),'Price History'!K8=0),"",'Price History'!K9/'Price History'!K8-1),"")</f>
        <v>-7.8277886497064575E-2</v>
      </c>
      <c r="L8" s="82">
        <f>IFERROR(IF(OR(NOT(ISNUMBER('Price History'!L9)),NOT(ISNUMBER('Price History'!L8)),'Price History'!L8=0),"",'Price History'!L9/'Price History'!L8-1),"")</f>
        <v>-4.0448179271708629E-2</v>
      </c>
      <c r="M8" s="82">
        <f>IFERROR(IF(OR(NOT(ISNUMBER('Price History'!M9)),NOT(ISNUMBER('Price History'!M8)),'Price History'!M8=0),"",'Price History'!M9/'Price History'!M8-1),"")</f>
        <v>-4.5061566675399511E-2</v>
      </c>
      <c r="N8" s="82">
        <f>IFERROR(IF(OR(NOT(ISNUMBER('Price History'!N9)),NOT(ISNUMBER('Price History'!N8)),'Price History'!N8=0),"",'Price History'!N9/'Price History'!N8-1),"")</f>
        <v>1.8056749785038129E-3</v>
      </c>
      <c r="O8" s="82">
        <f>IFERROR(IF(OR(NOT(ISNUMBER('Price History'!O9)),NOT(ISNUMBER('Price History'!O8)),'Price History'!O8=0),"",'Price History'!O9/'Price History'!O8-1),"")</f>
        <v>-3.3644153225806495E-2</v>
      </c>
      <c r="P8" s="82" t="str">
        <f>IFERROR(IF(OR(NOT(ISNUMBER('Price History'!P9)),NOT(ISNUMBER('Price History'!P8)),'Price History'!P8=0),"",'Price History'!P9/'Price History'!P8-1),"")</f>
        <v/>
      </c>
      <c r="Q8" s="82">
        <f>IFERROR(IF(OR(NOT(ISNUMBER('Price History'!Q9)),NOT(ISNUMBER('Price History'!Q8)),'Price History'!Q8=0),"",'Price History'!Q9/'Price History'!Q8-1),"")</f>
        <v>1.0057187931374445E-2</v>
      </c>
      <c r="R8" s="82">
        <f>IFERROR(IF(OR(NOT(ISNUMBER('Price History'!R9)),NOT(ISNUMBER('Price History'!R8)),'Price History'!R8=0),"",'Price History'!R9/'Price History'!R8-1),"")</f>
        <v>-2.6965359883841633E-2</v>
      </c>
      <c r="S8" s="82">
        <f>IFERROR(IF(OR(NOT(ISNUMBER('Price History'!S9)),NOT(ISNUMBER('Price History'!S8)),'Price History'!S8=0),"",'Price History'!S9/'Price History'!S8-1),"")</f>
        <v>-2.8899780294067923E-2</v>
      </c>
      <c r="T8" s="82">
        <f>IFERROR(IF(OR(NOT(ISNUMBER('Price History'!T9)),NOT(ISNUMBER('Price History'!T8)),'Price History'!T8=0),"",'Price History'!T9/'Price History'!T8-1),"")</f>
        <v>-1.4828897338403091E-2</v>
      </c>
      <c r="U8" s="82" t="str">
        <f>IFERROR(IF(OR(NOT(ISNUMBER('Price History'!U9)),NOT(ISNUMBER('Price History'!U8)),'Price History'!U8=0),"",'Price History'!U9/'Price History'!U8-1),"")</f>
        <v/>
      </c>
      <c r="V8" s="83">
        <f>IFERROR(IF(OR(NOT(ISNUMBER('Price History'!V9)),NOT(ISNUMBER('Price History'!V8)),'Price History'!V8=0),"",'Price History'!V9/'Price History'!V8-1),"")</f>
        <v>-2.482705937274543E-2</v>
      </c>
      <c r="W8" s="84" t="str">
        <f>IFERROR('Price History'!B3+(INDEX('Price History'!B:B,MATCH(9.99E+307,'Price History'!$A:$A))-'Price History'!B3)*(ROW()-3)/(MATCH(9.99E+307,'Returns (Calc)'!$A:$A)-3),"")</f>
        <v/>
      </c>
      <c r="X8" s="84">
        <f>IFERROR('Price History'!C3+(INDEX('Price History'!C:C,MATCH(9.99E+307,'Price History'!$A:$A))-'Price History'!C3)*(ROW()-3)/(MATCH(9.99E+307,'Returns (Calc)'!$A:$A)-3),"")</f>
        <v>42.364528301886793</v>
      </c>
      <c r="Y8" s="84">
        <f>IFERROR('Price History'!D3+(INDEX('Price History'!D:D,MATCH(9.99E+307,'Price History'!$A:$A))-'Price History'!D3)*(ROW()-3)/(MATCH(9.99E+307,'Returns (Calc)'!$A:$A)-3),"")</f>
        <v>640.96930817610064</v>
      </c>
      <c r="Z8" s="84">
        <f>IFERROR('Price History'!E3+(INDEX('Price History'!E:E,MATCH(9.99E+307,'Price History'!$A:$A))-'Price History'!E3)*(ROW()-3)/(MATCH(9.99E+307,'Returns (Calc)'!$A:$A)-3),"")</f>
        <v>80.370566037735856</v>
      </c>
      <c r="AA8" s="84">
        <f>IFERROR('Price History'!F3+(INDEX('Price History'!F:F,MATCH(9.99E+307,'Price History'!$A:$A))-'Price History'!F3)*(ROW()-3)/(MATCH(9.99E+307,'Returns (Calc)'!$A:$A)-3),"")</f>
        <v>35.894591194968555</v>
      </c>
      <c r="AB8" s="84">
        <f>IFERROR('Price History'!G3+(INDEX('Price History'!G:G,MATCH(9.99E+307,'Price History'!$A:$A))-'Price History'!G3)*(ROW()-3)/(MATCH(9.99E+307,'Returns (Calc)'!$A:$A)-3),"")</f>
        <v>46.393710691823898</v>
      </c>
      <c r="AC8" s="84">
        <f>IFERROR('Price History'!H3+(INDEX('Price History'!H:H,MATCH(9.99E+307,'Price History'!$A:$A))-'Price History'!H3)*(ROW()-3)/(MATCH(9.99E+307,'Returns (Calc)'!$A:$A)-3),"")</f>
        <v>62.345786163522014</v>
      </c>
      <c r="AD8" s="84">
        <f>IFERROR('Price History'!I3+(INDEX('Price History'!I:I,MATCH(9.99E+307,'Price History'!$A:$A))-'Price History'!I3)*(ROW()-3)/(MATCH(9.99E+307,'Returns (Calc)'!$A:$A)-3),"")</f>
        <v>39.565408805031446</v>
      </c>
      <c r="AE8" s="84">
        <f>IFERROR('Price History'!J3+(INDEX('Price History'!J:J,MATCH(9.99E+307,'Price History'!$A:$A))-'Price History'!J3)*(ROW()-3)/(MATCH(9.99E+307,'Returns (Calc)'!$A:$A)-3),"")</f>
        <v>119.62603773584907</v>
      </c>
      <c r="AF8" s="84">
        <f>IFERROR('Price History'!K3+(INDEX('Price History'!K:K,MATCH(9.99E+307,'Price History'!$A:$A))-'Price History'!K3)*(ROW()-3)/(MATCH(9.99E+307,'Returns (Calc)'!$A:$A)-3),"")</f>
        <v>14.925408805031447</v>
      </c>
      <c r="AG8" s="84">
        <f>IFERROR('Price History'!L3+(INDEX('Price History'!L:L,MATCH(9.99E+307,'Price History'!$A:$A))-'Price History'!L3)*(ROW()-3)/(MATCH(9.99E+307,'Returns (Calc)'!$A:$A)-3),"")</f>
        <v>89.097232704402515</v>
      </c>
      <c r="AH8" s="84">
        <f>IFERROR('Price History'!M3+(INDEX('Price History'!M:M,MATCH(9.99E+307,'Price History'!$A:$A))-'Price History'!M3)*(ROW()-3)/(MATCH(9.99E+307,'Returns (Calc)'!$A:$A)-3),"")</f>
        <v>32.456226415094335</v>
      </c>
      <c r="AI8" s="84">
        <f>IFERROR('Price History'!N3+(INDEX('Price History'!N:N,MATCH(9.99E+307,'Price History'!$A:$A))-'Price History'!N3)*(ROW()-3)/(MATCH(9.99E+307,'Returns (Calc)'!$A:$A)-3),"")</f>
        <v>338.85811320754721</v>
      </c>
      <c r="AJ8" s="84">
        <f>IFERROR('Price History'!O3+(INDEX('Price History'!O:O,MATCH(9.99E+307,'Price History'!$A:$A))-'Price History'!O3)*(ROW()-3)/(MATCH(9.99E+307,'Returns (Calc)'!$A:$A)-3),"")</f>
        <v>80.244654088050311</v>
      </c>
      <c r="AK8" s="84">
        <f>IFERROR('Price History'!Q3+(INDEX('Price History'!Q:Q,MATCH(9.99E+307,'Price History'!$A:$A))-'Price History'!Q3)*(ROW()-3)/(MATCH(9.99E+307,'Returns (Calc)'!$A:$A)-3),"")</f>
        <v>48.272704402515728</v>
      </c>
      <c r="AL8" s="84">
        <f>IFERROR('Price History'!R3+(INDEX('Price History'!R:R,MATCH(9.99E+307,'Price History'!$A:$A))-'Price History'!R3)*(ROW()-3)/(MATCH(9.99E+307,'Returns (Calc)'!$A:$A)-3),"")</f>
        <v>46.316226415094341</v>
      </c>
      <c r="AM8" s="84">
        <f>IFERROR('Price History'!S3+(INDEX('Price History'!S:S,MATCH(9.99E+307,'Price History'!$A:$A))-'Price History'!S3)*(ROW()-3)/(MATCH(9.99E+307,'Returns (Calc)'!$A:$A)-3),"")</f>
        <v>56.699119496855346</v>
      </c>
      <c r="AN8" s="84">
        <f>IFERROR('Price History'!T3+(INDEX('Price History'!T:T,MATCH(9.99E+307,'Price History'!$A:$A))-'Price History'!T3)*(ROW()-3)/(MATCH(9.99E+307,'Returns (Calc)'!$A:$A)-3),"")</f>
        <v>26.063773584905661</v>
      </c>
      <c r="AO8" s="85">
        <f>IFERROR('Price History'!V3+(INDEX('Price History'!V:V,MATCH(9.99E+307,'Price History'!$A:$A))-'Price History'!V3)*(ROW()-3)/(MATCH(9.99E+307,'Returns (Calc)'!$A:$A)-3),"")</f>
        <v>0</v>
      </c>
    </row>
    <row r="9" spans="1:41" ht="15" customHeight="1" x14ac:dyDescent="0.3">
      <c r="A9" s="81">
        <f>IF('Price History'!A10="","",'Price History'!A10)</f>
        <v>45198</v>
      </c>
      <c r="B9" s="82">
        <f>IFERROR(IF(OR(NOT(ISNUMBER('Price History'!B10)),NOT(ISNUMBER('Price History'!B9)),'Price History'!B9=0),"",'Price History'!B10/'Price History'!B9-1),"")</f>
        <v>-5.849093390524418E-3</v>
      </c>
      <c r="C9" s="82">
        <f>IFERROR(IF(OR(NOT(ISNUMBER('Price History'!C10)),NOT(ISNUMBER('Price History'!C9)),'Price History'!C9=0),"",'Price History'!C10/'Price History'!C9-1),"")</f>
        <v>1.9738301175426853E-2</v>
      </c>
      <c r="D9" s="82">
        <f>IFERROR(IF(OR(NOT(ISNUMBER('Price History'!D10)),NOT(ISNUMBER('Price History'!D9)),'Price History'!D9=0),"",'Price History'!D10/'Price History'!D9-1),"")</f>
        <v>2.6571282575369448E-3</v>
      </c>
      <c r="E9" s="82">
        <f>IFERROR(IF(OR(NOT(ISNUMBER('Price History'!E10)),NOT(ISNUMBER('Price History'!E9)),'Price History'!E9=0),"",'Price History'!E10/'Price History'!E9-1),"")</f>
        <v>1.8091906886985587E-3</v>
      </c>
      <c r="F9" s="82">
        <f>IFERROR(IF(OR(NOT(ISNUMBER('Price History'!F10)),NOT(ISNUMBER('Price History'!F9)),'Price History'!F9=0),"",'Price History'!F10/'Price History'!F9-1),"")</f>
        <v>2.9773622047244208E-2</v>
      </c>
      <c r="G9" s="82">
        <f>IFERROR(IF(OR(NOT(ISNUMBER('Price History'!G10)),NOT(ISNUMBER('Price History'!G9)),'Price History'!G9=0),"",'Price History'!G10/'Price History'!G9-1),"")</f>
        <v>1.5272244355909681E-2</v>
      </c>
      <c r="H9" s="82">
        <f>IFERROR(IF(OR(NOT(ISNUMBER('Price History'!H10)),NOT(ISNUMBER('Price History'!H9)),'Price History'!H9=0),"",'Price History'!H10/'Price History'!H9-1),"")</f>
        <v>-1.2340301974448242E-2</v>
      </c>
      <c r="I9" s="82">
        <f>IFERROR(IF(OR(NOT(ISNUMBER('Price History'!I10)),NOT(ISNUMBER('Price History'!I9)),'Price History'!I9=0),"",'Price History'!I10/'Price History'!I9-1),"")</f>
        <v>4.5421773612112526E-2</v>
      </c>
      <c r="J9" s="82">
        <f>IFERROR(IF(OR(NOT(ISNUMBER('Price History'!J10)),NOT(ISNUMBER('Price History'!J9)),'Price History'!J9=0),"",'Price History'!J10/'Price History'!J9-1),"")</f>
        <v>-1.6305777154378864E-2</v>
      </c>
      <c r="K9" s="82">
        <f>IFERROR(IF(OR(NOT(ISNUMBER('Price History'!K10)),NOT(ISNUMBER('Price History'!K9)),'Price History'!K9=0),"",'Price History'!K10/'Price History'!K9-1),"")</f>
        <v>0.13234253361641901</v>
      </c>
      <c r="L9" s="82">
        <f>IFERROR(IF(OR(NOT(ISNUMBER('Price History'!L10)),NOT(ISNUMBER('Price History'!L9)),'Price History'!L9=0),"",'Price History'!L10/'Price History'!L9-1),"")</f>
        <v>1.4712751050910855E-2</v>
      </c>
      <c r="M9" s="82">
        <f>IFERROR(IF(OR(NOT(ISNUMBER('Price History'!M10)),NOT(ISNUMBER('Price History'!M9)),'Price History'!M9=0),"",'Price History'!M10/'Price History'!M9-1),"")</f>
        <v>2.0576131687242816E-2</v>
      </c>
      <c r="N9" s="82">
        <f>IFERROR(IF(OR(NOT(ISNUMBER('Price History'!N10)),NOT(ISNUMBER('Price History'!N9)),'Price History'!N9=0),"",'Price History'!N10/'Price History'!N9-1),"")</f>
        <v>-5.1211627042027086E-3</v>
      </c>
      <c r="O9" s="82">
        <f>IFERROR(IF(OR(NOT(ISNUMBER('Price History'!O10)),NOT(ISNUMBER('Price History'!O9)),'Price History'!O9=0),"",'Price History'!O10/'Price History'!O9-1),"")</f>
        <v>1.6429782240187762E-2</v>
      </c>
      <c r="P9" s="82" t="str">
        <f>IFERROR(IF(OR(NOT(ISNUMBER('Price History'!P10)),NOT(ISNUMBER('Price History'!P9)),'Price History'!P9=0),"",'Price History'!P10/'Price History'!P9-1),"")</f>
        <v/>
      </c>
      <c r="Q9" s="82">
        <f>IFERROR(IF(OR(NOT(ISNUMBER('Price History'!Q10)),NOT(ISNUMBER('Price History'!Q9)),'Price History'!Q9=0),"",'Price History'!Q10/'Price History'!Q9-1),"")</f>
        <v>1.3080827801640105E-2</v>
      </c>
      <c r="R9" s="82">
        <f>IFERROR(IF(OR(NOT(ISNUMBER('Price History'!R10)),NOT(ISNUMBER('Price History'!R9)),'Price History'!R9=0),"",'Price History'!R10/'Price History'!R9-1),"")</f>
        <v>4.2634832658294819E-4</v>
      </c>
      <c r="S9" s="82">
        <f>IFERROR(IF(OR(NOT(ISNUMBER('Price History'!S10)),NOT(ISNUMBER('Price History'!S9)),'Price History'!S9=0),"",'Price History'!S10/'Price History'!S9-1),"")</f>
        <v>-3.1326139923425478E-3</v>
      </c>
      <c r="T9" s="82">
        <f>IFERROR(IF(OR(NOT(ISNUMBER('Price History'!T10)),NOT(ISNUMBER('Price History'!T9)),'Price History'!T9=0),"",'Price History'!T10/'Price History'!T9-1),"")</f>
        <v>2.7016595908915253E-3</v>
      </c>
      <c r="U9" s="82" t="str">
        <f>IFERROR(IF(OR(NOT(ISNUMBER('Price History'!U10)),NOT(ISNUMBER('Price History'!U9)),'Price History'!U9=0),"",'Price History'!U10/'Price History'!U9-1),"")</f>
        <v/>
      </c>
      <c r="V9" s="83">
        <f>IFERROR(IF(OR(NOT(ISNUMBER('Price History'!V10)),NOT(ISNUMBER('Price History'!V9)),'Price History'!V9=0),"",'Price History'!V10/'Price History'!V9-1),"")</f>
        <v>-2.1585864740186311E-2</v>
      </c>
      <c r="W9" s="84" t="str">
        <f>IFERROR('Price History'!B3+(INDEX('Price History'!B:B,MATCH(9.99E+307,'Price History'!$A:$A))-'Price History'!B3)*(ROW()-3)/(MATCH(9.99E+307,'Returns (Calc)'!$A:$A)-3),"")</f>
        <v/>
      </c>
      <c r="X9" s="84">
        <f>IFERROR('Price History'!C3+(INDEX('Price History'!C:C,MATCH(9.99E+307,'Price History'!$A:$A))-'Price History'!C3)*(ROW()-3)/(MATCH(9.99E+307,'Returns (Calc)'!$A:$A)-3),"")</f>
        <v>42.089433962264152</v>
      </c>
      <c r="Y9" s="84">
        <f>IFERROR('Price History'!D3+(INDEX('Price History'!D:D,MATCH(9.99E+307,'Price History'!$A:$A))-'Price History'!D3)*(ROW()-3)/(MATCH(9.99E+307,'Returns (Calc)'!$A:$A)-3),"")</f>
        <v>636.8071698113207</v>
      </c>
      <c r="Z9" s="84">
        <f>IFERROR('Price History'!E3+(INDEX('Price History'!E:E,MATCH(9.99E+307,'Price History'!$A:$A))-'Price History'!E3)*(ROW()-3)/(MATCH(9.99E+307,'Returns (Calc)'!$A:$A)-3),"")</f>
        <v>79.848679245283023</v>
      </c>
      <c r="AA9" s="84">
        <f>IFERROR('Price History'!F3+(INDEX('Price History'!F:F,MATCH(9.99E+307,'Price History'!$A:$A))-'Price History'!F3)*(ROW()-3)/(MATCH(9.99E+307,'Returns (Calc)'!$A:$A)-3),"")</f>
        <v>35.661509433962266</v>
      </c>
      <c r="AB9" s="84">
        <f>IFERROR('Price History'!G3+(INDEX('Price History'!G:G,MATCH(9.99E+307,'Price History'!$A:$A))-'Price History'!G3)*(ROW()-3)/(MATCH(9.99E+307,'Returns (Calc)'!$A:$A)-3),"")</f>
        <v>46.092452830188677</v>
      </c>
      <c r="AC9" s="84">
        <f>IFERROR('Price History'!H3+(INDEX('Price History'!H:H,MATCH(9.99E+307,'Price History'!$A:$A))-'Price History'!H3)*(ROW()-3)/(MATCH(9.99E+307,'Returns (Calc)'!$A:$A)-3),"")</f>
        <v>61.940943396226416</v>
      </c>
      <c r="AD9" s="84">
        <f>IFERROR('Price History'!I3+(INDEX('Price History'!I:I,MATCH(9.99E+307,'Price History'!$A:$A))-'Price History'!I3)*(ROW()-3)/(MATCH(9.99E+307,'Returns (Calc)'!$A:$A)-3),"")</f>
        <v>39.30849056603774</v>
      </c>
      <c r="AE9" s="84">
        <f>IFERROR('Price History'!J3+(INDEX('Price History'!J:J,MATCH(9.99E+307,'Price History'!$A:$A))-'Price History'!J3)*(ROW()-3)/(MATCH(9.99E+307,'Returns (Calc)'!$A:$A)-3),"")</f>
        <v>118.84924528301887</v>
      </c>
      <c r="AF9" s="84">
        <f>IFERROR('Price History'!K3+(INDEX('Price History'!K:K,MATCH(9.99E+307,'Price History'!$A:$A))-'Price History'!K3)*(ROW()-3)/(MATCH(9.99E+307,'Returns (Calc)'!$A:$A)-3),"")</f>
        <v>14.828490566037736</v>
      </c>
      <c r="AG9" s="84">
        <f>IFERROR('Price History'!L3+(INDEX('Price History'!L:L,MATCH(9.99E+307,'Price History'!$A:$A))-'Price History'!L3)*(ROW()-3)/(MATCH(9.99E+307,'Returns (Calc)'!$A:$A)-3),"")</f>
        <v>88.51867924528301</v>
      </c>
      <c r="AH9" s="84">
        <f>IFERROR('Price History'!M3+(INDEX('Price History'!M:M,MATCH(9.99E+307,'Price History'!$A:$A))-'Price History'!M3)*(ROW()-3)/(MATCH(9.99E+307,'Returns (Calc)'!$A:$A)-3),"")</f>
        <v>32.245471698113207</v>
      </c>
      <c r="AI9" s="84">
        <f>IFERROR('Price History'!N3+(INDEX('Price History'!N:N,MATCH(9.99E+307,'Price History'!$A:$A))-'Price History'!N3)*(ROW()-3)/(MATCH(9.99E+307,'Returns (Calc)'!$A:$A)-3),"")</f>
        <v>336.65773584905662</v>
      </c>
      <c r="AJ9" s="84">
        <f>IFERROR('Price History'!O3+(INDEX('Price History'!O:O,MATCH(9.99E+307,'Price History'!$A:$A))-'Price History'!O3)*(ROW()-3)/(MATCH(9.99E+307,'Returns (Calc)'!$A:$A)-3),"")</f>
        <v>79.723584905660374</v>
      </c>
      <c r="AK9" s="84">
        <f>IFERROR('Price History'!Q3+(INDEX('Price History'!Q:Q,MATCH(9.99E+307,'Price History'!$A:$A))-'Price History'!Q3)*(ROW()-3)/(MATCH(9.99E+307,'Returns (Calc)'!$A:$A)-3),"")</f>
        <v>47.959245283018873</v>
      </c>
      <c r="AL9" s="84">
        <f>IFERROR('Price History'!R3+(INDEX('Price History'!R:R,MATCH(9.99E+307,'Price History'!$A:$A))-'Price History'!R3)*(ROW()-3)/(MATCH(9.99E+307,'Returns (Calc)'!$A:$A)-3),"")</f>
        <v>46.01547169811321</v>
      </c>
      <c r="AM9" s="84">
        <f>IFERROR('Price History'!S3+(INDEX('Price History'!S:S,MATCH(9.99E+307,'Price History'!$A:$A))-'Price History'!S3)*(ROW()-3)/(MATCH(9.99E+307,'Returns (Calc)'!$A:$A)-3),"")</f>
        <v>56.330943396226417</v>
      </c>
      <c r="AN9" s="84">
        <f>IFERROR('Price History'!T3+(INDEX('Price History'!T:T,MATCH(9.99E+307,'Price History'!$A:$A))-'Price History'!T3)*(ROW()-3)/(MATCH(9.99E+307,'Returns (Calc)'!$A:$A)-3),"")</f>
        <v>25.894528301886794</v>
      </c>
      <c r="AO9" s="85">
        <f>IFERROR('Price History'!V3+(INDEX('Price History'!V:V,MATCH(9.99E+307,'Price History'!$A:$A))-'Price History'!V3)*(ROW()-3)/(MATCH(9.99E+307,'Returns (Calc)'!$A:$A)-3),"")</f>
        <v>0</v>
      </c>
    </row>
    <row r="10" spans="1:41" ht="15" customHeight="1" x14ac:dyDescent="0.3">
      <c r="A10" s="81">
        <f>IF('Price History'!A11="","",'Price History'!A11)</f>
        <v>45205</v>
      </c>
      <c r="B10" s="82">
        <f>IFERROR(IF(OR(NOT(ISNUMBER('Price History'!B11)),NOT(ISNUMBER('Price History'!B10)),'Price History'!B10=0),"",'Price History'!B11/'Price History'!B10-1),"")</f>
        <v>3.2908413414394877E-2</v>
      </c>
      <c r="C10" s="82">
        <f>IFERROR(IF(OR(NOT(ISNUMBER('Price History'!C11)),NOT(ISNUMBER('Price History'!C10)),'Price History'!C10=0),"",'Price History'!C11/'Price History'!C10-1),"")</f>
        <v>5.5023923444976086E-2</v>
      </c>
      <c r="D10" s="82">
        <f>IFERROR(IF(OR(NOT(ISNUMBER('Price History'!D11)),NOT(ISNUMBER('Price History'!D10)),'Price History'!D10=0),"",'Price History'!D11/'Price History'!D10-1),"")</f>
        <v>1.4779329324227986E-2</v>
      </c>
      <c r="E10" s="82">
        <f>IFERROR(IF(OR(NOT(ISNUMBER('Price History'!E11)),NOT(ISNUMBER('Price History'!E10)),'Price History'!E10=0),"",'Price History'!E11/'Price History'!E10-1),"")</f>
        <v>1.769804960269683E-2</v>
      </c>
      <c r="F10" s="82">
        <f>IFERROR(IF(OR(NOT(ISNUMBER('Price History'!F11)),NOT(ISNUMBER('Price History'!F10)),'Price History'!F10=0),"",'Price History'!F11/'Price History'!F10-1),"")</f>
        <v>5.5436081242532964E-2</v>
      </c>
      <c r="G10" s="82">
        <f>IFERROR(IF(OR(NOT(ISNUMBER('Price History'!G11)),NOT(ISNUMBER('Price History'!G10)),'Price History'!G10=0),"",'Price History'!G11/'Price History'!G10-1),"")</f>
        <v>2.0492696751689632E-2</v>
      </c>
      <c r="H10" s="82">
        <f>IFERROR(IF(OR(NOT(ISNUMBER('Price History'!H11)),NOT(ISNUMBER('Price History'!H10)),'Price History'!H10=0),"",'Price History'!H11/'Price History'!H10-1),"")</f>
        <v>2.8369836836689588E-2</v>
      </c>
      <c r="I10" s="82">
        <f>IFERROR(IF(OR(NOT(ISNUMBER('Price History'!I11)),NOT(ISNUMBER('Price History'!I10)),'Price History'!I10=0),"",'Price History'!I11/'Price History'!I10-1),"")</f>
        <v>5.1954022988505599E-2</v>
      </c>
      <c r="J10" s="82">
        <f>IFERROR(IF(OR(NOT(ISNUMBER('Price History'!J11)),NOT(ISNUMBER('Price History'!J10)),'Price History'!J10=0),"",'Price History'!J11/'Price History'!J10-1),"")</f>
        <v>-2.9409143570091723E-2</v>
      </c>
      <c r="K10" s="82">
        <f>IFERROR(IF(OR(NOT(ISNUMBER('Price History'!K11)),NOT(ISNUMBER('Price History'!K10)),'Price History'!K10=0),"",'Price History'!K11/'Price History'!K10-1),"")</f>
        <v>3.8124999999999964E-2</v>
      </c>
      <c r="L10" s="82">
        <f>IFERROR(IF(OR(NOT(ISNUMBER('Price History'!L11)),NOT(ISNUMBER('Price History'!L10)),'Price History'!L10=0),"",'Price History'!L11/'Price History'!L10-1),"")</f>
        <v>2.7502876869965442E-2</v>
      </c>
      <c r="M10" s="82">
        <f>IFERROR(IF(OR(NOT(ISNUMBER('Price History'!M11)),NOT(ISNUMBER('Price History'!M10)),'Price History'!M10=0),"",'Price History'!M11/'Price History'!M10-1),"")</f>
        <v>6.9086021505376349E-2</v>
      </c>
      <c r="N10" s="82">
        <f>IFERROR(IF(OR(NOT(ISNUMBER('Price History'!N11)),NOT(ISNUMBER('Price History'!N10)),'Price History'!N10=0),"",'Price History'!N11/'Price History'!N10-1),"")</f>
        <v>3.7039167193880562E-2</v>
      </c>
      <c r="O10" s="82">
        <f>IFERROR(IF(OR(NOT(ISNUMBER('Price History'!O11)),NOT(ISNUMBER('Price History'!O10)),'Price History'!O10=0),"",'Price History'!O11/'Price History'!O10-1),"")</f>
        <v>-3.0147530468249029E-2</v>
      </c>
      <c r="P10" s="82" t="str">
        <f>IFERROR(IF(OR(NOT(ISNUMBER('Price History'!P11)),NOT(ISNUMBER('Price History'!P10)),'Price History'!P10=0),"",'Price History'!P11/'Price History'!P10-1),"")</f>
        <v/>
      </c>
      <c r="Q10" s="82">
        <f>IFERROR(IF(OR(NOT(ISNUMBER('Price History'!Q11)),NOT(ISNUMBER('Price History'!Q10)),'Price History'!Q10=0),"",'Price History'!Q11/'Price History'!Q10-1),"")</f>
        <v>4.4324532665251937E-3</v>
      </c>
      <c r="R10" s="82">
        <f>IFERROR(IF(OR(NOT(ISNUMBER('Price History'!R11)),NOT(ISNUMBER('Price History'!R10)),'Price History'!R10=0),"",'Price History'!R11/'Price History'!R10-1),"")</f>
        <v>4.2616663115278008E-3</v>
      </c>
      <c r="S10" s="82">
        <f>IFERROR(IF(OR(NOT(ISNUMBER('Price History'!S11)),NOT(ISNUMBER('Price History'!S10)),'Price History'!S10=0),"",'Price History'!S11/'Price History'!S10-1),"")</f>
        <v>1.1173184357541999E-2</v>
      </c>
      <c r="T10" s="82">
        <f>IFERROR(IF(OR(NOT(ISNUMBER('Price History'!T11)),NOT(ISNUMBER('Price History'!T10)),'Price History'!T10=0),"",'Price History'!T11/'Price History'!T10-1),"")</f>
        <v>-1.8475750577367167E-2</v>
      </c>
      <c r="U10" s="82" t="str">
        <f>IFERROR(IF(OR(NOT(ISNUMBER('Price History'!U11)),NOT(ISNUMBER('Price History'!U10)),'Price History'!U10=0),"",'Price History'!U11/'Price History'!U10-1),"")</f>
        <v/>
      </c>
      <c r="V10" s="83">
        <f>IFERROR(IF(OR(NOT(ISNUMBER('Price History'!V11)),NOT(ISNUMBER('Price History'!V10)),'Price History'!V10=0),"",'Price History'!V11/'Price History'!V10-1),"")</f>
        <v>2.1884174005871504E-2</v>
      </c>
      <c r="W10" s="84" t="str">
        <f>IFERROR('Price History'!B3+(INDEX('Price History'!B:B,MATCH(9.99E+307,'Price History'!$A:$A))-'Price History'!B3)*(ROW()-3)/(MATCH(9.99E+307,'Returns (Calc)'!$A:$A)-3),"")</f>
        <v/>
      </c>
      <c r="X10" s="84">
        <f>IFERROR('Price History'!C3+(INDEX('Price History'!C:C,MATCH(9.99E+307,'Price History'!$A:$A))-'Price History'!C3)*(ROW()-3)/(MATCH(9.99E+307,'Returns (Calc)'!$A:$A)-3),"")</f>
        <v>41.814339622641512</v>
      </c>
      <c r="Y10" s="84">
        <f>IFERROR('Price History'!D3+(INDEX('Price History'!D:D,MATCH(9.99E+307,'Price History'!$A:$A))-'Price History'!D3)*(ROW()-3)/(MATCH(9.99E+307,'Returns (Calc)'!$A:$A)-3),"")</f>
        <v>632.64503144654088</v>
      </c>
      <c r="Z10" s="84">
        <f>IFERROR('Price History'!E3+(INDEX('Price History'!E:E,MATCH(9.99E+307,'Price History'!$A:$A))-'Price History'!E3)*(ROW()-3)/(MATCH(9.99E+307,'Returns (Calc)'!$A:$A)-3),"")</f>
        <v>79.32679245283019</v>
      </c>
      <c r="AA10" s="84">
        <f>IFERROR('Price History'!F3+(INDEX('Price History'!F:F,MATCH(9.99E+307,'Price History'!$A:$A))-'Price History'!F3)*(ROW()-3)/(MATCH(9.99E+307,'Returns (Calc)'!$A:$A)-3),"")</f>
        <v>35.428427672955976</v>
      </c>
      <c r="AB10" s="84">
        <f>IFERROR('Price History'!G3+(INDEX('Price History'!G:G,MATCH(9.99E+307,'Price History'!$A:$A))-'Price History'!G3)*(ROW()-3)/(MATCH(9.99E+307,'Returns (Calc)'!$A:$A)-3),"")</f>
        <v>45.791194968553455</v>
      </c>
      <c r="AC10" s="84">
        <f>IFERROR('Price History'!H3+(INDEX('Price History'!H:H,MATCH(9.99E+307,'Price History'!$A:$A))-'Price History'!H3)*(ROW()-3)/(MATCH(9.99E+307,'Returns (Calc)'!$A:$A)-3),"")</f>
        <v>61.536100628930825</v>
      </c>
      <c r="AD10" s="84">
        <f>IFERROR('Price History'!I3+(INDEX('Price History'!I:I,MATCH(9.99E+307,'Price History'!$A:$A))-'Price History'!I3)*(ROW()-3)/(MATCH(9.99E+307,'Returns (Calc)'!$A:$A)-3),"")</f>
        <v>39.051572327044028</v>
      </c>
      <c r="AE10" s="84">
        <f>IFERROR('Price History'!J3+(INDEX('Price History'!J:J,MATCH(9.99E+307,'Price History'!$A:$A))-'Price History'!J3)*(ROW()-3)/(MATCH(9.99E+307,'Returns (Calc)'!$A:$A)-3),"")</f>
        <v>118.07245283018868</v>
      </c>
      <c r="AF10" s="84">
        <f>IFERROR('Price History'!K3+(INDEX('Price History'!K:K,MATCH(9.99E+307,'Price History'!$A:$A))-'Price History'!K3)*(ROW()-3)/(MATCH(9.99E+307,'Returns (Calc)'!$A:$A)-3),"")</f>
        <v>14.731572327044026</v>
      </c>
      <c r="AG10" s="84">
        <f>IFERROR('Price History'!L3+(INDEX('Price History'!L:L,MATCH(9.99E+307,'Price History'!$A:$A))-'Price History'!L3)*(ROW()-3)/(MATCH(9.99E+307,'Returns (Calc)'!$A:$A)-3),"")</f>
        <v>87.94012578616352</v>
      </c>
      <c r="AH10" s="84">
        <f>IFERROR('Price History'!M3+(INDEX('Price History'!M:M,MATCH(9.99E+307,'Price History'!$A:$A))-'Price History'!M3)*(ROW()-3)/(MATCH(9.99E+307,'Returns (Calc)'!$A:$A)-3),"")</f>
        <v>32.034716981132071</v>
      </c>
      <c r="AI10" s="84">
        <f>IFERROR('Price History'!N3+(INDEX('Price History'!N:N,MATCH(9.99E+307,'Price History'!$A:$A))-'Price History'!N3)*(ROW()-3)/(MATCH(9.99E+307,'Returns (Calc)'!$A:$A)-3),"")</f>
        <v>334.45735849056604</v>
      </c>
      <c r="AJ10" s="84">
        <f>IFERROR('Price History'!O3+(INDEX('Price History'!O:O,MATCH(9.99E+307,'Price History'!$A:$A))-'Price History'!O3)*(ROW()-3)/(MATCH(9.99E+307,'Returns (Calc)'!$A:$A)-3),"")</f>
        <v>79.202515723270437</v>
      </c>
      <c r="AK10" s="84">
        <f>IFERROR('Price History'!Q3+(INDEX('Price History'!Q:Q,MATCH(9.99E+307,'Price History'!$A:$A))-'Price History'!Q3)*(ROW()-3)/(MATCH(9.99E+307,'Returns (Calc)'!$A:$A)-3),"")</f>
        <v>47.645786163522018</v>
      </c>
      <c r="AL10" s="84">
        <f>IFERROR('Price History'!R3+(INDEX('Price History'!R:R,MATCH(9.99E+307,'Price History'!$A:$A))-'Price History'!R3)*(ROW()-3)/(MATCH(9.99E+307,'Returns (Calc)'!$A:$A)-3),"")</f>
        <v>45.714716981132078</v>
      </c>
      <c r="AM10" s="84">
        <f>IFERROR('Price History'!S3+(INDEX('Price History'!S:S,MATCH(9.99E+307,'Price History'!$A:$A))-'Price History'!S3)*(ROW()-3)/(MATCH(9.99E+307,'Returns (Calc)'!$A:$A)-3),"")</f>
        <v>55.962767295597487</v>
      </c>
      <c r="AN10" s="84">
        <f>IFERROR('Price History'!T3+(INDEX('Price History'!T:T,MATCH(9.99E+307,'Price History'!$A:$A))-'Price History'!T3)*(ROW()-3)/(MATCH(9.99E+307,'Returns (Calc)'!$A:$A)-3),"")</f>
        <v>25.725283018867923</v>
      </c>
      <c r="AO10" s="85">
        <f>IFERROR('Price History'!V3+(INDEX('Price History'!V:V,MATCH(9.99E+307,'Price History'!$A:$A))-'Price History'!V3)*(ROW()-3)/(MATCH(9.99E+307,'Returns (Calc)'!$A:$A)-3),"")</f>
        <v>0</v>
      </c>
    </row>
    <row r="11" spans="1:41" ht="15" customHeight="1" x14ac:dyDescent="0.3">
      <c r="A11" s="81">
        <f>IF('Price History'!A12="","",'Price History'!A12)</f>
        <v>45212</v>
      </c>
      <c r="B11" s="82">
        <f>IFERROR(IF(OR(NOT(ISNUMBER('Price History'!B12)),NOT(ISNUMBER('Price History'!B11)),'Price History'!B11=0),"",'Price History'!B12/'Price History'!B11-1),"")</f>
        <v>4.1922989291410362E-2</v>
      </c>
      <c r="C11" s="82">
        <f>IFERROR(IF(OR(NOT(ISNUMBER('Price History'!C12)),NOT(ISNUMBER('Price History'!C11)),'Price History'!C11=0),"",'Price History'!C12/'Price History'!C11-1),"")</f>
        <v>-2.1645021645021578E-2</v>
      </c>
      <c r="D11" s="82">
        <f>IFERROR(IF(OR(NOT(ISNUMBER('Price History'!D12)),NOT(ISNUMBER('Price History'!D11)),'Price History'!D11=0),"",'Price History'!D12/'Price History'!D11-1),"")</f>
        <v>4.0009374581491119E-3</v>
      </c>
      <c r="E11" s="82">
        <f>IFERROR(IF(OR(NOT(ISNUMBER('Price History'!E12)),NOT(ISNUMBER('Price History'!E11)),'Price History'!E11=0),"",'Price History'!E12/'Price History'!E11-1),"")</f>
        <v>4.4836152845143751E-2</v>
      </c>
      <c r="F11" s="82">
        <f>IFERROR(IF(OR(NOT(ISNUMBER('Price History'!F12)),NOT(ISNUMBER('Price History'!F11)),'Price History'!F11=0),"",'Price History'!F12/'Price History'!F11-1),"")</f>
        <v>5.1165949739642169E-2</v>
      </c>
      <c r="G11" s="82">
        <f>IFERROR(IF(OR(NOT(ISNUMBER('Price History'!G12)),NOT(ISNUMBER('Price History'!G11)),'Price History'!G11=0),"",'Price History'!G12/'Price History'!G11-1),"")</f>
        <v>3.99487289040803E-2</v>
      </c>
      <c r="H11" s="82">
        <f>IFERROR(IF(OR(NOT(ISNUMBER('Price History'!H12)),NOT(ISNUMBER('Price History'!H11)),'Price History'!H11=0),"",'Price History'!H12/'Price History'!H11-1),"")</f>
        <v>-1.0720411663807883E-2</v>
      </c>
      <c r="I11" s="82">
        <f>IFERROR(IF(OR(NOT(ISNUMBER('Price History'!I12)),NOT(ISNUMBER('Price History'!I11)),'Price History'!I11=0),"",'Price History'!I12/'Price History'!I11-1),"")</f>
        <v>-6.5559440559439519E-3</v>
      </c>
      <c r="J11" s="82">
        <f>IFERROR(IF(OR(NOT(ISNUMBER('Price History'!J12)),NOT(ISNUMBER('Price History'!J11)),'Price History'!J11=0),"",'Price History'!J12/'Price History'!J11-1),"")</f>
        <v>6.7946010467359041E-3</v>
      </c>
      <c r="K11" s="82">
        <f>IFERROR(IF(OR(NOT(ISNUMBER('Price History'!K12)),NOT(ISNUMBER('Price History'!K11)),'Price History'!K11=0),"",'Price History'!K12/'Price History'!K11-1),"")</f>
        <v>4.5153521974714117E-2</v>
      </c>
      <c r="L11" s="82">
        <f>IFERROR(IF(OR(NOT(ISNUMBER('Price History'!L12)),NOT(ISNUMBER('Price History'!L11)),'Price History'!L11=0),"",'Price History'!L12/'Price History'!L11-1),"")</f>
        <v>1.3103371038190037E-2</v>
      </c>
      <c r="M11" s="82">
        <f>IFERROR(IF(OR(NOT(ISNUMBER('Price History'!M12)),NOT(ISNUMBER('Price History'!M11)),'Price History'!M11=0),"",'Price History'!M12/'Price History'!M11-1),"")</f>
        <v>-1.6846869499622885E-2</v>
      </c>
      <c r="N11" s="82">
        <f>IFERROR(IF(OR(NOT(ISNUMBER('Price History'!N12)),NOT(ISNUMBER('Price History'!N11)),'Price History'!N11=0),"",'Price History'!N12/'Price History'!N11-1),"")</f>
        <v>2.8783761299983279E-2</v>
      </c>
      <c r="O11" s="82">
        <f>IFERROR(IF(OR(NOT(ISNUMBER('Price History'!O12)),NOT(ISNUMBER('Price History'!O11)),'Price History'!O11=0),"",'Price History'!O12/'Price History'!O11-1),"")</f>
        <v>2.6455026455027841E-3</v>
      </c>
      <c r="P11" s="82" t="str">
        <f>IFERROR(IF(OR(NOT(ISNUMBER('Price History'!P12)),NOT(ISNUMBER('Price History'!P11)),'Price History'!P11=0),"",'Price History'!P12/'Price History'!P11-1),"")</f>
        <v/>
      </c>
      <c r="Q11" s="82">
        <f>IFERROR(IF(OR(NOT(ISNUMBER('Price History'!Q12)),NOT(ISNUMBER('Price History'!Q11)),'Price History'!Q11=0),"",'Price History'!Q12/'Price History'!Q11-1),"")</f>
        <v>9.593246354566709E-4</v>
      </c>
      <c r="R11" s="82">
        <f>IFERROR(IF(OR(NOT(ISNUMBER('Price History'!R12)),NOT(ISNUMBER('Price History'!R11)),'Price History'!R11=0),"",'Price History'!R12/'Price History'!R11-1),"")</f>
        <v>2.7583280288563383E-3</v>
      </c>
      <c r="S11" s="82">
        <f>IFERROR(IF(OR(NOT(ISNUMBER('Price History'!S12)),NOT(ISNUMBER('Price History'!S11)),'Price History'!S11=0),"",'Price History'!S12/'Price History'!S11-1),"")</f>
        <v>5.6975138121546642E-3</v>
      </c>
      <c r="T11" s="82">
        <f>IFERROR(IF(OR(NOT(ISNUMBER('Price History'!T12)),NOT(ISNUMBER('Price History'!T11)),'Price History'!T11=0),"",'Price History'!T12/'Price History'!T11-1),"")</f>
        <v>1.2941176470588234E-2</v>
      </c>
      <c r="U11" s="82" t="str">
        <f>IFERROR(IF(OR(NOT(ISNUMBER('Price History'!U12)),NOT(ISNUMBER('Price History'!U11)),'Price History'!U11=0),"",'Price History'!U12/'Price History'!U11-1),"")</f>
        <v/>
      </c>
      <c r="V11" s="83">
        <f>IFERROR(IF(OR(NOT(ISNUMBER('Price History'!V12)),NOT(ISNUMBER('Price History'!V11)),'Price History'!V11=0),"",'Price History'!V12/'Price History'!V11-1),"")</f>
        <v>1.1186558718551343E-2</v>
      </c>
      <c r="W11" s="84" t="str">
        <f>IFERROR('Price History'!B3+(INDEX('Price History'!B:B,MATCH(9.99E+307,'Price History'!$A:$A))-'Price History'!B3)*(ROW()-3)/(MATCH(9.99E+307,'Returns (Calc)'!$A:$A)-3),"")</f>
        <v/>
      </c>
      <c r="X11" s="84">
        <f>IFERROR('Price History'!C3+(INDEX('Price History'!C:C,MATCH(9.99E+307,'Price History'!$A:$A))-'Price History'!C3)*(ROW()-3)/(MATCH(9.99E+307,'Returns (Calc)'!$A:$A)-3),"")</f>
        <v>41.539245283018872</v>
      </c>
      <c r="Y11" s="84">
        <f>IFERROR('Price History'!D3+(INDEX('Price History'!D:D,MATCH(9.99E+307,'Price History'!$A:$A))-'Price History'!D3)*(ROW()-3)/(MATCH(9.99E+307,'Returns (Calc)'!$A:$A)-3),"")</f>
        <v>628.48289308176095</v>
      </c>
      <c r="Z11" s="84">
        <f>IFERROR('Price History'!E3+(INDEX('Price History'!E:E,MATCH(9.99E+307,'Price History'!$A:$A))-'Price History'!E3)*(ROW()-3)/(MATCH(9.99E+307,'Returns (Calc)'!$A:$A)-3),"")</f>
        <v>78.804905660377358</v>
      </c>
      <c r="AA11" s="84">
        <f>IFERROR('Price History'!F3+(INDEX('Price History'!F:F,MATCH(9.99E+307,'Price History'!$A:$A))-'Price History'!F3)*(ROW()-3)/(MATCH(9.99E+307,'Returns (Calc)'!$A:$A)-3),"")</f>
        <v>35.195345911949687</v>
      </c>
      <c r="AB11" s="84">
        <f>IFERROR('Price History'!G3+(INDEX('Price History'!G:G,MATCH(9.99E+307,'Price History'!$A:$A))-'Price History'!G3)*(ROW()-3)/(MATCH(9.99E+307,'Returns (Calc)'!$A:$A)-3),"")</f>
        <v>45.489937106918241</v>
      </c>
      <c r="AC11" s="84">
        <f>IFERROR('Price History'!H3+(INDEX('Price History'!H:H,MATCH(9.99E+307,'Price History'!$A:$A))-'Price History'!H3)*(ROW()-3)/(MATCH(9.99E+307,'Returns (Calc)'!$A:$A)-3),"")</f>
        <v>61.131257861635227</v>
      </c>
      <c r="AD11" s="84">
        <f>IFERROR('Price History'!I3+(INDEX('Price History'!I:I,MATCH(9.99E+307,'Price History'!$A:$A))-'Price History'!I3)*(ROW()-3)/(MATCH(9.99E+307,'Returns (Calc)'!$A:$A)-3),"")</f>
        <v>38.794654088050315</v>
      </c>
      <c r="AE11" s="84">
        <f>IFERROR('Price History'!J3+(INDEX('Price History'!J:J,MATCH(9.99E+307,'Price History'!$A:$A))-'Price History'!J3)*(ROW()-3)/(MATCH(9.99E+307,'Returns (Calc)'!$A:$A)-3),"")</f>
        <v>117.2956603773585</v>
      </c>
      <c r="AF11" s="84">
        <f>IFERROR('Price History'!K3+(INDEX('Price History'!K:K,MATCH(9.99E+307,'Price History'!$A:$A))-'Price History'!K3)*(ROW()-3)/(MATCH(9.99E+307,'Returns (Calc)'!$A:$A)-3),"")</f>
        <v>14.634654088050315</v>
      </c>
      <c r="AG11" s="84">
        <f>IFERROR('Price History'!L3+(INDEX('Price History'!L:L,MATCH(9.99E+307,'Price History'!$A:$A))-'Price History'!L3)*(ROW()-3)/(MATCH(9.99E+307,'Returns (Calc)'!$A:$A)-3),"")</f>
        <v>87.361572327044016</v>
      </c>
      <c r="AH11" s="84">
        <f>IFERROR('Price History'!M3+(INDEX('Price History'!M:M,MATCH(9.99E+307,'Price History'!$A:$A))-'Price History'!M3)*(ROW()-3)/(MATCH(9.99E+307,'Returns (Calc)'!$A:$A)-3),"")</f>
        <v>31.823962264150943</v>
      </c>
      <c r="AI11" s="84">
        <f>IFERROR('Price History'!N3+(INDEX('Price History'!N:N,MATCH(9.99E+307,'Price History'!$A:$A))-'Price History'!N3)*(ROW()-3)/(MATCH(9.99E+307,'Returns (Calc)'!$A:$A)-3),"")</f>
        <v>332.25698113207551</v>
      </c>
      <c r="AJ11" s="84">
        <f>IFERROR('Price History'!O3+(INDEX('Price History'!O:O,MATCH(9.99E+307,'Price History'!$A:$A))-'Price History'!O3)*(ROW()-3)/(MATCH(9.99E+307,'Returns (Calc)'!$A:$A)-3),"")</f>
        <v>78.681446540880501</v>
      </c>
      <c r="AK11" s="84">
        <f>IFERROR('Price History'!Q3+(INDEX('Price History'!Q:Q,MATCH(9.99E+307,'Price History'!$A:$A))-'Price History'!Q3)*(ROW()-3)/(MATCH(9.99E+307,'Returns (Calc)'!$A:$A)-3),"")</f>
        <v>47.332327044025163</v>
      </c>
      <c r="AL11" s="84">
        <f>IFERROR('Price History'!R3+(INDEX('Price History'!R:R,MATCH(9.99E+307,'Price History'!$A:$A))-'Price History'!R3)*(ROW()-3)/(MATCH(9.99E+307,'Returns (Calc)'!$A:$A)-3),"")</f>
        <v>45.413962264150946</v>
      </c>
      <c r="AM11" s="84">
        <f>IFERROR('Price History'!S3+(INDEX('Price History'!S:S,MATCH(9.99E+307,'Price History'!$A:$A))-'Price History'!S3)*(ROW()-3)/(MATCH(9.99E+307,'Returns (Calc)'!$A:$A)-3),"")</f>
        <v>55.594591194968551</v>
      </c>
      <c r="AN11" s="84">
        <f>IFERROR('Price History'!T3+(INDEX('Price History'!T:T,MATCH(9.99E+307,'Price History'!$A:$A))-'Price History'!T3)*(ROW()-3)/(MATCH(9.99E+307,'Returns (Calc)'!$A:$A)-3),"")</f>
        <v>25.556037735849056</v>
      </c>
      <c r="AO11" s="85">
        <f>IFERROR('Price History'!V3+(INDEX('Price History'!V:V,MATCH(9.99E+307,'Price History'!$A:$A))-'Price History'!V3)*(ROW()-3)/(MATCH(9.99E+307,'Returns (Calc)'!$A:$A)-3),"")</f>
        <v>0</v>
      </c>
    </row>
    <row r="12" spans="1:41" ht="15" customHeight="1" x14ac:dyDescent="0.3">
      <c r="A12" s="81">
        <f>IF('Price History'!A13="","",'Price History'!A13)</f>
        <v>45219</v>
      </c>
      <c r="B12" s="82">
        <f>IFERROR(IF(OR(NOT(ISNUMBER('Price History'!B13)),NOT(ISNUMBER('Price History'!B12)),'Price History'!B12=0),"",'Price History'!B13/'Price History'!B12-1),"")</f>
        <v>-1.4213863984255282E-2</v>
      </c>
      <c r="C12" s="82">
        <f>IFERROR(IF(OR(NOT(ISNUMBER('Price History'!C13)),NOT(ISNUMBER('Price History'!C12)),'Price History'!C12=0),"",'Price History'!C13/'Price History'!C12-1),"")</f>
        <v>-1.9595448798988668E-2</v>
      </c>
      <c r="D12" s="82">
        <f>IFERROR(IF(OR(NOT(ISNUMBER('Price History'!D13)),NOT(ISNUMBER('Price History'!D12)),'Price History'!D12=0),"",'Price History'!D13/'Price History'!D12-1),"")</f>
        <v>-3.2763651521467207E-2</v>
      </c>
      <c r="E12" s="82">
        <f>IFERROR(IF(OR(NOT(ISNUMBER('Price History'!E13)),NOT(ISNUMBER('Price History'!E12)),'Price History'!E12=0),"",'Price History'!E13/'Price History'!E12-1),"")</f>
        <v>-3.3514492753623171E-2</v>
      </c>
      <c r="F12" s="82">
        <f>IFERROR(IF(OR(NOT(ISNUMBER('Price History'!F13)),NOT(ISNUMBER('Price History'!F12)),'Price History'!F12=0),"",'Price History'!F13/'Price History'!F12-1),"")</f>
        <v>-3.7475769976308415E-2</v>
      </c>
      <c r="G12" s="82">
        <f>IFERROR(IF(OR(NOT(ISNUMBER('Price History'!G13)),NOT(ISNUMBER('Price History'!G12)),'Price History'!G12=0),"",'Price History'!G13/'Price History'!G12-1),"")</f>
        <v>-5.0123253903040177E-2</v>
      </c>
      <c r="H12" s="82">
        <f>IFERROR(IF(OR(NOT(ISNUMBER('Price History'!H13)),NOT(ISNUMBER('Price History'!H12)),'Price History'!H12=0),"",'Price History'!H13/'Price History'!H12-1),"")</f>
        <v>-2.8753070365554079E-2</v>
      </c>
      <c r="I12" s="82">
        <f>IFERROR(IF(OR(NOT(ISNUMBER('Price History'!I13)),NOT(ISNUMBER('Price History'!I12)),'Price History'!I12=0),"",'Price History'!I13/'Price History'!I12-1),"")</f>
        <v>-8.9529256489221276E-2</v>
      </c>
      <c r="J12" s="82">
        <f>IFERROR(IF(OR(NOT(ISNUMBER('Price History'!J13)),NOT(ISNUMBER('Price History'!J12)),'Price History'!J12=0),"",'Price History'!J13/'Price History'!J12-1),"")</f>
        <v>-6.5845873233014163E-2</v>
      </c>
      <c r="K12" s="82">
        <f>IFERROR(IF(OR(NOT(ISNUMBER('Price History'!K13)),NOT(ISNUMBER('Price History'!K12)),'Price History'!K12=0),"",'Price History'!K13/'Price History'!K12-1),"")</f>
        <v>-7.2004608294930827E-2</v>
      </c>
      <c r="L12" s="82">
        <f>IFERROR(IF(OR(NOT(ISNUMBER('Price History'!L13)),NOT(ISNUMBER('Price History'!L12)),'Price History'!L12=0),"",'Price History'!L13/'Price History'!L12-1),"")</f>
        <v>9.3964183064338958E-3</v>
      </c>
      <c r="M12" s="82">
        <f>IFERROR(IF(OR(NOT(ISNUMBER('Price History'!M13)),NOT(ISNUMBER('Price History'!M12)),'Price History'!M12=0),"",'Price History'!M13/'Price History'!M12-1),"")</f>
        <v>-6.0358056265984672E-2</v>
      </c>
      <c r="N12" s="82">
        <f>IFERROR(IF(OR(NOT(ISNUMBER('Price History'!N13)),NOT(ISNUMBER('Price History'!N12)),'Price History'!N12=0),"",'Price History'!N13/'Price History'!N12-1),"")</f>
        <v>-2.4636118598382661E-2</v>
      </c>
      <c r="O12" s="82">
        <f>IFERROR(IF(OR(NOT(ISNUMBER('Price History'!O13)),NOT(ISNUMBER('Price History'!O12)),'Price History'!O12=0),"",'Price History'!O13/'Price History'!O12-1),"")</f>
        <v>-1.6754617414247996E-2</v>
      </c>
      <c r="P12" s="82" t="str">
        <f>IFERROR(IF(OR(NOT(ISNUMBER('Price History'!P13)),NOT(ISNUMBER('Price History'!P12)),'Price History'!P12=0),"",'Price History'!P13/'Price History'!P12-1),"")</f>
        <v/>
      </c>
      <c r="Q12" s="82">
        <f>IFERROR(IF(OR(NOT(ISNUMBER('Price History'!Q13)),NOT(ISNUMBER('Price History'!Q12)),'Price History'!Q12=0),"",'Price History'!Q13/'Price History'!Q12-1),"")</f>
        <v>3.6419398121525504E-3</v>
      </c>
      <c r="R12" s="82">
        <f>IFERROR(IF(OR(NOT(ISNUMBER('Price History'!R13)),NOT(ISNUMBER('Price History'!R12)),'Price History'!R12=0),"",'Price History'!R13/'Price History'!R12-1),"")</f>
        <v>-1.9889970376639865E-2</v>
      </c>
      <c r="S12" s="82">
        <f>IFERROR(IF(OR(NOT(ISNUMBER('Price History'!S13)),NOT(ISNUMBER('Price History'!S12)),'Price History'!S12=0),"",'Price History'!S13/'Price History'!S12-1),"")</f>
        <v>-2.9012875536480687E-2</v>
      </c>
      <c r="T12" s="82">
        <f>IFERROR(IF(OR(NOT(ISNUMBER('Price History'!T13)),NOT(ISNUMBER('Price History'!T12)),'Price History'!T12=0),"",'Price History'!T13/'Price History'!T12-1),"")</f>
        <v>-1.2775842044134622E-2</v>
      </c>
      <c r="U12" s="82" t="str">
        <f>IFERROR(IF(OR(NOT(ISNUMBER('Price History'!U13)),NOT(ISNUMBER('Price History'!U12)),'Price History'!U12=0),"",'Price History'!U13/'Price History'!U12-1),"")</f>
        <v/>
      </c>
      <c r="V12" s="83">
        <f>IFERROR(IF(OR(NOT(ISNUMBER('Price History'!V13)),NOT(ISNUMBER('Price History'!V12)),'Price History'!V12=0),"",'Price History'!V13/'Price History'!V12-1),"")</f>
        <v>-1.8036244673066193E-2</v>
      </c>
      <c r="W12" s="84" t="str">
        <f>IFERROR('Price History'!B3+(INDEX('Price History'!B:B,MATCH(9.99E+307,'Price History'!$A:$A))-'Price History'!B3)*(ROW()-3)/(MATCH(9.99E+307,'Returns (Calc)'!$A:$A)-3),"")</f>
        <v/>
      </c>
      <c r="X12" s="84">
        <f>IFERROR('Price History'!C3+(INDEX('Price History'!C:C,MATCH(9.99E+307,'Price History'!$A:$A))-'Price History'!C3)*(ROW()-3)/(MATCH(9.99E+307,'Returns (Calc)'!$A:$A)-3),"")</f>
        <v>41.264150943396231</v>
      </c>
      <c r="Y12" s="84">
        <f>IFERROR('Price History'!D3+(INDEX('Price History'!D:D,MATCH(9.99E+307,'Price History'!$A:$A))-'Price History'!D3)*(ROW()-3)/(MATCH(9.99E+307,'Returns (Calc)'!$A:$A)-3),"")</f>
        <v>624.32075471698113</v>
      </c>
      <c r="Z12" s="84">
        <f>IFERROR('Price History'!E3+(INDEX('Price History'!E:E,MATCH(9.99E+307,'Price History'!$A:$A))-'Price History'!E3)*(ROW()-3)/(MATCH(9.99E+307,'Returns (Calc)'!$A:$A)-3),"")</f>
        <v>78.283018867924525</v>
      </c>
      <c r="AA12" s="84">
        <f>IFERROR('Price History'!F3+(INDEX('Price History'!F:F,MATCH(9.99E+307,'Price History'!$A:$A))-'Price History'!F3)*(ROW()-3)/(MATCH(9.99E+307,'Returns (Calc)'!$A:$A)-3),"")</f>
        <v>34.962264150943398</v>
      </c>
      <c r="AB12" s="84">
        <f>IFERROR('Price History'!G3+(INDEX('Price History'!G:G,MATCH(9.99E+307,'Price History'!$A:$A))-'Price History'!G3)*(ROW()-3)/(MATCH(9.99E+307,'Returns (Calc)'!$A:$A)-3),"")</f>
        <v>45.188679245283019</v>
      </c>
      <c r="AC12" s="84">
        <f>IFERROR('Price History'!H3+(INDEX('Price History'!H:H,MATCH(9.99E+307,'Price History'!$A:$A))-'Price History'!H3)*(ROW()-3)/(MATCH(9.99E+307,'Returns (Calc)'!$A:$A)-3),"")</f>
        <v>60.726415094339629</v>
      </c>
      <c r="AD12" s="84">
        <f>IFERROR('Price History'!I3+(INDEX('Price History'!I:I,MATCH(9.99E+307,'Price History'!$A:$A))-'Price History'!I3)*(ROW()-3)/(MATCH(9.99E+307,'Returns (Calc)'!$A:$A)-3),"")</f>
        <v>38.537735849056602</v>
      </c>
      <c r="AE12" s="84">
        <f>IFERROR('Price History'!J3+(INDEX('Price History'!J:J,MATCH(9.99E+307,'Price History'!$A:$A))-'Price History'!J3)*(ROW()-3)/(MATCH(9.99E+307,'Returns (Calc)'!$A:$A)-3),"")</f>
        <v>116.51886792452831</v>
      </c>
      <c r="AF12" s="84">
        <f>IFERROR('Price History'!K3+(INDEX('Price History'!K:K,MATCH(9.99E+307,'Price History'!$A:$A))-'Price History'!K3)*(ROW()-3)/(MATCH(9.99E+307,'Returns (Calc)'!$A:$A)-3),"")</f>
        <v>14.537735849056604</v>
      </c>
      <c r="AG12" s="84">
        <f>IFERROR('Price History'!L3+(INDEX('Price History'!L:L,MATCH(9.99E+307,'Price History'!$A:$A))-'Price History'!L3)*(ROW()-3)/(MATCH(9.99E+307,'Returns (Calc)'!$A:$A)-3),"")</f>
        <v>86.783018867924525</v>
      </c>
      <c r="AH12" s="84">
        <f>IFERROR('Price History'!M3+(INDEX('Price History'!M:M,MATCH(9.99E+307,'Price History'!$A:$A))-'Price History'!M3)*(ROW()-3)/(MATCH(9.99E+307,'Returns (Calc)'!$A:$A)-3),"")</f>
        <v>31.613207547169811</v>
      </c>
      <c r="AI12" s="84">
        <f>IFERROR('Price History'!N3+(INDEX('Price History'!N:N,MATCH(9.99E+307,'Price History'!$A:$A))-'Price History'!N3)*(ROW()-3)/(MATCH(9.99E+307,'Returns (Calc)'!$A:$A)-3),"")</f>
        <v>330.05660377358492</v>
      </c>
      <c r="AJ12" s="84">
        <f>IFERROR('Price History'!O3+(INDEX('Price History'!O:O,MATCH(9.99E+307,'Price History'!$A:$A))-'Price History'!O3)*(ROW()-3)/(MATCH(9.99E+307,'Returns (Calc)'!$A:$A)-3),"")</f>
        <v>78.160377358490564</v>
      </c>
      <c r="AK12" s="84">
        <f>IFERROR('Price History'!Q3+(INDEX('Price History'!Q:Q,MATCH(9.99E+307,'Price History'!$A:$A))-'Price History'!Q3)*(ROW()-3)/(MATCH(9.99E+307,'Returns (Calc)'!$A:$A)-3),"")</f>
        <v>47.018867924528308</v>
      </c>
      <c r="AL12" s="84">
        <f>IFERROR('Price History'!R3+(INDEX('Price History'!R:R,MATCH(9.99E+307,'Price History'!$A:$A))-'Price History'!R3)*(ROW()-3)/(MATCH(9.99E+307,'Returns (Calc)'!$A:$A)-3),"")</f>
        <v>45.113207547169814</v>
      </c>
      <c r="AM12" s="84">
        <f>IFERROR('Price History'!S3+(INDEX('Price History'!S:S,MATCH(9.99E+307,'Price History'!$A:$A))-'Price History'!S3)*(ROW()-3)/(MATCH(9.99E+307,'Returns (Calc)'!$A:$A)-3),"")</f>
        <v>55.226415094339622</v>
      </c>
      <c r="AN12" s="84">
        <f>IFERROR('Price History'!T3+(INDEX('Price History'!T:T,MATCH(9.99E+307,'Price History'!$A:$A))-'Price History'!T3)*(ROW()-3)/(MATCH(9.99E+307,'Returns (Calc)'!$A:$A)-3),"")</f>
        <v>25.386792452830189</v>
      </c>
      <c r="AO12" s="85">
        <f>IFERROR('Price History'!V3+(INDEX('Price History'!V:V,MATCH(9.99E+307,'Price History'!$A:$A))-'Price History'!V3)*(ROW()-3)/(MATCH(9.99E+307,'Returns (Calc)'!$A:$A)-3),"")</f>
        <v>0</v>
      </c>
    </row>
    <row r="13" spans="1:41" ht="15" customHeight="1" x14ac:dyDescent="0.3">
      <c r="A13" s="81">
        <f>IF('Price History'!A14="","",'Price History'!A14)</f>
        <v>45226</v>
      </c>
      <c r="B13" s="82">
        <f>IFERROR(IF(OR(NOT(ISNUMBER('Price History'!B14)),NOT(ISNUMBER('Price History'!B13)),'Price History'!B13=0),"",'Price History'!B14/'Price History'!B13-1),"")</f>
        <v>-6.0706891452233069E-2</v>
      </c>
      <c r="C13" s="82">
        <f>IFERROR(IF(OR(NOT(ISNUMBER('Price History'!C14)),NOT(ISNUMBER('Price History'!C13)),'Price History'!C13=0),"",'Price History'!C14/'Price History'!C13-1),"")</f>
        <v>-5.3298946915968259E-2</v>
      </c>
      <c r="D13" s="82">
        <f>IFERROR(IF(OR(NOT(ISNUMBER('Price History'!D14)),NOT(ISNUMBER('Price History'!D13)),'Price History'!D13=0),"",'Price History'!D14/'Price History'!D13-1),"")</f>
        <v>1.7066023099465477E-2</v>
      </c>
      <c r="E13" s="82">
        <f>IFERROR(IF(OR(NOT(ISNUMBER('Price History'!E14)),NOT(ISNUMBER('Price History'!E13)),'Price History'!E13=0),"",'Price History'!E14/'Price History'!E13-1),"")</f>
        <v>-1.7806935332708496E-2</v>
      </c>
      <c r="F13" s="82">
        <f>IFERROR(IF(OR(NOT(ISNUMBER('Price History'!F14)),NOT(ISNUMBER('Price History'!F13)),'Price History'!F13=0),"",'Price History'!F14/'Price History'!F13-1),"")</f>
        <v>-3.3117028417990579E-2</v>
      </c>
      <c r="G13" s="82">
        <f>IFERROR(IF(OR(NOT(ISNUMBER('Price History'!G14)),NOT(ISNUMBER('Price History'!G13)),'Price History'!G13=0),"",'Price History'!G14/'Price History'!G13-1),"")</f>
        <v>-9.7318339100346263E-3</v>
      </c>
      <c r="H13" s="82">
        <f>IFERROR(IF(OR(NOT(ISNUMBER('Price History'!H14)),NOT(ISNUMBER('Price History'!H13)),'Price History'!H13=0),"",'Price History'!H14/'Price History'!H13-1),"")</f>
        <v>-2.3356144004760382E-2</v>
      </c>
      <c r="I13" s="82">
        <f>IFERROR(IF(OR(NOT(ISNUMBER('Price History'!I14)),NOT(ISNUMBER('Price History'!I13)),'Price History'!I13=0),"",'Price History'!I14/'Price History'!I13-1),"")</f>
        <v>-2.1502778448900695E-2</v>
      </c>
      <c r="J13" s="82">
        <f>IFERROR(IF(OR(NOT(ISNUMBER('Price History'!J14)),NOT(ISNUMBER('Price History'!J13)),'Price History'!J13=0),"",'Price History'!J14/'Price History'!J13-1),"")</f>
        <v>-4.9887728204627724E-2</v>
      </c>
      <c r="K13" s="82">
        <f>IFERROR(IF(OR(NOT(ISNUMBER('Price History'!K14)),NOT(ISNUMBER('Price History'!K13)),'Price History'!K13=0),"",'Price History'!K14/'Price History'!K13-1),"")</f>
        <v>-6.4556176288019795E-2</v>
      </c>
      <c r="L13" s="82">
        <f>IFERROR(IF(OR(NOT(ISNUMBER('Price History'!L14)),NOT(ISNUMBER('Price History'!L13)),'Price History'!L13=0),"",'Price History'!L14/'Price History'!L13-1),"")</f>
        <v>-5.8263059905815484E-2</v>
      </c>
      <c r="M13" s="82">
        <f>IFERROR(IF(OR(NOT(ISNUMBER('Price History'!M14)),NOT(ISNUMBER('Price History'!M13)),'Price History'!M13=0),"",'Price History'!M14/'Price History'!M13-1),"")</f>
        <v>-8.7098530212302849E-3</v>
      </c>
      <c r="N13" s="82">
        <f>IFERROR(IF(OR(NOT(ISNUMBER('Price History'!N14)),NOT(ISNUMBER('Price History'!N13)),'Price History'!N13=0),"",'Price History'!N14/'Price History'!N13-1),"")</f>
        <v>-1.8183827999779023E-2</v>
      </c>
      <c r="O13" s="82">
        <f>IFERROR(IF(OR(NOT(ISNUMBER('Price History'!O14)),NOT(ISNUMBER('Price History'!O13)),'Price History'!O13=0),"",'Price History'!O14/'Price History'!O13-1),"")</f>
        <v>-1.5430028176573241E-2</v>
      </c>
      <c r="P13" s="82" t="str">
        <f>IFERROR(IF(OR(NOT(ISNUMBER('Price History'!P14)),NOT(ISNUMBER('Price History'!P13)),'Price History'!P13=0),"",'Price History'!P14/'Price History'!P13-1),"")</f>
        <v/>
      </c>
      <c r="Q13" s="82">
        <f>IFERROR(IF(OR(NOT(ISNUMBER('Price History'!Q14)),NOT(ISNUMBER('Price History'!Q13)),'Price History'!Q13=0),"",'Price History'!Q14/'Price History'!Q13-1),"")</f>
        <v>8.9763177998471999E-3</v>
      </c>
      <c r="R13" s="82">
        <f>IFERROR(IF(OR(NOT(ISNUMBER('Price History'!R14)),NOT(ISNUMBER('Price History'!R13)),'Price History'!R13=0),"",'Price History'!R14/'Price History'!R13-1),"")</f>
        <v>-2.0725388601036343E-2</v>
      </c>
      <c r="S13" s="82">
        <f>IFERROR(IF(OR(NOT(ISNUMBER('Price History'!S14)),NOT(ISNUMBER('Price History'!S13)),'Price History'!S13=0),"",'Price History'!S14/'Price History'!S13-1),"")</f>
        <v>-2.0155586987270158E-2</v>
      </c>
      <c r="T13" s="82">
        <f>IFERROR(IF(OR(NOT(ISNUMBER('Price History'!T14)),NOT(ISNUMBER('Price History'!T13)),'Price History'!T13=0),"",'Price History'!T14/'Price History'!T13-1),"")</f>
        <v>-3.2941176470588251E-2</v>
      </c>
      <c r="U13" s="82" t="str">
        <f>IFERROR(IF(OR(NOT(ISNUMBER('Price History'!U14)),NOT(ISNUMBER('Price History'!U13)),'Price History'!U13=0),"",'Price History'!U14/'Price History'!U13-1),"")</f>
        <v/>
      </c>
      <c r="V13" s="83">
        <f>IFERROR(IF(OR(NOT(ISNUMBER('Price History'!V14)),NOT(ISNUMBER('Price History'!V13)),'Price History'!V13=0),"",'Price History'!V14/'Price History'!V13-1),"")</f>
        <v>-1.7622304050499804E-2</v>
      </c>
      <c r="W13" s="84" t="str">
        <f>IFERROR('Price History'!B3+(INDEX('Price History'!B:B,MATCH(9.99E+307,'Price History'!$A:$A))-'Price History'!B3)*(ROW()-3)/(MATCH(9.99E+307,'Returns (Calc)'!$A:$A)-3),"")</f>
        <v/>
      </c>
      <c r="X13" s="84">
        <f>IFERROR('Price History'!C3+(INDEX('Price History'!C:C,MATCH(9.99E+307,'Price History'!$A:$A))-'Price History'!C3)*(ROW()-3)/(MATCH(9.99E+307,'Returns (Calc)'!$A:$A)-3),"")</f>
        <v>40.989056603773584</v>
      </c>
      <c r="Y13" s="84">
        <f>IFERROR('Price History'!D3+(INDEX('Price History'!D:D,MATCH(9.99E+307,'Price History'!$A:$A))-'Price History'!D3)*(ROW()-3)/(MATCH(9.99E+307,'Returns (Calc)'!$A:$A)-3),"")</f>
        <v>620.15861635220119</v>
      </c>
      <c r="Z13" s="84">
        <f>IFERROR('Price History'!E3+(INDEX('Price History'!E:E,MATCH(9.99E+307,'Price History'!$A:$A))-'Price History'!E3)*(ROW()-3)/(MATCH(9.99E+307,'Returns (Calc)'!$A:$A)-3),"")</f>
        <v>77.761132075471707</v>
      </c>
      <c r="AA13" s="84">
        <f>IFERROR('Price History'!F3+(INDEX('Price History'!F:F,MATCH(9.99E+307,'Price History'!$A:$A))-'Price History'!F3)*(ROW()-3)/(MATCH(9.99E+307,'Returns (Calc)'!$A:$A)-3),"")</f>
        <v>34.729182389937108</v>
      </c>
      <c r="AB13" s="84">
        <f>IFERROR('Price History'!G3+(INDEX('Price History'!G:G,MATCH(9.99E+307,'Price History'!$A:$A))-'Price History'!G3)*(ROW()-3)/(MATCH(9.99E+307,'Returns (Calc)'!$A:$A)-3),"")</f>
        <v>44.887421383647798</v>
      </c>
      <c r="AC13" s="84">
        <f>IFERROR('Price History'!H3+(INDEX('Price History'!H:H,MATCH(9.99E+307,'Price History'!$A:$A))-'Price History'!H3)*(ROW()-3)/(MATCH(9.99E+307,'Returns (Calc)'!$A:$A)-3),"")</f>
        <v>60.321572327044031</v>
      </c>
      <c r="AD13" s="84">
        <f>IFERROR('Price History'!I3+(INDEX('Price History'!I:I,MATCH(9.99E+307,'Price History'!$A:$A))-'Price History'!I3)*(ROW()-3)/(MATCH(9.99E+307,'Returns (Calc)'!$A:$A)-3),"")</f>
        <v>38.280817610062897</v>
      </c>
      <c r="AE13" s="84">
        <f>IFERROR('Price History'!J3+(INDEX('Price History'!J:J,MATCH(9.99E+307,'Price History'!$A:$A))-'Price History'!J3)*(ROW()-3)/(MATCH(9.99E+307,'Returns (Calc)'!$A:$A)-3),"")</f>
        <v>115.74207547169812</v>
      </c>
      <c r="AF13" s="84">
        <f>IFERROR('Price History'!K3+(INDEX('Price History'!K:K,MATCH(9.99E+307,'Price History'!$A:$A))-'Price History'!K3)*(ROW()-3)/(MATCH(9.99E+307,'Returns (Calc)'!$A:$A)-3),"")</f>
        <v>14.440817610062894</v>
      </c>
      <c r="AG13" s="84">
        <f>IFERROR('Price History'!L3+(INDEX('Price History'!L:L,MATCH(9.99E+307,'Price History'!$A:$A))-'Price History'!L3)*(ROW()-3)/(MATCH(9.99E+307,'Returns (Calc)'!$A:$A)-3),"")</f>
        <v>86.204465408805021</v>
      </c>
      <c r="AH13" s="84">
        <f>IFERROR('Price History'!M3+(INDEX('Price History'!M:M,MATCH(9.99E+307,'Price History'!$A:$A))-'Price History'!M3)*(ROW()-3)/(MATCH(9.99E+307,'Returns (Calc)'!$A:$A)-3),"")</f>
        <v>31.402452830188679</v>
      </c>
      <c r="AI13" s="84">
        <f>IFERROR('Price History'!N3+(INDEX('Price History'!N:N,MATCH(9.99E+307,'Price History'!$A:$A))-'Price History'!N3)*(ROW()-3)/(MATCH(9.99E+307,'Returns (Calc)'!$A:$A)-3),"")</f>
        <v>327.85622641509434</v>
      </c>
      <c r="AJ13" s="84">
        <f>IFERROR('Price History'!O3+(INDEX('Price History'!O:O,MATCH(9.99E+307,'Price History'!$A:$A))-'Price History'!O3)*(ROW()-3)/(MATCH(9.99E+307,'Returns (Calc)'!$A:$A)-3),"")</f>
        <v>77.639308176100627</v>
      </c>
      <c r="AK13" s="84">
        <f>IFERROR('Price History'!Q3+(INDEX('Price History'!Q:Q,MATCH(9.99E+307,'Price History'!$A:$A))-'Price History'!Q3)*(ROW()-3)/(MATCH(9.99E+307,'Returns (Calc)'!$A:$A)-3),"")</f>
        <v>46.705408805031453</v>
      </c>
      <c r="AL13" s="84">
        <f>IFERROR('Price History'!R3+(INDEX('Price History'!R:R,MATCH(9.99E+307,'Price History'!$A:$A))-'Price History'!R3)*(ROW()-3)/(MATCH(9.99E+307,'Returns (Calc)'!$A:$A)-3),"")</f>
        <v>44.812452830188683</v>
      </c>
      <c r="AM13" s="84">
        <f>IFERROR('Price History'!S3+(INDEX('Price History'!S:S,MATCH(9.99E+307,'Price History'!$A:$A))-'Price History'!S3)*(ROW()-3)/(MATCH(9.99E+307,'Returns (Calc)'!$A:$A)-3),"")</f>
        <v>54.858238993710692</v>
      </c>
      <c r="AN13" s="84">
        <f>IFERROR('Price History'!T3+(INDEX('Price History'!T:T,MATCH(9.99E+307,'Price History'!$A:$A))-'Price History'!T3)*(ROW()-3)/(MATCH(9.99E+307,'Returns (Calc)'!$A:$A)-3),"")</f>
        <v>25.217547169811322</v>
      </c>
      <c r="AO13" s="85">
        <f>IFERROR('Price History'!V3+(INDEX('Price History'!V:V,MATCH(9.99E+307,'Price History'!$A:$A))-'Price History'!V3)*(ROW()-3)/(MATCH(9.99E+307,'Returns (Calc)'!$A:$A)-3),"")</f>
        <v>0</v>
      </c>
    </row>
    <row r="14" spans="1:41" ht="15" customHeight="1" x14ac:dyDescent="0.3">
      <c r="A14" s="81">
        <f>IF('Price History'!A15="","",'Price History'!A15)</f>
        <v>45233</v>
      </c>
      <c r="B14" s="82">
        <f>IFERROR(IF(OR(NOT(ISNUMBER('Price History'!B15)),NOT(ISNUMBER('Price History'!B14)),'Price History'!B14=0),"",'Price History'!B15/'Price History'!B14-1),"")</f>
        <v>0.10930488860899001</v>
      </c>
      <c r="C14" s="82">
        <f>IFERROR(IF(OR(NOT(ISNUMBER('Price History'!C15)),NOT(ISNUMBER('Price History'!C14)),'Price History'!C14=0),"",'Price History'!C15/'Price History'!C14-1),"")</f>
        <v>0.20590238365493763</v>
      </c>
      <c r="D14" s="82">
        <f>IFERROR(IF(OR(NOT(ISNUMBER('Price History'!D15)),NOT(ISNUMBER('Price History'!D14)),'Price History'!D14=0),"",'Price History'!D15/'Price History'!D14-1),"")</f>
        <v>8.8830508474576186E-2</v>
      </c>
      <c r="E14" s="82">
        <f>IFERROR(IF(OR(NOT(ISNUMBER('Price History'!E15)),NOT(ISNUMBER('Price History'!E14)),'Price History'!E14=0),"",'Price History'!E15/'Price History'!E14-1),"")</f>
        <v>5.2838740458015288E-2</v>
      </c>
      <c r="F14" s="82">
        <f>IFERROR(IF(OR(NOT(ISNUMBER('Price History'!F15)),NOT(ISNUMBER('Price History'!F14)),'Price History'!F14=0),"",'Price History'!F15/'Price History'!F14-1),"")</f>
        <v>8.9099745429298771E-2</v>
      </c>
      <c r="G14" s="82">
        <f>IFERROR(IF(OR(NOT(ISNUMBER('Price History'!G15)),NOT(ISNUMBER('Price History'!G14)),'Price History'!G14=0),"",'Price History'!G15/'Price History'!G14-1),"")</f>
        <v>9.1067918759554445E-2</v>
      </c>
      <c r="H14" s="82">
        <f>IFERROR(IF(OR(NOT(ISNUMBER('Price History'!H15)),NOT(ISNUMBER('Price History'!H14)),'Price History'!H14=0),"",'Price History'!H15/'Price History'!H14-1),"")</f>
        <v>0.10555978674790545</v>
      </c>
      <c r="I14" s="82">
        <f>IFERROR(IF(OR(NOT(ISNUMBER('Price History'!I15)),NOT(ISNUMBER('Price History'!I14)),'Price History'!I14=0),"",'Price History'!I15/'Price History'!I14-1),"")</f>
        <v>0.11135802469135792</v>
      </c>
      <c r="J14" s="82">
        <f>IFERROR(IF(OR(NOT(ISNUMBER('Price History'!J15)),NOT(ISNUMBER('Price History'!J14)),'Price History'!J14=0),"",'Price History'!J15/'Price History'!J14-1),"")</f>
        <v>9.4841759145088522E-2</v>
      </c>
      <c r="K14" s="82">
        <f>IFERROR(IF(OR(NOT(ISNUMBER('Price History'!K15)),NOT(ISNUMBER('Price History'!K14)),'Price History'!K14=0),"",'Price History'!K15/'Price History'!K14-1),"")</f>
        <v>0.25348374253483752</v>
      </c>
      <c r="L14" s="82">
        <f>IFERROR(IF(OR(NOT(ISNUMBER('Price History'!L15)),NOT(ISNUMBER('Price History'!L14)),'Price History'!L14=0),"",'Price History'!L15/'Price History'!L14-1),"")</f>
        <v>6.744970345389012E-2</v>
      </c>
      <c r="M14" s="82">
        <f>IFERROR(IF(OR(NOT(ISNUMBER('Price History'!M15)),NOT(ISNUMBER('Price History'!M14)),'Price History'!M14=0),"",'Price History'!M15/'Price History'!M14-1),"")</f>
        <v>0.11037891268533762</v>
      </c>
      <c r="N14" s="82">
        <f>IFERROR(IF(OR(NOT(ISNUMBER('Price History'!N15)),NOT(ISNUMBER('Price History'!N14)),'Price History'!N14=0),"",'Price History'!N15/'Price History'!N14-1),"")</f>
        <v>5.8883134429182693E-2</v>
      </c>
      <c r="O14" s="82">
        <f>IFERROR(IF(OR(NOT(ISNUMBER('Price History'!O15)),NOT(ISNUMBER('Price History'!O14)),'Price History'!O14=0),"",'Price History'!O15/'Price History'!O14-1),"")</f>
        <v>7.1545380212592047E-2</v>
      </c>
      <c r="P14" s="82" t="str">
        <f>IFERROR(IF(OR(NOT(ISNUMBER('Price History'!P15)),NOT(ISNUMBER('Price History'!P14)),'Price History'!P14=0),"",'Price History'!P15/'Price History'!P14-1),"")</f>
        <v/>
      </c>
      <c r="Q14" s="82">
        <f>IFERROR(IF(OR(NOT(ISNUMBER('Price History'!Q15)),NOT(ISNUMBER('Price History'!Q14)),'Price History'!Q14=0),"",'Price History'!Q15/'Price History'!Q14-1),"")</f>
        <v>-7.5714556123418486E-4</v>
      </c>
      <c r="R14" s="82">
        <f>IFERROR(IF(OR(NOT(ISNUMBER('Price History'!R15)),NOT(ISNUMBER('Price History'!R14)),'Price History'!R14=0),"",'Price History'!R15/'Price History'!R14-1),"")</f>
        <v>4.7619047619047672E-2</v>
      </c>
      <c r="S14" s="82">
        <f>IFERROR(IF(OR(NOT(ISNUMBER('Price History'!S15)),NOT(ISNUMBER('Price History'!S14)),'Price History'!S14=0),"",'Price History'!S15/'Price History'!S14-1),"")</f>
        <v>5.8282208588956941E-2</v>
      </c>
      <c r="T14" s="82">
        <f>IFERROR(IF(OR(NOT(ISNUMBER('Price History'!T15)),NOT(ISNUMBER('Price History'!T14)),'Price History'!T14=0),"",'Price History'!T15/'Price History'!T14-1),"")</f>
        <v>5.8799675587996703E-2</v>
      </c>
      <c r="U14" s="82" t="str">
        <f>IFERROR(IF(OR(NOT(ISNUMBER('Price History'!U15)),NOT(ISNUMBER('Price History'!U14)),'Price History'!U14=0),"",'Price History'!U15/'Price History'!U14-1),"")</f>
        <v/>
      </c>
      <c r="V14" s="83">
        <f>IFERROR(IF(OR(NOT(ISNUMBER('Price History'!V15)),NOT(ISNUMBER('Price History'!V14)),'Price History'!V14=0),"",'Price History'!V15/'Price History'!V14-1),"")</f>
        <v>6.2516733601071017E-2</v>
      </c>
      <c r="W14" s="84" t="str">
        <f>IFERROR('Price History'!B3+(INDEX('Price History'!B:B,MATCH(9.99E+307,'Price History'!$A:$A))-'Price History'!B3)*(ROW()-3)/(MATCH(9.99E+307,'Returns (Calc)'!$A:$A)-3),"")</f>
        <v/>
      </c>
      <c r="X14" s="84">
        <f>IFERROR('Price History'!C3+(INDEX('Price History'!C:C,MATCH(9.99E+307,'Price History'!$A:$A))-'Price History'!C3)*(ROW()-3)/(MATCH(9.99E+307,'Returns (Calc)'!$A:$A)-3),"")</f>
        <v>40.713962264150943</v>
      </c>
      <c r="Y14" s="84">
        <f>IFERROR('Price History'!D3+(INDEX('Price History'!D:D,MATCH(9.99E+307,'Price History'!$A:$A))-'Price History'!D3)*(ROW()-3)/(MATCH(9.99E+307,'Returns (Calc)'!$A:$A)-3),"")</f>
        <v>615.99647798742137</v>
      </c>
      <c r="Z14" s="84">
        <f>IFERROR('Price History'!E3+(INDEX('Price History'!E:E,MATCH(9.99E+307,'Price History'!$A:$A))-'Price History'!E3)*(ROW()-3)/(MATCH(9.99E+307,'Returns (Calc)'!$A:$A)-3),"")</f>
        <v>77.239245283018874</v>
      </c>
      <c r="AA14" s="84">
        <f>IFERROR('Price History'!F3+(INDEX('Price History'!F:F,MATCH(9.99E+307,'Price History'!$A:$A))-'Price History'!F3)*(ROW()-3)/(MATCH(9.99E+307,'Returns (Calc)'!$A:$A)-3),"")</f>
        <v>34.496100628930819</v>
      </c>
      <c r="AB14" s="84">
        <f>IFERROR('Price History'!G3+(INDEX('Price History'!G:G,MATCH(9.99E+307,'Price History'!$A:$A))-'Price History'!G3)*(ROW()-3)/(MATCH(9.99E+307,'Returns (Calc)'!$A:$A)-3),"")</f>
        <v>44.586163522012576</v>
      </c>
      <c r="AC14" s="84">
        <f>IFERROR('Price History'!H3+(INDEX('Price History'!H:H,MATCH(9.99E+307,'Price History'!$A:$A))-'Price History'!H3)*(ROW()-3)/(MATCH(9.99E+307,'Returns (Calc)'!$A:$A)-3),"")</f>
        <v>59.916729559748433</v>
      </c>
      <c r="AD14" s="84">
        <f>IFERROR('Price History'!I3+(INDEX('Price History'!I:I,MATCH(9.99E+307,'Price History'!$A:$A))-'Price History'!I3)*(ROW()-3)/(MATCH(9.99E+307,'Returns (Calc)'!$A:$A)-3),"")</f>
        <v>38.023899371069184</v>
      </c>
      <c r="AE14" s="84">
        <f>IFERROR('Price History'!J3+(INDEX('Price History'!J:J,MATCH(9.99E+307,'Price History'!$A:$A))-'Price History'!J3)*(ROW()-3)/(MATCH(9.99E+307,'Returns (Calc)'!$A:$A)-3),"")</f>
        <v>114.96528301886792</v>
      </c>
      <c r="AF14" s="84">
        <f>IFERROR('Price History'!K3+(INDEX('Price History'!K:K,MATCH(9.99E+307,'Price History'!$A:$A))-'Price History'!K3)*(ROW()-3)/(MATCH(9.99E+307,'Returns (Calc)'!$A:$A)-3),"")</f>
        <v>14.343899371069183</v>
      </c>
      <c r="AG14" s="84">
        <f>IFERROR('Price History'!L3+(INDEX('Price History'!L:L,MATCH(9.99E+307,'Price History'!$A:$A))-'Price History'!L3)*(ROW()-3)/(MATCH(9.99E+307,'Returns (Calc)'!$A:$A)-3),"")</f>
        <v>85.625911949685531</v>
      </c>
      <c r="AH14" s="84">
        <f>IFERROR('Price History'!M3+(INDEX('Price History'!M:M,MATCH(9.99E+307,'Price History'!$A:$A))-'Price History'!M3)*(ROW()-3)/(MATCH(9.99E+307,'Returns (Calc)'!$A:$A)-3),"")</f>
        <v>31.191698113207543</v>
      </c>
      <c r="AI14" s="84">
        <f>IFERROR('Price History'!N3+(INDEX('Price History'!N:N,MATCH(9.99E+307,'Price History'!$A:$A))-'Price History'!N3)*(ROW()-3)/(MATCH(9.99E+307,'Returns (Calc)'!$A:$A)-3),"")</f>
        <v>325.65584905660381</v>
      </c>
      <c r="AJ14" s="84">
        <f>IFERROR('Price History'!O3+(INDEX('Price History'!O:O,MATCH(9.99E+307,'Price History'!$A:$A))-'Price History'!O3)*(ROW()-3)/(MATCH(9.99E+307,'Returns (Calc)'!$A:$A)-3),"")</f>
        <v>77.11823899371069</v>
      </c>
      <c r="AK14" s="84">
        <f>IFERROR('Price History'!Q3+(INDEX('Price History'!Q:Q,MATCH(9.99E+307,'Price History'!$A:$A))-'Price History'!Q3)*(ROW()-3)/(MATCH(9.99E+307,'Returns (Calc)'!$A:$A)-3),"")</f>
        <v>46.391949685534598</v>
      </c>
      <c r="AL14" s="84">
        <f>IFERROR('Price History'!R3+(INDEX('Price History'!R:R,MATCH(9.99E+307,'Price History'!$A:$A))-'Price History'!R3)*(ROW()-3)/(MATCH(9.99E+307,'Returns (Calc)'!$A:$A)-3),"")</f>
        <v>44.511698113207551</v>
      </c>
      <c r="AM14" s="84">
        <f>IFERROR('Price History'!S3+(INDEX('Price History'!S:S,MATCH(9.99E+307,'Price History'!$A:$A))-'Price History'!S3)*(ROW()-3)/(MATCH(9.99E+307,'Returns (Calc)'!$A:$A)-3),"")</f>
        <v>54.490062893081763</v>
      </c>
      <c r="AN14" s="84">
        <f>IFERROR('Price History'!T3+(INDEX('Price History'!T:T,MATCH(9.99E+307,'Price History'!$A:$A))-'Price History'!T3)*(ROW()-3)/(MATCH(9.99E+307,'Returns (Calc)'!$A:$A)-3),"")</f>
        <v>25.048301886792451</v>
      </c>
      <c r="AO14" s="85">
        <f>IFERROR('Price History'!V3+(INDEX('Price History'!V:V,MATCH(9.99E+307,'Price History'!$A:$A))-'Price History'!V3)*(ROW()-3)/(MATCH(9.99E+307,'Returns (Calc)'!$A:$A)-3),"")</f>
        <v>0</v>
      </c>
    </row>
    <row r="15" spans="1:41" ht="15" customHeight="1" x14ac:dyDescent="0.3">
      <c r="A15" s="81">
        <f>IF('Price History'!A16="","",'Price History'!A16)</f>
        <v>45240</v>
      </c>
      <c r="B15" s="82">
        <f>IFERROR(IF(OR(NOT(ISNUMBER('Price History'!B16)),NOT(ISNUMBER('Price History'!B15)),'Price History'!B15=0),"",'Price History'!B16/'Price History'!B15-1),"")</f>
        <v>5.953943866870115E-2</v>
      </c>
      <c r="C15" s="82">
        <f>IFERROR(IF(OR(NOT(ISNUMBER('Price History'!C16)),NOT(ISNUMBER('Price History'!C15)),'Price History'!C15=0),"",'Price History'!C16/'Price History'!C15-1),"")</f>
        <v>-2.654367469879515E-2</v>
      </c>
      <c r="D15" s="82">
        <f>IFERROR(IF(OR(NOT(ISNUMBER('Price History'!D16)),NOT(ISNUMBER('Price History'!D15)),'Price History'!D15=0),"",'Price History'!D16/'Price History'!D15-1),"")</f>
        <v>2.9373764418362036E-2</v>
      </c>
      <c r="E15" s="82">
        <f>IFERROR(IF(OR(NOT(ISNUMBER('Price History'!E16)),NOT(ISNUMBER('Price History'!E15)),'Price History'!E15=0),"",'Price History'!E16/'Price History'!E15-1),"")</f>
        <v>8.4740002265775605E-2</v>
      </c>
      <c r="F15" s="82">
        <f>IFERROR(IF(OR(NOT(ISNUMBER('Price History'!F16)),NOT(ISNUMBER('Price History'!F15)),'Price History'!F15=0),"",'Price History'!F16/'Price History'!F15-1),"")</f>
        <v>4.2923926901827336E-2</v>
      </c>
      <c r="G15" s="82">
        <f>IFERROR(IF(OR(NOT(ISNUMBER('Price History'!G16)),NOT(ISNUMBER('Price History'!G15)),'Price History'!G15=0),"",'Price History'!G16/'Price History'!G15-1),"")</f>
        <v>6.9455564451561314E-2</v>
      </c>
      <c r="H15" s="82">
        <f>IFERROR(IF(OR(NOT(ISNUMBER('Price History'!H16)),NOT(ISNUMBER('Price History'!H15)),'Price History'!H15=0),"",'Price History'!H16/'Price History'!H15-1),"")</f>
        <v>3.8302562689446207E-2</v>
      </c>
      <c r="I15" s="82">
        <f>IFERROR(IF(OR(NOT(ISNUMBER('Price History'!I16)),NOT(ISNUMBER('Price History'!I15)),'Price History'!I15=0),"",'Price History'!I16/'Price History'!I15-1),"")</f>
        <v>7.3983559209064742E-2</v>
      </c>
      <c r="J15" s="82">
        <f>IFERROR(IF(OR(NOT(ISNUMBER('Price History'!J16)),NOT(ISNUMBER('Price History'!J15)),'Price History'!J15=0),"",'Price History'!J16/'Price History'!J15-1),"")</f>
        <v>-1.8770530267480101E-2</v>
      </c>
      <c r="K15" s="82">
        <f>IFERROR(IF(OR(NOT(ISNUMBER('Price History'!K16)),NOT(ISNUMBER('Price History'!K15)),'Price History'!K15=0),"",'Price History'!K16/'Price History'!K15-1),"")</f>
        <v>4.1291688724192754E-2</v>
      </c>
      <c r="L15" s="82">
        <f>IFERROR(IF(OR(NOT(ISNUMBER('Price History'!L16)),NOT(ISNUMBER('Price History'!L15)),'Price History'!L15=0),"",'Price History'!L16/'Price History'!L15-1),"")</f>
        <v>6.155354613792352E-2</v>
      </c>
      <c r="M15" s="82">
        <f>IFERROR(IF(OR(NOT(ISNUMBER('Price History'!M16)),NOT(ISNUMBER('Price History'!M15)),'Price History'!M15=0),"",'Price History'!M16/'Price History'!M15-1),"")</f>
        <v>3.4371909000989076E-2</v>
      </c>
      <c r="N15" s="82">
        <f>IFERROR(IF(OR(NOT(ISNUMBER('Price History'!N16)),NOT(ISNUMBER('Price History'!N15)),'Price History'!N15=0),"",'Price History'!N16/'Price History'!N15-1),"")</f>
        <v>-6.7783094098884389E-3</v>
      </c>
      <c r="O15" s="82">
        <f>IFERROR(IF(OR(NOT(ISNUMBER('Price History'!O16)),NOT(ISNUMBER('Price History'!O15)),'Price History'!O15=0),"",'Price History'!O16/'Price History'!O15-1),"")</f>
        <v>-3.4083683072618554E-2</v>
      </c>
      <c r="P15" s="82" t="str">
        <f>IFERROR(IF(OR(NOT(ISNUMBER('Price History'!P16)),NOT(ISNUMBER('Price History'!P15)),'Price History'!P15=0),"",'Price History'!P16/'Price History'!P15-1),"")</f>
        <v/>
      </c>
      <c r="Q15" s="82">
        <f>IFERROR(IF(OR(NOT(ISNUMBER('Price History'!Q16)),NOT(ISNUMBER('Price History'!Q15)),'Price History'!Q15=0),"",'Price History'!Q16/'Price History'!Q15-1),"")</f>
        <v>1.7048683462776992E-3</v>
      </c>
      <c r="R15" s="82">
        <f>IFERROR(IF(OR(NOT(ISNUMBER('Price History'!R16)),NOT(ISNUMBER('Price History'!R15)),'Price History'!R15=0),"",'Price History'!R16/'Price History'!R15-1),"")</f>
        <v>2.0833333333333259E-2</v>
      </c>
      <c r="S15" s="82">
        <f>IFERROR(IF(OR(NOT(ISNUMBER('Price History'!S16)),NOT(ISNUMBER('Price History'!S15)),'Price History'!S15=0),"",'Price History'!S16/'Price History'!S15-1),"")</f>
        <v>2.9497016197783443E-2</v>
      </c>
      <c r="T15" s="82">
        <f>IFERROR(IF(OR(NOT(ISNUMBER('Price History'!T16)),NOT(ISNUMBER('Price History'!T15)),'Price History'!T15=0),"",'Price History'!T16/'Price History'!T15-1),"")</f>
        <v>-6.8939103791650913E-3</v>
      </c>
      <c r="U15" s="82" t="str">
        <f>IFERROR(IF(OR(NOT(ISNUMBER('Price History'!U16)),NOT(ISNUMBER('Price History'!U15)),'Price History'!U15=0),"",'Price History'!U16/'Price History'!U15-1),"")</f>
        <v/>
      </c>
      <c r="V15" s="83">
        <f>IFERROR(IF(OR(NOT(ISNUMBER('Price History'!V16)),NOT(ISNUMBER('Price History'!V15)),'Price History'!V15=0),"",'Price History'!V16/'Price History'!V15-1),"")</f>
        <v>8.9034479862246663E-3</v>
      </c>
      <c r="W15" s="84" t="str">
        <f>IFERROR('Price History'!B3+(INDEX('Price History'!B:B,MATCH(9.99E+307,'Price History'!$A:$A))-'Price History'!B3)*(ROW()-3)/(MATCH(9.99E+307,'Returns (Calc)'!$A:$A)-3),"")</f>
        <v/>
      </c>
      <c r="X15" s="84">
        <f>IFERROR('Price History'!C3+(INDEX('Price History'!C:C,MATCH(9.99E+307,'Price History'!$A:$A))-'Price History'!C3)*(ROW()-3)/(MATCH(9.99E+307,'Returns (Calc)'!$A:$A)-3),"")</f>
        <v>40.438867924528303</v>
      </c>
      <c r="Y15" s="84">
        <f>IFERROR('Price History'!D3+(INDEX('Price History'!D:D,MATCH(9.99E+307,'Price History'!$A:$A))-'Price History'!D3)*(ROW()-3)/(MATCH(9.99E+307,'Returns (Calc)'!$A:$A)-3),"")</f>
        <v>611.83433962264144</v>
      </c>
      <c r="Z15" s="84">
        <f>IFERROR('Price History'!E3+(INDEX('Price History'!E:E,MATCH(9.99E+307,'Price History'!$A:$A))-'Price History'!E3)*(ROW()-3)/(MATCH(9.99E+307,'Returns (Calc)'!$A:$A)-3),"")</f>
        <v>76.717358490566042</v>
      </c>
      <c r="AA15" s="84">
        <f>IFERROR('Price History'!F3+(INDEX('Price History'!F:F,MATCH(9.99E+307,'Price History'!$A:$A))-'Price History'!F3)*(ROW()-3)/(MATCH(9.99E+307,'Returns (Calc)'!$A:$A)-3),"")</f>
        <v>34.263018867924529</v>
      </c>
      <c r="AB15" s="84">
        <f>IFERROR('Price History'!G3+(INDEX('Price History'!G:G,MATCH(9.99E+307,'Price History'!$A:$A))-'Price History'!G3)*(ROW()-3)/(MATCH(9.99E+307,'Returns (Calc)'!$A:$A)-3),"")</f>
        <v>44.284905660377355</v>
      </c>
      <c r="AC15" s="84">
        <f>IFERROR('Price History'!H3+(INDEX('Price History'!H:H,MATCH(9.99E+307,'Price History'!$A:$A))-'Price History'!H3)*(ROW()-3)/(MATCH(9.99E+307,'Returns (Calc)'!$A:$A)-3),"")</f>
        <v>59.511886792452835</v>
      </c>
      <c r="AD15" s="84">
        <f>IFERROR('Price History'!I3+(INDEX('Price History'!I:I,MATCH(9.99E+307,'Price History'!$A:$A))-'Price History'!I3)*(ROW()-3)/(MATCH(9.99E+307,'Returns (Calc)'!$A:$A)-3),"")</f>
        <v>37.766981132075472</v>
      </c>
      <c r="AE15" s="84">
        <f>IFERROR('Price History'!J3+(INDEX('Price History'!J:J,MATCH(9.99E+307,'Price History'!$A:$A))-'Price History'!J3)*(ROW()-3)/(MATCH(9.99E+307,'Returns (Calc)'!$A:$A)-3),"")</f>
        <v>114.18849056603774</v>
      </c>
      <c r="AF15" s="84">
        <f>IFERROR('Price History'!K3+(INDEX('Price History'!K:K,MATCH(9.99E+307,'Price History'!$A:$A))-'Price History'!K3)*(ROW()-3)/(MATCH(9.99E+307,'Returns (Calc)'!$A:$A)-3),"")</f>
        <v>14.246981132075472</v>
      </c>
      <c r="AG15" s="84">
        <f>IFERROR('Price History'!L3+(INDEX('Price History'!L:L,MATCH(9.99E+307,'Price History'!$A:$A))-'Price History'!L3)*(ROW()-3)/(MATCH(9.99E+307,'Returns (Calc)'!$A:$A)-3),"")</f>
        <v>85.04735849056604</v>
      </c>
      <c r="AH15" s="84">
        <f>IFERROR('Price History'!M3+(INDEX('Price History'!M:M,MATCH(9.99E+307,'Price History'!$A:$A))-'Price History'!M3)*(ROW()-3)/(MATCH(9.99E+307,'Returns (Calc)'!$A:$A)-3),"")</f>
        <v>30.980943396226412</v>
      </c>
      <c r="AI15" s="84">
        <f>IFERROR('Price History'!N3+(INDEX('Price History'!N:N,MATCH(9.99E+307,'Price History'!$A:$A))-'Price History'!N3)*(ROW()-3)/(MATCH(9.99E+307,'Returns (Calc)'!$A:$A)-3),"")</f>
        <v>323.45547169811323</v>
      </c>
      <c r="AJ15" s="84">
        <f>IFERROR('Price History'!O3+(INDEX('Price History'!O:O,MATCH(9.99E+307,'Price History'!$A:$A))-'Price History'!O3)*(ROW()-3)/(MATCH(9.99E+307,'Returns (Calc)'!$A:$A)-3),"")</f>
        <v>76.597169811320754</v>
      </c>
      <c r="AK15" s="84">
        <f>IFERROR('Price History'!Q3+(INDEX('Price History'!Q:Q,MATCH(9.99E+307,'Price History'!$A:$A))-'Price History'!Q3)*(ROW()-3)/(MATCH(9.99E+307,'Returns (Calc)'!$A:$A)-3),"")</f>
        <v>46.078490566037736</v>
      </c>
      <c r="AL15" s="84">
        <f>IFERROR('Price History'!R3+(INDEX('Price History'!R:R,MATCH(9.99E+307,'Price History'!$A:$A))-'Price History'!R3)*(ROW()-3)/(MATCH(9.99E+307,'Returns (Calc)'!$A:$A)-3),"")</f>
        <v>44.210943396226412</v>
      </c>
      <c r="AM15" s="84">
        <f>IFERROR('Price History'!S3+(INDEX('Price History'!S:S,MATCH(9.99E+307,'Price History'!$A:$A))-'Price History'!S3)*(ROW()-3)/(MATCH(9.99E+307,'Returns (Calc)'!$A:$A)-3),"")</f>
        <v>54.121886792452827</v>
      </c>
      <c r="AN15" s="84">
        <f>IFERROR('Price History'!T3+(INDEX('Price History'!T:T,MATCH(9.99E+307,'Price History'!$A:$A))-'Price History'!T3)*(ROW()-3)/(MATCH(9.99E+307,'Returns (Calc)'!$A:$A)-3),"")</f>
        <v>24.879056603773584</v>
      </c>
      <c r="AO15" s="85">
        <f>IFERROR('Price History'!V3+(INDEX('Price History'!V:V,MATCH(9.99E+307,'Price History'!$A:$A))-'Price History'!V3)*(ROW()-3)/(MATCH(9.99E+307,'Returns (Calc)'!$A:$A)-3),"")</f>
        <v>0</v>
      </c>
    </row>
    <row r="16" spans="1:41" ht="15" customHeight="1" x14ac:dyDescent="0.3">
      <c r="A16" s="81">
        <f>IF('Price History'!A17="","",'Price History'!A17)</f>
        <v>45247</v>
      </c>
      <c r="B16" s="82">
        <f>IFERROR(IF(OR(NOT(ISNUMBER('Price History'!B17)),NOT(ISNUMBER('Price History'!B16)),'Price History'!B16=0),"",'Price History'!B17/'Price History'!B16-1),"")</f>
        <v>9.1088711027760283E-3</v>
      </c>
      <c r="C16" s="82">
        <f>IFERROR(IF(OR(NOT(ISNUMBER('Price History'!C17)),NOT(ISNUMBER('Price History'!C16)),'Price History'!C16=0),"",'Price History'!C17/'Price History'!C16-1),"")</f>
        <v>3.7710307484045469E-2</v>
      </c>
      <c r="D16" s="82">
        <f>IFERROR(IF(OR(NOT(ISNUMBER('Price History'!D17)),NOT(ISNUMBER('Price History'!D16)),'Price History'!D16=0),"",'Price History'!D17/'Price History'!D16-1),"")</f>
        <v>3.7518146624727855E-2</v>
      </c>
      <c r="E16" s="82">
        <f>IFERROR(IF(OR(NOT(ISNUMBER('Price History'!E17)),NOT(ISNUMBER('Price History'!E16)),'Price History'!E16=0),"",'Price History'!E17/'Price History'!E16-1),"")</f>
        <v>2.1096605744125307E-2</v>
      </c>
      <c r="F16" s="82">
        <f>IFERROR(IF(OR(NOT(ISNUMBER('Price History'!F17)),NOT(ISNUMBER('Price History'!F16)),'Price History'!F16=0),"",'Price History'!F17/'Price History'!F16-1),"")</f>
        <v>5.4808475957620395E-2</v>
      </c>
      <c r="G16" s="82">
        <f>IFERROR(IF(OR(NOT(ISNUMBER('Price History'!G17)),NOT(ISNUMBER('Price History'!G16)),'Price History'!G16=0),"",'Price History'!G17/'Price History'!G16-1),"")</f>
        <v>1.9090398652442442E-2</v>
      </c>
      <c r="H16" s="82">
        <f>IFERROR(IF(OR(NOT(ISNUMBER('Price History'!H17)),NOT(ISNUMBER('Price History'!H16)),'Price History'!H16=0),"",'Price History'!H17/'Price History'!H16-1),"")</f>
        <v>2.9193205944798351E-2</v>
      </c>
      <c r="I16" s="82">
        <f>IFERROR(IF(OR(NOT(ISNUMBER('Price History'!I17)),NOT(ISNUMBER('Price History'!I16)),'Price History'!I16=0),"",'Price History'!I17/'Price History'!I16-1),"")</f>
        <v>1.9859329747620835E-2</v>
      </c>
      <c r="J16" s="82">
        <f>IFERROR(IF(OR(NOT(ISNUMBER('Price History'!J17)),NOT(ISNUMBER('Price History'!J16)),'Price History'!J16=0),"",'Price History'!J17/'Price History'!J16-1),"")</f>
        <v>5.2797704447632654E-2</v>
      </c>
      <c r="K16" s="82">
        <f>IFERROR(IF(OR(NOT(ISNUMBER('Price History'!K17)),NOT(ISNUMBER('Price History'!K16)),'Price History'!K16=0),"",'Price History'!K17/'Price History'!K16-1),"")</f>
        <v>4.1687849517030751E-2</v>
      </c>
      <c r="L16" s="82">
        <f>IFERROR(IF(OR(NOT(ISNUMBER('Price History'!L17)),NOT(ISNUMBER('Price History'!L16)),'Price History'!L16=0),"",'Price History'!L17/'Price History'!L16-1),"")</f>
        <v>2.1962233169129819E-2</v>
      </c>
      <c r="M16" s="82">
        <f>IFERROR(IF(OR(NOT(ISNUMBER('Price History'!M17)),NOT(ISNUMBER('Price History'!M16)),'Price History'!M16=0),"",'Price History'!M17/'Price History'!M16-1),"")</f>
        <v>3.4903179536218021E-2</v>
      </c>
      <c r="N16" s="82">
        <f>IFERROR(IF(OR(NOT(ISNUMBER('Price History'!N17)),NOT(ISNUMBER('Price History'!N16)),'Price History'!N16=0),"",'Price History'!N17/'Price History'!N16-1),"")</f>
        <v>-6.1956376287970016E-2</v>
      </c>
      <c r="O16" s="82">
        <f>IFERROR(IF(OR(NOT(ISNUMBER('Price History'!O17)),NOT(ISNUMBER('Price History'!O16)),'Price History'!O16=0),"",'Price History'!O17/'Price History'!O16-1),"")</f>
        <v>5.5431204739960327E-2</v>
      </c>
      <c r="P16" s="82" t="str">
        <f>IFERROR(IF(OR(NOT(ISNUMBER('Price History'!P17)),NOT(ISNUMBER('Price History'!P16)),'Price History'!P16=0),"",'Price History'!P17/'Price History'!P16-1),"")</f>
        <v/>
      </c>
      <c r="Q16" s="82">
        <f>IFERROR(IF(OR(NOT(ISNUMBER('Price History'!Q17)),NOT(ISNUMBER('Price History'!Q16)),'Price History'!Q16=0),"",'Price History'!Q17/'Price History'!Q16-1),"")</f>
        <v>-4.3494704992436128E-3</v>
      </c>
      <c r="R16" s="82">
        <f>IFERROR(IF(OR(NOT(ISNUMBER('Price History'!R17)),NOT(ISNUMBER('Price History'!R16)),'Price History'!R16=0),"",'Price History'!R17/'Price History'!R16-1),"")</f>
        <v>9.482580911152283E-3</v>
      </c>
      <c r="S16" s="82">
        <f>IFERROR(IF(OR(NOT(ISNUMBER('Price History'!S17)),NOT(ISNUMBER('Price History'!S16)),'Price History'!S16=0),"",'Price History'!S17/'Price History'!S16-1),"")</f>
        <v>2.1695925803246086E-2</v>
      </c>
      <c r="T16" s="82">
        <f>IFERROR(IF(OR(NOT(ISNUMBER('Price History'!T17)),NOT(ISNUMBER('Price History'!T16)),'Price History'!T16=0),"",'Price History'!T17/'Price History'!T16-1),"")</f>
        <v>2.5453143077516449E-2</v>
      </c>
      <c r="U16" s="82" t="str">
        <f>IFERROR(IF(OR(NOT(ISNUMBER('Price History'!U17)),NOT(ISNUMBER('Price History'!U16)),'Price History'!U16=0),"",'Price History'!U17/'Price History'!U16-1),"")</f>
        <v/>
      </c>
      <c r="V16" s="83">
        <f>IFERROR(IF(OR(NOT(ISNUMBER('Price History'!V17)),NOT(ISNUMBER('Price History'!V16)),'Price History'!V16=0),"",'Price History'!V17/'Price History'!V16-1),"")</f>
        <v>1.7566498772010108E-2</v>
      </c>
      <c r="W16" s="84" t="str">
        <f>IFERROR('Price History'!B3+(INDEX('Price History'!B:B,MATCH(9.99E+307,'Price History'!$A:$A))-'Price History'!B3)*(ROW()-3)/(MATCH(9.99E+307,'Returns (Calc)'!$A:$A)-3),"")</f>
        <v/>
      </c>
      <c r="X16" s="84">
        <f>IFERROR('Price History'!C3+(INDEX('Price History'!C:C,MATCH(9.99E+307,'Price History'!$A:$A))-'Price History'!C3)*(ROW()-3)/(MATCH(9.99E+307,'Returns (Calc)'!$A:$A)-3),"")</f>
        <v>40.163773584905663</v>
      </c>
      <c r="Y16" s="84">
        <f>IFERROR('Price History'!D3+(INDEX('Price History'!D:D,MATCH(9.99E+307,'Price History'!$A:$A))-'Price History'!D3)*(ROW()-3)/(MATCH(9.99E+307,'Returns (Calc)'!$A:$A)-3),"")</f>
        <v>607.67220125786162</v>
      </c>
      <c r="Z16" s="84">
        <f>IFERROR('Price History'!E3+(INDEX('Price History'!E:E,MATCH(9.99E+307,'Price History'!$A:$A))-'Price History'!E3)*(ROW()-3)/(MATCH(9.99E+307,'Returns (Calc)'!$A:$A)-3),"")</f>
        <v>76.195471698113209</v>
      </c>
      <c r="AA16" s="84">
        <f>IFERROR('Price History'!F3+(INDEX('Price History'!F:F,MATCH(9.99E+307,'Price History'!$A:$A))-'Price History'!F3)*(ROW()-3)/(MATCH(9.99E+307,'Returns (Calc)'!$A:$A)-3),"")</f>
        <v>34.02993710691824</v>
      </c>
      <c r="AB16" s="84">
        <f>IFERROR('Price History'!G3+(INDEX('Price History'!G:G,MATCH(9.99E+307,'Price History'!$A:$A))-'Price History'!G3)*(ROW()-3)/(MATCH(9.99E+307,'Returns (Calc)'!$A:$A)-3),"")</f>
        <v>43.98364779874214</v>
      </c>
      <c r="AC16" s="84">
        <f>IFERROR('Price History'!H3+(INDEX('Price History'!H:H,MATCH(9.99E+307,'Price History'!$A:$A))-'Price History'!H3)*(ROW()-3)/(MATCH(9.99E+307,'Returns (Calc)'!$A:$A)-3),"")</f>
        <v>59.107044025157236</v>
      </c>
      <c r="AD16" s="84">
        <f>IFERROR('Price History'!I3+(INDEX('Price History'!I:I,MATCH(9.99E+307,'Price History'!$A:$A))-'Price History'!I3)*(ROW()-3)/(MATCH(9.99E+307,'Returns (Calc)'!$A:$A)-3),"")</f>
        <v>37.510062893081759</v>
      </c>
      <c r="AE16" s="84">
        <f>IFERROR('Price History'!J3+(INDEX('Price History'!J:J,MATCH(9.99E+307,'Price History'!$A:$A))-'Price History'!J3)*(ROW()-3)/(MATCH(9.99E+307,'Returns (Calc)'!$A:$A)-3),"")</f>
        <v>113.41169811320755</v>
      </c>
      <c r="AF16" s="84">
        <f>IFERROR('Price History'!K3+(INDEX('Price History'!K:K,MATCH(9.99E+307,'Price History'!$A:$A))-'Price History'!K3)*(ROW()-3)/(MATCH(9.99E+307,'Returns (Calc)'!$A:$A)-3),"")</f>
        <v>14.150062893081762</v>
      </c>
      <c r="AG16" s="84">
        <f>IFERROR('Price History'!L3+(INDEX('Price History'!L:L,MATCH(9.99E+307,'Price History'!$A:$A))-'Price History'!L3)*(ROW()-3)/(MATCH(9.99E+307,'Returns (Calc)'!$A:$A)-3),"")</f>
        <v>84.468805031446536</v>
      </c>
      <c r="AH16" s="84">
        <f>IFERROR('Price History'!M3+(INDEX('Price History'!M:M,MATCH(9.99E+307,'Price History'!$A:$A))-'Price History'!M3)*(ROW()-3)/(MATCH(9.99E+307,'Returns (Calc)'!$A:$A)-3),"")</f>
        <v>30.77018867924528</v>
      </c>
      <c r="AI16" s="84">
        <f>IFERROR('Price History'!N3+(INDEX('Price History'!N:N,MATCH(9.99E+307,'Price History'!$A:$A))-'Price History'!N3)*(ROW()-3)/(MATCH(9.99E+307,'Returns (Calc)'!$A:$A)-3),"")</f>
        <v>321.25509433962264</v>
      </c>
      <c r="AJ16" s="84">
        <f>IFERROR('Price History'!O3+(INDEX('Price History'!O:O,MATCH(9.99E+307,'Price History'!$A:$A))-'Price History'!O3)*(ROW()-3)/(MATCH(9.99E+307,'Returns (Calc)'!$A:$A)-3),"")</f>
        <v>76.076100628930817</v>
      </c>
      <c r="AK16" s="84">
        <f>IFERROR('Price History'!Q3+(INDEX('Price History'!Q:Q,MATCH(9.99E+307,'Price History'!$A:$A))-'Price History'!Q3)*(ROW()-3)/(MATCH(9.99E+307,'Returns (Calc)'!$A:$A)-3),"")</f>
        <v>45.765031446540881</v>
      </c>
      <c r="AL16" s="84">
        <f>IFERROR('Price History'!R3+(INDEX('Price History'!R:R,MATCH(9.99E+307,'Price History'!$A:$A))-'Price History'!R3)*(ROW()-3)/(MATCH(9.99E+307,'Returns (Calc)'!$A:$A)-3),"")</f>
        <v>43.91018867924528</v>
      </c>
      <c r="AM16" s="84">
        <f>IFERROR('Price History'!S3+(INDEX('Price History'!S:S,MATCH(9.99E+307,'Price History'!$A:$A))-'Price History'!S3)*(ROW()-3)/(MATCH(9.99E+307,'Returns (Calc)'!$A:$A)-3),"")</f>
        <v>53.753710691823898</v>
      </c>
      <c r="AN16" s="84">
        <f>IFERROR('Price History'!T3+(INDEX('Price History'!T:T,MATCH(9.99E+307,'Price History'!$A:$A))-'Price History'!T3)*(ROW()-3)/(MATCH(9.99E+307,'Returns (Calc)'!$A:$A)-3),"")</f>
        <v>24.709811320754717</v>
      </c>
      <c r="AO16" s="85">
        <f>IFERROR('Price History'!V3+(INDEX('Price History'!V:V,MATCH(9.99E+307,'Price History'!$A:$A))-'Price History'!V3)*(ROW()-3)/(MATCH(9.99E+307,'Returns (Calc)'!$A:$A)-3),"")</f>
        <v>0</v>
      </c>
    </row>
    <row r="17" spans="1:41" ht="15" customHeight="1" x14ac:dyDescent="0.3">
      <c r="A17" s="81">
        <f>IF('Price History'!A18="","",'Price History'!A18)</f>
        <v>45254</v>
      </c>
      <c r="B17" s="82">
        <f>IFERROR(IF(OR(NOT(ISNUMBER('Price History'!B18)),NOT(ISNUMBER('Price History'!B17)),'Price History'!B17=0),"",'Price History'!B18/'Price History'!B17-1),"")</f>
        <v>2.7826635250389975E-2</v>
      </c>
      <c r="C17" s="82">
        <f>IFERROR(IF(OR(NOT(ISNUMBER('Price History'!C18)),NOT(ISNUMBER('Price History'!C17)),'Price History'!C17=0),"",'Price History'!C18/'Price History'!C17-1),"")</f>
        <v>1.7517704062616657E-2</v>
      </c>
      <c r="D17" s="82">
        <f>IFERROR(IF(OR(NOT(ISNUMBER('Price History'!D18)),NOT(ISNUMBER('Price History'!D17)),'Price History'!D17=0),"",'Price History'!D18/'Price History'!D17-1),"")</f>
        <v>7.4188517541429189E-3</v>
      </c>
      <c r="E17" s="82">
        <f>IFERROR(IF(OR(NOT(ISNUMBER('Price History'!E18)),NOT(ISNUMBER('Price History'!E17)),'Price History'!E17=0),"",'Price History'!E18/'Price History'!E17-1),"")</f>
        <v>1.227370359005775E-3</v>
      </c>
      <c r="F17" s="82">
        <f>IFERROR(IF(OR(NOT(ISNUMBER('Price History'!F18)),NOT(ISNUMBER('Price History'!F17)),'Price History'!F17=0),"",'Price History'!F18/'Price History'!F17-1),"")</f>
        <v>1.7384585667374886E-2</v>
      </c>
      <c r="G17" s="82">
        <f>IFERROR(IF(OR(NOT(ISNUMBER('Price History'!G18)),NOT(ISNUMBER('Price History'!G17)),'Price History'!G17=0),"",'Price History'!G18/'Price History'!G17-1),"")</f>
        <v>2.0385674931129527E-2</v>
      </c>
      <c r="H17" s="82">
        <f>IFERROR(IF(OR(NOT(ISNUMBER('Price History'!H18)),NOT(ISNUMBER('Price History'!H17)),'Price History'!H17=0),"",'Price History'!H18/'Price History'!H17-1),"")</f>
        <v>-8.8963383187209422E-3</v>
      </c>
      <c r="I17" s="82">
        <f>IFERROR(IF(OR(NOT(ISNUMBER('Price History'!I18)),NOT(ISNUMBER('Price History'!I17)),'Price History'!I17=0),"",'Price History'!I18/'Price History'!I17-1),"")</f>
        <v>-3.0831643002028342E-2</v>
      </c>
      <c r="J17" s="82">
        <f>IFERROR(IF(OR(NOT(ISNUMBER('Price History'!J18)),NOT(ISNUMBER('Price History'!J17)),'Price History'!J17=0),"",'Price History'!J18/'Price History'!J17-1),"")</f>
        <v>1.7534296356863877E-2</v>
      </c>
      <c r="K17" s="82">
        <f>IFERROR(IF(OR(NOT(ISNUMBER('Price History'!K18)),NOT(ISNUMBER('Price History'!K17)),'Price History'!K17=0),"",'Price History'!K18/'Price History'!K17-1),"")</f>
        <v>-6.2957540263543166E-2</v>
      </c>
      <c r="L17" s="82">
        <f>IFERROR(IF(OR(NOT(ISNUMBER('Price History'!L18)),NOT(ISNUMBER('Price History'!L17)),'Price History'!L17=0),"",'Price History'!L18/'Price History'!L17-1),"")</f>
        <v>-1.7573810002008416E-2</v>
      </c>
      <c r="M17" s="82">
        <f>IFERROR(IF(OR(NOT(ISNUMBER('Price History'!M18)),NOT(ISNUMBER('Price History'!M17)),'Price History'!M17=0),"",'Price History'!M18/'Price History'!M17-1),"")</f>
        <v>-1.4091014091014098E-2</v>
      </c>
      <c r="N17" s="82">
        <f>IFERROR(IF(OR(NOT(ISNUMBER('Price History'!N18)),NOT(ISNUMBER('Price History'!N17)),'Price History'!N17=0),"",'Price History'!N18/'Price History'!N17-1),"")</f>
        <v>7.2467902995720923E-3</v>
      </c>
      <c r="O17" s="82">
        <f>IFERROR(IF(OR(NOT(ISNUMBER('Price History'!O18)),NOT(ISNUMBER('Price History'!O17)),'Price History'!O17=0),"",'Price History'!O18/'Price History'!O17-1),"")</f>
        <v>1.2475049900206869E-4</v>
      </c>
      <c r="P17" s="82" t="str">
        <f>IFERROR(IF(OR(NOT(ISNUMBER('Price History'!P18)),NOT(ISNUMBER('Price History'!P17)),'Price History'!P17=0),"",'Price History'!P18/'Price History'!P17-1),"")</f>
        <v/>
      </c>
      <c r="Q17" s="82">
        <f>IFERROR(IF(OR(NOT(ISNUMBER('Price History'!Q18)),NOT(ISNUMBER('Price History'!Q17)),'Price History'!Q17=0),"",'Price History'!Q18/'Price History'!Q17-1),"")</f>
        <v>9.8765432098766315E-3</v>
      </c>
      <c r="R17" s="82">
        <f>IFERROR(IF(OR(NOT(ISNUMBER('Price History'!R18)),NOT(ISNUMBER('Price History'!R17)),'Price History'!R17=0),"",'Price History'!R18/'Price History'!R17-1),"")</f>
        <v>5.3093730855624521E-3</v>
      </c>
      <c r="S17" s="82">
        <f>IFERROR(IF(OR(NOT(ISNUMBER('Price History'!S18)),NOT(ISNUMBER('Price History'!S17)),'Price History'!S17=0),"",'Price History'!S18/'Price History'!S17-1),"")</f>
        <v>5.5114281082833116E-3</v>
      </c>
      <c r="T17" s="82">
        <f>IFERROR(IF(OR(NOT(ISNUMBER('Price History'!T18)),NOT(ISNUMBER('Price History'!T17)),'Price History'!T17=0),"",'Price History'!T18/'Price History'!T17-1),"")</f>
        <v>7.1455434373826066E-3</v>
      </c>
      <c r="U17" s="82" t="str">
        <f>IFERROR(IF(OR(NOT(ISNUMBER('Price History'!U18)),NOT(ISNUMBER('Price History'!U17)),'Price History'!U17=0),"",'Price History'!U18/'Price History'!U17-1),"")</f>
        <v/>
      </c>
      <c r="V17" s="83">
        <f>IFERROR(IF(OR(NOT(ISNUMBER('Price History'!V18)),NOT(ISNUMBER('Price History'!V17)),'Price History'!V17=0),"",'Price History'!V18/'Price History'!V17-1),"")</f>
        <v>1.9022294947842022E-2</v>
      </c>
      <c r="W17" s="84" t="str">
        <f>IFERROR('Price History'!B3+(INDEX('Price History'!B:B,MATCH(9.99E+307,'Price History'!$A:$A))-'Price History'!B3)*(ROW()-3)/(MATCH(9.99E+307,'Returns (Calc)'!$A:$A)-3),"")</f>
        <v/>
      </c>
      <c r="X17" s="84">
        <f>IFERROR('Price History'!C3+(INDEX('Price History'!C:C,MATCH(9.99E+307,'Price History'!$A:$A))-'Price History'!C3)*(ROW()-3)/(MATCH(9.99E+307,'Returns (Calc)'!$A:$A)-3),"")</f>
        <v>39.888679245283022</v>
      </c>
      <c r="Y17" s="84">
        <f>IFERROR('Price History'!D3+(INDEX('Price History'!D:D,MATCH(9.99E+307,'Price History'!$A:$A))-'Price History'!D3)*(ROW()-3)/(MATCH(9.99E+307,'Returns (Calc)'!$A:$A)-3),"")</f>
        <v>603.51006289308168</v>
      </c>
      <c r="Z17" s="84">
        <f>IFERROR('Price History'!E3+(INDEX('Price History'!E:E,MATCH(9.99E+307,'Price History'!$A:$A))-'Price History'!E3)*(ROW()-3)/(MATCH(9.99E+307,'Returns (Calc)'!$A:$A)-3),"")</f>
        <v>75.673584905660377</v>
      </c>
      <c r="AA17" s="84">
        <f>IFERROR('Price History'!F3+(INDEX('Price History'!F:F,MATCH(9.99E+307,'Price History'!$A:$A))-'Price History'!F3)*(ROW()-3)/(MATCH(9.99E+307,'Returns (Calc)'!$A:$A)-3),"")</f>
        <v>33.796855345911951</v>
      </c>
      <c r="AB17" s="84">
        <f>IFERROR('Price History'!G3+(INDEX('Price History'!G:G,MATCH(9.99E+307,'Price History'!$A:$A))-'Price History'!G3)*(ROW()-3)/(MATCH(9.99E+307,'Returns (Calc)'!$A:$A)-3),"")</f>
        <v>43.682389937106919</v>
      </c>
      <c r="AC17" s="84">
        <f>IFERROR('Price History'!H3+(INDEX('Price History'!H:H,MATCH(9.99E+307,'Price History'!$A:$A))-'Price History'!H3)*(ROW()-3)/(MATCH(9.99E+307,'Returns (Calc)'!$A:$A)-3),"")</f>
        <v>58.702201257861638</v>
      </c>
      <c r="AD17" s="84">
        <f>IFERROR('Price History'!I3+(INDEX('Price History'!I:I,MATCH(9.99E+307,'Price History'!$A:$A))-'Price History'!I3)*(ROW()-3)/(MATCH(9.99E+307,'Returns (Calc)'!$A:$A)-3),"")</f>
        <v>37.253144654088054</v>
      </c>
      <c r="AE17" s="84">
        <f>IFERROR('Price History'!J3+(INDEX('Price History'!J:J,MATCH(9.99E+307,'Price History'!$A:$A))-'Price History'!J3)*(ROW()-3)/(MATCH(9.99E+307,'Returns (Calc)'!$A:$A)-3),"")</f>
        <v>112.63490566037737</v>
      </c>
      <c r="AF17" s="84">
        <f>IFERROR('Price History'!K3+(INDEX('Price History'!K:K,MATCH(9.99E+307,'Price History'!$A:$A))-'Price History'!K3)*(ROW()-3)/(MATCH(9.99E+307,'Returns (Calc)'!$A:$A)-3),"")</f>
        <v>14.053144654088051</v>
      </c>
      <c r="AG17" s="84">
        <f>IFERROR('Price History'!L3+(INDEX('Price History'!L:L,MATCH(9.99E+307,'Price History'!$A:$A))-'Price History'!L3)*(ROW()-3)/(MATCH(9.99E+307,'Returns (Calc)'!$A:$A)-3),"")</f>
        <v>83.890251572327045</v>
      </c>
      <c r="AH17" s="84">
        <f>IFERROR('Price History'!M3+(INDEX('Price History'!M:M,MATCH(9.99E+307,'Price History'!$A:$A))-'Price History'!M3)*(ROW()-3)/(MATCH(9.99E+307,'Returns (Calc)'!$A:$A)-3),"")</f>
        <v>30.559433962264148</v>
      </c>
      <c r="AI17" s="84">
        <f>IFERROR('Price History'!N3+(INDEX('Price History'!N:N,MATCH(9.99E+307,'Price History'!$A:$A))-'Price History'!N3)*(ROW()-3)/(MATCH(9.99E+307,'Returns (Calc)'!$A:$A)-3),"")</f>
        <v>319.05471698113206</v>
      </c>
      <c r="AJ17" s="84">
        <f>IFERROR('Price History'!O3+(INDEX('Price History'!O:O,MATCH(9.99E+307,'Price History'!$A:$A))-'Price History'!O3)*(ROW()-3)/(MATCH(9.99E+307,'Returns (Calc)'!$A:$A)-3),"")</f>
        <v>75.55503144654088</v>
      </c>
      <c r="AK17" s="84">
        <f>IFERROR('Price History'!Q3+(INDEX('Price History'!Q:Q,MATCH(9.99E+307,'Price History'!$A:$A))-'Price History'!Q3)*(ROW()-3)/(MATCH(9.99E+307,'Returns (Calc)'!$A:$A)-3),"")</f>
        <v>45.451572327044026</v>
      </c>
      <c r="AL17" s="84">
        <f>IFERROR('Price History'!R3+(INDEX('Price History'!R:R,MATCH(9.99E+307,'Price History'!$A:$A))-'Price History'!R3)*(ROW()-3)/(MATCH(9.99E+307,'Returns (Calc)'!$A:$A)-3),"")</f>
        <v>43.609433962264148</v>
      </c>
      <c r="AM17" s="84">
        <f>IFERROR('Price History'!S3+(INDEX('Price History'!S:S,MATCH(9.99E+307,'Price History'!$A:$A))-'Price History'!S3)*(ROW()-3)/(MATCH(9.99E+307,'Returns (Calc)'!$A:$A)-3),"")</f>
        <v>53.385534591194968</v>
      </c>
      <c r="AN17" s="84">
        <f>IFERROR('Price History'!T3+(INDEX('Price History'!T:T,MATCH(9.99E+307,'Price History'!$A:$A))-'Price History'!T3)*(ROW()-3)/(MATCH(9.99E+307,'Returns (Calc)'!$A:$A)-3),"")</f>
        <v>24.54056603773585</v>
      </c>
      <c r="AO17" s="85">
        <f>IFERROR('Price History'!V3+(INDEX('Price History'!V:V,MATCH(9.99E+307,'Price History'!$A:$A))-'Price History'!V3)*(ROW()-3)/(MATCH(9.99E+307,'Returns (Calc)'!$A:$A)-3),"")</f>
        <v>0</v>
      </c>
    </row>
    <row r="18" spans="1:41" ht="15" customHeight="1" x14ac:dyDescent="0.3">
      <c r="A18" s="81">
        <f>IF('Price History'!A19="","",'Price History'!A19)</f>
        <v>45261</v>
      </c>
      <c r="B18" s="82">
        <f>IFERROR(IF(OR(NOT(ISNUMBER('Price History'!B19)),NOT(ISNUMBER('Price History'!B18)),'Price History'!B18=0),"",'Price History'!B19/'Price History'!B18-1),"")</f>
        <v>-1.1236136448024681E-2</v>
      </c>
      <c r="C18" s="82">
        <f>IFERROR(IF(OR(NOT(ISNUMBER('Price History'!C19)),NOT(ISNUMBER('Price History'!C18)),'Price History'!C18=0),"",'Price History'!C19/'Price History'!C18-1),"")</f>
        <v>-8.058608058608141E-3</v>
      </c>
      <c r="D18" s="82">
        <f>IFERROR(IF(OR(NOT(ISNUMBER('Price History'!D19)),NOT(ISNUMBER('Price History'!D18)),'Price History'!D18=0),"",'Price History'!D19/'Price History'!D18-1),"")</f>
        <v>1.4757371451721291E-3</v>
      </c>
      <c r="E18" s="82">
        <f>IFERROR(IF(OR(NOT(ISNUMBER('Price History'!E19)),NOT(ISNUMBER('Price History'!E18)),'Price History'!E18=0),"",'Price History'!E19/'Price History'!E18-1),"")</f>
        <v>-4.995403003371135E-2</v>
      </c>
      <c r="F18" s="82">
        <f>IFERROR(IF(OR(NOT(ISNUMBER('Price History'!F19)),NOT(ISNUMBER('Price History'!F18)),'Price History'!F18=0),"",'Price History'!F19/'Price History'!F18-1),"")</f>
        <v>0.11562559331687861</v>
      </c>
      <c r="G18" s="82">
        <f>IFERROR(IF(OR(NOT(ISNUMBER('Price History'!G19)),NOT(ISNUMBER('Price History'!G18)),'Price History'!G18=0),"",'Price History'!G19/'Price History'!G18-1),"")</f>
        <v>-1.1879049676025932E-2</v>
      </c>
      <c r="H18" s="82">
        <f>IFERROR(IF(OR(NOT(ISNUMBER('Price History'!H19)),NOT(ISNUMBER('Price History'!H18)),'Price History'!H18=0),"",'Price History'!H19/'Price History'!H18-1),"")</f>
        <v>-1.2228437621959132E-2</v>
      </c>
      <c r="I18" s="82">
        <f>IFERROR(IF(OR(NOT(ISNUMBER('Price History'!I19)),NOT(ISNUMBER('Price History'!I18)),'Price History'!I18=0),"",'Price History'!I19/'Price History'!I18-1),"")</f>
        <v>-2.1138551695269903E-2</v>
      </c>
      <c r="J18" s="82">
        <f>IFERROR(IF(OR(NOT(ISNUMBER('Price History'!J19)),NOT(ISNUMBER('Price History'!J18)),'Price History'!J18=0),"",'Price History'!J19/'Price History'!J18-1),"")</f>
        <v>5.5892857142857189E-2</v>
      </c>
      <c r="K18" s="82">
        <f>IFERROR(IF(OR(NOT(ISNUMBER('Price History'!K19)),NOT(ISNUMBER('Price History'!K18)),'Price History'!K18=0),"",'Price History'!K19/'Price History'!K18-1),"")</f>
        <v>5.5729166666666607E-2</v>
      </c>
      <c r="L18" s="82">
        <f>IFERROR(IF(OR(NOT(ISNUMBER('Price History'!L19)),NOT(ISNUMBER('Price History'!L18)),'Price History'!L18=0),"",'Price History'!L19/'Price History'!L18-1),"")</f>
        <v>7.3597056117755688E-3</v>
      </c>
      <c r="M18" s="82">
        <f>IFERROR(IF(OR(NOT(ISNUMBER('Price History'!M19)),NOT(ISNUMBER('Price History'!M18)),'Price History'!M18=0),"",'Price History'!M19/'Price History'!M18-1),"")</f>
        <v>5.7638238050609303E-2</v>
      </c>
      <c r="N18" s="82">
        <f>IFERROR(IF(OR(NOT(ISNUMBER('Price History'!N19)),NOT(ISNUMBER('Price History'!N18)),'Price History'!N18=0),"",'Price History'!N19/'Price History'!N18-1),"")</f>
        <v>-5.3251756174937936E-3</v>
      </c>
      <c r="O18" s="82">
        <f>IFERROR(IF(OR(NOT(ISNUMBER('Price History'!O19)),NOT(ISNUMBER('Price History'!O18)),'Price History'!O18=0),"",'Price History'!O19/'Price History'!O18-1),"")</f>
        <v>3.3553698390919262E-2</v>
      </c>
      <c r="P18" s="82" t="str">
        <f>IFERROR(IF(OR(NOT(ISNUMBER('Price History'!P19)),NOT(ISNUMBER('Price History'!P18)),'Price History'!P18=0),"",'Price History'!P19/'Price History'!P18-1),"")</f>
        <v/>
      </c>
      <c r="Q18" s="82">
        <f>IFERROR(IF(OR(NOT(ISNUMBER('Price History'!Q19)),NOT(ISNUMBER('Price History'!Q18)),'Price History'!Q18=0),"",'Price History'!Q19/'Price History'!Q18-1),"")</f>
        <v>5.8303554636072175E-3</v>
      </c>
      <c r="R18" s="82">
        <f>IFERROR(IF(OR(NOT(ISNUMBER('Price History'!R19)),NOT(ISNUMBER('Price History'!R18)),'Price History'!R18=0),"",'Price History'!R19/'Price History'!R18-1),"")</f>
        <v>-6.7032297379646666E-3</v>
      </c>
      <c r="S18" s="82">
        <f>IFERROR(IF(OR(NOT(ISNUMBER('Price History'!S19)),NOT(ISNUMBER('Price History'!S18)),'Price History'!S18=0),"",'Price History'!S19/'Price History'!S18-1),"")</f>
        <v>-2.256972432693849E-3</v>
      </c>
      <c r="T18" s="82">
        <f>IFERROR(IF(OR(NOT(ISNUMBER('Price History'!T19)),NOT(ISNUMBER('Price History'!T18)),'Price History'!T18=0),"",'Price History'!T19/'Price History'!T18-1),"")</f>
        <v>1.344286781179993E-2</v>
      </c>
      <c r="U18" s="82" t="str">
        <f>IFERROR(IF(OR(NOT(ISNUMBER('Price History'!U19)),NOT(ISNUMBER('Price History'!U18)),'Price History'!U18=0),"",'Price History'!U19/'Price History'!U18-1),"")</f>
        <v/>
      </c>
      <c r="V18" s="83">
        <f>IFERROR(IF(OR(NOT(ISNUMBER('Price History'!V19)),NOT(ISNUMBER('Price History'!V18)),'Price History'!V18=0),"",'Price History'!V19/'Price History'!V18-1),"")</f>
        <v>8.4303492573263306E-3</v>
      </c>
      <c r="W18" s="84" t="str">
        <f>IFERROR('Price History'!B3+(INDEX('Price History'!B:B,MATCH(9.99E+307,'Price History'!$A:$A))-'Price History'!B3)*(ROW()-3)/(MATCH(9.99E+307,'Returns (Calc)'!$A:$A)-3),"")</f>
        <v/>
      </c>
      <c r="X18" s="84">
        <f>IFERROR('Price History'!C3+(INDEX('Price History'!C:C,MATCH(9.99E+307,'Price History'!$A:$A))-'Price History'!C3)*(ROW()-3)/(MATCH(9.99E+307,'Returns (Calc)'!$A:$A)-3),"")</f>
        <v>39.613584905660382</v>
      </c>
      <c r="Y18" s="84">
        <f>IFERROR('Price History'!D3+(INDEX('Price History'!D:D,MATCH(9.99E+307,'Price History'!$A:$A))-'Price History'!D3)*(ROW()-3)/(MATCH(9.99E+307,'Returns (Calc)'!$A:$A)-3),"")</f>
        <v>599.34792452830186</v>
      </c>
      <c r="Z18" s="84">
        <f>IFERROR('Price History'!E3+(INDEX('Price History'!E:E,MATCH(9.99E+307,'Price History'!$A:$A))-'Price History'!E3)*(ROW()-3)/(MATCH(9.99E+307,'Returns (Calc)'!$A:$A)-3),"")</f>
        <v>75.151698113207544</v>
      </c>
      <c r="AA18" s="84">
        <f>IFERROR('Price History'!F3+(INDEX('Price History'!F:F,MATCH(9.99E+307,'Price History'!$A:$A))-'Price History'!F3)*(ROW()-3)/(MATCH(9.99E+307,'Returns (Calc)'!$A:$A)-3),"")</f>
        <v>33.563773584905661</v>
      </c>
      <c r="AB18" s="84">
        <f>IFERROR('Price History'!G3+(INDEX('Price History'!G:G,MATCH(9.99E+307,'Price History'!$A:$A))-'Price History'!G3)*(ROW()-3)/(MATCH(9.99E+307,'Returns (Calc)'!$A:$A)-3),"")</f>
        <v>43.381132075471697</v>
      </c>
      <c r="AC18" s="84">
        <f>IFERROR('Price History'!H3+(INDEX('Price History'!H:H,MATCH(9.99E+307,'Price History'!$A:$A))-'Price History'!H3)*(ROW()-3)/(MATCH(9.99E+307,'Returns (Calc)'!$A:$A)-3),"")</f>
        <v>58.29735849056604</v>
      </c>
      <c r="AD18" s="84">
        <f>IFERROR('Price History'!I3+(INDEX('Price History'!I:I,MATCH(9.99E+307,'Price History'!$A:$A))-'Price History'!I3)*(ROW()-3)/(MATCH(9.99E+307,'Returns (Calc)'!$A:$A)-3),"")</f>
        <v>36.996226415094341</v>
      </c>
      <c r="AE18" s="84">
        <f>IFERROR('Price History'!J3+(INDEX('Price History'!J:J,MATCH(9.99E+307,'Price History'!$A:$A))-'Price History'!J3)*(ROW()-3)/(MATCH(9.99E+307,'Returns (Calc)'!$A:$A)-3),"")</f>
        <v>111.85811320754718</v>
      </c>
      <c r="AF18" s="84">
        <f>IFERROR('Price History'!K3+(INDEX('Price History'!K:K,MATCH(9.99E+307,'Price History'!$A:$A))-'Price History'!K3)*(ROW()-3)/(MATCH(9.99E+307,'Returns (Calc)'!$A:$A)-3),"")</f>
        <v>13.95622641509434</v>
      </c>
      <c r="AG18" s="84">
        <f>IFERROR('Price History'!L3+(INDEX('Price History'!L:L,MATCH(9.99E+307,'Price History'!$A:$A))-'Price History'!L3)*(ROW()-3)/(MATCH(9.99E+307,'Returns (Calc)'!$A:$A)-3),"")</f>
        <v>83.311698113207541</v>
      </c>
      <c r="AH18" s="84">
        <f>IFERROR('Price History'!M3+(INDEX('Price History'!M:M,MATCH(9.99E+307,'Price History'!$A:$A))-'Price History'!M3)*(ROW()-3)/(MATCH(9.99E+307,'Returns (Calc)'!$A:$A)-3),"")</f>
        <v>30.348679245283016</v>
      </c>
      <c r="AI18" s="84">
        <f>IFERROR('Price History'!N3+(INDEX('Price History'!N:N,MATCH(9.99E+307,'Price History'!$A:$A))-'Price History'!N3)*(ROW()-3)/(MATCH(9.99E+307,'Returns (Calc)'!$A:$A)-3),"")</f>
        <v>316.85433962264153</v>
      </c>
      <c r="AJ18" s="84">
        <f>IFERROR('Price History'!O3+(INDEX('Price History'!O:O,MATCH(9.99E+307,'Price History'!$A:$A))-'Price History'!O3)*(ROW()-3)/(MATCH(9.99E+307,'Returns (Calc)'!$A:$A)-3),"")</f>
        <v>75.033962264150944</v>
      </c>
      <c r="AK18" s="84">
        <f>IFERROR('Price History'!Q3+(INDEX('Price History'!Q:Q,MATCH(9.99E+307,'Price History'!$A:$A))-'Price History'!Q3)*(ROW()-3)/(MATCH(9.99E+307,'Returns (Calc)'!$A:$A)-3),"")</f>
        <v>45.138113207547171</v>
      </c>
      <c r="AL18" s="84">
        <f>IFERROR('Price History'!R3+(INDEX('Price History'!R:R,MATCH(9.99E+307,'Price History'!$A:$A))-'Price History'!R3)*(ROW()-3)/(MATCH(9.99E+307,'Returns (Calc)'!$A:$A)-3),"")</f>
        <v>43.308679245283017</v>
      </c>
      <c r="AM18" s="84">
        <f>IFERROR('Price History'!S3+(INDEX('Price History'!S:S,MATCH(9.99E+307,'Price History'!$A:$A))-'Price History'!S3)*(ROW()-3)/(MATCH(9.99E+307,'Returns (Calc)'!$A:$A)-3),"")</f>
        <v>53.017358490566039</v>
      </c>
      <c r="AN18" s="84">
        <f>IFERROR('Price History'!T3+(INDEX('Price History'!T:T,MATCH(9.99E+307,'Price History'!$A:$A))-'Price History'!T3)*(ROW()-3)/(MATCH(9.99E+307,'Returns (Calc)'!$A:$A)-3),"")</f>
        <v>24.371320754716983</v>
      </c>
      <c r="AO18" s="85">
        <f>IFERROR('Price History'!V3+(INDEX('Price History'!V:V,MATCH(9.99E+307,'Price History'!$A:$A))-'Price History'!V3)*(ROW()-3)/(MATCH(9.99E+307,'Returns (Calc)'!$A:$A)-3),"")</f>
        <v>0</v>
      </c>
    </row>
    <row r="19" spans="1:41" ht="15" customHeight="1" x14ac:dyDescent="0.3">
      <c r="A19" s="81">
        <f>IF('Price History'!A20="","",'Price History'!A20)</f>
        <v>45268</v>
      </c>
      <c r="B19" s="82">
        <f>IFERROR(IF(OR(NOT(ISNUMBER('Price History'!B20)),NOT(ISNUMBER('Price History'!B19)),'Price History'!B19=0),"",'Price History'!B20/'Price History'!B19-1),"")</f>
        <v>-4.0165232582820565E-3</v>
      </c>
      <c r="C19" s="82">
        <f>IFERROR(IF(OR(NOT(ISNUMBER('Price History'!C20)),NOT(ISNUMBER('Price History'!C19)),'Price History'!C19=0),"",'Price History'!C20/'Price History'!C19-1),"")</f>
        <v>3.4158050221565706E-2</v>
      </c>
      <c r="D19" s="82">
        <f>IFERROR(IF(OR(NOT(ISNUMBER('Price History'!D20)),NOT(ISNUMBER('Price History'!D19)),'Price History'!D19=0),"",'Price History'!D20/'Price History'!D19-1),"")</f>
        <v>6.1109505923142571E-3</v>
      </c>
      <c r="E19" s="82">
        <f>IFERROR(IF(OR(NOT(ISNUMBER('Price History'!E20)),NOT(ISNUMBER('Price History'!E19)),'Price History'!E19=0),"",'Price History'!E20/'Price History'!E19-1),"")</f>
        <v>1.5376344086021509E-2</v>
      </c>
      <c r="F19" s="82">
        <f>IFERROR(IF(OR(NOT(ISNUMBER('Price History'!F20)),NOT(ISNUMBER('Price History'!F19)),'Price History'!F19=0),"",'Price History'!F20/'Price History'!F19-1),"")</f>
        <v>3.1994554118447871E-2</v>
      </c>
      <c r="G19" s="82">
        <f>IFERROR(IF(OR(NOT(ISNUMBER('Price History'!G20)),NOT(ISNUMBER('Price History'!G19)),'Price History'!G19=0),"",'Price History'!G20/'Price History'!G19-1),"")</f>
        <v>-2.6593806921675789E-2</v>
      </c>
      <c r="H19" s="82">
        <f>IFERROR(IF(OR(NOT(ISNUMBER('Price History'!H20)),NOT(ISNUMBER('Price History'!H19)),'Price History'!H19=0),"",'Price History'!H20/'Price History'!H19-1),"")</f>
        <v>-1.2774924272356269E-2</v>
      </c>
      <c r="I19" s="82">
        <f>IFERROR(IF(OR(NOT(ISNUMBER('Price History'!I20)),NOT(ISNUMBER('Price History'!I19)),'Price History'!I19=0),"",'Price History'!I20/'Price History'!I19-1),"")</f>
        <v>1.5822108189009976E-2</v>
      </c>
      <c r="J19" s="82">
        <f>IFERROR(IF(OR(NOT(ISNUMBER('Price History'!J20)),NOT(ISNUMBER('Price History'!J19)),'Price History'!J19=0),"",'Price History'!J20/'Price History'!J19-1),"")</f>
        <v>1.3444951801116156E-2</v>
      </c>
      <c r="K19" s="82">
        <f>IFERROR(IF(OR(NOT(ISNUMBER('Price History'!K20)),NOT(ISNUMBER('Price History'!K19)),'Price History'!K19=0),"",'Price History'!K20/'Price History'!K19-1),"")</f>
        <v>-0.12333497779970404</v>
      </c>
      <c r="L19" s="82">
        <f>IFERROR(IF(OR(NOT(ISNUMBER('Price History'!L20)),NOT(ISNUMBER('Price History'!L19)),'Price History'!L19=0),"",'Price History'!L20/'Price History'!L19-1),"")</f>
        <v>1.8264840182648401E-2</v>
      </c>
      <c r="M19" s="82">
        <f>IFERROR(IF(OR(NOT(ISNUMBER('Price History'!M20)),NOT(ISNUMBER('Price History'!M19)),'Price History'!M19=0),"",'Price History'!M20/'Price History'!M19-1),"")</f>
        <v>4.4306601683650859E-2</v>
      </c>
      <c r="N19" s="82">
        <f>IFERROR(IF(OR(NOT(ISNUMBER('Price History'!N20)),NOT(ISNUMBER('Price History'!N19)),'Price History'!N19=0),"",'Price History'!N20/'Price History'!N19-1),"")</f>
        <v>-2.8761817974713999E-3</v>
      </c>
      <c r="O19" s="82">
        <f>IFERROR(IF(OR(NOT(ISNUMBER('Price History'!O20)),NOT(ISNUMBER('Price History'!O19)),'Price History'!O19=0),"",'Price History'!O20/'Price History'!O19-1),"")</f>
        <v>8.3272990586531481E-3</v>
      </c>
      <c r="P19" s="82" t="str">
        <f>IFERROR(IF(OR(NOT(ISNUMBER('Price History'!P20)),NOT(ISNUMBER('Price History'!P19)),'Price History'!P19=0),"",'Price History'!P20/'Price History'!P19-1),"")</f>
        <v/>
      </c>
      <c r="Q19" s="82">
        <f>IFERROR(IF(OR(NOT(ISNUMBER('Price History'!Q20)),NOT(ISNUMBER('Price History'!Q19)),'Price History'!Q19=0),"",'Price History'!Q20/'Price History'!Q19-1),"")</f>
        <v>6.3575168287210992E-3</v>
      </c>
      <c r="R19" s="82">
        <f>IFERROR(IF(OR(NOT(ISNUMBER('Price History'!R20)),NOT(ISNUMBER('Price History'!R19)),'Price History'!R19=0),"",'Price History'!R20/'Price History'!R19-1),"")</f>
        <v>7.3619631901840066E-3</v>
      </c>
      <c r="S19" s="82">
        <f>IFERROR(IF(OR(NOT(ISNUMBER('Price History'!S20)),NOT(ISNUMBER('Price History'!S19)),'Price History'!S19=0),"",'Price History'!S20/'Price History'!S19-1),"")</f>
        <v>3.7162708030376024E-3</v>
      </c>
      <c r="T19" s="82">
        <f>IFERROR(IF(OR(NOT(ISNUMBER('Price History'!T20)),NOT(ISNUMBER('Price History'!T19)),'Price History'!T19=0),"",'Price History'!T20/'Price History'!T19-1),"")</f>
        <v>8.8430361090641174E-3</v>
      </c>
      <c r="U19" s="82" t="str">
        <f>IFERROR(IF(OR(NOT(ISNUMBER('Price History'!U20)),NOT(ISNUMBER('Price History'!U19)),'Price History'!U19=0),"",'Price History'!U20/'Price History'!U19-1),"")</f>
        <v/>
      </c>
      <c r="V19" s="83">
        <f>IFERROR(IF(OR(NOT(ISNUMBER('Price History'!V20)),NOT(ISNUMBER('Price History'!V19)),'Price History'!V19=0),"",'Price History'!V20/'Price History'!V19-1),"")</f>
        <v>-2.7468152866242379E-3</v>
      </c>
      <c r="W19" s="84" t="str">
        <f>IFERROR('Price History'!B3+(INDEX('Price History'!B:B,MATCH(9.99E+307,'Price History'!$A:$A))-'Price History'!B3)*(ROW()-3)/(MATCH(9.99E+307,'Returns (Calc)'!$A:$A)-3),"")</f>
        <v/>
      </c>
      <c r="X19" s="84">
        <f>IFERROR('Price History'!C3+(INDEX('Price History'!C:C,MATCH(9.99E+307,'Price History'!$A:$A))-'Price History'!C3)*(ROW()-3)/(MATCH(9.99E+307,'Returns (Calc)'!$A:$A)-3),"")</f>
        <v>39.338490566037734</v>
      </c>
      <c r="Y19" s="84">
        <f>IFERROR('Price History'!D3+(INDEX('Price History'!D:D,MATCH(9.99E+307,'Price History'!$A:$A))-'Price History'!D3)*(ROW()-3)/(MATCH(9.99E+307,'Returns (Calc)'!$A:$A)-3),"")</f>
        <v>595.18578616352193</v>
      </c>
      <c r="Z19" s="84">
        <f>IFERROR('Price History'!E3+(INDEX('Price History'!E:E,MATCH(9.99E+307,'Price History'!$A:$A))-'Price History'!E3)*(ROW()-3)/(MATCH(9.99E+307,'Returns (Calc)'!$A:$A)-3),"")</f>
        <v>74.629811320754726</v>
      </c>
      <c r="AA19" s="84">
        <f>IFERROR('Price History'!F3+(INDEX('Price History'!F:F,MATCH(9.99E+307,'Price History'!$A:$A))-'Price History'!F3)*(ROW()-3)/(MATCH(9.99E+307,'Returns (Calc)'!$A:$A)-3),"")</f>
        <v>33.330691823899372</v>
      </c>
      <c r="AB19" s="84">
        <f>IFERROR('Price History'!G3+(INDEX('Price History'!G:G,MATCH(9.99E+307,'Price History'!$A:$A))-'Price History'!G3)*(ROW()-3)/(MATCH(9.99E+307,'Returns (Calc)'!$A:$A)-3),"")</f>
        <v>43.079874213836476</v>
      </c>
      <c r="AC19" s="84">
        <f>IFERROR('Price History'!H3+(INDEX('Price History'!H:H,MATCH(9.99E+307,'Price History'!$A:$A))-'Price History'!H3)*(ROW()-3)/(MATCH(9.99E+307,'Returns (Calc)'!$A:$A)-3),"")</f>
        <v>57.892515723270442</v>
      </c>
      <c r="AD19" s="84">
        <f>IFERROR('Price History'!I3+(INDEX('Price History'!I:I,MATCH(9.99E+307,'Price History'!$A:$A))-'Price History'!I3)*(ROW()-3)/(MATCH(9.99E+307,'Returns (Calc)'!$A:$A)-3),"")</f>
        <v>36.739308176100629</v>
      </c>
      <c r="AE19" s="84">
        <f>IFERROR('Price History'!J3+(INDEX('Price History'!J:J,MATCH(9.99E+307,'Price History'!$A:$A))-'Price History'!J3)*(ROW()-3)/(MATCH(9.99E+307,'Returns (Calc)'!$A:$A)-3),"")</f>
        <v>111.08132075471698</v>
      </c>
      <c r="AF19" s="84">
        <f>IFERROR('Price History'!K3+(INDEX('Price History'!K:K,MATCH(9.99E+307,'Price History'!$A:$A))-'Price History'!K3)*(ROW()-3)/(MATCH(9.99E+307,'Returns (Calc)'!$A:$A)-3),"")</f>
        <v>13.85930817610063</v>
      </c>
      <c r="AG19" s="84">
        <f>IFERROR('Price History'!L3+(INDEX('Price History'!L:L,MATCH(9.99E+307,'Price History'!$A:$A))-'Price History'!L3)*(ROW()-3)/(MATCH(9.99E+307,'Returns (Calc)'!$A:$A)-3),"")</f>
        <v>82.733144654088051</v>
      </c>
      <c r="AH19" s="84">
        <f>IFERROR('Price History'!M3+(INDEX('Price History'!M:M,MATCH(9.99E+307,'Price History'!$A:$A))-'Price History'!M3)*(ROW()-3)/(MATCH(9.99E+307,'Returns (Calc)'!$A:$A)-3),"")</f>
        <v>30.137924528301884</v>
      </c>
      <c r="AI19" s="84">
        <f>IFERROR('Price History'!N3+(INDEX('Price History'!N:N,MATCH(9.99E+307,'Price History'!$A:$A))-'Price History'!N3)*(ROW()-3)/(MATCH(9.99E+307,'Returns (Calc)'!$A:$A)-3),"")</f>
        <v>314.65396226415095</v>
      </c>
      <c r="AJ19" s="84">
        <f>IFERROR('Price History'!O3+(INDEX('Price History'!O:O,MATCH(9.99E+307,'Price History'!$A:$A))-'Price History'!O3)*(ROW()-3)/(MATCH(9.99E+307,'Returns (Calc)'!$A:$A)-3),"")</f>
        <v>74.512893081761007</v>
      </c>
      <c r="AK19" s="84">
        <f>IFERROR('Price History'!Q3+(INDEX('Price History'!Q:Q,MATCH(9.99E+307,'Price History'!$A:$A))-'Price History'!Q3)*(ROW()-3)/(MATCH(9.99E+307,'Returns (Calc)'!$A:$A)-3),"")</f>
        <v>44.824654088050316</v>
      </c>
      <c r="AL19" s="84">
        <f>IFERROR('Price History'!R3+(INDEX('Price History'!R:R,MATCH(9.99E+307,'Price History'!$A:$A))-'Price History'!R3)*(ROW()-3)/(MATCH(9.99E+307,'Returns (Calc)'!$A:$A)-3),"")</f>
        <v>43.007924528301885</v>
      </c>
      <c r="AM19" s="84">
        <f>IFERROR('Price History'!S3+(INDEX('Price History'!S:S,MATCH(9.99E+307,'Price History'!$A:$A))-'Price History'!S3)*(ROW()-3)/(MATCH(9.99E+307,'Returns (Calc)'!$A:$A)-3),"")</f>
        <v>52.64918238993711</v>
      </c>
      <c r="AN19" s="84">
        <f>IFERROR('Price History'!T3+(INDEX('Price History'!T:T,MATCH(9.99E+307,'Price History'!$A:$A))-'Price History'!T3)*(ROW()-3)/(MATCH(9.99E+307,'Returns (Calc)'!$A:$A)-3),"")</f>
        <v>24.202075471698112</v>
      </c>
      <c r="AO19" s="85">
        <f>IFERROR('Price History'!V3+(INDEX('Price History'!V:V,MATCH(9.99E+307,'Price History'!$A:$A))-'Price History'!V3)*(ROW()-3)/(MATCH(9.99E+307,'Returns (Calc)'!$A:$A)-3),"")</f>
        <v>0</v>
      </c>
    </row>
    <row r="20" spans="1:41" ht="15" customHeight="1" x14ac:dyDescent="0.3">
      <c r="A20" s="81">
        <f>IF('Price History'!A21="","",'Price History'!A21)</f>
        <v>45275</v>
      </c>
      <c r="B20" s="82">
        <f>IFERROR(IF(OR(NOT(ISNUMBER('Price History'!B21)),NOT(ISNUMBER('Price History'!B20)),'Price History'!B20=0),"",'Price History'!B21/'Price History'!B20-1),"")</f>
        <v>-4.1523909444107554E-2</v>
      </c>
      <c r="C20" s="82">
        <f>IFERROR(IF(OR(NOT(ISNUMBER('Price History'!C21)),NOT(ISNUMBER('Price History'!C20)),'Price History'!C20=0),"",'Price History'!C21/'Price History'!C20-1),"")</f>
        <v>5.1597928941260474E-2</v>
      </c>
      <c r="D20" s="82">
        <f>IFERROR(IF(OR(NOT(ISNUMBER('Price History'!D21)),NOT(ISNUMBER('Price History'!D20)),'Price History'!D20=0),"",'Price History'!D21/'Price History'!D20-1),"")</f>
        <v>8.1171115546429862E-2</v>
      </c>
      <c r="E20" s="82">
        <f>IFERROR(IF(OR(NOT(ISNUMBER('Price History'!E21)),NOT(ISNUMBER('Price History'!E20)),'Price History'!E20=0),"",'Price History'!E21/'Price History'!E20-1),"")</f>
        <v>0.19633591019803021</v>
      </c>
      <c r="F20" s="82">
        <f>IFERROR(IF(OR(NOT(ISNUMBER('Price History'!F21)),NOT(ISNUMBER('Price History'!F20)),'Price History'!F20=0),"",'Price History'!F21/'Price History'!F20-1),"")</f>
        <v>7.2229551451187257E-2</v>
      </c>
      <c r="G20" s="82">
        <f>IFERROR(IF(OR(NOT(ISNUMBER('Price History'!G21)),NOT(ISNUMBER('Price History'!G20)),'Price History'!G20=0),"",'Price History'!G21/'Price History'!G20-1),"")</f>
        <v>9.4872754491017952E-2</v>
      </c>
      <c r="H20" s="82">
        <f>IFERROR(IF(OR(NOT(ISNUMBER('Price History'!H21)),NOT(ISNUMBER('Price History'!H20)),'Price History'!H20=0),"",'Price History'!H21/'Price History'!H20-1),"")</f>
        <v>8.6045891141942388E-2</v>
      </c>
      <c r="I20" s="82">
        <f>IFERROR(IF(OR(NOT(ISNUMBER('Price History'!I21)),NOT(ISNUMBER('Price History'!I20)),'Price History'!I20=0),"",'Price History'!I21/'Price History'!I20-1),"")</f>
        <v>2.9046516522837296E-2</v>
      </c>
      <c r="J20" s="82">
        <f>IFERROR(IF(OR(NOT(ISNUMBER('Price History'!J21)),NOT(ISNUMBER('Price History'!J20)),'Price History'!J20=0),"",'Price History'!J21/'Price History'!J20-1),"")</f>
        <v>0.12023362536503956</v>
      </c>
      <c r="K20" s="82">
        <f>IFERROR(IF(OR(NOT(ISNUMBER('Price History'!K21)),NOT(ISNUMBER('Price History'!K20)),'Price History'!K20=0),"",'Price History'!K21/'Price History'!K20-1),"")</f>
        <v>2.4198086662915008E-2</v>
      </c>
      <c r="L20" s="82">
        <f>IFERROR(IF(OR(NOT(ISNUMBER('Price History'!L21)),NOT(ISNUMBER('Price History'!L20)),'Price History'!L20=0),"",'Price History'!L21/'Price History'!L20-1),"")</f>
        <v>2.1823617339312484E-2</v>
      </c>
      <c r="M20" s="82">
        <f>IFERROR(IF(OR(NOT(ISNUMBER('Price History'!M21)),NOT(ISNUMBER('Price History'!M20)),'Price History'!M20=0),"",'Price History'!M21/'Price History'!M20-1),"")</f>
        <v>1.2515910055154844E-2</v>
      </c>
      <c r="N20" s="82">
        <f>IFERROR(IF(OR(NOT(ISNUMBER('Price History'!N21)),NOT(ISNUMBER('Price History'!N20)),'Price History'!N20=0),"",'Price History'!N21/'Price History'!N20-1),"")</f>
        <v>0.17286877052691718</v>
      </c>
      <c r="O20" s="82">
        <f>IFERROR(IF(OR(NOT(ISNUMBER('Price History'!O21)),NOT(ISNUMBER('Price History'!O20)),'Price History'!O20=0),"",'Price History'!O21/'Price History'!O20-1),"")</f>
        <v>5.4817474566128066E-2</v>
      </c>
      <c r="P20" s="82" t="str">
        <f>IFERROR(IF(OR(NOT(ISNUMBER('Price History'!P21)),NOT(ISNUMBER('Price History'!P20)),'Price History'!P20=0),"",'Price History'!P21/'Price History'!P20-1),"")</f>
        <v/>
      </c>
      <c r="Q20" s="82">
        <f>IFERROR(IF(OR(NOT(ISNUMBER('Price History'!Q21)),NOT(ISNUMBER('Price History'!Q20)),'Price History'!Q20=0),"",'Price History'!Q21/'Price History'!Q20-1),"")</f>
        <v>1.4121144555927057E-2</v>
      </c>
      <c r="R20" s="82">
        <f>IFERROR(IF(OR(NOT(ISNUMBER('Price History'!R21)),NOT(ISNUMBER('Price History'!R20)),'Price History'!R20=0),"",'Price History'!R21/'Price History'!R20-1),"")</f>
        <v>1.5022330491270885E-2</v>
      </c>
      <c r="S20" s="82">
        <f>IFERROR(IF(OR(NOT(ISNUMBER('Price History'!S21)),NOT(ISNUMBER('Price History'!S20)),'Price History'!S20=0),"",'Price History'!S21/'Price History'!S20-1),"")</f>
        <v>3.4127495170637401E-2</v>
      </c>
      <c r="T20" s="82">
        <f>IFERROR(IF(OR(NOT(ISNUMBER('Price History'!T21)),NOT(ISNUMBER('Price History'!T20)),'Price History'!T20=0),"",'Price History'!T21/'Price History'!T20-1),"")</f>
        <v>2.7757487216946819E-2</v>
      </c>
      <c r="U20" s="82" t="str">
        <f>IFERROR(IF(OR(NOT(ISNUMBER('Price History'!U21)),NOT(ISNUMBER('Price History'!U20)),'Price History'!U20=0),"",'Price History'!U21/'Price History'!U20-1),"")</f>
        <v/>
      </c>
      <c r="V20" s="83">
        <f>IFERROR(IF(OR(NOT(ISNUMBER('Price History'!V21)),NOT(ISNUMBER('Price History'!V20)),'Price History'!V20=0),"",'Price History'!V21/'Price History'!V20-1),"")</f>
        <v>8.9417588120235258E-3</v>
      </c>
      <c r="W20" s="84" t="str">
        <f>IFERROR('Price History'!B3+(INDEX('Price History'!B:B,MATCH(9.99E+307,'Price History'!$A:$A))-'Price History'!B3)*(ROW()-3)/(MATCH(9.99E+307,'Returns (Calc)'!$A:$A)-3),"")</f>
        <v/>
      </c>
      <c r="X20" s="84">
        <f>IFERROR('Price History'!C3+(INDEX('Price History'!C:C,MATCH(9.99E+307,'Price History'!$A:$A))-'Price History'!C3)*(ROW()-3)/(MATCH(9.99E+307,'Returns (Calc)'!$A:$A)-3),"")</f>
        <v>39.063396226415094</v>
      </c>
      <c r="Y20" s="84">
        <f>IFERROR('Price History'!D3+(INDEX('Price History'!D:D,MATCH(9.99E+307,'Price History'!$A:$A))-'Price History'!D3)*(ROW()-3)/(MATCH(9.99E+307,'Returns (Calc)'!$A:$A)-3),"")</f>
        <v>591.0236477987421</v>
      </c>
      <c r="Z20" s="84">
        <f>IFERROR('Price History'!E3+(INDEX('Price History'!E:E,MATCH(9.99E+307,'Price History'!$A:$A))-'Price History'!E3)*(ROW()-3)/(MATCH(9.99E+307,'Returns (Calc)'!$A:$A)-3),"")</f>
        <v>74.107924528301893</v>
      </c>
      <c r="AA20" s="84">
        <f>IFERROR('Price History'!F3+(INDEX('Price History'!F:F,MATCH(9.99E+307,'Price History'!$A:$A))-'Price History'!F3)*(ROW()-3)/(MATCH(9.99E+307,'Returns (Calc)'!$A:$A)-3),"")</f>
        <v>33.097610062893082</v>
      </c>
      <c r="AB20" s="84">
        <f>IFERROR('Price History'!G3+(INDEX('Price History'!G:G,MATCH(9.99E+307,'Price History'!$A:$A))-'Price History'!G3)*(ROW()-3)/(MATCH(9.99E+307,'Returns (Calc)'!$A:$A)-3),"")</f>
        <v>42.778616352201254</v>
      </c>
      <c r="AC20" s="84">
        <f>IFERROR('Price History'!H3+(INDEX('Price History'!H:H,MATCH(9.99E+307,'Price History'!$A:$A))-'Price History'!H3)*(ROW()-3)/(MATCH(9.99E+307,'Returns (Calc)'!$A:$A)-3),"")</f>
        <v>57.487672955974844</v>
      </c>
      <c r="AD20" s="84">
        <f>IFERROR('Price History'!I3+(INDEX('Price History'!I:I,MATCH(9.99E+307,'Price History'!$A:$A))-'Price History'!I3)*(ROW()-3)/(MATCH(9.99E+307,'Returns (Calc)'!$A:$A)-3),"")</f>
        <v>36.482389937106916</v>
      </c>
      <c r="AE20" s="84">
        <f>IFERROR('Price History'!J3+(INDEX('Price History'!J:J,MATCH(9.99E+307,'Price History'!$A:$A))-'Price History'!J3)*(ROW()-3)/(MATCH(9.99E+307,'Returns (Calc)'!$A:$A)-3),"")</f>
        <v>110.30452830188679</v>
      </c>
      <c r="AF20" s="84">
        <f>IFERROR('Price History'!K3+(INDEX('Price History'!K:K,MATCH(9.99E+307,'Price History'!$A:$A))-'Price History'!K3)*(ROW()-3)/(MATCH(9.99E+307,'Returns (Calc)'!$A:$A)-3),"")</f>
        <v>13.762389937106919</v>
      </c>
      <c r="AG20" s="84">
        <f>IFERROR('Price History'!L3+(INDEX('Price History'!L:L,MATCH(9.99E+307,'Price History'!$A:$A))-'Price History'!L3)*(ROW()-3)/(MATCH(9.99E+307,'Returns (Calc)'!$A:$A)-3),"")</f>
        <v>82.154591194968546</v>
      </c>
      <c r="AH20" s="84">
        <f>IFERROR('Price History'!M3+(INDEX('Price History'!M:M,MATCH(9.99E+307,'Price History'!$A:$A))-'Price History'!M3)*(ROW()-3)/(MATCH(9.99E+307,'Returns (Calc)'!$A:$A)-3),"")</f>
        <v>29.927169811320752</v>
      </c>
      <c r="AI20" s="84">
        <f>IFERROR('Price History'!N3+(INDEX('Price History'!N:N,MATCH(9.99E+307,'Price History'!$A:$A))-'Price History'!N3)*(ROW()-3)/(MATCH(9.99E+307,'Returns (Calc)'!$A:$A)-3),"")</f>
        <v>312.45358490566036</v>
      </c>
      <c r="AJ20" s="84">
        <f>IFERROR('Price History'!O3+(INDEX('Price History'!O:O,MATCH(9.99E+307,'Price History'!$A:$A))-'Price History'!O3)*(ROW()-3)/(MATCH(9.99E+307,'Returns (Calc)'!$A:$A)-3),"")</f>
        <v>73.99182389937107</v>
      </c>
      <c r="AK20" s="84">
        <f>IFERROR('Price History'!Q3+(INDEX('Price History'!Q:Q,MATCH(9.99E+307,'Price History'!$A:$A))-'Price History'!Q3)*(ROW()-3)/(MATCH(9.99E+307,'Returns (Calc)'!$A:$A)-3),"")</f>
        <v>44.511194968553461</v>
      </c>
      <c r="AL20" s="84">
        <f>IFERROR('Price History'!R3+(INDEX('Price History'!R:R,MATCH(9.99E+307,'Price History'!$A:$A))-'Price History'!R3)*(ROW()-3)/(MATCH(9.99E+307,'Returns (Calc)'!$A:$A)-3),"")</f>
        <v>42.707169811320753</v>
      </c>
      <c r="AM20" s="84">
        <f>IFERROR('Price History'!S3+(INDEX('Price History'!S:S,MATCH(9.99E+307,'Price History'!$A:$A))-'Price History'!S3)*(ROW()-3)/(MATCH(9.99E+307,'Returns (Calc)'!$A:$A)-3),"")</f>
        <v>52.281006289308174</v>
      </c>
      <c r="AN20" s="84">
        <f>IFERROR('Price History'!T3+(INDEX('Price History'!T:T,MATCH(9.99E+307,'Price History'!$A:$A))-'Price History'!T3)*(ROW()-3)/(MATCH(9.99E+307,'Returns (Calc)'!$A:$A)-3),"")</f>
        <v>24.032830188679245</v>
      </c>
      <c r="AO20" s="85">
        <f>IFERROR('Price History'!V3+(INDEX('Price History'!V:V,MATCH(9.99E+307,'Price History'!$A:$A))-'Price History'!V3)*(ROW()-3)/(MATCH(9.99E+307,'Returns (Calc)'!$A:$A)-3),"")</f>
        <v>0</v>
      </c>
    </row>
    <row r="21" spans="1:41" ht="15" customHeight="1" x14ac:dyDescent="0.3">
      <c r="A21" s="81">
        <f>IF('Price History'!A22="","",'Price History'!A22)</f>
        <v>45282</v>
      </c>
      <c r="B21" s="82">
        <f>IFERROR(IF(OR(NOT(ISNUMBER('Price History'!B22)),NOT(ISNUMBER('Price History'!B21)),'Price History'!B21=0),"",'Price History'!B22/'Price History'!B21-1),"")</f>
        <v>2.4064445508654497E-2</v>
      </c>
      <c r="C21" s="82">
        <f>IFERROR(IF(OR(NOT(ISNUMBER('Price History'!C22)),NOT(ISNUMBER('Price History'!C21)),'Price History'!C21=0),"",'Price History'!C22/'Price History'!C21-1),"")</f>
        <v>1.1375212224108644E-2</v>
      </c>
      <c r="D21" s="82">
        <f>IFERROR(IF(OR(NOT(ISNUMBER('Price History'!D22)),NOT(ISNUMBER('Price History'!D21)),'Price History'!D21=0),"",'Price History'!D22/'Price History'!D21-1),"")</f>
        <v>-5.7107947301326956E-4</v>
      </c>
      <c r="E21" s="82">
        <f>IFERROR(IF(OR(NOT(ISNUMBER('Price History'!E22)),NOT(ISNUMBER('Price History'!E21)),'Price History'!E21=0),"",'Price History'!E22/'Price History'!E21-1),"")</f>
        <v>-6.8159688412852137E-3</v>
      </c>
      <c r="F21" s="82">
        <f>IFERROR(IF(OR(NOT(ISNUMBER('Price History'!F22)),NOT(ISNUMBER('Price History'!F21)),'Price History'!F21=0),"",'Price History'!F22/'Price History'!F21-1),"")</f>
        <v>-1.7071670255306093E-2</v>
      </c>
      <c r="G21" s="82">
        <f>IFERROR(IF(OR(NOT(ISNUMBER('Price History'!G22)),NOT(ISNUMBER('Price History'!G21)),'Price History'!G21=0),"",'Price History'!G22/'Price History'!G21-1),"")</f>
        <v>-4.1018629294137243E-3</v>
      </c>
      <c r="H21" s="82">
        <f>IFERROR(IF(OR(NOT(ISNUMBER('Price History'!H22)),NOT(ISNUMBER('Price History'!H21)),'Price History'!H21=0),"",'Price History'!H22/'Price History'!H21-1),"")</f>
        <v>6.240019653605211E-2</v>
      </c>
      <c r="I21" s="82">
        <f>IFERROR(IF(OR(NOT(ISNUMBER('Price History'!I22)),NOT(ISNUMBER('Price History'!I21)),'Price History'!I21=0),"",'Price History'!I22/'Price History'!I21-1),"")</f>
        <v>-1.227244835344643E-3</v>
      </c>
      <c r="J21" s="82">
        <f>IFERROR(IF(OR(NOT(ISNUMBER('Price History'!J22)),NOT(ISNUMBER('Price History'!J21)),'Price History'!J21=0),"",'Price History'!J22/'Price History'!J21-1),"")</f>
        <v>-1.3853716669149252E-2</v>
      </c>
      <c r="K21" s="82">
        <f>IFERROR(IF(OR(NOT(ISNUMBER('Price History'!K22)),NOT(ISNUMBER('Price History'!K21)),'Price History'!K21=0),"",'Price History'!K22/'Price History'!K21-1),"")</f>
        <v>-4.3406593406593363E-2</v>
      </c>
      <c r="L21" s="82">
        <f>IFERROR(IF(OR(NOT(ISNUMBER('Price History'!L22)),NOT(ISNUMBER('Price History'!L21)),'Price History'!L21=0),"",'Price History'!L22/'Price History'!L21-1),"")</f>
        <v>5.9488979910278239E-3</v>
      </c>
      <c r="M21" s="82">
        <f>IFERROR(IF(OR(NOT(ISNUMBER('Price History'!M22)),NOT(ISNUMBER('Price History'!M21)),'Price History'!M21=0),"",'Price History'!M22/'Price History'!M21-1),"")</f>
        <v>2.1998742928975634E-2</v>
      </c>
      <c r="N21" s="82">
        <f>IFERROR(IF(OR(NOT(ISNUMBER('Price History'!N22)),NOT(ISNUMBER('Price History'!N21)),'Price History'!N21=0),"",'Price History'!N22/'Price History'!N21-1),"")</f>
        <v>-1.3221973312554813E-2</v>
      </c>
      <c r="O21" s="82">
        <f>IFERROR(IF(OR(NOT(ISNUMBER('Price History'!O22)),NOT(ISNUMBER('Price History'!O21)),'Price History'!O21=0),"",'Price History'!O22/'Price History'!O21-1),"")</f>
        <v>2.2693747872461145E-2</v>
      </c>
      <c r="P21" s="82" t="str">
        <f>IFERROR(IF(OR(NOT(ISNUMBER('Price History'!P22)),NOT(ISNUMBER('Price History'!P21)),'Price History'!P21=0),"",'Price History'!P22/'Price History'!P21-1),"")</f>
        <v/>
      </c>
      <c r="Q21" s="82">
        <f>IFERROR(IF(OR(NOT(ISNUMBER('Price History'!Q22)),NOT(ISNUMBER('Price History'!Q21)),'Price History'!Q21=0),"",'Price History'!Q22/'Price History'!Q21-1),"")</f>
        <v>4.3972150971052226E-3</v>
      </c>
      <c r="R21" s="82">
        <f>IFERROR(IF(OR(NOT(ISNUMBER('Price History'!R22)),NOT(ISNUMBER('Price History'!R21)),'Price History'!R21=0),"",'Price History'!R22/'Price History'!R21-1),"")</f>
        <v>3.1999999999998696E-3</v>
      </c>
      <c r="S21" s="82">
        <f>IFERROR(IF(OR(NOT(ISNUMBER('Price History'!S22)),NOT(ISNUMBER('Price History'!S21)),'Price History'!S21=0),"",'Price History'!S22/'Price History'!S21-1),"")</f>
        <v>1.2453300124533273E-2</v>
      </c>
      <c r="T21" s="82">
        <f>IFERROR(IF(OR(NOT(ISNUMBER('Price History'!T22)),NOT(ISNUMBER('Price History'!T21)),'Price History'!T21=0),"",'Price History'!T22/'Price History'!T21-1),"")</f>
        <v>9.5948827292111627E-3</v>
      </c>
      <c r="U21" s="82" t="str">
        <f>IFERROR(IF(OR(NOT(ISNUMBER('Price History'!U22)),NOT(ISNUMBER('Price History'!U21)),'Price History'!U21=0),"",'Price History'!U22/'Price History'!U21-1),"")</f>
        <v/>
      </c>
      <c r="V21" s="83">
        <f>IFERROR(IF(OR(NOT(ISNUMBER('Price History'!V22)),NOT(ISNUMBER('Price History'!V21)),'Price History'!V21=0),"",'Price History'!V22/'Price History'!V21-1),"")</f>
        <v>1.5430267062312986E-3</v>
      </c>
      <c r="W21" s="84" t="str">
        <f>IFERROR('Price History'!B3+(INDEX('Price History'!B:B,MATCH(9.99E+307,'Price History'!$A:$A))-'Price History'!B3)*(ROW()-3)/(MATCH(9.99E+307,'Returns (Calc)'!$A:$A)-3),"")</f>
        <v/>
      </c>
      <c r="X21" s="84">
        <f>IFERROR('Price History'!C3+(INDEX('Price History'!C:C,MATCH(9.99E+307,'Price History'!$A:$A))-'Price History'!C3)*(ROW()-3)/(MATCH(9.99E+307,'Returns (Calc)'!$A:$A)-3),"")</f>
        <v>38.788301886792453</v>
      </c>
      <c r="Y21" s="84">
        <f>IFERROR('Price History'!D3+(INDEX('Price History'!D:D,MATCH(9.99E+307,'Price History'!$A:$A))-'Price History'!D3)*(ROW()-3)/(MATCH(9.99E+307,'Returns (Calc)'!$A:$A)-3),"")</f>
        <v>586.86150943396228</v>
      </c>
      <c r="Z21" s="84">
        <f>IFERROR('Price History'!E3+(INDEX('Price History'!E:E,MATCH(9.99E+307,'Price History'!$A:$A))-'Price History'!E3)*(ROW()-3)/(MATCH(9.99E+307,'Returns (Calc)'!$A:$A)-3),"")</f>
        <v>73.586037735849061</v>
      </c>
      <c r="AA21" s="84">
        <f>IFERROR('Price History'!F3+(INDEX('Price History'!F:F,MATCH(9.99E+307,'Price History'!$A:$A))-'Price History'!F3)*(ROW()-3)/(MATCH(9.99E+307,'Returns (Calc)'!$A:$A)-3),"")</f>
        <v>32.864528301886793</v>
      </c>
      <c r="AB21" s="84">
        <f>IFERROR('Price History'!G3+(INDEX('Price History'!G:G,MATCH(9.99E+307,'Price History'!$A:$A))-'Price History'!G3)*(ROW()-3)/(MATCH(9.99E+307,'Returns (Calc)'!$A:$A)-3),"")</f>
        <v>42.477358490566033</v>
      </c>
      <c r="AC21" s="84">
        <f>IFERROR('Price History'!H3+(INDEX('Price History'!H:H,MATCH(9.99E+307,'Price History'!$A:$A))-'Price History'!H3)*(ROW()-3)/(MATCH(9.99E+307,'Returns (Calc)'!$A:$A)-3),"")</f>
        <v>57.082830188679253</v>
      </c>
      <c r="AD21" s="84">
        <f>IFERROR('Price History'!I3+(INDEX('Price History'!I:I,MATCH(9.99E+307,'Price History'!$A:$A))-'Price History'!I3)*(ROW()-3)/(MATCH(9.99E+307,'Returns (Calc)'!$A:$A)-3),"")</f>
        <v>36.225471698113211</v>
      </c>
      <c r="AE21" s="84">
        <f>IFERROR('Price History'!J3+(INDEX('Price History'!J:J,MATCH(9.99E+307,'Price History'!$A:$A))-'Price History'!J3)*(ROW()-3)/(MATCH(9.99E+307,'Returns (Calc)'!$A:$A)-3),"")</f>
        <v>109.52773584905661</v>
      </c>
      <c r="AF21" s="84">
        <f>IFERROR('Price History'!K3+(INDEX('Price History'!K:K,MATCH(9.99E+307,'Price History'!$A:$A))-'Price History'!K3)*(ROW()-3)/(MATCH(9.99E+307,'Returns (Calc)'!$A:$A)-3),"")</f>
        <v>13.665471698113208</v>
      </c>
      <c r="AG21" s="84">
        <f>IFERROR('Price History'!L3+(INDEX('Price History'!L:L,MATCH(9.99E+307,'Price History'!$A:$A))-'Price History'!L3)*(ROW()-3)/(MATCH(9.99E+307,'Returns (Calc)'!$A:$A)-3),"")</f>
        <v>81.576037735849056</v>
      </c>
      <c r="AH21" s="84">
        <f>IFERROR('Price History'!M3+(INDEX('Price History'!M:M,MATCH(9.99E+307,'Price History'!$A:$A))-'Price History'!M3)*(ROW()-3)/(MATCH(9.99E+307,'Returns (Calc)'!$A:$A)-3),"")</f>
        <v>29.71641509433962</v>
      </c>
      <c r="AI21" s="84">
        <f>IFERROR('Price History'!N3+(INDEX('Price History'!N:N,MATCH(9.99E+307,'Price History'!$A:$A))-'Price History'!N3)*(ROW()-3)/(MATCH(9.99E+307,'Returns (Calc)'!$A:$A)-3),"")</f>
        <v>310.25320754716984</v>
      </c>
      <c r="AJ21" s="84">
        <f>IFERROR('Price History'!O3+(INDEX('Price History'!O:O,MATCH(9.99E+307,'Price History'!$A:$A))-'Price History'!O3)*(ROW()-3)/(MATCH(9.99E+307,'Returns (Calc)'!$A:$A)-3),"")</f>
        <v>73.470754716981133</v>
      </c>
      <c r="AK21" s="84">
        <f>IFERROR('Price History'!Q3+(INDEX('Price History'!Q:Q,MATCH(9.99E+307,'Price History'!$A:$A))-'Price History'!Q3)*(ROW()-3)/(MATCH(9.99E+307,'Returns (Calc)'!$A:$A)-3),"")</f>
        <v>44.197735849056606</v>
      </c>
      <c r="AL21" s="84">
        <f>IFERROR('Price History'!R3+(INDEX('Price History'!R:R,MATCH(9.99E+307,'Price History'!$A:$A))-'Price History'!R3)*(ROW()-3)/(MATCH(9.99E+307,'Returns (Calc)'!$A:$A)-3),"")</f>
        <v>42.406415094339621</v>
      </c>
      <c r="AM21" s="84">
        <f>IFERROR('Price History'!S3+(INDEX('Price History'!S:S,MATCH(9.99E+307,'Price History'!$A:$A))-'Price History'!S3)*(ROW()-3)/(MATCH(9.99E+307,'Returns (Calc)'!$A:$A)-3),"")</f>
        <v>51.912830188679244</v>
      </c>
      <c r="AN21" s="84">
        <f>IFERROR('Price History'!T3+(INDEX('Price History'!T:T,MATCH(9.99E+307,'Price History'!$A:$A))-'Price History'!T3)*(ROW()-3)/(MATCH(9.99E+307,'Returns (Calc)'!$A:$A)-3),"")</f>
        <v>23.863584905660378</v>
      </c>
      <c r="AO21" s="85">
        <f>IFERROR('Price History'!V3+(INDEX('Price History'!V:V,MATCH(9.99E+307,'Price History'!$A:$A))-'Price History'!V3)*(ROW()-3)/(MATCH(9.99E+307,'Returns (Calc)'!$A:$A)-3),"")</f>
        <v>0</v>
      </c>
    </row>
    <row r="22" spans="1:41" ht="15" customHeight="1" x14ac:dyDescent="0.3">
      <c r="A22" s="81">
        <f>IF('Price History'!A23="","",'Price History'!A23)</f>
        <v>45289</v>
      </c>
      <c r="B22" s="82">
        <f>IFERROR(IF(OR(NOT(ISNUMBER('Price History'!B23)),NOT(ISNUMBER('Price History'!B22)),'Price History'!B22=0),"",'Price History'!B23/'Price History'!B22-1),"")</f>
        <v>-3.5908141962421869E-3</v>
      </c>
      <c r="C22" s="82">
        <f>IFERROR(IF(OR(NOT(ISNUMBER('Price History'!C23)),NOT(ISNUMBER('Price History'!C22)),'Price History'!C22=0),"",'Price History'!C23/'Price History'!C22-1),"")</f>
        <v>-1.158301158301156E-2</v>
      </c>
      <c r="D22" s="82">
        <f>IFERROR(IF(OR(NOT(ISNUMBER('Price History'!D23)),NOT(ISNUMBER('Price History'!D22)),'Price History'!D22=0),"",'Price History'!D23/'Price History'!D22-1),"")</f>
        <v>5.8336544722470407E-3</v>
      </c>
      <c r="E22" s="82">
        <f>IFERROR(IF(OR(NOT(ISNUMBER('Price History'!E23)),NOT(ISNUMBER('Price History'!E22)),'Price History'!E22=0),"",'Price History'!E23/'Price History'!E22-1),"")</f>
        <v>-5.080213903743358E-3</v>
      </c>
      <c r="F22" s="82">
        <f>IFERROR(IF(OR(NOT(ISNUMBER('Price History'!F23)),NOT(ISNUMBER('Price History'!F22)),'Price History'!F22=0),"",'Price History'!F23/'Price History'!F22-1),"")</f>
        <v>-1.2517602879048573E-3</v>
      </c>
      <c r="G22" s="82">
        <f>IFERROR(IF(OR(NOT(ISNUMBER('Price History'!G23)),NOT(ISNUMBER('Price History'!G22)),'Price History'!G22=0),"",'Price History'!G23/'Price History'!G22-1),"")</f>
        <v>-2.402608546421825E-3</v>
      </c>
      <c r="H22" s="82">
        <f>IFERROR(IF(OR(NOT(ISNUMBER('Price History'!H23)),NOT(ISNUMBER('Price History'!H22)),'Price History'!H22=0),"",'Price History'!H23/'Price History'!H22-1),"")</f>
        <v>-1.3296334836397139E-2</v>
      </c>
      <c r="I22" s="82">
        <f>IFERROR(IF(OR(NOT(ISNUMBER('Price History'!I23)),NOT(ISNUMBER('Price History'!I22)),'Price History'!I22=0),"",'Price History'!I23/'Price History'!I22-1),"")</f>
        <v>1.4130657382756651E-2</v>
      </c>
      <c r="J22" s="82">
        <f>IFERROR(IF(OR(NOT(ISNUMBER('Price History'!J23)),NOT(ISNUMBER('Price History'!J22)),'Price History'!J22=0),"",'Price History'!J23/'Price History'!J22-1),"")</f>
        <v>6.7975830815709681E-3</v>
      </c>
      <c r="K22" s="82">
        <f>IFERROR(IF(OR(NOT(ISNUMBER('Price History'!K23)),NOT(ISNUMBER('Price History'!K22)),'Price History'!K22=0),"",'Price History'!K23/'Price History'!K22-1),"")</f>
        <v>-1.378518093049963E-2</v>
      </c>
      <c r="L22" s="82">
        <f>IFERROR(IF(OR(NOT(ISNUMBER('Price History'!L23)),NOT(ISNUMBER('Price History'!L22)),'Price History'!L22=0),"",'Price History'!L23/'Price History'!L22-1),"")</f>
        <v>8.2404265632574081E-3</v>
      </c>
      <c r="M22" s="82">
        <f>IFERROR(IF(OR(NOT(ISNUMBER('Price History'!M23)),NOT(ISNUMBER('Price History'!M22)),'Price History'!M22=0),"",'Price History'!M23/'Price History'!M22-1),"")</f>
        <v>-1.5375153751537529E-2</v>
      </c>
      <c r="N22" s="82">
        <f>IFERROR(IF(OR(NOT(ISNUMBER('Price History'!N23)),NOT(ISNUMBER('Price History'!N22)),'Price History'!N22=0),"",'Price History'!N23/'Price History'!N22-1),"")</f>
        <v>4.0468846391117363E-3</v>
      </c>
      <c r="O22" s="82">
        <f>IFERROR(IF(OR(NOT(ISNUMBER('Price History'!O23)),NOT(ISNUMBER('Price History'!O22)),'Price History'!O22=0),"",'Price History'!O23/'Price History'!O22-1),"")</f>
        <v>-3.6613780095418047E-3</v>
      </c>
      <c r="P22" s="82" t="str">
        <f>IFERROR(IF(OR(NOT(ISNUMBER('Price History'!P23)),NOT(ISNUMBER('Price History'!P22)),'Price History'!P22=0),"",'Price History'!P23/'Price History'!P22-1),"")</f>
        <v/>
      </c>
      <c r="Q22" s="82">
        <f>IFERROR(IF(OR(NOT(ISNUMBER('Price History'!Q23)),NOT(ISNUMBER('Price History'!Q22)),'Price History'!Q22=0),"",'Price History'!Q23/'Price History'!Q22-1),"")</f>
        <v>-5.4724553082815541E-3</v>
      </c>
      <c r="R22" s="82">
        <f>IFERROR(IF(OR(NOT(ISNUMBER('Price History'!R23)),NOT(ISNUMBER('Price History'!R22)),'Price History'!R22=0),"",'Price History'!R23/'Price History'!R22-1),"")</f>
        <v>-4.5853269537479147E-3</v>
      </c>
      <c r="S22" s="82">
        <f>IFERROR(IF(OR(NOT(ISNUMBER('Price History'!S23)),NOT(ISNUMBER('Price History'!S22)),'Price History'!S22=0),"",'Price History'!S23/'Price History'!S22-1),"")</f>
        <v>7.0725707257071058E-3</v>
      </c>
      <c r="T22" s="82">
        <f>IFERROR(IF(OR(NOT(ISNUMBER('Price History'!T23)),NOT(ISNUMBER('Price History'!T22)),'Price History'!T22=0),"",'Price History'!T23/'Price History'!T22-1),"")</f>
        <v>-2.4639211545230966E-3</v>
      </c>
      <c r="U22" s="82" t="str">
        <f>IFERROR(IF(OR(NOT(ISNUMBER('Price History'!U23)),NOT(ISNUMBER('Price History'!U22)),'Price History'!U22=0),"",'Price History'!U23/'Price History'!U22-1),"")</f>
        <v/>
      </c>
      <c r="V22" s="83">
        <f>IFERROR(IF(OR(NOT(ISNUMBER('Price History'!V23)),NOT(ISNUMBER('Price History'!V22)),'Price History'!V22=0),"",'Price History'!V23/'Price History'!V22-1),"")</f>
        <v>7.4267203918780833E-3</v>
      </c>
      <c r="W22" s="84" t="str">
        <f>IFERROR('Price History'!B3+(INDEX('Price History'!B:B,MATCH(9.99E+307,'Price History'!$A:$A))-'Price History'!B3)*(ROW()-3)/(MATCH(9.99E+307,'Returns (Calc)'!$A:$A)-3),"")</f>
        <v/>
      </c>
      <c r="X22" s="84">
        <f>IFERROR('Price History'!C3+(INDEX('Price History'!C:C,MATCH(9.99E+307,'Price History'!$A:$A))-'Price History'!C3)*(ROW()-3)/(MATCH(9.99E+307,'Returns (Calc)'!$A:$A)-3),"")</f>
        <v>38.513207547169813</v>
      </c>
      <c r="Y22" s="84">
        <f>IFERROR('Price History'!D3+(INDEX('Price History'!D:D,MATCH(9.99E+307,'Price History'!$A:$A))-'Price History'!D3)*(ROW()-3)/(MATCH(9.99E+307,'Returns (Calc)'!$A:$A)-3),"")</f>
        <v>582.69937106918235</v>
      </c>
      <c r="Z22" s="84">
        <f>IFERROR('Price History'!E3+(INDEX('Price History'!E:E,MATCH(9.99E+307,'Price History'!$A:$A))-'Price History'!E3)*(ROW()-3)/(MATCH(9.99E+307,'Returns (Calc)'!$A:$A)-3),"")</f>
        <v>73.064150943396228</v>
      </c>
      <c r="AA22" s="84">
        <f>IFERROR('Price History'!F3+(INDEX('Price History'!F:F,MATCH(9.99E+307,'Price History'!$A:$A))-'Price History'!F3)*(ROW()-3)/(MATCH(9.99E+307,'Returns (Calc)'!$A:$A)-3),"")</f>
        <v>32.631446540880503</v>
      </c>
      <c r="AB22" s="84">
        <f>IFERROR('Price History'!G3+(INDEX('Price History'!G:G,MATCH(9.99E+307,'Price History'!$A:$A))-'Price History'!G3)*(ROW()-3)/(MATCH(9.99E+307,'Returns (Calc)'!$A:$A)-3),"")</f>
        <v>42.176100628930818</v>
      </c>
      <c r="AC22" s="84">
        <f>IFERROR('Price History'!H3+(INDEX('Price History'!H:H,MATCH(9.99E+307,'Price History'!$A:$A))-'Price History'!H3)*(ROW()-3)/(MATCH(9.99E+307,'Returns (Calc)'!$A:$A)-3),"")</f>
        <v>56.677987421383648</v>
      </c>
      <c r="AD22" s="84">
        <f>IFERROR('Price History'!I3+(INDEX('Price History'!I:I,MATCH(9.99E+307,'Price History'!$A:$A))-'Price History'!I3)*(ROW()-3)/(MATCH(9.99E+307,'Returns (Calc)'!$A:$A)-3),"")</f>
        <v>35.968553459119498</v>
      </c>
      <c r="AE22" s="84">
        <f>IFERROR('Price History'!J3+(INDEX('Price History'!J:J,MATCH(9.99E+307,'Price History'!$A:$A))-'Price History'!J3)*(ROW()-3)/(MATCH(9.99E+307,'Returns (Calc)'!$A:$A)-3),"")</f>
        <v>108.75094339622642</v>
      </c>
      <c r="AF22" s="84">
        <f>IFERROR('Price History'!K3+(INDEX('Price History'!K:K,MATCH(9.99E+307,'Price History'!$A:$A))-'Price History'!K3)*(ROW()-3)/(MATCH(9.99E+307,'Returns (Calc)'!$A:$A)-3),"")</f>
        <v>13.568553459119498</v>
      </c>
      <c r="AG22" s="84">
        <f>IFERROR('Price History'!L3+(INDEX('Price History'!L:L,MATCH(9.99E+307,'Price History'!$A:$A))-'Price History'!L3)*(ROW()-3)/(MATCH(9.99E+307,'Returns (Calc)'!$A:$A)-3),"")</f>
        <v>80.997484276729551</v>
      </c>
      <c r="AH22" s="84">
        <f>IFERROR('Price History'!M3+(INDEX('Price History'!M:M,MATCH(9.99E+307,'Price History'!$A:$A))-'Price History'!M3)*(ROW()-3)/(MATCH(9.99E+307,'Returns (Calc)'!$A:$A)-3),"")</f>
        <v>29.505660377358488</v>
      </c>
      <c r="AI22" s="84">
        <f>IFERROR('Price History'!N3+(INDEX('Price History'!N:N,MATCH(9.99E+307,'Price History'!$A:$A))-'Price History'!N3)*(ROW()-3)/(MATCH(9.99E+307,'Returns (Calc)'!$A:$A)-3),"")</f>
        <v>308.05283018867925</v>
      </c>
      <c r="AJ22" s="84">
        <f>IFERROR('Price History'!O3+(INDEX('Price History'!O:O,MATCH(9.99E+307,'Price History'!$A:$A))-'Price History'!O3)*(ROW()-3)/(MATCH(9.99E+307,'Returns (Calc)'!$A:$A)-3),"")</f>
        <v>72.949685534591197</v>
      </c>
      <c r="AK22" s="84">
        <f>IFERROR('Price History'!Q3+(INDEX('Price History'!Q:Q,MATCH(9.99E+307,'Price History'!$A:$A))-'Price History'!Q3)*(ROW()-3)/(MATCH(9.99E+307,'Returns (Calc)'!$A:$A)-3),"")</f>
        <v>43.884276729559751</v>
      </c>
      <c r="AL22" s="84">
        <f>IFERROR('Price History'!R3+(INDEX('Price History'!R:R,MATCH(9.99E+307,'Price History'!$A:$A))-'Price History'!R3)*(ROW()-3)/(MATCH(9.99E+307,'Returns (Calc)'!$A:$A)-3),"")</f>
        <v>42.10566037735849</v>
      </c>
      <c r="AM22" s="84">
        <f>IFERROR('Price History'!S3+(INDEX('Price History'!S:S,MATCH(9.99E+307,'Price History'!$A:$A))-'Price History'!S3)*(ROW()-3)/(MATCH(9.99E+307,'Returns (Calc)'!$A:$A)-3),"")</f>
        <v>51.544654088050315</v>
      </c>
      <c r="AN22" s="84">
        <f>IFERROR('Price History'!T3+(INDEX('Price History'!T:T,MATCH(9.99E+307,'Price History'!$A:$A))-'Price History'!T3)*(ROW()-3)/(MATCH(9.99E+307,'Returns (Calc)'!$A:$A)-3),"")</f>
        <v>23.694339622641508</v>
      </c>
      <c r="AO22" s="85">
        <f>IFERROR('Price History'!V3+(INDEX('Price History'!V:V,MATCH(9.99E+307,'Price History'!$A:$A))-'Price History'!V3)*(ROW()-3)/(MATCH(9.99E+307,'Returns (Calc)'!$A:$A)-3),"")</f>
        <v>0</v>
      </c>
    </row>
    <row r="23" spans="1:41" ht="15" customHeight="1" x14ac:dyDescent="0.3">
      <c r="A23" s="81">
        <f>IF('Price History'!A24="","",'Price History'!A24)</f>
        <v>45296</v>
      </c>
      <c r="B23" s="82">
        <f>IFERROR(IF(OR(NOT(ISNUMBER('Price History'!B24)),NOT(ISNUMBER('Price History'!B23)),'Price History'!B23=0),"",'Price History'!B24/'Price History'!B23-1),"")</f>
        <v>-5.3637277908146208E-2</v>
      </c>
      <c r="C23" s="82">
        <f>IFERROR(IF(OR(NOT(ISNUMBER('Price History'!C24)),NOT(ISNUMBER('Price History'!C23)),'Price History'!C23=0),"",'Price History'!C24/'Price History'!C23-1),"")</f>
        <v>-1.9531250000000111E-2</v>
      </c>
      <c r="D23" s="82">
        <f>IFERROR(IF(OR(NOT(ISNUMBER('Price History'!D24)),NOT(ISNUMBER('Price History'!D23)),'Price History'!D23=0),"",'Price History'!D24/'Price History'!D23-1),"")</f>
        <v>-7.0786873117370308E-2</v>
      </c>
      <c r="E23" s="82">
        <f>IFERROR(IF(OR(NOT(ISNUMBER('Price History'!E24)),NOT(ISNUMBER('Price History'!E23)),'Price History'!E23=0),"",'Price History'!E24/'Price History'!E23-1),"")</f>
        <v>-6.0019707963808955E-2</v>
      </c>
      <c r="F23" s="82">
        <f>IFERROR(IF(OR(NOT(ISNUMBER('Price History'!F24)),NOT(ISNUMBER('Price History'!F23)),'Price History'!F23=0),"",'Price History'!F24/'Price History'!F23-1),"")</f>
        <v>-3.0706564311452356E-2</v>
      </c>
      <c r="G23" s="82">
        <f>IFERROR(IF(OR(NOT(ISNUMBER('Price History'!G24)),NOT(ISNUMBER('Price History'!G23)),'Price History'!G23=0),"",'Price History'!G24/'Price History'!G23-1),"")</f>
        <v>-6.36504386719422E-2</v>
      </c>
      <c r="H23" s="82">
        <f>IFERROR(IF(OR(NOT(ISNUMBER('Price History'!H24)),NOT(ISNUMBER('Price History'!H23)),'Price History'!H23=0),"",'Price History'!H24/'Price History'!H23-1),"")</f>
        <v>-2.2146707288493106E-2</v>
      </c>
      <c r="I23" s="82">
        <f>IFERROR(IF(OR(NOT(ISNUMBER('Price History'!I24)),NOT(ISNUMBER('Price History'!I23)),'Price History'!I23=0),"",'Price History'!I24/'Price History'!I23-1),"")</f>
        <v>-8.4814216478190652E-3</v>
      </c>
      <c r="J23" s="82">
        <f>IFERROR(IF(OR(NOT(ISNUMBER('Price History'!J24)),NOT(ISNUMBER('Price History'!J23)),'Price History'!J23=0),"",'Price History'!J24/'Price History'!J23-1),"")</f>
        <v>-2.0555138784696281E-2</v>
      </c>
      <c r="K23" s="82">
        <f>IFERROR(IF(OR(NOT(ISNUMBER('Price History'!K24)),NOT(ISNUMBER('Price History'!K23)),'Price History'!K23=0),"",'Price History'!K24/'Price History'!K23-1),"")</f>
        <v>-6.9306930693069368E-2</v>
      </c>
      <c r="L23" s="82">
        <f>IFERROR(IF(OR(NOT(ISNUMBER('Price History'!L24)),NOT(ISNUMBER('Price History'!L23)),'Price History'!L23=0),"",'Price History'!L24/'Price History'!L23-1),"")</f>
        <v>-4.2211538461538467E-2</v>
      </c>
      <c r="M23" s="82">
        <f>IFERROR(IF(OR(NOT(ISNUMBER('Price History'!M24)),NOT(ISNUMBER('Price History'!M23)),'Price History'!M23=0),"",'Price History'!M24/'Price History'!M23-1),"")</f>
        <v>-3.5810951488652876E-2</v>
      </c>
      <c r="N23" s="82">
        <f>IFERROR(IF(OR(NOT(ISNUMBER('Price History'!N24)),NOT(ISNUMBER('Price History'!N23)),'Price History'!N23=0),"",'Price History'!N24/'Price History'!N23-1),"")</f>
        <v>2.3618176902848509E-2</v>
      </c>
      <c r="O23" s="82">
        <f>IFERROR(IF(OR(NOT(ISNUMBER('Price History'!O24)),NOT(ISNUMBER('Price History'!O23)),'Price History'!O23=0),"",'Price History'!O24/'Price History'!O23-1),"")</f>
        <v>-2.5946547884187043E-2</v>
      </c>
      <c r="P23" s="82" t="str">
        <f>IFERROR(IF(OR(NOT(ISNUMBER('Price History'!P24)),NOT(ISNUMBER('Price History'!P23)),'Price History'!P23=0),"",'Price History'!P24/'Price History'!P23-1),"")</f>
        <v/>
      </c>
      <c r="Q23" s="82">
        <f>IFERROR(IF(OR(NOT(ISNUMBER('Price History'!Q24)),NOT(ISNUMBER('Price History'!Q23)),'Price History'!Q23=0),"",'Price History'!Q24/'Price History'!Q23-1),"")</f>
        <v>7.5201760821717034E-3</v>
      </c>
      <c r="R23" s="82">
        <f>IFERROR(IF(OR(NOT(ISNUMBER('Price History'!R24)),NOT(ISNUMBER('Price History'!R23)),'Price History'!R23=0),"",'Price History'!R24/'Price History'!R23-1),"")</f>
        <v>-1.562187061886644E-2</v>
      </c>
      <c r="S23" s="82">
        <f>IFERROR(IF(OR(NOT(ISNUMBER('Price History'!S24)),NOT(ISNUMBER('Price History'!S23)),'Price History'!S23=0),"",'Price History'!S24/'Price History'!S23-1),"")</f>
        <v>-1.0381679389313114E-2</v>
      </c>
      <c r="T23" s="82">
        <f>IFERROR(IF(OR(NOT(ISNUMBER('Price History'!T24)),NOT(ISNUMBER('Price History'!T23)),'Price History'!T23=0),"",'Price History'!T24/'Price History'!T23-1),"")</f>
        <v>1.0585744530700048E-3</v>
      </c>
      <c r="U23" s="82" t="str">
        <f>IFERROR(IF(OR(NOT(ISNUMBER('Price History'!U24)),NOT(ISNUMBER('Price History'!U23)),'Price History'!U23=0),"",'Price History'!U24/'Price History'!U23-1),"")</f>
        <v/>
      </c>
      <c r="V23" s="83">
        <f>IFERROR(IF(OR(NOT(ISNUMBER('Price History'!V24)),NOT(ISNUMBER('Price History'!V23)),'Price History'!V23=0),"",'Price History'!V24/'Price History'!V23-1),"")</f>
        <v>-2.5488197004156499E-3</v>
      </c>
      <c r="W23" s="84" t="str">
        <f>IFERROR('Price History'!B3+(INDEX('Price History'!B:B,MATCH(9.99E+307,'Price History'!$A:$A))-'Price History'!B3)*(ROW()-3)/(MATCH(9.99E+307,'Returns (Calc)'!$A:$A)-3),"")</f>
        <v/>
      </c>
      <c r="X23" s="84">
        <f>IFERROR('Price History'!C3+(INDEX('Price History'!C:C,MATCH(9.99E+307,'Price History'!$A:$A))-'Price History'!C3)*(ROW()-3)/(MATCH(9.99E+307,'Returns (Calc)'!$A:$A)-3),"")</f>
        <v>38.238113207547173</v>
      </c>
      <c r="Y23" s="84">
        <f>IFERROR('Price History'!D3+(INDEX('Price History'!D:D,MATCH(9.99E+307,'Price History'!$A:$A))-'Price History'!D3)*(ROW()-3)/(MATCH(9.99E+307,'Returns (Calc)'!$A:$A)-3),"")</f>
        <v>578.53723270440253</v>
      </c>
      <c r="Z23" s="84">
        <f>IFERROR('Price History'!E3+(INDEX('Price History'!E:E,MATCH(9.99E+307,'Price History'!$A:$A))-'Price History'!E3)*(ROW()-3)/(MATCH(9.99E+307,'Returns (Calc)'!$A:$A)-3),"")</f>
        <v>72.542264150943396</v>
      </c>
      <c r="AA23" s="84">
        <f>IFERROR('Price History'!F3+(INDEX('Price History'!F:F,MATCH(9.99E+307,'Price History'!$A:$A))-'Price History'!F3)*(ROW()-3)/(MATCH(9.99E+307,'Returns (Calc)'!$A:$A)-3),"")</f>
        <v>32.398364779874214</v>
      </c>
      <c r="AB23" s="84">
        <f>IFERROR('Price History'!G3+(INDEX('Price History'!G:G,MATCH(9.99E+307,'Price History'!$A:$A))-'Price History'!G3)*(ROW()-3)/(MATCH(9.99E+307,'Returns (Calc)'!$A:$A)-3),"")</f>
        <v>41.874842767295597</v>
      </c>
      <c r="AC23" s="84">
        <f>IFERROR('Price History'!H3+(INDEX('Price History'!H:H,MATCH(9.99E+307,'Price History'!$A:$A))-'Price History'!H3)*(ROW()-3)/(MATCH(9.99E+307,'Returns (Calc)'!$A:$A)-3),"")</f>
        <v>56.273144654088057</v>
      </c>
      <c r="AD23" s="84">
        <f>IFERROR('Price History'!I3+(INDEX('Price History'!I:I,MATCH(9.99E+307,'Price History'!$A:$A))-'Price History'!I3)*(ROW()-3)/(MATCH(9.99E+307,'Returns (Calc)'!$A:$A)-3),"")</f>
        <v>35.711635220125785</v>
      </c>
      <c r="AE23" s="84">
        <f>IFERROR('Price History'!J3+(INDEX('Price History'!J:J,MATCH(9.99E+307,'Price History'!$A:$A))-'Price History'!J3)*(ROW()-3)/(MATCH(9.99E+307,'Returns (Calc)'!$A:$A)-3),"")</f>
        <v>107.97415094339622</v>
      </c>
      <c r="AF23" s="84">
        <f>IFERROR('Price History'!K3+(INDEX('Price History'!K:K,MATCH(9.99E+307,'Price History'!$A:$A))-'Price History'!K3)*(ROW()-3)/(MATCH(9.99E+307,'Returns (Calc)'!$A:$A)-3),"")</f>
        <v>13.471635220125787</v>
      </c>
      <c r="AG23" s="84">
        <f>IFERROR('Price History'!L3+(INDEX('Price History'!L:L,MATCH(9.99E+307,'Price History'!$A:$A))-'Price History'!L3)*(ROW()-3)/(MATCH(9.99E+307,'Returns (Calc)'!$A:$A)-3),"")</f>
        <v>80.418930817610061</v>
      </c>
      <c r="AH23" s="84">
        <f>IFERROR('Price History'!M3+(INDEX('Price History'!M:M,MATCH(9.99E+307,'Price History'!$A:$A))-'Price History'!M3)*(ROW()-3)/(MATCH(9.99E+307,'Returns (Calc)'!$A:$A)-3),"")</f>
        <v>29.294905660377356</v>
      </c>
      <c r="AI23" s="84">
        <f>IFERROR('Price History'!N3+(INDEX('Price History'!N:N,MATCH(9.99E+307,'Price History'!$A:$A))-'Price History'!N3)*(ROW()-3)/(MATCH(9.99E+307,'Returns (Calc)'!$A:$A)-3),"")</f>
        <v>305.85245283018867</v>
      </c>
      <c r="AJ23" s="84">
        <f>IFERROR('Price History'!O3+(INDEX('Price History'!O:O,MATCH(9.99E+307,'Price History'!$A:$A))-'Price History'!O3)*(ROW()-3)/(MATCH(9.99E+307,'Returns (Calc)'!$A:$A)-3),"")</f>
        <v>72.42861635220126</v>
      </c>
      <c r="AK23" s="84">
        <f>IFERROR('Price History'!Q3+(INDEX('Price History'!Q:Q,MATCH(9.99E+307,'Price History'!$A:$A))-'Price History'!Q3)*(ROW()-3)/(MATCH(9.99E+307,'Returns (Calc)'!$A:$A)-3),"")</f>
        <v>43.570817610062896</v>
      </c>
      <c r="AL23" s="84">
        <f>IFERROR('Price History'!R3+(INDEX('Price History'!R:R,MATCH(9.99E+307,'Price History'!$A:$A))-'Price History'!R3)*(ROW()-3)/(MATCH(9.99E+307,'Returns (Calc)'!$A:$A)-3),"")</f>
        <v>41.804905660377358</v>
      </c>
      <c r="AM23" s="84">
        <f>IFERROR('Price History'!S3+(INDEX('Price History'!S:S,MATCH(9.99E+307,'Price History'!$A:$A))-'Price History'!S3)*(ROW()-3)/(MATCH(9.99E+307,'Returns (Calc)'!$A:$A)-3),"")</f>
        <v>51.176477987421386</v>
      </c>
      <c r="AN23" s="84">
        <f>IFERROR('Price History'!T3+(INDEX('Price History'!T:T,MATCH(9.99E+307,'Price History'!$A:$A))-'Price History'!T3)*(ROW()-3)/(MATCH(9.99E+307,'Returns (Calc)'!$A:$A)-3),"")</f>
        <v>23.52509433962264</v>
      </c>
      <c r="AO23" s="85">
        <f>IFERROR('Price History'!V3+(INDEX('Price History'!V:V,MATCH(9.99E+307,'Price History'!$A:$A))-'Price History'!V3)*(ROW()-3)/(MATCH(9.99E+307,'Returns (Calc)'!$A:$A)-3),"")</f>
        <v>0</v>
      </c>
    </row>
    <row r="24" spans="1:41" ht="15" customHeight="1" x14ac:dyDescent="0.3">
      <c r="A24" s="81">
        <f>IF('Price History'!A25="","",'Price History'!A25)</f>
        <v>45303</v>
      </c>
      <c r="B24" s="82">
        <f>IFERROR(IF(OR(NOT(ISNUMBER('Price History'!B25)),NOT(ISNUMBER('Price History'!B24)),'Price History'!B24=0),"",'Price History'!B25/'Price History'!B24-1),"")</f>
        <v>5.6571023733616554E-2</v>
      </c>
      <c r="C24" s="82">
        <f>IFERROR(IF(OR(NOT(ISNUMBER('Price History'!C25)),NOT(ISNUMBER('Price History'!C24)),'Price History'!C24=0),"",'Price History'!C25/'Price History'!C24-1),"")</f>
        <v>9.1460245972631249E-2</v>
      </c>
      <c r="D24" s="82">
        <f>IFERROR(IF(OR(NOT(ISNUMBER('Price History'!D25)),NOT(ISNUMBER('Price History'!D24)),'Price History'!D24=0),"",'Price History'!D25/'Price History'!D24-1),"")</f>
        <v>1.4047260215543034E-2</v>
      </c>
      <c r="E24" s="82">
        <f>IFERROR(IF(OR(NOT(ISNUMBER('Price History'!E25)),NOT(ISNUMBER('Price History'!E24)),'Price History'!E24=0),"",'Price History'!E25/'Price History'!E24-1),"")</f>
        <v>5.5656151720194336E-2</v>
      </c>
      <c r="F24" s="82">
        <f>IFERROR(IF(OR(NOT(ISNUMBER('Price History'!F25)),NOT(ISNUMBER('Price History'!F24)),'Price History'!F24=0),"",'Price History'!F25/'Price History'!F24-1),"")</f>
        <v>0.14498141263940534</v>
      </c>
      <c r="G24" s="82">
        <f>IFERROR(IF(OR(NOT(ISNUMBER('Price History'!G25)),NOT(ISNUMBER('Price History'!G24)),'Price History'!G24=0),"",'Price History'!G25/'Price History'!G24-1),"")</f>
        <v>2.9946720558515549E-2</v>
      </c>
      <c r="H24" s="82">
        <f>IFERROR(IF(OR(NOT(ISNUMBER('Price History'!H25)),NOT(ISNUMBER('Price History'!H24)),'Price History'!H24=0),"",'Price History'!H25/'Price History'!H24-1),"")</f>
        <v>-1.2702216896345098E-2</v>
      </c>
      <c r="I24" s="82">
        <f>IFERROR(IF(OR(NOT(ISNUMBER('Price History'!I25)),NOT(ISNUMBER('Price History'!I24)),'Price History'!I24=0),"",'Price History'!I25/'Price History'!I24-1),"")</f>
        <v>0.11425661914460283</v>
      </c>
      <c r="J24" s="82">
        <f>IFERROR(IF(OR(NOT(ISNUMBER('Price History'!J25)),NOT(ISNUMBER('Price History'!J24)),'Price History'!J24=0),"",'Price History'!J25/'Price History'!J24-1),"")</f>
        <v>7.5827205882352811E-3</v>
      </c>
      <c r="K24" s="82">
        <f>IFERROR(IF(OR(NOT(ISNUMBER('Price History'!K25)),NOT(ISNUMBER('Price History'!K24)),'Price History'!K24=0),"",'Price History'!K25/'Price History'!K24-1),"")</f>
        <v>4.8811013767209088E-2</v>
      </c>
      <c r="L24" s="82">
        <f>IFERROR(IF(OR(NOT(ISNUMBER('Price History'!L25)),NOT(ISNUMBER('Price History'!L24)),'Price History'!L24=0),"",'Price History'!L25/'Price History'!L24-1),"")</f>
        <v>1.6363818893685433E-2</v>
      </c>
      <c r="M24" s="82">
        <f>IFERROR(IF(OR(NOT(ISNUMBER('Price History'!M25)),NOT(ISNUMBER('Price History'!M24)),'Price History'!M24=0),"",'Price History'!M25/'Price History'!M24-1),"")</f>
        <v>6.9315482617145374E-2</v>
      </c>
      <c r="N24" s="82">
        <f>IFERROR(IF(OR(NOT(ISNUMBER('Price History'!N25)),NOT(ISNUMBER('Price History'!N24)),'Price History'!N24=0),"",'Price History'!N25/'Price History'!N24-1),"")</f>
        <v>4.057623049219683E-2</v>
      </c>
      <c r="O24" s="82">
        <f>IFERROR(IF(OR(NOT(ISNUMBER('Price History'!O25)),NOT(ISNUMBER('Price History'!O24)),'Price History'!O24=0),"",'Price History'!O25/'Price History'!O24-1),"")</f>
        <v>-1.1318166228421078E-2</v>
      </c>
      <c r="P24" s="82" t="str">
        <f>IFERROR(IF(OR(NOT(ISNUMBER('Price History'!P25)),NOT(ISNUMBER('Price History'!P24)),'Price History'!P24=0),"",'Price History'!P25/'Price History'!P24-1),"")</f>
        <v/>
      </c>
      <c r="Q24" s="82">
        <f>IFERROR(IF(OR(NOT(ISNUMBER('Price History'!Q25)),NOT(ISNUMBER('Price History'!Q24)),'Price History'!Q24=0),"",'Price History'!Q25/'Price History'!Q24-1),"")</f>
        <v>6.1896959766976067E-3</v>
      </c>
      <c r="R24" s="82">
        <f>IFERROR(IF(OR(NOT(ISNUMBER('Price History'!R25)),NOT(ISNUMBER('Price History'!R24)),'Price History'!R24=0),"",'Price History'!R25/'Price History'!R24-1),"")</f>
        <v>2.7263479145473113E-2</v>
      </c>
      <c r="S24" s="82">
        <f>IFERROR(IF(OR(NOT(ISNUMBER('Price History'!S25)),NOT(ISNUMBER('Price History'!S24)),'Price History'!S24=0),"",'Price History'!S25/'Price History'!S24-1),"")</f>
        <v>3.116322122801618E-2</v>
      </c>
      <c r="T24" s="82">
        <f>IFERROR(IF(OR(NOT(ISNUMBER('Price History'!T25)),NOT(ISNUMBER('Price History'!T24)),'Price History'!T24=0),"",'Price History'!T25/'Price History'!T24-1),"")</f>
        <v>-2.8198801550934904E-3</v>
      </c>
      <c r="U24" s="82" t="str">
        <f>IFERROR(IF(OR(NOT(ISNUMBER('Price History'!U25)),NOT(ISNUMBER('Price History'!U24)),'Price History'!U24=0),"",'Price History'!U25/'Price History'!U24-1),"")</f>
        <v/>
      </c>
      <c r="V24" s="83">
        <f>IFERROR(IF(OR(NOT(ISNUMBER('Price History'!V25)),NOT(ISNUMBER('Price History'!V24)),'Price History'!V24=0),"",'Price History'!V25/'Price History'!V24-1),"")</f>
        <v>1.7258324487950505E-2</v>
      </c>
      <c r="W24" s="84" t="str">
        <f>IFERROR('Price History'!B3+(INDEX('Price History'!B:B,MATCH(9.99E+307,'Price History'!$A:$A))-'Price History'!B3)*(ROW()-3)/(MATCH(9.99E+307,'Returns (Calc)'!$A:$A)-3),"")</f>
        <v/>
      </c>
      <c r="X24" s="84">
        <f>IFERROR('Price History'!C3+(INDEX('Price History'!C:C,MATCH(9.99E+307,'Price History'!$A:$A))-'Price History'!C3)*(ROW()-3)/(MATCH(9.99E+307,'Returns (Calc)'!$A:$A)-3),"")</f>
        <v>37.963018867924532</v>
      </c>
      <c r="Y24" s="84">
        <f>IFERROR('Price History'!D3+(INDEX('Price History'!D:D,MATCH(9.99E+307,'Price History'!$A:$A))-'Price History'!D3)*(ROW()-3)/(MATCH(9.99E+307,'Returns (Calc)'!$A:$A)-3),"")</f>
        <v>574.37509433962259</v>
      </c>
      <c r="Z24" s="84">
        <f>IFERROR('Price History'!E3+(INDEX('Price History'!E:E,MATCH(9.99E+307,'Price History'!$A:$A))-'Price History'!E3)*(ROW()-3)/(MATCH(9.99E+307,'Returns (Calc)'!$A:$A)-3),"")</f>
        <v>72.020377358490563</v>
      </c>
      <c r="AA24" s="84">
        <f>IFERROR('Price History'!F3+(INDEX('Price History'!F:F,MATCH(9.99E+307,'Price History'!$A:$A))-'Price History'!F3)*(ROW()-3)/(MATCH(9.99E+307,'Returns (Calc)'!$A:$A)-3),"")</f>
        <v>32.165283018867925</v>
      </c>
      <c r="AB24" s="84">
        <f>IFERROR('Price History'!G3+(INDEX('Price History'!G:G,MATCH(9.99E+307,'Price History'!$A:$A))-'Price History'!G3)*(ROW()-3)/(MATCH(9.99E+307,'Returns (Calc)'!$A:$A)-3),"")</f>
        <v>41.573584905660375</v>
      </c>
      <c r="AC24" s="84">
        <f>IFERROR('Price History'!H3+(INDEX('Price History'!H:H,MATCH(9.99E+307,'Price History'!$A:$A))-'Price History'!H3)*(ROW()-3)/(MATCH(9.99E+307,'Returns (Calc)'!$A:$A)-3),"")</f>
        <v>55.868301886792459</v>
      </c>
      <c r="AD24" s="84">
        <f>IFERROR('Price History'!I3+(INDEX('Price History'!I:I,MATCH(9.99E+307,'Price History'!$A:$A))-'Price History'!I3)*(ROW()-3)/(MATCH(9.99E+307,'Returns (Calc)'!$A:$A)-3),"")</f>
        <v>35.45471698113208</v>
      </c>
      <c r="AE24" s="84">
        <f>IFERROR('Price History'!J3+(INDEX('Price History'!J:J,MATCH(9.99E+307,'Price History'!$A:$A))-'Price History'!J3)*(ROW()-3)/(MATCH(9.99E+307,'Returns (Calc)'!$A:$A)-3),"")</f>
        <v>107.19735849056605</v>
      </c>
      <c r="AF24" s="84">
        <f>IFERROR('Price History'!K3+(INDEX('Price History'!K:K,MATCH(9.99E+307,'Price History'!$A:$A))-'Price History'!K3)*(ROW()-3)/(MATCH(9.99E+307,'Returns (Calc)'!$A:$A)-3),"")</f>
        <v>13.374716981132075</v>
      </c>
      <c r="AG24" s="84">
        <f>IFERROR('Price History'!L3+(INDEX('Price History'!L:L,MATCH(9.99E+307,'Price History'!$A:$A))-'Price History'!L3)*(ROW()-3)/(MATCH(9.99E+307,'Returns (Calc)'!$A:$A)-3),"")</f>
        <v>79.840377358490557</v>
      </c>
      <c r="AH24" s="84">
        <f>IFERROR('Price History'!M3+(INDEX('Price History'!M:M,MATCH(9.99E+307,'Price History'!$A:$A))-'Price History'!M3)*(ROW()-3)/(MATCH(9.99E+307,'Returns (Calc)'!$A:$A)-3),"")</f>
        <v>29.084150943396224</v>
      </c>
      <c r="AI24" s="84">
        <f>IFERROR('Price History'!N3+(INDEX('Price History'!N:N,MATCH(9.99E+307,'Price History'!$A:$A))-'Price History'!N3)*(ROW()-3)/(MATCH(9.99E+307,'Returns (Calc)'!$A:$A)-3),"")</f>
        <v>303.65207547169814</v>
      </c>
      <c r="AJ24" s="84">
        <f>IFERROR('Price History'!O3+(INDEX('Price History'!O:O,MATCH(9.99E+307,'Price History'!$A:$A))-'Price History'!O3)*(ROW()-3)/(MATCH(9.99E+307,'Returns (Calc)'!$A:$A)-3),"")</f>
        <v>71.907547169811323</v>
      </c>
      <c r="AK24" s="84">
        <f>IFERROR('Price History'!Q3+(INDEX('Price History'!Q:Q,MATCH(9.99E+307,'Price History'!$A:$A))-'Price History'!Q3)*(ROW()-3)/(MATCH(9.99E+307,'Returns (Calc)'!$A:$A)-3),"")</f>
        <v>43.257358490566041</v>
      </c>
      <c r="AL24" s="84">
        <f>IFERROR('Price History'!R3+(INDEX('Price History'!R:R,MATCH(9.99E+307,'Price History'!$A:$A))-'Price History'!R3)*(ROW()-3)/(MATCH(9.99E+307,'Returns (Calc)'!$A:$A)-3),"")</f>
        <v>41.504150943396226</v>
      </c>
      <c r="AM24" s="84">
        <f>IFERROR('Price History'!S3+(INDEX('Price History'!S:S,MATCH(9.99E+307,'Price History'!$A:$A))-'Price History'!S3)*(ROW()-3)/(MATCH(9.99E+307,'Returns (Calc)'!$A:$A)-3),"")</f>
        <v>50.808301886792449</v>
      </c>
      <c r="AN24" s="84">
        <f>IFERROR('Price History'!T3+(INDEX('Price History'!T:T,MATCH(9.99E+307,'Price History'!$A:$A))-'Price History'!T3)*(ROW()-3)/(MATCH(9.99E+307,'Returns (Calc)'!$A:$A)-3),"")</f>
        <v>23.355849056603773</v>
      </c>
      <c r="AO24" s="85">
        <f>IFERROR('Price History'!V3+(INDEX('Price History'!V:V,MATCH(9.99E+307,'Price History'!$A:$A))-'Price History'!V3)*(ROW()-3)/(MATCH(9.99E+307,'Returns (Calc)'!$A:$A)-3),"")</f>
        <v>0</v>
      </c>
    </row>
    <row r="25" spans="1:41" ht="15" customHeight="1" x14ac:dyDescent="0.3">
      <c r="A25" s="81">
        <f>IF('Price History'!A26="","",'Price History'!A26)</f>
        <v>45310</v>
      </c>
      <c r="B25" s="82">
        <f>IFERROR(IF(OR(NOT(ISNUMBER('Price History'!B26)),NOT(ISNUMBER('Price History'!B25)),'Price History'!B25=0),"",'Price History'!B26/'Price History'!B25-1),"")</f>
        <v>2.5161766185000101E-2</v>
      </c>
      <c r="C25" s="82">
        <f>IFERROR(IF(OR(NOT(ISNUMBER('Price History'!C26)),NOT(ISNUMBER('Price History'!C25)),'Price History'!C25=0),"",'Price History'!C26/'Price History'!C25-1),"")</f>
        <v>4.5548325662593259E-2</v>
      </c>
      <c r="D25" s="82">
        <f>IFERROR(IF(OR(NOT(ISNUMBER('Price History'!D26)),NOT(ISNUMBER('Price History'!D25)),'Price History'!D25=0),"",'Price History'!D26/'Price History'!D25-1),"")</f>
        <v>6.2547320602338807E-2</v>
      </c>
      <c r="E25" s="82">
        <f>IFERROR(IF(OR(NOT(ISNUMBER('Price History'!E26)),NOT(ISNUMBER('Price History'!E25)),'Price History'!E25=0),"",'Price History'!E26/'Price History'!E25-1),"")</f>
        <v>9.3436851132978394E-2</v>
      </c>
      <c r="F25" s="82">
        <f>IFERROR(IF(OR(NOT(ISNUMBER('Price History'!F26)),NOT(ISNUMBER('Price History'!F25)),'Price History'!F25=0),"",'Price History'!F26/'Price History'!F25-1),"")</f>
        <v>2.5409373235460109E-2</v>
      </c>
      <c r="G25" s="82">
        <f>IFERROR(IF(OR(NOT(ISNUMBER('Price History'!G26)),NOT(ISNUMBER('Price History'!G25)),'Price History'!G25=0),"",'Price History'!G26/'Price History'!G25-1),"")</f>
        <v>9.3471280770602849E-2</v>
      </c>
      <c r="H25" s="82">
        <f>IFERROR(IF(OR(NOT(ISNUMBER('Price History'!H26)),NOT(ISNUMBER('Price History'!H25)),'Price History'!H25=0),"",'Price History'!H26/'Price History'!H25-1),"")</f>
        <v>6.2143464012623051E-2</v>
      </c>
      <c r="I25" s="82">
        <f>IFERROR(IF(OR(NOT(ISNUMBER('Price History'!I26)),NOT(ISNUMBER('Price History'!I25)),'Price History'!I25=0),"",'Price History'!I26/'Price History'!I25-1),"")</f>
        <v>8.7369767866934733E-2</v>
      </c>
      <c r="J25" s="82">
        <f>IFERROR(IF(OR(NOT(ISNUMBER('Price History'!J26)),NOT(ISNUMBER('Price History'!J25)),'Price History'!J25=0),"",'Price History'!J26/'Price History'!J25-1),"")</f>
        <v>-2.3641201064234285E-2</v>
      </c>
      <c r="K25" s="82">
        <f>IFERROR(IF(OR(NOT(ISNUMBER('Price History'!K26)),NOT(ISNUMBER('Price History'!K25)),'Price History'!K25=0),"",'Price History'!K26/'Price History'!K25-1),"")</f>
        <v>1.1933174224343368E-3</v>
      </c>
      <c r="L25" s="82">
        <f>IFERROR(IF(OR(NOT(ISNUMBER('Price History'!L26)),NOT(ISNUMBER('Price History'!L25)),'Price History'!L25=0),"",'Price History'!L26/'Price History'!L25-1),"")</f>
        <v>0.12801264322402228</v>
      </c>
      <c r="M25" s="82">
        <f>IFERROR(IF(OR(NOT(ISNUMBER('Price History'!M26)),NOT(ISNUMBER('Price History'!M25)),'Price History'!M25=0),"",'Price History'!M26/'Price History'!M25-1),"")</f>
        <v>8.3804523424878763E-2</v>
      </c>
      <c r="N25" s="82">
        <f>IFERROR(IF(OR(NOT(ISNUMBER('Price History'!N26)),NOT(ISNUMBER('Price History'!N25)),'Price History'!N25=0),"",'Price History'!N26/'Price History'!N25-1),"")</f>
        <v>3.737886479003194E-3</v>
      </c>
      <c r="O25" s="82">
        <f>IFERROR(IF(OR(NOT(ISNUMBER('Price History'!O26)),NOT(ISNUMBER('Price History'!O25)),'Price History'!O25=0),"",'Price History'!O26/'Price History'!O25-1),"")</f>
        <v>3.0064754856613529E-3</v>
      </c>
      <c r="P25" s="82" t="str">
        <f>IFERROR(IF(OR(NOT(ISNUMBER('Price History'!P26)),NOT(ISNUMBER('Price History'!P25)),'Price History'!P25=0),"",'Price History'!P26/'Price History'!P25-1),"")</f>
        <v/>
      </c>
      <c r="Q25" s="82">
        <f>IFERROR(IF(OR(NOT(ISNUMBER('Price History'!Q26)),NOT(ISNUMBER('Price History'!Q25)),'Price History'!Q25=0),"",'Price History'!Q26/'Price History'!Q25-1),"")</f>
        <v>7.2371992039088617E-4</v>
      </c>
      <c r="R25" s="82">
        <f>IFERROR(IF(OR(NOT(ISNUMBER('Price History'!R26)),NOT(ISNUMBER('Price History'!R25)),'Price History'!R25=0),"",'Price History'!R26/'Price History'!R25-1),"")</f>
        <v>1.7825311942958999E-2</v>
      </c>
      <c r="S25" s="82">
        <f>IFERROR(IF(OR(NOT(ISNUMBER('Price History'!S26)),NOT(ISNUMBER('Price History'!S25)),'Price History'!S25=0),"",'Price History'!S26/'Price History'!S25-1),"")</f>
        <v>2.1095152603231471E-2</v>
      </c>
      <c r="T25" s="82">
        <f>IFERROR(IF(OR(NOT(ISNUMBER('Price History'!T26)),NOT(ISNUMBER('Price History'!T25)),'Price History'!T25=0),"",'Price History'!T26/'Price History'!T25-1),"")</f>
        <v>-9.5440084835630712E-3</v>
      </c>
      <c r="U25" s="82" t="str">
        <f>IFERROR(IF(OR(NOT(ISNUMBER('Price History'!U26)),NOT(ISNUMBER('Price History'!U25)),'Price History'!U25=0),"",'Price History'!U26/'Price History'!U25-1),"")</f>
        <v/>
      </c>
      <c r="V25" s="83">
        <f>IFERROR(IF(OR(NOT(ISNUMBER('Price History'!V26)),NOT(ISNUMBER('Price History'!V25)),'Price History'!V25=0),"",'Price History'!V26/'Price History'!V25-1),"")</f>
        <v>2.5506260627608635E-2</v>
      </c>
      <c r="W25" s="84" t="str">
        <f>IFERROR('Price History'!B3+(INDEX('Price History'!B:B,MATCH(9.99E+307,'Price History'!$A:$A))-'Price History'!B3)*(ROW()-3)/(MATCH(9.99E+307,'Returns (Calc)'!$A:$A)-3),"")</f>
        <v/>
      </c>
      <c r="X25" s="84">
        <f>IFERROR('Price History'!C3+(INDEX('Price History'!C:C,MATCH(9.99E+307,'Price History'!$A:$A))-'Price History'!C3)*(ROW()-3)/(MATCH(9.99E+307,'Returns (Calc)'!$A:$A)-3),"")</f>
        <v>37.687924528301892</v>
      </c>
      <c r="Y25" s="84">
        <f>IFERROR('Price History'!D3+(INDEX('Price History'!D:D,MATCH(9.99E+307,'Price History'!$A:$A))-'Price History'!D3)*(ROW()-3)/(MATCH(9.99E+307,'Returns (Calc)'!$A:$A)-3),"")</f>
        <v>570.21295597484277</v>
      </c>
      <c r="Z25" s="84">
        <f>IFERROR('Price History'!E3+(INDEX('Price History'!E:E,MATCH(9.99E+307,'Price History'!$A:$A))-'Price History'!E3)*(ROW()-3)/(MATCH(9.99E+307,'Returns (Calc)'!$A:$A)-3),"")</f>
        <v>71.498490566037731</v>
      </c>
      <c r="AA25" s="84">
        <f>IFERROR('Price History'!F3+(INDEX('Price History'!F:F,MATCH(9.99E+307,'Price History'!$A:$A))-'Price History'!F3)*(ROW()-3)/(MATCH(9.99E+307,'Returns (Calc)'!$A:$A)-3),"")</f>
        <v>31.932201257861635</v>
      </c>
      <c r="AB25" s="84">
        <f>IFERROR('Price History'!G3+(INDEX('Price History'!G:G,MATCH(9.99E+307,'Price History'!$A:$A))-'Price History'!G3)*(ROW()-3)/(MATCH(9.99E+307,'Returns (Calc)'!$A:$A)-3),"")</f>
        <v>41.272327044025154</v>
      </c>
      <c r="AC25" s="84">
        <f>IFERROR('Price History'!H3+(INDEX('Price History'!H:H,MATCH(9.99E+307,'Price History'!$A:$A))-'Price History'!H3)*(ROW()-3)/(MATCH(9.99E+307,'Returns (Calc)'!$A:$A)-3),"")</f>
        <v>55.463459119496861</v>
      </c>
      <c r="AD25" s="84">
        <f>IFERROR('Price History'!I3+(INDEX('Price History'!I:I,MATCH(9.99E+307,'Price History'!$A:$A))-'Price History'!I3)*(ROW()-3)/(MATCH(9.99E+307,'Returns (Calc)'!$A:$A)-3),"")</f>
        <v>35.197798742138367</v>
      </c>
      <c r="AE25" s="84">
        <f>IFERROR('Price History'!J3+(INDEX('Price History'!J:J,MATCH(9.99E+307,'Price History'!$A:$A))-'Price History'!J3)*(ROW()-3)/(MATCH(9.99E+307,'Returns (Calc)'!$A:$A)-3),"")</f>
        <v>106.42056603773585</v>
      </c>
      <c r="AF25" s="84">
        <f>IFERROR('Price History'!K3+(INDEX('Price History'!K:K,MATCH(9.99E+307,'Price History'!$A:$A))-'Price History'!K3)*(ROW()-3)/(MATCH(9.99E+307,'Returns (Calc)'!$A:$A)-3),"")</f>
        <v>13.277798742138366</v>
      </c>
      <c r="AG25" s="84">
        <f>IFERROR('Price History'!L3+(INDEX('Price History'!L:L,MATCH(9.99E+307,'Price History'!$A:$A))-'Price History'!L3)*(ROW()-3)/(MATCH(9.99E+307,'Returns (Calc)'!$A:$A)-3),"")</f>
        <v>79.261823899371066</v>
      </c>
      <c r="AH25" s="84">
        <f>IFERROR('Price History'!M3+(INDEX('Price History'!M:M,MATCH(9.99E+307,'Price History'!$A:$A))-'Price History'!M3)*(ROW()-3)/(MATCH(9.99E+307,'Returns (Calc)'!$A:$A)-3),"")</f>
        <v>28.873396226415093</v>
      </c>
      <c r="AI25" s="84">
        <f>IFERROR('Price History'!N3+(INDEX('Price History'!N:N,MATCH(9.99E+307,'Price History'!$A:$A))-'Price History'!N3)*(ROW()-3)/(MATCH(9.99E+307,'Returns (Calc)'!$A:$A)-3),"")</f>
        <v>301.45169811320756</v>
      </c>
      <c r="AJ25" s="84">
        <f>IFERROR('Price History'!O3+(INDEX('Price History'!O:O,MATCH(9.99E+307,'Price History'!$A:$A))-'Price History'!O3)*(ROW()-3)/(MATCH(9.99E+307,'Returns (Calc)'!$A:$A)-3),"")</f>
        <v>71.386477987421387</v>
      </c>
      <c r="AK25" s="84">
        <f>IFERROR('Price History'!Q3+(INDEX('Price History'!Q:Q,MATCH(9.99E+307,'Price History'!$A:$A))-'Price History'!Q3)*(ROW()-3)/(MATCH(9.99E+307,'Returns (Calc)'!$A:$A)-3),"")</f>
        <v>42.943899371069186</v>
      </c>
      <c r="AL25" s="84">
        <f>IFERROR('Price History'!R3+(INDEX('Price History'!R:R,MATCH(9.99E+307,'Price History'!$A:$A))-'Price History'!R3)*(ROW()-3)/(MATCH(9.99E+307,'Returns (Calc)'!$A:$A)-3),"")</f>
        <v>41.203396226415094</v>
      </c>
      <c r="AM25" s="84">
        <f>IFERROR('Price History'!S3+(INDEX('Price History'!S:S,MATCH(9.99E+307,'Price History'!$A:$A))-'Price History'!S3)*(ROW()-3)/(MATCH(9.99E+307,'Returns (Calc)'!$A:$A)-3),"")</f>
        <v>50.44012578616352</v>
      </c>
      <c r="AN25" s="84">
        <f>IFERROR('Price History'!T3+(INDEX('Price History'!T:T,MATCH(9.99E+307,'Price History'!$A:$A))-'Price History'!T3)*(ROW()-3)/(MATCH(9.99E+307,'Returns (Calc)'!$A:$A)-3),"")</f>
        <v>23.186603773584906</v>
      </c>
      <c r="AO25" s="85">
        <f>IFERROR('Price History'!V3+(INDEX('Price History'!V:V,MATCH(9.99E+307,'Price History'!$A:$A))-'Price History'!V3)*(ROW()-3)/(MATCH(9.99E+307,'Returns (Calc)'!$A:$A)-3),"")</f>
        <v>0</v>
      </c>
    </row>
    <row r="26" spans="1:41" ht="15" customHeight="1" x14ac:dyDescent="0.3">
      <c r="A26" s="81">
        <f>IF('Price History'!A27="","",'Price History'!A27)</f>
        <v>45317</v>
      </c>
      <c r="B26" s="82">
        <f>IFERROR(IF(OR(NOT(ISNUMBER('Price History'!B27)),NOT(ISNUMBER('Price History'!B26)),'Price History'!B26=0),"",'Price History'!B27/'Price History'!B26-1),"")</f>
        <v>3.891750470116806E-3</v>
      </c>
      <c r="C26" s="82">
        <f>IFERROR(IF(OR(NOT(ISNUMBER('Price History'!C27)),NOT(ISNUMBER('Price History'!C26)),'Price History'!C26=0),"",'Price History'!C27/'Price History'!C26-1),"")</f>
        <v>3.3394049787491831E-3</v>
      </c>
      <c r="D26" s="82">
        <f>IFERROR(IF(OR(NOT(ISNUMBER('Price History'!D27)),NOT(ISNUMBER('Price History'!D26)),'Price History'!D26=0),"",'Price History'!D27/'Price History'!D26-1),"")</f>
        <v>0.14504572265547666</v>
      </c>
      <c r="E26" s="82">
        <f>IFERROR(IF(OR(NOT(ISNUMBER('Price History'!E27)),NOT(ISNUMBER('Price History'!E26)),'Price History'!E26=0),"",'Price History'!E27/'Price History'!E26-1),"")</f>
        <v>-5.201453104359377E-3</v>
      </c>
      <c r="F26" s="82">
        <f>IFERROR(IF(OR(NOT(ISNUMBER('Price History'!F27)),NOT(ISNUMBER('Price History'!F26)),'Price History'!F26=0),"",'Price History'!F27/'Price History'!F26-1),"")</f>
        <v>-8.2599118942738858E-4</v>
      </c>
      <c r="G26" s="82">
        <f>IFERROR(IF(OR(NOT(ISNUMBER('Price History'!G27)),NOT(ISNUMBER('Price History'!G26)),'Price History'!G26=0),"",'Price History'!G27/'Price History'!G26-1),"")</f>
        <v>-2.2185970636215302E-2</v>
      </c>
      <c r="H26" s="82">
        <f>IFERROR(IF(OR(NOT(ISNUMBER('Price History'!H27)),NOT(ISNUMBER('Price History'!H26)),'Price History'!H26=0),"",'Price History'!H27/'Price History'!H26-1),"")</f>
        <v>6.1707233459031841E-3</v>
      </c>
      <c r="I26" s="82">
        <f>IFERROR(IF(OR(NOT(ISNUMBER('Price History'!I27)),NOT(ISNUMBER('Price History'!I26)),'Price History'!I26=0),"",'Price History'!I27/'Price History'!I26-1),"")</f>
        <v>2.588670364767176E-2</v>
      </c>
      <c r="J26" s="82">
        <f>IFERROR(IF(OR(NOT(ISNUMBER('Price History'!J27)),NOT(ISNUMBER('Price History'!J26)),'Price History'!J26=0),"",'Price History'!J27/'Price History'!J26-1),"")</f>
        <v>-1.2223606353160998E-2</v>
      </c>
      <c r="K26" s="82">
        <f>IFERROR(IF(OR(NOT(ISNUMBER('Price History'!K27)),NOT(ISNUMBER('Price History'!K26)),'Price History'!K26=0),"",'Price History'!K27/'Price History'!K26-1),"")</f>
        <v>-2.5625744934445804E-2</v>
      </c>
      <c r="L26" s="82">
        <f>IFERROR(IF(OR(NOT(ISNUMBER('Price History'!L27)),NOT(ISNUMBER('Price History'!L26)),'Price History'!L26=0),"",'Price History'!L27/'Price History'!L26-1),"")</f>
        <v>2.6795096322241641E-2</v>
      </c>
      <c r="M26" s="82">
        <f>IFERROR(IF(OR(NOT(ISNUMBER('Price History'!M27)),NOT(ISNUMBER('Price History'!M26)),'Price History'!M26=0),"",'Price History'!M27/'Price History'!M26-1),"")</f>
        <v>-3.9128004471772337E-3</v>
      </c>
      <c r="N26" s="82">
        <f>IFERROR(IF(OR(NOT(ISNUMBER('Price History'!N27)),NOT(ISNUMBER('Price History'!N26)),'Price History'!N26=0),"",'Price History'!N27/'Price History'!N26-1),"")</f>
        <v>-1.1148912693669133E-2</v>
      </c>
      <c r="O26" s="82">
        <f>IFERROR(IF(OR(NOT(ISNUMBER('Price History'!O27)),NOT(ISNUMBER('Price History'!O26)),'Price History'!O26=0),"",'Price History'!O27/'Price History'!O26-1),"")</f>
        <v>2.3518561217431566E-2</v>
      </c>
      <c r="P26" s="82" t="str">
        <f>IFERROR(IF(OR(NOT(ISNUMBER('Price History'!P27)),NOT(ISNUMBER('Price History'!P26)),'Price History'!P26=0),"",'Price History'!P27/'Price History'!P26-1),"")</f>
        <v/>
      </c>
      <c r="Q26" s="82">
        <f>IFERROR(IF(OR(NOT(ISNUMBER('Price History'!Q27)),NOT(ISNUMBER('Price History'!Q26)),'Price History'!Q26=0),"",'Price History'!Q27/'Price History'!Q26-1),"")</f>
        <v>1.8079913216406673E-4</v>
      </c>
      <c r="R26" s="82">
        <f>IFERROR(IF(OR(NOT(ISNUMBER('Price History'!R27)),NOT(ISNUMBER('Price History'!R26)),'Price History'!R26=0),"",'Price History'!R27/'Price History'!R26-1),"")</f>
        <v>7.7836154893948795E-3</v>
      </c>
      <c r="S26" s="82">
        <f>IFERROR(IF(OR(NOT(ISNUMBER('Price History'!S27)),NOT(ISNUMBER('Price History'!S26)),'Price History'!S26=0),"",'Price History'!S27/'Price History'!S26-1),"")</f>
        <v>1.611721611721606E-2</v>
      </c>
      <c r="T26" s="82">
        <f>IFERROR(IF(OR(NOT(ISNUMBER('Price History'!T27)),NOT(ISNUMBER('Price History'!T26)),'Price History'!T26=0),"",'Price History'!T27/'Price History'!T26-1),"")</f>
        <v>8.2084225553176182E-3</v>
      </c>
      <c r="U26" s="82" t="str">
        <f>IFERROR(IF(OR(NOT(ISNUMBER('Price History'!U27)),NOT(ISNUMBER('Price History'!U26)),'Price History'!U26=0),"",'Price History'!U27/'Price History'!U26-1),"")</f>
        <v/>
      </c>
      <c r="V26" s="83">
        <f>IFERROR(IF(OR(NOT(ISNUMBER('Price History'!V27)),NOT(ISNUMBER('Price History'!V26)),'Price History'!V26=0),"",'Price History'!V27/'Price History'!V26-1),"")</f>
        <v>-1.0928549894483108E-2</v>
      </c>
      <c r="W26" s="84" t="str">
        <f>IFERROR('Price History'!B3+(INDEX('Price History'!B:B,MATCH(9.99E+307,'Price History'!$A:$A))-'Price History'!B3)*(ROW()-3)/(MATCH(9.99E+307,'Returns (Calc)'!$A:$A)-3),"")</f>
        <v/>
      </c>
      <c r="X26" s="84">
        <f>IFERROR('Price History'!C3+(INDEX('Price History'!C:C,MATCH(9.99E+307,'Price History'!$A:$A))-'Price History'!C3)*(ROW()-3)/(MATCH(9.99E+307,'Returns (Calc)'!$A:$A)-3),"")</f>
        <v>37.412830188679244</v>
      </c>
      <c r="Y26" s="84">
        <f>IFERROR('Price History'!D3+(INDEX('Price History'!D:D,MATCH(9.99E+307,'Price History'!$A:$A))-'Price History'!D3)*(ROW()-3)/(MATCH(9.99E+307,'Returns (Calc)'!$A:$A)-3),"")</f>
        <v>566.05081761006284</v>
      </c>
      <c r="Z26" s="84">
        <f>IFERROR('Price History'!E3+(INDEX('Price History'!E:E,MATCH(9.99E+307,'Price History'!$A:$A))-'Price History'!E3)*(ROW()-3)/(MATCH(9.99E+307,'Returns (Calc)'!$A:$A)-3),"")</f>
        <v>70.976603773584912</v>
      </c>
      <c r="AA26" s="84">
        <f>IFERROR('Price History'!F3+(INDEX('Price History'!F:F,MATCH(9.99E+307,'Price History'!$A:$A))-'Price History'!F3)*(ROW()-3)/(MATCH(9.99E+307,'Returns (Calc)'!$A:$A)-3),"")</f>
        <v>31.699119496855346</v>
      </c>
      <c r="AB26" s="84">
        <f>IFERROR('Price History'!G3+(INDEX('Price History'!G:G,MATCH(9.99E+307,'Price History'!$A:$A))-'Price History'!G3)*(ROW()-3)/(MATCH(9.99E+307,'Returns (Calc)'!$A:$A)-3),"")</f>
        <v>40.971069182389932</v>
      </c>
      <c r="AC26" s="84">
        <f>IFERROR('Price History'!H3+(INDEX('Price History'!H:H,MATCH(9.99E+307,'Price History'!$A:$A))-'Price History'!H3)*(ROW()-3)/(MATCH(9.99E+307,'Returns (Calc)'!$A:$A)-3),"")</f>
        <v>55.058616352201263</v>
      </c>
      <c r="AD26" s="84">
        <f>IFERROR('Price History'!I3+(INDEX('Price History'!I:I,MATCH(9.99E+307,'Price History'!$A:$A))-'Price History'!I3)*(ROW()-3)/(MATCH(9.99E+307,'Returns (Calc)'!$A:$A)-3),"")</f>
        <v>34.940880503144655</v>
      </c>
      <c r="AE26" s="84">
        <f>IFERROR('Price History'!J3+(INDEX('Price History'!J:J,MATCH(9.99E+307,'Price History'!$A:$A))-'Price History'!J3)*(ROW()-3)/(MATCH(9.99E+307,'Returns (Calc)'!$A:$A)-3),"")</f>
        <v>105.64377358490566</v>
      </c>
      <c r="AF26" s="84">
        <f>IFERROR('Price History'!K3+(INDEX('Price History'!K:K,MATCH(9.99E+307,'Price History'!$A:$A))-'Price History'!K3)*(ROW()-3)/(MATCH(9.99E+307,'Returns (Calc)'!$A:$A)-3),"")</f>
        <v>13.180880503144653</v>
      </c>
      <c r="AG26" s="84">
        <f>IFERROR('Price History'!L3+(INDEX('Price History'!L:L,MATCH(9.99E+307,'Price History'!$A:$A))-'Price History'!L3)*(ROW()-3)/(MATCH(9.99E+307,'Returns (Calc)'!$A:$A)-3),"")</f>
        <v>78.683270440251562</v>
      </c>
      <c r="AH26" s="84">
        <f>IFERROR('Price History'!M3+(INDEX('Price History'!M:M,MATCH(9.99E+307,'Price History'!$A:$A))-'Price History'!M3)*(ROW()-3)/(MATCH(9.99E+307,'Returns (Calc)'!$A:$A)-3),"")</f>
        <v>28.662641509433961</v>
      </c>
      <c r="AI26" s="84">
        <f>IFERROR('Price History'!N3+(INDEX('Price History'!N:N,MATCH(9.99E+307,'Price History'!$A:$A))-'Price History'!N3)*(ROW()-3)/(MATCH(9.99E+307,'Returns (Calc)'!$A:$A)-3),"")</f>
        <v>299.25132075471697</v>
      </c>
      <c r="AJ26" s="84">
        <f>IFERROR('Price History'!O3+(INDEX('Price History'!O:O,MATCH(9.99E+307,'Price History'!$A:$A))-'Price History'!O3)*(ROW()-3)/(MATCH(9.99E+307,'Returns (Calc)'!$A:$A)-3),"")</f>
        <v>70.865408805031436</v>
      </c>
      <c r="AK26" s="84">
        <f>IFERROR('Price History'!Q3+(INDEX('Price History'!Q:Q,MATCH(9.99E+307,'Price History'!$A:$A))-'Price History'!Q3)*(ROW()-3)/(MATCH(9.99E+307,'Returns (Calc)'!$A:$A)-3),"")</f>
        <v>42.630440251572331</v>
      </c>
      <c r="AL26" s="84">
        <f>IFERROR('Price History'!R3+(INDEX('Price History'!R:R,MATCH(9.99E+307,'Price History'!$A:$A))-'Price History'!R3)*(ROW()-3)/(MATCH(9.99E+307,'Returns (Calc)'!$A:$A)-3),"")</f>
        <v>40.902641509433963</v>
      </c>
      <c r="AM26" s="84">
        <f>IFERROR('Price History'!S3+(INDEX('Price History'!S:S,MATCH(9.99E+307,'Price History'!$A:$A))-'Price History'!S3)*(ROW()-3)/(MATCH(9.99E+307,'Returns (Calc)'!$A:$A)-3),"")</f>
        <v>50.071949685534591</v>
      </c>
      <c r="AN26" s="84">
        <f>IFERROR('Price History'!T3+(INDEX('Price History'!T:T,MATCH(9.99E+307,'Price History'!$A:$A))-'Price History'!T3)*(ROW()-3)/(MATCH(9.99E+307,'Returns (Calc)'!$A:$A)-3),"")</f>
        <v>23.017358490566039</v>
      </c>
      <c r="AO26" s="85">
        <f>IFERROR('Price History'!V3+(INDEX('Price History'!V:V,MATCH(9.99E+307,'Price History'!$A:$A))-'Price History'!V3)*(ROW()-3)/(MATCH(9.99E+307,'Returns (Calc)'!$A:$A)-3),"")</f>
        <v>0</v>
      </c>
    </row>
    <row r="27" spans="1:41" ht="15" customHeight="1" x14ac:dyDescent="0.3">
      <c r="A27" s="81">
        <f>IF('Price History'!A28="","",'Price History'!A28)</f>
        <v>45324</v>
      </c>
      <c r="B27" s="82">
        <f>IFERROR(IF(OR(NOT(ISNUMBER('Price History'!B28)),NOT(ISNUMBER('Price History'!B27)),'Price History'!B27=0),"",'Price History'!B28/'Price History'!B27-1),"")</f>
        <v>3.3928949554509646E-2</v>
      </c>
      <c r="C27" s="82">
        <f>IFERROR(IF(OR(NOT(ISNUMBER('Price History'!C28)),NOT(ISNUMBER('Price History'!C27)),'Price History'!C27=0),"",'Price History'!C28/'Price History'!C27-1),"")</f>
        <v>3.2980332829046999E-2</v>
      </c>
      <c r="D27" s="82">
        <f>IFERROR(IF(OR(NOT(ISNUMBER('Price History'!D28)),NOT(ISNUMBER('Price History'!D27)),'Price History'!D27=0),"",'Price History'!D28/'Price History'!D27-1),"")</f>
        <v>2.6401613367905474E-2</v>
      </c>
      <c r="E27" s="82">
        <f>IFERROR(IF(OR(NOT(ISNUMBER('Price History'!E28)),NOT(ISNUMBER('Price History'!E27)),'Price History'!E27=0),"",'Price History'!E28/'Price History'!E27-1),"")</f>
        <v>1.6100921238277222E-2</v>
      </c>
      <c r="F27" s="82">
        <f>IFERROR(IF(OR(NOT(ISNUMBER('Price History'!F28)),NOT(ISNUMBER('Price History'!F27)),'Price History'!F27=0),"",'Price History'!F28/'Price History'!F27-1),"")</f>
        <v>4.5604849820887416E-2</v>
      </c>
      <c r="G27" s="82">
        <f>IFERROR(IF(OR(NOT(ISNUMBER('Price History'!G28)),NOT(ISNUMBER('Price History'!G27)),'Price History'!G27=0),"",'Price History'!G28/'Price History'!G27-1),"")</f>
        <v>8.1748415081748238E-3</v>
      </c>
      <c r="H27" s="82">
        <f>IFERROR(IF(OR(NOT(ISNUMBER('Price History'!H28)),NOT(ISNUMBER('Price History'!H27)),'Price History'!H27=0),"",'Price History'!H28/'Price History'!H27-1),"")</f>
        <v>-1.7830777967064115E-2</v>
      </c>
      <c r="I27" s="82">
        <f>IFERROR(IF(OR(NOT(ISNUMBER('Price History'!I28)),NOT(ISNUMBER('Price History'!I27)),'Price History'!I27=0),"",'Price History'!I28/'Price History'!I27-1),"")</f>
        <v>8.4057021137145638E-2</v>
      </c>
      <c r="J27" s="82">
        <f>IFERROR(IF(OR(NOT(ISNUMBER('Price History'!J28)),NOT(ISNUMBER('Price History'!J27)),'Price History'!J27=0),"",'Price History'!J28/'Price History'!J27-1),"")</f>
        <v>1.875935997477729E-2</v>
      </c>
      <c r="K27" s="82">
        <f>IFERROR(IF(OR(NOT(ISNUMBER('Price History'!K28)),NOT(ISNUMBER('Price History'!K27)),'Price History'!K27=0),"",'Price History'!K28/'Price History'!K27-1),"")</f>
        <v>4.0978593272171127E-2</v>
      </c>
      <c r="L27" s="82">
        <f>IFERROR(IF(OR(NOT(ISNUMBER('Price History'!L28)),NOT(ISNUMBER('Price History'!L27)),'Price History'!L27=0),"",'Price History'!L28/'Price History'!L27-1),"")</f>
        <v>-1.2877366535903212E-2</v>
      </c>
      <c r="M27" s="82">
        <f>IFERROR(IF(OR(NOT(ISNUMBER('Price History'!M28)),NOT(ISNUMBER('Price History'!M27)),'Price History'!M27=0),"",'Price History'!M28/'Price History'!M27-1),"")</f>
        <v>0.14983164983164987</v>
      </c>
      <c r="N27" s="82">
        <f>IFERROR(IF(OR(NOT(ISNUMBER('Price History'!N28)),NOT(ISNUMBER('Price History'!N27)),'Price History'!N27=0),"",'Price History'!N28/'Price History'!N27-1),"")</f>
        <v>-1.2762396261942976E-2</v>
      </c>
      <c r="O27" s="82">
        <f>IFERROR(IF(OR(NOT(ISNUMBER('Price History'!O28)),NOT(ISNUMBER('Price History'!O27)),'Price History'!O27=0),"",'Price History'!O28/'Price History'!O27-1),"")</f>
        <v>-1.8697904933543508E-2</v>
      </c>
      <c r="P27" s="82" t="str">
        <f>IFERROR(IF(OR(NOT(ISNUMBER('Price History'!P28)),NOT(ISNUMBER('Price History'!P27)),'Price History'!P27=0),"",'Price History'!P28/'Price History'!P27-1),"")</f>
        <v/>
      </c>
      <c r="Q27" s="82">
        <f>IFERROR(IF(OR(NOT(ISNUMBER('Price History'!Q28)),NOT(ISNUMBER('Price History'!Q27)),'Price History'!Q27=0),"",'Price History'!Q28/'Price History'!Q27-1),"")</f>
        <v>1.1026753434562497E-2</v>
      </c>
      <c r="R27" s="82">
        <f>IFERROR(IF(OR(NOT(ISNUMBER('Price History'!R28)),NOT(ISNUMBER('Price History'!R27)),'Price History'!R27=0),"",'Price History'!R28/'Price History'!R27-1),"")</f>
        <v>2.8963120293492572E-3</v>
      </c>
      <c r="S27" s="82">
        <f>IFERROR(IF(OR(NOT(ISNUMBER('Price History'!S28)),NOT(ISNUMBER('Price History'!S27)),'Price History'!S27=0),"",'Price History'!S28/'Price History'!S27-1),"")</f>
        <v>4.5710165825522786E-2</v>
      </c>
      <c r="T27" s="82">
        <f>IFERROR(IF(OR(NOT(ISNUMBER('Price History'!T28)),NOT(ISNUMBER('Price History'!T27)),'Price History'!T27=0),"",'Price History'!T28/'Price History'!T27-1),"")</f>
        <v>9.5575221238937136E-3</v>
      </c>
      <c r="U27" s="82" t="str">
        <f>IFERROR(IF(OR(NOT(ISNUMBER('Price History'!U28)),NOT(ISNUMBER('Price History'!U27)),'Price History'!U27=0),"",'Price History'!U28/'Price History'!U27-1),"")</f>
        <v/>
      </c>
      <c r="V27" s="83">
        <f>IFERROR(IF(OR(NOT(ISNUMBER('Price History'!V28)),NOT(ISNUMBER('Price History'!V27)),'Price History'!V27=0),"",'Price History'!V28/'Price History'!V27-1),"")</f>
        <v>3.4481444791587323E-2</v>
      </c>
      <c r="W27" s="84" t="str">
        <f>IFERROR('Price History'!B3+(INDEX('Price History'!B:B,MATCH(9.99E+307,'Price History'!$A:$A))-'Price History'!B3)*(ROW()-3)/(MATCH(9.99E+307,'Returns (Calc)'!$A:$A)-3),"")</f>
        <v/>
      </c>
      <c r="X27" s="84">
        <f>IFERROR('Price History'!C3+(INDEX('Price History'!C:C,MATCH(9.99E+307,'Price History'!$A:$A))-'Price History'!C3)*(ROW()-3)/(MATCH(9.99E+307,'Returns (Calc)'!$A:$A)-3),"")</f>
        <v>37.137735849056604</v>
      </c>
      <c r="Y27" s="84">
        <f>IFERROR('Price History'!D3+(INDEX('Price History'!D:D,MATCH(9.99E+307,'Price History'!$A:$A))-'Price History'!D3)*(ROW()-3)/(MATCH(9.99E+307,'Returns (Calc)'!$A:$A)-3),"")</f>
        <v>561.88867924528302</v>
      </c>
      <c r="Z27" s="84">
        <f>IFERROR('Price History'!E3+(INDEX('Price History'!E:E,MATCH(9.99E+307,'Price History'!$A:$A))-'Price History'!E3)*(ROW()-3)/(MATCH(9.99E+307,'Returns (Calc)'!$A:$A)-3),"")</f>
        <v>70.45471698113208</v>
      </c>
      <c r="AA27" s="84">
        <f>IFERROR('Price History'!F3+(INDEX('Price History'!F:F,MATCH(9.99E+307,'Price History'!$A:$A))-'Price History'!F3)*(ROW()-3)/(MATCH(9.99E+307,'Returns (Calc)'!$A:$A)-3),"")</f>
        <v>31.466037735849056</v>
      </c>
      <c r="AB27" s="84">
        <f>IFERROR('Price History'!G3+(INDEX('Price History'!G:G,MATCH(9.99E+307,'Price History'!$A:$A))-'Price History'!G3)*(ROW()-3)/(MATCH(9.99E+307,'Returns (Calc)'!$A:$A)-3),"")</f>
        <v>40.669811320754718</v>
      </c>
      <c r="AC27" s="84">
        <f>IFERROR('Price History'!H3+(INDEX('Price History'!H:H,MATCH(9.99E+307,'Price History'!$A:$A))-'Price History'!H3)*(ROW()-3)/(MATCH(9.99E+307,'Returns (Calc)'!$A:$A)-3),"")</f>
        <v>54.653773584905665</v>
      </c>
      <c r="AD27" s="84">
        <f>IFERROR('Price History'!I3+(INDEX('Price History'!I:I,MATCH(9.99E+307,'Price History'!$A:$A))-'Price History'!I3)*(ROW()-3)/(MATCH(9.99E+307,'Returns (Calc)'!$A:$A)-3),"")</f>
        <v>34.683962264150942</v>
      </c>
      <c r="AE27" s="84">
        <f>IFERROR('Price History'!J3+(INDEX('Price History'!J:J,MATCH(9.99E+307,'Price History'!$A:$A))-'Price History'!J3)*(ROW()-3)/(MATCH(9.99E+307,'Returns (Calc)'!$A:$A)-3),"")</f>
        <v>104.86698113207548</v>
      </c>
      <c r="AF27" s="84">
        <f>IFERROR('Price History'!K3+(INDEX('Price History'!K:K,MATCH(9.99E+307,'Price History'!$A:$A))-'Price History'!K3)*(ROW()-3)/(MATCH(9.99E+307,'Returns (Calc)'!$A:$A)-3),"")</f>
        <v>13.083962264150944</v>
      </c>
      <c r="AG27" s="84">
        <f>IFERROR('Price History'!L3+(INDEX('Price History'!L:L,MATCH(9.99E+307,'Price History'!$A:$A))-'Price History'!L3)*(ROW()-3)/(MATCH(9.99E+307,'Returns (Calc)'!$A:$A)-3),"")</f>
        <v>78.104716981132071</v>
      </c>
      <c r="AH27" s="84">
        <f>IFERROR('Price History'!M3+(INDEX('Price History'!M:M,MATCH(9.99E+307,'Price History'!$A:$A))-'Price History'!M3)*(ROW()-3)/(MATCH(9.99E+307,'Returns (Calc)'!$A:$A)-3),"")</f>
        <v>28.451886792452829</v>
      </c>
      <c r="AI27" s="84">
        <f>IFERROR('Price History'!N3+(INDEX('Price History'!N:N,MATCH(9.99E+307,'Price History'!$A:$A))-'Price History'!N3)*(ROW()-3)/(MATCH(9.99E+307,'Returns (Calc)'!$A:$A)-3),"")</f>
        <v>297.05094339622644</v>
      </c>
      <c r="AJ27" s="84">
        <f>IFERROR('Price History'!O3+(INDEX('Price History'!O:O,MATCH(9.99E+307,'Price History'!$A:$A))-'Price History'!O3)*(ROW()-3)/(MATCH(9.99E+307,'Returns (Calc)'!$A:$A)-3),"")</f>
        <v>70.344339622641499</v>
      </c>
      <c r="AK27" s="84">
        <f>IFERROR('Price History'!Q3+(INDEX('Price History'!Q:Q,MATCH(9.99E+307,'Price History'!$A:$A))-'Price History'!Q3)*(ROW()-3)/(MATCH(9.99E+307,'Returns (Calc)'!$A:$A)-3),"")</f>
        <v>42.316981132075476</v>
      </c>
      <c r="AL27" s="84">
        <f>IFERROR('Price History'!R3+(INDEX('Price History'!R:R,MATCH(9.99E+307,'Price History'!$A:$A))-'Price History'!R3)*(ROW()-3)/(MATCH(9.99E+307,'Returns (Calc)'!$A:$A)-3),"")</f>
        <v>40.601886792452831</v>
      </c>
      <c r="AM27" s="84">
        <f>IFERROR('Price History'!S3+(INDEX('Price History'!S:S,MATCH(9.99E+307,'Price History'!$A:$A))-'Price History'!S3)*(ROW()-3)/(MATCH(9.99E+307,'Returns (Calc)'!$A:$A)-3),"")</f>
        <v>49.703773584905662</v>
      </c>
      <c r="AN27" s="84">
        <f>IFERROR('Price History'!T3+(INDEX('Price History'!T:T,MATCH(9.99E+307,'Price History'!$A:$A))-'Price History'!T3)*(ROW()-3)/(MATCH(9.99E+307,'Returns (Calc)'!$A:$A)-3),"")</f>
        <v>22.848113207547168</v>
      </c>
      <c r="AO27" s="85">
        <f>IFERROR('Price History'!V3+(INDEX('Price History'!V:V,MATCH(9.99E+307,'Price History'!$A:$A))-'Price History'!V3)*(ROW()-3)/(MATCH(9.99E+307,'Returns (Calc)'!$A:$A)-3),"")</f>
        <v>0</v>
      </c>
    </row>
    <row r="28" spans="1:41" ht="15" customHeight="1" x14ac:dyDescent="0.3">
      <c r="A28" s="81">
        <f>IF('Price History'!A29="","",'Price History'!A29)</f>
        <v>45331</v>
      </c>
      <c r="B28" s="82">
        <f>IFERROR(IF(OR(NOT(ISNUMBER('Price History'!B29)),NOT(ISNUMBER('Price History'!B28)),'Price History'!B28=0),"",'Price History'!B29/'Price History'!B28-1),"")</f>
        <v>-1.1894259247589578E-2</v>
      </c>
      <c r="C28" s="82">
        <f>IFERROR(IF(OR(NOT(ISNUMBER('Price History'!C29)),NOT(ISNUMBER('Price History'!C28)),'Price History'!C28=0),"",'Price History'!C29/'Price History'!C28-1),"")</f>
        <v>3.4124194493263094E-2</v>
      </c>
      <c r="D28" s="82">
        <f>IFERROR(IF(OR(NOT(ISNUMBER('Price History'!D29)),NOT(ISNUMBER('Price History'!D28)),'Price History'!D28=0),"",'Price History'!D29/'Price History'!D28-1),"")</f>
        <v>6.6175645027283236E-2</v>
      </c>
      <c r="E28" s="82">
        <f>IFERROR(IF(OR(NOT(ISNUMBER('Price History'!E29)),NOT(ISNUMBER('Price History'!E28)),'Price History'!E28=0),"",'Price History'!E29/'Price History'!E28-1),"")</f>
        <v>4.827248223474645E-2</v>
      </c>
      <c r="F28" s="82">
        <f>IFERROR(IF(OR(NOT(ISNUMBER('Price History'!F29)),NOT(ISNUMBER('Price History'!F28)),'Price History'!F28=0),"",'Price History'!F29/'Price History'!F28-1),"")</f>
        <v>8.499143497166961E-2</v>
      </c>
      <c r="G28" s="82">
        <f>IFERROR(IF(OR(NOT(ISNUMBER('Price History'!G29)),NOT(ISNUMBER('Price History'!G28)),'Price History'!G28=0),"",'Price History'!G29/'Price History'!G28-1),"")</f>
        <v>7.5293728280655392E-2</v>
      </c>
      <c r="H28" s="82">
        <f>IFERROR(IF(OR(NOT(ISNUMBER('Price History'!H29)),NOT(ISNUMBER('Price History'!H28)),'Price History'!H28=0),"",'Price History'!H29/'Price History'!H28-1),"")</f>
        <v>-1.0638297872340496E-2</v>
      </c>
      <c r="I28" s="82">
        <f>IFERROR(IF(OR(NOT(ISNUMBER('Price History'!I29)),NOT(ISNUMBER('Price History'!I28)),'Price History'!I28=0),"",'Price History'!I29/'Price History'!I28-1),"")</f>
        <v>9.0235792019347061E-2</v>
      </c>
      <c r="J28" s="82">
        <f>IFERROR(IF(OR(NOT(ISNUMBER('Price History'!J29)),NOT(ISNUMBER('Price History'!J28)),'Price History'!J28=0),"",'Price History'!J29/'Price History'!J28-1),"")</f>
        <v>2.499032882011587E-2</v>
      </c>
      <c r="K28" s="82">
        <f>IFERROR(IF(OR(NOT(ISNUMBER('Price History'!K29)),NOT(ISNUMBER('Price History'!K28)),'Price History'!K28=0),"",'Price History'!K29/'Price History'!K28-1),"")</f>
        <v>0.43243243243243246</v>
      </c>
      <c r="L28" s="82">
        <f>IFERROR(IF(OR(NOT(ISNUMBER('Price History'!L29)),NOT(ISNUMBER('Price History'!L28)),'Price History'!L28=0),"",'Price History'!L29/'Price History'!L28-1),"")</f>
        <v>0.14997840172786181</v>
      </c>
      <c r="M28" s="82">
        <f>IFERROR(IF(OR(NOT(ISNUMBER('Price History'!M29)),NOT(ISNUMBER('Price History'!M28)),'Price History'!M28=0),"",'Price History'!M29/'Price History'!M28-1),"")</f>
        <v>3.3349601431592824E-2</v>
      </c>
      <c r="N28" s="82">
        <f>IFERROR(IF(OR(NOT(ISNUMBER('Price History'!N29)),NOT(ISNUMBER('Price History'!N28)),'Price History'!N28=0),"",'Price History'!N29/'Price History'!N28-1),"")</f>
        <v>-4.1678440237354897E-3</v>
      </c>
      <c r="O28" s="82">
        <f>IFERROR(IF(OR(NOT(ISNUMBER('Price History'!O29)),NOT(ISNUMBER('Price History'!O28)),'Price History'!O28=0),"",'Price History'!O29/'Price History'!O28-1),"")</f>
        <v>9.0679522497703058E-3</v>
      </c>
      <c r="P28" s="82" t="str">
        <f>IFERROR(IF(OR(NOT(ISNUMBER('Price History'!P29)),NOT(ISNUMBER('Price History'!P28)),'Price History'!P28=0),"",'Price History'!P29/'Price History'!P28-1),"")</f>
        <v/>
      </c>
      <c r="Q28" s="82">
        <f>IFERROR(IF(OR(NOT(ISNUMBER('Price History'!Q29)),NOT(ISNUMBER('Price History'!Q28)),'Price History'!Q28=0),"",'Price History'!Q29/'Price History'!Q28-1),"")</f>
        <v>7.1517968889689421E-4</v>
      </c>
      <c r="R28" s="82">
        <f>IFERROR(IF(OR(NOT(ISNUMBER('Price History'!R29)),NOT(ISNUMBER('Price History'!R28)),'Price History'!R28=0),"",'Price History'!R29/'Price History'!R28-1),"")</f>
        <v>1.0589141316904138E-2</v>
      </c>
      <c r="S28" s="82">
        <f>IFERROR(IF(OR(NOT(ISNUMBER('Price History'!S29)),NOT(ISNUMBER('Price History'!S28)),'Price History'!S28=0),"",'Price History'!S29/'Price History'!S28-1),"")</f>
        <v>2.385548814120253E-2</v>
      </c>
      <c r="T28" s="82">
        <f>IFERROR(IF(OR(NOT(ISNUMBER('Price History'!T29)),NOT(ISNUMBER('Price History'!T28)),'Price History'!T28=0),"",'Price History'!T29/'Price History'!T28-1),"")</f>
        <v>3.8569424964935983E-3</v>
      </c>
      <c r="U28" s="82" t="str">
        <f>IFERROR(IF(OR(NOT(ISNUMBER('Price History'!U29)),NOT(ISNUMBER('Price History'!U28)),'Price History'!U28=0),"",'Price History'!U29/'Price History'!U28-1),"")</f>
        <v/>
      </c>
      <c r="V28" s="83">
        <f>IFERROR(IF(OR(NOT(ISNUMBER('Price History'!V29)),NOT(ISNUMBER('Price History'!V28)),'Price History'!V28=0),"",'Price History'!V29/'Price History'!V28-1),"")</f>
        <v>-8.4711428676664813E-4</v>
      </c>
      <c r="W28" s="84" t="str">
        <f>IFERROR('Price History'!B3+(INDEX('Price History'!B:B,MATCH(9.99E+307,'Price History'!$A:$A))-'Price History'!B3)*(ROW()-3)/(MATCH(9.99E+307,'Returns (Calc)'!$A:$A)-3),"")</f>
        <v/>
      </c>
      <c r="X28" s="84">
        <f>IFERROR('Price History'!C3+(INDEX('Price History'!C:C,MATCH(9.99E+307,'Price History'!$A:$A))-'Price History'!C3)*(ROW()-3)/(MATCH(9.99E+307,'Returns (Calc)'!$A:$A)-3),"")</f>
        <v>36.862641509433963</v>
      </c>
      <c r="Y28" s="84">
        <f>IFERROR('Price History'!D3+(INDEX('Price History'!D:D,MATCH(9.99E+307,'Price History'!$A:$A))-'Price History'!D3)*(ROW()-3)/(MATCH(9.99E+307,'Returns (Calc)'!$A:$A)-3),"")</f>
        <v>557.72654088050308</v>
      </c>
      <c r="Z28" s="84">
        <f>IFERROR('Price History'!E3+(INDEX('Price History'!E:E,MATCH(9.99E+307,'Price History'!$A:$A))-'Price History'!E3)*(ROW()-3)/(MATCH(9.99E+307,'Returns (Calc)'!$A:$A)-3),"")</f>
        <v>69.932830188679247</v>
      </c>
      <c r="AA28" s="84">
        <f>IFERROR('Price History'!F3+(INDEX('Price History'!F:F,MATCH(9.99E+307,'Price History'!$A:$A))-'Price History'!F3)*(ROW()-3)/(MATCH(9.99E+307,'Returns (Calc)'!$A:$A)-3),"")</f>
        <v>31.232955974842771</v>
      </c>
      <c r="AB28" s="84">
        <f>IFERROR('Price History'!G3+(INDEX('Price History'!G:G,MATCH(9.99E+307,'Price History'!$A:$A))-'Price History'!G3)*(ROW()-3)/(MATCH(9.99E+307,'Returns (Calc)'!$A:$A)-3),"")</f>
        <v>40.368553459119497</v>
      </c>
      <c r="AC28" s="84">
        <f>IFERROR('Price History'!H3+(INDEX('Price History'!H:H,MATCH(9.99E+307,'Price History'!$A:$A))-'Price History'!H3)*(ROW()-3)/(MATCH(9.99E+307,'Returns (Calc)'!$A:$A)-3),"")</f>
        <v>54.248930817610066</v>
      </c>
      <c r="AD28" s="84">
        <f>IFERROR('Price History'!I3+(INDEX('Price History'!I:I,MATCH(9.99E+307,'Price History'!$A:$A))-'Price History'!I3)*(ROW()-3)/(MATCH(9.99E+307,'Returns (Calc)'!$A:$A)-3),"")</f>
        <v>34.427044025157237</v>
      </c>
      <c r="AE28" s="84">
        <f>IFERROR('Price History'!J3+(INDEX('Price History'!J:J,MATCH(9.99E+307,'Price History'!$A:$A))-'Price History'!J3)*(ROW()-3)/(MATCH(9.99E+307,'Returns (Calc)'!$A:$A)-3),"")</f>
        <v>104.09018867924529</v>
      </c>
      <c r="AF28" s="84">
        <f>IFERROR('Price History'!K3+(INDEX('Price History'!K:K,MATCH(9.99E+307,'Price History'!$A:$A))-'Price History'!K3)*(ROW()-3)/(MATCH(9.99E+307,'Returns (Calc)'!$A:$A)-3),"")</f>
        <v>12.987044025157232</v>
      </c>
      <c r="AG28" s="84">
        <f>IFERROR('Price History'!L3+(INDEX('Price History'!L:L,MATCH(9.99E+307,'Price History'!$A:$A))-'Price History'!L3)*(ROW()-3)/(MATCH(9.99E+307,'Returns (Calc)'!$A:$A)-3),"")</f>
        <v>77.526163522012581</v>
      </c>
      <c r="AH28" s="84">
        <f>IFERROR('Price History'!M3+(INDEX('Price History'!M:M,MATCH(9.99E+307,'Price History'!$A:$A))-'Price History'!M3)*(ROW()-3)/(MATCH(9.99E+307,'Returns (Calc)'!$A:$A)-3),"")</f>
        <v>28.241132075471697</v>
      </c>
      <c r="AI28" s="84">
        <f>IFERROR('Price History'!N3+(INDEX('Price History'!N:N,MATCH(9.99E+307,'Price History'!$A:$A))-'Price History'!N3)*(ROW()-3)/(MATCH(9.99E+307,'Returns (Calc)'!$A:$A)-3),"")</f>
        <v>294.85056603773586</v>
      </c>
      <c r="AJ28" s="84">
        <f>IFERROR('Price History'!O3+(INDEX('Price History'!O:O,MATCH(9.99E+307,'Price History'!$A:$A))-'Price History'!O3)*(ROW()-3)/(MATCH(9.99E+307,'Returns (Calc)'!$A:$A)-3),"")</f>
        <v>69.823270440251562</v>
      </c>
      <c r="AK28" s="84">
        <f>IFERROR('Price History'!Q3+(INDEX('Price History'!Q:Q,MATCH(9.99E+307,'Price History'!$A:$A))-'Price History'!Q3)*(ROW()-3)/(MATCH(9.99E+307,'Returns (Calc)'!$A:$A)-3),"")</f>
        <v>42.003522012578621</v>
      </c>
      <c r="AL28" s="84">
        <f>IFERROR('Price History'!R3+(INDEX('Price History'!R:R,MATCH(9.99E+307,'Price History'!$A:$A))-'Price History'!R3)*(ROW()-3)/(MATCH(9.99E+307,'Returns (Calc)'!$A:$A)-3),"")</f>
        <v>40.301132075471699</v>
      </c>
      <c r="AM28" s="84">
        <f>IFERROR('Price History'!S3+(INDEX('Price History'!S:S,MATCH(9.99E+307,'Price History'!$A:$A))-'Price History'!S3)*(ROW()-3)/(MATCH(9.99E+307,'Returns (Calc)'!$A:$A)-3),"")</f>
        <v>49.335597484276732</v>
      </c>
      <c r="AN28" s="84">
        <f>IFERROR('Price History'!T3+(INDEX('Price History'!T:T,MATCH(9.99E+307,'Price History'!$A:$A))-'Price History'!T3)*(ROW()-3)/(MATCH(9.99E+307,'Returns (Calc)'!$A:$A)-3),"")</f>
        <v>22.678867924528301</v>
      </c>
      <c r="AO28" s="85">
        <f>IFERROR('Price History'!V3+(INDEX('Price History'!V:V,MATCH(9.99E+307,'Price History'!$A:$A))-'Price History'!V3)*(ROW()-3)/(MATCH(9.99E+307,'Returns (Calc)'!$A:$A)-3),"")</f>
        <v>0</v>
      </c>
    </row>
    <row r="29" spans="1:41" ht="15" customHeight="1" x14ac:dyDescent="0.3">
      <c r="A29" s="81">
        <f>IF('Price History'!A30="","",'Price History'!A30)</f>
        <v>45338</v>
      </c>
      <c r="B29" s="82">
        <f>IFERROR(IF(OR(NOT(ISNUMBER('Price History'!B30)),NOT(ISNUMBER('Price History'!B29)),'Price History'!B29=0),"",'Price History'!B30/'Price History'!B29-1),"")</f>
        <v>-0.12842588606686767</v>
      </c>
      <c r="C29" s="82">
        <f>IFERROR(IF(OR(NOT(ISNUMBER('Price History'!C30)),NOT(ISNUMBER('Price History'!C29)),'Price History'!C29=0),"",'Price History'!C30/'Price History'!C29-1),"")</f>
        <v>-7.3219090780342722E-2</v>
      </c>
      <c r="D29" s="82">
        <f>IFERROR(IF(OR(NOT(ISNUMBER('Price History'!D30)),NOT(ISNUMBER('Price History'!D29)),'Price History'!D29=0),"",'Price History'!D30/'Price History'!D29-1),"")</f>
        <v>-2.1756529064869357E-2</v>
      </c>
      <c r="E29" s="82">
        <f>IFERROR(IF(OR(NOT(ISNUMBER('Price History'!E30)),NOT(ISNUMBER('Price History'!E29)),'Price History'!E29=0),"",'Price History'!E30/'Price History'!E29-1),"")</f>
        <v>-2.9530933458002284E-2</v>
      </c>
      <c r="F29" s="82">
        <f>IFERROR(IF(OR(NOT(ISNUMBER('Price History'!F30)),NOT(ISNUMBER('Price History'!F29)),'Price History'!F29=0),"",'Price History'!F30/'Price History'!F29-1),"")</f>
        <v>-3.6434296818077527E-4</v>
      </c>
      <c r="G29" s="82">
        <f>IFERROR(IF(OR(NOT(ISNUMBER('Price History'!G30)),NOT(ISNUMBER('Price History'!G29)),'Price History'!G29=0),"",'Price History'!G30/'Price History'!G29-1),"")</f>
        <v>1.7851646660510978E-2</v>
      </c>
      <c r="H29" s="82">
        <f>IFERROR(IF(OR(NOT(ISNUMBER('Price History'!H30)),NOT(ISNUMBER('Price History'!H29)),'Price History'!H29=0),"",'Price History'!H30/'Price History'!H29-1),"")</f>
        <v>-7.0827489481065986E-2</v>
      </c>
      <c r="I29" s="82">
        <f>IFERROR(IF(OR(NOT(ISNUMBER('Price History'!I30)),NOT(ISNUMBER('Price History'!I29)),'Price History'!I29=0),"",'Price History'!I30/'Price History'!I29-1),"")</f>
        <v>6.6546513239984506E-3</v>
      </c>
      <c r="J29" s="82">
        <f>IFERROR(IF(OR(NOT(ISNUMBER('Price History'!J30)),NOT(ISNUMBER('Price History'!J29)),'Price History'!J29=0),"",'Price History'!J30/'Price History'!J29-1),"")</f>
        <v>6.8689613526569104E-3</v>
      </c>
      <c r="K29" s="82">
        <f>IFERROR(IF(OR(NOT(ISNUMBER('Price History'!K30)),NOT(ISNUMBER('Price History'!K29)),'Price History'!K29=0),"",'Price History'!K30/'Price History'!K29-1),"")</f>
        <v>2.4610336341264194E-3</v>
      </c>
      <c r="L29" s="82">
        <f>IFERROR(IF(OR(NOT(ISNUMBER('Price History'!L30)),NOT(ISNUMBER('Price History'!L29)),'Price History'!L29=0),"",'Price History'!L30/'Price History'!L29-1),"")</f>
        <v>-4.8230786567500683E-2</v>
      </c>
      <c r="M29" s="82">
        <f>IFERROR(IF(OR(NOT(ISNUMBER('Price History'!M30)),NOT(ISNUMBER('Price History'!M29)),'Price History'!M29=0),"",'Price History'!M30/'Price History'!M29-1),"")</f>
        <v>-8.6586901763224811E-3</v>
      </c>
      <c r="N29" s="82">
        <f>IFERROR(IF(OR(NOT(ISNUMBER('Price History'!N30)),NOT(ISNUMBER('Price History'!N29)),'Price History'!N29=0),"",'Price History'!N30/'Price History'!N29-1),"")</f>
        <v>-1.6788441985293723E-3</v>
      </c>
      <c r="O29" s="82">
        <f>IFERROR(IF(OR(NOT(ISNUMBER('Price History'!O30)),NOT(ISNUMBER('Price History'!O29)),'Price History'!O29=0),"",'Price History'!O30/'Price History'!O29-1),"")</f>
        <v>7.0526675008530937E-3</v>
      </c>
      <c r="P29" s="82" t="str">
        <f>IFERROR(IF(OR(NOT(ISNUMBER('Price History'!P30)),NOT(ISNUMBER('Price History'!P29)),'Price History'!P29=0),"",'Price History'!P30/'Price History'!P29-1),"")</f>
        <v/>
      </c>
      <c r="Q29" s="82">
        <f>IFERROR(IF(OR(NOT(ISNUMBER('Price History'!Q30)),NOT(ISNUMBER('Price History'!Q29)),'Price History'!Q29=0),"",'Price History'!Q30/'Price History'!Q29-1),"")</f>
        <v>-3.7520100053600736E-3</v>
      </c>
      <c r="R29" s="82">
        <f>IFERROR(IF(OR(NOT(ISNUMBER('Price History'!R30)),NOT(ISNUMBER('Price History'!R29)),'Price History'!R29=0),"",'Price History'!R30/'Price History'!R29-1),"")</f>
        <v>-3.2387121356449722E-3</v>
      </c>
      <c r="S29" s="82">
        <f>IFERROR(IF(OR(NOT(ISNUMBER('Price History'!S30)),NOT(ISNUMBER('Price History'!S29)),'Price History'!S29=0),"",'Price History'!S30/'Price History'!S29-1),"")</f>
        <v>8.3501683501683299E-3</v>
      </c>
      <c r="T29" s="82">
        <f>IFERROR(IF(OR(NOT(ISNUMBER('Price History'!T30)),NOT(ISNUMBER('Price History'!T29)),'Price History'!T29=0),"",'Price History'!T30/'Price History'!T29-1),"")</f>
        <v>8.3828152287810376E-3</v>
      </c>
      <c r="U29" s="82" t="str">
        <f>IFERROR(IF(OR(NOT(ISNUMBER('Price History'!U30)),NOT(ISNUMBER('Price History'!U29)),'Price History'!U29=0),"",'Price History'!U30/'Price History'!U29-1),"")</f>
        <v/>
      </c>
      <c r="V29" s="83">
        <f>IFERROR(IF(OR(NOT(ISNUMBER('Price History'!V30)),NOT(ISNUMBER('Price History'!V29)),'Price History'!V29=0),"",'Price History'!V30/'Price History'!V29-1),"")</f>
        <v>7.7042170451195879E-3</v>
      </c>
      <c r="W29" s="84" t="str">
        <f>IFERROR('Price History'!B3+(INDEX('Price History'!B:B,MATCH(9.99E+307,'Price History'!$A:$A))-'Price History'!B3)*(ROW()-3)/(MATCH(9.99E+307,'Returns (Calc)'!$A:$A)-3),"")</f>
        <v/>
      </c>
      <c r="X29" s="84">
        <f>IFERROR('Price History'!C3+(INDEX('Price History'!C:C,MATCH(9.99E+307,'Price History'!$A:$A))-'Price History'!C3)*(ROW()-3)/(MATCH(9.99E+307,'Returns (Calc)'!$A:$A)-3),"")</f>
        <v>36.587547169811323</v>
      </c>
      <c r="Y29" s="84">
        <f>IFERROR('Price History'!D3+(INDEX('Price History'!D:D,MATCH(9.99E+307,'Price History'!$A:$A))-'Price History'!D3)*(ROW()-3)/(MATCH(9.99E+307,'Returns (Calc)'!$A:$A)-3),"")</f>
        <v>553.56440251572326</v>
      </c>
      <c r="Z29" s="84">
        <f>IFERROR('Price History'!E3+(INDEX('Price History'!E:E,MATCH(9.99E+307,'Price History'!$A:$A))-'Price History'!E3)*(ROW()-3)/(MATCH(9.99E+307,'Returns (Calc)'!$A:$A)-3),"")</f>
        <v>69.410943396226415</v>
      </c>
      <c r="AA29" s="84">
        <f>IFERROR('Price History'!F3+(INDEX('Price History'!F:F,MATCH(9.99E+307,'Price History'!$A:$A))-'Price History'!F3)*(ROW()-3)/(MATCH(9.99E+307,'Returns (Calc)'!$A:$A)-3),"")</f>
        <v>30.999874213836481</v>
      </c>
      <c r="AB29" s="84">
        <f>IFERROR('Price History'!G3+(INDEX('Price History'!G:G,MATCH(9.99E+307,'Price History'!$A:$A))-'Price History'!G3)*(ROW()-3)/(MATCH(9.99E+307,'Returns (Calc)'!$A:$A)-3),"")</f>
        <v>40.067295597484275</v>
      </c>
      <c r="AC29" s="84">
        <f>IFERROR('Price History'!H3+(INDEX('Price History'!H:H,MATCH(9.99E+307,'Price History'!$A:$A))-'Price History'!H3)*(ROW()-3)/(MATCH(9.99E+307,'Returns (Calc)'!$A:$A)-3),"")</f>
        <v>53.844088050314468</v>
      </c>
      <c r="AD29" s="84">
        <f>IFERROR('Price History'!I3+(INDEX('Price History'!I:I,MATCH(9.99E+307,'Price History'!$A:$A))-'Price History'!I3)*(ROW()-3)/(MATCH(9.99E+307,'Returns (Calc)'!$A:$A)-3),"")</f>
        <v>34.170125786163524</v>
      </c>
      <c r="AE29" s="84">
        <f>IFERROR('Price History'!J3+(INDEX('Price History'!J:J,MATCH(9.99E+307,'Price History'!$A:$A))-'Price History'!J3)*(ROW()-3)/(MATCH(9.99E+307,'Returns (Calc)'!$A:$A)-3),"")</f>
        <v>103.31339622641509</v>
      </c>
      <c r="AF29" s="84">
        <f>IFERROR('Price History'!K3+(INDEX('Price History'!K:K,MATCH(9.99E+307,'Price History'!$A:$A))-'Price History'!K3)*(ROW()-3)/(MATCH(9.99E+307,'Returns (Calc)'!$A:$A)-3),"")</f>
        <v>12.890125786163523</v>
      </c>
      <c r="AG29" s="84">
        <f>IFERROR('Price History'!L3+(INDEX('Price History'!L:L,MATCH(9.99E+307,'Price History'!$A:$A))-'Price History'!L3)*(ROW()-3)/(MATCH(9.99E+307,'Returns (Calc)'!$A:$A)-3),"")</f>
        <v>76.947610062893077</v>
      </c>
      <c r="AH29" s="84">
        <f>IFERROR('Price History'!M3+(INDEX('Price History'!M:M,MATCH(9.99E+307,'Price History'!$A:$A))-'Price History'!M3)*(ROW()-3)/(MATCH(9.99E+307,'Returns (Calc)'!$A:$A)-3),"")</f>
        <v>28.030377358490565</v>
      </c>
      <c r="AI29" s="84">
        <f>IFERROR('Price History'!N3+(INDEX('Price History'!N:N,MATCH(9.99E+307,'Price History'!$A:$A))-'Price History'!N3)*(ROW()-3)/(MATCH(9.99E+307,'Returns (Calc)'!$A:$A)-3),"")</f>
        <v>292.65018867924528</v>
      </c>
      <c r="AJ29" s="84">
        <f>IFERROR('Price History'!O3+(INDEX('Price History'!O:O,MATCH(9.99E+307,'Price History'!$A:$A))-'Price History'!O3)*(ROW()-3)/(MATCH(9.99E+307,'Returns (Calc)'!$A:$A)-3),"")</f>
        <v>69.302201257861626</v>
      </c>
      <c r="AK29" s="84">
        <f>IFERROR('Price History'!Q3+(INDEX('Price History'!Q:Q,MATCH(9.99E+307,'Price History'!$A:$A))-'Price History'!Q3)*(ROW()-3)/(MATCH(9.99E+307,'Returns (Calc)'!$A:$A)-3),"")</f>
        <v>41.690062893081766</v>
      </c>
      <c r="AL29" s="84">
        <f>IFERROR('Price History'!R3+(INDEX('Price History'!R:R,MATCH(9.99E+307,'Price History'!$A:$A))-'Price History'!R3)*(ROW()-3)/(MATCH(9.99E+307,'Returns (Calc)'!$A:$A)-3),"")</f>
        <v>40.000377358490567</v>
      </c>
      <c r="AM29" s="84">
        <f>IFERROR('Price History'!S3+(INDEX('Price History'!S:S,MATCH(9.99E+307,'Price History'!$A:$A))-'Price History'!S3)*(ROW()-3)/(MATCH(9.99E+307,'Returns (Calc)'!$A:$A)-3),"")</f>
        <v>48.967421383647796</v>
      </c>
      <c r="AN29" s="84">
        <f>IFERROR('Price History'!T3+(INDEX('Price History'!T:T,MATCH(9.99E+307,'Price History'!$A:$A))-'Price History'!T3)*(ROW()-3)/(MATCH(9.99E+307,'Returns (Calc)'!$A:$A)-3),"")</f>
        <v>22.509622641509434</v>
      </c>
      <c r="AO29" s="85">
        <f>IFERROR('Price History'!V3+(INDEX('Price History'!V:V,MATCH(9.99E+307,'Price History'!$A:$A))-'Price History'!V3)*(ROW()-3)/(MATCH(9.99E+307,'Returns (Calc)'!$A:$A)-3),"")</f>
        <v>0</v>
      </c>
    </row>
    <row r="30" spans="1:41" ht="15" customHeight="1" x14ac:dyDescent="0.3">
      <c r="A30" s="81">
        <f>IF('Price History'!A31="","",'Price History'!A31)</f>
        <v>45345</v>
      </c>
      <c r="B30" s="82">
        <f>IFERROR(IF(OR(NOT(ISNUMBER('Price History'!B31)),NOT(ISNUMBER('Price History'!B30)),'Price History'!B30=0),"",'Price History'!B31/'Price History'!B30-1),"")</f>
        <v>1.2402590275491399E-2</v>
      </c>
      <c r="C30" s="82">
        <f>IFERROR(IF(OR(NOT(ISNUMBER('Price History'!C31)),NOT(ISNUMBER('Price History'!C30)),'Price History'!C30=0),"",'Price History'!C31/'Price History'!C30-1),"")</f>
        <v>2.261613691931541E-2</v>
      </c>
      <c r="D30" s="82">
        <f>IFERROR(IF(OR(NOT(ISNUMBER('Price History'!D31)),NOT(ISNUMBER('Price History'!D30)),'Price History'!D30=0),"",'Price History'!D31/'Price History'!D30-1),"")</f>
        <v>4.6396968587851806E-3</v>
      </c>
      <c r="E30" s="82">
        <f>IFERROR(IF(OR(NOT(ISNUMBER('Price History'!E31)),NOT(ISNUMBER('Price History'!E30)),'Price History'!E30=0),"",'Price History'!E31/'Price History'!E30-1),"")</f>
        <v>4.0867121637896409E-2</v>
      </c>
      <c r="F30" s="82">
        <f>IFERROR(IF(OR(NOT(ISNUMBER('Price History'!F31)),NOT(ISNUMBER('Price History'!F30)),'Price History'!F30=0),"",'Price History'!F31/'Price History'!F30-1),"")</f>
        <v>-5.3942412829546815E-2</v>
      </c>
      <c r="G30" s="82">
        <f>IFERROR(IF(OR(NOT(ISNUMBER('Price History'!G31)),NOT(ISNUMBER('Price History'!G30)),'Price History'!G30=0),"",'Price History'!G31/'Price History'!G30-1),"")</f>
        <v>1.1188388267311611E-2</v>
      </c>
      <c r="H30" s="82">
        <f>IFERROR(IF(OR(NOT(ISNUMBER('Price History'!H31)),NOT(ISNUMBER('Price History'!H30)),'Price History'!H30=0),"",'Price History'!H31/'Price History'!H30-1),"")</f>
        <v>8.1761006289308158E-2</v>
      </c>
      <c r="I30" s="82">
        <f>IFERROR(IF(OR(NOT(ISNUMBER('Price History'!I31)),NOT(ISNUMBER('Price History'!I30)),'Price History'!I30=0),"",'Price History'!I31/'Price History'!I30-1),"")</f>
        <v>8.5525409723178569E-2</v>
      </c>
      <c r="J30" s="82">
        <f>IFERROR(IF(OR(NOT(ISNUMBER('Price History'!J31)),NOT(ISNUMBER('Price History'!J30)),'Price History'!J30=0),"",'Price History'!J31/'Price History'!J30-1),"")</f>
        <v>-1.3494264937400358E-3</v>
      </c>
      <c r="K30" s="82">
        <f>IFERROR(IF(OR(NOT(ISNUMBER('Price History'!K31)),NOT(ISNUMBER('Price History'!K30)),'Price History'!K30=0),"",'Price History'!K31/'Price History'!K30-1),"")</f>
        <v>-6.0147299509001773E-2</v>
      </c>
      <c r="L30" s="82">
        <f>IFERROR(IF(OR(NOT(ISNUMBER('Price History'!L31)),NOT(ISNUMBER('Price History'!L30)),'Price History'!L30=0),"",'Price History'!L31/'Price History'!L30-1),"")</f>
        <v>2.2416923198358196E-2</v>
      </c>
      <c r="M30" s="82">
        <f>IFERROR(IF(OR(NOT(ISNUMBER('Price History'!M31)),NOT(ISNUMBER('Price History'!M30)),'Price History'!M30=0),"",'Price History'!M31/'Price History'!M30-1),"")</f>
        <v>-4.2877560743210807E-3</v>
      </c>
      <c r="N30" s="82">
        <f>IFERROR(IF(OR(NOT(ISNUMBER('Price History'!N31)),NOT(ISNUMBER('Price History'!N30)),'Price History'!N30=0),"",'Price History'!N31/'Price History'!N30-1),"")</f>
        <v>1.8735196589294123E-2</v>
      </c>
      <c r="O30" s="82">
        <f>IFERROR(IF(OR(NOT(ISNUMBER('Price History'!O31)),NOT(ISNUMBER('Price History'!O30)),'Price History'!O30=0),"",'Price History'!O31/'Price History'!O30-1),"")</f>
        <v>-3.2757257426861974E-3</v>
      </c>
      <c r="P30" s="82" t="str">
        <f>IFERROR(IF(OR(NOT(ISNUMBER('Price History'!P31)),NOT(ISNUMBER('Price History'!P30)),'Price History'!P30=0),"",'Price History'!P31/'Price History'!P30-1),"")</f>
        <v/>
      </c>
      <c r="Q30" s="82">
        <f>IFERROR(IF(OR(NOT(ISNUMBER('Price History'!Q31)),NOT(ISNUMBER('Price History'!Q30)),'Price History'!Q30=0),"",'Price History'!Q31/'Price History'!Q30-1),"")</f>
        <v>-6.276901004304225E-3</v>
      </c>
      <c r="R30" s="82">
        <f>IFERROR(IF(OR(NOT(ISNUMBER('Price History'!R31)),NOT(ISNUMBER('Price History'!R30)),'Price History'!R30=0),"",'Price History'!R31/'Price History'!R30-1),"")</f>
        <v>1.261467889908241E-2</v>
      </c>
      <c r="S30" s="82">
        <f>IFERROR(IF(OR(NOT(ISNUMBER('Price History'!S31)),NOT(ISNUMBER('Price History'!S30)),'Price History'!S30=0),"",'Price History'!S31/'Price History'!S30-1),"")</f>
        <v>2.243889408307731E-2</v>
      </c>
      <c r="T30" s="82">
        <f>IFERROR(IF(OR(NOT(ISNUMBER('Price History'!T31)),NOT(ISNUMBER('Price History'!T30)),'Price History'!T30=0),"",'Price History'!T31/'Price History'!T30-1),"")</f>
        <v>2.1821960512642846E-2</v>
      </c>
      <c r="U30" s="82" t="str">
        <f>IFERROR(IF(OR(NOT(ISNUMBER('Price History'!U31)),NOT(ISNUMBER('Price History'!U30)),'Price History'!U30=0),"",'Price History'!U31/'Price History'!U30-1),"")</f>
        <v/>
      </c>
      <c r="V30" s="83">
        <f>IFERROR(IF(OR(NOT(ISNUMBER('Price History'!V31)),NOT(ISNUMBER('Price History'!V30)),'Price History'!V30=0),"",'Price History'!V31/'Price History'!V30-1),"")</f>
        <v>1.8070746607162347E-2</v>
      </c>
      <c r="W30" s="84" t="str">
        <f>IFERROR('Price History'!B3+(INDEX('Price History'!B:B,MATCH(9.99E+307,'Price History'!$A:$A))-'Price History'!B3)*(ROW()-3)/(MATCH(9.99E+307,'Returns (Calc)'!$A:$A)-3),"")</f>
        <v/>
      </c>
      <c r="X30" s="84">
        <f>IFERROR('Price History'!C3+(INDEX('Price History'!C:C,MATCH(9.99E+307,'Price History'!$A:$A))-'Price History'!C3)*(ROW()-3)/(MATCH(9.99E+307,'Returns (Calc)'!$A:$A)-3),"")</f>
        <v>36.312452830188683</v>
      </c>
      <c r="Y30" s="84">
        <f>IFERROR('Price History'!D3+(INDEX('Price History'!D:D,MATCH(9.99E+307,'Price History'!$A:$A))-'Price History'!D3)*(ROW()-3)/(MATCH(9.99E+307,'Returns (Calc)'!$A:$A)-3),"")</f>
        <v>549.40226415094344</v>
      </c>
      <c r="Z30" s="84">
        <f>IFERROR('Price History'!E3+(INDEX('Price History'!E:E,MATCH(9.99E+307,'Price History'!$A:$A))-'Price History'!E3)*(ROW()-3)/(MATCH(9.99E+307,'Returns (Calc)'!$A:$A)-3),"")</f>
        <v>68.889056603773582</v>
      </c>
      <c r="AA30" s="84">
        <f>IFERROR('Price History'!F3+(INDEX('Price History'!F:F,MATCH(9.99E+307,'Price History'!$A:$A))-'Price History'!F3)*(ROW()-3)/(MATCH(9.99E+307,'Returns (Calc)'!$A:$A)-3),"")</f>
        <v>30.766792452830188</v>
      </c>
      <c r="AB30" s="84">
        <f>IFERROR('Price History'!G3+(INDEX('Price History'!G:G,MATCH(9.99E+307,'Price History'!$A:$A))-'Price History'!G3)*(ROW()-3)/(MATCH(9.99E+307,'Returns (Calc)'!$A:$A)-3),"")</f>
        <v>39.766037735849054</v>
      </c>
      <c r="AC30" s="84">
        <f>IFERROR('Price History'!H3+(INDEX('Price History'!H:H,MATCH(9.99E+307,'Price History'!$A:$A))-'Price History'!H3)*(ROW()-3)/(MATCH(9.99E+307,'Returns (Calc)'!$A:$A)-3),"")</f>
        <v>53.43924528301887</v>
      </c>
      <c r="AD30" s="84">
        <f>IFERROR('Price History'!I3+(INDEX('Price History'!I:I,MATCH(9.99E+307,'Price History'!$A:$A))-'Price History'!I3)*(ROW()-3)/(MATCH(9.99E+307,'Returns (Calc)'!$A:$A)-3),"")</f>
        <v>33.913207547169812</v>
      </c>
      <c r="AE30" s="84">
        <f>IFERROR('Price History'!J3+(INDEX('Price History'!J:J,MATCH(9.99E+307,'Price History'!$A:$A))-'Price History'!J3)*(ROW()-3)/(MATCH(9.99E+307,'Returns (Calc)'!$A:$A)-3),"")</f>
        <v>102.53660377358491</v>
      </c>
      <c r="AF30" s="84">
        <f>IFERROR('Price History'!K3+(INDEX('Price History'!K:K,MATCH(9.99E+307,'Price History'!$A:$A))-'Price History'!K3)*(ROW()-3)/(MATCH(9.99E+307,'Returns (Calc)'!$A:$A)-3),"")</f>
        <v>12.793207547169811</v>
      </c>
      <c r="AG30" s="84">
        <f>IFERROR('Price History'!L3+(INDEX('Price History'!L:L,MATCH(9.99E+307,'Price History'!$A:$A))-'Price History'!L3)*(ROW()-3)/(MATCH(9.99E+307,'Returns (Calc)'!$A:$A)-3),"")</f>
        <v>76.369056603773572</v>
      </c>
      <c r="AH30" s="84">
        <f>IFERROR('Price History'!M3+(INDEX('Price History'!M:M,MATCH(9.99E+307,'Price History'!$A:$A))-'Price History'!M3)*(ROW()-3)/(MATCH(9.99E+307,'Returns (Calc)'!$A:$A)-3),"")</f>
        <v>27.819622641509433</v>
      </c>
      <c r="AI30" s="84">
        <f>IFERROR('Price History'!N3+(INDEX('Price History'!N:N,MATCH(9.99E+307,'Price History'!$A:$A))-'Price History'!N3)*(ROW()-3)/(MATCH(9.99E+307,'Returns (Calc)'!$A:$A)-3),"")</f>
        <v>290.44981132075475</v>
      </c>
      <c r="AJ30" s="84">
        <f>IFERROR('Price History'!O3+(INDEX('Price History'!O:O,MATCH(9.99E+307,'Price History'!$A:$A))-'Price History'!O3)*(ROW()-3)/(MATCH(9.99E+307,'Returns (Calc)'!$A:$A)-3),"")</f>
        <v>68.781132075471689</v>
      </c>
      <c r="AK30" s="84">
        <f>IFERROR('Price History'!Q3+(INDEX('Price History'!Q:Q,MATCH(9.99E+307,'Price History'!$A:$A))-'Price History'!Q3)*(ROW()-3)/(MATCH(9.99E+307,'Returns (Calc)'!$A:$A)-3),"")</f>
        <v>41.376603773584911</v>
      </c>
      <c r="AL30" s="84">
        <f>IFERROR('Price History'!R3+(INDEX('Price History'!R:R,MATCH(9.99E+307,'Price History'!$A:$A))-'Price History'!R3)*(ROW()-3)/(MATCH(9.99E+307,'Returns (Calc)'!$A:$A)-3),"")</f>
        <v>39.699622641509436</v>
      </c>
      <c r="AM30" s="84">
        <f>IFERROR('Price History'!S3+(INDEX('Price History'!S:S,MATCH(9.99E+307,'Price History'!$A:$A))-'Price History'!S3)*(ROW()-3)/(MATCH(9.99E+307,'Returns (Calc)'!$A:$A)-3),"")</f>
        <v>48.599245283018867</v>
      </c>
      <c r="AN30" s="84">
        <f>IFERROR('Price History'!T3+(INDEX('Price History'!T:T,MATCH(9.99E+307,'Price History'!$A:$A))-'Price History'!T3)*(ROW()-3)/(MATCH(9.99E+307,'Returns (Calc)'!$A:$A)-3),"")</f>
        <v>22.340377358490567</v>
      </c>
      <c r="AO30" s="85">
        <f>IFERROR('Price History'!V3+(INDEX('Price History'!V:V,MATCH(9.99E+307,'Price History'!$A:$A))-'Price History'!V3)*(ROW()-3)/(MATCH(9.99E+307,'Returns (Calc)'!$A:$A)-3),"")</f>
        <v>0</v>
      </c>
    </row>
    <row r="31" spans="1:41" ht="15" customHeight="1" x14ac:dyDescent="0.3">
      <c r="A31" s="81">
        <f>IF('Price History'!A32="","",'Price History'!A32)</f>
        <v>45352</v>
      </c>
      <c r="B31" s="82">
        <f>IFERROR(IF(OR(NOT(ISNUMBER('Price History'!B32)),NOT(ISNUMBER('Price History'!B31)),'Price History'!B31=0),"",'Price History'!B32/'Price History'!B31-1),"")</f>
        <v>3.1602341717259064E-2</v>
      </c>
      <c r="C31" s="82">
        <f>IFERROR(IF(OR(NOT(ISNUMBER('Price History'!C32)),NOT(ISNUMBER('Price History'!C31)),'Price History'!C31=0),"",'Price History'!C32/'Price History'!C31-1),"")</f>
        <v>7.5014943215780061E-2</v>
      </c>
      <c r="D31" s="82">
        <f>IFERROR(IF(OR(NOT(ISNUMBER('Price History'!D32)),NOT(ISNUMBER('Price History'!D31)),'Price History'!D31=0),"",'Price History'!D32/'Price History'!D31-1),"")</f>
        <v>6.1816233592285164E-2</v>
      </c>
      <c r="E31" s="82">
        <f>IFERROR(IF(OR(NOT(ISNUMBER('Price History'!E32)),NOT(ISNUMBER('Price History'!E31)),'Price History'!E31=0),"",'Price History'!E32/'Price History'!E31-1),"")</f>
        <v>7.9296513421783343E-2</v>
      </c>
      <c r="F31" s="82">
        <f>IFERROR(IF(OR(NOT(ISNUMBER('Price History'!F32)),NOT(ISNUMBER('Price History'!F31)),'Price History'!F31=0),"",'Price History'!F32/'Price History'!F31-1),"")</f>
        <v>1.001669449081799E-2</v>
      </c>
      <c r="G31" s="82">
        <f>IFERROR(IF(OR(NOT(ISNUMBER('Price History'!G32)),NOT(ISNUMBER('Price History'!G31)),'Price History'!G31=0),"",'Price History'!G32/'Price History'!G31-1),"")</f>
        <v>7.2966507177033568E-2</v>
      </c>
      <c r="H31" s="82">
        <f>IFERROR(IF(OR(NOT(ISNUMBER('Price History'!H32)),NOT(ISNUMBER('Price History'!H31)),'Price History'!H31=0),"",'Price History'!H32/'Price History'!H31-1),"")</f>
        <v>0.10639534883720936</v>
      </c>
      <c r="I31" s="82">
        <f>IFERROR(IF(OR(NOT(ISNUMBER('Price History'!I32)),NOT(ISNUMBER('Price History'!I31)),'Price History'!I31=0),"",'Price History'!I32/'Price History'!I31-1),"")</f>
        <v>4.3897487947221592E-2</v>
      </c>
      <c r="J31" s="82">
        <f>IFERROR(IF(OR(NOT(ISNUMBER('Price History'!J32)),NOT(ISNUMBER('Price History'!J31)),'Price History'!J31=0),"",'Price History'!J32/'Price History'!J31-1),"")</f>
        <v>1.0434652053149085E-2</v>
      </c>
      <c r="K31" s="82">
        <f>IFERROR(IF(OR(NOT(ISNUMBER('Price History'!K32)),NOT(ISNUMBER('Price History'!K31)),'Price History'!K31=0),"",'Price History'!K32/'Price History'!K31-1),"")</f>
        <v>8.5328689595124185E-2</v>
      </c>
      <c r="L31" s="82">
        <f>IFERROR(IF(OR(NOT(ISNUMBER('Price History'!L32)),NOT(ISNUMBER('Price History'!L31)),'Price History'!L31=0),"",'Price History'!L32/'Price History'!L31-1),"")</f>
        <v>3.373735814097123E-2</v>
      </c>
      <c r="M31" s="82">
        <f>IFERROR(IF(OR(NOT(ISNUMBER('Price History'!M32)),NOT(ISNUMBER('Price History'!M31)),'Price History'!M31=0),"",'Price History'!M32/'Price History'!M31-1),"")</f>
        <v>0.12551834130781492</v>
      </c>
      <c r="N31" s="82">
        <f>IFERROR(IF(OR(NOT(ISNUMBER('Price History'!N32)),NOT(ISNUMBER('Price History'!N31)),'Price History'!N31=0),"",'Price History'!N32/'Price History'!N31-1),"")</f>
        <v>6.161214573016105E-3</v>
      </c>
      <c r="O31" s="82">
        <f>IFERROR(IF(OR(NOT(ISNUMBER('Price History'!O32)),NOT(ISNUMBER('Price History'!O31)),'Price History'!O31=0),"",'Price History'!O32/'Price History'!O31-1),"")</f>
        <v>1.575249320036276E-2</v>
      </c>
      <c r="P31" s="82" t="str">
        <f>IFERROR(IF(OR(NOT(ISNUMBER('Price History'!P32)),NOT(ISNUMBER('Price History'!P31)),'Price History'!P31=0),"",'Price History'!P32/'Price History'!P31-1),"")</f>
        <v/>
      </c>
      <c r="Q31" s="82">
        <f>IFERROR(IF(OR(NOT(ISNUMBER('Price History'!Q32)),NOT(ISNUMBER('Price History'!Q31)),'Price History'!Q31=0),"",'Price History'!Q32/'Price History'!Q31-1),"")</f>
        <v>-1.9491066594477524E-2</v>
      </c>
      <c r="R31" s="82">
        <f>IFERROR(IF(OR(NOT(ISNUMBER('Price History'!R32)),NOT(ISNUMBER('Price History'!R31)),'Price History'!R31=0),"",'Price History'!R32/'Price History'!R31-1),"")</f>
        <v>5.2850132125330518E-3</v>
      </c>
      <c r="S31" s="82">
        <f>IFERROR(IF(OR(NOT(ISNUMBER('Price History'!S32)),NOT(ISNUMBER('Price History'!S31)),'Price History'!S31=0),"",'Price History'!S32/'Price History'!S31-1),"")</f>
        <v>2.8086218158066778E-2</v>
      </c>
      <c r="T31" s="82">
        <f>IFERROR(IF(OR(NOT(ISNUMBER('Price History'!T32)),NOT(ISNUMBER('Price History'!T31)),'Price History'!T31=0),"",'Price History'!T32/'Price History'!T31-1),"")</f>
        <v>2.2033898305084731E-2</v>
      </c>
      <c r="U31" s="82" t="str">
        <f>IFERROR(IF(OR(NOT(ISNUMBER('Price History'!U32)),NOT(ISNUMBER('Price History'!U31)),'Price History'!U31=0),"",'Price History'!U32/'Price History'!U31-1),"")</f>
        <v/>
      </c>
      <c r="V31" s="83">
        <f>IFERROR(IF(OR(NOT(ISNUMBER('Price History'!V32)),NOT(ISNUMBER('Price History'!V31)),'Price History'!V31=0),"",'Price History'!V32/'Price History'!V31-1),"")</f>
        <v>-1.5450397039272756E-3</v>
      </c>
      <c r="W31" s="84" t="str">
        <f>IFERROR('Price History'!B3+(INDEX('Price History'!B:B,MATCH(9.99E+307,'Price History'!$A:$A))-'Price History'!B3)*(ROW()-3)/(MATCH(9.99E+307,'Returns (Calc)'!$A:$A)-3),"")</f>
        <v/>
      </c>
      <c r="X31" s="84">
        <f>IFERROR('Price History'!C3+(INDEX('Price History'!C:C,MATCH(9.99E+307,'Price History'!$A:$A))-'Price History'!C3)*(ROW()-3)/(MATCH(9.99E+307,'Returns (Calc)'!$A:$A)-3),"")</f>
        <v>36.037358490566042</v>
      </c>
      <c r="Y31" s="84">
        <f>IFERROR('Price History'!D3+(INDEX('Price History'!D:D,MATCH(9.99E+307,'Price History'!$A:$A))-'Price History'!D3)*(ROW()-3)/(MATCH(9.99E+307,'Returns (Calc)'!$A:$A)-3),"")</f>
        <v>545.2401257861635</v>
      </c>
      <c r="Z31" s="84">
        <f>IFERROR('Price History'!E3+(INDEX('Price History'!E:E,MATCH(9.99E+307,'Price History'!$A:$A))-'Price History'!E3)*(ROW()-3)/(MATCH(9.99E+307,'Returns (Calc)'!$A:$A)-3),"")</f>
        <v>68.367169811320764</v>
      </c>
      <c r="AA31" s="84">
        <f>IFERROR('Price History'!F3+(INDEX('Price History'!F:F,MATCH(9.99E+307,'Price History'!$A:$A))-'Price History'!F3)*(ROW()-3)/(MATCH(9.99E+307,'Returns (Calc)'!$A:$A)-3),"")</f>
        <v>30.533710691823902</v>
      </c>
      <c r="AB31" s="84">
        <f>IFERROR('Price History'!G3+(INDEX('Price History'!G:G,MATCH(9.99E+307,'Price History'!$A:$A))-'Price History'!G3)*(ROW()-3)/(MATCH(9.99E+307,'Returns (Calc)'!$A:$A)-3),"")</f>
        <v>39.464779874213832</v>
      </c>
      <c r="AC31" s="84">
        <f>IFERROR('Price History'!H3+(INDEX('Price History'!H:H,MATCH(9.99E+307,'Price History'!$A:$A))-'Price History'!H3)*(ROW()-3)/(MATCH(9.99E+307,'Returns (Calc)'!$A:$A)-3),"")</f>
        <v>53.034402515723272</v>
      </c>
      <c r="AD31" s="84">
        <f>IFERROR('Price History'!I3+(INDEX('Price History'!I:I,MATCH(9.99E+307,'Price History'!$A:$A))-'Price History'!I3)*(ROW()-3)/(MATCH(9.99E+307,'Returns (Calc)'!$A:$A)-3),"")</f>
        <v>33.656289308176099</v>
      </c>
      <c r="AE31" s="84">
        <f>IFERROR('Price History'!J3+(INDEX('Price History'!J:J,MATCH(9.99E+307,'Price History'!$A:$A))-'Price History'!J3)*(ROW()-3)/(MATCH(9.99E+307,'Returns (Calc)'!$A:$A)-3),"")</f>
        <v>101.75981132075472</v>
      </c>
      <c r="AF31" s="84">
        <f>IFERROR('Price History'!K3+(INDEX('Price History'!K:K,MATCH(9.99E+307,'Price History'!$A:$A))-'Price History'!K3)*(ROW()-3)/(MATCH(9.99E+307,'Returns (Calc)'!$A:$A)-3),"")</f>
        <v>12.696289308176102</v>
      </c>
      <c r="AG31" s="84">
        <f>IFERROR('Price History'!L3+(INDEX('Price History'!L:L,MATCH(9.99E+307,'Price History'!$A:$A))-'Price History'!L3)*(ROW()-3)/(MATCH(9.99E+307,'Returns (Calc)'!$A:$A)-3),"")</f>
        <v>75.790503144654082</v>
      </c>
      <c r="AH31" s="84">
        <f>IFERROR('Price History'!M3+(INDEX('Price History'!M:M,MATCH(9.99E+307,'Price History'!$A:$A))-'Price History'!M3)*(ROW()-3)/(MATCH(9.99E+307,'Returns (Calc)'!$A:$A)-3),"")</f>
        <v>27.608867924528301</v>
      </c>
      <c r="AI31" s="84">
        <f>IFERROR('Price History'!N3+(INDEX('Price History'!N:N,MATCH(9.99E+307,'Price History'!$A:$A))-'Price History'!N3)*(ROW()-3)/(MATCH(9.99E+307,'Returns (Calc)'!$A:$A)-3),"")</f>
        <v>288.24943396226416</v>
      </c>
      <c r="AJ31" s="84">
        <f>IFERROR('Price History'!O3+(INDEX('Price History'!O:O,MATCH(9.99E+307,'Price History'!$A:$A))-'Price History'!O3)*(ROW()-3)/(MATCH(9.99E+307,'Returns (Calc)'!$A:$A)-3),"")</f>
        <v>68.260062893081752</v>
      </c>
      <c r="AK31" s="84">
        <f>IFERROR('Price History'!Q3+(INDEX('Price History'!Q:Q,MATCH(9.99E+307,'Price History'!$A:$A))-'Price History'!Q3)*(ROW()-3)/(MATCH(9.99E+307,'Returns (Calc)'!$A:$A)-3),"")</f>
        <v>41.063144654088056</v>
      </c>
      <c r="AL31" s="84">
        <f>IFERROR('Price History'!R3+(INDEX('Price History'!R:R,MATCH(9.99E+307,'Price History'!$A:$A))-'Price History'!R3)*(ROW()-3)/(MATCH(9.99E+307,'Returns (Calc)'!$A:$A)-3),"")</f>
        <v>39.398867924528304</v>
      </c>
      <c r="AM31" s="84">
        <f>IFERROR('Price History'!S3+(INDEX('Price History'!S:S,MATCH(9.99E+307,'Price History'!$A:$A))-'Price History'!S3)*(ROW()-3)/(MATCH(9.99E+307,'Returns (Calc)'!$A:$A)-3),"")</f>
        <v>48.231069182389938</v>
      </c>
      <c r="AN31" s="84">
        <f>IFERROR('Price History'!T3+(INDEX('Price History'!T:T,MATCH(9.99E+307,'Price History'!$A:$A))-'Price History'!T3)*(ROW()-3)/(MATCH(9.99E+307,'Returns (Calc)'!$A:$A)-3),"")</f>
        <v>22.171132075471697</v>
      </c>
      <c r="AO31" s="85">
        <f>IFERROR('Price History'!V3+(INDEX('Price History'!V:V,MATCH(9.99E+307,'Price History'!$A:$A))-'Price History'!V3)*(ROW()-3)/(MATCH(9.99E+307,'Returns (Calc)'!$A:$A)-3),"")</f>
        <v>0</v>
      </c>
    </row>
    <row r="32" spans="1:41" ht="15" customHeight="1" x14ac:dyDescent="0.3">
      <c r="A32" s="81">
        <f>IF('Price History'!A33="","",'Price History'!A33)</f>
        <v>45359</v>
      </c>
      <c r="B32" s="82">
        <f>IFERROR(IF(OR(NOT(ISNUMBER('Price History'!B33)),NOT(ISNUMBER('Price History'!B32)),'Price History'!B32=0),"",'Price History'!B33/'Price History'!B32-1),"")</f>
        <v>-3.3699402728880723E-2</v>
      </c>
      <c r="C32" s="82">
        <f>IFERROR(IF(OR(NOT(ISNUMBER('Price History'!C33)),NOT(ISNUMBER('Price History'!C32)),'Price History'!C32=0),"",'Price History'!C33/'Price History'!C32-1),"")</f>
        <v>-5.0875729774812251E-2</v>
      </c>
      <c r="D32" s="82">
        <f>IFERROR(IF(OR(NOT(ISNUMBER('Price History'!D33)),NOT(ISNUMBER('Price History'!D32)),'Price History'!D32=0),"",'Price History'!D33/'Price History'!D32-1),"")</f>
        <v>3.4209942075200672E-3</v>
      </c>
      <c r="E32" s="82">
        <f>IFERROR(IF(OR(NOT(ISNUMBER('Price History'!E33)),NOT(ISNUMBER('Price History'!E32)),'Price History'!E32=0),"",'Price History'!E33/'Price History'!E32-1),"")</f>
        <v>-6.4679817038307497E-2</v>
      </c>
      <c r="F32" s="82">
        <f>IFERROR(IF(OR(NOT(ISNUMBER('Price History'!F33)),NOT(ISNUMBER('Price History'!F32)),'Price History'!F32=0),"",'Price History'!F33/'Price History'!F32-1),"")</f>
        <v>2.6191989828353357E-2</v>
      </c>
      <c r="G32" s="82">
        <f>IFERROR(IF(OR(NOT(ISNUMBER('Price History'!G33)),NOT(ISNUMBER('Price History'!G32)),'Price History'!G32=0),"",'Price History'!G33/'Price History'!G32-1),"")</f>
        <v>-2.5641025641025661E-2</v>
      </c>
      <c r="H32" s="82">
        <f>IFERROR(IF(OR(NOT(ISNUMBER('Price History'!H33)),NOT(ISNUMBER('Price History'!H32)),'Price History'!H32=0),"",'Price History'!H33/'Price History'!H32-1),"")</f>
        <v>2.5959012086179678E-2</v>
      </c>
      <c r="I32" s="82">
        <f>IFERROR(IF(OR(NOT(ISNUMBER('Price History'!I33)),NOT(ISNUMBER('Price History'!I32)),'Price History'!I32=0),"",'Price History'!I33/'Price History'!I32-1),"")</f>
        <v>6.3806514341273601E-2</v>
      </c>
      <c r="J32" s="82">
        <f>IFERROR(IF(OR(NOT(ISNUMBER('Price History'!J33)),NOT(ISNUMBER('Price History'!J32)),'Price History'!J32=0),"",'Price History'!J33/'Price History'!J32-1),"")</f>
        <v>3.4918276374442669E-3</v>
      </c>
      <c r="K32" s="82">
        <f>IFERROR(IF(OR(NOT(ISNUMBER('Price History'!K33)),NOT(ISNUMBER('Price History'!K32)),'Price History'!K32=0),"",'Price History'!K33/'Price History'!K32-1),"")</f>
        <v>4.4524669073405576E-2</v>
      </c>
      <c r="L32" s="82">
        <f>IFERROR(IF(OR(NOT(ISNUMBER('Price History'!L33)),NOT(ISNUMBER('Price History'!L32)),'Price History'!L32=0),"",'Price History'!L33/'Price History'!L32-1),"")</f>
        <v>9.3129200896191255E-2</v>
      </c>
      <c r="M32" s="82">
        <f>IFERROR(IF(OR(NOT(ISNUMBER('Price History'!M33)),NOT(ISNUMBER('Price History'!M32)),'Price History'!M32=0),"",'Price History'!M33/'Price History'!M32-1),"")</f>
        <v>-1.7004392801473589E-2</v>
      </c>
      <c r="N32" s="82">
        <f>IFERROR(IF(OR(NOT(ISNUMBER('Price History'!N33)),NOT(ISNUMBER('Price History'!N32)),'Price History'!N32=0),"",'Price History'!N33/'Price History'!N32-1),"")</f>
        <v>-4.4297069969498115E-2</v>
      </c>
      <c r="O32" s="82">
        <f>IFERROR(IF(OR(NOT(ISNUMBER('Price History'!O33)),NOT(ISNUMBER('Price History'!O32)),'Price History'!O32=0),"",'Price History'!O33/'Price History'!O32-1),"")</f>
        <v>1.1156978690172181E-3</v>
      </c>
      <c r="P32" s="82" t="str">
        <f>IFERROR(IF(OR(NOT(ISNUMBER('Price History'!P33)),NOT(ISNUMBER('Price History'!P32)),'Price History'!P32=0),"",'Price History'!P33/'Price History'!P32-1),"")</f>
        <v/>
      </c>
      <c r="Q32" s="82">
        <f>IFERROR(IF(OR(NOT(ISNUMBER('Price History'!Q33)),NOT(ISNUMBER('Price History'!Q32)),'Price History'!Q32=0),"",'Price History'!Q33/'Price History'!Q32-1),"")</f>
        <v>2.0614761641818635E-2</v>
      </c>
      <c r="R32" s="82">
        <f>IFERROR(IF(OR(NOT(ISNUMBER('Price History'!R33)),NOT(ISNUMBER('Price History'!R32)),'Price History'!R32=0),"",'Price History'!R33/'Price History'!R32-1),"")</f>
        <v>-1.3143071723620281E-3</v>
      </c>
      <c r="S32" s="82">
        <f>IFERROR(IF(OR(NOT(ISNUMBER('Price History'!S33)),NOT(ISNUMBER('Price History'!S32)),'Price History'!S32=0),"",'Price History'!S33/'Price History'!S32-1),"")</f>
        <v>3.8119440914865521E-3</v>
      </c>
      <c r="T32" s="82">
        <f>IFERROR(IF(OR(NOT(ISNUMBER('Price History'!T33)),NOT(ISNUMBER('Price History'!T32)),'Price History'!T32=0),"",'Price History'!T33/'Price History'!T32-1),"")</f>
        <v>1.9568822553897247E-2</v>
      </c>
      <c r="U32" s="82" t="str">
        <f>IFERROR(IF(OR(NOT(ISNUMBER('Price History'!U33)),NOT(ISNUMBER('Price History'!U32)),'Price History'!U32=0),"",'Price History'!U33/'Price History'!U32-1),"")</f>
        <v/>
      </c>
      <c r="V32" s="83">
        <f>IFERROR(IF(OR(NOT(ISNUMBER('Price History'!V33)),NOT(ISNUMBER('Price History'!V32)),'Price History'!V32=0),"",'Price History'!V33/'Price History'!V32-1),"")</f>
        <v>-1.1011947603281946E-2</v>
      </c>
      <c r="W32" s="84" t="str">
        <f>IFERROR('Price History'!B3+(INDEX('Price History'!B:B,MATCH(9.99E+307,'Price History'!$A:$A))-'Price History'!B3)*(ROW()-3)/(MATCH(9.99E+307,'Returns (Calc)'!$A:$A)-3),"")</f>
        <v/>
      </c>
      <c r="X32" s="84">
        <f>IFERROR('Price History'!C3+(INDEX('Price History'!C:C,MATCH(9.99E+307,'Price History'!$A:$A))-'Price History'!C3)*(ROW()-3)/(MATCH(9.99E+307,'Returns (Calc)'!$A:$A)-3),"")</f>
        <v>35.762264150943395</v>
      </c>
      <c r="Y32" s="84">
        <f>IFERROR('Price History'!D3+(INDEX('Price History'!D:D,MATCH(9.99E+307,'Price History'!$A:$A))-'Price History'!D3)*(ROW()-3)/(MATCH(9.99E+307,'Returns (Calc)'!$A:$A)-3),"")</f>
        <v>541.07798742138357</v>
      </c>
      <c r="Z32" s="84">
        <f>IFERROR('Price History'!E3+(INDEX('Price History'!E:E,MATCH(9.99E+307,'Price History'!$A:$A))-'Price History'!E3)*(ROW()-3)/(MATCH(9.99E+307,'Returns (Calc)'!$A:$A)-3),"")</f>
        <v>67.845283018867931</v>
      </c>
      <c r="AA32" s="84">
        <f>IFERROR('Price History'!F3+(INDEX('Price History'!F:F,MATCH(9.99E+307,'Price History'!$A:$A))-'Price History'!F3)*(ROW()-3)/(MATCH(9.99E+307,'Returns (Calc)'!$A:$A)-3),"")</f>
        <v>30.300628930817613</v>
      </c>
      <c r="AB32" s="84">
        <f>IFERROR('Price History'!G3+(INDEX('Price History'!G:G,MATCH(9.99E+307,'Price History'!$A:$A))-'Price History'!G3)*(ROW()-3)/(MATCH(9.99E+307,'Returns (Calc)'!$A:$A)-3),"")</f>
        <v>39.163522012578618</v>
      </c>
      <c r="AC32" s="84">
        <f>IFERROR('Price History'!H3+(INDEX('Price History'!H:H,MATCH(9.99E+307,'Price History'!$A:$A))-'Price History'!H3)*(ROW()-3)/(MATCH(9.99E+307,'Returns (Calc)'!$A:$A)-3),"")</f>
        <v>52.629559748427681</v>
      </c>
      <c r="AD32" s="84">
        <f>IFERROR('Price History'!I3+(INDEX('Price History'!I:I,MATCH(9.99E+307,'Price History'!$A:$A))-'Price History'!I3)*(ROW()-3)/(MATCH(9.99E+307,'Returns (Calc)'!$A:$A)-3),"")</f>
        <v>33.399371069182394</v>
      </c>
      <c r="AE32" s="84">
        <f>IFERROR('Price History'!J3+(INDEX('Price History'!J:J,MATCH(9.99E+307,'Price History'!$A:$A))-'Price History'!J3)*(ROW()-3)/(MATCH(9.99E+307,'Returns (Calc)'!$A:$A)-3),"")</f>
        <v>100.98301886792453</v>
      </c>
      <c r="AF32" s="84">
        <f>IFERROR('Price History'!K3+(INDEX('Price History'!K:K,MATCH(9.99E+307,'Price History'!$A:$A))-'Price History'!K3)*(ROW()-3)/(MATCH(9.99E+307,'Returns (Calc)'!$A:$A)-3),"")</f>
        <v>12.599371069182389</v>
      </c>
      <c r="AG32" s="84">
        <f>IFERROR('Price History'!L3+(INDEX('Price History'!L:L,MATCH(9.99E+307,'Price History'!$A:$A))-'Price History'!L3)*(ROW()-3)/(MATCH(9.99E+307,'Returns (Calc)'!$A:$A)-3),"")</f>
        <v>75.211949685534591</v>
      </c>
      <c r="AH32" s="84">
        <f>IFERROR('Price History'!M3+(INDEX('Price History'!M:M,MATCH(9.99E+307,'Price History'!$A:$A))-'Price History'!M3)*(ROW()-3)/(MATCH(9.99E+307,'Returns (Calc)'!$A:$A)-3),"")</f>
        <v>27.398113207547169</v>
      </c>
      <c r="AI32" s="84">
        <f>IFERROR('Price History'!N3+(INDEX('Price History'!N:N,MATCH(9.99E+307,'Price History'!$A:$A))-'Price History'!N3)*(ROW()-3)/(MATCH(9.99E+307,'Returns (Calc)'!$A:$A)-3),"")</f>
        <v>286.04905660377358</v>
      </c>
      <c r="AJ32" s="84">
        <f>IFERROR('Price History'!O3+(INDEX('Price History'!O:O,MATCH(9.99E+307,'Price History'!$A:$A))-'Price History'!O3)*(ROW()-3)/(MATCH(9.99E+307,'Returns (Calc)'!$A:$A)-3),"")</f>
        <v>67.738993710691815</v>
      </c>
      <c r="AK32" s="84">
        <f>IFERROR('Price History'!Q3+(INDEX('Price History'!Q:Q,MATCH(9.99E+307,'Price History'!$A:$A))-'Price History'!Q3)*(ROW()-3)/(MATCH(9.99E+307,'Returns (Calc)'!$A:$A)-3),"")</f>
        <v>40.749685534591194</v>
      </c>
      <c r="AL32" s="84">
        <f>IFERROR('Price History'!R3+(INDEX('Price History'!R:R,MATCH(9.99E+307,'Price History'!$A:$A))-'Price History'!R3)*(ROW()-3)/(MATCH(9.99E+307,'Returns (Calc)'!$A:$A)-3),"")</f>
        <v>39.098113207547172</v>
      </c>
      <c r="AM32" s="84">
        <f>IFERROR('Price History'!S3+(INDEX('Price History'!S:S,MATCH(9.99E+307,'Price History'!$A:$A))-'Price History'!S3)*(ROW()-3)/(MATCH(9.99E+307,'Returns (Calc)'!$A:$A)-3),"")</f>
        <v>47.862893081761001</v>
      </c>
      <c r="AN32" s="84">
        <f>IFERROR('Price History'!T3+(INDEX('Price History'!T:T,MATCH(9.99E+307,'Price History'!$A:$A))-'Price History'!T3)*(ROW()-3)/(MATCH(9.99E+307,'Returns (Calc)'!$A:$A)-3),"")</f>
        <v>22.001886792452829</v>
      </c>
      <c r="AO32" s="85">
        <f>IFERROR('Price History'!V3+(INDEX('Price History'!V:V,MATCH(9.99E+307,'Price History'!$A:$A))-'Price History'!V3)*(ROW()-3)/(MATCH(9.99E+307,'Returns (Calc)'!$A:$A)-3),"")</f>
        <v>0</v>
      </c>
    </row>
    <row r="33" spans="1:41" ht="15" customHeight="1" x14ac:dyDescent="0.3">
      <c r="A33" s="81">
        <f>IF('Price History'!A34="","",'Price History'!A34)</f>
        <v>45366</v>
      </c>
      <c r="B33" s="82">
        <f>IFERROR(IF(OR(NOT(ISNUMBER('Price History'!B34)),NOT(ISNUMBER('Price History'!B33)),'Price History'!B33=0),"",'Price History'!B34/'Price History'!B33-1),"")</f>
        <v>-0.10736101796298658</v>
      </c>
      <c r="C33" s="82">
        <f>IFERROR(IF(OR(NOT(ISNUMBER('Price History'!C34)),NOT(ISNUMBER('Price History'!C33)),'Price History'!C33=0),"",'Price History'!C34/'Price History'!C33-1),"")</f>
        <v>1.6842413591095617E-2</v>
      </c>
      <c r="D33" s="82">
        <f>IFERROR(IF(OR(NOT(ISNUMBER('Price History'!D34)),NOT(ISNUMBER('Price History'!D33)),'Price History'!D33=0),"",'Price History'!D34/'Price History'!D33-1),"")</f>
        <v>-5.4428610219947049E-2</v>
      </c>
      <c r="E33" s="82">
        <f>IFERROR(IF(OR(NOT(ISNUMBER('Price History'!E34)),NOT(ISNUMBER('Price History'!E33)),'Price History'!E33=0),"",'Price History'!E34/'Price History'!E33-1),"")</f>
        <v>-5.593336899212964E-2</v>
      </c>
      <c r="F33" s="82">
        <f>IFERROR(IF(OR(NOT(ISNUMBER('Price History'!F34)),NOT(ISNUMBER('Price History'!F33)),'Price History'!F33=0),"",'Price History'!F34/'Price History'!F33-1),"")</f>
        <v>-2.2302069136414304E-2</v>
      </c>
      <c r="G33" s="82">
        <f>IFERROR(IF(OR(NOT(ISNUMBER('Price History'!G34)),NOT(ISNUMBER('Price History'!G33)),'Price History'!G33=0),"",'Price History'!G34/'Price History'!G33-1),"")</f>
        <v>-2.1882151029748331E-2</v>
      </c>
      <c r="H33" s="82">
        <f>IFERROR(IF(OR(NOT(ISNUMBER('Price History'!H34)),NOT(ISNUMBER('Price History'!H33)),'Price History'!H33=0),"",'Price History'!H34/'Price History'!H33-1),"")</f>
        <v>-4.4765416922761814E-2</v>
      </c>
      <c r="I33" s="82">
        <f>IFERROR(IF(OR(NOT(ISNUMBER('Price History'!I34)),NOT(ISNUMBER('Price History'!I33)),'Price History'!I33=0),"",'Price History'!I34/'Price History'!I33-1),"")</f>
        <v>3.5416428653034515E-3</v>
      </c>
      <c r="J33" s="82">
        <f>IFERROR(IF(OR(NOT(ISNUMBER('Price History'!J34)),NOT(ISNUMBER('Price History'!J33)),'Price History'!J33=0),"",'Price History'!J34/'Price History'!J33-1),"")</f>
        <v>-4.4791589546161137E-2</v>
      </c>
      <c r="K33" s="82">
        <f>IFERROR(IF(OR(NOT(ISNUMBER('Price History'!K34)),NOT(ISNUMBER('Price History'!K33)),'Price History'!K33=0),"",'Price History'!K34/'Price History'!K33-1),"")</f>
        <v>-9.7926267281105983E-2</v>
      </c>
      <c r="L33" s="82">
        <f>IFERROR(IF(OR(NOT(ISNUMBER('Price History'!L34)),NOT(ISNUMBER('Price History'!L33)),'Price History'!L33=0),"",'Price History'!L34/'Price History'!L33-1),"")</f>
        <v>-6.415249026439851E-2</v>
      </c>
      <c r="M33" s="82">
        <f>IFERROR(IF(OR(NOT(ISNUMBER('Price History'!M34)),NOT(ISNUMBER('Price History'!M33)),'Price History'!M33=0),"",'Price History'!M34/'Price History'!M33-1),"")</f>
        <v>6.9050021623179969E-2</v>
      </c>
      <c r="N33" s="82">
        <f>IFERROR(IF(OR(NOT(ISNUMBER('Price History'!N34)),NOT(ISNUMBER('Price History'!N33)),'Price History'!N33=0),"",'Price History'!N34/'Price History'!N33-1),"")</f>
        <v>-1.4265335235377985E-2</v>
      </c>
      <c r="O33" s="82">
        <f>IFERROR(IF(OR(NOT(ISNUMBER('Price History'!O34)),NOT(ISNUMBER('Price History'!O33)),'Price History'!O33=0),"",'Price History'!O34/'Price History'!O33-1),"")</f>
        <v>-8.4698540064639394E-3</v>
      </c>
      <c r="P33" s="82" t="str">
        <f>IFERROR(IF(OR(NOT(ISNUMBER('Price History'!P34)),NOT(ISNUMBER('Price History'!P33)),'Price History'!P33=0),"",'Price History'!P34/'Price History'!P33-1),"")</f>
        <v/>
      </c>
      <c r="Q33" s="82">
        <f>IFERROR(IF(OR(NOT(ISNUMBER('Price History'!Q34)),NOT(ISNUMBER('Price History'!Q33)),'Price History'!Q33=0),"",'Price History'!Q34/'Price History'!Q33-1),"")</f>
        <v>4.1478809738502154E-3</v>
      </c>
      <c r="R33" s="82">
        <f>IFERROR(IF(OR(NOT(ISNUMBER('Price History'!R34)),NOT(ISNUMBER('Price History'!R33)),'Price History'!R33=0),"",'Price History'!R34/'Price History'!R33-1),"")</f>
        <v>-5.2641473961271279E-3</v>
      </c>
      <c r="S33" s="82">
        <f>IFERROR(IF(OR(NOT(ISNUMBER('Price History'!S34)),NOT(ISNUMBER('Price History'!S33)),'Price History'!S33=0),"",'Price History'!S34/'Price History'!S33-1),"")</f>
        <v>-5.18987341772148E-3</v>
      </c>
      <c r="T33" s="82">
        <f>IFERROR(IF(OR(NOT(ISNUMBER('Price History'!T34)),NOT(ISNUMBER('Price History'!T33)),'Price History'!T33=0),"",'Price History'!T34/'Price History'!T33-1),"")</f>
        <v>1.3662979830839417E-2</v>
      </c>
      <c r="U33" s="82" t="str">
        <f>IFERROR(IF(OR(NOT(ISNUMBER('Price History'!U34)),NOT(ISNUMBER('Price History'!U33)),'Price History'!U33=0),"",'Price History'!U34/'Price History'!U33-1),"")</f>
        <v/>
      </c>
      <c r="V33" s="83">
        <f>IFERROR(IF(OR(NOT(ISNUMBER('Price History'!V34)),NOT(ISNUMBER('Price History'!V33)),'Price History'!V33=0),"",'Price History'!V34/'Price History'!V33-1),"")</f>
        <v>1.069791136016307E-2</v>
      </c>
      <c r="W33" s="84" t="str">
        <f>IFERROR('Price History'!B3+(INDEX('Price History'!B:B,MATCH(9.99E+307,'Price History'!$A:$A))-'Price History'!B3)*(ROW()-3)/(MATCH(9.99E+307,'Returns (Calc)'!$A:$A)-3),"")</f>
        <v/>
      </c>
      <c r="X33" s="84">
        <f>IFERROR('Price History'!C3+(INDEX('Price History'!C:C,MATCH(9.99E+307,'Price History'!$A:$A))-'Price History'!C3)*(ROW()-3)/(MATCH(9.99E+307,'Returns (Calc)'!$A:$A)-3),"")</f>
        <v>35.487169811320754</v>
      </c>
      <c r="Y33" s="84">
        <f>IFERROR('Price History'!D3+(INDEX('Price History'!D:D,MATCH(9.99E+307,'Price History'!$A:$A))-'Price History'!D3)*(ROW()-3)/(MATCH(9.99E+307,'Returns (Calc)'!$A:$A)-3),"")</f>
        <v>536.91584905660375</v>
      </c>
      <c r="Z33" s="84">
        <f>IFERROR('Price History'!E3+(INDEX('Price History'!E:E,MATCH(9.99E+307,'Price History'!$A:$A))-'Price History'!E3)*(ROW()-3)/(MATCH(9.99E+307,'Returns (Calc)'!$A:$A)-3),"")</f>
        <v>67.323396226415099</v>
      </c>
      <c r="AA33" s="84">
        <f>IFERROR('Price History'!F3+(INDEX('Price History'!F:F,MATCH(9.99E+307,'Price History'!$A:$A))-'Price History'!F3)*(ROW()-3)/(MATCH(9.99E+307,'Returns (Calc)'!$A:$A)-3),"")</f>
        <v>30.06754716981132</v>
      </c>
      <c r="AB33" s="84">
        <f>IFERROR('Price History'!G3+(INDEX('Price History'!G:G,MATCH(9.99E+307,'Price History'!$A:$A))-'Price History'!G3)*(ROW()-3)/(MATCH(9.99E+307,'Returns (Calc)'!$A:$A)-3),"")</f>
        <v>38.862264150943396</v>
      </c>
      <c r="AC33" s="84">
        <f>IFERROR('Price History'!H3+(INDEX('Price History'!H:H,MATCH(9.99E+307,'Price History'!$A:$A))-'Price History'!H3)*(ROW()-3)/(MATCH(9.99E+307,'Returns (Calc)'!$A:$A)-3),"")</f>
        <v>52.224716981132076</v>
      </c>
      <c r="AD33" s="84">
        <f>IFERROR('Price History'!I3+(INDEX('Price History'!I:I,MATCH(9.99E+307,'Price History'!$A:$A))-'Price History'!I3)*(ROW()-3)/(MATCH(9.99E+307,'Returns (Calc)'!$A:$A)-3),"")</f>
        <v>33.142452830188681</v>
      </c>
      <c r="AE33" s="84">
        <f>IFERROR('Price History'!J3+(INDEX('Price History'!J:J,MATCH(9.99E+307,'Price History'!$A:$A))-'Price History'!J3)*(ROW()-3)/(MATCH(9.99E+307,'Returns (Calc)'!$A:$A)-3),"")</f>
        <v>100.20622641509433</v>
      </c>
      <c r="AF33" s="84">
        <f>IFERROR('Price History'!K3+(INDEX('Price History'!K:K,MATCH(9.99E+307,'Price History'!$A:$A))-'Price History'!K3)*(ROW()-3)/(MATCH(9.99E+307,'Returns (Calc)'!$A:$A)-3),"")</f>
        <v>12.50245283018868</v>
      </c>
      <c r="AG33" s="84">
        <f>IFERROR('Price History'!L3+(INDEX('Price History'!L:L,MATCH(9.99E+307,'Price History'!$A:$A))-'Price History'!L3)*(ROW()-3)/(MATCH(9.99E+307,'Returns (Calc)'!$A:$A)-3),"")</f>
        <v>74.633396226415087</v>
      </c>
      <c r="AH33" s="84">
        <f>IFERROR('Price History'!M3+(INDEX('Price History'!M:M,MATCH(9.99E+307,'Price History'!$A:$A))-'Price History'!M3)*(ROW()-3)/(MATCH(9.99E+307,'Returns (Calc)'!$A:$A)-3),"")</f>
        <v>27.187358490566037</v>
      </c>
      <c r="AI33" s="84">
        <f>IFERROR('Price History'!N3+(INDEX('Price History'!N:N,MATCH(9.99E+307,'Price History'!$A:$A))-'Price History'!N3)*(ROW()-3)/(MATCH(9.99E+307,'Returns (Calc)'!$A:$A)-3),"")</f>
        <v>283.84867924528305</v>
      </c>
      <c r="AJ33" s="84">
        <f>IFERROR('Price History'!O3+(INDEX('Price History'!O:O,MATCH(9.99E+307,'Price History'!$A:$A))-'Price History'!O3)*(ROW()-3)/(MATCH(9.99E+307,'Returns (Calc)'!$A:$A)-3),"")</f>
        <v>67.217924528301879</v>
      </c>
      <c r="AK33" s="84">
        <f>IFERROR('Price History'!Q3+(INDEX('Price History'!Q:Q,MATCH(9.99E+307,'Price History'!$A:$A))-'Price History'!Q3)*(ROW()-3)/(MATCH(9.99E+307,'Returns (Calc)'!$A:$A)-3),"")</f>
        <v>40.436226415094339</v>
      </c>
      <c r="AL33" s="84">
        <f>IFERROR('Price History'!R3+(INDEX('Price History'!R:R,MATCH(9.99E+307,'Price History'!$A:$A))-'Price History'!R3)*(ROW()-3)/(MATCH(9.99E+307,'Returns (Calc)'!$A:$A)-3),"")</f>
        <v>38.79735849056604</v>
      </c>
      <c r="AM33" s="84">
        <f>IFERROR('Price History'!S3+(INDEX('Price History'!S:S,MATCH(9.99E+307,'Price History'!$A:$A))-'Price History'!S3)*(ROW()-3)/(MATCH(9.99E+307,'Returns (Calc)'!$A:$A)-3),"")</f>
        <v>47.494716981132072</v>
      </c>
      <c r="AN33" s="84">
        <f>IFERROR('Price History'!T3+(INDEX('Price History'!T:T,MATCH(9.99E+307,'Price History'!$A:$A))-'Price History'!T3)*(ROW()-3)/(MATCH(9.99E+307,'Returns (Calc)'!$A:$A)-3),"")</f>
        <v>21.832641509433962</v>
      </c>
      <c r="AO33" s="85">
        <f>IFERROR('Price History'!V3+(INDEX('Price History'!V:V,MATCH(9.99E+307,'Price History'!$A:$A))-'Price History'!V3)*(ROW()-3)/(MATCH(9.99E+307,'Returns (Calc)'!$A:$A)-3),"")</f>
        <v>0</v>
      </c>
    </row>
    <row r="34" spans="1:41" ht="15" customHeight="1" x14ac:dyDescent="0.3">
      <c r="A34" s="81">
        <f>IF('Price History'!A35="","",'Price History'!A35)</f>
        <v>45373</v>
      </c>
      <c r="B34" s="82">
        <f>IFERROR(IF(OR(NOT(ISNUMBER('Price History'!B35)),NOT(ISNUMBER('Price History'!B34)),'Price History'!B34=0),"",'Price History'!B35/'Price History'!B34-1),"")</f>
        <v>1.4336189741298799E-2</v>
      </c>
      <c r="C34" s="82">
        <f>IFERROR(IF(OR(NOT(ISNUMBER('Price History'!C35)),NOT(ISNUMBER('Price History'!C34)),'Price History'!C34=0),"",'Price History'!C35/'Price History'!C34-1),"")</f>
        <v>0.10341351001008192</v>
      </c>
      <c r="D34" s="82">
        <f>IFERROR(IF(OR(NOT(ISNUMBER('Price History'!D35)),NOT(ISNUMBER('Price History'!D34)),'Price History'!D34=0),"",'Price History'!D35/'Price History'!D34-1),"")</f>
        <v>4.227778900458401E-2</v>
      </c>
      <c r="E34" s="82">
        <f>IFERROR(IF(OR(NOT(ISNUMBER('Price History'!E35)),NOT(ISNUMBER('Price History'!E34)),'Price History'!E34=0),"",'Price History'!E35/'Price History'!E34-1),"")</f>
        <v>9.5507891541885881E-2</v>
      </c>
      <c r="F34" s="82">
        <f>IFERROR(IF(OR(NOT(ISNUMBER('Price History'!F35)),NOT(ISNUMBER('Price History'!F34)),'Price History'!F34=0),"",'Price History'!F35/'Price History'!F34-1),"")</f>
        <v>3.7891268533772671E-2</v>
      </c>
      <c r="G34" s="82">
        <f>IFERROR(IF(OR(NOT(ISNUMBER('Price History'!G35)),NOT(ISNUMBER('Price History'!G34)),'Price History'!G34=0),"",'Price History'!G35/'Price History'!G34-1),"")</f>
        <v>3.9040795437929487E-2</v>
      </c>
      <c r="H34" s="82">
        <f>IFERROR(IF(OR(NOT(ISNUMBER('Price History'!H35)),NOT(ISNUMBER('Price History'!H34)),'Price History'!H34=0),"",'Price History'!H35/'Price History'!H34-1),"")</f>
        <v>0.18187667560321708</v>
      </c>
      <c r="I34" s="82">
        <f>IFERROR(IF(OR(NOT(ISNUMBER('Price History'!I35)),NOT(ISNUMBER('Price History'!I34)),'Price History'!I34=0),"",'Price History'!I35/'Price History'!I34-1),"")</f>
        <v>7.3428961748633892E-2</v>
      </c>
      <c r="J34" s="82">
        <f>IFERROR(IF(OR(NOT(ISNUMBER('Price History'!J35)),NOT(ISNUMBER('Price History'!J34)),'Price History'!J34=0),"",'Price History'!J35/'Price History'!J34-1),"")</f>
        <v>-3.1002945279802185E-3</v>
      </c>
      <c r="K34" s="82">
        <f>IFERROR(IF(OR(NOT(ISNUMBER('Price History'!K35)),NOT(ISNUMBER('Price History'!K34)),'Price History'!K34=0),"",'Price History'!K35/'Price History'!K34-1),"")</f>
        <v>2.9374201787994991E-2</v>
      </c>
      <c r="L34" s="82">
        <f>IFERROR(IF(OR(NOT(ISNUMBER('Price History'!L35)),NOT(ISNUMBER('Price History'!L34)),'Price History'!L34=0),"",'Price History'!L35/'Price History'!L34-1),"")</f>
        <v>2.5989195502993168E-2</v>
      </c>
      <c r="M34" s="82">
        <f>IFERROR(IF(OR(NOT(ISNUMBER('Price History'!M35)),NOT(ISNUMBER('Price History'!M34)),'Price History'!M34=0),"",'Price History'!M35/'Price History'!M34-1),"")</f>
        <v>0.11245954692556648</v>
      </c>
      <c r="N34" s="82">
        <f>IFERROR(IF(OR(NOT(ISNUMBER('Price History'!N35)),NOT(ISNUMBER('Price History'!N34)),'Price History'!N34=0),"",'Price History'!N35/'Price History'!N34-1),"")</f>
        <v>1.954916725943745E-2</v>
      </c>
      <c r="O34" s="82">
        <f>IFERROR(IF(OR(NOT(ISNUMBER('Price History'!O35)),NOT(ISNUMBER('Price History'!O34)),'Price History'!O34=0),"",'Price History'!O35/'Price History'!O34-1),"")</f>
        <v>2.3940654153085328E-2</v>
      </c>
      <c r="P34" s="82" t="str">
        <f>IFERROR(IF(OR(NOT(ISNUMBER('Price History'!P35)),NOT(ISNUMBER('Price History'!P34)),'Price History'!P34=0),"",'Price History'!P35/'Price History'!P34-1),"")</f>
        <v/>
      </c>
      <c r="Q34" s="82">
        <f>IFERROR(IF(OR(NOT(ISNUMBER('Price History'!Q35)),NOT(ISNUMBER('Price History'!Q34)),'Price History'!Q34=0),"",'Price History'!Q35/'Price History'!Q34-1),"")</f>
        <v>1.5445402298850608E-2</v>
      </c>
      <c r="R34" s="82">
        <f>IFERROR(IF(OR(NOT(ISNUMBER('Price History'!R35)),NOT(ISNUMBER('Price History'!R34)),'Price History'!R34=0),"",'Price History'!R35/'Price History'!R34-1),"")</f>
        <v>2.5515025515025602E-2</v>
      </c>
      <c r="S34" s="82">
        <f>IFERROR(IF(OR(NOT(ISNUMBER('Price History'!S35)),NOT(ISNUMBER('Price History'!S34)),'Price History'!S34=0),"",'Price History'!S35/'Price History'!S34-1),"")</f>
        <v>2.8502353989056983E-2</v>
      </c>
      <c r="T34" s="82">
        <f>IFERROR(IF(OR(NOT(ISNUMBER('Price History'!T35)),NOT(ISNUMBER('Price History'!T34)),'Price History'!T34=0),"",'Price History'!T35/'Price History'!T34-1),"")</f>
        <v>2.4069319640564801E-2</v>
      </c>
      <c r="U34" s="82" t="str">
        <f>IFERROR(IF(OR(NOT(ISNUMBER('Price History'!U35)),NOT(ISNUMBER('Price History'!U34)),'Price History'!U34=0),"",'Price History'!U35/'Price History'!U34-1),"")</f>
        <v/>
      </c>
      <c r="V34" s="83">
        <f>IFERROR(IF(OR(NOT(ISNUMBER('Price History'!V35)),NOT(ISNUMBER('Price History'!V34)),'Price History'!V34=0),"",'Price History'!V35/'Price History'!V34-1),"")</f>
        <v>7.9205069124443916E-4</v>
      </c>
      <c r="W34" s="84" t="str">
        <f>IFERROR('Price History'!B3+(INDEX('Price History'!B:B,MATCH(9.99E+307,'Price History'!$A:$A))-'Price History'!B3)*(ROW()-3)/(MATCH(9.99E+307,'Returns (Calc)'!$A:$A)-3),"")</f>
        <v/>
      </c>
      <c r="X34" s="84">
        <f>IFERROR('Price History'!C3+(INDEX('Price History'!C:C,MATCH(9.99E+307,'Price History'!$A:$A))-'Price History'!C3)*(ROW()-3)/(MATCH(9.99E+307,'Returns (Calc)'!$A:$A)-3),"")</f>
        <v>35.212075471698114</v>
      </c>
      <c r="Y34" s="84">
        <f>IFERROR('Price History'!D3+(INDEX('Price History'!D:D,MATCH(9.99E+307,'Price History'!$A:$A))-'Price History'!D3)*(ROW()-3)/(MATCH(9.99E+307,'Returns (Calc)'!$A:$A)-3),"")</f>
        <v>532.75371069182393</v>
      </c>
      <c r="Z34" s="84">
        <f>IFERROR('Price History'!E3+(INDEX('Price History'!E:E,MATCH(9.99E+307,'Price History'!$A:$A))-'Price History'!E3)*(ROW()-3)/(MATCH(9.99E+307,'Returns (Calc)'!$A:$A)-3),"")</f>
        <v>66.801509433962266</v>
      </c>
      <c r="AA34" s="84">
        <f>IFERROR('Price History'!F3+(INDEX('Price History'!F:F,MATCH(9.99E+307,'Price History'!$A:$A))-'Price History'!F3)*(ROW()-3)/(MATCH(9.99E+307,'Returns (Calc)'!$A:$A)-3),"")</f>
        <v>29.834465408805034</v>
      </c>
      <c r="AB34" s="84">
        <f>IFERROR('Price History'!G3+(INDEX('Price History'!G:G,MATCH(9.99E+307,'Price History'!$A:$A))-'Price History'!G3)*(ROW()-3)/(MATCH(9.99E+307,'Returns (Calc)'!$A:$A)-3),"")</f>
        <v>38.561006289308175</v>
      </c>
      <c r="AC34" s="84">
        <f>IFERROR('Price History'!H3+(INDEX('Price History'!H:H,MATCH(9.99E+307,'Price History'!$A:$A))-'Price History'!H3)*(ROW()-3)/(MATCH(9.99E+307,'Returns (Calc)'!$A:$A)-3),"")</f>
        <v>51.819874213836485</v>
      </c>
      <c r="AD34" s="84">
        <f>IFERROR('Price History'!I3+(INDEX('Price History'!I:I,MATCH(9.99E+307,'Price History'!$A:$A))-'Price History'!I3)*(ROW()-3)/(MATCH(9.99E+307,'Returns (Calc)'!$A:$A)-3),"")</f>
        <v>32.885534591194968</v>
      </c>
      <c r="AE34" s="84">
        <f>IFERROR('Price History'!J3+(INDEX('Price History'!J:J,MATCH(9.99E+307,'Price History'!$A:$A))-'Price History'!J3)*(ROW()-3)/(MATCH(9.99E+307,'Returns (Calc)'!$A:$A)-3),"")</f>
        <v>99.429433962264156</v>
      </c>
      <c r="AF34" s="84">
        <f>IFERROR('Price History'!K3+(INDEX('Price History'!K:K,MATCH(9.99E+307,'Price History'!$A:$A))-'Price History'!K3)*(ROW()-3)/(MATCH(9.99E+307,'Returns (Calc)'!$A:$A)-3),"")</f>
        <v>12.405534591194968</v>
      </c>
      <c r="AG34" s="84">
        <f>IFERROR('Price History'!L3+(INDEX('Price History'!L:L,MATCH(9.99E+307,'Price History'!$A:$A))-'Price History'!L3)*(ROW()-3)/(MATCH(9.99E+307,'Returns (Calc)'!$A:$A)-3),"")</f>
        <v>74.054842767295597</v>
      </c>
      <c r="AH34" s="84">
        <f>IFERROR('Price History'!M3+(INDEX('Price History'!M:M,MATCH(9.99E+307,'Price History'!$A:$A))-'Price History'!M3)*(ROW()-3)/(MATCH(9.99E+307,'Returns (Calc)'!$A:$A)-3),"")</f>
        <v>26.976603773584905</v>
      </c>
      <c r="AI34" s="84">
        <f>IFERROR('Price History'!N3+(INDEX('Price History'!N:N,MATCH(9.99E+307,'Price History'!$A:$A))-'Price History'!N3)*(ROW()-3)/(MATCH(9.99E+307,'Returns (Calc)'!$A:$A)-3),"")</f>
        <v>281.64830188679247</v>
      </c>
      <c r="AJ34" s="84">
        <f>IFERROR('Price History'!O3+(INDEX('Price History'!O:O,MATCH(9.99E+307,'Price History'!$A:$A))-'Price History'!O3)*(ROW()-3)/(MATCH(9.99E+307,'Returns (Calc)'!$A:$A)-3),"")</f>
        <v>66.696855345911942</v>
      </c>
      <c r="AK34" s="84">
        <f>IFERROR('Price History'!Q3+(INDEX('Price History'!Q:Q,MATCH(9.99E+307,'Price History'!$A:$A))-'Price History'!Q3)*(ROW()-3)/(MATCH(9.99E+307,'Returns (Calc)'!$A:$A)-3),"")</f>
        <v>40.122767295597484</v>
      </c>
      <c r="AL34" s="84">
        <f>IFERROR('Price History'!R3+(INDEX('Price History'!R:R,MATCH(9.99E+307,'Price History'!$A:$A))-'Price History'!R3)*(ROW()-3)/(MATCH(9.99E+307,'Returns (Calc)'!$A:$A)-3),"")</f>
        <v>38.496603773584908</v>
      </c>
      <c r="AM34" s="84">
        <f>IFERROR('Price History'!S3+(INDEX('Price History'!S:S,MATCH(9.99E+307,'Price History'!$A:$A))-'Price History'!S3)*(ROW()-3)/(MATCH(9.99E+307,'Returns (Calc)'!$A:$A)-3),"")</f>
        <v>47.126540880503143</v>
      </c>
      <c r="AN34" s="84">
        <f>IFERROR('Price History'!T3+(INDEX('Price History'!T:T,MATCH(9.99E+307,'Price History'!$A:$A))-'Price History'!T3)*(ROW()-3)/(MATCH(9.99E+307,'Returns (Calc)'!$A:$A)-3),"")</f>
        <v>21.663396226415095</v>
      </c>
      <c r="AO34" s="85">
        <f>IFERROR('Price History'!V3+(INDEX('Price History'!V:V,MATCH(9.99E+307,'Price History'!$A:$A))-'Price History'!V3)*(ROW()-3)/(MATCH(9.99E+307,'Returns (Calc)'!$A:$A)-3),"")</f>
        <v>0</v>
      </c>
    </row>
    <row r="35" spans="1:41" ht="15" customHeight="1" x14ac:dyDescent="0.3">
      <c r="A35" s="81">
        <f>IF('Price History'!A36="","",'Price History'!A36)</f>
        <v>45379</v>
      </c>
      <c r="B35" s="82">
        <f>IFERROR(IF(OR(NOT(ISNUMBER('Price History'!B36)),NOT(ISNUMBER('Price History'!B35)),'Price History'!B35=0),"",'Price History'!B36/'Price History'!B35-1),"")</f>
        <v>1.0169762972453533E-2</v>
      </c>
      <c r="C35" s="82">
        <f>IFERROR(IF(OR(NOT(ISNUMBER('Price History'!C36)),NOT(ISNUMBER('Price History'!C35)),'Price History'!C35=0),"",'Price History'!C36/'Price History'!C35-1),"")</f>
        <v>-5.3648348779532729E-2</v>
      </c>
      <c r="D35" s="82">
        <f>IFERROR(IF(OR(NOT(ISNUMBER('Price History'!D36)),NOT(ISNUMBER('Price History'!D35)),'Price History'!D35=0),"",'Price History'!D36/'Price History'!D35-1),"")</f>
        <v>-9.684068737499496E-3</v>
      </c>
      <c r="E35" s="82">
        <f>IFERROR(IF(OR(NOT(ISNUMBER('Price History'!E36)),NOT(ISNUMBER('Price History'!E35)),'Price History'!E35=0),"",'Price History'!E36/'Price History'!E35-1),"")</f>
        <v>-2.076099002585885E-2</v>
      </c>
      <c r="F35" s="82">
        <f>IFERROR(IF(OR(NOT(ISNUMBER('Price History'!F36)),NOT(ISNUMBER('Price History'!F35)),'Price History'!F35=0),"",'Price History'!F36/'Price History'!F35-1),"")</f>
        <v>-2.1367521367521403E-2</v>
      </c>
      <c r="G35" s="82">
        <f>IFERROR(IF(OR(NOT(ISNUMBER('Price History'!G36)),NOT(ISNUMBER('Price History'!G35)),'Price History'!G35=0),"",'Price History'!G36/'Price History'!G35-1),"")</f>
        <v>-1.6887137630171689E-2</v>
      </c>
      <c r="H35" s="82">
        <f>IFERROR(IF(OR(NOT(ISNUMBER('Price History'!H36)),NOT(ISNUMBER('Price History'!H35)),'Price History'!H35=0),"",'Price History'!H36/'Price History'!H35-1),"")</f>
        <v>6.9685146538426723E-2</v>
      </c>
      <c r="I35" s="82">
        <f>IFERROR(IF(OR(NOT(ISNUMBER('Price History'!I36)),NOT(ISNUMBER('Price History'!I35)),'Price History'!I35=0),"",'Price History'!I36/'Price History'!I35-1),"")</f>
        <v>-4.1679923639834637E-2</v>
      </c>
      <c r="J35" s="82">
        <f>IFERROR(IF(OR(NOT(ISNUMBER('Price History'!J36)),NOT(ISNUMBER('Price History'!J35)),'Price History'!J35=0),"",'Price History'!J36/'Price History'!J35-1),"")</f>
        <v>1.2439744985227819E-2</v>
      </c>
      <c r="K35" s="82">
        <f>IFERROR(IF(OR(NOT(ISNUMBER('Price History'!K36)),NOT(ISNUMBER('Price History'!K35)),'Price History'!K35=0),"",'Price History'!K36/'Price History'!K35-1),"")</f>
        <v>-4.8387096774193505E-2</v>
      </c>
      <c r="L35" s="82">
        <f>IFERROR(IF(OR(NOT(ISNUMBER('Price History'!L36)),NOT(ISNUMBER('Price History'!L35)),'Price History'!L35=0),"",'Price History'!L36/'Price History'!L35-1),"")</f>
        <v>-3.1948199800768351E-2</v>
      </c>
      <c r="M35" s="82">
        <f>IFERROR(IF(OR(NOT(ISNUMBER('Price History'!M36)),NOT(ISNUMBER('Price History'!M35)),'Price History'!M35=0),"",'Price History'!M36/'Price History'!M35-1),"")</f>
        <v>-1.0060606060605992E-2</v>
      </c>
      <c r="N35" s="82">
        <f>IFERROR(IF(OR(NOT(ISNUMBER('Price History'!N36)),NOT(ISNUMBER('Price History'!N35)),'Price History'!N35=0),"",'Price History'!N36/'Price History'!N35-1),"")</f>
        <v>5.6536592407254727E-3</v>
      </c>
      <c r="O35" s="82">
        <f>IFERROR(IF(OR(NOT(ISNUMBER('Price History'!O36)),NOT(ISNUMBER('Price History'!O35)),'Price History'!O35=0),"",'Price History'!O36/'Price History'!O35-1),"")</f>
        <v>2.8649835345773811E-2</v>
      </c>
      <c r="P35" s="82" t="str">
        <f>IFERROR(IF(OR(NOT(ISNUMBER('Price History'!P36)),NOT(ISNUMBER('Price History'!P35)),'Price History'!P35=0),"",'Price History'!P36/'Price History'!P35-1),"")</f>
        <v/>
      </c>
      <c r="Q35" s="82">
        <f>IFERROR(IF(OR(NOT(ISNUMBER('Price History'!Q36)),NOT(ISNUMBER('Price History'!Q35)),'Price History'!Q35=0),"",'Price History'!Q36/'Price History'!Q35-1),"")</f>
        <v>1.0788822072868687E-2</v>
      </c>
      <c r="R35" s="82">
        <f>IFERROR(IF(OR(NOT(ISNUMBER('Price History'!R36)),NOT(ISNUMBER('Price History'!R35)),'Price History'!R35=0),"",'Price History'!R36/'Price History'!R35-1),"")</f>
        <v>-3.6859565057123511E-4</v>
      </c>
      <c r="S35" s="82">
        <f>IFERROR(IF(OR(NOT(ISNUMBER('Price History'!S36)),NOT(ISNUMBER('Price History'!S35)),'Price History'!S35=0),"",'Price History'!S36/'Price History'!S35-1),"")</f>
        <v>-7.5467029568229149E-3</v>
      </c>
      <c r="T35" s="82">
        <f>IFERROR(IF(OR(NOT(ISNUMBER('Price History'!T36)),NOT(ISNUMBER('Price History'!T35)),'Price History'!T35=0),"",'Price History'!T36/'Price History'!T35-1),"")</f>
        <v>1.5669069257286061E-2</v>
      </c>
      <c r="U35" s="82" t="str">
        <f>IFERROR(IF(OR(NOT(ISNUMBER('Price History'!U36)),NOT(ISNUMBER('Price History'!U35)),'Price History'!U35=0),"",'Price History'!U36/'Price History'!U35-1),"")</f>
        <v/>
      </c>
      <c r="V35" s="83" t="str">
        <f>IFERROR(IF(OR(NOT(ISNUMBER('Price History'!V36)),NOT(ISNUMBER('Price History'!V35)),'Price History'!V35=0),"",'Price History'!V36/'Price History'!V35-1),"")</f>
        <v/>
      </c>
      <c r="W35" s="84" t="str">
        <f>IFERROR('Price History'!B3+(INDEX('Price History'!B:B,MATCH(9.99E+307,'Price History'!$A:$A))-'Price History'!B3)*(ROW()-3)/(MATCH(9.99E+307,'Returns (Calc)'!$A:$A)-3),"")</f>
        <v/>
      </c>
      <c r="X35" s="84">
        <f>IFERROR('Price History'!C3+(INDEX('Price History'!C:C,MATCH(9.99E+307,'Price History'!$A:$A))-'Price History'!C3)*(ROW()-3)/(MATCH(9.99E+307,'Returns (Calc)'!$A:$A)-3),"")</f>
        <v>34.936981132075474</v>
      </c>
      <c r="Y35" s="84">
        <f>IFERROR('Price History'!D3+(INDEX('Price History'!D:D,MATCH(9.99E+307,'Price History'!$A:$A))-'Price History'!D3)*(ROW()-3)/(MATCH(9.99E+307,'Returns (Calc)'!$A:$A)-3),"")</f>
        <v>528.59157232704399</v>
      </c>
      <c r="Z35" s="84">
        <f>IFERROR('Price History'!E3+(INDEX('Price History'!E:E,MATCH(9.99E+307,'Price History'!$A:$A))-'Price History'!E3)*(ROW()-3)/(MATCH(9.99E+307,'Returns (Calc)'!$A:$A)-3),"")</f>
        <v>66.279622641509434</v>
      </c>
      <c r="AA35" s="84">
        <f>IFERROR('Price History'!F3+(INDEX('Price History'!F:F,MATCH(9.99E+307,'Price History'!$A:$A))-'Price History'!F3)*(ROW()-3)/(MATCH(9.99E+307,'Returns (Calc)'!$A:$A)-3),"")</f>
        <v>29.601383647798745</v>
      </c>
      <c r="AB35" s="84">
        <f>IFERROR('Price History'!G3+(INDEX('Price History'!G:G,MATCH(9.99E+307,'Price History'!$A:$A))-'Price History'!G3)*(ROW()-3)/(MATCH(9.99E+307,'Returns (Calc)'!$A:$A)-3),"")</f>
        <v>38.259748427672953</v>
      </c>
      <c r="AC35" s="84">
        <f>IFERROR('Price History'!H3+(INDEX('Price History'!H:H,MATCH(9.99E+307,'Price History'!$A:$A))-'Price History'!H3)*(ROW()-3)/(MATCH(9.99E+307,'Returns (Calc)'!$A:$A)-3),"")</f>
        <v>51.41503144654088</v>
      </c>
      <c r="AD35" s="84">
        <f>IFERROR('Price History'!I3+(INDEX('Price History'!I:I,MATCH(9.99E+307,'Price History'!$A:$A))-'Price History'!I3)*(ROW()-3)/(MATCH(9.99E+307,'Returns (Calc)'!$A:$A)-3),"")</f>
        <v>32.628616352201263</v>
      </c>
      <c r="AE35" s="84">
        <f>IFERROR('Price History'!J3+(INDEX('Price History'!J:J,MATCH(9.99E+307,'Price History'!$A:$A))-'Price History'!J3)*(ROW()-3)/(MATCH(9.99E+307,'Returns (Calc)'!$A:$A)-3),"")</f>
        <v>98.652641509433963</v>
      </c>
      <c r="AF35" s="84">
        <f>IFERROR('Price History'!K3+(INDEX('Price History'!K:K,MATCH(9.99E+307,'Price History'!$A:$A))-'Price History'!K3)*(ROW()-3)/(MATCH(9.99E+307,'Returns (Calc)'!$A:$A)-3),"")</f>
        <v>12.308616352201259</v>
      </c>
      <c r="AG35" s="84">
        <f>IFERROR('Price History'!L3+(INDEX('Price History'!L:L,MATCH(9.99E+307,'Price History'!$A:$A))-'Price History'!L3)*(ROW()-3)/(MATCH(9.99E+307,'Returns (Calc)'!$A:$A)-3),"")</f>
        <v>73.476289308176092</v>
      </c>
      <c r="AH35" s="84">
        <f>IFERROR('Price History'!M3+(INDEX('Price History'!M:M,MATCH(9.99E+307,'Price History'!$A:$A))-'Price History'!M3)*(ROW()-3)/(MATCH(9.99E+307,'Returns (Calc)'!$A:$A)-3),"")</f>
        <v>26.76584905660377</v>
      </c>
      <c r="AI35" s="84">
        <f>IFERROR('Price History'!N3+(INDEX('Price History'!N:N,MATCH(9.99E+307,'Price History'!$A:$A))-'Price History'!N3)*(ROW()-3)/(MATCH(9.99E+307,'Returns (Calc)'!$A:$A)-3),"")</f>
        <v>279.44792452830188</v>
      </c>
      <c r="AJ35" s="84">
        <f>IFERROR('Price History'!O3+(INDEX('Price History'!O:O,MATCH(9.99E+307,'Price History'!$A:$A))-'Price History'!O3)*(ROW()-3)/(MATCH(9.99E+307,'Returns (Calc)'!$A:$A)-3),"")</f>
        <v>66.175786163522005</v>
      </c>
      <c r="AK35" s="84">
        <f>IFERROR('Price History'!Q3+(INDEX('Price History'!Q:Q,MATCH(9.99E+307,'Price History'!$A:$A))-'Price History'!Q3)*(ROW()-3)/(MATCH(9.99E+307,'Returns (Calc)'!$A:$A)-3),"")</f>
        <v>39.809308176100629</v>
      </c>
      <c r="AL35" s="84">
        <f>IFERROR('Price History'!R3+(INDEX('Price History'!R:R,MATCH(9.99E+307,'Price History'!$A:$A))-'Price History'!R3)*(ROW()-3)/(MATCH(9.99E+307,'Returns (Calc)'!$A:$A)-3),"")</f>
        <v>38.195849056603777</v>
      </c>
      <c r="AM35" s="84">
        <f>IFERROR('Price History'!S3+(INDEX('Price History'!S:S,MATCH(9.99E+307,'Price History'!$A:$A))-'Price History'!S3)*(ROW()-3)/(MATCH(9.99E+307,'Returns (Calc)'!$A:$A)-3),"")</f>
        <v>46.758364779874213</v>
      </c>
      <c r="AN35" s="84">
        <f>IFERROR('Price History'!T3+(INDEX('Price History'!T:T,MATCH(9.99E+307,'Price History'!$A:$A))-'Price History'!T3)*(ROW()-3)/(MATCH(9.99E+307,'Returns (Calc)'!$A:$A)-3),"")</f>
        <v>21.494150943396228</v>
      </c>
      <c r="AO35" s="85">
        <f>IFERROR('Price History'!V3+(INDEX('Price History'!V:V,MATCH(9.99E+307,'Price History'!$A:$A))-'Price History'!V3)*(ROW()-3)/(MATCH(9.99E+307,'Returns (Calc)'!$A:$A)-3),"")</f>
        <v>0</v>
      </c>
    </row>
    <row r="36" spans="1:41" ht="15" customHeight="1" x14ac:dyDescent="0.3">
      <c r="A36" s="81">
        <f>IF('Price History'!A37="","",'Price History'!A37)</f>
        <v>45387</v>
      </c>
      <c r="B36" s="82">
        <f>IFERROR(IF(OR(NOT(ISNUMBER('Price History'!B37)),NOT(ISNUMBER('Price History'!B36)),'Price History'!B36=0),"",'Price History'!B37/'Price History'!B36-1),"")</f>
        <v>-3.8604835513277869E-2</v>
      </c>
      <c r="C36" s="82">
        <f>IFERROR(IF(OR(NOT(ISNUMBER('Price History'!C37)),NOT(ISNUMBER('Price History'!C36)),'Price History'!C36=0),"",'Price History'!C37/'Price History'!C36-1),"")</f>
        <v>2.6206896551724146E-2</v>
      </c>
      <c r="D36" s="82">
        <f>IFERROR(IF(OR(NOT(ISNUMBER('Price History'!D37)),NOT(ISNUMBER('Price History'!D36)),'Price History'!D36=0),"",'Price History'!D37/'Price History'!D36-1),"")</f>
        <v>9.3562912815439159E-3</v>
      </c>
      <c r="E36" s="82">
        <f>IFERROR(IF(OR(NOT(ISNUMBER('Price History'!E37)),NOT(ISNUMBER('Price History'!E36)),'Price History'!E36=0),"",'Price History'!E37/'Price History'!E36-1),"")</f>
        <v>1.056284895126014E-2</v>
      </c>
      <c r="F36" s="82">
        <f>IFERROR(IF(OR(NOT(ISNUMBER('Price History'!F37)),NOT(ISNUMBER('Price History'!F36)),'Price History'!F36=0),"",'Price History'!F37/'Price History'!F36-1),"")</f>
        <v>-1.5845290081098029E-2</v>
      </c>
      <c r="G36" s="82">
        <f>IFERROR(IF(OR(NOT(ISNUMBER('Price History'!G37)),NOT(ISNUMBER('Price History'!G36)),'Price History'!G36=0),"",'Price History'!G37/'Price History'!G36-1),"")</f>
        <v>-2.2616661895218937E-2</v>
      </c>
      <c r="H36" s="82">
        <f>IFERROR(IF(OR(NOT(ISNUMBER('Price History'!H37)),NOT(ISNUMBER('Price History'!H36)),'Price History'!H36=0),"",'Price History'!H37/'Price History'!H36-1),"")</f>
        <v>4.8265332089235669E-2</v>
      </c>
      <c r="I36" s="82">
        <f>IFERROR(IF(OR(NOT(ISNUMBER('Price History'!I37)),NOT(ISNUMBER('Price History'!I36)),'Price History'!I36=0),"",'Price History'!I37/'Price History'!I36-1),"")</f>
        <v>-2.6007082779991086E-2</v>
      </c>
      <c r="J36" s="82">
        <f>IFERROR(IF(OR(NOT(ISNUMBER('Price History'!J37)),NOT(ISNUMBER('Price History'!J36)),'Price History'!J36=0),"",'Price History'!J37/'Price History'!J36-1),"")</f>
        <v>-4.2082629396406168E-2</v>
      </c>
      <c r="K36" s="82">
        <f>IFERROR(IF(OR(NOT(ISNUMBER('Price History'!K37)),NOT(ISNUMBER('Price History'!K36)),'Price History'!K36=0),"",'Price History'!K37/'Price History'!K36-1),"")</f>
        <v>-2.1729682746631784E-3</v>
      </c>
      <c r="L36" s="82">
        <f>IFERROR(IF(OR(NOT(ISNUMBER('Price History'!L37)),NOT(ISNUMBER('Price History'!L36)),'Price History'!L36=0),"",'Price History'!L37/'Price History'!L36-1),"")</f>
        <v>3.902976846747519E-2</v>
      </c>
      <c r="M36" s="82">
        <f>IFERROR(IF(OR(NOT(ISNUMBER('Price History'!M37)),NOT(ISNUMBER('Price History'!M36)),'Price History'!M36=0),"",'Price History'!M37/'Price History'!M36-1),"")</f>
        <v>4.4936941349332793E-2</v>
      </c>
      <c r="N36" s="82">
        <f>IFERROR(IF(OR(NOT(ISNUMBER('Price History'!N37)),NOT(ISNUMBER('Price History'!N36)),'Price History'!N36=0),"",'Price History'!N37/'Price History'!N36-1),"")</f>
        <v>-2.7128537594794278E-2</v>
      </c>
      <c r="O36" s="82">
        <f>IFERROR(IF(OR(NOT(ISNUMBER('Price History'!O37)),NOT(ISNUMBER('Price History'!O36)),'Price History'!O36=0),"",'Price History'!O37/'Price History'!O36-1),"")</f>
        <v>-2.1555863835236333E-2</v>
      </c>
      <c r="P36" s="82" t="str">
        <f>IFERROR(IF(OR(NOT(ISNUMBER('Price History'!P37)),NOT(ISNUMBER('Price History'!P36)),'Price History'!P36=0),"",'Price History'!P37/'Price History'!P36-1),"")</f>
        <v/>
      </c>
      <c r="Q36" s="82">
        <f>IFERROR(IF(OR(NOT(ISNUMBER('Price History'!Q37)),NOT(ISNUMBER('Price History'!Q36)),'Price History'!Q36=0),"",'Price History'!Q37/'Price History'!Q36-1),"")</f>
        <v>1.0498687664042272E-3</v>
      </c>
      <c r="R36" s="82">
        <f>IFERROR(IF(OR(NOT(ISNUMBER('Price History'!R37)),NOT(ISNUMBER('Price History'!R36)),'Price History'!R36=0),"",'Price History'!R37/'Price History'!R36-1),"")</f>
        <v>-1.1983775811209463E-2</v>
      </c>
      <c r="S36" s="82">
        <f>IFERROR(IF(OR(NOT(ISNUMBER('Price History'!S37)),NOT(ISNUMBER('Price History'!S36)),'Price History'!S36=0),"",'Price History'!S37/'Price History'!S36-1),"")</f>
        <v>2.8671154325605741E-3</v>
      </c>
      <c r="T36" s="82">
        <f>IFERROR(IF(OR(NOT(ISNUMBER('Price History'!T37)),NOT(ISNUMBER('Price History'!T36)),'Price History'!T36=0),"",'Price History'!T37/'Price History'!T36-1),"")</f>
        <v>-2.4683739586547349E-3</v>
      </c>
      <c r="U36" s="82" t="str">
        <f>IFERROR(IF(OR(NOT(ISNUMBER('Price History'!U37)),NOT(ISNUMBER('Price History'!U36)),'Price History'!U36=0),"",'Price History'!U37/'Price History'!U36-1),"")</f>
        <v/>
      </c>
      <c r="V36" s="83" t="str">
        <f>IFERROR(IF(OR(NOT(ISNUMBER('Price History'!V37)),NOT(ISNUMBER('Price History'!V36)),'Price History'!V36=0),"",'Price History'!V37/'Price History'!V36-1),"")</f>
        <v/>
      </c>
      <c r="W36" s="84" t="str">
        <f>IFERROR('Price History'!B3+(INDEX('Price History'!B:B,MATCH(9.99E+307,'Price History'!$A:$A))-'Price History'!B3)*(ROW()-3)/(MATCH(9.99E+307,'Returns (Calc)'!$A:$A)-3),"")</f>
        <v/>
      </c>
      <c r="X36" s="84">
        <f>IFERROR('Price History'!C3+(INDEX('Price History'!C:C,MATCH(9.99E+307,'Price History'!$A:$A))-'Price History'!C3)*(ROW()-3)/(MATCH(9.99E+307,'Returns (Calc)'!$A:$A)-3),"")</f>
        <v>34.661886792452833</v>
      </c>
      <c r="Y36" s="84">
        <f>IFERROR('Price History'!D3+(INDEX('Price History'!D:D,MATCH(9.99E+307,'Price History'!$A:$A))-'Price History'!D3)*(ROW()-3)/(MATCH(9.99E+307,'Returns (Calc)'!$A:$A)-3),"")</f>
        <v>524.42943396226417</v>
      </c>
      <c r="Z36" s="84">
        <f>IFERROR('Price History'!E3+(INDEX('Price History'!E:E,MATCH(9.99E+307,'Price History'!$A:$A))-'Price History'!E3)*(ROW()-3)/(MATCH(9.99E+307,'Returns (Calc)'!$A:$A)-3),"")</f>
        <v>65.757735849056616</v>
      </c>
      <c r="AA36" s="84">
        <f>IFERROR('Price History'!F3+(INDEX('Price History'!F:F,MATCH(9.99E+307,'Price History'!$A:$A))-'Price History'!F3)*(ROW()-3)/(MATCH(9.99E+307,'Returns (Calc)'!$A:$A)-3),"")</f>
        <v>29.368301886792455</v>
      </c>
      <c r="AB36" s="84">
        <f>IFERROR('Price History'!G3+(INDEX('Price History'!G:G,MATCH(9.99E+307,'Price History'!$A:$A))-'Price History'!G3)*(ROW()-3)/(MATCH(9.99E+307,'Returns (Calc)'!$A:$A)-3),"")</f>
        <v>37.958490566037732</v>
      </c>
      <c r="AC36" s="84">
        <f>IFERROR('Price History'!H3+(INDEX('Price History'!H:H,MATCH(9.99E+307,'Price History'!$A:$A))-'Price History'!H3)*(ROW()-3)/(MATCH(9.99E+307,'Returns (Calc)'!$A:$A)-3),"")</f>
        <v>51.010188679245289</v>
      </c>
      <c r="AD36" s="84">
        <f>IFERROR('Price History'!I3+(INDEX('Price History'!I:I,MATCH(9.99E+307,'Price History'!$A:$A))-'Price History'!I3)*(ROW()-3)/(MATCH(9.99E+307,'Returns (Calc)'!$A:$A)-3),"")</f>
        <v>32.37169811320755</v>
      </c>
      <c r="AE36" s="84">
        <f>IFERROR('Price History'!J3+(INDEX('Price History'!J:J,MATCH(9.99E+307,'Price History'!$A:$A))-'Price History'!J3)*(ROW()-3)/(MATCH(9.99E+307,'Returns (Calc)'!$A:$A)-3),"")</f>
        <v>97.875849056603784</v>
      </c>
      <c r="AF36" s="84">
        <f>IFERROR('Price History'!K3+(INDEX('Price History'!K:K,MATCH(9.99E+307,'Price History'!$A:$A))-'Price History'!K3)*(ROW()-3)/(MATCH(9.99E+307,'Returns (Calc)'!$A:$A)-3),"")</f>
        <v>12.211698113207547</v>
      </c>
      <c r="AG36" s="84">
        <f>IFERROR('Price History'!L3+(INDEX('Price History'!L:L,MATCH(9.99E+307,'Price History'!$A:$A))-'Price History'!L3)*(ROW()-3)/(MATCH(9.99E+307,'Returns (Calc)'!$A:$A)-3),"")</f>
        <v>72.897735849056602</v>
      </c>
      <c r="AH36" s="84">
        <f>IFERROR('Price History'!M3+(INDEX('Price History'!M:M,MATCH(9.99E+307,'Price History'!$A:$A))-'Price History'!M3)*(ROW()-3)/(MATCH(9.99E+307,'Returns (Calc)'!$A:$A)-3),"")</f>
        <v>26.555094339622642</v>
      </c>
      <c r="AI36" s="84">
        <f>IFERROR('Price History'!N3+(INDEX('Price History'!N:N,MATCH(9.99E+307,'Price History'!$A:$A))-'Price History'!N3)*(ROW()-3)/(MATCH(9.99E+307,'Returns (Calc)'!$A:$A)-3),"")</f>
        <v>277.24754716981136</v>
      </c>
      <c r="AJ36" s="84">
        <f>IFERROR('Price History'!O3+(INDEX('Price History'!O:O,MATCH(9.99E+307,'Price History'!$A:$A))-'Price History'!O3)*(ROW()-3)/(MATCH(9.99E+307,'Returns (Calc)'!$A:$A)-3),"")</f>
        <v>65.654716981132069</v>
      </c>
      <c r="AK36" s="84">
        <f>IFERROR('Price History'!Q3+(INDEX('Price History'!Q:Q,MATCH(9.99E+307,'Price History'!$A:$A))-'Price History'!Q3)*(ROW()-3)/(MATCH(9.99E+307,'Returns (Calc)'!$A:$A)-3),"")</f>
        <v>39.495849056603774</v>
      </c>
      <c r="AL36" s="84">
        <f>IFERROR('Price History'!R3+(INDEX('Price History'!R:R,MATCH(9.99E+307,'Price History'!$A:$A))-'Price History'!R3)*(ROW()-3)/(MATCH(9.99E+307,'Returns (Calc)'!$A:$A)-3),"")</f>
        <v>37.895094339622645</v>
      </c>
      <c r="AM36" s="84">
        <f>IFERROR('Price History'!S3+(INDEX('Price History'!S:S,MATCH(9.99E+307,'Price History'!$A:$A))-'Price History'!S3)*(ROW()-3)/(MATCH(9.99E+307,'Returns (Calc)'!$A:$A)-3),"")</f>
        <v>46.390188679245284</v>
      </c>
      <c r="AN36" s="84">
        <f>IFERROR('Price History'!T3+(INDEX('Price History'!T:T,MATCH(9.99E+307,'Price History'!$A:$A))-'Price History'!T3)*(ROW()-3)/(MATCH(9.99E+307,'Returns (Calc)'!$A:$A)-3),"")</f>
        <v>21.324905660377361</v>
      </c>
      <c r="AO36" s="85">
        <f>IFERROR('Price History'!V3+(INDEX('Price History'!V:V,MATCH(9.99E+307,'Price History'!$A:$A))-'Price History'!V3)*(ROW()-3)/(MATCH(9.99E+307,'Returns (Calc)'!$A:$A)-3),"")</f>
        <v>0</v>
      </c>
    </row>
    <row r="37" spans="1:41" ht="15" customHeight="1" x14ac:dyDescent="0.3">
      <c r="A37" s="81">
        <f>IF('Price History'!A38="","",'Price History'!A38)</f>
        <v>45394</v>
      </c>
      <c r="B37" s="82">
        <f>IFERROR(IF(OR(NOT(ISNUMBER('Price History'!B38)),NOT(ISNUMBER('Price History'!B37)),'Price History'!B37=0),"",'Price History'!B38/'Price History'!B37-1),"")</f>
        <v>-2.2736642480211122E-2</v>
      </c>
      <c r="C37" s="82">
        <f>IFERROR(IF(OR(NOT(ISNUMBER('Price History'!C38)),NOT(ISNUMBER('Price History'!C37)),'Price History'!C37=0),"",'Price History'!C38/'Price History'!C37-1),"")</f>
        <v>-8.8575268817204345E-2</v>
      </c>
      <c r="D37" s="82">
        <f>IFERROR(IF(OR(NOT(ISNUMBER('Price History'!D38)),NOT(ISNUMBER('Price History'!D37)),'Price History'!D37=0),"",'Price History'!D38/'Price History'!D37-1),"")</f>
        <v>-1.8079730488489543E-2</v>
      </c>
      <c r="E37" s="82">
        <f>IFERROR(IF(OR(NOT(ISNUMBER('Price History'!E38)),NOT(ISNUMBER('Price History'!E37)),'Price History'!E37=0),"",'Price History'!E38/'Price History'!E37-1),"")</f>
        <v>3.5090338957741718E-3</v>
      </c>
      <c r="F37" s="82">
        <f>IFERROR(IF(OR(NOT(ISNUMBER('Price History'!F38)),NOT(ISNUMBER('Price History'!F37)),'Price History'!F37=0),"",'Price History'!F38/'Price History'!F37-1),"")</f>
        <v>-2.0537525354969444E-2</v>
      </c>
      <c r="G37" s="82">
        <f>IFERROR(IF(OR(NOT(ISNUMBER('Price History'!G38)),NOT(ISNUMBER('Price History'!G37)),'Price History'!G37=0),"",'Price History'!G38/'Price History'!G37-1),"")</f>
        <v>-2.9291154071471315E-3</v>
      </c>
      <c r="H37" s="82">
        <f>IFERROR(IF(OR(NOT(ISNUMBER('Price History'!H38)),NOT(ISNUMBER('Price History'!H37)),'Price History'!H37=0),"",'Price History'!H38/'Price History'!H37-1),"")</f>
        <v>-8.5774397151643367E-3</v>
      </c>
      <c r="I37" s="82">
        <f>IFERROR(IF(OR(NOT(ISNUMBER('Price History'!I38)),NOT(ISNUMBER('Price History'!I37)),'Price History'!I37=0),"",'Price History'!I38/'Price History'!I37-1),"")</f>
        <v>2.045222133848279E-3</v>
      </c>
      <c r="J37" s="82">
        <f>IFERROR(IF(OR(NOT(ISNUMBER('Price History'!J38)),NOT(ISNUMBER('Price History'!J37)),'Price History'!J37=0),"",'Price History'!J38/'Price History'!J37-1),"")</f>
        <v>-4.6015712682379362E-2</v>
      </c>
      <c r="K37" s="82">
        <f>IFERROR(IF(OR(NOT(ISNUMBER('Price History'!K38)),NOT(ISNUMBER('Price History'!K37)),'Price History'!K37=0),"",'Price History'!K38/'Price History'!K37-1),"")</f>
        <v>-1.2630662020905903E-2</v>
      </c>
      <c r="L37" s="82">
        <f>IFERROR(IF(OR(NOT(ISNUMBER('Price History'!L38)),NOT(ISNUMBER('Price History'!L37)),'Price History'!L37=0),"",'Price History'!L38/'Price History'!L37-1),"")</f>
        <v>8.2059988681379981E-3</v>
      </c>
      <c r="M37" s="82">
        <f>IFERROR(IF(OR(NOT(ISNUMBER('Price History'!M38)),NOT(ISNUMBER('Price History'!M37)),'Price History'!M37=0),"",'Price History'!M38/'Price History'!M37-1),"")</f>
        <v>-1.6990860089055593E-2</v>
      </c>
      <c r="N37" s="82">
        <f>IFERROR(IF(OR(NOT(ISNUMBER('Price History'!N38)),NOT(ISNUMBER('Price History'!N37)),'Price History'!N37=0),"",'Price History'!N38/'Price History'!N37-1),"")</f>
        <v>-2.4885041925885809E-2</v>
      </c>
      <c r="O37" s="82">
        <f>IFERROR(IF(OR(NOT(ISNUMBER('Price History'!O38)),NOT(ISNUMBER('Price History'!O37)),'Price History'!O37=0),"",'Price History'!O38/'Price History'!O37-1),"")</f>
        <v>-3.0864870760170082E-2</v>
      </c>
      <c r="P37" s="82" t="str">
        <f>IFERROR(IF(OR(NOT(ISNUMBER('Price History'!P38)),NOT(ISNUMBER('Price History'!P37)),'Price History'!P37=0),"",'Price History'!P38/'Price History'!P37-1),"")</f>
        <v/>
      </c>
      <c r="Q37" s="82">
        <f>IFERROR(IF(OR(NOT(ISNUMBER('Price History'!Q38)),NOT(ISNUMBER('Price History'!Q37)),'Price History'!Q37=0),"",'Price History'!Q38/'Price History'!Q37-1),"")</f>
        <v>-2.6219192448871942E-3</v>
      </c>
      <c r="R37" s="82">
        <f>IFERROR(IF(OR(NOT(ISNUMBER('Price History'!R38)),NOT(ISNUMBER('Price History'!R37)),'Price History'!R37=0),"",'Price History'!R38/'Price History'!R37-1),"")</f>
        <v>-3.5454375816384998E-3</v>
      </c>
      <c r="S37" s="82">
        <f>IFERROR(IF(OR(NOT(ISNUMBER('Price History'!S38)),NOT(ISNUMBER('Price History'!S37)),'Price History'!S37=0),"",'Price History'!S38/'Price History'!S37-1),"")</f>
        <v>-1.4045991298943572E-2</v>
      </c>
      <c r="T37" s="82">
        <f>IFERROR(IF(OR(NOT(ISNUMBER('Price History'!T38)),NOT(ISNUMBER('Price History'!T37)),'Price History'!T37=0),"",'Price History'!T38/'Price History'!T37-1),"")</f>
        <v>-2.5982060006186192E-2</v>
      </c>
      <c r="U37" s="82" t="str">
        <f>IFERROR(IF(OR(NOT(ISNUMBER('Price History'!U38)),NOT(ISNUMBER('Price History'!U37)),'Price History'!U37=0),"",'Price History'!U38/'Price History'!U37-1),"")</f>
        <v/>
      </c>
      <c r="V37" s="83">
        <f>IFERROR(IF(OR(NOT(ISNUMBER('Price History'!V38)),NOT(ISNUMBER('Price History'!V37)),'Price History'!V37=0),"",'Price History'!V38/'Price History'!V37-1),"")</f>
        <v>-4.2284075449499081E-3</v>
      </c>
      <c r="W37" s="84" t="str">
        <f>IFERROR('Price History'!B3+(INDEX('Price History'!B:B,MATCH(9.99E+307,'Price History'!$A:$A))-'Price History'!B3)*(ROW()-3)/(MATCH(9.99E+307,'Returns (Calc)'!$A:$A)-3),"")</f>
        <v/>
      </c>
      <c r="X37" s="84">
        <f>IFERROR('Price History'!C3+(INDEX('Price History'!C:C,MATCH(9.99E+307,'Price History'!$A:$A))-'Price History'!C3)*(ROW()-3)/(MATCH(9.99E+307,'Returns (Calc)'!$A:$A)-3),"")</f>
        <v>34.386792452830193</v>
      </c>
      <c r="Y37" s="84">
        <f>IFERROR('Price History'!D3+(INDEX('Price History'!D:D,MATCH(9.99E+307,'Price History'!$A:$A))-'Price History'!D3)*(ROW()-3)/(MATCH(9.99E+307,'Returns (Calc)'!$A:$A)-3),"")</f>
        <v>520.26729559748424</v>
      </c>
      <c r="Z37" s="84">
        <f>IFERROR('Price History'!E3+(INDEX('Price History'!E:E,MATCH(9.99E+307,'Price History'!$A:$A))-'Price History'!E3)*(ROW()-3)/(MATCH(9.99E+307,'Returns (Calc)'!$A:$A)-3),"")</f>
        <v>65.235849056603769</v>
      </c>
      <c r="AA37" s="84">
        <f>IFERROR('Price History'!F3+(INDEX('Price History'!F:F,MATCH(9.99E+307,'Price History'!$A:$A))-'Price History'!F3)*(ROW()-3)/(MATCH(9.99E+307,'Returns (Calc)'!$A:$A)-3),"")</f>
        <v>29.135220125786166</v>
      </c>
      <c r="AB37" s="84">
        <f>IFERROR('Price History'!G3+(INDEX('Price History'!G:G,MATCH(9.99E+307,'Price History'!$A:$A))-'Price History'!G3)*(ROW()-3)/(MATCH(9.99E+307,'Returns (Calc)'!$A:$A)-3),"")</f>
        <v>37.657232704402517</v>
      </c>
      <c r="AC37" s="84">
        <f>IFERROR('Price History'!H3+(INDEX('Price History'!H:H,MATCH(9.99E+307,'Price History'!$A:$A))-'Price History'!H3)*(ROW()-3)/(MATCH(9.99E+307,'Returns (Calc)'!$A:$A)-3),"")</f>
        <v>50.605345911949691</v>
      </c>
      <c r="AD37" s="84">
        <f>IFERROR('Price History'!I3+(INDEX('Price History'!I:I,MATCH(9.99E+307,'Price History'!$A:$A))-'Price History'!I3)*(ROW()-3)/(MATCH(9.99E+307,'Returns (Calc)'!$A:$A)-3),"")</f>
        <v>32.114779874213838</v>
      </c>
      <c r="AE37" s="84">
        <f>IFERROR('Price History'!J3+(INDEX('Price History'!J:J,MATCH(9.99E+307,'Price History'!$A:$A))-'Price History'!J3)*(ROW()-3)/(MATCH(9.99E+307,'Returns (Calc)'!$A:$A)-3),"")</f>
        <v>97.09905660377359</v>
      </c>
      <c r="AF37" s="84">
        <f>IFERROR('Price History'!K3+(INDEX('Price History'!K:K,MATCH(9.99E+307,'Price History'!$A:$A))-'Price History'!K3)*(ROW()-3)/(MATCH(9.99E+307,'Returns (Calc)'!$A:$A)-3),"")</f>
        <v>12.114779874213836</v>
      </c>
      <c r="AG37" s="84">
        <f>IFERROR('Price History'!L3+(INDEX('Price History'!L:L,MATCH(9.99E+307,'Price History'!$A:$A))-'Price History'!L3)*(ROW()-3)/(MATCH(9.99E+307,'Returns (Calc)'!$A:$A)-3),"")</f>
        <v>72.319182389937112</v>
      </c>
      <c r="AH37" s="84">
        <f>IFERROR('Price History'!M3+(INDEX('Price History'!M:M,MATCH(9.99E+307,'Price History'!$A:$A))-'Price History'!M3)*(ROW()-3)/(MATCH(9.99E+307,'Returns (Calc)'!$A:$A)-3),"")</f>
        <v>26.344339622641506</v>
      </c>
      <c r="AI37" s="84">
        <f>IFERROR('Price History'!N3+(INDEX('Price History'!N:N,MATCH(9.99E+307,'Price History'!$A:$A))-'Price History'!N3)*(ROW()-3)/(MATCH(9.99E+307,'Returns (Calc)'!$A:$A)-3),"")</f>
        <v>275.04716981132077</v>
      </c>
      <c r="AJ37" s="84">
        <f>IFERROR('Price History'!O3+(INDEX('Price History'!O:O,MATCH(9.99E+307,'Price History'!$A:$A))-'Price History'!O3)*(ROW()-3)/(MATCH(9.99E+307,'Returns (Calc)'!$A:$A)-3),"")</f>
        <v>65.133647798742132</v>
      </c>
      <c r="AK37" s="84">
        <f>IFERROR('Price History'!Q3+(INDEX('Price History'!Q:Q,MATCH(9.99E+307,'Price History'!$A:$A))-'Price History'!Q3)*(ROW()-3)/(MATCH(9.99E+307,'Returns (Calc)'!$A:$A)-3),"")</f>
        <v>39.182389937106919</v>
      </c>
      <c r="AL37" s="84">
        <f>IFERROR('Price History'!R3+(INDEX('Price History'!R:R,MATCH(9.99E+307,'Price History'!$A:$A))-'Price History'!R3)*(ROW()-3)/(MATCH(9.99E+307,'Returns (Calc)'!$A:$A)-3),"")</f>
        <v>37.594339622641513</v>
      </c>
      <c r="AM37" s="84">
        <f>IFERROR('Price History'!S3+(INDEX('Price History'!S:S,MATCH(9.99E+307,'Price History'!$A:$A))-'Price History'!S3)*(ROW()-3)/(MATCH(9.99E+307,'Returns (Calc)'!$A:$A)-3),"")</f>
        <v>46.022012578616355</v>
      </c>
      <c r="AN37" s="84">
        <f>IFERROR('Price History'!T3+(INDEX('Price History'!T:T,MATCH(9.99E+307,'Price History'!$A:$A))-'Price History'!T3)*(ROW()-3)/(MATCH(9.99E+307,'Returns (Calc)'!$A:$A)-3),"")</f>
        <v>21.15566037735849</v>
      </c>
      <c r="AO37" s="85">
        <f>IFERROR('Price History'!V3+(INDEX('Price History'!V:V,MATCH(9.99E+307,'Price History'!$A:$A))-'Price History'!V3)*(ROW()-3)/(MATCH(9.99E+307,'Returns (Calc)'!$A:$A)-3),"")</f>
        <v>0</v>
      </c>
    </row>
    <row r="38" spans="1:41" ht="15" customHeight="1" x14ac:dyDescent="0.3">
      <c r="A38" s="81">
        <f>IF('Price History'!A39="","",'Price History'!A39)</f>
        <v>45401</v>
      </c>
      <c r="B38" s="82">
        <f>IFERROR(IF(OR(NOT(ISNUMBER('Price History'!B39)),NOT(ISNUMBER('Price History'!B38)),'Price History'!B38=0),"",'Price History'!B39/'Price History'!B38-1),"")</f>
        <v>-1.9131388554915696E-2</v>
      </c>
      <c r="C38" s="82">
        <f>IFERROR(IF(OR(NOT(ISNUMBER('Price History'!C39)),NOT(ISNUMBER('Price History'!C38)),'Price History'!C38=0),"",'Price History'!C39/'Price History'!C38-1),"")</f>
        <v>-9.2759180061937729E-2</v>
      </c>
      <c r="D38" s="82">
        <f>IFERROR(IF(OR(NOT(ISNUMBER('Price History'!D39)),NOT(ISNUMBER('Price History'!D38)),'Price History'!D38=0),"",'Price History'!D39/'Price History'!D38-1),"")</f>
        <v>-0.10635864592863686</v>
      </c>
      <c r="E38" s="82">
        <f>IFERROR(IF(OR(NOT(ISNUMBER('Price History'!E39)),NOT(ISNUMBER('Price History'!E38)),'Price History'!E38=0),"",'Price History'!E39/'Price History'!E38-1),"")</f>
        <v>-0.10371252138977749</v>
      </c>
      <c r="F38" s="82">
        <f>IFERROR(IF(OR(NOT(ISNUMBER('Price History'!F39)),NOT(ISNUMBER('Price History'!F38)),'Price History'!F38=0),"",'Price History'!F39/'Price History'!F38-1),"")</f>
        <v>-8.5425834843386061E-2</v>
      </c>
      <c r="G38" s="82">
        <f>IFERROR(IF(OR(NOT(ISNUMBER('Price History'!G39)),NOT(ISNUMBER('Price History'!G38)),'Price History'!G38=0),"",'Price History'!G39/'Price History'!G38-1),"")</f>
        <v>-7.726204465334896E-2</v>
      </c>
      <c r="H38" s="82">
        <f>IFERROR(IF(OR(NOT(ISNUMBER('Price History'!H39)),NOT(ISNUMBER('Price History'!H38)),'Price History'!H38=0),"",'Price History'!H39/'Price History'!H38-1),"")</f>
        <v>-0.12855044074436828</v>
      </c>
      <c r="I38" s="82">
        <f>IFERROR(IF(OR(NOT(ISNUMBER('Price History'!I39)),NOT(ISNUMBER('Price History'!I38)),'Price History'!I38=0),"",'Price History'!I39/'Price History'!I38-1),"")</f>
        <v>-0.13595645764825937</v>
      </c>
      <c r="J38" s="82">
        <f>IFERROR(IF(OR(NOT(ISNUMBER('Price History'!J39)),NOT(ISNUMBER('Price History'!J38)),'Price History'!J38=0),"",'Price History'!J39/'Price History'!J38-1),"")</f>
        <v>-0.13033613445378156</v>
      </c>
      <c r="K38" s="82">
        <f>IFERROR(IF(OR(NOT(ISNUMBER('Price History'!K39)),NOT(ISNUMBER('Price History'!K38)),'Price History'!K38=0),"",'Price History'!K39/'Price History'!K38-1),"")</f>
        <v>-9.7044552271724815E-2</v>
      </c>
      <c r="L38" s="82">
        <f>IFERROR(IF(OR(NOT(ISNUMBER('Price History'!L39)),NOT(ISNUMBER('Price History'!L38)),'Price History'!L38=0),"",'Price History'!L39/'Price History'!L38-1),"")</f>
        <v>-0.10398540555711488</v>
      </c>
      <c r="M38" s="82">
        <f>IFERROR(IF(OR(NOT(ISNUMBER('Price History'!M39)),NOT(ISNUMBER('Price History'!M38)),'Price History'!M38=0),"",'Price History'!M39/'Price History'!M38-1),"")</f>
        <v>-0.10585290261056135</v>
      </c>
      <c r="N38" s="82">
        <f>IFERROR(IF(OR(NOT(ISNUMBER('Price History'!N39)),NOT(ISNUMBER('Price History'!N38)),'Price History'!N38=0),"",'Price History'!N39/'Price History'!N38-1),"")</f>
        <v>-5.7243727146640833E-3</v>
      </c>
      <c r="O38" s="82">
        <f>IFERROR(IF(OR(NOT(ISNUMBER('Price History'!O39)),NOT(ISNUMBER('Price History'!O38)),'Price History'!O38=0),"",'Price History'!O39/'Price History'!O38-1),"")</f>
        <v>-9.0029259509339932E-3</v>
      </c>
      <c r="P38" s="82" t="str">
        <f>IFERROR(IF(OR(NOT(ISNUMBER('Price History'!P39)),NOT(ISNUMBER('Price History'!P38)),'Price History'!P38=0),"",'Price History'!P39/'Price History'!P38-1),"")</f>
        <v/>
      </c>
      <c r="Q38" s="82">
        <f>IFERROR(IF(OR(NOT(ISNUMBER('Price History'!Q39)),NOT(ISNUMBER('Price History'!Q38)),'Price History'!Q38=0),"",'Price History'!Q39/'Price History'!Q38-1),"")</f>
        <v>1.1041009463722329E-2</v>
      </c>
      <c r="R38" s="82">
        <f>IFERROR(IF(OR(NOT(ISNUMBER('Price History'!R39)),NOT(ISNUMBER('Price History'!R38)),'Price History'!R38=0),"",'Price History'!R39/'Price History'!R38-1),"")</f>
        <v>-4.7940074906366981E-2</v>
      </c>
      <c r="S38" s="82">
        <f>IFERROR(IF(OR(NOT(ISNUMBER('Price History'!S39)),NOT(ISNUMBER('Price History'!S38)),'Price History'!S38=0),"",'Price History'!S39/'Price History'!S38-1),"")</f>
        <v>-5.6858295511850621E-2</v>
      </c>
      <c r="T38" s="82">
        <f>IFERROR(IF(OR(NOT(ISNUMBER('Price History'!T39)),NOT(ISNUMBER('Price History'!T38)),'Price History'!T38=0),"",'Price History'!T39/'Price History'!T38-1),"")</f>
        <v>-1.7783423308986968E-2</v>
      </c>
      <c r="U38" s="82" t="str">
        <f>IFERROR(IF(OR(NOT(ISNUMBER('Price History'!U39)),NOT(ISNUMBER('Price History'!U38)),'Price History'!U38=0),"",'Price History'!U39/'Price History'!U38-1),"")</f>
        <v/>
      </c>
      <c r="V38" s="83">
        <f>IFERROR(IF(OR(NOT(ISNUMBER('Price History'!V39)),NOT(ISNUMBER('Price History'!V38)),'Price History'!V38=0),"",'Price History'!V39/'Price History'!V38-1),"")</f>
        <v>-2.2413411121778304E-2</v>
      </c>
      <c r="W38" s="84" t="str">
        <f>IFERROR('Price History'!B3+(INDEX('Price History'!B:B,MATCH(9.99E+307,'Price History'!$A:$A))-'Price History'!B3)*(ROW()-3)/(MATCH(9.99E+307,'Returns (Calc)'!$A:$A)-3),"")</f>
        <v/>
      </c>
      <c r="X38" s="84">
        <f>IFERROR('Price History'!C3+(INDEX('Price History'!C:C,MATCH(9.99E+307,'Price History'!$A:$A))-'Price History'!C3)*(ROW()-3)/(MATCH(9.99E+307,'Returns (Calc)'!$A:$A)-3),"")</f>
        <v>34.111698113207552</v>
      </c>
      <c r="Y38" s="84">
        <f>IFERROR('Price History'!D3+(INDEX('Price History'!D:D,MATCH(9.99E+307,'Price History'!$A:$A))-'Price History'!D3)*(ROW()-3)/(MATCH(9.99E+307,'Returns (Calc)'!$A:$A)-3),"")</f>
        <v>516.10515723270441</v>
      </c>
      <c r="Z38" s="84">
        <f>IFERROR('Price History'!E3+(INDEX('Price History'!E:E,MATCH(9.99E+307,'Price History'!$A:$A))-'Price History'!E3)*(ROW()-3)/(MATCH(9.99E+307,'Returns (Calc)'!$A:$A)-3),"")</f>
        <v>64.71396226415095</v>
      </c>
      <c r="AA38" s="84">
        <f>IFERROR('Price History'!F3+(INDEX('Price History'!F:F,MATCH(9.99E+307,'Price History'!$A:$A))-'Price History'!F3)*(ROW()-3)/(MATCH(9.99E+307,'Returns (Calc)'!$A:$A)-3),"")</f>
        <v>28.902138364779876</v>
      </c>
      <c r="AB38" s="84">
        <f>IFERROR('Price History'!G3+(INDEX('Price History'!G:G,MATCH(9.99E+307,'Price History'!$A:$A))-'Price History'!G3)*(ROW()-3)/(MATCH(9.99E+307,'Returns (Calc)'!$A:$A)-3),"")</f>
        <v>37.355974842767296</v>
      </c>
      <c r="AC38" s="84">
        <f>IFERROR('Price History'!H3+(INDEX('Price History'!H:H,MATCH(9.99E+307,'Price History'!$A:$A))-'Price History'!H3)*(ROW()-3)/(MATCH(9.99E+307,'Returns (Calc)'!$A:$A)-3),"")</f>
        <v>50.200503144654093</v>
      </c>
      <c r="AD38" s="84">
        <f>IFERROR('Price History'!I3+(INDEX('Price History'!I:I,MATCH(9.99E+307,'Price History'!$A:$A))-'Price History'!I3)*(ROW()-3)/(MATCH(9.99E+307,'Returns (Calc)'!$A:$A)-3),"")</f>
        <v>31.857861635220125</v>
      </c>
      <c r="AE38" s="84">
        <f>IFERROR('Price History'!J3+(INDEX('Price History'!J:J,MATCH(9.99E+307,'Price History'!$A:$A))-'Price History'!J3)*(ROW()-3)/(MATCH(9.99E+307,'Returns (Calc)'!$A:$A)-3),"")</f>
        <v>96.322264150943397</v>
      </c>
      <c r="AF38" s="84">
        <f>IFERROR('Price History'!K3+(INDEX('Price History'!K:K,MATCH(9.99E+307,'Price History'!$A:$A))-'Price History'!K3)*(ROW()-3)/(MATCH(9.99E+307,'Returns (Calc)'!$A:$A)-3),"")</f>
        <v>12.017861635220125</v>
      </c>
      <c r="AG38" s="84">
        <f>IFERROR('Price History'!L3+(INDEX('Price History'!L:L,MATCH(9.99E+307,'Price History'!$A:$A))-'Price History'!L3)*(ROW()-3)/(MATCH(9.99E+307,'Returns (Calc)'!$A:$A)-3),"")</f>
        <v>71.740628930817607</v>
      </c>
      <c r="AH38" s="84">
        <f>IFERROR('Price History'!M3+(INDEX('Price History'!M:M,MATCH(9.99E+307,'Price History'!$A:$A))-'Price History'!M3)*(ROW()-3)/(MATCH(9.99E+307,'Returns (Calc)'!$A:$A)-3),"")</f>
        <v>26.133584905660378</v>
      </c>
      <c r="AI38" s="84">
        <f>IFERROR('Price History'!N3+(INDEX('Price History'!N:N,MATCH(9.99E+307,'Price History'!$A:$A))-'Price History'!N3)*(ROW()-3)/(MATCH(9.99E+307,'Returns (Calc)'!$A:$A)-3),"")</f>
        <v>272.84679245283019</v>
      </c>
      <c r="AJ38" s="84">
        <f>IFERROR('Price History'!O3+(INDEX('Price History'!O:O,MATCH(9.99E+307,'Price History'!$A:$A))-'Price History'!O3)*(ROW()-3)/(MATCH(9.99E+307,'Returns (Calc)'!$A:$A)-3),"")</f>
        <v>64.612578616352195</v>
      </c>
      <c r="AK38" s="84">
        <f>IFERROR('Price History'!Q3+(INDEX('Price History'!Q:Q,MATCH(9.99E+307,'Price History'!$A:$A))-'Price History'!Q3)*(ROW()-3)/(MATCH(9.99E+307,'Returns (Calc)'!$A:$A)-3),"")</f>
        <v>38.868930817610064</v>
      </c>
      <c r="AL38" s="84">
        <f>IFERROR('Price History'!R3+(INDEX('Price History'!R:R,MATCH(9.99E+307,'Price History'!$A:$A))-'Price History'!R3)*(ROW()-3)/(MATCH(9.99E+307,'Returns (Calc)'!$A:$A)-3),"")</f>
        <v>37.293584905660381</v>
      </c>
      <c r="AM38" s="84">
        <f>IFERROR('Price History'!S3+(INDEX('Price History'!S:S,MATCH(9.99E+307,'Price History'!$A:$A))-'Price History'!S3)*(ROW()-3)/(MATCH(9.99E+307,'Returns (Calc)'!$A:$A)-3),"")</f>
        <v>45.653836477987419</v>
      </c>
      <c r="AN38" s="84">
        <f>IFERROR('Price History'!T3+(INDEX('Price History'!T:T,MATCH(9.99E+307,'Price History'!$A:$A))-'Price History'!T3)*(ROW()-3)/(MATCH(9.99E+307,'Returns (Calc)'!$A:$A)-3),"")</f>
        <v>20.986415094339623</v>
      </c>
      <c r="AO38" s="85">
        <f>IFERROR('Price History'!V3+(INDEX('Price History'!V:V,MATCH(9.99E+307,'Price History'!$A:$A))-'Price History'!V3)*(ROW()-3)/(MATCH(9.99E+307,'Returns (Calc)'!$A:$A)-3),"")</f>
        <v>0</v>
      </c>
    </row>
    <row r="39" spans="1:41" ht="15" customHeight="1" x14ac:dyDescent="0.3">
      <c r="A39" s="81">
        <f>IF('Price History'!A40="","",'Price History'!A40)</f>
        <v>45408</v>
      </c>
      <c r="B39" s="82">
        <f>IFERROR(IF(OR(NOT(ISNUMBER('Price History'!B40)),NOT(ISNUMBER('Price History'!B39)),'Price History'!B39=0),"",'Price History'!B40/'Price History'!B39-1),"")</f>
        <v>2.6966582082491142E-2</v>
      </c>
      <c r="C39" s="82">
        <f>IFERROR(IF(OR(NOT(ISNUMBER('Price History'!C40)),NOT(ISNUMBER('Price History'!C39)),'Price History'!C39=0),"",'Price History'!C40/'Price History'!C39-1),"")</f>
        <v>7.5747724317295262E-2</v>
      </c>
      <c r="D39" s="82">
        <f>IFERROR(IF(OR(NOT(ISNUMBER('Price History'!D40)),NOT(ISNUMBER('Price History'!D39)),'Price History'!D39=0),"",'Price History'!D40/'Price History'!D39-1),"")</f>
        <v>6.9141633897200849E-2</v>
      </c>
      <c r="E39" s="82">
        <f>IFERROR(IF(OR(NOT(ISNUMBER('Price History'!E40)),NOT(ISNUMBER('Price History'!E39)),'Price History'!E39=0),"",'Price History'!E40/'Price History'!E39-1),"")</f>
        <v>0.11571345563210755</v>
      </c>
      <c r="F39" s="82">
        <f>IFERROR(IF(OR(NOT(ISNUMBER('Price History'!F40)),NOT(ISNUMBER('Price History'!F39)),'Price History'!F39=0),"",'Price History'!F40/'Price History'!F39-1),"")</f>
        <v>7.5856212850268889E-2</v>
      </c>
      <c r="G39" s="82">
        <f>IFERROR(IF(OR(NOT(ISNUMBER('Price History'!G40)),NOT(ISNUMBER('Price History'!G39)),'Price History'!G39=0),"",'Price History'!G40/'Price History'!G39-1),"")</f>
        <v>0.12432346386501103</v>
      </c>
      <c r="H39" s="82">
        <f>IFERROR(IF(OR(NOT(ISNUMBER('Price History'!H40)),NOT(ISNUMBER('Price History'!H39)),'Price History'!H39=0),"",'Price History'!H40/'Price History'!H39-1),"")</f>
        <v>7.5583028940713781E-2</v>
      </c>
      <c r="I39" s="82">
        <f>IFERROR(IF(OR(NOT(ISNUMBER('Price History'!I40)),NOT(ISNUMBER('Price History'!I39)),'Price History'!I39=0),"",'Price History'!I40/'Price History'!I39-1),"")</f>
        <v>0.15144356955380567</v>
      </c>
      <c r="J39" s="82">
        <f>IFERROR(IF(OR(NOT(ISNUMBER('Price History'!J40)),NOT(ISNUMBER('Price History'!J39)),'Price History'!J39=0),"",'Price History'!J40/'Price History'!J39-1),"")</f>
        <v>5.5077785293264903E-3</v>
      </c>
      <c r="K39" s="82">
        <f>IFERROR(IF(OR(NOT(ISNUMBER('Price History'!K40)),NOT(ISNUMBER('Price History'!K39)),'Price History'!K39=0),"",'Price History'!K40/'Price History'!K39-1),"")</f>
        <v>0.10014655593551547</v>
      </c>
      <c r="L39" s="82">
        <f>IFERROR(IF(OR(NOT(ISNUMBER('Price History'!L40)),NOT(ISNUMBER('Price History'!L39)),'Price History'!L39=0),"",'Price History'!L40/'Price History'!L39-1),"")</f>
        <v>8.3007047768206776E-2</v>
      </c>
      <c r="M39" s="82">
        <f>IFERROR(IF(OR(NOT(ISNUMBER('Price History'!M40)),NOT(ISNUMBER('Price History'!M39)),'Price History'!M39=0),"",'Price History'!M40/'Price History'!M39-1),"")</f>
        <v>0.24636715104652707</v>
      </c>
      <c r="N39" s="82">
        <f>IFERROR(IF(OR(NOT(ISNUMBER('Price History'!N40)),NOT(ISNUMBER('Price History'!N39)),'Price History'!N39=0),"",'Price History'!N40/'Price History'!N39-1),"")</f>
        <v>8.1160596530385209E-3</v>
      </c>
      <c r="O39" s="82">
        <f>IFERROR(IF(OR(NOT(ISNUMBER('Price History'!O40)),NOT(ISNUMBER('Price History'!O39)),'Price History'!O39=0),"",'Price History'!O40/'Price History'!O39-1),"")</f>
        <v>2.4755848285259896E-2</v>
      </c>
      <c r="P39" s="82" t="str">
        <f>IFERROR(IF(OR(NOT(ISNUMBER('Price History'!P40)),NOT(ISNUMBER('Price History'!P39)),'Price History'!P39=0),"",'Price History'!P40/'Price History'!P39-1),"")</f>
        <v/>
      </c>
      <c r="Q39" s="82">
        <f>IFERROR(IF(OR(NOT(ISNUMBER('Price History'!Q40)),NOT(ISNUMBER('Price History'!Q39)),'Price History'!Q39=0),"",'Price History'!Q40/'Price History'!Q39-1),"")</f>
        <v>9.0136938810885248E-3</v>
      </c>
      <c r="R39" s="82">
        <f>IFERROR(IF(OR(NOT(ISNUMBER('Price History'!R40)),NOT(ISNUMBER('Price History'!R39)),'Price History'!R39=0),"",'Price History'!R40/'Price History'!R39-1),"")</f>
        <v>3.5798583792289396E-2</v>
      </c>
      <c r="S39" s="82">
        <f>IFERROR(IF(OR(NOT(ISNUMBER('Price History'!S40)),NOT(ISNUMBER('Price History'!S39)),'Price History'!S39=0),"",'Price History'!S40/'Price History'!S39-1),"")</f>
        <v>3.0076193022323228E-2</v>
      </c>
      <c r="T39" s="82">
        <f>IFERROR(IF(OR(NOT(ISNUMBER('Price History'!T40)),NOT(ISNUMBER('Price History'!T39)),'Price History'!T39=0),"",'Price History'!T40/'Price History'!T39-1),"")</f>
        <v>1.2609117361784605E-2</v>
      </c>
      <c r="U39" s="82" t="str">
        <f>IFERROR(IF(OR(NOT(ISNUMBER('Price History'!U40)),NOT(ISNUMBER('Price History'!U39)),'Price History'!U39=0),"",'Price History'!U40/'Price History'!U39-1),"")</f>
        <v/>
      </c>
      <c r="V39" s="83">
        <f>IFERROR(IF(OR(NOT(ISNUMBER('Price History'!V40)),NOT(ISNUMBER('Price History'!V39)),'Price History'!V39=0),"",'Price History'!V40/'Price History'!V39-1),"")</f>
        <v>1.7563739376770471E-2</v>
      </c>
      <c r="W39" s="84" t="str">
        <f>IFERROR('Price History'!B3+(INDEX('Price History'!B:B,MATCH(9.99E+307,'Price History'!$A:$A))-'Price History'!B3)*(ROW()-3)/(MATCH(9.99E+307,'Returns (Calc)'!$A:$A)-3),"")</f>
        <v/>
      </c>
      <c r="X39" s="84">
        <f>IFERROR('Price History'!C3+(INDEX('Price History'!C:C,MATCH(9.99E+307,'Price History'!$A:$A))-'Price History'!C3)*(ROW()-3)/(MATCH(9.99E+307,'Returns (Calc)'!$A:$A)-3),"")</f>
        <v>33.836603773584905</v>
      </c>
      <c r="Y39" s="84">
        <f>IFERROR('Price History'!D3+(INDEX('Price History'!D:D,MATCH(9.99E+307,'Price History'!$A:$A))-'Price History'!D3)*(ROW()-3)/(MATCH(9.99E+307,'Returns (Calc)'!$A:$A)-3),"")</f>
        <v>511.94301886792448</v>
      </c>
      <c r="Z39" s="84">
        <f>IFERROR('Price History'!E3+(INDEX('Price History'!E:E,MATCH(9.99E+307,'Price History'!$A:$A))-'Price History'!E3)*(ROW()-3)/(MATCH(9.99E+307,'Returns (Calc)'!$A:$A)-3),"")</f>
        <v>64.192075471698118</v>
      </c>
      <c r="AA39" s="84">
        <f>IFERROR('Price History'!F3+(INDEX('Price History'!F:F,MATCH(9.99E+307,'Price History'!$A:$A))-'Price History'!F3)*(ROW()-3)/(MATCH(9.99E+307,'Returns (Calc)'!$A:$A)-3),"")</f>
        <v>28.669056603773587</v>
      </c>
      <c r="AB39" s="84">
        <f>IFERROR('Price History'!G3+(INDEX('Price History'!G:G,MATCH(9.99E+307,'Price History'!$A:$A))-'Price History'!G3)*(ROW()-3)/(MATCH(9.99E+307,'Returns (Calc)'!$A:$A)-3),"")</f>
        <v>37.054716981132074</v>
      </c>
      <c r="AC39" s="84">
        <f>IFERROR('Price History'!H3+(INDEX('Price History'!H:H,MATCH(9.99E+307,'Price History'!$A:$A))-'Price History'!H3)*(ROW()-3)/(MATCH(9.99E+307,'Returns (Calc)'!$A:$A)-3),"")</f>
        <v>49.795660377358494</v>
      </c>
      <c r="AD39" s="84">
        <f>IFERROR('Price History'!I3+(INDEX('Price History'!I:I,MATCH(9.99E+307,'Price History'!$A:$A))-'Price History'!I3)*(ROW()-3)/(MATCH(9.99E+307,'Returns (Calc)'!$A:$A)-3),"")</f>
        <v>31.600943396226416</v>
      </c>
      <c r="AE39" s="84">
        <f>IFERROR('Price History'!J3+(INDEX('Price History'!J:J,MATCH(9.99E+307,'Price History'!$A:$A))-'Price History'!J3)*(ROW()-3)/(MATCH(9.99E+307,'Returns (Calc)'!$A:$A)-3),"")</f>
        <v>95.545471698113204</v>
      </c>
      <c r="AF39" s="84">
        <f>IFERROR('Price History'!K3+(INDEX('Price History'!K:K,MATCH(9.99E+307,'Price History'!$A:$A))-'Price History'!K3)*(ROW()-3)/(MATCH(9.99E+307,'Returns (Calc)'!$A:$A)-3),"")</f>
        <v>11.920943396226415</v>
      </c>
      <c r="AG39" s="84">
        <f>IFERROR('Price History'!L3+(INDEX('Price History'!L:L,MATCH(9.99E+307,'Price History'!$A:$A))-'Price History'!L3)*(ROW()-3)/(MATCH(9.99E+307,'Returns (Calc)'!$A:$A)-3),"")</f>
        <v>71.162075471698103</v>
      </c>
      <c r="AH39" s="84">
        <f>IFERROR('Price History'!M3+(INDEX('Price History'!M:M,MATCH(9.99E+307,'Price History'!$A:$A))-'Price History'!M3)*(ROW()-3)/(MATCH(9.99E+307,'Returns (Calc)'!$A:$A)-3),"")</f>
        <v>25.922830188679242</v>
      </c>
      <c r="AI39" s="84">
        <f>IFERROR('Price History'!N3+(INDEX('Price History'!N:N,MATCH(9.99E+307,'Price History'!$A:$A))-'Price History'!N3)*(ROW()-3)/(MATCH(9.99E+307,'Returns (Calc)'!$A:$A)-3),"")</f>
        <v>270.64641509433966</v>
      </c>
      <c r="AJ39" s="84">
        <f>IFERROR('Price History'!O3+(INDEX('Price History'!O:O,MATCH(9.99E+307,'Price History'!$A:$A))-'Price History'!O3)*(ROW()-3)/(MATCH(9.99E+307,'Returns (Calc)'!$A:$A)-3),"")</f>
        <v>64.091509433962258</v>
      </c>
      <c r="AK39" s="84">
        <f>IFERROR('Price History'!Q3+(INDEX('Price History'!Q:Q,MATCH(9.99E+307,'Price History'!$A:$A))-'Price History'!Q3)*(ROW()-3)/(MATCH(9.99E+307,'Returns (Calc)'!$A:$A)-3),"")</f>
        <v>38.555471698113209</v>
      </c>
      <c r="AL39" s="84">
        <f>IFERROR('Price History'!R3+(INDEX('Price History'!R:R,MATCH(9.99E+307,'Price History'!$A:$A))-'Price History'!R3)*(ROW()-3)/(MATCH(9.99E+307,'Returns (Calc)'!$A:$A)-3),"")</f>
        <v>36.99283018867925</v>
      </c>
      <c r="AM39" s="84">
        <f>IFERROR('Price History'!S3+(INDEX('Price History'!S:S,MATCH(9.99E+307,'Price History'!$A:$A))-'Price History'!S3)*(ROW()-3)/(MATCH(9.99E+307,'Returns (Calc)'!$A:$A)-3),"")</f>
        <v>45.285660377358489</v>
      </c>
      <c r="AN39" s="84">
        <f>IFERROR('Price History'!T3+(INDEX('Price History'!T:T,MATCH(9.99E+307,'Price History'!$A:$A))-'Price History'!T3)*(ROW()-3)/(MATCH(9.99E+307,'Returns (Calc)'!$A:$A)-3),"")</f>
        <v>20.817169811320756</v>
      </c>
      <c r="AO39" s="85">
        <f>IFERROR('Price History'!V3+(INDEX('Price History'!V:V,MATCH(9.99E+307,'Price History'!$A:$A))-'Price History'!V3)*(ROW()-3)/(MATCH(9.99E+307,'Returns (Calc)'!$A:$A)-3),"")</f>
        <v>0</v>
      </c>
    </row>
    <row r="40" spans="1:41" ht="15" customHeight="1" x14ac:dyDescent="0.3">
      <c r="A40" s="81">
        <f>IF('Price History'!A41="","",'Price History'!A41)</f>
        <v>45415</v>
      </c>
      <c r="B40" s="82">
        <f>IFERROR(IF(OR(NOT(ISNUMBER('Price History'!B41)),NOT(ISNUMBER('Price History'!B40)),'Price History'!B40=0),"",'Price History'!B41/'Price History'!B40-1),"")</f>
        <v>1.8050087947064197E-2</v>
      </c>
      <c r="C40" s="82">
        <f>IFERROR(IF(OR(NOT(ISNUMBER('Price History'!C41)),NOT(ISNUMBER('Price History'!C40)),'Price History'!C40=0),"",'Price History'!C41/'Price History'!C40-1),"")</f>
        <v>3.6566938652160541E-2</v>
      </c>
      <c r="D40" s="82">
        <f>IFERROR(IF(OR(NOT(ISNUMBER('Price History'!D41)),NOT(ISNUMBER('Price History'!D40)),'Price History'!D40=0),"",'Price History'!D41/'Price History'!D40-1),"")</f>
        <v>-1.8868951108306109E-2</v>
      </c>
      <c r="E40" s="82">
        <f>IFERROR(IF(OR(NOT(ISNUMBER('Price History'!E41)),NOT(ISNUMBER('Price History'!E40)),'Price History'!E40=0),"",'Price History'!E41/'Price History'!E40-1),"")</f>
        <v>-4.9103489323711003E-2</v>
      </c>
      <c r="F40" s="82">
        <f>IFERROR(IF(OR(NOT(ISNUMBER('Price History'!F41)),NOT(ISNUMBER('Price History'!F40)),'Price History'!F40=0),"",'Price History'!F41/'Price History'!F40-1),"")</f>
        <v>2.0126282557221709E-2</v>
      </c>
      <c r="G40" s="82">
        <f>IFERROR(IF(OR(NOT(ISNUMBER('Price History'!G41)),NOT(ISNUMBER('Price History'!G40)),'Price History'!G40=0),"",'Price History'!G41/'Price History'!G40-1),"")</f>
        <v>-1.3733540988248638E-2</v>
      </c>
      <c r="H40" s="82">
        <f>IFERROR(IF(OR(NOT(ISNUMBER('Price History'!H41)),NOT(ISNUMBER('Price History'!H40)),'Price History'!H40=0),"",'Price History'!H41/'Price History'!H40-1),"")</f>
        <v>-1.2190874259839779E-3</v>
      </c>
      <c r="I40" s="82">
        <f>IFERROR(IF(OR(NOT(ISNUMBER('Price History'!I41)),NOT(ISNUMBER('Price History'!I40)),'Price History'!I40=0),"",'Price History'!I41/'Price History'!I40-1),"")</f>
        <v>1.1967175746524061E-2</v>
      </c>
      <c r="J40" s="82">
        <f>IFERROR(IF(OR(NOT(ISNUMBER('Price History'!J41)),NOT(ISNUMBER('Price History'!J40)),'Price History'!J40=0),"",'Price History'!J41/'Price History'!J40-1),"")</f>
        <v>1.7586008072266068E-2</v>
      </c>
      <c r="K40" s="82">
        <f>IFERROR(IF(OR(NOT(ISNUMBER('Price History'!K41)),NOT(ISNUMBER('Price History'!K40)),'Price History'!K40=0),"",'Price History'!K41/'Price History'!K40-1),"")</f>
        <v>3.5968028419182785E-2</v>
      </c>
      <c r="L40" s="82">
        <f>IFERROR(IF(OR(NOT(ISNUMBER('Price History'!L41)),NOT(ISNUMBER('Price History'!L40)),'Price History'!L40=0),"",'Price History'!L41/'Price History'!L40-1),"")</f>
        <v>2.357194504699911E-2</v>
      </c>
      <c r="M40" s="82">
        <f>IFERROR(IF(OR(NOT(ISNUMBER('Price History'!M41)),NOT(ISNUMBER('Price History'!M40)),'Price History'!M40=0),"",'Price History'!M41/'Price History'!M40-1),"")</f>
        <v>-5.1342389560379287E-3</v>
      </c>
      <c r="N40" s="82">
        <f>IFERROR(IF(OR(NOT(ISNUMBER('Price History'!N41)),NOT(ISNUMBER('Price History'!N40)),'Price History'!N40=0),"",'Price History'!N41/'Price History'!N40-1),"")</f>
        <v>9.0570594746903765E-3</v>
      </c>
      <c r="O40" s="82">
        <f>IFERROR(IF(OR(NOT(ISNUMBER('Price History'!O41)),NOT(ISNUMBER('Price History'!O40)),'Price History'!O40=0),"",'Price History'!O41/'Price History'!O40-1),"")</f>
        <v>6.8705673758866492E-3</v>
      </c>
      <c r="P40" s="82" t="str">
        <f>IFERROR(IF(OR(NOT(ISNUMBER('Price History'!P41)),NOT(ISNUMBER('Price History'!P40)),'Price History'!P40=0),"",'Price History'!P41/'Price History'!P40-1),"")</f>
        <v/>
      </c>
      <c r="Q40" s="82">
        <f>IFERROR(IF(OR(NOT(ISNUMBER('Price History'!Q41)),NOT(ISNUMBER('Price History'!Q40)),'Price History'!Q40=0),"",'Price History'!Q41/'Price History'!Q40-1),"")</f>
        <v>3.2640439786977282E-3</v>
      </c>
      <c r="R40" s="82">
        <f>IFERROR(IF(OR(NOT(ISNUMBER('Price History'!R41)),NOT(ISNUMBER('Price History'!R40)),'Price History'!R40=0),"",'Price History'!R41/'Price History'!R40-1),"")</f>
        <v>1.7090770983669845E-3</v>
      </c>
      <c r="S40" s="82">
        <f>IFERROR(IF(OR(NOT(ISNUMBER('Price History'!S41)),NOT(ISNUMBER('Price History'!S40)),'Price History'!S40=0),"",'Price History'!S41/'Price History'!S40-1),"")</f>
        <v>9.8624448481701155E-3</v>
      </c>
      <c r="T40" s="82">
        <f>IFERROR(IF(OR(NOT(ISNUMBER('Price History'!T41)),NOT(ISNUMBER('Price History'!T40)),'Price History'!T40=0),"",'Price History'!T41/'Price History'!T40-1),"")</f>
        <v>-1.5644955300127772E-2</v>
      </c>
      <c r="U40" s="82" t="str">
        <f>IFERROR(IF(OR(NOT(ISNUMBER('Price History'!U41)),NOT(ISNUMBER('Price History'!U40)),'Price History'!U40=0),"",'Price History'!U41/'Price History'!U40-1),"")</f>
        <v/>
      </c>
      <c r="V40" s="83">
        <f>IFERROR(IF(OR(NOT(ISNUMBER('Price History'!V41)),NOT(ISNUMBER('Price History'!V40)),'Price History'!V40=0),"",'Price History'!V41/'Price History'!V40-1),"")</f>
        <v>-2.1937639198218117E-2</v>
      </c>
      <c r="W40" s="84" t="str">
        <f>IFERROR('Price History'!B3+(INDEX('Price History'!B:B,MATCH(9.99E+307,'Price History'!$A:$A))-'Price History'!B3)*(ROW()-3)/(MATCH(9.99E+307,'Returns (Calc)'!$A:$A)-3),"")</f>
        <v/>
      </c>
      <c r="X40" s="84">
        <f>IFERROR('Price History'!C3+(INDEX('Price History'!C:C,MATCH(9.99E+307,'Price History'!$A:$A))-'Price History'!C3)*(ROW()-3)/(MATCH(9.99E+307,'Returns (Calc)'!$A:$A)-3),"")</f>
        <v>33.561509433962264</v>
      </c>
      <c r="Y40" s="84">
        <f>IFERROR('Price History'!D3+(INDEX('Price History'!D:D,MATCH(9.99E+307,'Price History'!$A:$A))-'Price History'!D3)*(ROW()-3)/(MATCH(9.99E+307,'Returns (Calc)'!$A:$A)-3),"")</f>
        <v>507.78088050314466</v>
      </c>
      <c r="Z40" s="84">
        <f>IFERROR('Price History'!E3+(INDEX('Price History'!E:E,MATCH(9.99E+307,'Price History'!$A:$A))-'Price History'!E3)*(ROW()-3)/(MATCH(9.99E+307,'Returns (Calc)'!$A:$A)-3),"")</f>
        <v>63.670188679245285</v>
      </c>
      <c r="AA40" s="84">
        <f>IFERROR('Price History'!F3+(INDEX('Price History'!F:F,MATCH(9.99E+307,'Price History'!$A:$A))-'Price History'!F3)*(ROW()-3)/(MATCH(9.99E+307,'Returns (Calc)'!$A:$A)-3),"")</f>
        <v>28.435974842767298</v>
      </c>
      <c r="AB40" s="84">
        <f>IFERROR('Price History'!G3+(INDEX('Price History'!G:G,MATCH(9.99E+307,'Price History'!$A:$A))-'Price History'!G3)*(ROW()-3)/(MATCH(9.99E+307,'Returns (Calc)'!$A:$A)-3),"")</f>
        <v>36.753459119496853</v>
      </c>
      <c r="AC40" s="84">
        <f>IFERROR('Price History'!H3+(INDEX('Price History'!H:H,MATCH(9.99E+307,'Price History'!$A:$A))-'Price History'!H3)*(ROW()-3)/(MATCH(9.99E+307,'Returns (Calc)'!$A:$A)-3),"")</f>
        <v>49.390817610062896</v>
      </c>
      <c r="AD40" s="84">
        <f>IFERROR('Price History'!I3+(INDEX('Price History'!I:I,MATCH(9.99E+307,'Price History'!$A:$A))-'Price History'!I3)*(ROW()-3)/(MATCH(9.99E+307,'Returns (Calc)'!$A:$A)-3),"")</f>
        <v>31.344025157232707</v>
      </c>
      <c r="AE40" s="84">
        <f>IFERROR('Price History'!J3+(INDEX('Price History'!J:J,MATCH(9.99E+307,'Price History'!$A:$A))-'Price History'!J3)*(ROW()-3)/(MATCH(9.99E+307,'Returns (Calc)'!$A:$A)-3),"")</f>
        <v>94.768679245283025</v>
      </c>
      <c r="AF40" s="84">
        <f>IFERROR('Price History'!K3+(INDEX('Price History'!K:K,MATCH(9.99E+307,'Price History'!$A:$A))-'Price History'!K3)*(ROW()-3)/(MATCH(9.99E+307,'Returns (Calc)'!$A:$A)-3),"")</f>
        <v>11.824025157232704</v>
      </c>
      <c r="AG40" s="84">
        <f>IFERROR('Price History'!L3+(INDEX('Price History'!L:L,MATCH(9.99E+307,'Price History'!$A:$A))-'Price History'!L3)*(ROW()-3)/(MATCH(9.99E+307,'Returns (Calc)'!$A:$A)-3),"")</f>
        <v>70.583522012578612</v>
      </c>
      <c r="AH40" s="84">
        <f>IFERROR('Price History'!M3+(INDEX('Price History'!M:M,MATCH(9.99E+307,'Price History'!$A:$A))-'Price History'!M3)*(ROW()-3)/(MATCH(9.99E+307,'Returns (Calc)'!$A:$A)-3),"")</f>
        <v>25.712075471698114</v>
      </c>
      <c r="AI40" s="84">
        <f>IFERROR('Price History'!N3+(INDEX('Price History'!N:N,MATCH(9.99E+307,'Price History'!$A:$A))-'Price History'!N3)*(ROW()-3)/(MATCH(9.99E+307,'Returns (Calc)'!$A:$A)-3),"")</f>
        <v>268.44603773584907</v>
      </c>
      <c r="AJ40" s="84">
        <f>IFERROR('Price History'!O3+(INDEX('Price History'!O:O,MATCH(9.99E+307,'Price History'!$A:$A))-'Price History'!O3)*(ROW()-3)/(MATCH(9.99E+307,'Returns (Calc)'!$A:$A)-3),"")</f>
        <v>63.570440251572322</v>
      </c>
      <c r="AK40" s="84">
        <f>IFERROR('Price History'!Q3+(INDEX('Price History'!Q:Q,MATCH(9.99E+307,'Price History'!$A:$A))-'Price History'!Q3)*(ROW()-3)/(MATCH(9.99E+307,'Returns (Calc)'!$A:$A)-3),"")</f>
        <v>38.242012578616354</v>
      </c>
      <c r="AL40" s="84">
        <f>IFERROR('Price History'!R3+(INDEX('Price History'!R:R,MATCH(9.99E+307,'Price History'!$A:$A))-'Price History'!R3)*(ROW()-3)/(MATCH(9.99E+307,'Returns (Calc)'!$A:$A)-3),"")</f>
        <v>36.692075471698118</v>
      </c>
      <c r="AM40" s="84">
        <f>IFERROR('Price History'!S3+(INDEX('Price History'!S:S,MATCH(9.99E+307,'Price History'!$A:$A))-'Price History'!S3)*(ROW()-3)/(MATCH(9.99E+307,'Returns (Calc)'!$A:$A)-3),"")</f>
        <v>44.91748427672956</v>
      </c>
      <c r="AN40" s="84">
        <f>IFERROR('Price History'!T3+(INDEX('Price History'!T:T,MATCH(9.99E+307,'Price History'!$A:$A))-'Price History'!T3)*(ROW()-3)/(MATCH(9.99E+307,'Returns (Calc)'!$A:$A)-3),"")</f>
        <v>20.647924528301886</v>
      </c>
      <c r="AO40" s="85">
        <f>IFERROR('Price History'!V3+(INDEX('Price History'!V:V,MATCH(9.99E+307,'Price History'!$A:$A))-'Price History'!V3)*(ROW()-3)/(MATCH(9.99E+307,'Returns (Calc)'!$A:$A)-3),"")</f>
        <v>0</v>
      </c>
    </row>
    <row r="41" spans="1:41" ht="15" customHeight="1" x14ac:dyDescent="0.3">
      <c r="A41" s="81">
        <f>IF('Price History'!A42="","",'Price History'!A42)</f>
        <v>45422</v>
      </c>
      <c r="B41" s="82">
        <f>IFERROR(IF(OR(NOT(ISNUMBER('Price History'!B42)),NOT(ISNUMBER('Price History'!B41)),'Price History'!B41=0),"",'Price History'!B42/'Price History'!B41-1),"")</f>
        <v>-8.0011518367681944E-3</v>
      </c>
      <c r="C41" s="82">
        <f>IFERROR(IF(OR(NOT(ISNUMBER('Price History'!C42)),NOT(ISNUMBER('Price History'!C41)),'Price History'!C41=0),"",'Price History'!C42/'Price History'!C41-1),"")</f>
        <v>0.14446064139941717</v>
      </c>
      <c r="D41" s="82">
        <f>IFERROR(IF(OR(NOT(ISNUMBER('Price History'!D42)),NOT(ISNUMBER('Price History'!D41)),'Price History'!D41=0),"",'Price History'!D42/'Price History'!D41-1),"")</f>
        <v>3.1786874882157923E-2</v>
      </c>
      <c r="E41" s="82">
        <f>IFERROR(IF(OR(NOT(ISNUMBER('Price History'!E42)),NOT(ISNUMBER('Price History'!E41)),'Price History'!E41=0),"",'Price History'!E42/'Price History'!E41-1),"")</f>
        <v>4.2797903137469673E-2</v>
      </c>
      <c r="F41" s="82">
        <f>IFERROR(IF(OR(NOT(ISNUMBER('Price History'!F42)),NOT(ISNUMBER('Price History'!F41)),'Price History'!F41=0),"",'Price History'!F42/'Price History'!F41-1),"")</f>
        <v>3.4042553191489411E-2</v>
      </c>
      <c r="G41" s="82">
        <f>IFERROR(IF(OR(NOT(ISNUMBER('Price History'!G42)),NOT(ISNUMBER('Price History'!G41)),'Price History'!G41=0),"",'Price History'!G42/'Price History'!G41-1),"")</f>
        <v>3.1151306345104768E-2</v>
      </c>
      <c r="H41" s="82">
        <f>IFERROR(IF(OR(NOT(ISNUMBER('Price History'!H42)),NOT(ISNUMBER('Price History'!H41)),'Price History'!H41=0),"",'Price History'!H42/'Price History'!H41-1),"")</f>
        <v>5.7018308631211712E-2</v>
      </c>
      <c r="I41" s="82">
        <f>IFERROR(IF(OR(NOT(ISNUMBER('Price History'!I42)),NOT(ISNUMBER('Price History'!I41)),'Price History'!I41=0),"",'Price History'!I42/'Price History'!I41-1),"")</f>
        <v>1.2276157224912598E-2</v>
      </c>
      <c r="J41" s="82">
        <f>IFERROR(IF(OR(NOT(ISNUMBER('Price History'!J42)),NOT(ISNUMBER('Price History'!J41)),'Price History'!J41=0),"",'Price History'!J42/'Price History'!J41-1),"")</f>
        <v>1.5110019831900967E-2</v>
      </c>
      <c r="K41" s="82">
        <f>IFERROR(IF(OR(NOT(ISNUMBER('Price History'!K42)),NOT(ISNUMBER('Price History'!K41)),'Price History'!K41=0),"",'Price History'!K42/'Price History'!K41-1),"")</f>
        <v>-0.11701671667381042</v>
      </c>
      <c r="L41" s="82">
        <f>IFERROR(IF(OR(NOT(ISNUMBER('Price History'!L42)),NOT(ISNUMBER('Price History'!L41)),'Price History'!L41=0),"",'Price History'!L42/'Price History'!L41-1),"")</f>
        <v>5.4393896580954948E-2</v>
      </c>
      <c r="M41" s="82">
        <f>IFERROR(IF(OR(NOT(ISNUMBER('Price History'!M42)),NOT(ISNUMBER('Price History'!M41)),'Price History'!M41=0),"",'Price History'!M42/'Price History'!M41-1),"")</f>
        <v>2.5696161703042675E-2</v>
      </c>
      <c r="N41" s="82">
        <f>IFERROR(IF(OR(NOT(ISNUMBER('Price History'!N42)),NOT(ISNUMBER('Price History'!N41)),'Price History'!N41=0),"",'Price History'!N42/'Price History'!N41-1),"")</f>
        <v>5.4103919417572532E-2</v>
      </c>
      <c r="O41" s="82">
        <f>IFERROR(IF(OR(NOT(ISNUMBER('Price History'!O42)),NOT(ISNUMBER('Price History'!O41)),'Price History'!O41=0),"",'Price History'!O42/'Price History'!O41-1),"")</f>
        <v>1.7279330838652962E-2</v>
      </c>
      <c r="P41" s="82" t="str">
        <f>IFERROR(IF(OR(NOT(ISNUMBER('Price History'!P42)),NOT(ISNUMBER('Price History'!P41)),'Price History'!P41=0),"",'Price History'!P42/'Price History'!P41-1),"")</f>
        <v/>
      </c>
      <c r="Q41" s="82">
        <f>IFERROR(IF(OR(NOT(ISNUMBER('Price History'!Q42)),NOT(ISNUMBER('Price History'!Q41)),'Price History'!Q41=0),"",'Price History'!Q42/'Price History'!Q41-1),"")</f>
        <v>2.73972602739736E-3</v>
      </c>
      <c r="R41" s="82">
        <f>IFERROR(IF(OR(NOT(ISNUMBER('Price History'!R42)),NOT(ISNUMBER('Price History'!R41)),'Price History'!R41=0),"",'Price History'!R42/'Price History'!R41-1),"")</f>
        <v>1.3838862559241605E-2</v>
      </c>
      <c r="S41" s="82">
        <f>IFERROR(IF(OR(NOT(ISNUMBER('Price History'!S42)),NOT(ISNUMBER('Price History'!S41)),'Price History'!S41=0),"",'Price History'!S42/'Price History'!S41-1),"")</f>
        <v>2.2230789000257101E-2</v>
      </c>
      <c r="T41" s="82">
        <f>IFERROR(IF(OR(NOT(ISNUMBER('Price History'!T42)),NOT(ISNUMBER('Price History'!T41)),'Price History'!T41=0),"",'Price History'!T42/'Price History'!T41-1),"")</f>
        <v>2.2056438533895717E-2</v>
      </c>
      <c r="U41" s="82" t="str">
        <f>IFERROR(IF(OR(NOT(ISNUMBER('Price History'!U42)),NOT(ISNUMBER('Price History'!U41)),'Price History'!U41=0),"",'Price History'!U42/'Price History'!U41-1),"")</f>
        <v/>
      </c>
      <c r="V41" s="83">
        <f>IFERROR(IF(OR(NOT(ISNUMBER('Price History'!V42)),NOT(ISNUMBER('Price History'!V41)),'Price History'!V41=0),"",'Price History'!V42/'Price History'!V41-1),"")</f>
        <v>4.5618429541917971E-2</v>
      </c>
      <c r="W41" s="84" t="str">
        <f>IFERROR('Price History'!B3+(INDEX('Price History'!B:B,MATCH(9.99E+307,'Price History'!$A:$A))-'Price History'!B3)*(ROW()-3)/(MATCH(9.99E+307,'Returns (Calc)'!$A:$A)-3),"")</f>
        <v/>
      </c>
      <c r="X41" s="84">
        <f>IFERROR('Price History'!C3+(INDEX('Price History'!C:C,MATCH(9.99E+307,'Price History'!$A:$A))-'Price History'!C3)*(ROW()-3)/(MATCH(9.99E+307,'Returns (Calc)'!$A:$A)-3),"")</f>
        <v>33.286415094339624</v>
      </c>
      <c r="Y41" s="84">
        <f>IFERROR('Price History'!D3+(INDEX('Price History'!D:D,MATCH(9.99E+307,'Price History'!$A:$A))-'Price History'!D3)*(ROW()-3)/(MATCH(9.99E+307,'Returns (Calc)'!$A:$A)-3),"")</f>
        <v>503.61874213836472</v>
      </c>
      <c r="Z41" s="84">
        <f>IFERROR('Price History'!E3+(INDEX('Price History'!E:E,MATCH(9.99E+307,'Price History'!$A:$A))-'Price History'!E3)*(ROW()-3)/(MATCH(9.99E+307,'Returns (Calc)'!$A:$A)-3),"")</f>
        <v>63.148301886792453</v>
      </c>
      <c r="AA41" s="84">
        <f>IFERROR('Price History'!F3+(INDEX('Price History'!F:F,MATCH(9.99E+307,'Price History'!$A:$A))-'Price History'!F3)*(ROW()-3)/(MATCH(9.99E+307,'Returns (Calc)'!$A:$A)-3),"")</f>
        <v>28.202893081761008</v>
      </c>
      <c r="AB41" s="84">
        <f>IFERROR('Price History'!G3+(INDEX('Price History'!G:G,MATCH(9.99E+307,'Price History'!$A:$A))-'Price History'!G3)*(ROW()-3)/(MATCH(9.99E+307,'Returns (Calc)'!$A:$A)-3),"")</f>
        <v>36.452201257861631</v>
      </c>
      <c r="AC41" s="84">
        <f>IFERROR('Price History'!H3+(INDEX('Price History'!H:H,MATCH(9.99E+307,'Price History'!$A:$A))-'Price History'!H3)*(ROW()-3)/(MATCH(9.99E+307,'Returns (Calc)'!$A:$A)-3),"")</f>
        <v>48.985974842767298</v>
      </c>
      <c r="AD41" s="84">
        <f>IFERROR('Price History'!I3+(INDEX('Price History'!I:I,MATCH(9.99E+307,'Price History'!$A:$A))-'Price History'!I3)*(ROW()-3)/(MATCH(9.99E+307,'Returns (Calc)'!$A:$A)-3),"")</f>
        <v>31.087106918238995</v>
      </c>
      <c r="AE41" s="84">
        <f>IFERROR('Price History'!J3+(INDEX('Price History'!J:J,MATCH(9.99E+307,'Price History'!$A:$A))-'Price History'!J3)*(ROW()-3)/(MATCH(9.99E+307,'Returns (Calc)'!$A:$A)-3),"")</f>
        <v>93.991886792452831</v>
      </c>
      <c r="AF41" s="84">
        <f>IFERROR('Price History'!K3+(INDEX('Price History'!K:K,MATCH(9.99E+307,'Price History'!$A:$A))-'Price History'!K3)*(ROW()-3)/(MATCH(9.99E+307,'Returns (Calc)'!$A:$A)-3),"")</f>
        <v>11.727106918238993</v>
      </c>
      <c r="AG41" s="84">
        <f>IFERROR('Price History'!L3+(INDEX('Price History'!L:L,MATCH(9.99E+307,'Price History'!$A:$A))-'Price History'!L3)*(ROW()-3)/(MATCH(9.99E+307,'Returns (Calc)'!$A:$A)-3),"")</f>
        <v>70.004968553459122</v>
      </c>
      <c r="AH41" s="84">
        <f>IFERROR('Price History'!M3+(INDEX('Price History'!M:M,MATCH(9.99E+307,'Price History'!$A:$A))-'Price History'!M3)*(ROW()-3)/(MATCH(9.99E+307,'Returns (Calc)'!$A:$A)-3),"")</f>
        <v>25.501320754716978</v>
      </c>
      <c r="AI41" s="84">
        <f>IFERROR('Price History'!N3+(INDEX('Price History'!N:N,MATCH(9.99E+307,'Price History'!$A:$A))-'Price History'!N3)*(ROW()-3)/(MATCH(9.99E+307,'Returns (Calc)'!$A:$A)-3),"")</f>
        <v>266.24566037735849</v>
      </c>
      <c r="AJ41" s="84">
        <f>IFERROR('Price History'!O3+(INDEX('Price History'!O:O,MATCH(9.99E+307,'Price History'!$A:$A))-'Price History'!O3)*(ROW()-3)/(MATCH(9.99E+307,'Returns (Calc)'!$A:$A)-3),"")</f>
        <v>63.049371069182385</v>
      </c>
      <c r="AK41" s="84">
        <f>IFERROR('Price History'!Q3+(INDEX('Price History'!Q:Q,MATCH(9.99E+307,'Price History'!$A:$A))-'Price History'!Q3)*(ROW()-3)/(MATCH(9.99E+307,'Returns (Calc)'!$A:$A)-3),"")</f>
        <v>37.928553459119499</v>
      </c>
      <c r="AL41" s="84">
        <f>IFERROR('Price History'!R3+(INDEX('Price History'!R:R,MATCH(9.99E+307,'Price History'!$A:$A))-'Price History'!R3)*(ROW()-3)/(MATCH(9.99E+307,'Returns (Calc)'!$A:$A)-3),"")</f>
        <v>36.391320754716979</v>
      </c>
      <c r="AM41" s="84">
        <f>IFERROR('Price History'!S3+(INDEX('Price History'!S:S,MATCH(9.99E+307,'Price History'!$A:$A))-'Price History'!S3)*(ROW()-3)/(MATCH(9.99E+307,'Returns (Calc)'!$A:$A)-3),"")</f>
        <v>44.549308176100624</v>
      </c>
      <c r="AN41" s="84">
        <f>IFERROR('Price History'!T3+(INDEX('Price History'!T:T,MATCH(9.99E+307,'Price History'!$A:$A))-'Price History'!T3)*(ROW()-3)/(MATCH(9.99E+307,'Returns (Calc)'!$A:$A)-3),"")</f>
        <v>20.478679245283018</v>
      </c>
      <c r="AO41" s="85">
        <f>IFERROR('Price History'!V3+(INDEX('Price History'!V:V,MATCH(9.99E+307,'Price History'!$A:$A))-'Price History'!V3)*(ROW()-3)/(MATCH(9.99E+307,'Returns (Calc)'!$A:$A)-3),"")</f>
        <v>0</v>
      </c>
    </row>
    <row r="42" spans="1:41" ht="15" customHeight="1" x14ac:dyDescent="0.3">
      <c r="A42" s="81">
        <f>IF('Price History'!A43="","",'Price History'!A43)</f>
        <v>45429</v>
      </c>
      <c r="B42" s="82">
        <f>IFERROR(IF(OR(NOT(ISNUMBER('Price History'!B43)),NOT(ISNUMBER('Price History'!B42)),'Price History'!B42=0),"",'Price History'!B43/'Price History'!B42-1),"")</f>
        <v>2.3637230711812673E-3</v>
      </c>
      <c r="C42" s="82">
        <f>IFERROR(IF(OR(NOT(ISNUMBER('Price History'!C43)),NOT(ISNUMBER('Price History'!C42)),'Price History'!C42=0),"",'Price History'!C43/'Price History'!C42-1),"")</f>
        <v>1.8596357151955178E-2</v>
      </c>
      <c r="D42" s="82">
        <f>IFERROR(IF(OR(NOT(ISNUMBER('Price History'!D43)),NOT(ISNUMBER('Price History'!D42)),'Price History'!D42=0),"",'Price History'!D43/'Price History'!D42-1),"")</f>
        <v>-5.7186468735554996E-3</v>
      </c>
      <c r="E42" s="82">
        <f>IFERROR(IF(OR(NOT(ISNUMBER('Price History'!E43)),NOT(ISNUMBER('Price History'!E42)),'Price History'!E42=0),"",'Price History'!E43/'Price History'!E42-1),"")</f>
        <v>4.6893757503001288E-2</v>
      </c>
      <c r="F42" s="82">
        <f>IFERROR(IF(OR(NOT(ISNUMBER('Price History'!F43)),NOT(ISNUMBER('Price History'!F42)),'Price History'!F42=0),"",'Price History'!F43/'Price History'!F42-1),"")</f>
        <v>7.8438708068337748E-2</v>
      </c>
      <c r="G42" s="82">
        <f>IFERROR(IF(OR(NOT(ISNUMBER('Price History'!G43)),NOT(ISNUMBER('Price History'!G42)),'Price History'!G42=0),"",'Price History'!G43/'Price History'!G42-1),"")</f>
        <v>4.0929973548656573E-2</v>
      </c>
      <c r="H42" s="82">
        <f>IFERROR(IF(OR(NOT(ISNUMBER('Price History'!H43)),NOT(ISNUMBER('Price History'!H42)),'Price History'!H42=0),"",'Price History'!H43/'Price History'!H42-1),"")</f>
        <v>3.340481689211483E-2</v>
      </c>
      <c r="I42" s="82">
        <f>IFERROR(IF(OR(NOT(ISNUMBER('Price History'!I43)),NOT(ISNUMBER('Price History'!I42)),'Price History'!I42=0),"",'Price History'!I43/'Price History'!I42-1),"")</f>
        <v>2.8927458834000941E-2</v>
      </c>
      <c r="J42" s="82">
        <f>IFERROR(IF(OR(NOT(ISNUMBER('Price History'!J43)),NOT(ISNUMBER('Price History'!J42)),'Price History'!J42=0),"",'Price History'!J43/'Price History'!J42-1),"")</f>
        <v>3.7305795887989657E-2</v>
      </c>
      <c r="K42" s="82">
        <f>IFERROR(IF(OR(NOT(ISNUMBER('Price History'!K43)),NOT(ISNUMBER('Price History'!K42)),'Price History'!K42=0),"",'Price History'!K43/'Price History'!K42-1),"")</f>
        <v>5.6310679611650594E-2</v>
      </c>
      <c r="L42" s="82">
        <f>IFERROR(IF(OR(NOT(ISNUMBER('Price History'!L43)),NOT(ISNUMBER('Price History'!L42)),'Price History'!L42=0),"",'Price History'!L43/'Price History'!L42-1),"")</f>
        <v>1.6213319040600416E-2</v>
      </c>
      <c r="M42" s="82">
        <f>IFERROR(IF(OR(NOT(ISNUMBER('Price History'!M43)),NOT(ISNUMBER('Price History'!M42)),'Price History'!M42=0),"",'Price History'!M43/'Price History'!M42-1),"")</f>
        <v>1.477987421383653E-2</v>
      </c>
      <c r="N42" s="82">
        <f>IFERROR(IF(OR(NOT(ISNUMBER('Price History'!N43)),NOT(ISNUMBER('Price History'!N42)),'Price History'!N42=0),"",'Price History'!N43/'Price History'!N42-1),"")</f>
        <v>5.3053597615781323E-2</v>
      </c>
      <c r="O42" s="82">
        <f>IFERROR(IF(OR(NOT(ISNUMBER('Price History'!O43)),NOT(ISNUMBER('Price History'!O42)),'Price History'!O42=0),"",'Price History'!O43/'Price History'!O42-1),"")</f>
        <v>1.1035378123985584E-2</v>
      </c>
      <c r="P42" s="82" t="str">
        <f>IFERROR(IF(OR(NOT(ISNUMBER('Price History'!P43)),NOT(ISNUMBER('Price History'!P42)),'Price History'!P42=0),"",'Price History'!P43/'Price History'!P42-1),"")</f>
        <v/>
      </c>
      <c r="Q42" s="82">
        <f>IFERROR(IF(OR(NOT(ISNUMBER('Price History'!Q43)),NOT(ISNUMBER('Price History'!Q42)),'Price History'!Q42=0),"",'Price History'!Q43/'Price History'!Q42-1),"")</f>
        <v>7.1721311475407834E-3</v>
      </c>
      <c r="R42" s="82">
        <f>IFERROR(IF(OR(NOT(ISNUMBER('Price History'!R43)),NOT(ISNUMBER('Price History'!R42)),'Price History'!R42=0),"",'Price History'!R43/'Price History'!R42-1),"")</f>
        <v>1.1967090501121991E-2</v>
      </c>
      <c r="S42" s="82">
        <f>IFERROR(IF(OR(NOT(ISNUMBER('Price History'!S43)),NOT(ISNUMBER('Price History'!S42)),'Price History'!S42=0),"",'Price History'!S43/'Price History'!S42-1),"")</f>
        <v>1.5084852294154683E-2</v>
      </c>
      <c r="T42" s="82">
        <f>IFERROR(IF(OR(NOT(ISNUMBER('Price History'!T43)),NOT(ISNUMBER('Price History'!T42)),'Price History'!T42=0),"",'Price History'!T43/'Price History'!T42-1),"")</f>
        <v>9.2034274833385776E-3</v>
      </c>
      <c r="U42" s="82" t="str">
        <f>IFERROR(IF(OR(NOT(ISNUMBER('Price History'!U43)),NOT(ISNUMBER('Price History'!U42)),'Price History'!U42=0),"",'Price History'!U43/'Price History'!U42-1),"")</f>
        <v/>
      </c>
      <c r="V42" s="83">
        <f>IFERROR(IF(OR(NOT(ISNUMBER('Price History'!V43)),NOT(ISNUMBER('Price History'!V42)),'Price History'!V42=0),"",'Price History'!V43/'Price History'!V42-1),"")</f>
        <v>-4.3555587818955299E-4</v>
      </c>
      <c r="W42" s="84" t="str">
        <f>IFERROR('Price History'!B3+(INDEX('Price History'!B:B,MATCH(9.99E+307,'Price History'!$A:$A))-'Price History'!B3)*(ROW()-3)/(MATCH(9.99E+307,'Returns (Calc)'!$A:$A)-3),"")</f>
        <v/>
      </c>
      <c r="X42" s="84">
        <f>IFERROR('Price History'!C3+(INDEX('Price History'!C:C,MATCH(9.99E+307,'Price History'!$A:$A))-'Price History'!C3)*(ROW()-3)/(MATCH(9.99E+307,'Returns (Calc)'!$A:$A)-3),"")</f>
        <v>33.011320754716984</v>
      </c>
      <c r="Y42" s="84">
        <f>IFERROR('Price History'!D3+(INDEX('Price History'!D:D,MATCH(9.99E+307,'Price History'!$A:$A))-'Price History'!D3)*(ROW()-3)/(MATCH(9.99E+307,'Returns (Calc)'!$A:$A)-3),"")</f>
        <v>499.4566037735849</v>
      </c>
      <c r="Z42" s="84">
        <f>IFERROR('Price History'!E3+(INDEX('Price History'!E:E,MATCH(9.99E+307,'Price History'!$A:$A))-'Price History'!E3)*(ROW()-3)/(MATCH(9.99E+307,'Returns (Calc)'!$A:$A)-3),"")</f>
        <v>62.62641509433962</v>
      </c>
      <c r="AA42" s="84">
        <f>IFERROR('Price History'!F3+(INDEX('Price History'!F:F,MATCH(9.99E+307,'Price History'!$A:$A))-'Price History'!F3)*(ROW()-3)/(MATCH(9.99E+307,'Returns (Calc)'!$A:$A)-3),"")</f>
        <v>27.969811320754719</v>
      </c>
      <c r="AB42" s="84">
        <f>IFERROR('Price History'!G3+(INDEX('Price History'!G:G,MATCH(9.99E+307,'Price History'!$A:$A))-'Price History'!G3)*(ROW()-3)/(MATCH(9.99E+307,'Returns (Calc)'!$A:$A)-3),"")</f>
        <v>36.150943396226417</v>
      </c>
      <c r="AC42" s="84">
        <f>IFERROR('Price History'!H3+(INDEX('Price History'!H:H,MATCH(9.99E+307,'Price History'!$A:$A))-'Price History'!H3)*(ROW()-3)/(MATCH(9.99E+307,'Returns (Calc)'!$A:$A)-3),"")</f>
        <v>48.5811320754717</v>
      </c>
      <c r="AD42" s="84">
        <f>IFERROR('Price History'!I3+(INDEX('Price History'!I:I,MATCH(9.99E+307,'Price History'!$A:$A))-'Price History'!I3)*(ROW()-3)/(MATCH(9.99E+307,'Returns (Calc)'!$A:$A)-3),"")</f>
        <v>30.830188679245282</v>
      </c>
      <c r="AE42" s="84">
        <f>IFERROR('Price History'!J3+(INDEX('Price History'!J:J,MATCH(9.99E+307,'Price History'!$A:$A))-'Price History'!J3)*(ROW()-3)/(MATCH(9.99E+307,'Returns (Calc)'!$A:$A)-3),"")</f>
        <v>93.215094339622652</v>
      </c>
      <c r="AF42" s="84">
        <f>IFERROR('Price History'!K3+(INDEX('Price History'!K:K,MATCH(9.99E+307,'Price History'!$A:$A))-'Price History'!K3)*(ROW()-3)/(MATCH(9.99E+307,'Returns (Calc)'!$A:$A)-3),"")</f>
        <v>11.630188679245283</v>
      </c>
      <c r="AG42" s="84">
        <f>IFERROR('Price History'!L3+(INDEX('Price History'!L:L,MATCH(9.99E+307,'Price History'!$A:$A))-'Price History'!L3)*(ROW()-3)/(MATCH(9.99E+307,'Returns (Calc)'!$A:$A)-3),"")</f>
        <v>69.426415094339617</v>
      </c>
      <c r="AH42" s="84">
        <f>IFERROR('Price History'!M3+(INDEX('Price History'!M:M,MATCH(9.99E+307,'Price History'!$A:$A))-'Price History'!M3)*(ROW()-3)/(MATCH(9.99E+307,'Returns (Calc)'!$A:$A)-3),"")</f>
        <v>25.29056603773585</v>
      </c>
      <c r="AI42" s="84">
        <f>IFERROR('Price History'!N3+(INDEX('Price History'!N:N,MATCH(9.99E+307,'Price History'!$A:$A))-'Price History'!N3)*(ROW()-3)/(MATCH(9.99E+307,'Returns (Calc)'!$A:$A)-3),"")</f>
        <v>264.04528301886796</v>
      </c>
      <c r="AJ42" s="84">
        <f>IFERROR('Price History'!O3+(INDEX('Price History'!O:O,MATCH(9.99E+307,'Price History'!$A:$A))-'Price History'!O3)*(ROW()-3)/(MATCH(9.99E+307,'Returns (Calc)'!$A:$A)-3),"")</f>
        <v>62.528301886792448</v>
      </c>
      <c r="AK42" s="84">
        <f>IFERROR('Price History'!Q3+(INDEX('Price History'!Q:Q,MATCH(9.99E+307,'Price History'!$A:$A))-'Price History'!Q3)*(ROW()-3)/(MATCH(9.99E+307,'Returns (Calc)'!$A:$A)-3),"")</f>
        <v>37.615094339622644</v>
      </c>
      <c r="AL42" s="84">
        <f>IFERROR('Price History'!R3+(INDEX('Price History'!R:R,MATCH(9.99E+307,'Price History'!$A:$A))-'Price History'!R3)*(ROW()-3)/(MATCH(9.99E+307,'Returns (Calc)'!$A:$A)-3),"")</f>
        <v>36.090566037735847</v>
      </c>
      <c r="AM42" s="84">
        <f>IFERROR('Price History'!S3+(INDEX('Price History'!S:S,MATCH(9.99E+307,'Price History'!$A:$A))-'Price History'!S3)*(ROW()-3)/(MATCH(9.99E+307,'Returns (Calc)'!$A:$A)-3),"")</f>
        <v>44.181132075471695</v>
      </c>
      <c r="AN42" s="84">
        <f>IFERROR('Price History'!T3+(INDEX('Price History'!T:T,MATCH(9.99E+307,'Price History'!$A:$A))-'Price History'!T3)*(ROW()-3)/(MATCH(9.99E+307,'Returns (Calc)'!$A:$A)-3),"")</f>
        <v>20.309433962264151</v>
      </c>
      <c r="AO42" s="85">
        <f>IFERROR('Price History'!V3+(INDEX('Price History'!V:V,MATCH(9.99E+307,'Price History'!$A:$A))-'Price History'!V3)*(ROW()-3)/(MATCH(9.99E+307,'Returns (Calc)'!$A:$A)-3),"")</f>
        <v>0</v>
      </c>
    </row>
    <row r="43" spans="1:41" ht="15" customHeight="1" x14ac:dyDescent="0.3">
      <c r="A43" s="81">
        <f>IF('Price History'!A44="","",'Price History'!A44)</f>
        <v>45436</v>
      </c>
      <c r="B43" s="82">
        <f>IFERROR(IF(OR(NOT(ISNUMBER('Price History'!B44)),NOT(ISNUMBER('Price History'!B43)),'Price History'!B43=0),"",'Price History'!B44/'Price History'!B43-1),"")</f>
        <v>-1.6548414455040072E-2</v>
      </c>
      <c r="C43" s="82">
        <f>IFERROR(IF(OR(NOT(ISNUMBER('Price History'!C44)),NOT(ISNUMBER('Price History'!C43)),'Price History'!C43=0),"",'Price History'!C44/'Price History'!C43-1),"")</f>
        <v>-4.1640615230711497E-2</v>
      </c>
      <c r="D43" s="82">
        <f>IFERROR(IF(OR(NOT(ISNUMBER('Price History'!D44)),NOT(ISNUMBER('Price History'!D43)),'Price History'!D43=0),"",'Price History'!D44/'Price History'!D43-1),"")</f>
        <v>3.3784879509605625E-2</v>
      </c>
      <c r="E43" s="82">
        <f>IFERROR(IF(OR(NOT(ISNUMBER('Price History'!E44)),NOT(ISNUMBER('Price History'!E43)),'Price History'!E43=0),"",'Price History'!E44/'Price History'!E43-1),"")</f>
        <v>8.958646885974364E-3</v>
      </c>
      <c r="F43" s="82">
        <f>IFERROR(IF(OR(NOT(ISNUMBER('Price History'!F44)),NOT(ISNUMBER('Price History'!F43)),'Price History'!F43=0),"",'Price History'!F44/'Price History'!F43-1),"")</f>
        <v>1.6073080481036062E-2</v>
      </c>
      <c r="G43" s="82">
        <f>IFERROR(IF(OR(NOT(ISNUMBER('Price History'!G44)),NOT(ISNUMBER('Price History'!G43)),'Price History'!G43=0),"",'Price History'!G44/'Price History'!G43-1),"")</f>
        <v>4.1995452721679927E-2</v>
      </c>
      <c r="H43" s="82">
        <f>IFERROR(IF(OR(NOT(ISNUMBER('Price History'!H44)),NOT(ISNUMBER('Price History'!H43)),'Price History'!H43=0),"",'Price History'!H44/'Price History'!H43-1),"")</f>
        <v>3.3522228430042267E-2</v>
      </c>
      <c r="I43" s="82">
        <f>IFERROR(IF(OR(NOT(ISNUMBER('Price History'!I44)),NOT(ISNUMBER('Price History'!I43)),'Price History'!I43=0),"",'Price History'!I44/'Price History'!I43-1),"")</f>
        <v>0.15127595155709339</v>
      </c>
      <c r="J43" s="82">
        <f>IFERROR(IF(OR(NOT(ISNUMBER('Price History'!J44)),NOT(ISNUMBER('Price History'!J43)),'Price History'!J43=0),"",'Price History'!J44/'Price History'!J43-1),"")</f>
        <v>-6.0538116591928204E-2</v>
      </c>
      <c r="K43" s="82">
        <f>IFERROR(IF(OR(NOT(ISNUMBER('Price History'!K44)),NOT(ISNUMBER('Price History'!K43)),'Price History'!K43=0),"",'Price History'!K44/'Price History'!K43-1),"")</f>
        <v>-3.4466911764705843E-2</v>
      </c>
      <c r="L43" s="82">
        <f>IFERROR(IF(OR(NOT(ISNUMBER('Price History'!L44)),NOT(ISNUMBER('Price History'!L43)),'Price History'!L43=0),"",'Price History'!L44/'Price History'!L43-1),"")</f>
        <v>5.4852320675105481E-2</v>
      </c>
      <c r="M43" s="82">
        <f>IFERROR(IF(OR(NOT(ISNUMBER('Price History'!M44)),NOT(ISNUMBER('Price History'!M43)),'Price History'!M43=0),"",'Price History'!M44/'Price History'!M43-1),"")</f>
        <v>9.6684226836070586E-2</v>
      </c>
      <c r="N43" s="82">
        <f>IFERROR(IF(OR(NOT(ISNUMBER('Price History'!N44)),NOT(ISNUMBER('Price History'!N43)),'Price History'!N43=0),"",'Price History'!N44/'Price History'!N43-1),"")</f>
        <v>2.6369578401203908E-2</v>
      </c>
      <c r="O43" s="82">
        <f>IFERROR(IF(OR(NOT(ISNUMBER('Price History'!O44)),NOT(ISNUMBER('Price History'!O43)),'Price History'!O43=0),"",'Price History'!O44/'Price History'!O43-1),"")</f>
        <v>-1.4874264312466523E-2</v>
      </c>
      <c r="P43" s="82" t="str">
        <f>IFERROR(IF(OR(NOT(ISNUMBER('Price History'!P44)),NOT(ISNUMBER('Price History'!P43)),'Price History'!P43=0),"",'Price History'!P44/'Price History'!P43-1),"")</f>
        <v/>
      </c>
      <c r="Q43" s="82">
        <f>IFERROR(IF(OR(NOT(ISNUMBER('Price History'!Q44)),NOT(ISNUMBER('Price History'!Q43)),'Price History'!Q43=0),"",'Price History'!Q44/'Price History'!Q43-1),"")</f>
        <v>3.390979993218135E-3</v>
      </c>
      <c r="R43" s="82">
        <f>IFERROR(IF(OR(NOT(ISNUMBER('Price History'!R44)),NOT(ISNUMBER('Price History'!R43)),'Price History'!R43=0),"",'Price History'!R44/'Price History'!R43-1),"")</f>
        <v>4.8041389504804854E-3</v>
      </c>
      <c r="S43" s="82">
        <f>IFERROR(IF(OR(NOT(ISNUMBER('Price History'!S44)),NOT(ISNUMBER('Price History'!S43)),'Price History'!S43=0),"",'Price History'!S44/'Price History'!S43-1),"")</f>
        <v>1.9442724458204275E-2</v>
      </c>
      <c r="T43" s="82">
        <f>IFERROR(IF(OR(NOT(ISNUMBER('Price History'!T44)),NOT(ISNUMBER('Price History'!T43)),'Price History'!T43=0),"",'Price History'!T44/'Price History'!T43-1),"")</f>
        <v>-1.6981132075471694E-2</v>
      </c>
      <c r="U43" s="82" t="str">
        <f>IFERROR(IF(OR(NOT(ISNUMBER('Price History'!U44)),NOT(ISNUMBER('Price History'!U43)),'Price History'!U43=0),"",'Price History'!U44/'Price History'!U43-1),"")</f>
        <v/>
      </c>
      <c r="V43" s="83">
        <f>IFERROR(IF(OR(NOT(ISNUMBER('Price History'!V44)),NOT(ISNUMBER('Price History'!V43)),'Price History'!V43=0),"",'Price History'!V44/'Price History'!V43-1),"")</f>
        <v>-2.0044300809760607E-2</v>
      </c>
      <c r="W43" s="84" t="str">
        <f>IFERROR('Price History'!B3+(INDEX('Price History'!B:B,MATCH(9.99E+307,'Price History'!$A:$A))-'Price History'!B3)*(ROW()-3)/(MATCH(9.99E+307,'Returns (Calc)'!$A:$A)-3),"")</f>
        <v/>
      </c>
      <c r="X43" s="84">
        <f>IFERROR('Price History'!C3+(INDEX('Price History'!C:C,MATCH(9.99E+307,'Price History'!$A:$A))-'Price History'!C3)*(ROW()-3)/(MATCH(9.99E+307,'Returns (Calc)'!$A:$A)-3),"")</f>
        <v>32.736226415094343</v>
      </c>
      <c r="Y43" s="84">
        <f>IFERROR('Price History'!D3+(INDEX('Price History'!D:D,MATCH(9.99E+307,'Price History'!$A:$A))-'Price History'!D3)*(ROW()-3)/(MATCH(9.99E+307,'Returns (Calc)'!$A:$A)-3),"")</f>
        <v>495.29446540880502</v>
      </c>
      <c r="Z43" s="84">
        <f>IFERROR('Price History'!E3+(INDEX('Price History'!E:E,MATCH(9.99E+307,'Price History'!$A:$A))-'Price History'!E3)*(ROW()-3)/(MATCH(9.99E+307,'Returns (Calc)'!$A:$A)-3),"")</f>
        <v>62.104528301886795</v>
      </c>
      <c r="AA43" s="84">
        <f>IFERROR('Price History'!F3+(INDEX('Price History'!F:F,MATCH(9.99E+307,'Price History'!$A:$A))-'Price History'!F3)*(ROW()-3)/(MATCH(9.99E+307,'Returns (Calc)'!$A:$A)-3),"")</f>
        <v>27.736729559748429</v>
      </c>
      <c r="AB43" s="84">
        <f>IFERROR('Price History'!G3+(INDEX('Price History'!G:G,MATCH(9.99E+307,'Price History'!$A:$A))-'Price History'!G3)*(ROW()-3)/(MATCH(9.99E+307,'Returns (Calc)'!$A:$A)-3),"")</f>
        <v>35.849685534591195</v>
      </c>
      <c r="AC43" s="84">
        <f>IFERROR('Price History'!H3+(INDEX('Price History'!H:H,MATCH(9.99E+307,'Price History'!$A:$A))-'Price History'!H3)*(ROW()-3)/(MATCH(9.99E+307,'Returns (Calc)'!$A:$A)-3),"")</f>
        <v>48.176289308176109</v>
      </c>
      <c r="AD43" s="84">
        <f>IFERROR('Price History'!I3+(INDEX('Price History'!I:I,MATCH(9.99E+307,'Price History'!$A:$A))-'Price History'!I3)*(ROW()-3)/(MATCH(9.99E+307,'Returns (Calc)'!$A:$A)-3),"")</f>
        <v>30.573270440251573</v>
      </c>
      <c r="AE43" s="84">
        <f>IFERROR('Price History'!J3+(INDEX('Price History'!J:J,MATCH(9.99E+307,'Price History'!$A:$A))-'Price History'!J3)*(ROW()-3)/(MATCH(9.99E+307,'Returns (Calc)'!$A:$A)-3),"")</f>
        <v>92.438301886792459</v>
      </c>
      <c r="AF43" s="84">
        <f>IFERROR('Price History'!K3+(INDEX('Price History'!K:K,MATCH(9.99E+307,'Price History'!$A:$A))-'Price History'!K3)*(ROW()-3)/(MATCH(9.99E+307,'Returns (Calc)'!$A:$A)-3),"")</f>
        <v>11.533270440251572</v>
      </c>
      <c r="AG43" s="84">
        <f>IFERROR('Price History'!L3+(INDEX('Price History'!L:L,MATCH(9.99E+307,'Price History'!$A:$A))-'Price History'!L3)*(ROW()-3)/(MATCH(9.99E+307,'Returns (Calc)'!$A:$A)-3),"")</f>
        <v>68.847861635220113</v>
      </c>
      <c r="AH43" s="84">
        <f>IFERROR('Price History'!M3+(INDEX('Price History'!M:M,MATCH(9.99E+307,'Price History'!$A:$A))-'Price History'!M3)*(ROW()-3)/(MATCH(9.99E+307,'Returns (Calc)'!$A:$A)-3),"")</f>
        <v>25.079811320754715</v>
      </c>
      <c r="AI43" s="84">
        <f>IFERROR('Price History'!N3+(INDEX('Price History'!N:N,MATCH(9.99E+307,'Price History'!$A:$A))-'Price History'!N3)*(ROW()-3)/(MATCH(9.99E+307,'Returns (Calc)'!$A:$A)-3),"")</f>
        <v>261.84490566037738</v>
      </c>
      <c r="AJ43" s="84">
        <f>IFERROR('Price History'!O3+(INDEX('Price History'!O:O,MATCH(9.99E+307,'Price History'!$A:$A))-'Price History'!O3)*(ROW()-3)/(MATCH(9.99E+307,'Returns (Calc)'!$A:$A)-3),"")</f>
        <v>62.007232704402512</v>
      </c>
      <c r="AK43" s="84">
        <f>IFERROR('Price History'!Q3+(INDEX('Price History'!Q:Q,MATCH(9.99E+307,'Price History'!$A:$A))-'Price History'!Q3)*(ROW()-3)/(MATCH(9.99E+307,'Returns (Calc)'!$A:$A)-3),"")</f>
        <v>37.301635220125789</v>
      </c>
      <c r="AL43" s="84">
        <f>IFERROR('Price History'!R3+(INDEX('Price History'!R:R,MATCH(9.99E+307,'Price History'!$A:$A))-'Price History'!R3)*(ROW()-3)/(MATCH(9.99E+307,'Returns (Calc)'!$A:$A)-3),"")</f>
        <v>35.789811320754715</v>
      </c>
      <c r="AM43" s="84">
        <f>IFERROR('Price History'!S3+(INDEX('Price History'!S:S,MATCH(9.99E+307,'Price History'!$A:$A))-'Price History'!S3)*(ROW()-3)/(MATCH(9.99E+307,'Returns (Calc)'!$A:$A)-3),"")</f>
        <v>43.812955974842765</v>
      </c>
      <c r="AN43" s="84">
        <f>IFERROR('Price History'!T3+(INDEX('Price History'!T:T,MATCH(9.99E+307,'Price History'!$A:$A))-'Price History'!T3)*(ROW()-3)/(MATCH(9.99E+307,'Returns (Calc)'!$A:$A)-3),"")</f>
        <v>20.140188679245284</v>
      </c>
      <c r="AO43" s="85">
        <f>IFERROR('Price History'!V3+(INDEX('Price History'!V:V,MATCH(9.99E+307,'Price History'!$A:$A))-'Price History'!V3)*(ROW()-3)/(MATCH(9.99E+307,'Returns (Calc)'!$A:$A)-3),"")</f>
        <v>0</v>
      </c>
    </row>
    <row r="44" spans="1:41" ht="15" customHeight="1" x14ac:dyDescent="0.3">
      <c r="A44" s="81">
        <f>IF('Price History'!A45="","",'Price History'!A45)</f>
        <v>45443</v>
      </c>
      <c r="B44" s="82">
        <f>IFERROR(IF(OR(NOT(ISNUMBER('Price History'!B45)),NOT(ISNUMBER('Price History'!B44)),'Price History'!B44=0),"",'Price History'!B45/'Price History'!B44-1),"")</f>
        <v>-6.4510022505942066E-2</v>
      </c>
      <c r="C44" s="82">
        <f>IFERROR(IF(OR(NOT(ISNUMBER('Price History'!C45)),NOT(ISNUMBER('Price History'!C44)),'Price History'!C44=0),"",'Price History'!C45/'Price History'!C44-1),"")</f>
        <v>-2.9097077244258918E-2</v>
      </c>
      <c r="D44" s="82">
        <f>IFERROR(IF(OR(NOT(ISNUMBER('Price History'!D45)),NOT(ISNUMBER('Price History'!D44)),'Price History'!D44=0),"",'Price History'!D45/'Price History'!D44-1),"")</f>
        <v>4.3190897492209057E-3</v>
      </c>
      <c r="E44" s="82">
        <f>IFERROR(IF(OR(NOT(ISNUMBER('Price History'!E45)),NOT(ISNUMBER('Price History'!E44)),'Price History'!E44=0),"",'Price History'!E45/'Price History'!E44-1),"")</f>
        <v>-5.6329024009092232E-2</v>
      </c>
      <c r="F44" s="82">
        <f>IFERROR(IF(OR(NOT(ISNUMBER('Price History'!F45)),NOT(ISNUMBER('Price History'!F44)),'Price History'!F44=0),"",'Price History'!F45/'Price History'!F44-1),"")</f>
        <v>-0.10754523728234899</v>
      </c>
      <c r="G44" s="82">
        <f>IFERROR(IF(OR(NOT(ISNUMBER('Price History'!G45)),NOT(ISNUMBER('Price History'!G44)),'Price History'!G44=0),"",'Price History'!G45/'Price History'!G44-1),"")</f>
        <v>-2.5157232704402399E-2</v>
      </c>
      <c r="H44" s="82">
        <f>IFERROR(IF(OR(NOT(ISNUMBER('Price History'!H45)),NOT(ISNUMBER('Price History'!H44)),'Price History'!H44=0),"",'Price History'!H45/'Price History'!H44-1),"")</f>
        <v>-3.4674492238782939E-2</v>
      </c>
      <c r="I44" s="82">
        <f>IFERROR(IF(OR(NOT(ISNUMBER('Price History'!I45)),NOT(ISNUMBER('Price History'!I44)),'Price History'!I44=0),"",'Price History'!I45/'Price History'!I44-1),"")</f>
        <v>2.9679721987414309E-2</v>
      </c>
      <c r="J44" s="82">
        <f>IFERROR(IF(OR(NOT(ISNUMBER('Price History'!J45)),NOT(ISNUMBER('Price History'!J44)),'Price History'!J44=0),"",'Price History'!J45/'Price History'!J44-1),"")</f>
        <v>5.4797136038186034E-2</v>
      </c>
      <c r="K44" s="82">
        <f>IFERROR(IF(OR(NOT(ISNUMBER('Price History'!K45)),NOT(ISNUMBER('Price History'!K44)),'Price History'!K44=0),"",'Price History'!K45/'Price History'!K44-1),"")</f>
        <v>3.188957639219403E-2</v>
      </c>
      <c r="L44" s="82">
        <f>IFERROR(IF(OR(NOT(ISNUMBER('Price History'!L45)),NOT(ISNUMBER('Price History'!L44)),'Price History'!L44=0),"",'Price History'!L45/'Price History'!L44-1),"")</f>
        <v>-5.600000000000005E-2</v>
      </c>
      <c r="M44" s="82">
        <f>IFERROR(IF(OR(NOT(ISNUMBER('Price History'!M45)),NOT(ISNUMBER('Price History'!M44)),'Price History'!M44=0),"",'Price History'!M45/'Price History'!M44-1),"")</f>
        <v>-7.6292738061599419E-2</v>
      </c>
      <c r="N44" s="82">
        <f>IFERROR(IF(OR(NOT(ISNUMBER('Price History'!N45)),NOT(ISNUMBER('Price History'!N44)),'Price History'!N44=0),"",'Price History'!N45/'Price History'!N44-1),"")</f>
        <v>-3.5233614180982809E-3</v>
      </c>
      <c r="O44" s="82">
        <f>IFERROR(IF(OR(NOT(ISNUMBER('Price History'!O45)),NOT(ISNUMBER('Price History'!O44)),'Price History'!O44=0),"",'Price History'!O45/'Price History'!O44-1),"")</f>
        <v>1.0753856180751642E-2</v>
      </c>
      <c r="P44" s="82" t="str">
        <f>IFERROR(IF(OR(NOT(ISNUMBER('Price History'!P45)),NOT(ISNUMBER('Price History'!P44)),'Price History'!P44=0),"",'Price History'!P45/'Price History'!P44-1),"")</f>
        <v/>
      </c>
      <c r="Q44" s="82">
        <f>IFERROR(IF(OR(NOT(ISNUMBER('Price History'!Q45)),NOT(ISNUMBER('Price History'!Q44)),'Price History'!Q44=0),"",'Price History'!Q45/'Price History'!Q44-1),"")</f>
        <v>-6.5900642108820406E-3</v>
      </c>
      <c r="R44" s="82">
        <f>IFERROR(IF(OR(NOT(ISNUMBER('Price History'!R45)),NOT(ISNUMBER('Price History'!R44)),'Price History'!R44=0),"",'Price History'!R45/'Price History'!R44-1),"")</f>
        <v>-3.4939315924973346E-3</v>
      </c>
      <c r="S44" s="82">
        <f>IFERROR(IF(OR(NOT(ISNUMBER('Price History'!S45)),NOT(ISNUMBER('Price History'!S44)),'Price History'!S44=0),"",'Price History'!S45/'Price History'!S44-1),"")</f>
        <v>-1.0932944606413919E-2</v>
      </c>
      <c r="T44" s="82">
        <f>IFERROR(IF(OR(NOT(ISNUMBER('Price History'!T45)),NOT(ISNUMBER('Price History'!T44)),'Price History'!T44=0),"",'Price History'!T45/'Price History'!T44-1),"")</f>
        <v>1.1516314779270509E-2</v>
      </c>
      <c r="U44" s="82" t="str">
        <f>IFERROR(IF(OR(NOT(ISNUMBER('Price History'!U45)),NOT(ISNUMBER('Price History'!U44)),'Price History'!U44=0),"",'Price History'!U45/'Price History'!U44-1),"")</f>
        <v/>
      </c>
      <c r="V44" s="83">
        <f>IFERROR(IF(OR(NOT(ISNUMBER('Price History'!V45)),NOT(ISNUMBER('Price History'!V44)),'Price History'!V44=0),"",'Price History'!V45/'Price History'!V44-1),"")</f>
        <v>-7.3739207766703174E-3</v>
      </c>
      <c r="W44" s="84" t="str">
        <f>IFERROR('Price History'!B3+(INDEX('Price History'!B:B,MATCH(9.99E+307,'Price History'!$A:$A))-'Price History'!B3)*(ROW()-3)/(MATCH(9.99E+307,'Returns (Calc)'!$A:$A)-3),"")</f>
        <v/>
      </c>
      <c r="X44" s="84">
        <f>IFERROR('Price History'!C3+(INDEX('Price History'!C:C,MATCH(9.99E+307,'Price History'!$A:$A))-'Price History'!C3)*(ROW()-3)/(MATCH(9.99E+307,'Returns (Calc)'!$A:$A)-3),"")</f>
        <v>32.461132075471696</v>
      </c>
      <c r="Y44" s="84">
        <f>IFERROR('Price History'!D3+(INDEX('Price History'!D:D,MATCH(9.99E+307,'Price History'!$A:$A))-'Price History'!D3)*(ROW()-3)/(MATCH(9.99E+307,'Returns (Calc)'!$A:$A)-3),"")</f>
        <v>491.13232704402515</v>
      </c>
      <c r="Z44" s="84">
        <f>IFERROR('Price History'!E3+(INDEX('Price History'!E:E,MATCH(9.99E+307,'Price History'!$A:$A))-'Price History'!E3)*(ROW()-3)/(MATCH(9.99E+307,'Returns (Calc)'!$A:$A)-3),"")</f>
        <v>61.582641509433969</v>
      </c>
      <c r="AA44" s="84">
        <f>IFERROR('Price History'!F3+(INDEX('Price History'!F:F,MATCH(9.99E+307,'Price History'!$A:$A))-'Price History'!F3)*(ROW()-3)/(MATCH(9.99E+307,'Returns (Calc)'!$A:$A)-3),"")</f>
        <v>27.50364779874214</v>
      </c>
      <c r="AB44" s="84">
        <f>IFERROR('Price History'!G3+(INDEX('Price History'!G:G,MATCH(9.99E+307,'Price History'!$A:$A))-'Price History'!G3)*(ROW()-3)/(MATCH(9.99E+307,'Returns (Calc)'!$A:$A)-3),"")</f>
        <v>35.548427672955974</v>
      </c>
      <c r="AC44" s="84">
        <f>IFERROR('Price History'!H3+(INDEX('Price History'!H:H,MATCH(9.99E+307,'Price History'!$A:$A))-'Price History'!H3)*(ROW()-3)/(MATCH(9.99E+307,'Returns (Calc)'!$A:$A)-3),"")</f>
        <v>47.771446540880504</v>
      </c>
      <c r="AD44" s="84">
        <f>IFERROR('Price History'!I3+(INDEX('Price History'!I:I,MATCH(9.99E+307,'Price History'!$A:$A))-'Price History'!I3)*(ROW()-3)/(MATCH(9.99E+307,'Returns (Calc)'!$A:$A)-3),"")</f>
        <v>30.316352201257864</v>
      </c>
      <c r="AE44" s="84">
        <f>IFERROR('Price History'!J3+(INDEX('Price History'!J:J,MATCH(9.99E+307,'Price History'!$A:$A))-'Price History'!J3)*(ROW()-3)/(MATCH(9.99E+307,'Returns (Calc)'!$A:$A)-3),"")</f>
        <v>91.661509433962266</v>
      </c>
      <c r="AF44" s="84">
        <f>IFERROR('Price History'!K3+(INDEX('Price History'!K:K,MATCH(9.99E+307,'Price History'!$A:$A))-'Price History'!K3)*(ROW()-3)/(MATCH(9.99E+307,'Returns (Calc)'!$A:$A)-3),"")</f>
        <v>11.436352201257861</v>
      </c>
      <c r="AG44" s="84">
        <f>IFERROR('Price History'!L3+(INDEX('Price History'!L:L,MATCH(9.99E+307,'Price History'!$A:$A))-'Price History'!L3)*(ROW()-3)/(MATCH(9.99E+307,'Returns (Calc)'!$A:$A)-3),"")</f>
        <v>68.269308176100623</v>
      </c>
      <c r="AH44" s="84">
        <f>IFERROR('Price History'!M3+(INDEX('Price History'!M:M,MATCH(9.99E+307,'Price History'!$A:$A))-'Price History'!M3)*(ROW()-3)/(MATCH(9.99E+307,'Returns (Calc)'!$A:$A)-3),"")</f>
        <v>24.869056603773586</v>
      </c>
      <c r="AI44" s="84">
        <f>IFERROR('Price History'!N3+(INDEX('Price History'!N:N,MATCH(9.99E+307,'Price History'!$A:$A))-'Price History'!N3)*(ROW()-3)/(MATCH(9.99E+307,'Returns (Calc)'!$A:$A)-3),"")</f>
        <v>259.64452830188679</v>
      </c>
      <c r="AJ44" s="84">
        <f>IFERROR('Price History'!O3+(INDEX('Price History'!O:O,MATCH(9.99E+307,'Price History'!$A:$A))-'Price History'!O3)*(ROW()-3)/(MATCH(9.99E+307,'Returns (Calc)'!$A:$A)-3),"")</f>
        <v>61.486163522012575</v>
      </c>
      <c r="AK44" s="84">
        <f>IFERROR('Price History'!Q3+(INDEX('Price History'!Q:Q,MATCH(9.99E+307,'Price History'!$A:$A))-'Price History'!Q3)*(ROW()-3)/(MATCH(9.99E+307,'Returns (Calc)'!$A:$A)-3),"")</f>
        <v>36.988176100628934</v>
      </c>
      <c r="AL44" s="84">
        <f>IFERROR('Price History'!R3+(INDEX('Price History'!R:R,MATCH(9.99E+307,'Price History'!$A:$A))-'Price History'!R3)*(ROW()-3)/(MATCH(9.99E+307,'Returns (Calc)'!$A:$A)-3),"")</f>
        <v>35.489056603773584</v>
      </c>
      <c r="AM44" s="84">
        <f>IFERROR('Price History'!S3+(INDEX('Price History'!S:S,MATCH(9.99E+307,'Price History'!$A:$A))-'Price History'!S3)*(ROW()-3)/(MATCH(9.99E+307,'Returns (Calc)'!$A:$A)-3),"")</f>
        <v>43.444779874213836</v>
      </c>
      <c r="AN44" s="84">
        <f>IFERROR('Price History'!T3+(INDEX('Price History'!T:T,MATCH(9.99E+307,'Price History'!$A:$A))-'Price History'!T3)*(ROW()-3)/(MATCH(9.99E+307,'Returns (Calc)'!$A:$A)-3),"")</f>
        <v>19.970943396226417</v>
      </c>
      <c r="AO44" s="85">
        <f>IFERROR('Price History'!V3+(INDEX('Price History'!V:V,MATCH(9.99E+307,'Price History'!$A:$A))-'Price History'!V3)*(ROW()-3)/(MATCH(9.99E+307,'Returns (Calc)'!$A:$A)-3),"")</f>
        <v>0</v>
      </c>
    </row>
    <row r="45" spans="1:41" ht="15" customHeight="1" x14ac:dyDescent="0.3">
      <c r="A45" s="81">
        <f>IF('Price History'!A46="","",'Price History'!A46)</f>
        <v>45450</v>
      </c>
      <c r="B45" s="82">
        <f>IFERROR(IF(OR(NOT(ISNUMBER('Price History'!B46)),NOT(ISNUMBER('Price History'!B45)),'Price History'!B45=0),"",'Price History'!B46/'Price History'!B45-1),"")</f>
        <v>4.6474503102797105E-2</v>
      </c>
      <c r="C45" s="82">
        <f>IFERROR(IF(OR(NOT(ISNUMBER('Price History'!C46)),NOT(ISNUMBER('Price History'!C45)),'Price History'!C45=0),"",'Price History'!C46/'Price History'!C45-1),"")</f>
        <v>-2.8222013170271509E-3</v>
      </c>
      <c r="D45" s="82">
        <f>IFERROR(IF(OR(NOT(ISNUMBER('Price History'!D46)),NOT(ISNUMBER('Price History'!D45)),'Price History'!D45=0),"",'Price History'!D46/'Price History'!D45-1),"")</f>
        <v>7.0880408184516019E-2</v>
      </c>
      <c r="E45" s="82">
        <f>IFERROR(IF(OR(NOT(ISNUMBER('Price History'!E46)),NOT(ISNUMBER('Price History'!E45)),'Price History'!E45=0),"",'Price History'!E46/'Price History'!E45-1),"")</f>
        <v>5.8788106887467162E-2</v>
      </c>
      <c r="F45" s="82">
        <f>IFERROR(IF(OR(NOT(ISNUMBER('Price History'!F46)),NOT(ISNUMBER('Price History'!F45)),'Price History'!F45=0),"",'Price History'!F46/'Price History'!F45-1),"")</f>
        <v>0.11298138230043353</v>
      </c>
      <c r="G45" s="82">
        <f>IFERROR(IF(OR(NOT(ISNUMBER('Price History'!G46)),NOT(ISNUMBER('Price History'!G45)),'Price History'!G45=0),"",'Price History'!G46/'Price History'!G45-1),"")</f>
        <v>1.2508229098090906E-2</v>
      </c>
      <c r="H45" s="82">
        <f>IFERROR(IF(OR(NOT(ISNUMBER('Price History'!H46)),NOT(ISNUMBER('Price History'!H45)),'Price History'!H45=0),"",'Price History'!H46/'Price History'!H45-1),"")</f>
        <v>4.7520000000000007E-2</v>
      </c>
      <c r="I45" s="82">
        <f>IFERROR(IF(OR(NOT(ISNUMBER('Price History'!I46)),NOT(ISNUMBER('Price History'!I45)),'Price History'!I45=0),"",'Price History'!I46/'Price History'!I45-1),"")</f>
        <v>0.10270911246921477</v>
      </c>
      <c r="J45" s="82">
        <f>IFERROR(IF(OR(NOT(ISNUMBER('Price History'!J46)),NOT(ISNUMBER('Price History'!J45)),'Price History'!J45=0),"",'Price History'!J46/'Price History'!J45-1),"")</f>
        <v>-2.624671916010457E-3</v>
      </c>
      <c r="K45" s="82">
        <f>IFERROR(IF(OR(NOT(ISNUMBER('Price History'!K46)),NOT(ISNUMBER('Price History'!K45)),'Price History'!K45=0),"",'Price History'!K46/'Price History'!K45-1),"")</f>
        <v>7.5184501845018348E-2</v>
      </c>
      <c r="L45" s="82">
        <f>IFERROR(IF(OR(NOT(ISNUMBER('Price History'!L46)),NOT(ISNUMBER('Price History'!L45)),'Price History'!L45=0),"",'Price History'!L46/'Price History'!L45-1),"")</f>
        <v>8.8387182203389703E-2</v>
      </c>
      <c r="M45" s="82">
        <f>IFERROR(IF(OR(NOT(ISNUMBER('Price History'!M46)),NOT(ISNUMBER('Price History'!M45)),'Price History'!M45=0),"",'Price History'!M46/'Price History'!M45-1),"")</f>
        <v>-0.10594473335372678</v>
      </c>
      <c r="N45" s="82">
        <f>IFERROR(IF(OR(NOT(ISNUMBER('Price History'!N46)),NOT(ISNUMBER('Price History'!N45)),'Price History'!N45=0),"",'Price History'!N46/'Price History'!N45-1),"")</f>
        <v>6.0833662757499907E-2</v>
      </c>
      <c r="O45" s="82">
        <f>IFERROR(IF(OR(NOT(ISNUMBER('Price History'!O46)),NOT(ISNUMBER('Price History'!O45)),'Price History'!O45=0),"",'Price History'!O46/'Price History'!O45-1),"")</f>
        <v>-3.4067705534658765E-2</v>
      </c>
      <c r="P45" s="82" t="str">
        <f>IFERROR(IF(OR(NOT(ISNUMBER('Price History'!P46)),NOT(ISNUMBER('Price History'!P45)),'Price History'!P45=0),"",'Price History'!P46/'Price History'!P45-1),"")</f>
        <v/>
      </c>
      <c r="Q45" s="82">
        <f>IFERROR(IF(OR(NOT(ISNUMBER('Price History'!Q46)),NOT(ISNUMBER('Price History'!Q45)),'Price History'!Q45=0),"",'Price History'!Q46/'Price History'!Q45-1),"")</f>
        <v>-4.2524238816125104E-3</v>
      </c>
      <c r="R45" s="82">
        <f>IFERROR(IF(OR(NOT(ISNUMBER('Price History'!R46)),NOT(ISNUMBER('Price History'!R45)),'Price History'!R45=0),"",'Price History'!R46/'Price History'!R45-1),"")</f>
        <v>5.5360767669312416E-3</v>
      </c>
      <c r="S45" s="82">
        <f>IFERROR(IF(OR(NOT(ISNUMBER('Price History'!S46)),NOT(ISNUMBER('Price History'!S45)),'Price History'!S45=0),"",'Price History'!S46/'Price History'!S45-1),"")</f>
        <v>3.0336526651928208E-2</v>
      </c>
      <c r="T45" s="82">
        <f>IFERROR(IF(OR(NOT(ISNUMBER('Price History'!T46)),NOT(ISNUMBER('Price History'!T45)),'Price History'!T45=0),"",'Price History'!T46/'Price History'!T45-1),"")</f>
        <v>-2.1189120809614215E-2</v>
      </c>
      <c r="U45" s="82" t="str">
        <f>IFERROR(IF(OR(NOT(ISNUMBER('Price History'!U46)),NOT(ISNUMBER('Price History'!U45)),'Price History'!U45=0),"",'Price History'!U46/'Price History'!U45-1),"")</f>
        <v/>
      </c>
      <c r="V45" s="83">
        <f>IFERROR(IF(OR(NOT(ISNUMBER('Price History'!V46)),NOT(ISNUMBER('Price History'!V45)),'Price History'!V45=0),"",'Price History'!V46/'Price History'!V45-1),"")</f>
        <v>2.2771390174705086E-2</v>
      </c>
      <c r="W45" s="84" t="str">
        <f>IFERROR('Price History'!B3+(INDEX('Price History'!B:B,MATCH(9.99E+307,'Price History'!$A:$A))-'Price History'!B3)*(ROW()-3)/(MATCH(9.99E+307,'Returns (Calc)'!$A:$A)-3),"")</f>
        <v/>
      </c>
      <c r="X45" s="84">
        <f>IFERROR('Price History'!C3+(INDEX('Price History'!C:C,MATCH(9.99E+307,'Price History'!$A:$A))-'Price History'!C3)*(ROW()-3)/(MATCH(9.99E+307,'Returns (Calc)'!$A:$A)-3),"")</f>
        <v>32.186037735849055</v>
      </c>
      <c r="Y45" s="84">
        <f>IFERROR('Price History'!D3+(INDEX('Price History'!D:D,MATCH(9.99E+307,'Price History'!$A:$A))-'Price History'!D3)*(ROW()-3)/(MATCH(9.99E+307,'Returns (Calc)'!$A:$A)-3),"")</f>
        <v>486.97018867924527</v>
      </c>
      <c r="Z45" s="84">
        <f>IFERROR('Price History'!E3+(INDEX('Price History'!E:E,MATCH(9.99E+307,'Price History'!$A:$A))-'Price History'!E3)*(ROW()-3)/(MATCH(9.99E+307,'Returns (Calc)'!$A:$A)-3),"")</f>
        <v>61.060754716981137</v>
      </c>
      <c r="AA45" s="84">
        <f>IFERROR('Price History'!F3+(INDEX('Price History'!F:F,MATCH(9.99E+307,'Price History'!$A:$A))-'Price History'!F3)*(ROW()-3)/(MATCH(9.99E+307,'Returns (Calc)'!$A:$A)-3),"")</f>
        <v>27.270566037735854</v>
      </c>
      <c r="AB45" s="84">
        <f>IFERROR('Price History'!G3+(INDEX('Price History'!G:G,MATCH(9.99E+307,'Price History'!$A:$A))-'Price History'!G3)*(ROW()-3)/(MATCH(9.99E+307,'Returns (Calc)'!$A:$A)-3),"")</f>
        <v>35.247169811320752</v>
      </c>
      <c r="AC45" s="84">
        <f>IFERROR('Price History'!H3+(INDEX('Price History'!H:H,MATCH(9.99E+307,'Price History'!$A:$A))-'Price History'!H3)*(ROW()-3)/(MATCH(9.99E+307,'Returns (Calc)'!$A:$A)-3),"")</f>
        <v>47.366603773584913</v>
      </c>
      <c r="AD45" s="84">
        <f>IFERROR('Price History'!I3+(INDEX('Price History'!I:I,MATCH(9.99E+307,'Price History'!$A:$A))-'Price History'!I3)*(ROW()-3)/(MATCH(9.99E+307,'Returns (Calc)'!$A:$A)-3),"")</f>
        <v>30.059433962264151</v>
      </c>
      <c r="AE45" s="84">
        <f>IFERROR('Price History'!J3+(INDEX('Price History'!J:J,MATCH(9.99E+307,'Price History'!$A:$A))-'Price History'!J3)*(ROW()-3)/(MATCH(9.99E+307,'Returns (Calc)'!$A:$A)-3),"")</f>
        <v>90.884716981132073</v>
      </c>
      <c r="AF45" s="84">
        <f>IFERROR('Price History'!K3+(INDEX('Price History'!K:K,MATCH(9.99E+307,'Price History'!$A:$A))-'Price History'!K3)*(ROW()-3)/(MATCH(9.99E+307,'Returns (Calc)'!$A:$A)-3),"")</f>
        <v>11.339433962264151</v>
      </c>
      <c r="AG45" s="84">
        <f>IFERROR('Price History'!L3+(INDEX('Price History'!L:L,MATCH(9.99E+307,'Price History'!$A:$A))-'Price History'!L3)*(ROW()-3)/(MATCH(9.99E+307,'Returns (Calc)'!$A:$A)-3),"")</f>
        <v>67.690754716981132</v>
      </c>
      <c r="AH45" s="84">
        <f>IFERROR('Price History'!M3+(INDEX('Price History'!M:M,MATCH(9.99E+307,'Price History'!$A:$A))-'Price History'!M3)*(ROW()-3)/(MATCH(9.99E+307,'Returns (Calc)'!$A:$A)-3),"")</f>
        <v>24.658301886792451</v>
      </c>
      <c r="AI45" s="84">
        <f>IFERROR('Price History'!N3+(INDEX('Price History'!N:N,MATCH(9.99E+307,'Price History'!$A:$A))-'Price History'!N3)*(ROW()-3)/(MATCH(9.99E+307,'Returns (Calc)'!$A:$A)-3),"")</f>
        <v>257.44415094339627</v>
      </c>
      <c r="AJ45" s="84">
        <f>IFERROR('Price History'!O3+(INDEX('Price History'!O:O,MATCH(9.99E+307,'Price History'!$A:$A))-'Price History'!O3)*(ROW()-3)/(MATCH(9.99E+307,'Returns (Calc)'!$A:$A)-3),"")</f>
        <v>60.965094339622638</v>
      </c>
      <c r="AK45" s="84">
        <f>IFERROR('Price History'!Q3+(INDEX('Price History'!Q:Q,MATCH(9.99E+307,'Price History'!$A:$A))-'Price History'!Q3)*(ROW()-3)/(MATCH(9.99E+307,'Returns (Calc)'!$A:$A)-3),"")</f>
        <v>36.674716981132079</v>
      </c>
      <c r="AL45" s="84">
        <f>IFERROR('Price History'!R3+(INDEX('Price History'!R:R,MATCH(9.99E+307,'Price History'!$A:$A))-'Price History'!R3)*(ROW()-3)/(MATCH(9.99E+307,'Returns (Calc)'!$A:$A)-3),"")</f>
        <v>35.188301886792452</v>
      </c>
      <c r="AM45" s="84">
        <f>IFERROR('Price History'!S3+(INDEX('Price History'!S:S,MATCH(9.99E+307,'Price History'!$A:$A))-'Price History'!S3)*(ROW()-3)/(MATCH(9.99E+307,'Returns (Calc)'!$A:$A)-3),"")</f>
        <v>43.076603773584907</v>
      </c>
      <c r="AN45" s="84">
        <f>IFERROR('Price History'!T3+(INDEX('Price History'!T:T,MATCH(9.99E+307,'Price History'!$A:$A))-'Price History'!T3)*(ROW()-3)/(MATCH(9.99E+307,'Returns (Calc)'!$A:$A)-3),"")</f>
        <v>19.801698113207546</v>
      </c>
      <c r="AO45" s="85">
        <f>IFERROR('Price History'!V3+(INDEX('Price History'!V:V,MATCH(9.99E+307,'Price History'!$A:$A))-'Price History'!V3)*(ROW()-3)/(MATCH(9.99E+307,'Returns (Calc)'!$A:$A)-3),"")</f>
        <v>0</v>
      </c>
    </row>
    <row r="46" spans="1:41" ht="15" customHeight="1" x14ac:dyDescent="0.3">
      <c r="A46" s="81">
        <f>IF('Price History'!A47="","",'Price History'!A47)</f>
        <v>45457</v>
      </c>
      <c r="B46" s="82">
        <f>IFERROR(IF(OR(NOT(ISNUMBER('Price History'!B47)),NOT(ISNUMBER('Price History'!B46)),'Price History'!B46=0),"",'Price History'!B47/'Price History'!B46-1),"")</f>
        <v>0.12865522205272528</v>
      </c>
      <c r="C46" s="82">
        <f>IFERROR(IF(OR(NOT(ISNUMBER('Price History'!C47)),NOT(ISNUMBER('Price History'!C46)),'Price History'!C46=0),"",'Price History'!C47/'Price History'!C46-1),"")</f>
        <v>0.10687331536388123</v>
      </c>
      <c r="D46" s="82">
        <f>IFERROR(IF(OR(NOT(ISNUMBER('Price History'!D47)),NOT(ISNUMBER('Price History'!D46)),'Price History'!D46=0),"",'Price History'!D47/'Price History'!D46-1),"")</f>
        <v>-5.0562999552705712E-4</v>
      </c>
      <c r="E46" s="82">
        <f>IFERROR(IF(OR(NOT(ISNUMBER('Price History'!E47)),NOT(ISNUMBER('Price History'!E46)),'Price History'!E46=0),"",'Price History'!E47/'Price History'!E46-1),"")</f>
        <v>0.23347078060571591</v>
      </c>
      <c r="F46" s="82">
        <f>IFERROR(IF(OR(NOT(ISNUMBER('Price History'!F47)),NOT(ISNUMBER('Price History'!F46)),'Price History'!F46=0),"",'Price History'!F47/'Price History'!F46-1),"")</f>
        <v>0.10403299725022919</v>
      </c>
      <c r="G46" s="82">
        <f>IFERROR(IF(OR(NOT(ISNUMBER('Price History'!G47)),NOT(ISNUMBER('Price History'!G46)),'Price History'!G46=0),"",'Price History'!G47/'Price History'!G46-1),"")</f>
        <v>7.2561768530559068E-2</v>
      </c>
      <c r="H46" s="82">
        <f>IFERROR(IF(OR(NOT(ISNUMBER('Price History'!H47)),NOT(ISNUMBER('Price History'!H46)),'Price History'!H46=0),"",'Price History'!H47/'Price History'!H46-1),"")</f>
        <v>7.9578432870016869E-2</v>
      </c>
      <c r="I46" s="82">
        <f>IFERROR(IF(OR(NOT(ISNUMBER('Price History'!I47)),NOT(ISNUMBER('Price History'!I46)),'Price History'!I46=0),"",'Price History'!I47/'Price History'!I46-1),"")</f>
        <v>9.0909090909090828E-2</v>
      </c>
      <c r="J46" s="82">
        <f>IFERROR(IF(OR(NOT(ISNUMBER('Price History'!J47)),NOT(ISNUMBER('Price History'!J46)),'Price History'!J46=0),"",'Price History'!J47/'Price History'!J46-1),"")</f>
        <v>1.8965517241379404E-2</v>
      </c>
      <c r="K46" s="82">
        <f>IFERROR(IF(OR(NOT(ISNUMBER('Price History'!K47)),NOT(ISNUMBER('Price History'!K46)),'Price History'!K46=0),"",'Price History'!K47/'Price History'!K46-1),"")</f>
        <v>1.1154011154011156E-2</v>
      </c>
      <c r="L46" s="82">
        <f>IFERROR(IF(OR(NOT(ISNUMBER('Price History'!L47)),NOT(ISNUMBER('Price History'!L46)),'Price History'!L46=0),"",'Price History'!L47/'Price History'!L46-1),"")</f>
        <v>4.9394732039661715E-2</v>
      </c>
      <c r="M46" s="82">
        <f>IFERROR(IF(OR(NOT(ISNUMBER('Price History'!M47)),NOT(ISNUMBER('Price History'!M46)),'Price History'!M46=0),"",'Price History'!M47/'Price History'!M46-1),"")</f>
        <v>4.3339416058394198E-2</v>
      </c>
      <c r="N46" s="82">
        <f>IFERROR(IF(OR(NOT(ISNUMBER('Price History'!N47)),NOT(ISNUMBER('Price History'!N46)),'Price History'!N46=0),"",'Price History'!N47/'Price History'!N46-1),"")</f>
        <v>-4.7822126531964493E-3</v>
      </c>
      <c r="O46" s="82">
        <f>IFERROR(IF(OR(NOT(ISNUMBER('Price History'!O47)),NOT(ISNUMBER('Price History'!O46)),'Price History'!O46=0),"",'Price History'!O47/'Price History'!O46-1),"")</f>
        <v>-2.3920783266577539E-2</v>
      </c>
      <c r="P46" s="82" t="str">
        <f>IFERROR(IF(OR(NOT(ISNUMBER('Price History'!P47)),NOT(ISNUMBER('Price History'!P46)),'Price History'!P46=0),"",'Price History'!P47/'Price History'!P46-1),"")</f>
        <v/>
      </c>
      <c r="Q46" s="82">
        <f>IFERROR(IF(OR(NOT(ISNUMBER('Price History'!Q47)),NOT(ISNUMBER('Price History'!Q46)),'Price History'!Q46=0),"",'Price History'!Q47/'Price History'!Q46-1),"")</f>
        <v>-1.0761872224120284E-2</v>
      </c>
      <c r="R46" s="82">
        <f>IFERROR(IF(OR(NOT(ISNUMBER('Price History'!R47)),NOT(ISNUMBER('Price History'!R46)),'Price History'!R46=0),"",'Price History'!R47/'Price History'!R46-1),"")</f>
        <v>1.2662873921820417E-2</v>
      </c>
      <c r="S46" s="82">
        <f>IFERROR(IF(OR(NOT(ISNUMBER('Price History'!S47)),NOT(ISNUMBER('Price History'!S46)),'Price History'!S46=0),"",'Price History'!S47/'Price History'!S46-1),"")</f>
        <v>4.219811658123751E-2</v>
      </c>
      <c r="T46" s="82">
        <f>IFERROR(IF(OR(NOT(ISNUMBER('Price History'!T47)),NOT(ISNUMBER('Price History'!T46)),'Price History'!T46=0),"",'Price History'!T47/'Price History'!T46-1),"")</f>
        <v>-4.2003231017769815E-3</v>
      </c>
      <c r="U46" s="82" t="str">
        <f>IFERROR(IF(OR(NOT(ISNUMBER('Price History'!U47)),NOT(ISNUMBER('Price History'!U46)),'Price History'!U46=0),"",'Price History'!U47/'Price History'!U46-1),"")</f>
        <v/>
      </c>
      <c r="V46" s="83">
        <f>IFERROR(IF(OR(NOT(ISNUMBER('Price History'!V47)),NOT(ISNUMBER('Price History'!V46)),'Price History'!V46=0),"",'Price History'!V47/'Price History'!V46-1),"")</f>
        <v>-2.8724724432440341E-2</v>
      </c>
      <c r="W46" s="84" t="str">
        <f>IFERROR('Price History'!B3+(INDEX('Price History'!B:B,MATCH(9.99E+307,'Price History'!$A:$A))-'Price History'!B3)*(ROW()-3)/(MATCH(9.99E+307,'Returns (Calc)'!$A:$A)-3),"")</f>
        <v/>
      </c>
      <c r="X46" s="84">
        <f>IFERROR('Price History'!C3+(INDEX('Price History'!C:C,MATCH(9.99E+307,'Price History'!$A:$A))-'Price History'!C3)*(ROW()-3)/(MATCH(9.99E+307,'Returns (Calc)'!$A:$A)-3),"")</f>
        <v>31.910943396226415</v>
      </c>
      <c r="Y46" s="84">
        <f>IFERROR('Price History'!D3+(INDEX('Price History'!D:D,MATCH(9.99E+307,'Price History'!$A:$A))-'Price History'!D3)*(ROW()-3)/(MATCH(9.99E+307,'Returns (Calc)'!$A:$A)-3),"")</f>
        <v>482.80805031446539</v>
      </c>
      <c r="Z46" s="84">
        <f>IFERROR('Price History'!E3+(INDEX('Price History'!E:E,MATCH(9.99E+307,'Price History'!$A:$A))-'Price History'!E3)*(ROW()-3)/(MATCH(9.99E+307,'Returns (Calc)'!$A:$A)-3),"")</f>
        <v>60.538867924528304</v>
      </c>
      <c r="AA46" s="84">
        <f>IFERROR('Price History'!F3+(INDEX('Price History'!F:F,MATCH(9.99E+307,'Price History'!$A:$A))-'Price History'!F3)*(ROW()-3)/(MATCH(9.99E+307,'Returns (Calc)'!$A:$A)-3),"")</f>
        <v>27.037484276729561</v>
      </c>
      <c r="AB46" s="84">
        <f>IFERROR('Price History'!G3+(INDEX('Price History'!G:G,MATCH(9.99E+307,'Price History'!$A:$A))-'Price History'!G3)*(ROW()-3)/(MATCH(9.99E+307,'Returns (Calc)'!$A:$A)-3),"")</f>
        <v>34.945911949685538</v>
      </c>
      <c r="AC46" s="84">
        <f>IFERROR('Price History'!H3+(INDEX('Price History'!H:H,MATCH(9.99E+307,'Price History'!$A:$A))-'Price History'!H3)*(ROW()-3)/(MATCH(9.99E+307,'Returns (Calc)'!$A:$A)-3),"")</f>
        <v>46.961761006289308</v>
      </c>
      <c r="AD46" s="84">
        <f>IFERROR('Price History'!I3+(INDEX('Price History'!I:I,MATCH(9.99E+307,'Price History'!$A:$A))-'Price History'!I3)*(ROW()-3)/(MATCH(9.99E+307,'Returns (Calc)'!$A:$A)-3),"")</f>
        <v>29.802515723270442</v>
      </c>
      <c r="AE46" s="84">
        <f>IFERROR('Price History'!J3+(INDEX('Price History'!J:J,MATCH(9.99E+307,'Price History'!$A:$A))-'Price History'!J3)*(ROW()-3)/(MATCH(9.99E+307,'Returns (Calc)'!$A:$A)-3),"")</f>
        <v>90.107924528301893</v>
      </c>
      <c r="AF46" s="84">
        <f>IFERROR('Price History'!K3+(INDEX('Price History'!K:K,MATCH(9.99E+307,'Price History'!$A:$A))-'Price History'!K3)*(ROW()-3)/(MATCH(9.99E+307,'Returns (Calc)'!$A:$A)-3),"")</f>
        <v>11.24251572327044</v>
      </c>
      <c r="AG46" s="84">
        <f>IFERROR('Price History'!L3+(INDEX('Price History'!L:L,MATCH(9.99E+307,'Price History'!$A:$A))-'Price History'!L3)*(ROW()-3)/(MATCH(9.99E+307,'Returns (Calc)'!$A:$A)-3),"")</f>
        <v>67.112201257861628</v>
      </c>
      <c r="AH46" s="84">
        <f>IFERROR('Price History'!M3+(INDEX('Price History'!M:M,MATCH(9.99E+307,'Price History'!$A:$A))-'Price History'!M3)*(ROW()-3)/(MATCH(9.99E+307,'Returns (Calc)'!$A:$A)-3),"")</f>
        <v>24.447547169811319</v>
      </c>
      <c r="AI46" s="84">
        <f>IFERROR('Price History'!N3+(INDEX('Price History'!N:N,MATCH(9.99E+307,'Price History'!$A:$A))-'Price History'!N3)*(ROW()-3)/(MATCH(9.99E+307,'Returns (Calc)'!$A:$A)-3),"")</f>
        <v>255.24377358490568</v>
      </c>
      <c r="AJ46" s="84">
        <f>IFERROR('Price History'!O3+(INDEX('Price History'!O:O,MATCH(9.99E+307,'Price History'!$A:$A))-'Price History'!O3)*(ROW()-3)/(MATCH(9.99E+307,'Returns (Calc)'!$A:$A)-3),"")</f>
        <v>60.444025157232701</v>
      </c>
      <c r="AK46" s="84">
        <f>IFERROR('Price History'!Q3+(INDEX('Price History'!Q:Q,MATCH(9.99E+307,'Price History'!$A:$A))-'Price History'!Q3)*(ROW()-3)/(MATCH(9.99E+307,'Returns (Calc)'!$A:$A)-3),"")</f>
        <v>36.361257861635224</v>
      </c>
      <c r="AL46" s="84">
        <f>IFERROR('Price History'!R3+(INDEX('Price History'!R:R,MATCH(9.99E+307,'Price History'!$A:$A))-'Price History'!R3)*(ROW()-3)/(MATCH(9.99E+307,'Returns (Calc)'!$A:$A)-3),"")</f>
        <v>34.88754716981132</v>
      </c>
      <c r="AM46" s="84">
        <f>IFERROR('Price History'!S3+(INDEX('Price History'!S:S,MATCH(9.99E+307,'Price History'!$A:$A))-'Price History'!S3)*(ROW()-3)/(MATCH(9.99E+307,'Returns (Calc)'!$A:$A)-3),"")</f>
        <v>42.708427672955978</v>
      </c>
      <c r="AN46" s="84">
        <f>IFERROR('Price History'!T3+(INDEX('Price History'!T:T,MATCH(9.99E+307,'Price History'!$A:$A))-'Price History'!T3)*(ROW()-3)/(MATCH(9.99E+307,'Returns (Calc)'!$A:$A)-3),"")</f>
        <v>19.632452830188679</v>
      </c>
      <c r="AO46" s="85">
        <f>IFERROR('Price History'!V3+(INDEX('Price History'!V:V,MATCH(9.99E+307,'Price History'!$A:$A))-'Price History'!V3)*(ROW()-3)/(MATCH(9.99E+307,'Returns (Calc)'!$A:$A)-3),"")</f>
        <v>0</v>
      </c>
    </row>
    <row r="47" spans="1:41" ht="15" customHeight="1" x14ac:dyDescent="0.3">
      <c r="A47" s="81">
        <f>IF('Price History'!A48="","",'Price History'!A48)</f>
        <v>45464</v>
      </c>
      <c r="B47" s="82">
        <f>IFERROR(IF(OR(NOT(ISNUMBER('Price History'!B48)),NOT(ISNUMBER('Price History'!B47)),'Price History'!B47=0),"",'Price History'!B48/'Price History'!B47-1),"")</f>
        <v>1.5476575736232068E-2</v>
      </c>
      <c r="C47" s="82">
        <f>IFERROR(IF(OR(NOT(ISNUMBER('Price History'!C48)),NOT(ISNUMBER('Price History'!C47)),'Price History'!C47=0),"",'Price History'!C48/'Price History'!C47-1),"")</f>
        <v>2.6908559600633319E-2</v>
      </c>
      <c r="D47" s="82">
        <f>IFERROR(IF(OR(NOT(ISNUMBER('Price History'!D48)),NOT(ISNUMBER('Price History'!D47)),'Price History'!D47=0),"",'Price History'!D48/'Price History'!D47-1),"")</f>
        <v>8.4638583519796029E-3</v>
      </c>
      <c r="E47" s="82">
        <f>IFERROR(IF(OR(NOT(ISNUMBER('Price History'!E48)),NOT(ISNUMBER('Price History'!E47)),'Price History'!E47=0),"",'Price History'!E48/'Price History'!E47-1),"")</f>
        <v>-4.4034582132564726E-2</v>
      </c>
      <c r="F47" s="82">
        <f>IFERROR(IF(OR(NOT(ISNUMBER('Price History'!F48)),NOT(ISNUMBER('Price History'!F47)),'Price History'!F47=0),"",'Price History'!F48/'Price History'!F47-1),"")</f>
        <v>-1.2453300124533051E-2</v>
      </c>
      <c r="G47" s="82">
        <f>IFERROR(IF(OR(NOT(ISNUMBER('Price History'!G48)),NOT(ISNUMBER('Price History'!G47)),'Price History'!G47=0),"",'Price History'!G48/'Price History'!G47-1),"")</f>
        <v>-9.9418040737149216E-3</v>
      </c>
      <c r="H47" s="82">
        <f>IFERROR(IF(OR(NOT(ISNUMBER('Price History'!H48)),NOT(ISNUMBER('Price History'!H47)),'Price History'!H47=0),"",'Price History'!H48/'Price History'!H47-1),"")</f>
        <v>-1.2874929258630652E-2</v>
      </c>
      <c r="I47" s="82">
        <f>IFERROR(IF(OR(NOT(ISNUMBER('Price History'!I48)),NOT(ISNUMBER('Price History'!I47)),'Price History'!I47=0),"",'Price History'!I48/'Price History'!I47-1),"")</f>
        <v>-4.0263876251137365E-2</v>
      </c>
      <c r="J47" s="82">
        <f>IFERROR(IF(OR(NOT(ISNUMBER('Price History'!J48)),NOT(ISNUMBER('Price History'!J47)),'Price History'!J47=0),"",'Price History'!J48/'Price History'!J47-1),"")</f>
        <v>-2.5736931160388332E-2</v>
      </c>
      <c r="K47" s="82">
        <f>IFERROR(IF(OR(NOT(ISNUMBER('Price History'!K48)),NOT(ISNUMBER('Price History'!K47)),'Price History'!K47=0),"",'Price History'!K48/'Price History'!K47-1),"")</f>
        <v>1.1455239711497756E-2</v>
      </c>
      <c r="L47" s="82">
        <f>IFERROR(IF(OR(NOT(ISNUMBER('Price History'!L48)),NOT(ISNUMBER('Price History'!L47)),'Price History'!L47=0),"",'Price History'!L48/'Price History'!L47-1),"")</f>
        <v>8.4053098371110746E-3</v>
      </c>
      <c r="M47" s="82">
        <f>IFERROR(IF(OR(NOT(ISNUMBER('Price History'!M48)),NOT(ISNUMBER('Price History'!M47)),'Price History'!M47=0),"",'Price History'!M48/'Price History'!M47-1),"")</f>
        <v>-9.4009619588981685E-3</v>
      </c>
      <c r="N47" s="82">
        <f>IFERROR(IF(OR(NOT(ISNUMBER('Price History'!N48)),NOT(ISNUMBER('Price History'!N47)),'Price History'!N47=0),"",'Price History'!N48/'Price History'!N47-1),"")</f>
        <v>-2.5003640297048269E-2</v>
      </c>
      <c r="O47" s="82">
        <f>IFERROR(IF(OR(NOT(ISNUMBER('Price History'!O48)),NOT(ISNUMBER('Price History'!O47)),'Price History'!O47=0),"",'Price History'!O48/'Price History'!O47-1),"")</f>
        <v>1.0828678901174005E-2</v>
      </c>
      <c r="P47" s="82" t="str">
        <f>IFERROR(IF(OR(NOT(ISNUMBER('Price History'!P48)),NOT(ISNUMBER('Price History'!P47)),'Price History'!P47=0),"",'Price History'!P48/'Price History'!P47-1),"")</f>
        <v/>
      </c>
      <c r="Q47" s="82">
        <f>IFERROR(IF(OR(NOT(ISNUMBER('Price History'!Q48)),NOT(ISNUMBER('Price History'!Q47)),'Price History'!Q47=0),"",'Price History'!Q48/'Price History'!Q47-1),"")</f>
        <v>6.9072699015726435E-4</v>
      </c>
      <c r="R47" s="82">
        <f>IFERROR(IF(OR(NOT(ISNUMBER('Price History'!R48)),NOT(ISNUMBER('Price History'!R47)),'Price History'!R47=0),"",'Price History'!R48/'Price History'!R47-1),"")</f>
        <v>1.0873504893078589E-3</v>
      </c>
      <c r="S47" s="82">
        <f>IFERROR(IF(OR(NOT(ISNUMBER('Price History'!S48)),NOT(ISNUMBER('Price History'!S47)),'Price History'!S47=0),"",'Price History'!S48/'Price History'!S47-1),"")</f>
        <v>-8.0064051241002243E-4</v>
      </c>
      <c r="T47" s="82">
        <f>IFERROR(IF(OR(NOT(ISNUMBER('Price History'!T48)),NOT(ISNUMBER('Price History'!T47)),'Price History'!T47=0),"",'Price History'!T48/'Price History'!T47-1),"")</f>
        <v>9.7339390006490056E-3</v>
      </c>
      <c r="U47" s="82" t="str">
        <f>IFERROR(IF(OR(NOT(ISNUMBER('Price History'!U48)),NOT(ISNUMBER('Price History'!U47)),'Price History'!U47=0),"",'Price History'!U48/'Price History'!U47-1),"")</f>
        <v/>
      </c>
      <c r="V47" s="83">
        <f>IFERROR(IF(OR(NOT(ISNUMBER('Price History'!V48)),NOT(ISNUMBER('Price History'!V47)),'Price History'!V47=0),"",'Price History'!V48/'Price History'!V47-1),"")</f>
        <v>1.6835143361767502E-2</v>
      </c>
      <c r="W47" s="84" t="str">
        <f>IFERROR('Price History'!B3+(INDEX('Price History'!B:B,MATCH(9.99E+307,'Price History'!$A:$A))-'Price History'!B3)*(ROW()-3)/(MATCH(9.99E+307,'Returns (Calc)'!$A:$A)-3),"")</f>
        <v/>
      </c>
      <c r="X47" s="84">
        <f>IFERROR('Price History'!C3+(INDEX('Price History'!C:C,MATCH(9.99E+307,'Price History'!$A:$A))-'Price History'!C3)*(ROW()-3)/(MATCH(9.99E+307,'Returns (Calc)'!$A:$A)-3),"")</f>
        <v>31.635849056603774</v>
      </c>
      <c r="Y47" s="84">
        <f>IFERROR('Price History'!D3+(INDEX('Price History'!D:D,MATCH(9.99E+307,'Price History'!$A:$A))-'Price History'!D3)*(ROW()-3)/(MATCH(9.99E+307,'Returns (Calc)'!$A:$A)-3),"")</f>
        <v>478.64591194968551</v>
      </c>
      <c r="Z47" s="84">
        <f>IFERROR('Price History'!E3+(INDEX('Price History'!E:E,MATCH(9.99E+307,'Price History'!$A:$A))-'Price History'!E3)*(ROW()-3)/(MATCH(9.99E+307,'Returns (Calc)'!$A:$A)-3),"")</f>
        <v>60.016981132075472</v>
      </c>
      <c r="AA47" s="84">
        <f>IFERROR('Price History'!F3+(INDEX('Price History'!F:F,MATCH(9.99E+307,'Price History'!$A:$A))-'Price History'!F3)*(ROW()-3)/(MATCH(9.99E+307,'Returns (Calc)'!$A:$A)-3),"")</f>
        <v>26.804402515723272</v>
      </c>
      <c r="AB47" s="84">
        <f>IFERROR('Price History'!G3+(INDEX('Price History'!G:G,MATCH(9.99E+307,'Price History'!$A:$A))-'Price History'!G3)*(ROW()-3)/(MATCH(9.99E+307,'Returns (Calc)'!$A:$A)-3),"")</f>
        <v>34.644654088050316</v>
      </c>
      <c r="AC47" s="84">
        <f>IFERROR('Price History'!H3+(INDEX('Price History'!H:H,MATCH(9.99E+307,'Price History'!$A:$A))-'Price History'!H3)*(ROW()-3)/(MATCH(9.99E+307,'Returns (Calc)'!$A:$A)-3),"")</f>
        <v>46.556918238993717</v>
      </c>
      <c r="AD47" s="84">
        <f>IFERROR('Price History'!I3+(INDEX('Price History'!I:I,MATCH(9.99E+307,'Price History'!$A:$A))-'Price History'!I3)*(ROW()-3)/(MATCH(9.99E+307,'Returns (Calc)'!$A:$A)-3),"")</f>
        <v>29.54559748427673</v>
      </c>
      <c r="AE47" s="84">
        <f>IFERROR('Price History'!J3+(INDEX('Price History'!J:J,MATCH(9.99E+307,'Price History'!$A:$A))-'Price History'!J3)*(ROW()-3)/(MATCH(9.99E+307,'Returns (Calc)'!$A:$A)-3),"")</f>
        <v>89.3311320754717</v>
      </c>
      <c r="AF47" s="84">
        <f>IFERROR('Price History'!K3+(INDEX('Price History'!K:K,MATCH(9.99E+307,'Price History'!$A:$A))-'Price History'!K3)*(ROW()-3)/(MATCH(9.99E+307,'Returns (Calc)'!$A:$A)-3),"")</f>
        <v>11.145597484276731</v>
      </c>
      <c r="AG47" s="84">
        <f>IFERROR('Price History'!L3+(INDEX('Price History'!L:L,MATCH(9.99E+307,'Price History'!$A:$A))-'Price History'!L3)*(ROW()-3)/(MATCH(9.99E+307,'Returns (Calc)'!$A:$A)-3),"")</f>
        <v>66.533647798742138</v>
      </c>
      <c r="AH47" s="84">
        <f>IFERROR('Price History'!M3+(INDEX('Price History'!M:M,MATCH(9.99E+307,'Price History'!$A:$A))-'Price History'!M3)*(ROW()-3)/(MATCH(9.99E+307,'Returns (Calc)'!$A:$A)-3),"")</f>
        <v>24.236792452830187</v>
      </c>
      <c r="AI47" s="84">
        <f>IFERROR('Price History'!N3+(INDEX('Price History'!N:N,MATCH(9.99E+307,'Price History'!$A:$A))-'Price History'!N3)*(ROW()-3)/(MATCH(9.99E+307,'Returns (Calc)'!$A:$A)-3),"")</f>
        <v>253.0433962264151</v>
      </c>
      <c r="AJ47" s="84">
        <f>IFERROR('Price History'!O3+(INDEX('Price History'!O:O,MATCH(9.99E+307,'Price History'!$A:$A))-'Price History'!O3)*(ROW()-3)/(MATCH(9.99E+307,'Returns (Calc)'!$A:$A)-3),"")</f>
        <v>59.922955974842765</v>
      </c>
      <c r="AK47" s="84">
        <f>IFERROR('Price History'!Q3+(INDEX('Price History'!Q:Q,MATCH(9.99E+307,'Price History'!$A:$A))-'Price History'!Q3)*(ROW()-3)/(MATCH(9.99E+307,'Returns (Calc)'!$A:$A)-3),"")</f>
        <v>36.047798742138369</v>
      </c>
      <c r="AL47" s="84">
        <f>IFERROR('Price History'!R3+(INDEX('Price History'!R:R,MATCH(9.99E+307,'Price History'!$A:$A))-'Price History'!R3)*(ROW()-3)/(MATCH(9.99E+307,'Returns (Calc)'!$A:$A)-3),"")</f>
        <v>34.586792452830188</v>
      </c>
      <c r="AM47" s="84">
        <f>IFERROR('Price History'!S3+(INDEX('Price History'!S:S,MATCH(9.99E+307,'Price History'!$A:$A))-'Price History'!S3)*(ROW()-3)/(MATCH(9.99E+307,'Returns (Calc)'!$A:$A)-3),"")</f>
        <v>42.340251572327048</v>
      </c>
      <c r="AN47" s="84">
        <f>IFERROR('Price History'!T3+(INDEX('Price History'!T:T,MATCH(9.99E+307,'Price History'!$A:$A))-'Price History'!T3)*(ROW()-3)/(MATCH(9.99E+307,'Returns (Calc)'!$A:$A)-3),"")</f>
        <v>19.463207547169812</v>
      </c>
      <c r="AO47" s="85">
        <f>IFERROR('Price History'!V3+(INDEX('Price History'!V:V,MATCH(9.99E+307,'Price History'!$A:$A))-'Price History'!V3)*(ROW()-3)/(MATCH(9.99E+307,'Returns (Calc)'!$A:$A)-3),"")</f>
        <v>0</v>
      </c>
    </row>
    <row r="48" spans="1:41" ht="15" customHeight="1" x14ac:dyDescent="0.3">
      <c r="A48" s="81">
        <f>IF('Price History'!A49="","",'Price History'!A49)</f>
        <v>45471</v>
      </c>
      <c r="B48" s="82">
        <f>IFERROR(IF(OR(NOT(ISNUMBER('Price History'!B49)),NOT(ISNUMBER('Price History'!B48)),'Price History'!B48=0),"",'Price History'!B49/'Price History'!B48-1),"")</f>
        <v>4.1429214157168381E-2</v>
      </c>
      <c r="C48" s="82">
        <f>IFERROR(IF(OR(NOT(ISNUMBER('Price History'!C49)),NOT(ISNUMBER('Price History'!C48)),'Price History'!C48=0),"",'Price History'!C49/'Price History'!C48-1),"")</f>
        <v>3.8890206307801822E-2</v>
      </c>
      <c r="D48" s="82">
        <f>IFERROR(IF(OR(NOT(ISNUMBER('Price History'!D49)),NOT(ISNUMBER('Price History'!D48)),'Price History'!D48=0),"",'Price History'!D49/'Price History'!D48-1),"")</f>
        <v>-1.3380281690140716E-2</v>
      </c>
      <c r="E48" s="82">
        <f>IFERROR(IF(OR(NOT(ISNUMBER('Price History'!E49)),NOT(ISNUMBER('Price History'!E48)),'Price History'!E48=0),"",'Price History'!E49/'Price History'!E48-1),"")</f>
        <v>-3.2014952369468275E-2</v>
      </c>
      <c r="F48" s="82">
        <f>IFERROR(IF(OR(NOT(ISNUMBER('Price History'!F49)),NOT(ISNUMBER('Price History'!F48)),'Price History'!F48=0),"",'Price History'!F49/'Price History'!F48-1),"")</f>
        <v>6.7255149222362753E-3</v>
      </c>
      <c r="G48" s="82">
        <f>IFERROR(IF(OR(NOT(ISNUMBER('Price History'!G49)),NOT(ISNUMBER('Price History'!G48)),'Price History'!G48=0),"",'Price History'!G49/'Price History'!G48-1),"")</f>
        <v>9.6742591231937514E-3</v>
      </c>
      <c r="H48" s="82">
        <f>IFERROR(IF(OR(NOT(ISNUMBER('Price History'!H49)),NOT(ISNUMBER('Price History'!H48)),'Price History'!H48=0),"",'Price History'!H49/'Price History'!H48-1),"")</f>
        <v>-5.7402895227174899E-2</v>
      </c>
      <c r="I48" s="82">
        <f>IFERROR(IF(OR(NOT(ISNUMBER('Price History'!I49)),NOT(ISNUMBER('Price History'!I48)),'Price History'!I48=0),"",'Price History'!I49/'Price History'!I48-1),"")</f>
        <v>-2.3939322114244987E-2</v>
      </c>
      <c r="J48" s="82">
        <f>IFERROR(IF(OR(NOT(ISNUMBER('Price History'!J49)),NOT(ISNUMBER('Price History'!J48)),'Price History'!J48=0),"",'Price History'!J49/'Price History'!J48-1),"")</f>
        <v>2.6599634369286917E-2</v>
      </c>
      <c r="K48" s="82">
        <f>IFERROR(IF(OR(NOT(ISNUMBER('Price History'!K49)),NOT(ISNUMBER('Price History'!K48)),'Price History'!K48=0),"",'Price History'!K49/'Price History'!K48-1),"")</f>
        <v>6.25E-2</v>
      </c>
      <c r="L48" s="82">
        <f>IFERROR(IF(OR(NOT(ISNUMBER('Price History'!L49)),NOT(ISNUMBER('Price History'!L48)),'Price History'!L48=0),"",'Price History'!L49/'Price History'!L48-1),"")</f>
        <v>-8.6226718785931133E-4</v>
      </c>
      <c r="M48" s="82">
        <f>IFERROR(IF(OR(NOT(ISNUMBER('Price History'!M49)),NOT(ISNUMBER('Price History'!M48)),'Price History'!M48=0),"",'Price History'!M49/'Price History'!M48-1),"")</f>
        <v>-4.4692120944603952E-2</v>
      </c>
      <c r="N48" s="82">
        <f>IFERROR(IF(OR(NOT(ISNUMBER('Price History'!N49)),NOT(ISNUMBER('Price History'!N48)),'Price History'!N48=0),"",'Price History'!N49/'Price History'!N48-1),"")</f>
        <v>2.1335153933321749E-5</v>
      </c>
      <c r="O48" s="82">
        <f>IFERROR(IF(OR(NOT(ISNUMBER('Price History'!O49)),NOT(ISNUMBER('Price History'!O48)),'Price History'!O48=0),"",'Price History'!O49/'Price History'!O48-1),"")</f>
        <v>1.1727559765448703E-2</v>
      </c>
      <c r="P48" s="82" t="str">
        <f>IFERROR(IF(OR(NOT(ISNUMBER('Price History'!P49)),NOT(ISNUMBER('Price History'!P48)),'Price History'!P48=0),"",'Price History'!P49/'Price History'!P48-1),"")</f>
        <v/>
      </c>
      <c r="Q48" s="82">
        <f>IFERROR(IF(OR(NOT(ISNUMBER('Price History'!Q49)),NOT(ISNUMBER('Price History'!Q48)),'Price History'!Q48=0),"",'Price History'!Q49/'Price History'!Q48-1),"")</f>
        <v>2.6229508196721207E-2</v>
      </c>
      <c r="R48" s="82">
        <f>IFERROR(IF(OR(NOT(ISNUMBER('Price History'!R49)),NOT(ISNUMBER('Price History'!R48)),'Price History'!R48=0),"",'Price History'!R49/'Price History'!R48-1),"")</f>
        <v>4.706734250543132E-3</v>
      </c>
      <c r="S48" s="82">
        <f>IFERROR(IF(OR(NOT(ISNUMBER('Price History'!S49)),NOT(ISNUMBER('Price History'!S48)),'Price History'!S48=0),"",'Price History'!S49/'Price History'!S48-1),"")</f>
        <v>1.1446886446886406E-3</v>
      </c>
      <c r="T48" s="82">
        <f>IFERROR(IF(OR(NOT(ISNUMBER('Price History'!T49)),NOT(ISNUMBER('Price History'!T48)),'Price History'!T48=0),"",'Price History'!T49/'Price History'!T48-1),"")</f>
        <v>-6.4267352185090054E-3</v>
      </c>
      <c r="U48" s="82" t="str">
        <f>IFERROR(IF(OR(NOT(ISNUMBER('Price History'!U49)),NOT(ISNUMBER('Price History'!U48)),'Price History'!U48=0),"",'Price History'!U49/'Price History'!U48-1),"")</f>
        <v/>
      </c>
      <c r="V48" s="83">
        <f>IFERROR(IF(OR(NOT(ISNUMBER('Price History'!V49)),NOT(ISNUMBER('Price History'!V48)),'Price History'!V48=0),"",'Price History'!V49/'Price History'!V48-1),"")</f>
        <v>-4.6343176022764943E-2</v>
      </c>
      <c r="W48" s="84" t="str">
        <f>IFERROR('Price History'!B3+(INDEX('Price History'!B:B,MATCH(9.99E+307,'Price History'!$A:$A))-'Price History'!B3)*(ROW()-3)/(MATCH(9.99E+307,'Returns (Calc)'!$A:$A)-3),"")</f>
        <v/>
      </c>
      <c r="X48" s="84">
        <f>IFERROR('Price History'!C3+(INDEX('Price History'!C:C,MATCH(9.99E+307,'Price History'!$A:$A))-'Price History'!C3)*(ROW()-3)/(MATCH(9.99E+307,'Returns (Calc)'!$A:$A)-3),"")</f>
        <v>31.360754716981134</v>
      </c>
      <c r="Y48" s="84">
        <f>IFERROR('Price History'!D3+(INDEX('Price History'!D:D,MATCH(9.99E+307,'Price History'!$A:$A))-'Price History'!D3)*(ROW()-3)/(MATCH(9.99E+307,'Returns (Calc)'!$A:$A)-3),"")</f>
        <v>474.48377358490563</v>
      </c>
      <c r="Z48" s="84">
        <f>IFERROR('Price History'!E3+(INDEX('Price History'!E:E,MATCH(9.99E+307,'Price History'!$A:$A))-'Price History'!E3)*(ROW()-3)/(MATCH(9.99E+307,'Returns (Calc)'!$A:$A)-3),"")</f>
        <v>59.495094339622639</v>
      </c>
      <c r="AA48" s="84">
        <f>IFERROR('Price History'!F3+(INDEX('Price History'!F:F,MATCH(9.99E+307,'Price History'!$A:$A))-'Price History'!F3)*(ROW()-3)/(MATCH(9.99E+307,'Returns (Calc)'!$A:$A)-3),"")</f>
        <v>26.571320754716982</v>
      </c>
      <c r="AB48" s="84">
        <f>IFERROR('Price History'!G3+(INDEX('Price History'!G:G,MATCH(9.99E+307,'Price History'!$A:$A))-'Price History'!G3)*(ROW()-3)/(MATCH(9.99E+307,'Returns (Calc)'!$A:$A)-3),"")</f>
        <v>34.343396226415095</v>
      </c>
      <c r="AC48" s="84">
        <f>IFERROR('Price History'!H3+(INDEX('Price History'!H:H,MATCH(9.99E+307,'Price History'!$A:$A))-'Price History'!H3)*(ROW()-3)/(MATCH(9.99E+307,'Returns (Calc)'!$A:$A)-3),"")</f>
        <v>46.152075471698119</v>
      </c>
      <c r="AD48" s="84">
        <f>IFERROR('Price History'!I3+(INDEX('Price History'!I:I,MATCH(9.99E+307,'Price History'!$A:$A))-'Price History'!I3)*(ROW()-3)/(MATCH(9.99E+307,'Returns (Calc)'!$A:$A)-3),"")</f>
        <v>29.288679245283021</v>
      </c>
      <c r="AE48" s="84">
        <f>IFERROR('Price History'!J3+(INDEX('Price History'!J:J,MATCH(9.99E+307,'Price History'!$A:$A))-'Price History'!J3)*(ROW()-3)/(MATCH(9.99E+307,'Returns (Calc)'!$A:$A)-3),"")</f>
        <v>88.554339622641521</v>
      </c>
      <c r="AF48" s="84">
        <f>IFERROR('Price History'!K3+(INDEX('Price History'!K:K,MATCH(9.99E+307,'Price History'!$A:$A))-'Price History'!K3)*(ROW()-3)/(MATCH(9.99E+307,'Returns (Calc)'!$A:$A)-3),"")</f>
        <v>11.048679245283019</v>
      </c>
      <c r="AG48" s="84">
        <f>IFERROR('Price History'!L3+(INDEX('Price History'!L:L,MATCH(9.99E+307,'Price History'!$A:$A))-'Price History'!L3)*(ROW()-3)/(MATCH(9.99E+307,'Returns (Calc)'!$A:$A)-3),"")</f>
        <v>65.955094339622633</v>
      </c>
      <c r="AH48" s="84">
        <f>IFERROR('Price History'!M3+(INDEX('Price History'!M:M,MATCH(9.99E+307,'Price History'!$A:$A))-'Price History'!M3)*(ROW()-3)/(MATCH(9.99E+307,'Returns (Calc)'!$A:$A)-3),"")</f>
        <v>24.026037735849055</v>
      </c>
      <c r="AI48" s="84">
        <f>IFERROR('Price History'!N3+(INDEX('Price History'!N:N,MATCH(9.99E+307,'Price History'!$A:$A))-'Price History'!N3)*(ROW()-3)/(MATCH(9.99E+307,'Returns (Calc)'!$A:$A)-3),"")</f>
        <v>250.84301886792454</v>
      </c>
      <c r="AJ48" s="84">
        <f>IFERROR('Price History'!O3+(INDEX('Price History'!O:O,MATCH(9.99E+307,'Price History'!$A:$A))-'Price History'!O3)*(ROW()-3)/(MATCH(9.99E+307,'Returns (Calc)'!$A:$A)-3),"")</f>
        <v>59.401886792452828</v>
      </c>
      <c r="AK48" s="84">
        <f>IFERROR('Price History'!Q3+(INDEX('Price History'!Q:Q,MATCH(9.99E+307,'Price History'!$A:$A))-'Price History'!Q3)*(ROW()-3)/(MATCH(9.99E+307,'Returns (Calc)'!$A:$A)-3),"")</f>
        <v>35.734339622641514</v>
      </c>
      <c r="AL48" s="84">
        <f>IFERROR('Price History'!R3+(INDEX('Price History'!R:R,MATCH(9.99E+307,'Price History'!$A:$A))-'Price History'!R3)*(ROW()-3)/(MATCH(9.99E+307,'Returns (Calc)'!$A:$A)-3),"")</f>
        <v>34.286037735849057</v>
      </c>
      <c r="AM48" s="84">
        <f>IFERROR('Price History'!S3+(INDEX('Price History'!S:S,MATCH(9.99E+307,'Price History'!$A:$A))-'Price History'!S3)*(ROW()-3)/(MATCH(9.99E+307,'Returns (Calc)'!$A:$A)-3),"")</f>
        <v>41.972075471698112</v>
      </c>
      <c r="AN48" s="84">
        <f>IFERROR('Price History'!T3+(INDEX('Price History'!T:T,MATCH(9.99E+307,'Price History'!$A:$A))-'Price History'!T3)*(ROW()-3)/(MATCH(9.99E+307,'Returns (Calc)'!$A:$A)-3),"")</f>
        <v>19.293962264150942</v>
      </c>
      <c r="AO48" s="85">
        <f>IFERROR('Price History'!V3+(INDEX('Price History'!V:V,MATCH(9.99E+307,'Price History'!$A:$A))-'Price History'!V3)*(ROW()-3)/(MATCH(9.99E+307,'Returns (Calc)'!$A:$A)-3),"")</f>
        <v>0</v>
      </c>
    </row>
    <row r="49" spans="1:41" ht="15" customHeight="1" x14ac:dyDescent="0.3">
      <c r="A49" s="81">
        <f>IF('Price History'!A50="","",'Price History'!A50)</f>
        <v>45478</v>
      </c>
      <c r="B49" s="82">
        <f>IFERROR(IF(OR(NOT(ISNUMBER('Price History'!B50)),NOT(ISNUMBER('Price History'!B49)),'Price History'!B49=0),"",'Price History'!B50/'Price History'!B49-1),"")</f>
        <v>4.1041149152176493E-2</v>
      </c>
      <c r="C49" s="82">
        <f>IFERROR(IF(OR(NOT(ISNUMBER('Price History'!C50)),NOT(ISNUMBER('Price History'!C49)),'Price History'!C49=0),"",'Price History'!C50/'Price History'!C49-1),"")</f>
        <v>4.4738644145172257E-2</v>
      </c>
      <c r="D49" s="82">
        <f>IFERROR(IF(OR(NOT(ISNUMBER('Price History'!D50)),NOT(ISNUMBER('Price History'!D49)),'Price History'!D49=0),"",'Price History'!D50/'Price History'!D49-1),"")</f>
        <v>5.0599865067026517E-2</v>
      </c>
      <c r="E49" s="82">
        <f>IFERROR(IF(OR(NOT(ISNUMBER('Price History'!E50)),NOT(ISNUMBER('Price History'!E49)),'Price History'!E49=0),"",'Price History'!E50/'Price History'!E49-1),"")</f>
        <v>6.0915602616007369E-2</v>
      </c>
      <c r="F49" s="82">
        <f>IFERROR(IF(OR(NOT(ISNUMBER('Price History'!F50)),NOT(ISNUMBER('Price History'!F49)),'Price History'!F49=0),"",'Price History'!F50/'Price History'!F49-1),"")</f>
        <v>1.6910229645094033E-2</v>
      </c>
      <c r="G49" s="82">
        <f>IFERROR(IF(OR(NOT(ISNUMBER('Price History'!G50)),NOT(ISNUMBER('Price History'!G49)),'Price History'!G49=0),"",'Price History'!G50/'Price History'!G49-1),"")</f>
        <v>3.7234687689508661E-2</v>
      </c>
      <c r="H49" s="82">
        <f>IFERROR(IF(OR(NOT(ISNUMBER('Price History'!H50)),NOT(ISNUMBER('Price History'!H49)),'Price History'!H49=0),"",'Price History'!H50/'Price History'!H49-1),"")</f>
        <v>5.3219797764758603E-4</v>
      </c>
      <c r="I49" s="82">
        <f>IFERROR(IF(OR(NOT(ISNUMBER('Price History'!I50)),NOT(ISNUMBER('Price History'!I49)),'Price History'!I49=0),"",'Price History'!I50/'Price History'!I49-1),"")</f>
        <v>1.8536506394689845E-2</v>
      </c>
      <c r="J49" s="82">
        <f>IFERROR(IF(OR(NOT(ISNUMBER('Price History'!J50)),NOT(ISNUMBER('Price History'!J49)),'Price History'!J49=0),"",'Price History'!J50/'Price History'!J49-1),"")</f>
        <v>1.9143442258035659E-2</v>
      </c>
      <c r="K49" s="82">
        <f>IFERROR(IF(OR(NOT(ISNUMBER('Price History'!K50)),NOT(ISNUMBER('Price History'!K49)),'Price History'!K49=0),"",'Price History'!K50/'Price History'!K49-1),"")</f>
        <v>7.500986971970014E-2</v>
      </c>
      <c r="L49" s="82">
        <f>IFERROR(IF(OR(NOT(ISNUMBER('Price History'!L50)),NOT(ISNUMBER('Price History'!L49)),'Price History'!L49=0),"",'Price History'!L50/'Price History'!L49-1),"")</f>
        <v>5.856970254876015E-2</v>
      </c>
      <c r="M49" s="82">
        <f>IFERROR(IF(OR(NOT(ISNUMBER('Price History'!M50)),NOT(ISNUMBER('Price History'!M49)),'Price History'!M49=0),"",'Price History'!M50/'Price History'!M49-1),"")</f>
        <v>6.0182511262562244E-2</v>
      </c>
      <c r="N49" s="82">
        <f>IFERROR(IF(OR(NOT(ISNUMBER('Price History'!N50)),NOT(ISNUMBER('Price History'!N49)),'Price History'!N49=0),"",'Price History'!N50/'Price History'!N49-1),"")</f>
        <v>1.2480798771121293E-2</v>
      </c>
      <c r="O49" s="82">
        <f>IFERROR(IF(OR(NOT(ISNUMBER('Price History'!O50)),NOT(ISNUMBER('Price History'!O49)),'Price History'!O49=0),"",'Price History'!O50/'Price History'!O49-1),"")</f>
        <v>-1.64957646009809E-2</v>
      </c>
      <c r="P49" s="82" t="str">
        <f>IFERROR(IF(OR(NOT(ISNUMBER('Price History'!P50)),NOT(ISNUMBER('Price History'!P49)),'Price History'!P49=0),"",'Price History'!P50/'Price History'!P49-1),"")</f>
        <v/>
      </c>
      <c r="Q49" s="82">
        <f>IFERROR(IF(OR(NOT(ISNUMBER('Price History'!Q50)),NOT(ISNUMBER('Price History'!Q49)),'Price History'!Q49=0),"",'Price History'!Q50/'Price History'!Q49-1),"")</f>
        <v>8.7439044896586715E-3</v>
      </c>
      <c r="R49" s="82">
        <f>IFERROR(IF(OR(NOT(ISNUMBER('Price History'!R50)),NOT(ISNUMBER('Price History'!R49)),'Price History'!R49=0),"",'Price History'!R50/'Price History'!R49-1),"")</f>
        <v>6.846846846846999E-3</v>
      </c>
      <c r="S49" s="82">
        <f>IFERROR(IF(OR(NOT(ISNUMBER('Price History'!S50)),NOT(ISNUMBER('Price History'!S49)),'Price History'!S49=0),"",'Price History'!S50/'Price History'!S49-1),"")</f>
        <v>3.0985593414132317E-2</v>
      </c>
      <c r="T49" s="82">
        <f>IFERROR(IF(OR(NOT(ISNUMBER('Price History'!T50)),NOT(ISNUMBER('Price History'!T49)),'Price History'!T49=0),"",'Price History'!T50/'Price History'!T49-1),"")</f>
        <v>-2.0051746442432128E-2</v>
      </c>
      <c r="U49" s="82" t="str">
        <f>IFERROR(IF(OR(NOT(ISNUMBER('Price History'!U50)),NOT(ISNUMBER('Price History'!U49)),'Price History'!U49=0),"",'Price History'!U50/'Price History'!U49-1),"")</f>
        <v/>
      </c>
      <c r="V49" s="83">
        <f>IFERROR(IF(OR(NOT(ISNUMBER('Price History'!V50)),NOT(ISNUMBER('Price History'!V49)),'Price History'!V49=0),"",'Price History'!V50/'Price History'!V49-1),"")</f>
        <v>3.0071691532648659E-2</v>
      </c>
      <c r="W49" s="84" t="str">
        <f>IFERROR('Price History'!B3+(INDEX('Price History'!B:B,MATCH(9.99E+307,'Price History'!$A:$A))-'Price History'!B3)*(ROW()-3)/(MATCH(9.99E+307,'Returns (Calc)'!$A:$A)-3),"")</f>
        <v/>
      </c>
      <c r="X49" s="84">
        <f>IFERROR('Price History'!C3+(INDEX('Price History'!C:C,MATCH(9.99E+307,'Price History'!$A:$A))-'Price History'!C3)*(ROW()-3)/(MATCH(9.99E+307,'Returns (Calc)'!$A:$A)-3),"")</f>
        <v>31.085660377358494</v>
      </c>
      <c r="Y49" s="84">
        <f>IFERROR('Price History'!D3+(INDEX('Price History'!D:D,MATCH(9.99E+307,'Price History'!$A:$A))-'Price History'!D3)*(ROW()-3)/(MATCH(9.99E+307,'Returns (Calc)'!$A:$A)-3),"")</f>
        <v>470.32163522012581</v>
      </c>
      <c r="Z49" s="84">
        <f>IFERROR('Price History'!E3+(INDEX('Price History'!E:E,MATCH(9.99E+307,'Price History'!$A:$A))-'Price History'!E3)*(ROW()-3)/(MATCH(9.99E+307,'Returns (Calc)'!$A:$A)-3),"")</f>
        <v>58.973207547169814</v>
      </c>
      <c r="AA49" s="84">
        <f>IFERROR('Price History'!F3+(INDEX('Price History'!F:F,MATCH(9.99E+307,'Price History'!$A:$A))-'Price History'!F3)*(ROW()-3)/(MATCH(9.99E+307,'Returns (Calc)'!$A:$A)-3),"")</f>
        <v>26.338238993710693</v>
      </c>
      <c r="AB49" s="84">
        <f>IFERROR('Price History'!G3+(INDEX('Price History'!G:G,MATCH(9.99E+307,'Price History'!$A:$A))-'Price History'!G3)*(ROW()-3)/(MATCH(9.99E+307,'Returns (Calc)'!$A:$A)-3),"")</f>
        <v>34.042138364779873</v>
      </c>
      <c r="AC49" s="84">
        <f>IFERROR('Price History'!H3+(INDEX('Price History'!H:H,MATCH(9.99E+307,'Price History'!$A:$A))-'Price History'!H3)*(ROW()-3)/(MATCH(9.99E+307,'Returns (Calc)'!$A:$A)-3),"")</f>
        <v>45.747232704402521</v>
      </c>
      <c r="AD49" s="84">
        <f>IFERROR('Price History'!I3+(INDEX('Price History'!I:I,MATCH(9.99E+307,'Price History'!$A:$A))-'Price History'!I3)*(ROW()-3)/(MATCH(9.99E+307,'Returns (Calc)'!$A:$A)-3),"")</f>
        <v>29.031761006289308</v>
      </c>
      <c r="AE49" s="84">
        <f>IFERROR('Price History'!J3+(INDEX('Price History'!J:J,MATCH(9.99E+307,'Price History'!$A:$A))-'Price History'!J3)*(ROW()-3)/(MATCH(9.99E+307,'Returns (Calc)'!$A:$A)-3),"")</f>
        <v>87.777547169811328</v>
      </c>
      <c r="AF49" s="84">
        <f>IFERROR('Price History'!K3+(INDEX('Price History'!K:K,MATCH(9.99E+307,'Price History'!$A:$A))-'Price History'!K3)*(ROW()-3)/(MATCH(9.99E+307,'Returns (Calc)'!$A:$A)-3),"")</f>
        <v>10.951761006289308</v>
      </c>
      <c r="AG49" s="84">
        <f>IFERROR('Price History'!L3+(INDEX('Price History'!L:L,MATCH(9.99E+307,'Price History'!$A:$A))-'Price History'!L3)*(ROW()-3)/(MATCH(9.99E+307,'Returns (Calc)'!$A:$A)-3),"")</f>
        <v>65.376540880503143</v>
      </c>
      <c r="AH49" s="84">
        <f>IFERROR('Price History'!M3+(INDEX('Price History'!M:M,MATCH(9.99E+307,'Price History'!$A:$A))-'Price History'!M3)*(ROW()-3)/(MATCH(9.99E+307,'Returns (Calc)'!$A:$A)-3),"")</f>
        <v>23.815283018867923</v>
      </c>
      <c r="AI49" s="84">
        <f>IFERROR('Price History'!N3+(INDEX('Price History'!N:N,MATCH(9.99E+307,'Price History'!$A:$A))-'Price History'!N3)*(ROW()-3)/(MATCH(9.99E+307,'Returns (Calc)'!$A:$A)-3),"")</f>
        <v>248.64264150943399</v>
      </c>
      <c r="AJ49" s="84">
        <f>IFERROR('Price History'!O3+(INDEX('Price History'!O:O,MATCH(9.99E+307,'Price History'!$A:$A))-'Price History'!O3)*(ROW()-3)/(MATCH(9.99E+307,'Returns (Calc)'!$A:$A)-3),"")</f>
        <v>58.880817610062891</v>
      </c>
      <c r="AK49" s="84">
        <f>IFERROR('Price History'!Q3+(INDEX('Price History'!Q:Q,MATCH(9.99E+307,'Price History'!$A:$A))-'Price History'!Q3)*(ROW()-3)/(MATCH(9.99E+307,'Returns (Calc)'!$A:$A)-3),"")</f>
        <v>35.420880503144659</v>
      </c>
      <c r="AL49" s="84">
        <f>IFERROR('Price History'!R3+(INDEX('Price History'!R:R,MATCH(9.99E+307,'Price History'!$A:$A))-'Price History'!R3)*(ROW()-3)/(MATCH(9.99E+307,'Returns (Calc)'!$A:$A)-3),"")</f>
        <v>33.985283018867925</v>
      </c>
      <c r="AM49" s="84">
        <f>IFERROR('Price History'!S3+(INDEX('Price History'!S:S,MATCH(9.99E+307,'Price History'!$A:$A))-'Price History'!S3)*(ROW()-3)/(MATCH(9.99E+307,'Returns (Calc)'!$A:$A)-3),"")</f>
        <v>41.603899371069176</v>
      </c>
      <c r="AN49" s="84">
        <f>IFERROR('Price History'!T3+(INDEX('Price History'!T:T,MATCH(9.99E+307,'Price History'!$A:$A))-'Price History'!T3)*(ROW()-3)/(MATCH(9.99E+307,'Returns (Calc)'!$A:$A)-3),"")</f>
        <v>19.124716981132075</v>
      </c>
      <c r="AO49" s="85">
        <f>IFERROR('Price History'!V3+(INDEX('Price History'!V:V,MATCH(9.99E+307,'Price History'!$A:$A))-'Price History'!V3)*(ROW()-3)/(MATCH(9.99E+307,'Returns (Calc)'!$A:$A)-3),"")</f>
        <v>0</v>
      </c>
    </row>
    <row r="50" spans="1:41" ht="15" customHeight="1" x14ac:dyDescent="0.3">
      <c r="A50" s="81">
        <f>IF('Price History'!A51="","",'Price History'!A51)</f>
        <v>45485</v>
      </c>
      <c r="B50" s="82">
        <f>IFERROR(IF(OR(NOT(ISNUMBER('Price History'!B51)),NOT(ISNUMBER('Price History'!B50)),'Price History'!B50=0),"",'Price History'!B51/'Price History'!B50-1),"")</f>
        <v>-3.3354082373690308E-2</v>
      </c>
      <c r="C50" s="82">
        <f>IFERROR(IF(OR(NOT(ISNUMBER('Price History'!C51)),NOT(ISNUMBER('Price History'!C50)),'Price History'!C50=0),"",'Price History'!C51/'Price History'!C50-1),"")</f>
        <v>-1.1579637317019942E-2</v>
      </c>
      <c r="D50" s="82">
        <f>IFERROR(IF(OR(NOT(ISNUMBER('Price History'!D51)),NOT(ISNUMBER('Price History'!D50)),'Price History'!D50=0),"",'Price History'!D51/'Price History'!D50-1),"")</f>
        <v>1.0032760032760102E-2</v>
      </c>
      <c r="E50" s="82">
        <f>IFERROR(IF(OR(NOT(ISNUMBER('Price History'!E51)),NOT(ISNUMBER('Price History'!E50)),'Price History'!E50=0),"",'Price History'!E51/'Price History'!E50-1),"")</f>
        <v>-1.5264486584866122E-3</v>
      </c>
      <c r="F50" s="82">
        <f>IFERROR(IF(OR(NOT(ISNUMBER('Price History'!F51)),NOT(ISNUMBER('Price History'!F50)),'Price History'!F50=0),"",'Price History'!F51/'Price History'!F50-1),"")</f>
        <v>-4.711558201601318E-2</v>
      </c>
      <c r="G50" s="82">
        <f>IFERROR(IF(OR(NOT(ISNUMBER('Price History'!G51)),NOT(ISNUMBER('Price History'!G50)),'Price History'!G50=0),"",'Price History'!G51/'Price History'!G50-1),"")</f>
        <v>2.9232927970066491E-3</v>
      </c>
      <c r="H50" s="82">
        <f>IFERROR(IF(OR(NOT(ISNUMBER('Price History'!H51)),NOT(ISNUMBER('Price History'!H50)),'Price History'!H50=0),"",'Price History'!H51/'Price History'!H50-1),"")</f>
        <v>1.4817629179331382E-2</v>
      </c>
      <c r="I50" s="82">
        <f>IFERROR(IF(OR(NOT(ISNUMBER('Price History'!I51)),NOT(ISNUMBER('Price History'!I50)),'Price History'!I50=0),"",'Price History'!I51/'Price History'!I50-1),"")</f>
        <v>2.7100055630612907E-2</v>
      </c>
      <c r="J50" s="82">
        <f>IFERROR(IF(OR(NOT(ISNUMBER('Price History'!J51)),NOT(ISNUMBER('Price History'!J50)),'Price History'!J50=0),"",'Price History'!J51/'Price History'!J50-1),"")</f>
        <v>4.9711689673248349E-2</v>
      </c>
      <c r="K50" s="82">
        <f>IFERROR(IF(OR(NOT(ISNUMBER('Price History'!K51)),NOT(ISNUMBER('Price History'!K50)),'Price History'!K50=0),"",'Price History'!K51/'Price History'!K50-1),"")</f>
        <v>3.084832904884327E-2</v>
      </c>
      <c r="L50" s="82">
        <f>IFERROR(IF(OR(NOT(ISNUMBER('Price History'!L51)),NOT(ISNUMBER('Price History'!L50)),'Price History'!L50=0),"",'Price History'!L51/'Price History'!L50-1),"")</f>
        <v>1.8261862057720402E-2</v>
      </c>
      <c r="M50" s="82">
        <f>IFERROR(IF(OR(NOT(ISNUMBER('Price History'!M51)),NOT(ISNUMBER('Price History'!M50)),'Price History'!M50=0),"",'Price History'!M51/'Price History'!M50-1),"")</f>
        <v>-2.2989758117236914E-2</v>
      </c>
      <c r="N50" s="82">
        <f>IFERROR(IF(OR(NOT(ISNUMBER('Price History'!N51)),NOT(ISNUMBER('Price History'!N50)),'Price History'!N50=0),"",'Price History'!N51/'Price History'!N50-1),"")</f>
        <v>2.9858608845902745E-2</v>
      </c>
      <c r="O50" s="82">
        <f>IFERROR(IF(OR(NOT(ISNUMBER('Price History'!O51)),NOT(ISNUMBER('Price History'!O50)),'Price History'!O50=0),"",'Price History'!O51/'Price History'!O50-1),"")</f>
        <v>5.5757026291931133E-2</v>
      </c>
      <c r="P50" s="82" t="str">
        <f>IFERROR(IF(OR(NOT(ISNUMBER('Price History'!P51)),NOT(ISNUMBER('Price History'!P50)),'Price History'!P50=0),"",'Price History'!P51/'Price History'!P50-1),"")</f>
        <v/>
      </c>
      <c r="Q50" s="82">
        <f>IFERROR(IF(OR(NOT(ISNUMBER('Price History'!Q51)),NOT(ISNUMBER('Price History'!Q50)),'Price History'!Q50=0),"",'Price History'!Q51/'Price History'!Q50-1),"")</f>
        <v>3.6672778796464911E-3</v>
      </c>
      <c r="R50" s="82">
        <f>IFERROR(IF(OR(NOT(ISNUMBER('Price History'!R51)),NOT(ISNUMBER('Price History'!R50)),'Price History'!R50=0),"",'Price History'!R51/'Price History'!R50-1),"")</f>
        <v>-7.158196134573469E-4</v>
      </c>
      <c r="S50" s="82">
        <f>IFERROR(IF(OR(NOT(ISNUMBER('Price History'!S51)),NOT(ISNUMBER('Price History'!S50)),'Price History'!S50=0),"",'Price History'!S51/'Price History'!S50-1),"")</f>
        <v>-1.996229344571443E-3</v>
      </c>
      <c r="T50" s="82">
        <f>IFERROR(IF(OR(NOT(ISNUMBER('Price History'!T51)),NOT(ISNUMBER('Price History'!T50)),'Price History'!T50=0),"",'Price History'!T51/'Price History'!T50-1),"")</f>
        <v>3.8283828382838392E-2</v>
      </c>
      <c r="U50" s="82" t="str">
        <f>IFERROR(IF(OR(NOT(ISNUMBER('Price History'!U51)),NOT(ISNUMBER('Price History'!U50)),'Price History'!U50=0),"",'Price History'!U51/'Price History'!U50-1),"")</f>
        <v/>
      </c>
      <c r="V50" s="83">
        <f>IFERROR(IF(OR(NOT(ISNUMBER('Price History'!V51)),NOT(ISNUMBER('Price History'!V50)),'Price History'!V50=0),"",'Price History'!V51/'Price History'!V50-1),"")</f>
        <v>-1.707986907941772E-2</v>
      </c>
      <c r="W50" s="84" t="str">
        <f>IFERROR('Price History'!B3+(INDEX('Price History'!B:B,MATCH(9.99E+307,'Price History'!$A:$A))-'Price History'!B3)*(ROW()-3)/(MATCH(9.99E+307,'Returns (Calc)'!$A:$A)-3),"")</f>
        <v/>
      </c>
      <c r="X50" s="84">
        <f>IFERROR('Price History'!C3+(INDEX('Price History'!C:C,MATCH(9.99E+307,'Price History'!$A:$A))-'Price History'!C3)*(ROW()-3)/(MATCH(9.99E+307,'Returns (Calc)'!$A:$A)-3),"")</f>
        <v>30.81056603773585</v>
      </c>
      <c r="Y50" s="84">
        <f>IFERROR('Price History'!D3+(INDEX('Price History'!D:D,MATCH(9.99E+307,'Price History'!$A:$A))-'Price History'!D3)*(ROW()-3)/(MATCH(9.99E+307,'Returns (Calc)'!$A:$A)-3),"")</f>
        <v>466.15949685534588</v>
      </c>
      <c r="Z50" s="84">
        <f>IFERROR('Price History'!E3+(INDEX('Price History'!E:E,MATCH(9.99E+307,'Price History'!$A:$A))-'Price History'!E3)*(ROW()-3)/(MATCH(9.99E+307,'Returns (Calc)'!$A:$A)-3),"")</f>
        <v>58.451320754716981</v>
      </c>
      <c r="AA50" s="84">
        <f>IFERROR('Price History'!F3+(INDEX('Price History'!F:F,MATCH(9.99E+307,'Price History'!$A:$A))-'Price History'!F3)*(ROW()-3)/(MATCH(9.99E+307,'Returns (Calc)'!$A:$A)-3),"")</f>
        <v>26.105157232704403</v>
      </c>
      <c r="AB50" s="84">
        <f>IFERROR('Price History'!G3+(INDEX('Price History'!G:G,MATCH(9.99E+307,'Price History'!$A:$A))-'Price History'!G3)*(ROW()-3)/(MATCH(9.99E+307,'Returns (Calc)'!$A:$A)-3),"")</f>
        <v>33.740880503144652</v>
      </c>
      <c r="AC50" s="84">
        <f>IFERROR('Price History'!H3+(INDEX('Price History'!H:H,MATCH(9.99E+307,'Price History'!$A:$A))-'Price History'!H3)*(ROW()-3)/(MATCH(9.99E+307,'Returns (Calc)'!$A:$A)-3),"")</f>
        <v>45.342389937106915</v>
      </c>
      <c r="AD50" s="84">
        <f>IFERROR('Price History'!I3+(INDEX('Price History'!I:I,MATCH(9.99E+307,'Price History'!$A:$A))-'Price History'!I3)*(ROW()-3)/(MATCH(9.99E+307,'Returns (Calc)'!$A:$A)-3),"")</f>
        <v>28.774842767295599</v>
      </c>
      <c r="AE50" s="84">
        <f>IFERROR('Price History'!J3+(INDEX('Price History'!J:J,MATCH(9.99E+307,'Price History'!$A:$A))-'Price History'!J3)*(ROW()-3)/(MATCH(9.99E+307,'Returns (Calc)'!$A:$A)-3),"")</f>
        <v>87.000754716981135</v>
      </c>
      <c r="AF50" s="84">
        <f>IFERROR('Price History'!K3+(INDEX('Price History'!K:K,MATCH(9.99E+307,'Price History'!$A:$A))-'Price History'!K3)*(ROW()-3)/(MATCH(9.99E+307,'Returns (Calc)'!$A:$A)-3),"")</f>
        <v>10.854842767295597</v>
      </c>
      <c r="AG50" s="84">
        <f>IFERROR('Price History'!L3+(INDEX('Price History'!L:L,MATCH(9.99E+307,'Price History'!$A:$A))-'Price History'!L3)*(ROW()-3)/(MATCH(9.99E+307,'Returns (Calc)'!$A:$A)-3),"")</f>
        <v>64.797987421383652</v>
      </c>
      <c r="AH50" s="84">
        <f>IFERROR('Price History'!M3+(INDEX('Price History'!M:M,MATCH(9.99E+307,'Price History'!$A:$A))-'Price History'!M3)*(ROW()-3)/(MATCH(9.99E+307,'Returns (Calc)'!$A:$A)-3),"")</f>
        <v>23.604528301886791</v>
      </c>
      <c r="AI50" s="84">
        <f>IFERROR('Price History'!N3+(INDEX('Price History'!N:N,MATCH(9.99E+307,'Price History'!$A:$A))-'Price History'!N3)*(ROW()-3)/(MATCH(9.99E+307,'Returns (Calc)'!$A:$A)-3),"")</f>
        <v>246.4422641509434</v>
      </c>
      <c r="AJ50" s="84">
        <f>IFERROR('Price History'!O3+(INDEX('Price History'!O:O,MATCH(9.99E+307,'Price History'!$A:$A))-'Price History'!O3)*(ROW()-3)/(MATCH(9.99E+307,'Returns (Calc)'!$A:$A)-3),"")</f>
        <v>58.359748427672955</v>
      </c>
      <c r="AK50" s="84">
        <f>IFERROR('Price History'!Q3+(INDEX('Price History'!Q:Q,MATCH(9.99E+307,'Price History'!$A:$A))-'Price History'!Q3)*(ROW()-3)/(MATCH(9.99E+307,'Returns (Calc)'!$A:$A)-3),"")</f>
        <v>35.107421383647804</v>
      </c>
      <c r="AL50" s="84">
        <f>IFERROR('Price History'!R3+(INDEX('Price History'!R:R,MATCH(9.99E+307,'Price History'!$A:$A))-'Price History'!R3)*(ROW()-3)/(MATCH(9.99E+307,'Returns (Calc)'!$A:$A)-3),"")</f>
        <v>33.684528301886793</v>
      </c>
      <c r="AM50" s="84">
        <f>IFERROR('Price History'!S3+(INDEX('Price History'!S:S,MATCH(9.99E+307,'Price History'!$A:$A))-'Price History'!S3)*(ROW()-3)/(MATCH(9.99E+307,'Returns (Calc)'!$A:$A)-3),"")</f>
        <v>41.235723270440246</v>
      </c>
      <c r="AN50" s="84">
        <f>IFERROR('Price History'!T3+(INDEX('Price History'!T:T,MATCH(9.99E+307,'Price History'!$A:$A))-'Price History'!T3)*(ROW()-3)/(MATCH(9.99E+307,'Returns (Calc)'!$A:$A)-3),"")</f>
        <v>18.955471698113207</v>
      </c>
      <c r="AO50" s="85">
        <f>IFERROR('Price History'!V3+(INDEX('Price History'!V:V,MATCH(9.99E+307,'Price History'!$A:$A))-'Price History'!V3)*(ROW()-3)/(MATCH(9.99E+307,'Returns (Calc)'!$A:$A)-3),"")</f>
        <v>0</v>
      </c>
    </row>
    <row r="51" spans="1:41" ht="15" customHeight="1" x14ac:dyDescent="0.3">
      <c r="A51" s="81">
        <f>IF('Price History'!A52="","",'Price History'!A52)</f>
        <v>45492</v>
      </c>
      <c r="B51" s="82">
        <f>IFERROR(IF(OR(NOT(ISNUMBER('Price History'!B52)),NOT(ISNUMBER('Price History'!B51)),'Price History'!B51=0),"",'Price History'!B52/'Price History'!B51-1),"")</f>
        <v>-1.4399427600393477E-2</v>
      </c>
      <c r="C51" s="82">
        <f>IFERROR(IF(OR(NOT(ISNUMBER('Price History'!C52)),NOT(ISNUMBER('Price History'!C51)),'Price History'!C51=0),"",'Price History'!C52/'Price History'!C51-1),"")</f>
        <v>-8.6648983200707352E-2</v>
      </c>
      <c r="D51" s="82">
        <f>IFERROR(IF(OR(NOT(ISNUMBER('Price History'!D52)),NOT(ISNUMBER('Price History'!D51)),'Price History'!D51=0),"",'Price History'!D52/'Price History'!D51-1),"")</f>
        <v>-0.17497189613548825</v>
      </c>
      <c r="E51" s="82">
        <f>IFERROR(IF(OR(NOT(ISNUMBER('Price History'!E52)),NOT(ISNUMBER('Price History'!E51)),'Price History'!E51=0),"",'Price History'!E52/'Price History'!E51-1),"")</f>
        <v>-7.4792732404304063E-2</v>
      </c>
      <c r="F51" s="82">
        <f>IFERROR(IF(OR(NOT(ISNUMBER('Price History'!F52)),NOT(ISNUMBER('Price History'!F51)),'Price History'!F51=0),"",'Price History'!F52/'Price History'!F51-1),"")</f>
        <v>-0.17871377787353226</v>
      </c>
      <c r="G51" s="82">
        <f>IFERROR(IF(OR(NOT(ISNUMBER('Price History'!G52)),NOT(ISNUMBER('Price History'!G51)),'Price History'!G51=0),"",'Price History'!G52/'Price History'!G51-1),"")</f>
        <v>-0.110877929345925</v>
      </c>
      <c r="H51" s="82">
        <f>IFERROR(IF(OR(NOT(ISNUMBER('Price History'!H52)),NOT(ISNUMBER('Price History'!H51)),'Price History'!H51=0),"",'Price History'!H52/'Price History'!H51-1),"")</f>
        <v>-0.14444028453762636</v>
      </c>
      <c r="I51" s="82">
        <f>IFERROR(IF(OR(NOT(ISNUMBER('Price History'!I52)),NOT(ISNUMBER('Price History'!I51)),'Price History'!I51=0),"",'Price History'!I52/'Price History'!I51-1),"")</f>
        <v>-8.75116063138347E-2</v>
      </c>
      <c r="J51" s="82">
        <f>IFERROR(IF(OR(NOT(ISNUMBER('Price History'!J52)),NOT(ISNUMBER('Price History'!J51)),'Price History'!J51=0),"",'Price History'!J52/'Price History'!J51-1),"")</f>
        <v>2.9962546816479252E-2</v>
      </c>
      <c r="K51" s="82">
        <f>IFERROR(IF(OR(NOT(ISNUMBER('Price History'!K52)),NOT(ISNUMBER('Price History'!K51)),'Price History'!K51=0),"",'Price History'!K52/'Price History'!K51-1),"")</f>
        <v>1.8168863555397152E-2</v>
      </c>
      <c r="L51" s="82">
        <f>IFERROR(IF(OR(NOT(ISNUMBER('Price History'!L52)),NOT(ISNUMBER('Price History'!L51)),'Price History'!L51=0),"",'Price History'!L52/'Price History'!L51-1),"")</f>
        <v>-0.11518548171870824</v>
      </c>
      <c r="M51" s="82">
        <f>IFERROR(IF(OR(NOT(ISNUMBER('Price History'!M52)),NOT(ISNUMBER('Price History'!M51)),'Price History'!M51=0),"",'Price History'!M52/'Price History'!M51-1),"")</f>
        <v>-4.8622727779636388E-2</v>
      </c>
      <c r="N51" s="82">
        <f>IFERROR(IF(OR(NOT(ISNUMBER('Price History'!N52)),NOT(ISNUMBER('Price History'!N51)),'Price History'!N51=0),"",'Price History'!N52/'Price History'!N51-1),"")</f>
        <v>5.7903998035764292E-3</v>
      </c>
      <c r="O51" s="82">
        <f>IFERROR(IF(OR(NOT(ISNUMBER('Price History'!O52)),NOT(ISNUMBER('Price History'!O51)),'Price History'!O51=0),"",'Price History'!O52/'Price History'!O51-1),"")</f>
        <v>2.6406182911120846E-2</v>
      </c>
      <c r="P51" s="82" t="str">
        <f>IFERROR(IF(OR(NOT(ISNUMBER('Price History'!P52)),NOT(ISNUMBER('Price History'!P51)),'Price History'!P51=0),"",'Price History'!P52/'Price History'!P51-1),"")</f>
        <v/>
      </c>
      <c r="Q51" s="82">
        <f>IFERROR(IF(OR(NOT(ISNUMBER('Price History'!Q52)),NOT(ISNUMBER('Price History'!Q51)),'Price History'!Q51=0),"",'Price History'!Q52/'Price History'!Q51-1),"")</f>
        <v>-2.7071914964291732E-2</v>
      </c>
      <c r="R51" s="82">
        <f>IFERROR(IF(OR(NOT(ISNUMBER('Price History'!R52)),NOT(ISNUMBER('Price History'!R51)),'Price History'!R51=0),"",'Price History'!R52/'Price History'!R51-1),"")</f>
        <v>-2.9548710601719264E-2</v>
      </c>
      <c r="S51" s="82">
        <f>IFERROR(IF(OR(NOT(ISNUMBER('Price History'!S52)),NOT(ISNUMBER('Price History'!S51)),'Price History'!S51=0),"",'Price History'!S52/'Price History'!S51-1),"")</f>
        <v>-4.0448938770974552E-2</v>
      </c>
      <c r="T51" s="82">
        <f>IFERROR(IF(OR(NOT(ISNUMBER('Price History'!T52)),NOT(ISNUMBER('Price History'!T51)),'Price History'!T51=0),"",'Price History'!T52/'Price History'!T51-1),"")</f>
        <v>1.5257469802924417E-2</v>
      </c>
      <c r="U51" s="82" t="str">
        <f>IFERROR(IF(OR(NOT(ISNUMBER('Price History'!U52)),NOT(ISNUMBER('Price History'!U51)),'Price History'!U51=0),"",'Price History'!U52/'Price History'!U51-1),"")</f>
        <v/>
      </c>
      <c r="V51" s="83">
        <f>IFERROR(IF(OR(NOT(ISNUMBER('Price History'!V52)),NOT(ISNUMBER('Price History'!V51)),'Price History'!V51=0),"",'Price History'!V52/'Price History'!V51-1),"")</f>
        <v>-1.0716882918052617E-3</v>
      </c>
      <c r="W51" s="84" t="str">
        <f>IFERROR('Price History'!B3+(INDEX('Price History'!B:B,MATCH(9.99E+307,'Price History'!$A:$A))-'Price History'!B3)*(ROW()-3)/(MATCH(9.99E+307,'Returns (Calc)'!$A:$A)-3),"")</f>
        <v/>
      </c>
      <c r="X51" s="84">
        <f>IFERROR('Price History'!C3+(INDEX('Price History'!C:C,MATCH(9.99E+307,'Price History'!$A:$A))-'Price History'!C3)*(ROW()-3)/(MATCH(9.99E+307,'Returns (Calc)'!$A:$A)-3),"")</f>
        <v>30.535471698113209</v>
      </c>
      <c r="Y51" s="84">
        <f>IFERROR('Price History'!D3+(INDEX('Price History'!D:D,MATCH(9.99E+307,'Price History'!$A:$A))-'Price History'!D3)*(ROW()-3)/(MATCH(9.99E+307,'Returns (Calc)'!$A:$A)-3),"")</f>
        <v>461.99735849056606</v>
      </c>
      <c r="Z51" s="84">
        <f>IFERROR('Price History'!E3+(INDEX('Price History'!E:E,MATCH(9.99E+307,'Price History'!$A:$A))-'Price History'!E3)*(ROW()-3)/(MATCH(9.99E+307,'Returns (Calc)'!$A:$A)-3),"")</f>
        <v>57.929433962264156</v>
      </c>
      <c r="AA51" s="84">
        <f>IFERROR('Price History'!F3+(INDEX('Price History'!F:F,MATCH(9.99E+307,'Price History'!$A:$A))-'Price History'!F3)*(ROW()-3)/(MATCH(9.99E+307,'Returns (Calc)'!$A:$A)-3),"")</f>
        <v>25.872075471698114</v>
      </c>
      <c r="AB51" s="84">
        <f>IFERROR('Price History'!G3+(INDEX('Price History'!G:G,MATCH(9.99E+307,'Price History'!$A:$A))-'Price History'!G3)*(ROW()-3)/(MATCH(9.99E+307,'Returns (Calc)'!$A:$A)-3),"")</f>
        <v>33.43962264150943</v>
      </c>
      <c r="AC51" s="84">
        <f>IFERROR('Price History'!H3+(INDEX('Price History'!H:H,MATCH(9.99E+307,'Price History'!$A:$A))-'Price History'!H3)*(ROW()-3)/(MATCH(9.99E+307,'Returns (Calc)'!$A:$A)-3),"")</f>
        <v>44.937547169811324</v>
      </c>
      <c r="AD51" s="84">
        <f>IFERROR('Price History'!I3+(INDEX('Price History'!I:I,MATCH(9.99E+307,'Price History'!$A:$A))-'Price History'!I3)*(ROW()-3)/(MATCH(9.99E+307,'Returns (Calc)'!$A:$A)-3),"")</f>
        <v>28.517924528301887</v>
      </c>
      <c r="AE51" s="84">
        <f>IFERROR('Price History'!J3+(INDEX('Price History'!J:J,MATCH(9.99E+307,'Price History'!$A:$A))-'Price History'!J3)*(ROW()-3)/(MATCH(9.99E+307,'Returns (Calc)'!$A:$A)-3),"")</f>
        <v>86.223962264150941</v>
      </c>
      <c r="AF51" s="84">
        <f>IFERROR('Price History'!K3+(INDEX('Price History'!K:K,MATCH(9.99E+307,'Price History'!$A:$A))-'Price History'!K3)*(ROW()-3)/(MATCH(9.99E+307,'Returns (Calc)'!$A:$A)-3),"")</f>
        <v>10.757924528301887</v>
      </c>
      <c r="AG51" s="84">
        <f>IFERROR('Price History'!L3+(INDEX('Price History'!L:L,MATCH(9.99E+307,'Price History'!$A:$A))-'Price History'!L3)*(ROW()-3)/(MATCH(9.99E+307,'Returns (Calc)'!$A:$A)-3),"")</f>
        <v>64.219433962264148</v>
      </c>
      <c r="AH51" s="84">
        <f>IFERROR('Price History'!M3+(INDEX('Price History'!M:M,MATCH(9.99E+307,'Price History'!$A:$A))-'Price History'!M3)*(ROW()-3)/(MATCH(9.99E+307,'Returns (Calc)'!$A:$A)-3),"")</f>
        <v>23.393773584905659</v>
      </c>
      <c r="AI51" s="84">
        <f>IFERROR('Price History'!N3+(INDEX('Price History'!N:N,MATCH(9.99E+307,'Price History'!$A:$A))-'Price History'!N3)*(ROW()-3)/(MATCH(9.99E+307,'Returns (Calc)'!$A:$A)-3),"")</f>
        <v>244.24188679245285</v>
      </c>
      <c r="AJ51" s="84">
        <f>IFERROR('Price History'!O3+(INDEX('Price History'!O:O,MATCH(9.99E+307,'Price History'!$A:$A))-'Price History'!O3)*(ROW()-3)/(MATCH(9.99E+307,'Returns (Calc)'!$A:$A)-3),"")</f>
        <v>57.838679245283018</v>
      </c>
      <c r="AK51" s="84">
        <f>IFERROR('Price History'!Q3+(INDEX('Price History'!Q:Q,MATCH(9.99E+307,'Price History'!$A:$A))-'Price History'!Q3)*(ROW()-3)/(MATCH(9.99E+307,'Returns (Calc)'!$A:$A)-3),"")</f>
        <v>34.793962264150949</v>
      </c>
      <c r="AL51" s="84">
        <f>IFERROR('Price History'!R3+(INDEX('Price History'!R:R,MATCH(9.99E+307,'Price History'!$A:$A))-'Price History'!R3)*(ROW()-3)/(MATCH(9.99E+307,'Returns (Calc)'!$A:$A)-3),"")</f>
        <v>33.383773584905661</v>
      </c>
      <c r="AM51" s="84">
        <f>IFERROR('Price History'!S3+(INDEX('Price History'!S:S,MATCH(9.99E+307,'Price History'!$A:$A))-'Price History'!S3)*(ROW()-3)/(MATCH(9.99E+307,'Returns (Calc)'!$A:$A)-3),"")</f>
        <v>40.867547169811317</v>
      </c>
      <c r="AN51" s="84">
        <f>IFERROR('Price History'!T3+(INDEX('Price History'!T:T,MATCH(9.99E+307,'Price History'!$A:$A))-'Price History'!T3)*(ROW()-3)/(MATCH(9.99E+307,'Returns (Calc)'!$A:$A)-3),"")</f>
        <v>18.78622641509434</v>
      </c>
      <c r="AO51" s="85">
        <f>IFERROR('Price History'!V3+(INDEX('Price History'!V:V,MATCH(9.99E+307,'Price History'!$A:$A))-'Price History'!V3)*(ROW()-3)/(MATCH(9.99E+307,'Returns (Calc)'!$A:$A)-3),"")</f>
        <v>0</v>
      </c>
    </row>
    <row r="52" spans="1:41" ht="15" customHeight="1" x14ac:dyDescent="0.3">
      <c r="A52" s="81">
        <f>IF('Price History'!A53="","",'Price History'!A53)</f>
        <v>45499</v>
      </c>
      <c r="B52" s="82">
        <f>IFERROR(IF(OR(NOT(ISNUMBER('Price History'!B53)),NOT(ISNUMBER('Price History'!B52)),'Price History'!B52=0),"",'Price History'!B53/'Price History'!B52-1),"")</f>
        <v>-1.55353901996369E-2</v>
      </c>
      <c r="C52" s="82">
        <f>IFERROR(IF(OR(NOT(ISNUMBER('Price History'!C53)),NOT(ISNUMBER('Price History'!C52)),'Price History'!C52=0),"",'Price History'!C53/'Price History'!C52-1),"")</f>
        <v>-3.436592449177156E-2</v>
      </c>
      <c r="D52" s="82">
        <f>IFERROR(IF(OR(NOT(ISNUMBER('Price History'!D53)),NOT(ISNUMBER('Price History'!D52)),'Price History'!D52=0),"",'Price History'!D53/'Price History'!D52-1),"")</f>
        <v>-7.7956598947921396E-3</v>
      </c>
      <c r="E52" s="82">
        <f>IFERROR(IF(OR(NOT(ISNUMBER('Price History'!E53)),NOT(ISNUMBER('Price History'!E52)),'Price History'!E52=0),"",'Price History'!E53/'Price History'!E52-1),"")</f>
        <v>-3.6352081347314935E-2</v>
      </c>
      <c r="F52" s="82">
        <f>IFERROR(IF(OR(NOT(ISNUMBER('Price History'!F53)),NOT(ISNUMBER('Price History'!F52)),'Price History'!F52=0),"",'Price History'!F53/'Price History'!F52-1),"")</f>
        <v>-0.16002098635886663</v>
      </c>
      <c r="G52" s="82">
        <f>IFERROR(IF(OR(NOT(ISNUMBER('Price History'!G53)),NOT(ISNUMBER('Price History'!G52)),'Price History'!G52=0),"",'Price History'!G53/'Price History'!G52-1),"")</f>
        <v>3.2520325203251987E-2</v>
      </c>
      <c r="H52" s="82">
        <f>IFERROR(IF(OR(NOT(ISNUMBER('Price History'!H53)),NOT(ISNUMBER('Price History'!H52)),'Price History'!H52=0),"",'Price History'!H53/'Price History'!H52-1),"")</f>
        <v>-4.2447050586381985E-2</v>
      </c>
      <c r="I52" s="82">
        <f>IFERROR(IF(OR(NOT(ISNUMBER('Price History'!I53)),NOT(ISNUMBER('Price History'!I52)),'Price History'!I52=0),"",'Price History'!I53/'Price History'!I52-1),"")</f>
        <v>-4.1295683880267942E-2</v>
      </c>
      <c r="J52" s="82">
        <f>IFERROR(IF(OR(NOT(ISNUMBER('Price History'!J53)),NOT(ISNUMBER('Price History'!J52)),'Price History'!J52=0),"",'Price History'!J53/'Price History'!J52-1),"")</f>
        <v>-8.6464646464645689E-3</v>
      </c>
      <c r="K52" s="82">
        <f>IFERROR(IF(OR(NOT(ISNUMBER('Price History'!K53)),NOT(ISNUMBER('Price History'!K52)),'Price History'!K52=0),"",'Price History'!K53/'Price History'!K52-1),"")</f>
        <v>-4.8985304408677321E-2</v>
      </c>
      <c r="L52" s="82">
        <f>IFERROR(IF(OR(NOT(ISNUMBER('Price History'!L53)),NOT(ISNUMBER('Price History'!L52)),'Price History'!L52=0),"",'Price History'!L53/'Price History'!L52-1),"")</f>
        <v>-2.3104301140133954E-2</v>
      </c>
      <c r="M52" s="82">
        <f>IFERROR(IF(OR(NOT(ISNUMBER('Price History'!M53)),NOT(ISNUMBER('Price History'!M52)),'Price History'!M52=0),"",'Price History'!M53/'Price History'!M52-1),"")</f>
        <v>-9.6002813269253306E-2</v>
      </c>
      <c r="N52" s="82">
        <f>IFERROR(IF(OR(NOT(ISNUMBER('Price History'!N53)),NOT(ISNUMBER('Price History'!N52)),'Price History'!N52=0),"",'Price History'!N53/'Price History'!N52-1),"")</f>
        <v>7.5065606119169015E-3</v>
      </c>
      <c r="O52" s="82">
        <f>IFERROR(IF(OR(NOT(ISNUMBER('Price History'!O53)),NOT(ISNUMBER('Price History'!O52)),'Price History'!O52=0),"",'Price History'!O53/'Price History'!O52-1),"")</f>
        <v>3.6289479188454266E-2</v>
      </c>
      <c r="P52" s="82" t="str">
        <f>IFERROR(IF(OR(NOT(ISNUMBER('Price History'!P53)),NOT(ISNUMBER('Price History'!P52)),'Price History'!P52=0),"",'Price History'!P53/'Price History'!P52-1),"")</f>
        <v/>
      </c>
      <c r="Q52" s="82">
        <f>IFERROR(IF(OR(NOT(ISNUMBER('Price History'!Q53)),NOT(ISNUMBER('Price History'!Q52)),'Price History'!Q52=0),"",'Price History'!Q53/'Price History'!Q52-1),"")</f>
        <v>2.5947422328439718E-2</v>
      </c>
      <c r="R52" s="82">
        <f>IFERROR(IF(OR(NOT(ISNUMBER('Price History'!R53)),NOT(ISNUMBER('Price History'!R52)),'Price History'!R52=0),"",'Price History'!R53/'Price History'!R52-1),"")</f>
        <v>-2.2697914744417735E-2</v>
      </c>
      <c r="S52" s="82">
        <f>IFERROR(IF(OR(NOT(ISNUMBER('Price History'!S53)),NOT(ISNUMBER('Price History'!S52)),'Price History'!S52=0),"",'Price History'!S53/'Price History'!S52-1),"")</f>
        <v>-1.8876664736537263E-2</v>
      </c>
      <c r="T52" s="82">
        <f>IFERROR(IF(OR(NOT(ISNUMBER('Price History'!T53)),NOT(ISNUMBER('Price History'!T52)),'Price History'!T52=0),"",'Price History'!T53/'Price History'!T52-1),"")</f>
        <v>1.784596117720727E-2</v>
      </c>
      <c r="U52" s="82" t="str">
        <f>IFERROR(IF(OR(NOT(ISNUMBER('Price History'!U53)),NOT(ISNUMBER('Price History'!U52)),'Price History'!U52=0),"",'Price History'!U53/'Price History'!U52-1),"")</f>
        <v/>
      </c>
      <c r="V52" s="83">
        <f>IFERROR(IF(OR(NOT(ISNUMBER('Price History'!V53)),NOT(ISNUMBER('Price History'!V52)),'Price History'!V52=0),"",'Price History'!V53/'Price History'!V52-1),"")</f>
        <v>-2.2606230123759508E-2</v>
      </c>
      <c r="W52" s="84" t="str">
        <f>IFERROR('Price History'!B3+(INDEX('Price History'!B:B,MATCH(9.99E+307,'Price History'!$A:$A))-'Price History'!B3)*(ROW()-3)/(MATCH(9.99E+307,'Returns (Calc)'!$A:$A)-3),"")</f>
        <v/>
      </c>
      <c r="X52" s="84">
        <f>IFERROR('Price History'!C3+(INDEX('Price History'!C:C,MATCH(9.99E+307,'Price History'!$A:$A))-'Price History'!C3)*(ROW()-3)/(MATCH(9.99E+307,'Returns (Calc)'!$A:$A)-3),"")</f>
        <v>30.260377358490565</v>
      </c>
      <c r="Y52" s="84">
        <f>IFERROR('Price History'!D3+(INDEX('Price History'!D:D,MATCH(9.99E+307,'Price History'!$A:$A))-'Price History'!D3)*(ROW()-3)/(MATCH(9.99E+307,'Returns (Calc)'!$A:$A)-3),"")</f>
        <v>457.83522012578612</v>
      </c>
      <c r="Z52" s="84">
        <f>IFERROR('Price History'!E3+(INDEX('Price History'!E:E,MATCH(9.99E+307,'Price History'!$A:$A))-'Price History'!E3)*(ROW()-3)/(MATCH(9.99E+307,'Returns (Calc)'!$A:$A)-3),"")</f>
        <v>57.407547169811323</v>
      </c>
      <c r="AA52" s="84">
        <f>IFERROR('Price History'!F3+(INDEX('Price History'!F:F,MATCH(9.99E+307,'Price History'!$A:$A))-'Price History'!F3)*(ROW()-3)/(MATCH(9.99E+307,'Returns (Calc)'!$A:$A)-3),"")</f>
        <v>25.638993710691828</v>
      </c>
      <c r="AB52" s="84">
        <f>IFERROR('Price History'!G3+(INDEX('Price History'!G:G,MATCH(9.99E+307,'Price History'!$A:$A))-'Price History'!G3)*(ROW()-3)/(MATCH(9.99E+307,'Returns (Calc)'!$A:$A)-3),"")</f>
        <v>33.138364779874209</v>
      </c>
      <c r="AC52" s="84">
        <f>IFERROR('Price History'!H3+(INDEX('Price History'!H:H,MATCH(9.99E+307,'Price History'!$A:$A))-'Price History'!H3)*(ROW()-3)/(MATCH(9.99E+307,'Returns (Calc)'!$A:$A)-3),"")</f>
        <v>44.532704402515726</v>
      </c>
      <c r="AD52" s="84">
        <f>IFERROR('Price History'!I3+(INDEX('Price History'!I:I,MATCH(9.99E+307,'Price History'!$A:$A))-'Price History'!I3)*(ROW()-3)/(MATCH(9.99E+307,'Returns (Calc)'!$A:$A)-3),"")</f>
        <v>28.261006289308177</v>
      </c>
      <c r="AE52" s="84">
        <f>IFERROR('Price History'!J3+(INDEX('Price History'!J:J,MATCH(9.99E+307,'Price History'!$A:$A))-'Price History'!J3)*(ROW()-3)/(MATCH(9.99E+307,'Returns (Calc)'!$A:$A)-3),"")</f>
        <v>85.447169811320748</v>
      </c>
      <c r="AF52" s="84">
        <f>IFERROR('Price History'!K3+(INDEX('Price History'!K:K,MATCH(9.99E+307,'Price History'!$A:$A))-'Price History'!K3)*(ROW()-3)/(MATCH(9.99E+307,'Returns (Calc)'!$A:$A)-3),"")</f>
        <v>10.661006289308176</v>
      </c>
      <c r="AG52" s="84">
        <f>IFERROR('Price History'!L3+(INDEX('Price History'!L:L,MATCH(9.99E+307,'Price History'!$A:$A))-'Price History'!L3)*(ROW()-3)/(MATCH(9.99E+307,'Returns (Calc)'!$A:$A)-3),"")</f>
        <v>63.640880503144658</v>
      </c>
      <c r="AH52" s="84">
        <f>IFERROR('Price History'!M3+(INDEX('Price History'!M:M,MATCH(9.99E+307,'Price History'!$A:$A))-'Price History'!M3)*(ROW()-3)/(MATCH(9.99E+307,'Returns (Calc)'!$A:$A)-3),"")</f>
        <v>23.183018867924524</v>
      </c>
      <c r="AI52" s="84">
        <f>IFERROR('Price History'!N3+(INDEX('Price History'!N:N,MATCH(9.99E+307,'Price History'!$A:$A))-'Price History'!N3)*(ROW()-3)/(MATCH(9.99E+307,'Returns (Calc)'!$A:$A)-3),"")</f>
        <v>242.04150943396229</v>
      </c>
      <c r="AJ52" s="84">
        <f>IFERROR('Price History'!O3+(INDEX('Price History'!O:O,MATCH(9.99E+307,'Price History'!$A:$A))-'Price History'!O3)*(ROW()-3)/(MATCH(9.99E+307,'Returns (Calc)'!$A:$A)-3),"")</f>
        <v>57.317610062893081</v>
      </c>
      <c r="AK52" s="84">
        <f>IFERROR('Price History'!Q3+(INDEX('Price History'!Q:Q,MATCH(9.99E+307,'Price History'!$A:$A))-'Price History'!Q3)*(ROW()-3)/(MATCH(9.99E+307,'Returns (Calc)'!$A:$A)-3),"")</f>
        <v>34.480503144654094</v>
      </c>
      <c r="AL52" s="84">
        <f>IFERROR('Price History'!R3+(INDEX('Price History'!R:R,MATCH(9.99E+307,'Price History'!$A:$A))-'Price History'!R3)*(ROW()-3)/(MATCH(9.99E+307,'Returns (Calc)'!$A:$A)-3),"")</f>
        <v>33.08301886792453</v>
      </c>
      <c r="AM52" s="84">
        <f>IFERROR('Price History'!S3+(INDEX('Price History'!S:S,MATCH(9.99E+307,'Price History'!$A:$A))-'Price History'!S3)*(ROW()-3)/(MATCH(9.99E+307,'Returns (Calc)'!$A:$A)-3),"")</f>
        <v>40.499371069182388</v>
      </c>
      <c r="AN52" s="84">
        <f>IFERROR('Price History'!T3+(INDEX('Price History'!T:T,MATCH(9.99E+307,'Price History'!$A:$A))-'Price History'!T3)*(ROW()-3)/(MATCH(9.99E+307,'Returns (Calc)'!$A:$A)-3),"")</f>
        <v>18.616981132075473</v>
      </c>
      <c r="AO52" s="85">
        <f>IFERROR('Price History'!V3+(INDEX('Price History'!V:V,MATCH(9.99E+307,'Price History'!$A:$A))-'Price History'!V3)*(ROW()-3)/(MATCH(9.99E+307,'Returns (Calc)'!$A:$A)-3),"")</f>
        <v>0</v>
      </c>
    </row>
    <row r="53" spans="1:41" ht="15" customHeight="1" x14ac:dyDescent="0.3">
      <c r="A53" s="81">
        <f>IF('Price History'!A54="","",'Price History'!A54)</f>
        <v>45506</v>
      </c>
      <c r="B53" s="82">
        <f>IFERROR(IF(OR(NOT(ISNUMBER('Price History'!B54)),NOT(ISNUMBER('Price History'!B53)),'Price History'!B53=0),"",'Price History'!B54/'Price History'!B53-1),"")</f>
        <v>-2.9994100730034834E-2</v>
      </c>
      <c r="C53" s="82">
        <f>IFERROR(IF(OR(NOT(ISNUMBER('Price History'!C54)),NOT(ISNUMBER('Price History'!C53)),'Price History'!C53=0),"",'Price History'!C54/'Price History'!C53-1),"")</f>
        <v>3.7593984962414062E-4</v>
      </c>
      <c r="D53" s="82">
        <f>IFERROR(IF(OR(NOT(ISNUMBER('Price History'!D54)),NOT(ISNUMBER('Price History'!D53)),'Price History'!D53=0),"",'Price History'!D54/'Price History'!D53-1),"")</f>
        <v>-8.8969934375668358E-2</v>
      </c>
      <c r="E53" s="82">
        <f>IFERROR(IF(OR(NOT(ISNUMBER('Price History'!E54)),NOT(ISNUMBER('Price History'!E53)),'Price History'!E53=0),"",'Price History'!E54/'Price History'!E53-1),"")</f>
        <v>-5.1506957726043634E-2</v>
      </c>
      <c r="F53" s="82">
        <f>IFERROR(IF(OR(NOT(ISNUMBER('Price History'!F54)),NOT(ISNUMBER('Price History'!F53)),'Price History'!F53=0),"",'Price History'!F54/'Price History'!F53-1),"")</f>
        <v>-0.14943785134291077</v>
      </c>
      <c r="G53" s="82">
        <f>IFERROR(IF(OR(NOT(ISNUMBER('Price History'!G54)),NOT(ISNUMBER('Price History'!G53)),'Price History'!G53=0),"",'Price History'!G54/'Price History'!G53-1),"")</f>
        <v>-0.11582423164846323</v>
      </c>
      <c r="H53" s="82">
        <f>IFERROR(IF(OR(NOT(ISNUMBER('Price History'!H54)),NOT(ISNUMBER('Price History'!H53)),'Price History'!H53=0),"",'Price History'!H54/'Price History'!H53-1),"")</f>
        <v>-0.15272826981080334</v>
      </c>
      <c r="I53" s="82">
        <f>IFERROR(IF(OR(NOT(ISNUMBER('Price History'!I54)),NOT(ISNUMBER('Price History'!I53)),'Price History'!I53=0),"",'Price History'!I54/'Price History'!I53-1),"")</f>
        <v>-5.1211745975588197E-2</v>
      </c>
      <c r="J53" s="82">
        <f>IFERROR(IF(OR(NOT(ISNUMBER('Price History'!J54)),NOT(ISNUMBER('Price History'!J53)),'Price History'!J53=0),"",'Price History'!J54/'Price History'!J53-1),"")</f>
        <v>1.0596674274535367E-2</v>
      </c>
      <c r="K53" s="82">
        <f>IFERROR(IF(OR(NOT(ISNUMBER('Price History'!K54)),NOT(ISNUMBER('Price History'!K53)),'Price History'!K53=0),"",'Price History'!K54/'Price History'!K53-1),"")</f>
        <v>-8.9771891096394496E-2</v>
      </c>
      <c r="L53" s="82">
        <f>IFERROR(IF(OR(NOT(ISNUMBER('Price History'!L54)),NOT(ISNUMBER('Price History'!L53)),'Price History'!L53=0),"",'Price History'!L54/'Price History'!L53-1),"")</f>
        <v>-7.4595529208348665E-2</v>
      </c>
      <c r="M53" s="82">
        <f>IFERROR(IF(OR(NOT(ISNUMBER('Price History'!M54)),NOT(ISNUMBER('Price History'!M53)),'Price History'!M53=0),"",'Price History'!M54/'Price History'!M53-1),"")</f>
        <v>-9.9325726141078929E-2</v>
      </c>
      <c r="N53" s="82">
        <f>IFERROR(IF(OR(NOT(ISNUMBER('Price History'!N54)),NOT(ISNUMBER('Price History'!N53)),'Price History'!N53=0),"",'Price History'!N54/'Price History'!N53-1),"")</f>
        <v>-1.6153131688406708E-3</v>
      </c>
      <c r="O53" s="82">
        <f>IFERROR(IF(OR(NOT(ISNUMBER('Price History'!O54)),NOT(ISNUMBER('Price History'!O53)),'Price History'!O53=0),"",'Price History'!O54/'Price History'!O53-1),"")</f>
        <v>-7.1450196790796228E-2</v>
      </c>
      <c r="P53" s="82" t="str">
        <f>IFERROR(IF(OR(NOT(ISNUMBER('Price History'!P54)),NOT(ISNUMBER('Price History'!P53)),'Price History'!P53=0),"",'Price History'!P54/'Price History'!P53-1),"")</f>
        <v/>
      </c>
      <c r="Q53" s="82">
        <f>IFERROR(IF(OR(NOT(ISNUMBER('Price History'!Q54)),NOT(ISNUMBER('Price History'!Q53)),'Price History'!Q53=0),"",'Price History'!Q54/'Price History'!Q53-1),"")</f>
        <v>8.3194675540765317E-3</v>
      </c>
      <c r="R53" s="82">
        <f>IFERROR(IF(OR(NOT(ISNUMBER('Price History'!R54)),NOT(ISNUMBER('Price History'!R53)),'Price History'!R53=0),"",'Price History'!R54/'Price History'!R53-1),"")</f>
        <v>-3.4365558912386684E-2</v>
      </c>
      <c r="S53" s="82">
        <f>IFERROR(IF(OR(NOT(ISNUMBER('Price History'!S54)),NOT(ISNUMBER('Price History'!S53)),'Price History'!S53=0),"",'Price History'!S54/'Price History'!S53-1),"")</f>
        <v>-2.9745042492917761E-2</v>
      </c>
      <c r="T53" s="82">
        <f>IFERROR(IF(OR(NOT(ISNUMBER('Price History'!T54)),NOT(ISNUMBER('Price History'!T53)),'Price History'!T53=0),"",'Price History'!T54/'Price History'!T53-1),"")</f>
        <v>-2.8606582589972285E-2</v>
      </c>
      <c r="U53" s="82" t="str">
        <f>IFERROR(IF(OR(NOT(ISNUMBER('Price History'!U54)),NOT(ISNUMBER('Price History'!U53)),'Price History'!U53=0),"",'Price History'!U54/'Price History'!U53-1),"")</f>
        <v/>
      </c>
      <c r="V53" s="83">
        <f>IFERROR(IF(OR(NOT(ISNUMBER('Price History'!V54)),NOT(ISNUMBER('Price History'!V53)),'Price History'!V53=0),"",'Price History'!V54/'Price History'!V53-1),"")</f>
        <v>2.7480497079462207E-2</v>
      </c>
      <c r="W53" s="84" t="str">
        <f>IFERROR('Price History'!B3+(INDEX('Price History'!B:B,MATCH(9.99E+307,'Price History'!$A:$A))-'Price History'!B3)*(ROW()-3)/(MATCH(9.99E+307,'Returns (Calc)'!$A:$A)-3),"")</f>
        <v/>
      </c>
      <c r="X53" s="84">
        <f>IFERROR('Price History'!C3+(INDEX('Price History'!C:C,MATCH(9.99E+307,'Price History'!$A:$A))-'Price History'!C3)*(ROW()-3)/(MATCH(9.99E+307,'Returns (Calc)'!$A:$A)-3),"")</f>
        <v>29.985283018867925</v>
      </c>
      <c r="Y53" s="84">
        <f>IFERROR('Price History'!D3+(INDEX('Price History'!D:D,MATCH(9.99E+307,'Price History'!$A:$A))-'Price History'!D3)*(ROW()-3)/(MATCH(9.99E+307,'Returns (Calc)'!$A:$A)-3),"")</f>
        <v>453.6730817610063</v>
      </c>
      <c r="Z53" s="84">
        <f>IFERROR('Price History'!E3+(INDEX('Price History'!E:E,MATCH(9.99E+307,'Price History'!$A:$A))-'Price History'!E3)*(ROW()-3)/(MATCH(9.99E+307,'Returns (Calc)'!$A:$A)-3),"")</f>
        <v>56.885660377358491</v>
      </c>
      <c r="AA53" s="84">
        <f>IFERROR('Price History'!F3+(INDEX('Price History'!F:F,MATCH(9.99E+307,'Price History'!$A:$A))-'Price History'!F3)*(ROW()-3)/(MATCH(9.99E+307,'Returns (Calc)'!$A:$A)-3),"")</f>
        <v>25.405911949685539</v>
      </c>
      <c r="AB53" s="84">
        <f>IFERROR('Price History'!G3+(INDEX('Price History'!G:G,MATCH(9.99E+307,'Price History'!$A:$A))-'Price History'!G3)*(ROW()-3)/(MATCH(9.99E+307,'Returns (Calc)'!$A:$A)-3),"")</f>
        <v>32.837106918238995</v>
      </c>
      <c r="AC53" s="84">
        <f>IFERROR('Price History'!H3+(INDEX('Price History'!H:H,MATCH(9.99E+307,'Price History'!$A:$A))-'Price History'!H3)*(ROW()-3)/(MATCH(9.99E+307,'Returns (Calc)'!$A:$A)-3),"")</f>
        <v>44.127861635220128</v>
      </c>
      <c r="AD53" s="84">
        <f>IFERROR('Price History'!I3+(INDEX('Price History'!I:I,MATCH(9.99E+307,'Price History'!$A:$A))-'Price History'!I3)*(ROW()-3)/(MATCH(9.99E+307,'Returns (Calc)'!$A:$A)-3),"")</f>
        <v>28.004088050314465</v>
      </c>
      <c r="AE53" s="84">
        <f>IFERROR('Price History'!J3+(INDEX('Price History'!J:J,MATCH(9.99E+307,'Price History'!$A:$A))-'Price History'!J3)*(ROW()-3)/(MATCH(9.99E+307,'Returns (Calc)'!$A:$A)-3),"")</f>
        <v>84.670377358490569</v>
      </c>
      <c r="AF53" s="84">
        <f>IFERROR('Price History'!K3+(INDEX('Price History'!K:K,MATCH(9.99E+307,'Price History'!$A:$A))-'Price History'!K3)*(ROW()-3)/(MATCH(9.99E+307,'Returns (Calc)'!$A:$A)-3),"")</f>
        <v>10.564088050314465</v>
      </c>
      <c r="AG53" s="84">
        <f>IFERROR('Price History'!L3+(INDEX('Price History'!L:L,MATCH(9.99E+307,'Price History'!$A:$A))-'Price History'!L3)*(ROW()-3)/(MATCH(9.99E+307,'Returns (Calc)'!$A:$A)-3),"")</f>
        <v>63.062327044025153</v>
      </c>
      <c r="AH53" s="84">
        <f>IFERROR('Price History'!M3+(INDEX('Price History'!M:M,MATCH(9.99E+307,'Price History'!$A:$A))-'Price History'!M3)*(ROW()-3)/(MATCH(9.99E+307,'Returns (Calc)'!$A:$A)-3),"")</f>
        <v>22.972264150943396</v>
      </c>
      <c r="AI53" s="84">
        <f>IFERROR('Price History'!N3+(INDEX('Price History'!N:N,MATCH(9.99E+307,'Price History'!$A:$A))-'Price History'!N3)*(ROW()-3)/(MATCH(9.99E+307,'Returns (Calc)'!$A:$A)-3),"")</f>
        <v>239.84113207547171</v>
      </c>
      <c r="AJ53" s="84">
        <f>IFERROR('Price History'!O3+(INDEX('Price History'!O:O,MATCH(9.99E+307,'Price History'!$A:$A))-'Price History'!O3)*(ROW()-3)/(MATCH(9.99E+307,'Returns (Calc)'!$A:$A)-3),"")</f>
        <v>56.796540880503137</v>
      </c>
      <c r="AK53" s="84">
        <f>IFERROR('Price History'!Q3+(INDEX('Price History'!Q:Q,MATCH(9.99E+307,'Price History'!$A:$A))-'Price History'!Q3)*(ROW()-3)/(MATCH(9.99E+307,'Returns (Calc)'!$A:$A)-3),"")</f>
        <v>34.167044025157239</v>
      </c>
      <c r="AL53" s="84">
        <f>IFERROR('Price History'!R3+(INDEX('Price History'!R:R,MATCH(9.99E+307,'Price History'!$A:$A))-'Price History'!R3)*(ROW()-3)/(MATCH(9.99E+307,'Returns (Calc)'!$A:$A)-3),"")</f>
        <v>32.782264150943398</v>
      </c>
      <c r="AM53" s="84">
        <f>IFERROR('Price History'!S3+(INDEX('Price History'!S:S,MATCH(9.99E+307,'Price History'!$A:$A))-'Price History'!S3)*(ROW()-3)/(MATCH(9.99E+307,'Returns (Calc)'!$A:$A)-3),"")</f>
        <v>40.131194968553459</v>
      </c>
      <c r="AN53" s="84">
        <f>IFERROR('Price History'!T3+(INDEX('Price History'!T:T,MATCH(9.99E+307,'Price History'!$A:$A))-'Price History'!T3)*(ROW()-3)/(MATCH(9.99E+307,'Returns (Calc)'!$A:$A)-3),"")</f>
        <v>18.447735849056606</v>
      </c>
      <c r="AO53" s="85">
        <f>IFERROR('Price History'!V3+(INDEX('Price History'!V:V,MATCH(9.99E+307,'Price History'!$A:$A))-'Price History'!V3)*(ROW()-3)/(MATCH(9.99E+307,'Returns (Calc)'!$A:$A)-3),"")</f>
        <v>0</v>
      </c>
    </row>
    <row r="54" spans="1:41" ht="15" customHeight="1" x14ac:dyDescent="0.3">
      <c r="A54" s="81">
        <f>IF('Price History'!A55="","",'Price History'!A55)</f>
        <v>45513</v>
      </c>
      <c r="B54" s="82">
        <f>IFERROR(IF(OR(NOT(ISNUMBER('Price History'!B55)),NOT(ISNUMBER('Price History'!B54)),'Price History'!B54=0),"",'Price History'!B55/'Price History'!B54-1),"")</f>
        <v>1.9252332896212199E-2</v>
      </c>
      <c r="C54" s="82">
        <f>IFERROR(IF(OR(NOT(ISNUMBER('Price History'!C55)),NOT(ISNUMBER('Price History'!C54)),'Price History'!C54=0),"",'Price History'!C55/'Price History'!C54-1),"")</f>
        <v>5.1609670549918718E-2</v>
      </c>
      <c r="D54" s="82">
        <f>IFERROR(IF(OR(NOT(ISNUMBER('Price History'!D55)),NOT(ISNUMBER('Price History'!D54)),'Price History'!D54=0),"",'Price History'!D55/'Price History'!D54-1),"")</f>
        <v>6.3260641255328265E-2</v>
      </c>
      <c r="E54" s="82">
        <f>IFERROR(IF(OR(NOT(ISNUMBER('Price History'!E55)),NOT(ISNUMBER('Price History'!E54)),'Price History'!E54=0),"",'Price History'!E55/'Price History'!E54-1),"")</f>
        <v>3.0871923237379972E-2</v>
      </c>
      <c r="F54" s="82">
        <f>IFERROR(IF(OR(NOT(ISNUMBER('Price History'!F55)),NOT(ISNUMBER('Price History'!F54)),'Price History'!F54=0),"",'Price History'!F55/'Price History'!F54-1),"")</f>
        <v>0.1057462823572608</v>
      </c>
      <c r="G54" s="82">
        <f>IFERROR(IF(OR(NOT(ISNUMBER('Price History'!G55)),NOT(ISNUMBER('Price History'!G54)),'Price History'!G54=0),"",'Price History'!G55/'Price History'!G54-1),"")</f>
        <v>7.2680264291870245E-2</v>
      </c>
      <c r="H54" s="82">
        <f>IFERROR(IF(OR(NOT(ISNUMBER('Price History'!H55)),NOT(ISNUMBER('Price History'!H54)),'Price History'!H54=0),"",'Price History'!H55/'Price History'!H54-1),"")</f>
        <v>4.0992448759438194E-3</v>
      </c>
      <c r="I54" s="82">
        <f>IFERROR(IF(OR(NOT(ISNUMBER('Price History'!I55)),NOT(ISNUMBER('Price History'!I54)),'Price History'!I54=0),"",'Price History'!I55/'Price History'!I54-1),"")</f>
        <v>-2.3492122681085026E-2</v>
      </c>
      <c r="J54" s="82">
        <f>IFERROR(IF(OR(NOT(ISNUMBER('Price History'!J55)),NOT(ISNUMBER('Price History'!J54)),'Price History'!J54=0),"",'Price History'!J55/'Price History'!J54-1),"")</f>
        <v>-1.677689949991934E-2</v>
      </c>
      <c r="K54" s="82">
        <f>IFERROR(IF(OR(NOT(ISNUMBER('Price History'!K55)),NOT(ISNUMBER('Price History'!K54)),'Price History'!K54=0),"",'Price History'!K55/'Price History'!K54-1),"")</f>
        <v>0.21301535974130981</v>
      </c>
      <c r="L54" s="82">
        <f>IFERROR(IF(OR(NOT(ISNUMBER('Price History'!L55)),NOT(ISNUMBER('Price History'!L54)),'Price History'!L54=0),"",'Price History'!L55/'Price History'!L54-1),"")</f>
        <v>0.11517416255171486</v>
      </c>
      <c r="M54" s="82">
        <f>IFERROR(IF(OR(NOT(ISNUMBER('Price History'!M55)),NOT(ISNUMBER('Price History'!M54)),'Price History'!M54=0),"",'Price History'!M55/'Price History'!M54-1),"")</f>
        <v>2.879355024474517E-2</v>
      </c>
      <c r="N54" s="82">
        <f>IFERROR(IF(OR(NOT(ISNUMBER('Price History'!N55)),NOT(ISNUMBER('Price History'!N54)),'Price History'!N54=0),"",'Price History'!N55/'Price History'!N54-1),"")</f>
        <v>-5.2602839461230455E-2</v>
      </c>
      <c r="O54" s="82">
        <f>IFERROR(IF(OR(NOT(ISNUMBER('Price History'!O55)),NOT(ISNUMBER('Price History'!O54)),'Price History'!O54=0),"",'Price History'!O55/'Price History'!O54-1),"")</f>
        <v>-1.7606781871535748E-2</v>
      </c>
      <c r="P54" s="82" t="str">
        <f>IFERROR(IF(OR(NOT(ISNUMBER('Price History'!P55)),NOT(ISNUMBER('Price History'!P54)),'Price History'!P54=0),"",'Price History'!P55/'Price History'!P54-1),"")</f>
        <v/>
      </c>
      <c r="Q54" s="82">
        <f>IFERROR(IF(OR(NOT(ISNUMBER('Price History'!Q55)),NOT(ISNUMBER('Price History'!Q54)),'Price History'!Q54=0),"",'Price History'!Q55/'Price History'!Q54-1),"")</f>
        <v>5.6105610561054675E-3</v>
      </c>
      <c r="R54" s="82">
        <f>IFERROR(IF(OR(NOT(ISNUMBER('Price History'!R55)),NOT(ISNUMBER('Price History'!R54)),'Price History'!R54=0),"",'Price History'!R55/'Price History'!R54-1),"")</f>
        <v>2.9331247555728357E-3</v>
      </c>
      <c r="S54" s="82">
        <f>IFERROR(IF(OR(NOT(ISNUMBER('Price History'!S55)),NOT(ISNUMBER('Price History'!S54)),'Price History'!S54=0),"",'Price History'!S55/'Price History'!S54-1),"")</f>
        <v>1.727493917274936E-2</v>
      </c>
      <c r="T54" s="82">
        <f>IFERROR(IF(OR(NOT(ISNUMBER('Price History'!T55)),NOT(ISNUMBER('Price History'!T54)),'Price History'!T54=0),"",'Price History'!T55/'Price History'!T54-1),"")</f>
        <v>-1.5832805573147146E-3</v>
      </c>
      <c r="U54" s="82" t="str">
        <f>IFERROR(IF(OR(NOT(ISNUMBER('Price History'!U55)),NOT(ISNUMBER('Price History'!U54)),'Price History'!U54=0),"",'Price History'!U55/'Price History'!U54-1),"")</f>
        <v/>
      </c>
      <c r="V54" s="83">
        <f>IFERROR(IF(OR(NOT(ISNUMBER('Price History'!V55)),NOT(ISNUMBER('Price History'!V54)),'Price History'!V54=0),"",'Price History'!V55/'Price History'!V54-1),"")</f>
        <v>-2.3655093475772659E-2</v>
      </c>
      <c r="W54" s="84" t="str">
        <f>IFERROR('Price History'!B3+(INDEX('Price History'!B:B,MATCH(9.99E+307,'Price History'!$A:$A))-'Price History'!B3)*(ROW()-3)/(MATCH(9.99E+307,'Returns (Calc)'!$A:$A)-3),"")</f>
        <v/>
      </c>
      <c r="X54" s="84">
        <f>IFERROR('Price History'!C3+(INDEX('Price History'!C:C,MATCH(9.99E+307,'Price History'!$A:$A))-'Price History'!C3)*(ROW()-3)/(MATCH(9.99E+307,'Returns (Calc)'!$A:$A)-3),"")</f>
        <v>29.710188679245285</v>
      </c>
      <c r="Y54" s="84">
        <f>IFERROR('Price History'!D3+(INDEX('Price History'!D:D,MATCH(9.99E+307,'Price History'!$A:$A))-'Price History'!D3)*(ROW()-3)/(MATCH(9.99E+307,'Returns (Calc)'!$A:$A)-3),"")</f>
        <v>449.51094339622637</v>
      </c>
      <c r="Z54" s="84">
        <f>IFERROR('Price History'!E3+(INDEX('Price History'!E:E,MATCH(9.99E+307,'Price History'!$A:$A))-'Price History'!E3)*(ROW()-3)/(MATCH(9.99E+307,'Returns (Calc)'!$A:$A)-3),"")</f>
        <v>56.363773584905658</v>
      </c>
      <c r="AA54" s="84">
        <f>IFERROR('Price History'!F3+(INDEX('Price History'!F:F,MATCH(9.99E+307,'Price History'!$A:$A))-'Price History'!F3)*(ROW()-3)/(MATCH(9.99E+307,'Returns (Calc)'!$A:$A)-3),"")</f>
        <v>25.172830188679246</v>
      </c>
      <c r="AB54" s="84">
        <f>IFERROR('Price History'!G3+(INDEX('Price History'!G:G,MATCH(9.99E+307,'Price History'!$A:$A))-'Price History'!G3)*(ROW()-3)/(MATCH(9.99E+307,'Returns (Calc)'!$A:$A)-3),"")</f>
        <v>32.535849056603773</v>
      </c>
      <c r="AC54" s="84">
        <f>IFERROR('Price History'!H3+(INDEX('Price History'!H:H,MATCH(9.99E+307,'Price History'!$A:$A))-'Price History'!H3)*(ROW()-3)/(MATCH(9.99E+307,'Returns (Calc)'!$A:$A)-3),"")</f>
        <v>43.72301886792453</v>
      </c>
      <c r="AD54" s="84">
        <f>IFERROR('Price History'!I3+(INDEX('Price History'!I:I,MATCH(9.99E+307,'Price History'!$A:$A))-'Price History'!I3)*(ROW()-3)/(MATCH(9.99E+307,'Returns (Calc)'!$A:$A)-3),"")</f>
        <v>27.747169811320756</v>
      </c>
      <c r="AE54" s="84">
        <f>IFERROR('Price History'!J3+(INDEX('Price History'!J:J,MATCH(9.99E+307,'Price History'!$A:$A))-'Price History'!J3)*(ROW()-3)/(MATCH(9.99E+307,'Returns (Calc)'!$A:$A)-3),"")</f>
        <v>83.89358490566039</v>
      </c>
      <c r="AF54" s="84">
        <f>IFERROR('Price History'!K3+(INDEX('Price History'!K:K,MATCH(9.99E+307,'Price History'!$A:$A))-'Price History'!K3)*(ROW()-3)/(MATCH(9.99E+307,'Returns (Calc)'!$A:$A)-3),"")</f>
        <v>10.467169811320755</v>
      </c>
      <c r="AG54" s="84">
        <f>IFERROR('Price History'!L3+(INDEX('Price History'!L:L,MATCH(9.99E+307,'Price History'!$A:$A))-'Price History'!L3)*(ROW()-3)/(MATCH(9.99E+307,'Returns (Calc)'!$A:$A)-3),"")</f>
        <v>62.483773584905656</v>
      </c>
      <c r="AH54" s="84">
        <f>IFERROR('Price History'!M3+(INDEX('Price History'!M:M,MATCH(9.99E+307,'Price History'!$A:$A))-'Price History'!M3)*(ROW()-3)/(MATCH(9.99E+307,'Returns (Calc)'!$A:$A)-3),"")</f>
        <v>22.76150943396226</v>
      </c>
      <c r="AI54" s="84">
        <f>IFERROR('Price History'!N3+(INDEX('Price History'!N:N,MATCH(9.99E+307,'Price History'!$A:$A))-'Price History'!N3)*(ROW()-3)/(MATCH(9.99E+307,'Returns (Calc)'!$A:$A)-3),"")</f>
        <v>237.64075471698112</v>
      </c>
      <c r="AJ54" s="84">
        <f>IFERROR('Price History'!O3+(INDEX('Price History'!O:O,MATCH(9.99E+307,'Price History'!$A:$A))-'Price History'!O3)*(ROW()-3)/(MATCH(9.99E+307,'Returns (Calc)'!$A:$A)-3),"")</f>
        <v>56.275471698113208</v>
      </c>
      <c r="AK54" s="84">
        <f>IFERROR('Price History'!Q3+(INDEX('Price History'!Q:Q,MATCH(9.99E+307,'Price History'!$A:$A))-'Price History'!Q3)*(ROW()-3)/(MATCH(9.99E+307,'Returns (Calc)'!$A:$A)-3),"")</f>
        <v>33.853584905660384</v>
      </c>
      <c r="AL54" s="84">
        <f>IFERROR('Price History'!R3+(INDEX('Price History'!R:R,MATCH(9.99E+307,'Price History'!$A:$A))-'Price History'!R3)*(ROW()-3)/(MATCH(9.99E+307,'Returns (Calc)'!$A:$A)-3),"")</f>
        <v>32.481509433962259</v>
      </c>
      <c r="AM54" s="84">
        <f>IFERROR('Price History'!S3+(INDEX('Price History'!S:S,MATCH(9.99E+307,'Price History'!$A:$A))-'Price History'!S3)*(ROW()-3)/(MATCH(9.99E+307,'Returns (Calc)'!$A:$A)-3),"")</f>
        <v>39.763018867924529</v>
      </c>
      <c r="AN54" s="84">
        <f>IFERROR('Price History'!T3+(INDEX('Price History'!T:T,MATCH(9.99E+307,'Price History'!$A:$A))-'Price History'!T3)*(ROW()-3)/(MATCH(9.99E+307,'Returns (Calc)'!$A:$A)-3),"")</f>
        <v>18.278490566037735</v>
      </c>
      <c r="AO54" s="85">
        <f>IFERROR('Price History'!V3+(INDEX('Price History'!V:V,MATCH(9.99E+307,'Price History'!$A:$A))-'Price History'!V3)*(ROW()-3)/(MATCH(9.99E+307,'Returns (Calc)'!$A:$A)-3),"")</f>
        <v>0</v>
      </c>
    </row>
    <row r="55" spans="1:41" ht="15" customHeight="1" x14ac:dyDescent="0.3">
      <c r="A55" s="81">
        <f>IF('Price History'!A56="","",'Price History'!A56)</f>
        <v>45520</v>
      </c>
      <c r="B55" s="82">
        <f>IFERROR(IF(OR(NOT(ISNUMBER('Price History'!B56)),NOT(ISNUMBER('Price History'!B55)),'Price History'!B55=0),"",'Price History'!B56/'Price History'!B55-1),"")</f>
        <v>3.1997016595189498E-2</v>
      </c>
      <c r="C55" s="82">
        <f>IFERROR(IF(OR(NOT(ISNUMBER('Price History'!C56)),NOT(ISNUMBER('Price History'!C55)),'Price History'!C55=0),"",'Price History'!C56/'Price History'!C55-1),"")</f>
        <v>5.384157236450271E-2</v>
      </c>
      <c r="D55" s="82">
        <f>IFERROR(IF(OR(NOT(ISNUMBER('Price History'!D56)),NOT(ISNUMBER('Price History'!D55)),'Price History'!D55=0),"",'Price History'!D56/'Price History'!D55-1),"")</f>
        <v>6.7526581837197064E-2</v>
      </c>
      <c r="E55" s="82">
        <f>IFERROR(IF(OR(NOT(ISNUMBER('Price History'!E56)),NOT(ISNUMBER('Price History'!E55)),'Price History'!E55=0),"",'Price History'!E56/'Price History'!E55-1),"")</f>
        <v>0.11776608660461352</v>
      </c>
      <c r="F55" s="82">
        <f>IFERROR(IF(OR(NOT(ISNUMBER('Price History'!F56)),NOT(ISNUMBER('Price History'!F55)),'Price History'!F55=0),"",'Price History'!F56/'Price History'!F55-1),"")</f>
        <v>8.9822347667275482E-2</v>
      </c>
      <c r="G55" s="82">
        <f>IFERROR(IF(OR(NOT(ISNUMBER('Price History'!G56)),NOT(ISNUMBER('Price History'!G55)),'Price History'!G55=0),"",'Price History'!G56/'Price History'!G55-1),"")</f>
        <v>9.7482592394215084E-2</v>
      </c>
      <c r="H55" s="82">
        <f>IFERROR(IF(OR(NOT(ISNUMBER('Price History'!H56)),NOT(ISNUMBER('Price History'!H55)),'Price History'!H55=0),"",'Price History'!H56/'Price History'!H55-1),"")</f>
        <v>0.16018478727975927</v>
      </c>
      <c r="I55" s="82">
        <f>IFERROR(IF(OR(NOT(ISNUMBER('Price History'!I56)),NOT(ISNUMBER('Price History'!I55)),'Price History'!I55=0),"",'Price History'!I56/'Price History'!I55-1),"")</f>
        <v>0.18930787589498799</v>
      </c>
      <c r="J55" s="82">
        <f>IFERROR(IF(OR(NOT(ISNUMBER('Price History'!J56)),NOT(ISNUMBER('Price History'!J55)),'Price History'!J55=0),"",'Price History'!J56/'Price History'!J55-1),"")</f>
        <v>7.7932731747332173E-3</v>
      </c>
      <c r="K55" s="82">
        <f>IFERROR(IF(OR(NOT(ISNUMBER('Price History'!K56)),NOT(ISNUMBER('Price History'!K55)),'Price History'!K55=0),"",'Price History'!K56/'Price History'!K55-1),"")</f>
        <v>6.8977007664111856E-2</v>
      </c>
      <c r="L55" s="82">
        <f>IFERROR(IF(OR(NOT(ISNUMBER('Price History'!L56)),NOT(ISNUMBER('Price History'!L55)),'Price History'!L55=0),"",'Price History'!L56/'Price History'!L55-1),"")</f>
        <v>4.4399234083293271E-2</v>
      </c>
      <c r="M55" s="82">
        <f>IFERROR(IF(OR(NOT(ISNUMBER('Price History'!M56)),NOT(ISNUMBER('Price History'!M55)),'Price History'!M55=0),"",'Price History'!M56/'Price History'!M55-1),"")</f>
        <v>0.11139098796529545</v>
      </c>
      <c r="N55" s="82">
        <f>IFERROR(IF(OR(NOT(ISNUMBER('Price History'!N56)),NOT(ISNUMBER('Price History'!N55)),'Price History'!N55=0),"",'Price History'!N56/'Price History'!N55-1),"")</f>
        <v>1.9041519906073168E-2</v>
      </c>
      <c r="O55" s="82">
        <f>IFERROR(IF(OR(NOT(ISNUMBER('Price History'!O56)),NOT(ISNUMBER('Price History'!O55)),'Price History'!O55=0),"",'Price History'!O56/'Price History'!O55-1),"")</f>
        <v>2.8542980418187813E-2</v>
      </c>
      <c r="P55" s="82" t="str">
        <f>IFERROR(IF(OR(NOT(ISNUMBER('Price History'!P56)),NOT(ISNUMBER('Price History'!P55)),'Price History'!P55=0),"",'Price History'!P56/'Price History'!P55-1),"")</f>
        <v/>
      </c>
      <c r="Q55" s="82">
        <f>IFERROR(IF(OR(NOT(ISNUMBER('Price History'!Q56)),NOT(ISNUMBER('Price History'!Q55)),'Price History'!Q55=0),"",'Price History'!Q56/'Price History'!Q55-1),"")</f>
        <v>1.3127666557271045E-3</v>
      </c>
      <c r="R55" s="82">
        <f>IFERROR(IF(OR(NOT(ISNUMBER('Price History'!R56)),NOT(ISNUMBER('Price History'!R55)),'Price History'!R55=0),"",'Price History'!R56/'Price History'!R55-1),"")</f>
        <v>4.2113472411776209E-2</v>
      </c>
      <c r="S55" s="82">
        <f>IFERROR(IF(OR(NOT(ISNUMBER('Price History'!S56)),NOT(ISNUMBER('Price History'!S55)),'Price History'!S55=0),"",'Price History'!S56/'Price History'!S55-1),"")</f>
        <v>5.7043769433149816E-2</v>
      </c>
      <c r="T55" s="82">
        <f>IFERROR(IF(OR(NOT(ISNUMBER('Price History'!T56)),NOT(ISNUMBER('Price History'!T55)),'Price History'!T55=0),"",'Price History'!T56/'Price History'!T55-1),"")</f>
        <v>1.6175071360608806E-2</v>
      </c>
      <c r="U55" s="82" t="str">
        <f>IFERROR(IF(OR(NOT(ISNUMBER('Price History'!U56)),NOT(ISNUMBER('Price History'!U55)),'Price History'!U55=0),"",'Price History'!U56/'Price History'!U55-1),"")</f>
        <v/>
      </c>
      <c r="V55" s="83">
        <f>IFERROR(IF(OR(NOT(ISNUMBER('Price History'!V56)),NOT(ISNUMBER('Price History'!V55)),'Price History'!V55=0),"",'Price History'!V56/'Price History'!V55-1),"")</f>
        <v>2.9347401328644107E-2</v>
      </c>
      <c r="W55" s="84" t="str">
        <f>IFERROR('Price History'!B3+(INDEX('Price History'!B:B,MATCH(9.99E+307,'Price History'!$A:$A))-'Price History'!B3)*(ROW()-3)/(MATCH(9.99E+307,'Returns (Calc)'!$A:$A)-3),"")</f>
        <v/>
      </c>
      <c r="X55" s="84">
        <f>IFERROR('Price History'!C3+(INDEX('Price History'!C:C,MATCH(9.99E+307,'Price History'!$A:$A))-'Price History'!C3)*(ROW()-3)/(MATCH(9.99E+307,'Returns (Calc)'!$A:$A)-3),"")</f>
        <v>29.435094339622644</v>
      </c>
      <c r="Y55" s="84">
        <f>IFERROR('Price History'!D3+(INDEX('Price History'!D:D,MATCH(9.99E+307,'Price History'!$A:$A))-'Price History'!D3)*(ROW()-3)/(MATCH(9.99E+307,'Returns (Calc)'!$A:$A)-3),"")</f>
        <v>445.34880503144655</v>
      </c>
      <c r="Z55" s="84">
        <f>IFERROR('Price History'!E3+(INDEX('Price History'!E:E,MATCH(9.99E+307,'Price History'!$A:$A))-'Price History'!E3)*(ROW()-3)/(MATCH(9.99E+307,'Returns (Calc)'!$A:$A)-3),"")</f>
        <v>55.841886792452833</v>
      </c>
      <c r="AA55" s="84">
        <f>IFERROR('Price History'!F3+(INDEX('Price History'!F:F,MATCH(9.99E+307,'Price History'!$A:$A))-'Price History'!F3)*(ROW()-3)/(MATCH(9.99E+307,'Returns (Calc)'!$A:$A)-3),"")</f>
        <v>24.93974842767296</v>
      </c>
      <c r="AB55" s="84">
        <f>IFERROR('Price History'!G3+(INDEX('Price History'!G:G,MATCH(9.99E+307,'Price History'!$A:$A))-'Price History'!G3)*(ROW()-3)/(MATCH(9.99E+307,'Returns (Calc)'!$A:$A)-3),"")</f>
        <v>32.234591194968552</v>
      </c>
      <c r="AC55" s="84">
        <f>IFERROR('Price History'!H3+(INDEX('Price History'!H:H,MATCH(9.99E+307,'Price History'!$A:$A))-'Price History'!H3)*(ROW()-3)/(MATCH(9.99E+307,'Returns (Calc)'!$A:$A)-3),"")</f>
        <v>43.318176100628932</v>
      </c>
      <c r="AD55" s="84">
        <f>IFERROR('Price History'!I3+(INDEX('Price History'!I:I,MATCH(9.99E+307,'Price History'!$A:$A))-'Price History'!I3)*(ROW()-3)/(MATCH(9.99E+307,'Returns (Calc)'!$A:$A)-3),"")</f>
        <v>27.490251572327043</v>
      </c>
      <c r="AE55" s="84">
        <f>IFERROR('Price History'!J3+(INDEX('Price History'!J:J,MATCH(9.99E+307,'Price History'!$A:$A))-'Price History'!J3)*(ROW()-3)/(MATCH(9.99E+307,'Returns (Calc)'!$A:$A)-3),"")</f>
        <v>83.116792452830197</v>
      </c>
      <c r="AF55" s="84">
        <f>IFERROR('Price History'!K3+(INDEX('Price History'!K:K,MATCH(9.99E+307,'Price History'!$A:$A))-'Price History'!K3)*(ROW()-3)/(MATCH(9.99E+307,'Returns (Calc)'!$A:$A)-3),"")</f>
        <v>10.370251572327044</v>
      </c>
      <c r="AG55" s="84">
        <f>IFERROR('Price History'!L3+(INDEX('Price History'!L:L,MATCH(9.99E+307,'Price History'!$A:$A))-'Price History'!L3)*(ROW()-3)/(MATCH(9.99E+307,'Returns (Calc)'!$A:$A)-3),"")</f>
        <v>61.905220125786158</v>
      </c>
      <c r="AH55" s="84">
        <f>IFERROR('Price History'!M3+(INDEX('Price History'!M:M,MATCH(9.99E+307,'Price History'!$A:$A))-'Price History'!M3)*(ROW()-3)/(MATCH(9.99E+307,'Returns (Calc)'!$A:$A)-3),"")</f>
        <v>22.550754716981132</v>
      </c>
      <c r="AI55" s="84">
        <f>IFERROR('Price History'!N3+(INDEX('Price History'!N:N,MATCH(9.99E+307,'Price History'!$A:$A))-'Price History'!N3)*(ROW()-3)/(MATCH(9.99E+307,'Returns (Calc)'!$A:$A)-3),"")</f>
        <v>235.44037735849059</v>
      </c>
      <c r="AJ55" s="84">
        <f>IFERROR('Price History'!O3+(INDEX('Price History'!O:O,MATCH(9.99E+307,'Price History'!$A:$A))-'Price History'!O3)*(ROW()-3)/(MATCH(9.99E+307,'Returns (Calc)'!$A:$A)-3),"")</f>
        <v>55.754402515723271</v>
      </c>
      <c r="AK55" s="84">
        <f>IFERROR('Price History'!Q3+(INDEX('Price History'!Q:Q,MATCH(9.99E+307,'Price History'!$A:$A))-'Price History'!Q3)*(ROW()-3)/(MATCH(9.99E+307,'Returns (Calc)'!$A:$A)-3),"")</f>
        <v>33.540125786163529</v>
      </c>
      <c r="AL55" s="84">
        <f>IFERROR('Price History'!R3+(INDEX('Price History'!R:R,MATCH(9.99E+307,'Price History'!$A:$A))-'Price History'!R3)*(ROW()-3)/(MATCH(9.99E+307,'Returns (Calc)'!$A:$A)-3),"")</f>
        <v>32.180754716981134</v>
      </c>
      <c r="AM55" s="84">
        <f>IFERROR('Price History'!S3+(INDEX('Price History'!S:S,MATCH(9.99E+307,'Price History'!$A:$A))-'Price History'!S3)*(ROW()-3)/(MATCH(9.99E+307,'Returns (Calc)'!$A:$A)-3),"")</f>
        <v>39.3948427672956</v>
      </c>
      <c r="AN55" s="84">
        <f>IFERROR('Price History'!T3+(INDEX('Price History'!T:T,MATCH(9.99E+307,'Price History'!$A:$A))-'Price History'!T3)*(ROW()-3)/(MATCH(9.99E+307,'Returns (Calc)'!$A:$A)-3),"")</f>
        <v>18.109245283018868</v>
      </c>
      <c r="AO55" s="85">
        <f>IFERROR('Price History'!V3+(INDEX('Price History'!V:V,MATCH(9.99E+307,'Price History'!$A:$A))-'Price History'!V3)*(ROW()-3)/(MATCH(9.99E+307,'Returns (Calc)'!$A:$A)-3),"")</f>
        <v>0</v>
      </c>
    </row>
    <row r="56" spans="1:41" ht="15" customHeight="1" x14ac:dyDescent="0.3">
      <c r="A56" s="81">
        <f>IF('Price History'!A57="","",'Price History'!A57)</f>
        <v>45527</v>
      </c>
      <c r="B56" s="82">
        <f>IFERROR(IF(OR(NOT(ISNUMBER('Price History'!B57)),NOT(ISNUMBER('Price History'!B56)),'Price History'!B56=0),"",'Price History'!B57/'Price History'!B56-1),"")</f>
        <v>8.7449860875219443E-3</v>
      </c>
      <c r="C56" s="82">
        <f>IFERROR(IF(OR(NOT(ISNUMBER('Price History'!C57)),NOT(ISNUMBER('Price History'!C56)),'Price History'!C56=0),"",'Price History'!C57/'Price History'!C56-1),"")</f>
        <v>3.5040126596586063E-3</v>
      </c>
      <c r="D56" s="82">
        <f>IFERROR(IF(OR(NOT(ISNUMBER('Price History'!D57)),NOT(ISNUMBER('Price History'!D56)),'Price History'!D56=0),"",'Price History'!D57/'Price History'!D56-1),"")</f>
        <v>-1.2409378877930921E-2</v>
      </c>
      <c r="E56" s="82">
        <f>IFERROR(IF(OR(NOT(ISNUMBER('Price History'!E57)),NOT(ISNUMBER('Price History'!E56)),'Price History'!E56=0),"",'Price History'!E57/'Price History'!E56-1),"")</f>
        <v>3.8619357953175726E-3</v>
      </c>
      <c r="F56" s="82">
        <f>IFERROR(IF(OR(NOT(ISNUMBER('Price History'!F57)),NOT(ISNUMBER('Price History'!F56)),'Price History'!F56=0),"",'Price History'!F57/'Price History'!F56-1),"")</f>
        <v>3.427787934186477E-2</v>
      </c>
      <c r="G56" s="82">
        <f>IFERROR(IF(OR(NOT(ISNUMBER('Price History'!G57)),NOT(ISNUMBER('Price History'!G56)),'Price History'!G56=0),"",'Price History'!G57/'Price History'!G56-1),"")</f>
        <v>-2.1961932650071958E-3</v>
      </c>
      <c r="H56" s="82">
        <f>IFERROR(IF(OR(NOT(ISNUMBER('Price History'!H57)),NOT(ISNUMBER('Price History'!H56)),'Price History'!H56=0),"",'Price History'!H57/'Price History'!H56-1),"")</f>
        <v>-4.7596999722196554E-2</v>
      </c>
      <c r="I56" s="82">
        <f>IFERROR(IF(OR(NOT(ISNUMBER('Price History'!I57)),NOT(ISNUMBER('Price History'!I56)),'Price History'!I56=0),"",'Price History'!I57/'Price History'!I56-1),"")</f>
        <v>3.8449189275967299E-2</v>
      </c>
      <c r="J56" s="82">
        <f>IFERROR(IF(OR(NOT(ISNUMBER('Price History'!J57)),NOT(ISNUMBER('Price History'!J56)),'Price History'!J56=0),"",'Price History'!J57/'Price History'!J56-1),"")</f>
        <v>4.8921448921449118E-2</v>
      </c>
      <c r="K56" s="82">
        <f>IFERROR(IF(OR(NOT(ISNUMBER('Price History'!K57)),NOT(ISNUMBER('Price History'!K56)),'Price History'!K56=0),"",'Price History'!K57/'Price History'!K56-1),"")</f>
        <v>-9.3516209476308676E-3</v>
      </c>
      <c r="L56" s="82">
        <f>IFERROR(IF(OR(NOT(ISNUMBER('Price History'!L57)),NOT(ISNUMBER('Price History'!L56)),'Price History'!L56=0),"",'Price History'!L57/'Price History'!L56-1),"")</f>
        <v>-1.867766701042739E-2</v>
      </c>
      <c r="M56" s="82">
        <f>IFERROR(IF(OR(NOT(ISNUMBER('Price History'!M57)),NOT(ISNUMBER('Price History'!M56)),'Price History'!M56=0),"",'Price History'!M57/'Price History'!M56-1),"")</f>
        <v>-1.0954419541677196E-2</v>
      </c>
      <c r="N56" s="82">
        <f>IFERROR(IF(OR(NOT(ISNUMBER('Price History'!N57)),NOT(ISNUMBER('Price History'!N56)),'Price History'!N56=0),"",'Price History'!N57/'Price History'!N56-1),"")</f>
        <v>8.1069191612375135E-3</v>
      </c>
      <c r="O56" s="82">
        <f>IFERROR(IF(OR(NOT(ISNUMBER('Price History'!O57)),NOT(ISNUMBER('Price History'!O56)),'Price History'!O56=0),"",'Price History'!O57/'Price History'!O56-1),"")</f>
        <v>3.1085296332150181E-2</v>
      </c>
      <c r="P56" s="82" t="str">
        <f>IFERROR(IF(OR(NOT(ISNUMBER('Price History'!P57)),NOT(ISNUMBER('Price History'!P56)),'Price History'!P56=0),"",'Price History'!P57/'Price History'!P56-1),"")</f>
        <v/>
      </c>
      <c r="Q56" s="82">
        <f>IFERROR(IF(OR(NOT(ISNUMBER('Price History'!Q57)),NOT(ISNUMBER('Price History'!Q56)),'Price History'!Q56=0),"",'Price History'!Q57/'Price History'!Q56-1),"")</f>
        <v>8.0301540478531219E-3</v>
      </c>
      <c r="R56" s="82">
        <f>IFERROR(IF(OR(NOT(ISNUMBER('Price History'!R57)),NOT(ISNUMBER('Price History'!R56)),'Price History'!R56=0),"",'Price History'!R57/'Price History'!R56-1),"")</f>
        <v>8.4190832553787676E-3</v>
      </c>
      <c r="S56" s="82">
        <f>IFERROR(IF(OR(NOT(ISNUMBER('Price History'!S57)),NOT(ISNUMBER('Price History'!S56)),'Price History'!S56=0),"",'Price History'!S57/'Price History'!S56-1),"")</f>
        <v>1.3802466342346387E-2</v>
      </c>
      <c r="T56" s="82">
        <f>IFERROR(IF(OR(NOT(ISNUMBER('Price History'!T57)),NOT(ISNUMBER('Price History'!T56)),'Price History'!T56=0),"",'Price History'!T57/'Price History'!T56-1),"")</f>
        <v>3.277153558052448E-2</v>
      </c>
      <c r="U56" s="82" t="str">
        <f>IFERROR(IF(OR(NOT(ISNUMBER('Price History'!U57)),NOT(ISNUMBER('Price History'!U56)),'Price History'!U56=0),"",'Price History'!U57/'Price History'!U56-1),"")</f>
        <v/>
      </c>
      <c r="V56" s="83">
        <f>IFERROR(IF(OR(NOT(ISNUMBER('Price History'!V57)),NOT(ISNUMBER('Price History'!V56)),'Price History'!V56=0),"",'Price History'!V57/'Price History'!V56-1),"")</f>
        <v>2.2778178505000746E-4</v>
      </c>
      <c r="W56" s="84" t="str">
        <f>IFERROR('Price History'!B3+(INDEX('Price History'!B:B,MATCH(9.99E+307,'Price History'!$A:$A))-'Price History'!B3)*(ROW()-3)/(MATCH(9.99E+307,'Returns (Calc)'!$A:$A)-3),"")</f>
        <v/>
      </c>
      <c r="X56" s="84">
        <f>IFERROR('Price History'!C3+(INDEX('Price History'!C:C,MATCH(9.99E+307,'Price History'!$A:$A))-'Price History'!C3)*(ROW()-3)/(MATCH(9.99E+307,'Returns (Calc)'!$A:$A)-3),"")</f>
        <v>29.16</v>
      </c>
      <c r="Y56" s="84">
        <f>IFERROR('Price History'!D3+(INDEX('Price History'!D:D,MATCH(9.99E+307,'Price History'!$A:$A))-'Price History'!D3)*(ROW()-3)/(MATCH(9.99E+307,'Returns (Calc)'!$A:$A)-3),"")</f>
        <v>441.18666666666667</v>
      </c>
      <c r="Z56" s="84">
        <f>IFERROR('Price History'!E3+(INDEX('Price History'!E:E,MATCH(9.99E+307,'Price History'!$A:$A))-'Price History'!E3)*(ROW()-3)/(MATCH(9.99E+307,'Returns (Calc)'!$A:$A)-3),"")</f>
        <v>55.32</v>
      </c>
      <c r="AA56" s="84">
        <f>IFERROR('Price History'!F3+(INDEX('Price History'!F:F,MATCH(9.99E+307,'Price History'!$A:$A))-'Price History'!F3)*(ROW()-3)/(MATCH(9.99E+307,'Returns (Calc)'!$A:$A)-3),"")</f>
        <v>24.706666666666671</v>
      </c>
      <c r="AB56" s="84">
        <f>IFERROR('Price History'!G3+(INDEX('Price History'!G:G,MATCH(9.99E+307,'Price History'!$A:$A))-'Price History'!G3)*(ROW()-3)/(MATCH(9.99E+307,'Returns (Calc)'!$A:$A)-3),"")</f>
        <v>31.933333333333334</v>
      </c>
      <c r="AC56" s="84">
        <f>IFERROR('Price History'!H3+(INDEX('Price History'!H:H,MATCH(9.99E+307,'Price History'!$A:$A))-'Price History'!H3)*(ROW()-3)/(MATCH(9.99E+307,'Returns (Calc)'!$A:$A)-3),"")</f>
        <v>42.913333333333341</v>
      </c>
      <c r="AD56" s="84">
        <f>IFERROR('Price History'!I3+(INDEX('Price History'!I:I,MATCH(9.99E+307,'Price History'!$A:$A))-'Price History'!I3)*(ROW()-3)/(MATCH(9.99E+307,'Returns (Calc)'!$A:$A)-3),"")</f>
        <v>27.233333333333334</v>
      </c>
      <c r="AE56" s="84">
        <f>IFERROR('Price History'!J3+(INDEX('Price History'!J:J,MATCH(9.99E+307,'Price History'!$A:$A))-'Price History'!J3)*(ROW()-3)/(MATCH(9.99E+307,'Returns (Calc)'!$A:$A)-3),"")</f>
        <v>82.34</v>
      </c>
      <c r="AF56" s="84">
        <f>IFERROR('Price History'!K3+(INDEX('Price History'!K:K,MATCH(9.99E+307,'Price History'!$A:$A))-'Price History'!K3)*(ROW()-3)/(MATCH(9.99E+307,'Returns (Calc)'!$A:$A)-3),"")</f>
        <v>10.273333333333333</v>
      </c>
      <c r="AG56" s="84">
        <f>IFERROR('Price History'!L3+(INDEX('Price History'!L:L,MATCH(9.99E+307,'Price History'!$A:$A))-'Price History'!L3)*(ROW()-3)/(MATCH(9.99E+307,'Returns (Calc)'!$A:$A)-3),"")</f>
        <v>61.326666666666668</v>
      </c>
      <c r="AH56" s="84">
        <f>IFERROR('Price History'!M3+(INDEX('Price History'!M:M,MATCH(9.99E+307,'Price History'!$A:$A))-'Price History'!M3)*(ROW()-3)/(MATCH(9.99E+307,'Returns (Calc)'!$A:$A)-3),"")</f>
        <v>22.339999999999996</v>
      </c>
      <c r="AI56" s="84">
        <f>IFERROR('Price History'!N3+(INDEX('Price History'!N:N,MATCH(9.99E+307,'Price History'!$A:$A))-'Price History'!N3)*(ROW()-3)/(MATCH(9.99E+307,'Returns (Calc)'!$A:$A)-3),"")</f>
        <v>233.24</v>
      </c>
      <c r="AJ56" s="84">
        <f>IFERROR('Price History'!O3+(INDEX('Price History'!O:O,MATCH(9.99E+307,'Price History'!$A:$A))-'Price History'!O3)*(ROW()-3)/(MATCH(9.99E+307,'Returns (Calc)'!$A:$A)-3),"")</f>
        <v>55.233333333333334</v>
      </c>
      <c r="AK56" s="84">
        <f>IFERROR('Price History'!Q3+(INDEX('Price History'!Q:Q,MATCH(9.99E+307,'Price History'!$A:$A))-'Price History'!Q3)*(ROW()-3)/(MATCH(9.99E+307,'Returns (Calc)'!$A:$A)-3),"")</f>
        <v>33.226666666666674</v>
      </c>
      <c r="AL56" s="84">
        <f>IFERROR('Price History'!R3+(INDEX('Price History'!R:R,MATCH(9.99E+307,'Price History'!$A:$A))-'Price History'!R3)*(ROW()-3)/(MATCH(9.99E+307,'Returns (Calc)'!$A:$A)-3),"")</f>
        <v>31.880000000000003</v>
      </c>
      <c r="AM56" s="84">
        <f>IFERROR('Price History'!S3+(INDEX('Price History'!S:S,MATCH(9.99E+307,'Price History'!$A:$A))-'Price History'!S3)*(ROW()-3)/(MATCH(9.99E+307,'Returns (Calc)'!$A:$A)-3),"")</f>
        <v>39.026666666666671</v>
      </c>
      <c r="AN56" s="84">
        <f>IFERROR('Price History'!T3+(INDEX('Price History'!T:T,MATCH(9.99E+307,'Price History'!$A:$A))-'Price History'!T3)*(ROW()-3)/(MATCH(9.99E+307,'Returns (Calc)'!$A:$A)-3),"")</f>
        <v>17.939999999999998</v>
      </c>
      <c r="AO56" s="85">
        <f>IFERROR('Price History'!V3+(INDEX('Price History'!V:V,MATCH(9.99E+307,'Price History'!$A:$A))-'Price History'!V3)*(ROW()-3)/(MATCH(9.99E+307,'Returns (Calc)'!$A:$A)-3),"")</f>
        <v>0</v>
      </c>
    </row>
    <row r="57" spans="1:41" ht="15" customHeight="1" x14ac:dyDescent="0.3">
      <c r="A57" s="81">
        <f>IF('Price History'!A58="","",'Price History'!A58)</f>
        <v>45534</v>
      </c>
      <c r="B57" s="82">
        <f>IFERROR(IF(OR(NOT(ISNUMBER('Price History'!B58)),NOT(ISNUMBER('Price History'!B57)),'Price History'!B57=0),"",'Price History'!B58/'Price History'!B57-1),"")</f>
        <v>2.8855454056958552E-2</v>
      </c>
      <c r="C57" s="82">
        <f>IFERROR(IF(OR(NOT(ISNUMBER('Price History'!C58)),NOT(ISNUMBER('Price History'!C57)),'Price History'!C57=0),"",'Price History'!C58/'Price History'!C57-1),"")</f>
        <v>-4.8434332056770391E-3</v>
      </c>
      <c r="D57" s="82">
        <f>IFERROR(IF(OR(NOT(ISNUMBER('Price History'!D58)),NOT(ISNUMBER('Price History'!D57)),'Price History'!D57=0),"",'Price History'!D58/'Price History'!D57-1),"")</f>
        <v>-3.736525362079246E-3</v>
      </c>
      <c r="E57" s="82">
        <f>IFERROR(IF(OR(NOT(ISNUMBER('Price History'!E58)),NOT(ISNUMBER('Price History'!E57)),'Price History'!E57=0),"",'Price History'!E58/'Price History'!E57-1),"")</f>
        <v>-2.1279153642702719E-2</v>
      </c>
      <c r="F57" s="82">
        <f>IFERROR(IF(OR(NOT(ISNUMBER('Price History'!F58)),NOT(ISNUMBER('Price History'!F57)),'Price History'!F57=0),"",'Price History'!F58/'Price History'!F57-1),"")</f>
        <v>2.1063485049344521E-2</v>
      </c>
      <c r="G57" s="82">
        <f>IFERROR(IF(OR(NOT(ISNUMBER('Price History'!G58)),NOT(ISNUMBER('Price History'!G57)),'Price History'!G57=0),"",'Price History'!G58/'Price History'!G57-1),"")</f>
        <v>1.9564685742234911E-3</v>
      </c>
      <c r="H57" s="82">
        <f>IFERROR(IF(OR(NOT(ISNUMBER('Price History'!H58)),NOT(ISNUMBER('Price History'!H57)),'Price History'!H57=0),"",'Price History'!H58/'Price History'!H57-1),"")</f>
        <v>-6.4268351968886694E-2</v>
      </c>
      <c r="I57" s="82">
        <f>IFERROR(IF(OR(NOT(ISNUMBER('Price History'!I58)),NOT(ISNUMBER('Price History'!I57)),'Price History'!I57=0),"",'Price History'!I58/'Price History'!I57-1),"")</f>
        <v>-7.7297673340032458E-2</v>
      </c>
      <c r="J57" s="82">
        <f>IFERROR(IF(OR(NOT(ISNUMBER('Price History'!J58)),NOT(ISNUMBER('Price History'!J57)),'Price History'!J57=0),"",'Price History'!J58/'Price History'!J57-1),"")</f>
        <v>-8.0707744839362272E-3</v>
      </c>
      <c r="K57" s="82">
        <f>IFERROR(IF(OR(NOT(ISNUMBER('Price History'!K58)),NOT(ISNUMBER('Price History'!K57)),'Price History'!K57=0),"",'Price History'!K58/'Price History'!K57-1),"")</f>
        <v>-9.4398993077406956E-3</v>
      </c>
      <c r="L57" s="82">
        <f>IFERROR(IF(OR(NOT(ISNUMBER('Price History'!L58)),NOT(ISNUMBER('Price History'!L57)),'Price History'!L57=0),"",'Price History'!L58/'Price History'!L57-1),"")</f>
        <v>2.4521251751516981E-3</v>
      </c>
      <c r="M57" s="82">
        <f>IFERROR(IF(OR(NOT(ISNUMBER('Price History'!M58)),NOT(ISNUMBER('Price History'!M57)),'Price History'!M57=0),"",'Price History'!M58/'Price History'!M57-1),"")</f>
        <v>5.7033736473583785E-2</v>
      </c>
      <c r="N57" s="82">
        <f>IFERROR(IF(OR(NOT(ISNUMBER('Price History'!N58)),NOT(ISNUMBER('Price History'!N57)),'Price History'!N57=0),"",'Price History'!N58/'Price History'!N57-1),"")</f>
        <v>3.0442191006566421E-2</v>
      </c>
      <c r="O57" s="82">
        <f>IFERROR(IF(OR(NOT(ISNUMBER('Price History'!O58)),NOT(ISNUMBER('Price History'!O57)),'Price History'!O57=0),"",'Price History'!O58/'Price History'!O57-1),"")</f>
        <v>5.2159399123730132E-4</v>
      </c>
      <c r="P57" s="82" t="str">
        <f>IFERROR(IF(OR(NOT(ISNUMBER('Price History'!P58)),NOT(ISNUMBER('Price History'!P57)),'Price History'!P57=0),"",'Price History'!P58/'Price History'!P57-1),"")</f>
        <v/>
      </c>
      <c r="Q57" s="82">
        <f>IFERROR(IF(OR(NOT(ISNUMBER('Price History'!Q58)),NOT(ISNUMBER('Price History'!Q57)),'Price History'!Q57=0),"",'Price History'!Q58/'Price History'!Q57-1),"")</f>
        <v>8.291334742318357E-3</v>
      </c>
      <c r="R57" s="82">
        <f>IFERROR(IF(OR(NOT(ISNUMBER('Price History'!R58)),NOT(ISNUMBER('Price History'!R57)),'Price History'!R57=0),"",'Price History'!R58/'Price History'!R57-1),"")</f>
        <v>3.3395176252319914E-3</v>
      </c>
      <c r="S57" s="82">
        <f>IFERROR(IF(OR(NOT(ISNUMBER('Price History'!S58)),NOT(ISNUMBER('Price History'!S57)),'Price History'!S57=0),"",'Price History'!S58/'Price History'!S57-1),"")</f>
        <v>-4.01740877134249E-3</v>
      </c>
      <c r="T57" s="82">
        <f>IFERROR(IF(OR(NOT(ISNUMBER('Price History'!T58)),NOT(ISNUMBER('Price History'!T57)),'Price History'!T57=0),"",'Price History'!T58/'Price History'!T57-1),"")</f>
        <v>3.3242671501965138E-3</v>
      </c>
      <c r="U57" s="82" t="str">
        <f>IFERROR(IF(OR(NOT(ISNUMBER('Price History'!U58)),NOT(ISNUMBER('Price History'!U57)),'Price History'!U57=0),"",'Price History'!U58/'Price History'!U57-1),"")</f>
        <v/>
      </c>
      <c r="V57" s="83">
        <f>IFERROR(IF(OR(NOT(ISNUMBER('Price History'!V58)),NOT(ISNUMBER('Price History'!V57)),'Price History'!V57=0),"",'Price History'!V58/'Price History'!V57-1),"")</f>
        <v>3.3400387140850807E-2</v>
      </c>
      <c r="W57" s="84" t="str">
        <f>IFERROR('Price History'!B3+(INDEX('Price History'!B:B,MATCH(9.99E+307,'Price History'!$A:$A))-'Price History'!B3)*(ROW()-3)/(MATCH(9.99E+307,'Returns (Calc)'!$A:$A)-3),"")</f>
        <v/>
      </c>
      <c r="X57" s="84">
        <f>IFERROR('Price History'!C3+(INDEX('Price History'!C:C,MATCH(9.99E+307,'Price History'!$A:$A))-'Price History'!C3)*(ROW()-3)/(MATCH(9.99E+307,'Returns (Calc)'!$A:$A)-3),"")</f>
        <v>28.88490566037736</v>
      </c>
      <c r="Y57" s="84">
        <f>IFERROR('Price History'!D3+(INDEX('Price History'!D:D,MATCH(9.99E+307,'Price History'!$A:$A))-'Price History'!D3)*(ROW()-3)/(MATCH(9.99E+307,'Returns (Calc)'!$A:$A)-3),"")</f>
        <v>437.02452830188679</v>
      </c>
      <c r="Z57" s="84">
        <f>IFERROR('Price History'!E3+(INDEX('Price History'!E:E,MATCH(9.99E+307,'Price History'!$A:$A))-'Price History'!E3)*(ROW()-3)/(MATCH(9.99E+307,'Returns (Calc)'!$A:$A)-3),"")</f>
        <v>54.798113207547175</v>
      </c>
      <c r="AA57" s="84">
        <f>IFERROR('Price History'!F3+(INDEX('Price History'!F:F,MATCH(9.99E+307,'Price History'!$A:$A))-'Price History'!F3)*(ROW()-3)/(MATCH(9.99E+307,'Returns (Calc)'!$A:$A)-3),"")</f>
        <v>24.473584905660378</v>
      </c>
      <c r="AB57" s="84">
        <f>IFERROR('Price History'!G3+(INDEX('Price History'!G:G,MATCH(9.99E+307,'Price History'!$A:$A))-'Price History'!G3)*(ROW()-3)/(MATCH(9.99E+307,'Returns (Calc)'!$A:$A)-3),"")</f>
        <v>31.632075471698112</v>
      </c>
      <c r="AC57" s="84">
        <f>IFERROR('Price History'!H3+(INDEX('Price History'!H:H,MATCH(9.99E+307,'Price History'!$A:$A))-'Price History'!H3)*(ROW()-3)/(MATCH(9.99E+307,'Returns (Calc)'!$A:$A)-3),"")</f>
        <v>42.508490566037736</v>
      </c>
      <c r="AD57" s="84">
        <f>IFERROR('Price History'!I3+(INDEX('Price History'!I:I,MATCH(9.99E+307,'Price History'!$A:$A))-'Price History'!I3)*(ROW()-3)/(MATCH(9.99E+307,'Returns (Calc)'!$A:$A)-3),"")</f>
        <v>26.976415094339622</v>
      </c>
      <c r="AE57" s="84">
        <f>IFERROR('Price History'!J3+(INDEX('Price History'!J:J,MATCH(9.99E+307,'Price History'!$A:$A))-'Price History'!J3)*(ROW()-3)/(MATCH(9.99E+307,'Returns (Calc)'!$A:$A)-3),"")</f>
        <v>81.56320754716981</v>
      </c>
      <c r="AF57" s="84">
        <f>IFERROR('Price History'!K3+(INDEX('Price History'!K:K,MATCH(9.99E+307,'Price History'!$A:$A))-'Price History'!K3)*(ROW()-3)/(MATCH(9.99E+307,'Returns (Calc)'!$A:$A)-3),"")</f>
        <v>10.176415094339623</v>
      </c>
      <c r="AG57" s="84">
        <f>IFERROR('Price History'!L3+(INDEX('Price History'!L:L,MATCH(9.99E+307,'Price History'!$A:$A))-'Price History'!L3)*(ROW()-3)/(MATCH(9.99E+307,'Returns (Calc)'!$A:$A)-3),"")</f>
        <v>60.748113207547163</v>
      </c>
      <c r="AH57" s="84">
        <f>IFERROR('Price History'!M3+(INDEX('Price History'!M:M,MATCH(9.99E+307,'Price History'!$A:$A))-'Price History'!M3)*(ROW()-3)/(MATCH(9.99E+307,'Returns (Calc)'!$A:$A)-3),"")</f>
        <v>22.129245283018868</v>
      </c>
      <c r="AI57" s="84">
        <f>IFERROR('Price History'!N3+(INDEX('Price History'!N:N,MATCH(9.99E+307,'Price History'!$A:$A))-'Price History'!N3)*(ROW()-3)/(MATCH(9.99E+307,'Returns (Calc)'!$A:$A)-3),"")</f>
        <v>231.03962264150942</v>
      </c>
      <c r="AJ57" s="84">
        <f>IFERROR('Price History'!O3+(INDEX('Price History'!O:O,MATCH(9.99E+307,'Price History'!$A:$A))-'Price History'!O3)*(ROW()-3)/(MATCH(9.99E+307,'Returns (Calc)'!$A:$A)-3),"")</f>
        <v>54.712264150943398</v>
      </c>
      <c r="AK57" s="84">
        <f>IFERROR('Price History'!Q3+(INDEX('Price History'!Q:Q,MATCH(9.99E+307,'Price History'!$A:$A))-'Price History'!Q3)*(ROW()-3)/(MATCH(9.99E+307,'Returns (Calc)'!$A:$A)-3),"")</f>
        <v>32.913207547169819</v>
      </c>
      <c r="AL57" s="84">
        <f>IFERROR('Price History'!R3+(INDEX('Price History'!R:R,MATCH(9.99E+307,'Price History'!$A:$A))-'Price History'!R3)*(ROW()-3)/(MATCH(9.99E+307,'Returns (Calc)'!$A:$A)-3),"")</f>
        <v>31.579245283018867</v>
      </c>
      <c r="AM57" s="84">
        <f>IFERROR('Price History'!S3+(INDEX('Price History'!S:S,MATCH(9.99E+307,'Price History'!$A:$A))-'Price History'!S3)*(ROW()-3)/(MATCH(9.99E+307,'Returns (Calc)'!$A:$A)-3),"")</f>
        <v>38.658490566037734</v>
      </c>
      <c r="AN57" s="84">
        <f>IFERROR('Price History'!T3+(INDEX('Price History'!T:T,MATCH(9.99E+307,'Price History'!$A:$A))-'Price History'!T3)*(ROW()-3)/(MATCH(9.99E+307,'Returns (Calc)'!$A:$A)-3),"")</f>
        <v>17.770754716981131</v>
      </c>
      <c r="AO57" s="85">
        <f>IFERROR('Price History'!V3+(INDEX('Price History'!V:V,MATCH(9.99E+307,'Price History'!$A:$A))-'Price History'!V3)*(ROW()-3)/(MATCH(9.99E+307,'Returns (Calc)'!$A:$A)-3),"")</f>
        <v>0</v>
      </c>
    </row>
    <row r="58" spans="1:41" ht="15" customHeight="1" x14ac:dyDescent="0.3">
      <c r="A58" s="81">
        <f>IF('Price History'!A59="","",'Price History'!A59)</f>
        <v>45541</v>
      </c>
      <c r="B58" s="82">
        <f>IFERROR(IF(OR(NOT(ISNUMBER('Price History'!B59)),NOT(ISNUMBER('Price History'!B58)),'Price History'!B58=0),"",'Price History'!B59/'Price History'!B58-1),"")</f>
        <v>-1.9150084434463199E-2</v>
      </c>
      <c r="C58" s="82">
        <f>IFERROR(IF(OR(NOT(ISNUMBER('Price History'!C59)),NOT(ISNUMBER('Price History'!C58)),'Price History'!C58=0),"",'Price History'!C59/'Price History'!C58-1),"")</f>
        <v>-0.11058290888511602</v>
      </c>
      <c r="D58" s="82">
        <f>IFERROR(IF(OR(NOT(ISNUMBER('Price History'!D59)),NOT(ISNUMBER('Price History'!D58)),'Price History'!D58=0),"",'Price History'!D59/'Price History'!D58-1),"")</f>
        <v>-0.16714793056523625</v>
      </c>
      <c r="E58" s="82">
        <f>IFERROR(IF(OR(NOT(ISNUMBER('Price History'!E59)),NOT(ISNUMBER('Price History'!E58)),'Price History'!E58=0),"",'Price History'!E59/'Price History'!E58-1),"")</f>
        <v>-0.1585800270237071</v>
      </c>
      <c r="F58" s="82">
        <f>IFERROR(IF(OR(NOT(ISNUMBER('Price History'!F59)),NOT(ISNUMBER('Price History'!F58)),'Price History'!F58=0),"",'Price History'!F59/'Price History'!F58-1),"")</f>
        <v>-0.11136757068667036</v>
      </c>
      <c r="G58" s="82">
        <f>IFERROR(IF(OR(NOT(ISNUMBER('Price History'!G59)),NOT(ISNUMBER('Price History'!G58)),'Price History'!G58=0),"",'Price History'!G59/'Price History'!G58-1),"")</f>
        <v>-0.14229924334879174</v>
      </c>
      <c r="H58" s="82">
        <f>IFERROR(IF(OR(NOT(ISNUMBER('Price History'!H59)),NOT(ISNUMBER('Price History'!H58)),'Price History'!H58=0),"",'Price History'!H59/'Price History'!H58-1),"")</f>
        <v>-0.10245220282626766</v>
      </c>
      <c r="I58" s="82">
        <f>IFERROR(IF(OR(NOT(ISNUMBER('Price History'!I59)),NOT(ISNUMBER('Price History'!I58)),'Price History'!I58=0),"",'Price History'!I59/'Price History'!I58-1),"")</f>
        <v>-0.13856077741476092</v>
      </c>
      <c r="J58" s="82">
        <f>IFERROR(IF(OR(NOT(ISNUMBER('Price History'!J59)),NOT(ISNUMBER('Price History'!J58)),'Price History'!J58=0),"",'Price History'!J59/'Price History'!J58-1),"")</f>
        <v>-4.6158660616490987E-3</v>
      </c>
      <c r="K58" s="82">
        <f>IFERROR(IF(OR(NOT(ISNUMBER('Price History'!K59)),NOT(ISNUMBER('Price History'!K58)),'Price History'!K58=0),"",'Price History'!K59/'Price History'!K58-1),"")</f>
        <v>-3.6531130876747198E-2</v>
      </c>
      <c r="L58" s="82">
        <f>IFERROR(IF(OR(NOT(ISNUMBER('Price History'!L59)),NOT(ISNUMBER('Price History'!L58)),'Price History'!L58=0),"",'Price History'!L59/'Price History'!L58-1),"")</f>
        <v>-8.6662783925451348E-2</v>
      </c>
      <c r="M58" s="82">
        <f>IFERROR(IF(OR(NOT(ISNUMBER('Price History'!M59)),NOT(ISNUMBER('Price History'!M58)),'Price History'!M58=0),"",'Price History'!M59/'Price History'!M58-1),"")</f>
        <v>-0.13561363362640011</v>
      </c>
      <c r="N58" s="82">
        <f>IFERROR(IF(OR(NOT(ISNUMBER('Price History'!N59)),NOT(ISNUMBER('Price History'!N58)),'Price History'!N58=0),"",'Price History'!N59/'Price History'!N58-1),"")</f>
        <v>-5.624231180302075E-2</v>
      </c>
      <c r="O58" s="82">
        <f>IFERROR(IF(OR(NOT(ISNUMBER('Price History'!O59)),NOT(ISNUMBER('Price History'!O58)),'Price History'!O58=0),"",'Price History'!O59/'Price History'!O58-1),"")</f>
        <v>-5.6615577103534487E-2</v>
      </c>
      <c r="P58" s="82" t="str">
        <f>IFERROR(IF(OR(NOT(ISNUMBER('Price History'!P59)),NOT(ISNUMBER('Price History'!P58)),'Price History'!P58=0),"",'Price History'!P59/'Price History'!P58-1),"")</f>
        <v/>
      </c>
      <c r="Q58" s="82">
        <f>IFERROR(IF(OR(NOT(ISNUMBER('Price History'!Q59)),NOT(ISNUMBER('Price History'!Q58)),'Price History'!Q58=0),"",'Price History'!Q59/'Price History'!Q58-1),"")</f>
        <v>-2.7410512737826576E-3</v>
      </c>
      <c r="R58" s="82">
        <f>IFERROR(IF(OR(NOT(ISNUMBER('Price History'!R59)),NOT(ISNUMBER('Price History'!R58)),'Price History'!R58=0),"",'Price History'!R59/'Price History'!R58-1),"")</f>
        <v>-5.0295857988165715E-2</v>
      </c>
      <c r="S58" s="82">
        <f>IFERROR(IF(OR(NOT(ISNUMBER('Price History'!S59)),NOT(ISNUMBER('Price History'!S58)),'Price History'!S58=0),"",'Price History'!S59/'Price History'!S58-1),"")</f>
        <v>-5.9719887955182016E-2</v>
      </c>
      <c r="T58" s="82">
        <f>IFERROR(IF(OR(NOT(ISNUMBER('Price History'!T59)),NOT(ISNUMBER('Price History'!T58)),'Price History'!T58=0),"",'Price History'!T59/'Price History'!T58-1),"")</f>
        <v>-4.1265060240963991E-2</v>
      </c>
      <c r="U58" s="82" t="str">
        <f>IFERROR(IF(OR(NOT(ISNUMBER('Price History'!U59)),NOT(ISNUMBER('Price History'!U58)),'Price History'!U58=0),"",'Price History'!U59/'Price History'!U58-1),"")</f>
        <v/>
      </c>
      <c r="V58" s="83">
        <f>IFERROR(IF(OR(NOT(ISNUMBER('Price History'!V59)),NOT(ISNUMBER('Price History'!V58)),'Price History'!V58=0),"",'Price History'!V59/'Price History'!V58-1),"")</f>
        <v>1.0834833070114458E-2</v>
      </c>
      <c r="W58" s="84" t="str">
        <f>IFERROR('Price History'!B3+(INDEX('Price History'!B:B,MATCH(9.99E+307,'Price History'!$A:$A))-'Price History'!B3)*(ROW()-3)/(MATCH(9.99E+307,'Returns (Calc)'!$A:$A)-3),"")</f>
        <v/>
      </c>
      <c r="X58" s="84">
        <f>IFERROR('Price History'!C3+(INDEX('Price History'!C:C,MATCH(9.99E+307,'Price History'!$A:$A))-'Price History'!C3)*(ROW()-3)/(MATCH(9.99E+307,'Returns (Calc)'!$A:$A)-3),"")</f>
        <v>28.609811320754716</v>
      </c>
      <c r="Y58" s="84">
        <f>IFERROR('Price History'!D3+(INDEX('Price History'!D:D,MATCH(9.99E+307,'Price History'!$A:$A))-'Price History'!D3)*(ROW()-3)/(MATCH(9.99E+307,'Returns (Calc)'!$A:$A)-3),"")</f>
        <v>432.86238993710685</v>
      </c>
      <c r="Z58" s="84">
        <f>IFERROR('Price History'!E3+(INDEX('Price History'!E:E,MATCH(9.99E+307,'Price History'!$A:$A))-'Price History'!E3)*(ROW()-3)/(MATCH(9.99E+307,'Returns (Calc)'!$A:$A)-3),"")</f>
        <v>54.276226415094342</v>
      </c>
      <c r="AA58" s="84">
        <f>IFERROR('Price History'!F3+(INDEX('Price History'!F:F,MATCH(9.99E+307,'Price History'!$A:$A))-'Price History'!F3)*(ROW()-3)/(MATCH(9.99E+307,'Returns (Calc)'!$A:$A)-3),"")</f>
        <v>24.240503144654092</v>
      </c>
      <c r="AB58" s="84">
        <f>IFERROR('Price History'!G3+(INDEX('Price History'!G:G,MATCH(9.99E+307,'Price History'!$A:$A))-'Price History'!G3)*(ROW()-3)/(MATCH(9.99E+307,'Returns (Calc)'!$A:$A)-3),"")</f>
        <v>31.330817610062891</v>
      </c>
      <c r="AC58" s="84">
        <f>IFERROR('Price History'!H3+(INDEX('Price History'!H:H,MATCH(9.99E+307,'Price History'!$A:$A))-'Price History'!H3)*(ROW()-3)/(MATCH(9.99E+307,'Returns (Calc)'!$A:$A)-3),"")</f>
        <v>42.103647798742145</v>
      </c>
      <c r="AD58" s="84">
        <f>IFERROR('Price History'!I3+(INDEX('Price History'!I:I,MATCH(9.99E+307,'Price History'!$A:$A))-'Price History'!I3)*(ROW()-3)/(MATCH(9.99E+307,'Returns (Calc)'!$A:$A)-3),"")</f>
        <v>26.719496855345913</v>
      </c>
      <c r="AE58" s="84">
        <f>IFERROR('Price History'!J3+(INDEX('Price History'!J:J,MATCH(9.99E+307,'Price History'!$A:$A))-'Price History'!J3)*(ROW()-3)/(MATCH(9.99E+307,'Returns (Calc)'!$A:$A)-3),"")</f>
        <v>80.786415094339617</v>
      </c>
      <c r="AF58" s="84">
        <f>IFERROR('Price History'!K3+(INDEX('Price History'!K:K,MATCH(9.99E+307,'Price History'!$A:$A))-'Price History'!K3)*(ROW()-3)/(MATCH(9.99E+307,'Returns (Calc)'!$A:$A)-3),"")</f>
        <v>10.079496855345912</v>
      </c>
      <c r="AG58" s="84">
        <f>IFERROR('Price History'!L3+(INDEX('Price History'!L:L,MATCH(9.99E+307,'Price History'!$A:$A))-'Price History'!L3)*(ROW()-3)/(MATCH(9.99E+307,'Returns (Calc)'!$A:$A)-3),"")</f>
        <v>60.169559748427673</v>
      </c>
      <c r="AH58" s="84">
        <f>IFERROR('Price History'!M3+(INDEX('Price History'!M:M,MATCH(9.99E+307,'Price History'!$A:$A))-'Price History'!M3)*(ROW()-3)/(MATCH(9.99E+307,'Returns (Calc)'!$A:$A)-3),"")</f>
        <v>21.918490566037732</v>
      </c>
      <c r="AI58" s="84">
        <f>IFERROR('Price History'!N3+(INDEX('Price History'!N:N,MATCH(9.99E+307,'Price History'!$A:$A))-'Price History'!N3)*(ROW()-3)/(MATCH(9.99E+307,'Returns (Calc)'!$A:$A)-3),"")</f>
        <v>228.8392452830189</v>
      </c>
      <c r="AJ58" s="84">
        <f>IFERROR('Price History'!O3+(INDEX('Price History'!O:O,MATCH(9.99E+307,'Price History'!$A:$A))-'Price History'!O3)*(ROW()-3)/(MATCH(9.99E+307,'Returns (Calc)'!$A:$A)-3),"")</f>
        <v>54.191194968553454</v>
      </c>
      <c r="AK58" s="84">
        <f>IFERROR('Price History'!Q3+(INDEX('Price History'!Q:Q,MATCH(9.99E+307,'Price History'!$A:$A))-'Price History'!Q3)*(ROW()-3)/(MATCH(9.99E+307,'Returns (Calc)'!$A:$A)-3),"")</f>
        <v>32.599748427672957</v>
      </c>
      <c r="AL58" s="84">
        <f>IFERROR('Price History'!R3+(INDEX('Price History'!R:R,MATCH(9.99E+307,'Price History'!$A:$A))-'Price History'!R3)*(ROW()-3)/(MATCH(9.99E+307,'Returns (Calc)'!$A:$A)-3),"")</f>
        <v>31.278490566037735</v>
      </c>
      <c r="AM58" s="84">
        <f>IFERROR('Price History'!S3+(INDEX('Price History'!S:S,MATCH(9.99E+307,'Price History'!$A:$A))-'Price History'!S3)*(ROW()-3)/(MATCH(9.99E+307,'Returns (Calc)'!$A:$A)-3),"")</f>
        <v>38.290314465408805</v>
      </c>
      <c r="AN58" s="84">
        <f>IFERROR('Price History'!T3+(INDEX('Price History'!T:T,MATCH(9.99E+307,'Price History'!$A:$A))-'Price History'!T3)*(ROW()-3)/(MATCH(9.99E+307,'Returns (Calc)'!$A:$A)-3),"")</f>
        <v>17.601509433962264</v>
      </c>
      <c r="AO58" s="85">
        <f>IFERROR('Price History'!V3+(INDEX('Price History'!V:V,MATCH(9.99E+307,'Price History'!$A:$A))-'Price History'!V3)*(ROW()-3)/(MATCH(9.99E+307,'Returns (Calc)'!$A:$A)-3),"")</f>
        <v>0</v>
      </c>
    </row>
    <row r="59" spans="1:41" ht="15" customHeight="1" x14ac:dyDescent="0.3">
      <c r="A59" s="81">
        <f>IF('Price History'!A60="","",'Price History'!A60)</f>
        <v>45548</v>
      </c>
      <c r="B59" s="82">
        <f>IFERROR(IF(OR(NOT(ISNUMBER('Price History'!B60)),NOT(ISNUMBER('Price History'!B59)),'Price History'!B59=0),"",'Price History'!B60/'Price History'!B59-1),"")</f>
        <v>-4.7106015157700409E-2</v>
      </c>
      <c r="C59" s="82">
        <f>IFERROR(IF(OR(NOT(ISNUMBER('Price History'!C60)),NOT(ISNUMBER('Price History'!C59)),'Price History'!C59=0),"",'Price History'!C60/'Price History'!C59-1),"")</f>
        <v>0.1445660473402901</v>
      </c>
      <c r="D59" s="82">
        <f>IFERROR(IF(OR(NOT(ISNUMBER('Price History'!D60)),NOT(ISNUMBER('Price History'!D59)),'Price History'!D59=0),"",'Price History'!D60/'Price History'!D59-1),"")</f>
        <v>8.4445861395608501E-2</v>
      </c>
      <c r="E59" s="82">
        <f>IFERROR(IF(OR(NOT(ISNUMBER('Price History'!E60)),NOT(ISNUMBER('Price History'!E59)),'Price History'!E59=0),"",'Price History'!E60/'Price History'!E59-1),"")</f>
        <v>0.22401459854014605</v>
      </c>
      <c r="F59" s="82">
        <f>IFERROR(IF(OR(NOT(ISNUMBER('Price History'!F60)),NOT(ISNUMBER('Price History'!F59)),'Price History'!F59=0),"",'Price History'!F60/'Price History'!F59-1),"")</f>
        <v>5.1623376623376682E-2</v>
      </c>
      <c r="G59" s="82">
        <f>IFERROR(IF(OR(NOT(ISNUMBER('Price History'!G60)),NOT(ISNUMBER('Price History'!G59)),'Price History'!G59=0),"",'Price History'!G60/'Price History'!G59-1),"")</f>
        <v>6.9294251565167997E-2</v>
      </c>
      <c r="H59" s="82">
        <f>IFERROR(IF(OR(NOT(ISNUMBER('Price History'!H60)),NOT(ISNUMBER('Price History'!H59)),'Price History'!H59=0),"",'Price History'!H60/'Price History'!H59-1),"")</f>
        <v>5.6031488770548865E-2</v>
      </c>
      <c r="I59" s="82">
        <f>IFERROR(IF(OR(NOT(ISNUMBER('Price History'!I60)),NOT(ISNUMBER('Price History'!I59)),'Price History'!I59=0),"",'Price History'!I60/'Price History'!I59-1),"")</f>
        <v>0.15822230866478648</v>
      </c>
      <c r="J59" s="82">
        <f>IFERROR(IF(OR(NOT(ISNUMBER('Price History'!J60)),NOT(ISNUMBER('Price History'!J59)),'Price History'!J59=0),"",'Price History'!J60/'Price History'!J59-1),"")</f>
        <v>2.1614399119704419E-2</v>
      </c>
      <c r="K59" s="82">
        <f>IFERROR(IF(OR(NOT(ISNUMBER('Price History'!K60)),NOT(ISNUMBER('Price History'!K59)),'Price History'!K59=0),"",'Price History'!K60/'Price History'!K59-1),"")</f>
        <v>0.17342565117045838</v>
      </c>
      <c r="L59" s="82">
        <f>IFERROR(IF(OR(NOT(ISNUMBER('Price History'!L60)),NOT(ISNUMBER('Price History'!L59)),'Price History'!L59=0),"",'Price History'!L60/'Price History'!L59-1),"")</f>
        <v>9.9987246524678053E-2</v>
      </c>
      <c r="M59" s="82">
        <f>IFERROR(IF(OR(NOT(ISNUMBER('Price History'!M60)),NOT(ISNUMBER('Price History'!M59)),'Price History'!M59=0),"",'Price History'!M60/'Price History'!M59-1),"")</f>
        <v>0.19492824299846756</v>
      </c>
      <c r="N59" s="82">
        <f>IFERROR(IF(OR(NOT(ISNUMBER('Price History'!N60)),NOT(ISNUMBER('Price History'!N59)),'Price History'!N59=0),"",'Price History'!N60/'Price History'!N59-1),"")</f>
        <v>3.7115384615384661E-2</v>
      </c>
      <c r="O59" s="82">
        <f>IFERROR(IF(OR(NOT(ISNUMBER('Price History'!O60)),NOT(ISNUMBER('Price History'!O59)),'Price History'!O59=0),"",'Price History'!O60/'Price History'!O59-1),"")</f>
        <v>2.8846153846153744E-2</v>
      </c>
      <c r="P59" s="82" t="str">
        <f>IFERROR(IF(OR(NOT(ISNUMBER('Price History'!P60)),NOT(ISNUMBER('Price History'!P59)),'Price History'!P59=0),"",'Price History'!P60/'Price History'!P59-1),"")</f>
        <v/>
      </c>
      <c r="Q59" s="82">
        <f>IFERROR(IF(OR(NOT(ISNUMBER('Price History'!Q60)),NOT(ISNUMBER('Price History'!Q59)),'Price History'!Q59=0),"",'Price History'!Q60/'Price History'!Q59-1),"")</f>
        <v>-8.8924818108326864E-3</v>
      </c>
      <c r="R59" s="82">
        <f>IFERROR(IF(OR(NOT(ISNUMBER('Price History'!R60)),NOT(ISNUMBER('Price History'!R59)),'Price History'!R59=0),"",'Price History'!R60/'Price History'!R59-1),"")</f>
        <v>4.6534267912772487E-2</v>
      </c>
      <c r="S59" s="82">
        <f>IFERROR(IF(OR(NOT(ISNUMBER('Price History'!S60)),NOT(ISNUMBER('Price History'!S59)),'Price History'!S59=0),"",'Price History'!S60/'Price History'!S59-1),"")</f>
        <v>6.1487130600571982E-2</v>
      </c>
      <c r="T59" s="82">
        <f>IFERROR(IF(OR(NOT(ISNUMBER('Price History'!T60)),NOT(ISNUMBER('Price History'!T59)),'Price History'!T59=0),"",'Price History'!T60/'Price History'!T59-1),"")</f>
        <v>2.3562676720075393E-2</v>
      </c>
      <c r="U59" s="82" t="str">
        <f>IFERROR(IF(OR(NOT(ISNUMBER('Price History'!U60)),NOT(ISNUMBER('Price History'!U59)),'Price History'!U59=0),"",'Price History'!U60/'Price History'!U59-1),"")</f>
        <v/>
      </c>
      <c r="V59" s="83">
        <f>IFERROR(IF(OR(NOT(ISNUMBER('Price History'!V60)),NOT(ISNUMBER('Price History'!V59)),'Price History'!V59=0),"",'Price History'!V60/'Price History'!V59-1),"")</f>
        <v>2.8558971005014033E-2</v>
      </c>
      <c r="W59" s="84" t="str">
        <f>IFERROR('Price History'!B3+(INDEX('Price History'!B:B,MATCH(9.99E+307,'Price History'!$A:$A))-'Price History'!B3)*(ROW()-3)/(MATCH(9.99E+307,'Returns (Calc)'!$A:$A)-3),"")</f>
        <v/>
      </c>
      <c r="X59" s="84">
        <f>IFERROR('Price History'!C3+(INDEX('Price History'!C:C,MATCH(9.99E+307,'Price History'!$A:$A))-'Price History'!C3)*(ROW()-3)/(MATCH(9.99E+307,'Returns (Calc)'!$A:$A)-3),"")</f>
        <v>28.334716981132075</v>
      </c>
      <c r="Y59" s="84">
        <f>IFERROR('Price History'!D3+(INDEX('Price History'!D:D,MATCH(9.99E+307,'Price History'!$A:$A))-'Price History'!D3)*(ROW()-3)/(MATCH(9.99E+307,'Returns (Calc)'!$A:$A)-3),"")</f>
        <v>428.70025157232703</v>
      </c>
      <c r="Z59" s="84">
        <f>IFERROR('Price History'!E3+(INDEX('Price History'!E:E,MATCH(9.99E+307,'Price History'!$A:$A))-'Price History'!E3)*(ROW()-3)/(MATCH(9.99E+307,'Returns (Calc)'!$A:$A)-3),"")</f>
        <v>53.75433962264151</v>
      </c>
      <c r="AA59" s="84">
        <f>IFERROR('Price History'!F3+(INDEX('Price History'!F:F,MATCH(9.99E+307,'Price History'!$A:$A))-'Price History'!F3)*(ROW()-3)/(MATCH(9.99E+307,'Returns (Calc)'!$A:$A)-3),"")</f>
        <v>24.007421383647802</v>
      </c>
      <c r="AB59" s="84">
        <f>IFERROR('Price History'!G3+(INDEX('Price History'!G:G,MATCH(9.99E+307,'Price History'!$A:$A))-'Price History'!G3)*(ROW()-3)/(MATCH(9.99E+307,'Returns (Calc)'!$A:$A)-3),"")</f>
        <v>31.029559748427673</v>
      </c>
      <c r="AC59" s="84">
        <f>IFERROR('Price History'!H3+(INDEX('Price History'!H:H,MATCH(9.99E+307,'Price History'!$A:$A))-'Price History'!H3)*(ROW()-3)/(MATCH(9.99E+307,'Returns (Calc)'!$A:$A)-3),"")</f>
        <v>41.69880503144654</v>
      </c>
      <c r="AD59" s="84">
        <f>IFERROR('Price History'!I3+(INDEX('Price History'!I:I,MATCH(9.99E+307,'Price History'!$A:$A))-'Price History'!I3)*(ROW()-3)/(MATCH(9.99E+307,'Returns (Calc)'!$A:$A)-3),"")</f>
        <v>26.462578616352204</v>
      </c>
      <c r="AE59" s="84">
        <f>IFERROR('Price History'!J3+(INDEX('Price History'!J:J,MATCH(9.99E+307,'Price History'!$A:$A))-'Price History'!J3)*(ROW()-3)/(MATCH(9.99E+307,'Returns (Calc)'!$A:$A)-3),"")</f>
        <v>80.009622641509438</v>
      </c>
      <c r="AF59" s="84">
        <f>IFERROR('Price History'!K3+(INDEX('Price History'!K:K,MATCH(9.99E+307,'Price History'!$A:$A))-'Price History'!K3)*(ROW()-3)/(MATCH(9.99E+307,'Returns (Calc)'!$A:$A)-3),"")</f>
        <v>9.9825786163522015</v>
      </c>
      <c r="AG59" s="84">
        <f>IFERROR('Price History'!L3+(INDEX('Price History'!L:L,MATCH(9.99E+307,'Price History'!$A:$A))-'Price History'!L3)*(ROW()-3)/(MATCH(9.99E+307,'Returns (Calc)'!$A:$A)-3),"")</f>
        <v>59.591006289308176</v>
      </c>
      <c r="AH59" s="84">
        <f>IFERROR('Price History'!M3+(INDEX('Price History'!M:M,MATCH(9.99E+307,'Price History'!$A:$A))-'Price History'!M3)*(ROW()-3)/(MATCH(9.99E+307,'Returns (Calc)'!$A:$A)-3),"")</f>
        <v>21.707735849056604</v>
      </c>
      <c r="AI59" s="84">
        <f>IFERROR('Price History'!N3+(INDEX('Price History'!N:N,MATCH(9.99E+307,'Price History'!$A:$A))-'Price History'!N3)*(ROW()-3)/(MATCH(9.99E+307,'Returns (Calc)'!$A:$A)-3),"")</f>
        <v>226.63886792452831</v>
      </c>
      <c r="AJ59" s="84">
        <f>IFERROR('Price History'!O3+(INDEX('Price History'!O:O,MATCH(9.99E+307,'Price History'!$A:$A))-'Price History'!O3)*(ROW()-3)/(MATCH(9.99E+307,'Returns (Calc)'!$A:$A)-3),"")</f>
        <v>53.670125786163524</v>
      </c>
      <c r="AK59" s="84">
        <f>IFERROR('Price History'!Q3+(INDEX('Price History'!Q:Q,MATCH(9.99E+307,'Price History'!$A:$A))-'Price History'!Q3)*(ROW()-3)/(MATCH(9.99E+307,'Returns (Calc)'!$A:$A)-3),"")</f>
        <v>32.286289308176109</v>
      </c>
      <c r="AL59" s="84">
        <f>IFERROR('Price History'!R3+(INDEX('Price History'!R:R,MATCH(9.99E+307,'Price History'!$A:$A))-'Price History'!R3)*(ROW()-3)/(MATCH(9.99E+307,'Returns (Calc)'!$A:$A)-3),"")</f>
        <v>30.977735849056604</v>
      </c>
      <c r="AM59" s="84">
        <f>IFERROR('Price History'!S3+(INDEX('Price History'!S:S,MATCH(9.99E+307,'Price History'!$A:$A))-'Price History'!S3)*(ROW()-3)/(MATCH(9.99E+307,'Returns (Calc)'!$A:$A)-3),"")</f>
        <v>37.922138364779876</v>
      </c>
      <c r="AN59" s="84">
        <f>IFERROR('Price History'!T3+(INDEX('Price History'!T:T,MATCH(9.99E+307,'Price History'!$A:$A))-'Price History'!T3)*(ROW()-3)/(MATCH(9.99E+307,'Returns (Calc)'!$A:$A)-3),"")</f>
        <v>17.432264150943396</v>
      </c>
      <c r="AO59" s="85">
        <f>IFERROR('Price History'!V3+(INDEX('Price History'!V:V,MATCH(9.99E+307,'Price History'!$A:$A))-'Price History'!V3)*(ROW()-3)/(MATCH(9.99E+307,'Returns (Calc)'!$A:$A)-3),"")</f>
        <v>0</v>
      </c>
    </row>
    <row r="60" spans="1:41" ht="15" customHeight="1" x14ac:dyDescent="0.3">
      <c r="A60" s="81">
        <f>IF('Price History'!A61="","",'Price History'!A61)</f>
        <v>45555</v>
      </c>
      <c r="B60" s="82">
        <f>IFERROR(IF(OR(NOT(ISNUMBER('Price History'!B61)),NOT(ISNUMBER('Price History'!B60)),'Price History'!B60=0),"",'Price History'!B61/'Price History'!B60-1),"")</f>
        <v>-2.7138785925829412E-2</v>
      </c>
      <c r="C60" s="82">
        <f>IFERROR(IF(OR(NOT(ISNUMBER('Price History'!C61)),NOT(ISNUMBER('Price History'!C60)),'Price History'!C60=0),"",'Price History'!C61/'Price History'!C60-1),"")</f>
        <v>6.8712474983322336E-2</v>
      </c>
      <c r="D60" s="82">
        <f>IFERROR(IF(OR(NOT(ISNUMBER('Price History'!D61)),NOT(ISNUMBER('Price History'!D60)),'Price History'!D60=0),"",'Price History'!D61/'Price History'!D60-1),"")</f>
        <v>-2.5821941300406714E-2</v>
      </c>
      <c r="E60" s="82">
        <f>IFERROR(IF(OR(NOT(ISNUMBER('Price History'!E61)),NOT(ISNUMBER('Price History'!E60)),'Price History'!E60=0),"",'Price History'!E61/'Price History'!E60-1),"")</f>
        <v>2.0335142226727942E-2</v>
      </c>
      <c r="F60" s="82">
        <f>IFERROR(IF(OR(NOT(ISNUMBER('Price History'!F61)),NOT(ISNUMBER('Price History'!F60)),'Price History'!F60=0),"",'Price History'!F61/'Price History'!F60-1),"")</f>
        <v>0.15714726767520837</v>
      </c>
      <c r="G60" s="82">
        <f>IFERROR(IF(OR(NOT(ISNUMBER('Price History'!G61)),NOT(ISNUMBER('Price History'!G60)),'Price History'!G60=0),"",'Price History'!G61/'Price History'!G60-1),"")</f>
        <v>9.8469727212242564E-3</v>
      </c>
      <c r="H60" s="82">
        <f>IFERROR(IF(OR(NOT(ISNUMBER('Price History'!H61)),NOT(ISNUMBER('Price History'!H60)),'Price History'!H60=0),"",'Price History'!H61/'Price History'!H60-1),"")</f>
        <v>-3.5080026310019274E-3</v>
      </c>
      <c r="I60" s="82">
        <f>IFERROR(IF(OR(NOT(ISNUMBER('Price History'!I61)),NOT(ISNUMBER('Price History'!I60)),'Price History'!I60=0),"",'Price History'!I61/'Price History'!I60-1),"")</f>
        <v>-2.6028547439126748E-2</v>
      </c>
      <c r="J60" s="82">
        <f>IFERROR(IF(OR(NOT(ISNUMBER('Price History'!J61)),NOT(ISNUMBER('Price History'!J60)),'Price History'!J60=0),"",'Price History'!J61/'Price History'!J60-1),"")</f>
        <v>-3.4697645791660237E-2</v>
      </c>
      <c r="K60" s="82">
        <f>IFERROR(IF(OR(NOT(ISNUMBER('Price History'!K61)),NOT(ISNUMBER('Price History'!K60)),'Price History'!K60=0),"",'Price History'!K61/'Price History'!K60-1),"")</f>
        <v>4.5237426243326828E-2</v>
      </c>
      <c r="L60" s="82">
        <f>IFERROR(IF(OR(NOT(ISNUMBER('Price History'!L61)),NOT(ISNUMBER('Price History'!L60)),'Price History'!L60=0),"",'Price History'!L61/'Price History'!L60-1),"")</f>
        <v>9.1594202898550581E-3</v>
      </c>
      <c r="M60" s="82">
        <f>IFERROR(IF(OR(NOT(ISNUMBER('Price History'!M61)),NOT(ISNUMBER('Price History'!M60)),'Price History'!M60=0),"",'Price History'!M61/'Price History'!M60-1),"")</f>
        <v>0.10237873134328357</v>
      </c>
      <c r="N60" s="82">
        <f>IFERROR(IF(OR(NOT(ISNUMBER('Price History'!N61)),NOT(ISNUMBER('Price History'!N60)),'Price History'!N60=0),"",'Price History'!N61/'Price History'!N60-1),"")</f>
        <v>-4.2132805900653048E-2</v>
      </c>
      <c r="O60" s="82">
        <f>IFERROR(IF(OR(NOT(ISNUMBER('Price History'!O61)),NOT(ISNUMBER('Price History'!O60)),'Price History'!O60=0),"",'Price History'!O61/'Price History'!O60-1),"")</f>
        <v>3.0185841658610046E-2</v>
      </c>
      <c r="P60" s="82" t="str">
        <f>IFERROR(IF(OR(NOT(ISNUMBER('Price History'!P61)),NOT(ISNUMBER('Price History'!P60)),'Price History'!P60=0),"",'Price History'!P61/'Price History'!P60-1),"")</f>
        <v/>
      </c>
      <c r="Q60" s="82">
        <f>IFERROR(IF(OR(NOT(ISNUMBER('Price History'!Q61)),NOT(ISNUMBER('Price History'!Q60)),'Price History'!Q60=0),"",'Price History'!Q61/'Price History'!Q60-1),"")</f>
        <v>2.4306688417618405E-2</v>
      </c>
      <c r="R60" s="82">
        <f>IFERROR(IF(OR(NOT(ISNUMBER('Price History'!R61)),NOT(ISNUMBER('Price History'!R60)),'Price History'!R60=0),"",'Price History'!R61/'Price History'!R60-1),"")</f>
        <v>1.2279069767441753E-2</v>
      </c>
      <c r="S60" s="82">
        <f>IFERROR(IF(OR(NOT(ISNUMBER('Price History'!S61)),NOT(ISNUMBER('Price History'!S60)),'Price History'!S60=0),"",'Price History'!S61/'Price History'!S60-1),"")</f>
        <v>1.6277503367759349E-2</v>
      </c>
      <c r="T60" s="82">
        <f>IFERROR(IF(OR(NOT(ISNUMBER('Price History'!T61)),NOT(ISNUMBER('Price History'!T60)),'Price History'!T60=0),"",'Price History'!T61/'Price History'!T60-1),"")</f>
        <v>1.7188459177409632E-2</v>
      </c>
      <c r="U60" s="82" t="str">
        <f>IFERROR(IF(OR(NOT(ISNUMBER('Price History'!U61)),NOT(ISNUMBER('Price History'!U60)),'Price History'!U60=0),"",'Price History'!U61/'Price History'!U60-1),"")</f>
        <v/>
      </c>
      <c r="V60" s="83">
        <f>IFERROR(IF(OR(NOT(ISNUMBER('Price History'!V61)),NOT(ISNUMBER('Price History'!V60)),'Price History'!V60=0),"",'Price History'!V61/'Price History'!V60-1),"")</f>
        <v>-8.9727285572981375E-3</v>
      </c>
      <c r="W60" s="84" t="str">
        <f>IFERROR('Price History'!B3+(INDEX('Price History'!B:B,MATCH(9.99E+307,'Price History'!$A:$A))-'Price History'!B3)*(ROW()-3)/(MATCH(9.99E+307,'Returns (Calc)'!$A:$A)-3),"")</f>
        <v/>
      </c>
      <c r="X60" s="84">
        <f>IFERROR('Price History'!C3+(INDEX('Price History'!C:C,MATCH(9.99E+307,'Price History'!$A:$A))-'Price History'!C3)*(ROW()-3)/(MATCH(9.99E+307,'Returns (Calc)'!$A:$A)-3),"")</f>
        <v>28.059622641509435</v>
      </c>
      <c r="Y60" s="84">
        <f>IFERROR('Price History'!D3+(INDEX('Price History'!D:D,MATCH(9.99E+307,'Price History'!$A:$A))-'Price History'!D3)*(ROW()-3)/(MATCH(9.99E+307,'Returns (Calc)'!$A:$A)-3),"")</f>
        <v>424.53811320754716</v>
      </c>
      <c r="Z60" s="84">
        <f>IFERROR('Price History'!E3+(INDEX('Price History'!E:E,MATCH(9.99E+307,'Price History'!$A:$A))-'Price History'!E3)*(ROW()-3)/(MATCH(9.99E+307,'Returns (Calc)'!$A:$A)-3),"")</f>
        <v>53.232452830188677</v>
      </c>
      <c r="AA60" s="84">
        <f>IFERROR('Price History'!F3+(INDEX('Price History'!F:F,MATCH(9.99E+307,'Price History'!$A:$A))-'Price History'!F3)*(ROW()-3)/(MATCH(9.99E+307,'Returns (Calc)'!$A:$A)-3),"")</f>
        <v>23.774339622641513</v>
      </c>
      <c r="AB60" s="84">
        <f>IFERROR('Price History'!G3+(INDEX('Price History'!G:G,MATCH(9.99E+307,'Price History'!$A:$A))-'Price History'!G3)*(ROW()-3)/(MATCH(9.99E+307,'Returns (Calc)'!$A:$A)-3),"")</f>
        <v>30.728301886792455</v>
      </c>
      <c r="AC60" s="84">
        <f>IFERROR('Price History'!H3+(INDEX('Price History'!H:H,MATCH(9.99E+307,'Price History'!$A:$A))-'Price History'!H3)*(ROW()-3)/(MATCH(9.99E+307,'Returns (Calc)'!$A:$A)-3),"")</f>
        <v>41.293962264150949</v>
      </c>
      <c r="AD60" s="84">
        <f>IFERROR('Price History'!I3+(INDEX('Price History'!I:I,MATCH(9.99E+307,'Price History'!$A:$A))-'Price History'!I3)*(ROW()-3)/(MATCH(9.99E+307,'Returns (Calc)'!$A:$A)-3),"")</f>
        <v>26.205660377358491</v>
      </c>
      <c r="AE60" s="84">
        <f>IFERROR('Price History'!J3+(INDEX('Price History'!J:J,MATCH(9.99E+307,'Price History'!$A:$A))-'Price History'!J3)*(ROW()-3)/(MATCH(9.99E+307,'Returns (Calc)'!$A:$A)-3),"")</f>
        <v>79.232830188679245</v>
      </c>
      <c r="AF60" s="84">
        <f>IFERROR('Price History'!K3+(INDEX('Price History'!K:K,MATCH(9.99E+307,'Price History'!$A:$A))-'Price History'!K3)*(ROW()-3)/(MATCH(9.99E+307,'Returns (Calc)'!$A:$A)-3),"")</f>
        <v>9.8856603773584908</v>
      </c>
      <c r="AG60" s="84">
        <f>IFERROR('Price History'!L3+(INDEX('Price History'!L:L,MATCH(9.99E+307,'Price History'!$A:$A))-'Price History'!L3)*(ROW()-3)/(MATCH(9.99E+307,'Returns (Calc)'!$A:$A)-3),"")</f>
        <v>59.012452830188678</v>
      </c>
      <c r="AH60" s="84">
        <f>IFERROR('Price History'!M3+(INDEX('Price History'!M:M,MATCH(9.99E+307,'Price History'!$A:$A))-'Price History'!M3)*(ROW()-3)/(MATCH(9.99E+307,'Returns (Calc)'!$A:$A)-3),"")</f>
        <v>21.496981132075469</v>
      </c>
      <c r="AI60" s="84">
        <f>IFERROR('Price History'!N3+(INDEX('Price History'!N:N,MATCH(9.99E+307,'Price History'!$A:$A))-'Price History'!N3)*(ROW()-3)/(MATCH(9.99E+307,'Returns (Calc)'!$A:$A)-3),"")</f>
        <v>224.43849056603773</v>
      </c>
      <c r="AJ60" s="84">
        <f>IFERROR('Price History'!O3+(INDEX('Price History'!O:O,MATCH(9.99E+307,'Price History'!$A:$A))-'Price History'!O3)*(ROW()-3)/(MATCH(9.99E+307,'Returns (Calc)'!$A:$A)-3),"")</f>
        <v>53.14905660377358</v>
      </c>
      <c r="AK60" s="84">
        <f>IFERROR('Price History'!Q3+(INDEX('Price History'!Q:Q,MATCH(9.99E+307,'Price History'!$A:$A))-'Price History'!Q3)*(ROW()-3)/(MATCH(9.99E+307,'Returns (Calc)'!$A:$A)-3),"")</f>
        <v>31.972830188679247</v>
      </c>
      <c r="AL60" s="84">
        <f>IFERROR('Price History'!R3+(INDEX('Price History'!R:R,MATCH(9.99E+307,'Price History'!$A:$A))-'Price History'!R3)*(ROW()-3)/(MATCH(9.99E+307,'Returns (Calc)'!$A:$A)-3),"")</f>
        <v>30.676981132075472</v>
      </c>
      <c r="AM60" s="84">
        <f>IFERROR('Price History'!S3+(INDEX('Price History'!S:S,MATCH(9.99E+307,'Price History'!$A:$A))-'Price History'!S3)*(ROW()-3)/(MATCH(9.99E+307,'Returns (Calc)'!$A:$A)-3),"")</f>
        <v>37.55396226415094</v>
      </c>
      <c r="AN60" s="84">
        <f>IFERROR('Price History'!T3+(INDEX('Price History'!T:T,MATCH(9.99E+307,'Price History'!$A:$A))-'Price History'!T3)*(ROW()-3)/(MATCH(9.99E+307,'Returns (Calc)'!$A:$A)-3),"")</f>
        <v>17.263018867924529</v>
      </c>
      <c r="AO60" s="85">
        <f>IFERROR('Price History'!V3+(INDEX('Price History'!V:V,MATCH(9.99E+307,'Price History'!$A:$A))-'Price History'!V3)*(ROW()-3)/(MATCH(9.99E+307,'Returns (Calc)'!$A:$A)-3),"")</f>
        <v>0</v>
      </c>
    </row>
    <row r="61" spans="1:41" ht="15" customHeight="1" x14ac:dyDescent="0.3">
      <c r="A61" s="81">
        <f>IF('Price History'!A62="","",'Price History'!A62)</f>
        <v>45562</v>
      </c>
      <c r="B61" s="82">
        <f>IFERROR(IF(OR(NOT(ISNUMBER('Price History'!B62)),NOT(ISNUMBER('Price History'!B61)),'Price History'!B61=0),"",'Price History'!B62/'Price History'!B61-1),"")</f>
        <v>-1.305762971472324E-2</v>
      </c>
      <c r="C61" s="82">
        <f>IFERROR(IF(OR(NOT(ISNUMBER('Price History'!C62)),NOT(ISNUMBER('Price History'!C61)),'Price History'!C61=0),"",'Price History'!C62/'Price History'!C61-1),"")</f>
        <v>-1.0923845193508197E-2</v>
      </c>
      <c r="D61" s="82">
        <f>IFERROR(IF(OR(NOT(ISNUMBER('Price History'!D62)),NOT(ISNUMBER('Price History'!D61)),'Price History'!D61=0),"",'Price History'!D62/'Price History'!D61-1),"")</f>
        <v>5.8168192334775215E-2</v>
      </c>
      <c r="E61" s="82">
        <f>IFERROR(IF(OR(NOT(ISNUMBER('Price History'!E62)),NOT(ISNUMBER('Price History'!E61)),'Price History'!E61=0),"",'Price History'!E62/'Price History'!E61-1),"")</f>
        <v>9.292811221507824E-3</v>
      </c>
      <c r="F61" s="82">
        <f>IFERROR(IF(OR(NOT(ISNUMBER('Price History'!F62)),NOT(ISNUMBER('Price History'!F61)),'Price History'!F61=0),"",'Price History'!F62/'Price History'!F61-1),"")</f>
        <v>-4.6558164354322251E-2</v>
      </c>
      <c r="G61" s="82">
        <f>IFERROR(IF(OR(NOT(ISNUMBER('Price History'!G62)),NOT(ISNUMBER('Price History'!G61)),'Price History'!G61=0),"",'Price History'!G62/'Price History'!G61-1),"")</f>
        <v>3.0965871656344568E-2</v>
      </c>
      <c r="H61" s="82">
        <f>IFERROR(IF(OR(NOT(ISNUMBER('Price History'!H62)),NOT(ISNUMBER('Price History'!H61)),'Price History'!H61=0),"",'Price History'!H62/'Price History'!H61-1),"")</f>
        <v>0.18261826182618246</v>
      </c>
      <c r="I61" s="82">
        <f>IFERROR(IF(OR(NOT(ISNUMBER('Price History'!I62)),NOT(ISNUMBER('Price History'!I61)),'Price History'!I61=0),"",'Price History'!I62/'Price History'!I61-1),"")</f>
        <v>4.6551724137931183E-2</v>
      </c>
      <c r="J61" s="82">
        <f>IFERROR(IF(OR(NOT(ISNUMBER('Price History'!J62)),NOT(ISNUMBER('Price History'!J61)),'Price History'!J61=0),"",'Price History'!J62/'Price History'!J61-1),"")</f>
        <v>9.5640392125617701E-4</v>
      </c>
      <c r="K61" s="82">
        <f>IFERROR(IF(OR(NOT(ISNUMBER('Price History'!K62)),NOT(ISNUMBER('Price History'!K61)),'Price History'!K61=0),"",'Price History'!K62/'Price History'!K61-1),"")</f>
        <v>-9.6774193548386789E-3</v>
      </c>
      <c r="L61" s="82">
        <f>IFERROR(IF(OR(NOT(ISNUMBER('Price History'!L62)),NOT(ISNUMBER('Price History'!L61)),'Price History'!L61=0),"",'Price History'!L62/'Price History'!L61-1),"")</f>
        <v>2.234604779411753E-2</v>
      </c>
      <c r="M61" s="82">
        <f>IFERROR(IF(OR(NOT(ISNUMBER('Price History'!M62)),NOT(ISNUMBER('Price History'!M61)),'Price History'!M61=0),"",'Price History'!M62/'Price History'!M61-1),"")</f>
        <v>4.0935053945419853E-2</v>
      </c>
      <c r="N61" s="82">
        <f>IFERROR(IF(OR(NOT(ISNUMBER('Price History'!N62)),NOT(ISNUMBER('Price History'!N61)),'Price History'!N61=0),"",'Price History'!N62/'Price History'!N61-1),"")</f>
        <v>-4.3878516734062734E-3</v>
      </c>
      <c r="O61" s="82">
        <f>IFERROR(IF(OR(NOT(ISNUMBER('Price History'!O62)),NOT(ISNUMBER('Price History'!O61)),'Price History'!O61=0),"",'Price History'!O62/'Price History'!O61-1),"")</f>
        <v>-3.5453597497393519E-3</v>
      </c>
      <c r="P61" s="82" t="str">
        <f>IFERROR(IF(OR(NOT(ISNUMBER('Price History'!P62)),NOT(ISNUMBER('Price History'!P61)),'Price History'!P61=0),"",'Price History'!P62/'Price History'!P61-1),"")</f>
        <v/>
      </c>
      <c r="Q61" s="82">
        <f>IFERROR(IF(OR(NOT(ISNUMBER('Price History'!Q62)),NOT(ISNUMBER('Price History'!Q61)),'Price History'!Q61=0),"",'Price History'!Q62/'Price History'!Q61-1),"")</f>
        <v>-9.5556617295747825E-3</v>
      </c>
      <c r="R61" s="82">
        <f>IFERROR(IF(OR(NOT(ISNUMBER('Price History'!R62)),NOT(ISNUMBER('Price History'!R61)),'Price History'!R61=0),"",'Price History'!R62/'Price History'!R61-1),"")</f>
        <v>7.1678000367578765E-3</v>
      </c>
      <c r="S61" s="82">
        <f>IFERROR(IF(OR(NOT(ISNUMBER('Price History'!S62)),NOT(ISNUMBER('Price History'!S61)),'Price History'!S61=0),"",'Price History'!S62/'Price History'!S61-1),"")</f>
        <v>-2.0987517949850876E-3</v>
      </c>
      <c r="T61" s="82">
        <f>IFERROR(IF(OR(NOT(ISNUMBER('Price History'!T62)),NOT(ISNUMBER('Price History'!T61)),'Price History'!T61=0),"",'Price History'!T62/'Price History'!T61-1),"")</f>
        <v>2.1122510561255581E-3</v>
      </c>
      <c r="U61" s="82" t="str">
        <f>IFERROR(IF(OR(NOT(ISNUMBER('Price History'!U62)),NOT(ISNUMBER('Price History'!U61)),'Price History'!U61=0),"",'Price History'!U62/'Price History'!U61-1),"")</f>
        <v/>
      </c>
      <c r="V61" s="83">
        <f>IFERROR(IF(OR(NOT(ISNUMBER('Price History'!V62)),NOT(ISNUMBER('Price History'!V61)),'Price History'!V61=0),"",'Price History'!V62/'Price History'!V61-1),"")</f>
        <v>-3.3720681542739106E-2</v>
      </c>
      <c r="W61" s="84" t="str">
        <f>IFERROR('Price History'!B3+(INDEX('Price History'!B:B,MATCH(9.99E+307,'Price History'!$A:$A))-'Price History'!B3)*(ROW()-3)/(MATCH(9.99E+307,'Returns (Calc)'!$A:$A)-3),"")</f>
        <v/>
      </c>
      <c r="X61" s="84">
        <f>IFERROR('Price History'!C3+(INDEX('Price History'!C:C,MATCH(9.99E+307,'Price History'!$A:$A))-'Price History'!C3)*(ROW()-3)/(MATCH(9.99E+307,'Returns (Calc)'!$A:$A)-3),"")</f>
        <v>27.784528301886795</v>
      </c>
      <c r="Y61" s="84">
        <f>IFERROR('Price History'!D3+(INDEX('Price History'!D:D,MATCH(9.99E+307,'Price History'!$A:$A))-'Price History'!D3)*(ROW()-3)/(MATCH(9.99E+307,'Returns (Calc)'!$A:$A)-3),"")</f>
        <v>420.37597484276728</v>
      </c>
      <c r="Z61" s="84">
        <f>IFERROR('Price History'!E3+(INDEX('Price History'!E:E,MATCH(9.99E+307,'Price History'!$A:$A))-'Price History'!E3)*(ROW()-3)/(MATCH(9.99E+307,'Returns (Calc)'!$A:$A)-3),"")</f>
        <v>52.710566037735852</v>
      </c>
      <c r="AA61" s="84">
        <f>IFERROR('Price History'!F3+(INDEX('Price History'!F:F,MATCH(9.99E+307,'Price History'!$A:$A))-'Price History'!F3)*(ROW()-3)/(MATCH(9.99E+307,'Returns (Calc)'!$A:$A)-3),"")</f>
        <v>23.541257861635223</v>
      </c>
      <c r="AB61" s="84">
        <f>IFERROR('Price History'!G3+(INDEX('Price History'!G:G,MATCH(9.99E+307,'Price History'!$A:$A))-'Price History'!G3)*(ROW()-3)/(MATCH(9.99E+307,'Returns (Calc)'!$A:$A)-3),"")</f>
        <v>30.427044025157233</v>
      </c>
      <c r="AC61" s="84">
        <f>IFERROR('Price History'!H3+(INDEX('Price History'!H:H,MATCH(9.99E+307,'Price History'!$A:$A))-'Price History'!H3)*(ROW()-3)/(MATCH(9.99E+307,'Returns (Calc)'!$A:$A)-3),"")</f>
        <v>40.889119496855351</v>
      </c>
      <c r="AD61" s="84">
        <f>IFERROR('Price History'!I3+(INDEX('Price History'!I:I,MATCH(9.99E+307,'Price History'!$A:$A))-'Price History'!I3)*(ROW()-3)/(MATCH(9.99E+307,'Returns (Calc)'!$A:$A)-3),"")</f>
        <v>25.948742138364778</v>
      </c>
      <c r="AE61" s="84">
        <f>IFERROR('Price History'!J3+(INDEX('Price History'!J:J,MATCH(9.99E+307,'Price History'!$A:$A))-'Price History'!J3)*(ROW()-3)/(MATCH(9.99E+307,'Returns (Calc)'!$A:$A)-3),"")</f>
        <v>78.456037735849065</v>
      </c>
      <c r="AF61" s="84">
        <f>IFERROR('Price History'!K3+(INDEX('Price History'!K:K,MATCH(9.99E+307,'Price History'!$A:$A))-'Price History'!K3)*(ROW()-3)/(MATCH(9.99E+307,'Returns (Calc)'!$A:$A)-3),"")</f>
        <v>9.7887421383647801</v>
      </c>
      <c r="AG61" s="84">
        <f>IFERROR('Price History'!L3+(INDEX('Price History'!L:L,MATCH(9.99E+307,'Price History'!$A:$A))-'Price History'!L3)*(ROW()-3)/(MATCH(9.99E+307,'Returns (Calc)'!$A:$A)-3),"")</f>
        <v>58.433899371069174</v>
      </c>
      <c r="AH61" s="84">
        <f>IFERROR('Price History'!M3+(INDEX('Price History'!M:M,MATCH(9.99E+307,'Price History'!$A:$A))-'Price History'!M3)*(ROW()-3)/(MATCH(9.99E+307,'Returns (Calc)'!$A:$A)-3),"")</f>
        <v>21.28622641509434</v>
      </c>
      <c r="AI61" s="84">
        <f>IFERROR('Price History'!N3+(INDEX('Price History'!N:N,MATCH(9.99E+307,'Price History'!$A:$A))-'Price History'!N3)*(ROW()-3)/(MATCH(9.99E+307,'Returns (Calc)'!$A:$A)-3),"")</f>
        <v>222.23811320754717</v>
      </c>
      <c r="AJ61" s="84">
        <f>IFERROR('Price History'!O3+(INDEX('Price History'!O:O,MATCH(9.99E+307,'Price History'!$A:$A))-'Price History'!O3)*(ROW()-3)/(MATCH(9.99E+307,'Returns (Calc)'!$A:$A)-3),"")</f>
        <v>52.627987421383651</v>
      </c>
      <c r="AK61" s="84">
        <f>IFERROR('Price History'!Q3+(INDEX('Price History'!Q:Q,MATCH(9.99E+307,'Price History'!$A:$A))-'Price History'!Q3)*(ROW()-3)/(MATCH(9.99E+307,'Returns (Calc)'!$A:$A)-3),"")</f>
        <v>31.659371069182392</v>
      </c>
      <c r="AL61" s="84">
        <f>IFERROR('Price History'!R3+(INDEX('Price History'!R:R,MATCH(9.99E+307,'Price History'!$A:$A))-'Price History'!R3)*(ROW()-3)/(MATCH(9.99E+307,'Returns (Calc)'!$A:$A)-3),"")</f>
        <v>30.37622641509434</v>
      </c>
      <c r="AM61" s="84">
        <f>IFERROR('Price History'!S3+(INDEX('Price History'!S:S,MATCH(9.99E+307,'Price History'!$A:$A))-'Price History'!S3)*(ROW()-3)/(MATCH(9.99E+307,'Returns (Calc)'!$A:$A)-3),"")</f>
        <v>37.18578616352201</v>
      </c>
      <c r="AN61" s="84">
        <f>IFERROR('Price History'!T3+(INDEX('Price History'!T:T,MATCH(9.99E+307,'Price History'!$A:$A))-'Price History'!T3)*(ROW()-3)/(MATCH(9.99E+307,'Returns (Calc)'!$A:$A)-3),"")</f>
        <v>17.093773584905662</v>
      </c>
      <c r="AO61" s="85">
        <f>IFERROR('Price History'!V3+(INDEX('Price History'!V:V,MATCH(9.99E+307,'Price History'!$A:$A))-'Price History'!V3)*(ROW()-3)/(MATCH(9.99E+307,'Returns (Calc)'!$A:$A)-3),"")</f>
        <v>0</v>
      </c>
    </row>
    <row r="62" spans="1:41" ht="15" customHeight="1" x14ac:dyDescent="0.3">
      <c r="A62" s="81">
        <f>IF('Price History'!A63="","",'Price History'!A63)</f>
        <v>45569</v>
      </c>
      <c r="B62" s="82">
        <f>IFERROR(IF(OR(NOT(ISNUMBER('Price History'!B63)),NOT(ISNUMBER('Price History'!B62)),'Price History'!B62=0),"",'Price History'!B63/'Price History'!B62-1),"")</f>
        <v>-1.6023900054318307E-2</v>
      </c>
      <c r="C62" s="82">
        <f>IFERROR(IF(OR(NOT(ISNUMBER('Price History'!C63)),NOT(ISNUMBER('Price History'!C62)),'Price History'!C62=0),"",'Price History'!C63/'Price History'!C62-1),"")</f>
        <v>4.1232775849374237E-2</v>
      </c>
      <c r="D62" s="82">
        <f>IFERROR(IF(OR(NOT(ISNUMBER('Price History'!D63)),NOT(ISNUMBER('Price History'!D62)),'Price History'!D62=0),"",'Price History'!D63/'Price History'!D62-1),"")</f>
        <v>-1.0148061886541271E-2</v>
      </c>
      <c r="E62" s="82">
        <f>IFERROR(IF(OR(NOT(ISNUMBER('Price History'!E63)),NOT(ISNUMBER('Price History'!E62)),'Price History'!E62=0),"",'Price History'!E63/'Price History'!E62-1),"")</f>
        <v>2.2873356882274543E-2</v>
      </c>
      <c r="F62" s="82">
        <f>IFERROR(IF(OR(NOT(ISNUMBER('Price History'!F63)),NOT(ISNUMBER('Price History'!F62)),'Price History'!F62=0),"",'Price History'!F63/'Price History'!F62-1),"")</f>
        <v>2.224709668392344E-2</v>
      </c>
      <c r="G62" s="82">
        <f>IFERROR(IF(OR(NOT(ISNUMBER('Price History'!G63)),NOT(ISNUMBER('Price History'!G62)),'Price History'!G62=0),"",'Price History'!G63/'Price History'!G62-1),"")</f>
        <v>6.3905930470347094E-3</v>
      </c>
      <c r="H62" s="82">
        <f>IFERROR(IF(OR(NOT(ISNUMBER('Price History'!H63)),NOT(ISNUMBER('Price History'!H62)),'Price History'!H62=0),"",'Price History'!H63/'Price History'!H62-1),"")</f>
        <v>-4.8837209302325602E-2</v>
      </c>
      <c r="I62" s="82">
        <f>IFERROR(IF(OR(NOT(ISNUMBER('Price History'!I63)),NOT(ISNUMBER('Price History'!I62)),'Price History'!I62=0),"",'Price History'!I63/'Price History'!I62-1),"")</f>
        <v>2.8995057660625934E-2</v>
      </c>
      <c r="J62" s="82">
        <f>IFERROR(IF(OR(NOT(ISNUMBER('Price History'!J63)),NOT(ISNUMBER('Price History'!J62)),'Price History'!J62=0),"",'Price History'!J63/'Price History'!J62-1),"")</f>
        <v>-2.5240863126045121E-2</v>
      </c>
      <c r="K62" s="82">
        <f>IFERROR(IF(OR(NOT(ISNUMBER('Price History'!K63)),NOT(ISNUMBER('Price History'!K62)),'Price History'!K62=0),"",'Price History'!K63/'Price History'!K62-1),"")</f>
        <v>8.6047774158523271E-2</v>
      </c>
      <c r="L62" s="82">
        <f>IFERROR(IF(OR(NOT(ISNUMBER('Price History'!L63)),NOT(ISNUMBER('Price History'!L62)),'Price History'!L62=0),"",'Price History'!L63/'Price History'!L62-1),"")</f>
        <v>1.792436927572072E-2</v>
      </c>
      <c r="M62" s="82">
        <f>IFERROR(IF(OR(NOT(ISNUMBER('Price History'!M63)),NOT(ISNUMBER('Price History'!M62)),'Price History'!M62=0),"",'Price History'!M63/'Price History'!M62-1),"")</f>
        <v>6.8997053145005705E-2</v>
      </c>
      <c r="N62" s="82">
        <f>IFERROR(IF(OR(NOT(ISNUMBER('Price History'!N63)),NOT(ISNUMBER('Price History'!N62)),'Price History'!N62=0),"",'Price History'!N63/'Price History'!N62-1),"")</f>
        <v>-1.6354130660214294E-2</v>
      </c>
      <c r="O62" s="82">
        <f>IFERROR(IF(OR(NOT(ISNUMBER('Price History'!O63)),NOT(ISNUMBER('Price History'!O62)),'Price History'!O62=0),"",'Price History'!O63/'Price History'!O62-1),"")</f>
        <v>2.8254499790707488E-3</v>
      </c>
      <c r="P62" s="82" t="str">
        <f>IFERROR(IF(OR(NOT(ISNUMBER('Price History'!P63)),NOT(ISNUMBER('Price History'!P62)),'Price History'!P62=0),"",'Price History'!P63/'Price History'!P62-1),"")</f>
        <v/>
      </c>
      <c r="Q62" s="82">
        <f>IFERROR(IF(OR(NOT(ISNUMBER('Price History'!Q63)),NOT(ISNUMBER('Price History'!Q62)),'Price History'!Q62=0),"",'Price History'!Q63/'Price History'!Q62-1),"")</f>
        <v>7.5574851262261156E-3</v>
      </c>
      <c r="R62" s="82">
        <f>IFERROR(IF(OR(NOT(ISNUMBER('Price History'!R63)),NOT(ISNUMBER('Price History'!R62)),'Price History'!R62=0),"",'Price History'!R63/'Price History'!R62-1),"")</f>
        <v>-7.8467153284671465E-3</v>
      </c>
      <c r="S62" s="82">
        <f>IFERROR(IF(OR(NOT(ISNUMBER('Price History'!S63)),NOT(ISNUMBER('Price History'!S62)),'Price History'!S62=0),"",'Price History'!S63/'Price History'!S62-1),"")</f>
        <v>1.4943546601726698E-2</v>
      </c>
      <c r="T62" s="82">
        <f>IFERROR(IF(OR(NOT(ISNUMBER('Price History'!T63)),NOT(ISNUMBER('Price History'!T62)),'Price History'!T62=0),"",'Price History'!T63/'Price History'!T62-1),"")</f>
        <v>1.866907557964459E-2</v>
      </c>
      <c r="U62" s="82" t="str">
        <f>IFERROR(IF(OR(NOT(ISNUMBER('Price History'!U63)),NOT(ISNUMBER('Price History'!U62)),'Price History'!U62=0),"",'Price History'!U63/'Price History'!U62-1),"")</f>
        <v/>
      </c>
      <c r="V62" s="83">
        <f>IFERROR(IF(OR(NOT(ISNUMBER('Price History'!V63)),NOT(ISNUMBER('Price History'!V62)),'Price History'!V62=0),"",'Price History'!V63/'Price History'!V62-1),"")</f>
        <v>1.0033938320791025E-2</v>
      </c>
      <c r="W62" s="84" t="str">
        <f>IFERROR('Price History'!B3+(INDEX('Price History'!B:B,MATCH(9.99E+307,'Price History'!$A:$A))-'Price History'!B3)*(ROW()-3)/(MATCH(9.99E+307,'Returns (Calc)'!$A:$A)-3),"")</f>
        <v/>
      </c>
      <c r="X62" s="84">
        <f>IFERROR('Price History'!C3+(INDEX('Price History'!C:C,MATCH(9.99E+307,'Price History'!$A:$A))-'Price History'!C3)*(ROW()-3)/(MATCH(9.99E+307,'Returns (Calc)'!$A:$A)-3),"")</f>
        <v>27.509433962264151</v>
      </c>
      <c r="Y62" s="84">
        <f>IFERROR('Price History'!D3+(INDEX('Price History'!D:D,MATCH(9.99E+307,'Price History'!$A:$A))-'Price History'!D3)*(ROW()-3)/(MATCH(9.99E+307,'Returns (Calc)'!$A:$A)-3),"")</f>
        <v>416.21383647798746</v>
      </c>
      <c r="Z62" s="84">
        <f>IFERROR('Price History'!E3+(INDEX('Price History'!E:E,MATCH(9.99E+307,'Price History'!$A:$A))-'Price History'!E3)*(ROW()-3)/(MATCH(9.99E+307,'Returns (Calc)'!$A:$A)-3),"")</f>
        <v>52.188679245283019</v>
      </c>
      <c r="AA62" s="84">
        <f>IFERROR('Price History'!F3+(INDEX('Price History'!F:F,MATCH(9.99E+307,'Price History'!$A:$A))-'Price History'!F3)*(ROW()-3)/(MATCH(9.99E+307,'Returns (Calc)'!$A:$A)-3),"")</f>
        <v>23.308176100628934</v>
      </c>
      <c r="AB62" s="84">
        <f>IFERROR('Price History'!G3+(INDEX('Price History'!G:G,MATCH(9.99E+307,'Price History'!$A:$A))-'Price History'!G3)*(ROW()-3)/(MATCH(9.99E+307,'Returns (Calc)'!$A:$A)-3),"")</f>
        <v>30.125786163522012</v>
      </c>
      <c r="AC62" s="84">
        <f>IFERROR('Price History'!H3+(INDEX('Price History'!H:H,MATCH(9.99E+307,'Price History'!$A:$A))-'Price History'!H3)*(ROW()-3)/(MATCH(9.99E+307,'Returns (Calc)'!$A:$A)-3),"")</f>
        <v>40.484276729559753</v>
      </c>
      <c r="AD62" s="84">
        <f>IFERROR('Price History'!I3+(INDEX('Price History'!I:I,MATCH(9.99E+307,'Price History'!$A:$A))-'Price History'!I3)*(ROW()-3)/(MATCH(9.99E+307,'Returns (Calc)'!$A:$A)-3),"")</f>
        <v>25.691823899371069</v>
      </c>
      <c r="AE62" s="84">
        <f>IFERROR('Price History'!J3+(INDEX('Price History'!J:J,MATCH(9.99E+307,'Price History'!$A:$A))-'Price History'!J3)*(ROW()-3)/(MATCH(9.99E+307,'Returns (Calc)'!$A:$A)-3),"")</f>
        <v>77.679245283018872</v>
      </c>
      <c r="AF62" s="84">
        <f>IFERROR('Price History'!K3+(INDEX('Price History'!K:K,MATCH(9.99E+307,'Price History'!$A:$A))-'Price History'!K3)*(ROW()-3)/(MATCH(9.99E+307,'Returns (Calc)'!$A:$A)-3),"")</f>
        <v>9.6918238993710695</v>
      </c>
      <c r="AG62" s="84">
        <f>IFERROR('Price History'!L3+(INDEX('Price History'!L:L,MATCH(9.99E+307,'Price History'!$A:$A))-'Price History'!L3)*(ROW()-3)/(MATCH(9.99E+307,'Returns (Calc)'!$A:$A)-3),"")</f>
        <v>57.855345911949684</v>
      </c>
      <c r="AH62" s="84">
        <f>IFERROR('Price History'!M3+(INDEX('Price History'!M:M,MATCH(9.99E+307,'Price History'!$A:$A))-'Price History'!M3)*(ROW()-3)/(MATCH(9.99E+307,'Returns (Calc)'!$A:$A)-3),"")</f>
        <v>21.075471698113205</v>
      </c>
      <c r="AI62" s="84">
        <f>IFERROR('Price History'!N3+(INDEX('Price History'!N:N,MATCH(9.99E+307,'Price History'!$A:$A))-'Price History'!N3)*(ROW()-3)/(MATCH(9.99E+307,'Returns (Calc)'!$A:$A)-3),"")</f>
        <v>220.03773584905662</v>
      </c>
      <c r="AJ62" s="84">
        <f>IFERROR('Price History'!O3+(INDEX('Price History'!O:O,MATCH(9.99E+307,'Price History'!$A:$A))-'Price History'!O3)*(ROW()-3)/(MATCH(9.99E+307,'Returns (Calc)'!$A:$A)-3),"")</f>
        <v>52.106918238993707</v>
      </c>
      <c r="AK62" s="84">
        <f>IFERROR('Price History'!Q3+(INDEX('Price History'!Q:Q,MATCH(9.99E+307,'Price History'!$A:$A))-'Price History'!Q3)*(ROW()-3)/(MATCH(9.99E+307,'Returns (Calc)'!$A:$A)-3),"")</f>
        <v>31.345911949685537</v>
      </c>
      <c r="AL62" s="84">
        <f>IFERROR('Price History'!R3+(INDEX('Price History'!R:R,MATCH(9.99E+307,'Price History'!$A:$A))-'Price History'!R3)*(ROW()-3)/(MATCH(9.99E+307,'Returns (Calc)'!$A:$A)-3),"")</f>
        <v>30.075471698113208</v>
      </c>
      <c r="AM62" s="84">
        <f>IFERROR('Price History'!S3+(INDEX('Price History'!S:S,MATCH(9.99E+307,'Price History'!$A:$A))-'Price History'!S3)*(ROW()-3)/(MATCH(9.99E+307,'Returns (Calc)'!$A:$A)-3),"")</f>
        <v>36.817610062893081</v>
      </c>
      <c r="AN62" s="84">
        <f>IFERROR('Price History'!T3+(INDEX('Price History'!T:T,MATCH(9.99E+307,'Price History'!$A:$A))-'Price History'!T3)*(ROW()-3)/(MATCH(9.99E+307,'Returns (Calc)'!$A:$A)-3),"")</f>
        <v>16.924528301886792</v>
      </c>
      <c r="AO62" s="85">
        <f>IFERROR('Price History'!V3+(INDEX('Price History'!V:V,MATCH(9.99E+307,'Price History'!$A:$A))-'Price History'!V3)*(ROW()-3)/(MATCH(9.99E+307,'Returns (Calc)'!$A:$A)-3),"")</f>
        <v>0</v>
      </c>
    </row>
    <row r="63" spans="1:41" ht="15" customHeight="1" x14ac:dyDescent="0.3">
      <c r="A63" s="81">
        <f>IF('Price History'!A64="","",'Price History'!A64)</f>
        <v>45576</v>
      </c>
      <c r="B63" s="82">
        <f>IFERROR(IF(OR(NOT(ISNUMBER('Price History'!B64)),NOT(ISNUMBER('Price History'!B63)),'Price History'!B63=0),"",'Price History'!B64/'Price History'!B63-1),"")</f>
        <v>-2.3264066874334577E-2</v>
      </c>
      <c r="C63" s="82">
        <f>IFERROR(IF(OR(NOT(ISNUMBER('Price History'!C64)),NOT(ISNUMBER('Price History'!C63)),'Price History'!C63=0),"",'Price History'!C64/'Price History'!C63-1),"")</f>
        <v>5.2934639862612487E-2</v>
      </c>
      <c r="D63" s="82">
        <f>IFERROR(IF(OR(NOT(ISNUMBER('Price History'!D64)),NOT(ISNUMBER('Price History'!D63)),'Price History'!D63=0),"",'Price History'!D64/'Price History'!D63-1),"")</f>
        <v>9.2316926770708019E-3</v>
      </c>
      <c r="E63" s="82">
        <f>IFERROR(IF(OR(NOT(ISNUMBER('Price History'!E64)),NOT(ISNUMBER('Price History'!E63)),'Price History'!E63=0),"",'Price History'!E64/'Price History'!E63-1),"")</f>
        <v>2.7400362318840576E-2</v>
      </c>
      <c r="F63" s="82">
        <f>IFERROR(IF(OR(NOT(ISNUMBER('Price History'!F64)),NOT(ISNUMBER('Price History'!F63)),'Price History'!F63=0),"",'Price History'!F64/'Price History'!F63-1),"")</f>
        <v>9.5674787845606346E-2</v>
      </c>
      <c r="G63" s="82">
        <f>IFERROR(IF(OR(NOT(ISNUMBER('Price History'!G64)),NOT(ISNUMBER('Price History'!G63)),'Price History'!G63=0),"",'Price History'!G64/'Price History'!G63-1),"")</f>
        <v>2.0701041402082954E-2</v>
      </c>
      <c r="H63" s="82">
        <f>IFERROR(IF(OR(NOT(ISNUMBER('Price History'!H64)),NOT(ISNUMBER('Price History'!H63)),'Price History'!H63=0),"",'Price History'!H64/'Price History'!H63-1),"")</f>
        <v>4.5672371638141751E-2</v>
      </c>
      <c r="I63" s="82">
        <f>IFERROR(IF(OR(NOT(ISNUMBER('Price History'!I64)),NOT(ISNUMBER('Price History'!I63)),'Price History'!I63=0),"",'Price History'!I64/'Price History'!I63-1),"")</f>
        <v>7.9090617995517309E-2</v>
      </c>
      <c r="J63" s="82">
        <f>IFERROR(IF(OR(NOT(ISNUMBER('Price History'!J64)),NOT(ISNUMBER('Price History'!J63)),'Price History'!J63=0),"",'Price History'!J64/'Price History'!J63-1),"")</f>
        <v>-1.7807547786309441E-2</v>
      </c>
      <c r="K63" s="82">
        <f>IFERROR(IF(OR(NOT(ISNUMBER('Price History'!K64)),NOT(ISNUMBER('Price History'!K63)),'Price History'!K63=0),"",'Price History'!K64/'Price History'!K63-1),"")</f>
        <v>8.7478130467383064E-2</v>
      </c>
      <c r="L63" s="82">
        <f>IFERROR(IF(OR(NOT(ISNUMBER('Price History'!L64)),NOT(ISNUMBER('Price History'!L63)),'Price History'!L63=0),"",'Price History'!L64/'Price History'!L63-1),"")</f>
        <v>5.32678295429454E-2</v>
      </c>
      <c r="M63" s="82">
        <f>IFERROR(IF(OR(NOT(ISNUMBER('Price History'!M64)),NOT(ISNUMBER('Price History'!M63)),'Price History'!M63=0),"",'Price History'!M64/'Price History'!M63-1),"")</f>
        <v>6.3117870722433356E-2</v>
      </c>
      <c r="N63" s="82">
        <f>IFERROR(IF(OR(NOT(ISNUMBER('Price History'!N64)),NOT(ISNUMBER('Price History'!N63)),'Price History'!N63=0),"",'Price History'!N64/'Price History'!N63-1),"")</f>
        <v>5.7982473479607277E-2</v>
      </c>
      <c r="O63" s="82">
        <f>IFERROR(IF(OR(NOT(ISNUMBER('Price History'!O64)),NOT(ISNUMBER('Price History'!O63)),'Price History'!O63=0),"",'Price History'!O64/'Price History'!O63-1),"")</f>
        <v>1.1896065950119938E-2</v>
      </c>
      <c r="P63" s="82" t="str">
        <f>IFERROR(IF(OR(NOT(ISNUMBER('Price History'!P64)),NOT(ISNUMBER('Price History'!P63)),'Price History'!P63=0),"",'Price History'!P64/'Price History'!P63-1),"")</f>
        <v/>
      </c>
      <c r="Q63" s="82">
        <f>IFERROR(IF(OR(NOT(ISNUMBER('Price History'!Q64)),NOT(ISNUMBER('Price History'!Q63)),'Price History'!Q63=0),"",'Price History'!Q64/'Price History'!Q63-1),"")</f>
        <v>6.0644749441429724E-3</v>
      </c>
      <c r="R63" s="82">
        <f>IFERROR(IF(OR(NOT(ISNUMBER('Price History'!R64)),NOT(ISNUMBER('Price History'!R63)),'Price History'!R63=0),"",'Price History'!R64/'Price History'!R63-1),"")</f>
        <v>9.0123229722274267E-3</v>
      </c>
      <c r="S63" s="82">
        <f>IFERROR(IF(OR(NOT(ISNUMBER('Price History'!S64)),NOT(ISNUMBER('Price History'!S63)),'Price History'!S63=0),"",'Price History'!S64/'Price History'!S63-1),"")</f>
        <v>2.1594503217363004E-2</v>
      </c>
      <c r="T63" s="82">
        <f>IFERROR(IF(OR(NOT(ISNUMBER('Price History'!T64)),NOT(ISNUMBER('Price History'!T63)),'Price History'!T63=0),"",'Price History'!T64/'Price History'!T63-1),"")</f>
        <v>3.547147502217074E-3</v>
      </c>
      <c r="U63" s="82" t="str">
        <f>IFERROR(IF(OR(NOT(ISNUMBER('Price History'!U64)),NOT(ISNUMBER('Price History'!U63)),'Price History'!U63=0),"",'Price History'!U64/'Price History'!U63-1),"")</f>
        <v/>
      </c>
      <c r="V63" s="83">
        <f>IFERROR(IF(OR(NOT(ISNUMBER('Price History'!V64)),NOT(ISNUMBER('Price History'!V63)),'Price History'!V63=0),"",'Price History'!V64/'Price History'!V63-1),"")</f>
        <v>-3.2870708546395289E-4</v>
      </c>
      <c r="W63" s="84" t="str">
        <f>IFERROR('Price History'!B3+(INDEX('Price History'!B:B,MATCH(9.99E+307,'Price History'!$A:$A))-'Price History'!B3)*(ROW()-3)/(MATCH(9.99E+307,'Returns (Calc)'!$A:$A)-3),"")</f>
        <v/>
      </c>
      <c r="X63" s="84">
        <f>IFERROR('Price History'!C3+(INDEX('Price History'!C:C,MATCH(9.99E+307,'Price History'!$A:$A))-'Price History'!C3)*(ROW()-3)/(MATCH(9.99E+307,'Returns (Calc)'!$A:$A)-3),"")</f>
        <v>27.23433962264151</v>
      </c>
      <c r="Y63" s="84">
        <f>IFERROR('Price History'!D3+(INDEX('Price History'!D:D,MATCH(9.99E+307,'Price History'!$A:$A))-'Price History'!D3)*(ROW()-3)/(MATCH(9.99E+307,'Returns (Calc)'!$A:$A)-3),"")</f>
        <v>412.05169811320752</v>
      </c>
      <c r="Z63" s="84">
        <f>IFERROR('Price History'!E3+(INDEX('Price History'!E:E,MATCH(9.99E+307,'Price History'!$A:$A))-'Price History'!E3)*(ROW()-3)/(MATCH(9.99E+307,'Returns (Calc)'!$A:$A)-3),"")</f>
        <v>51.666792452830194</v>
      </c>
      <c r="AA63" s="84">
        <f>IFERROR('Price History'!F3+(INDEX('Price History'!F:F,MATCH(9.99E+307,'Price History'!$A:$A))-'Price History'!F3)*(ROW()-3)/(MATCH(9.99E+307,'Returns (Calc)'!$A:$A)-3),"")</f>
        <v>23.075094339622641</v>
      </c>
      <c r="AB63" s="84">
        <f>IFERROR('Price History'!G3+(INDEX('Price History'!G:G,MATCH(9.99E+307,'Price History'!$A:$A))-'Price History'!G3)*(ROW()-3)/(MATCH(9.99E+307,'Returns (Calc)'!$A:$A)-3),"")</f>
        <v>29.82452830188679</v>
      </c>
      <c r="AC63" s="84">
        <f>IFERROR('Price History'!H3+(INDEX('Price History'!H:H,MATCH(9.99E+307,'Price History'!$A:$A))-'Price History'!H3)*(ROW()-3)/(MATCH(9.99E+307,'Returns (Calc)'!$A:$A)-3),"")</f>
        <v>40.079433962264154</v>
      </c>
      <c r="AD63" s="84">
        <f>IFERROR('Price History'!I3+(INDEX('Price History'!I:I,MATCH(9.99E+307,'Price History'!$A:$A))-'Price History'!I3)*(ROW()-3)/(MATCH(9.99E+307,'Returns (Calc)'!$A:$A)-3),"")</f>
        <v>25.43490566037736</v>
      </c>
      <c r="AE63" s="84">
        <f>IFERROR('Price History'!J3+(INDEX('Price History'!J:J,MATCH(9.99E+307,'Price History'!$A:$A))-'Price History'!J3)*(ROW()-3)/(MATCH(9.99E+307,'Returns (Calc)'!$A:$A)-3),"")</f>
        <v>76.902452830188679</v>
      </c>
      <c r="AF63" s="84">
        <f>IFERROR('Price History'!K3+(INDEX('Price History'!K:K,MATCH(9.99E+307,'Price History'!$A:$A))-'Price History'!K3)*(ROW()-3)/(MATCH(9.99E+307,'Returns (Calc)'!$A:$A)-3),"")</f>
        <v>9.5949056603773588</v>
      </c>
      <c r="AG63" s="84">
        <f>IFERROR('Price History'!L3+(INDEX('Price History'!L:L,MATCH(9.99E+307,'Price History'!$A:$A))-'Price History'!L3)*(ROW()-3)/(MATCH(9.99E+307,'Returns (Calc)'!$A:$A)-3),"")</f>
        <v>57.276792452830186</v>
      </c>
      <c r="AH63" s="84">
        <f>IFERROR('Price History'!M3+(INDEX('Price History'!M:M,MATCH(9.99E+307,'Price History'!$A:$A))-'Price History'!M3)*(ROW()-3)/(MATCH(9.99E+307,'Returns (Calc)'!$A:$A)-3),"")</f>
        <v>20.864716981132077</v>
      </c>
      <c r="AI63" s="84">
        <f>IFERROR('Price History'!N3+(INDEX('Price History'!N:N,MATCH(9.99E+307,'Price History'!$A:$A))-'Price History'!N3)*(ROW()-3)/(MATCH(9.99E+307,'Returns (Calc)'!$A:$A)-3),"")</f>
        <v>217.83735849056603</v>
      </c>
      <c r="AJ63" s="84">
        <f>IFERROR('Price History'!O3+(INDEX('Price History'!O:O,MATCH(9.99E+307,'Price History'!$A:$A))-'Price History'!O3)*(ROW()-3)/(MATCH(9.99E+307,'Returns (Calc)'!$A:$A)-3),"")</f>
        <v>51.585849056603763</v>
      </c>
      <c r="AK63" s="84">
        <f>IFERROR('Price History'!Q3+(INDEX('Price History'!Q:Q,MATCH(9.99E+307,'Price History'!$A:$A))-'Price History'!Q3)*(ROW()-3)/(MATCH(9.99E+307,'Returns (Calc)'!$A:$A)-3),"")</f>
        <v>31.032452830188682</v>
      </c>
      <c r="AL63" s="84">
        <f>IFERROR('Price History'!R3+(INDEX('Price History'!R:R,MATCH(9.99E+307,'Price History'!$A:$A))-'Price History'!R3)*(ROW()-3)/(MATCH(9.99E+307,'Returns (Calc)'!$A:$A)-3),"")</f>
        <v>29.774716981132077</v>
      </c>
      <c r="AM63" s="84">
        <f>IFERROR('Price History'!S3+(INDEX('Price History'!S:S,MATCH(9.99E+307,'Price History'!$A:$A))-'Price History'!S3)*(ROW()-3)/(MATCH(9.99E+307,'Returns (Calc)'!$A:$A)-3),"")</f>
        <v>36.449433962264152</v>
      </c>
      <c r="AN63" s="84">
        <f>IFERROR('Price History'!T3+(INDEX('Price History'!T:T,MATCH(9.99E+307,'Price History'!$A:$A))-'Price History'!T3)*(ROW()-3)/(MATCH(9.99E+307,'Returns (Calc)'!$A:$A)-3),"")</f>
        <v>16.755283018867924</v>
      </c>
      <c r="AO63" s="85">
        <f>IFERROR('Price History'!V3+(INDEX('Price History'!V:V,MATCH(9.99E+307,'Price History'!$A:$A))-'Price History'!V3)*(ROW()-3)/(MATCH(9.99E+307,'Returns (Calc)'!$A:$A)-3),"")</f>
        <v>0</v>
      </c>
    </row>
    <row r="64" spans="1:41" ht="15" customHeight="1" x14ac:dyDescent="0.3">
      <c r="A64" s="81">
        <f>IF('Price History'!A65="","",'Price History'!A65)</f>
        <v>45583</v>
      </c>
      <c r="B64" s="82">
        <f>IFERROR(IF(OR(NOT(ISNUMBER('Price History'!B65)),NOT(ISNUMBER('Price History'!B64)),'Price History'!B64=0),"",'Price History'!B65/'Price History'!B64-1),"")</f>
        <v>-1.049614468531801E-3</v>
      </c>
      <c r="C64" s="82">
        <f>IFERROR(IF(OR(NOT(ISNUMBER('Price History'!C65)),NOT(ISNUMBER('Price History'!C64)),'Price History'!C64=0),"",'Price History'!C65/'Price History'!C64-1),"")</f>
        <v>-3.5786241964885335E-2</v>
      </c>
      <c r="D64" s="82">
        <f>IFERROR(IF(OR(NOT(ISNUMBER('Price History'!D65)),NOT(ISNUMBER('Price History'!D64)),'Price History'!D64=0),"",'Price History'!D65/'Price History'!D64-1),"")</f>
        <v>-0.13968287953942604</v>
      </c>
      <c r="E64" s="82">
        <f>IFERROR(IF(OR(NOT(ISNUMBER('Price History'!E65)),NOT(ISNUMBER('Price History'!E64)),'Price History'!E64=0),"",'Price History'!E65/'Price History'!E64-1),"")</f>
        <v>-8.7612960105797333E-3</v>
      </c>
      <c r="F64" s="82">
        <f>IFERROR(IF(OR(NOT(ISNUMBER('Price History'!F65)),NOT(ISNUMBER('Price History'!F64)),'Price History'!F64=0),"",'Price History'!F65/'Price History'!F64-1),"")</f>
        <v>-3.1355402873204152E-2</v>
      </c>
      <c r="G64" s="82">
        <f>IFERROR(IF(OR(NOT(ISNUMBER('Price History'!G65)),NOT(ISNUMBER('Price History'!G64)),'Price History'!G64=0),"",'Price History'!G65/'Price History'!G64-1),"")</f>
        <v>-0.15577951972128912</v>
      </c>
      <c r="H64" s="82">
        <f>IFERROR(IF(OR(NOT(ISNUMBER('Price History'!H65)),NOT(ISNUMBER('Price History'!H64)),'Price History'!H64=0),"",'Price History'!H65/'Price History'!H64-1),"")</f>
        <v>3.9562289562289576E-2</v>
      </c>
      <c r="I64" s="82">
        <f>IFERROR(IF(OR(NOT(ISNUMBER('Price History'!I65)),NOT(ISNUMBER('Price History'!I64)),'Price History'!I64=0),"",'Price History'!I65/'Price History'!I64-1),"")</f>
        <v>2.3738872403560762E-2</v>
      </c>
      <c r="J64" s="82">
        <f>IFERROR(IF(OR(NOT(ISNUMBER('Price History'!J65)),NOT(ISNUMBER('Price History'!J64)),'Price History'!J64=0),"",'Price History'!J65/'Price History'!J64-1),"")</f>
        <v>1.8795741849634062E-2</v>
      </c>
      <c r="K64" s="82">
        <f>IFERROR(IF(OR(NOT(ISNUMBER('Price History'!K65)),NOT(ISNUMBER('Price History'!K64)),'Price History'!K64=0),"",'Price History'!K65/'Price History'!K64-1),"")</f>
        <v>-1.2410940013789951E-2</v>
      </c>
      <c r="L64" s="82">
        <f>IFERROR(IF(OR(NOT(ISNUMBER('Price History'!L65)),NOT(ISNUMBER('Price History'!L64)),'Price History'!L64=0),"",'Price History'!L65/'Price History'!L64-1),"")</f>
        <v>5.225093024474603E-2</v>
      </c>
      <c r="M64" s="82">
        <f>IFERROR(IF(OR(NOT(ISNUMBER('Price History'!M65)),NOT(ISNUMBER('Price History'!M64)),'Price History'!M64=0),"",'Price History'!M65/'Price History'!M64-1),"")</f>
        <v>3.6659513590844295E-3</v>
      </c>
      <c r="N64" s="82">
        <f>IFERROR(IF(OR(NOT(ISNUMBER('Price History'!N65)),NOT(ISNUMBER('Price History'!N64)),'Price History'!N64=0),"",'Price History'!N65/'Price History'!N64-1),"")</f>
        <v>2.6779597683252998E-3</v>
      </c>
      <c r="O64" s="82">
        <f>IFERROR(IF(OR(NOT(ISNUMBER('Price History'!O65)),NOT(ISNUMBER('Price History'!O64)),'Price History'!O64=0),"",'Price History'!O65/'Price History'!O64-1),"")</f>
        <v>1.2581210683716648E-2</v>
      </c>
      <c r="P64" s="82" t="str">
        <f>IFERROR(IF(OR(NOT(ISNUMBER('Price History'!P65)),NOT(ISNUMBER('Price History'!P64)),'Price History'!P64=0),"",'Price History'!P65/'Price History'!P64-1),"")</f>
        <v/>
      </c>
      <c r="Q64" s="82">
        <f>IFERROR(IF(OR(NOT(ISNUMBER('Price History'!Q65)),NOT(ISNUMBER('Price History'!Q64)),'Price History'!Q64=0),"",'Price History'!Q65/'Price History'!Q64-1),"")</f>
        <v>3.8071065989848663E-3</v>
      </c>
      <c r="R64" s="82">
        <f>IFERROR(IF(OR(NOT(ISNUMBER('Price History'!R65)),NOT(ISNUMBER('Price History'!R64)),'Price History'!R64=0),"",'Price History'!R65/'Price History'!R64-1),"")</f>
        <v>7.4735690849434544E-3</v>
      </c>
      <c r="S64" s="82">
        <f>IFERROR(IF(OR(NOT(ISNUMBER('Price History'!S65)),NOT(ISNUMBER('Price History'!S64)),'Price History'!S64=0),"",'Price History'!S65/'Price History'!S64-1),"")</f>
        <v>4.2703106651007516E-3</v>
      </c>
      <c r="T64" s="82">
        <f>IFERROR(IF(OR(NOT(ISNUMBER('Price History'!T65)),NOT(ISNUMBER('Price History'!T64)),'Price History'!T64=0),"",'Price History'!T65/'Price History'!T64-1),"")</f>
        <v>-4.7128129602357349E-3</v>
      </c>
      <c r="U64" s="82" t="str">
        <f>IFERROR(IF(OR(NOT(ISNUMBER('Price History'!U65)),NOT(ISNUMBER('Price History'!U64)),'Price History'!U64=0),"",'Price History'!U65/'Price History'!U64-1),"")</f>
        <v/>
      </c>
      <c r="V64" s="83">
        <f>IFERROR(IF(OR(NOT(ISNUMBER('Price History'!V65)),NOT(ISNUMBER('Price History'!V64)),'Price History'!V64=0),"",'Price History'!V65/'Price History'!V64-1),"")</f>
        <v>4.5997588688758251E-2</v>
      </c>
      <c r="W64" s="84" t="str">
        <f>IFERROR('Price History'!B3+(INDEX('Price History'!B:B,MATCH(9.99E+307,'Price History'!$A:$A))-'Price History'!B3)*(ROW()-3)/(MATCH(9.99E+307,'Returns (Calc)'!$A:$A)-3),"")</f>
        <v/>
      </c>
      <c r="X64" s="84">
        <f>IFERROR('Price History'!C3+(INDEX('Price History'!C:C,MATCH(9.99E+307,'Price History'!$A:$A))-'Price History'!C3)*(ROW()-3)/(MATCH(9.99E+307,'Returns (Calc)'!$A:$A)-3),"")</f>
        <v>26.959245283018866</v>
      </c>
      <c r="Y64" s="84">
        <f>IFERROR('Price History'!D3+(INDEX('Price History'!D:D,MATCH(9.99E+307,'Price History'!$A:$A))-'Price History'!D3)*(ROW()-3)/(MATCH(9.99E+307,'Returns (Calc)'!$A:$A)-3),"")</f>
        <v>407.88955974842764</v>
      </c>
      <c r="Z64" s="84">
        <f>IFERROR('Price History'!E3+(INDEX('Price History'!E:E,MATCH(9.99E+307,'Price History'!$A:$A))-'Price History'!E3)*(ROW()-3)/(MATCH(9.99E+307,'Returns (Calc)'!$A:$A)-3),"")</f>
        <v>51.144905660377361</v>
      </c>
      <c r="AA64" s="84">
        <f>IFERROR('Price History'!F3+(INDEX('Price History'!F:F,MATCH(9.99E+307,'Price History'!$A:$A))-'Price History'!F3)*(ROW()-3)/(MATCH(9.99E+307,'Returns (Calc)'!$A:$A)-3),"")</f>
        <v>22.842012578616352</v>
      </c>
      <c r="AB64" s="84">
        <f>IFERROR('Price History'!G3+(INDEX('Price History'!G:G,MATCH(9.99E+307,'Price History'!$A:$A))-'Price History'!G3)*(ROW()-3)/(MATCH(9.99E+307,'Returns (Calc)'!$A:$A)-3),"")</f>
        <v>29.523270440251569</v>
      </c>
      <c r="AC64" s="84">
        <f>IFERROR('Price History'!H3+(INDEX('Price History'!H:H,MATCH(9.99E+307,'Price History'!$A:$A))-'Price History'!H3)*(ROW()-3)/(MATCH(9.99E+307,'Returns (Calc)'!$A:$A)-3),"")</f>
        <v>39.674591194968556</v>
      </c>
      <c r="AD64" s="84">
        <f>IFERROR('Price History'!I3+(INDEX('Price History'!I:I,MATCH(9.99E+307,'Price History'!$A:$A))-'Price History'!I3)*(ROW()-3)/(MATCH(9.99E+307,'Returns (Calc)'!$A:$A)-3),"")</f>
        <v>25.177987421383648</v>
      </c>
      <c r="AE64" s="84">
        <f>IFERROR('Price History'!J3+(INDEX('Price History'!J:J,MATCH(9.99E+307,'Price History'!$A:$A))-'Price History'!J3)*(ROW()-3)/(MATCH(9.99E+307,'Returns (Calc)'!$A:$A)-3),"")</f>
        <v>76.125660377358486</v>
      </c>
      <c r="AF64" s="84">
        <f>IFERROR('Price History'!K3+(INDEX('Price History'!K:K,MATCH(9.99E+307,'Price History'!$A:$A))-'Price History'!K3)*(ROW()-3)/(MATCH(9.99E+307,'Returns (Calc)'!$A:$A)-3),"")</f>
        <v>9.4979874213836482</v>
      </c>
      <c r="AG64" s="84">
        <f>IFERROR('Price History'!L3+(INDEX('Price History'!L:L,MATCH(9.99E+307,'Price History'!$A:$A))-'Price History'!L3)*(ROW()-3)/(MATCH(9.99E+307,'Returns (Calc)'!$A:$A)-3),"")</f>
        <v>56.698238993710689</v>
      </c>
      <c r="AH64" s="84">
        <f>IFERROR('Price History'!M3+(INDEX('Price History'!M:M,MATCH(9.99E+307,'Price History'!$A:$A))-'Price History'!M3)*(ROW()-3)/(MATCH(9.99E+307,'Returns (Calc)'!$A:$A)-3),"")</f>
        <v>20.653962264150941</v>
      </c>
      <c r="AI64" s="84">
        <f>IFERROR('Price History'!N3+(INDEX('Price History'!N:N,MATCH(9.99E+307,'Price History'!$A:$A))-'Price History'!N3)*(ROW()-3)/(MATCH(9.99E+307,'Returns (Calc)'!$A:$A)-3),"")</f>
        <v>215.6369811320755</v>
      </c>
      <c r="AJ64" s="84">
        <f>IFERROR('Price History'!O3+(INDEX('Price History'!O:O,MATCH(9.99E+307,'Price History'!$A:$A))-'Price History'!O3)*(ROW()-3)/(MATCH(9.99E+307,'Returns (Calc)'!$A:$A)-3),"")</f>
        <v>51.064779874213833</v>
      </c>
      <c r="AK64" s="84">
        <f>IFERROR('Price History'!Q3+(INDEX('Price History'!Q:Q,MATCH(9.99E+307,'Price History'!$A:$A))-'Price History'!Q3)*(ROW()-3)/(MATCH(9.99E+307,'Returns (Calc)'!$A:$A)-3),"")</f>
        <v>30.718993710691826</v>
      </c>
      <c r="AL64" s="84">
        <f>IFERROR('Price History'!R3+(INDEX('Price History'!R:R,MATCH(9.99E+307,'Price History'!$A:$A))-'Price History'!R3)*(ROW()-3)/(MATCH(9.99E+307,'Returns (Calc)'!$A:$A)-3),"")</f>
        <v>29.473962264150945</v>
      </c>
      <c r="AM64" s="84">
        <f>IFERROR('Price History'!S3+(INDEX('Price History'!S:S,MATCH(9.99E+307,'Price History'!$A:$A))-'Price History'!S3)*(ROW()-3)/(MATCH(9.99E+307,'Returns (Calc)'!$A:$A)-3),"")</f>
        <v>36.081257861635223</v>
      </c>
      <c r="AN64" s="84">
        <f>IFERROR('Price History'!T3+(INDEX('Price History'!T:T,MATCH(9.99E+307,'Price History'!$A:$A))-'Price History'!T3)*(ROW()-3)/(MATCH(9.99E+307,'Returns (Calc)'!$A:$A)-3),"")</f>
        <v>16.586037735849057</v>
      </c>
      <c r="AO64" s="85">
        <f>IFERROR('Price History'!V3+(INDEX('Price History'!V:V,MATCH(9.99E+307,'Price History'!$A:$A))-'Price History'!V3)*(ROW()-3)/(MATCH(9.99E+307,'Returns (Calc)'!$A:$A)-3),"")</f>
        <v>0</v>
      </c>
    </row>
    <row r="65" spans="1:41" ht="15" customHeight="1" x14ac:dyDescent="0.3">
      <c r="A65" s="81">
        <f>IF('Price History'!A66="","",'Price History'!A66)</f>
        <v>45590</v>
      </c>
      <c r="B65" s="82">
        <f>IFERROR(IF(OR(NOT(ISNUMBER('Price History'!B66)),NOT(ISNUMBER('Price History'!B65)),'Price History'!B65=0),"",'Price History'!B66/'Price History'!B65-1),"")</f>
        <v>-2.2590422307536828E-2</v>
      </c>
      <c r="C65" s="82">
        <f>IFERROR(IF(OR(NOT(ISNUMBER('Price History'!C66)),NOT(ISNUMBER('Price History'!C65)),'Price History'!C65=0),"",'Price History'!C66/'Price History'!C65-1),"")</f>
        <v>-1.9701492537313459E-2</v>
      </c>
      <c r="D65" s="82">
        <f>IFERROR(IF(OR(NOT(ISNUMBER('Price History'!D66)),NOT(ISNUMBER('Price History'!D65)),'Price History'!D65=0),"",'Price History'!D66/'Price History'!D65-1),"")</f>
        <v>-1.5983187235572238E-2</v>
      </c>
      <c r="E65" s="82">
        <f>IFERROR(IF(OR(NOT(ISNUMBER('Price History'!E66)),NOT(ISNUMBER('Price History'!E65)),'Price History'!E65=0),"",'Price History'!E66/'Price History'!E65-1),"")</f>
        <v>-3.8301184056923621E-2</v>
      </c>
      <c r="F65" s="82">
        <f>IFERROR(IF(OR(NOT(ISNUMBER('Price History'!F66)),NOT(ISNUMBER('Price History'!F65)),'Price History'!F65=0),"",'Price History'!F66/'Price History'!F65-1),"")</f>
        <v>-3.0693835439773109E-2</v>
      </c>
      <c r="G65" s="82">
        <f>IFERROR(IF(OR(NOT(ISNUMBER('Price History'!G66)),NOT(ISNUMBER('Price History'!G65)),'Price History'!G65=0),"",'Price History'!G66/'Price History'!G65-1),"")</f>
        <v>-7.9587324981575946E-3</v>
      </c>
      <c r="H65" s="82">
        <f>IFERROR(IF(OR(NOT(ISNUMBER('Price History'!H66)),NOT(ISNUMBER('Price History'!H65)),'Price History'!H65=0),"",'Price History'!H66/'Price History'!H65-1),"")</f>
        <v>-2.9149797570850233E-2</v>
      </c>
      <c r="I65" s="82">
        <f>IFERROR(IF(OR(NOT(ISNUMBER('Price History'!I66)),NOT(ISNUMBER('Price History'!I65)),'Price History'!I65=0),"",'Price History'!I66/'Price History'!I65-1),"")</f>
        <v>2.565217391304353E-2</v>
      </c>
      <c r="J65" s="82">
        <f>IFERROR(IF(OR(NOT(ISNUMBER('Price History'!J66)),NOT(ISNUMBER('Price History'!J65)),'Price History'!J65=0),"",'Price History'!J66/'Price History'!J65-1),"")</f>
        <v>-4.0489795918367322E-2</v>
      </c>
      <c r="K65" s="82">
        <f>IFERROR(IF(OR(NOT(ISNUMBER('Price History'!K66)),NOT(ISNUMBER('Price History'!K65)),'Price History'!K65=0),"",'Price History'!K66/'Price History'!K65-1),"")</f>
        <v>4.3984175005818082E-2</v>
      </c>
      <c r="L65" s="82">
        <f>IFERROR(IF(OR(NOT(ISNUMBER('Price History'!L66)),NOT(ISNUMBER('Price History'!L65)),'Price History'!L65=0),"",'Price History'!L66/'Price History'!L65-1),"")</f>
        <v>1.3248331507122124E-2</v>
      </c>
      <c r="M65" s="82">
        <f>IFERROR(IF(OR(NOT(ISNUMBER('Price History'!M66)),NOT(ISNUMBER('Price History'!M65)),'Price History'!M65=0),"",'Price History'!M66/'Price History'!M65-1),"")</f>
        <v>-7.1269487750558191E-4</v>
      </c>
      <c r="N65" s="82">
        <f>IFERROR(IF(OR(NOT(ISNUMBER('Price History'!N66)),NOT(ISNUMBER('Price History'!N65)),'Price History'!N65=0),"",'Price History'!N66/'Price History'!N65-1),"")</f>
        <v>-1.0973084886128359E-2</v>
      </c>
      <c r="O65" s="82">
        <f>IFERROR(IF(OR(NOT(ISNUMBER('Price History'!O66)),NOT(ISNUMBER('Price History'!O65)),'Price History'!O65=0),"",'Price History'!O66/'Price History'!O65-1),"")</f>
        <v>-3.3302780323861914E-2</v>
      </c>
      <c r="P65" s="82" t="str">
        <f>IFERROR(IF(OR(NOT(ISNUMBER('Price History'!P66)),NOT(ISNUMBER('Price History'!P65)),'Price History'!P65=0),"",'Price History'!P66/'Price History'!P65-1),"")</f>
        <v/>
      </c>
      <c r="Q65" s="82">
        <f>IFERROR(IF(OR(NOT(ISNUMBER('Price History'!Q66)),NOT(ISNUMBER('Price History'!Q65)),'Price History'!Q65=0),"",'Price History'!Q66/'Price History'!Q65-1),"")</f>
        <v>-1.7383059418457636E-3</v>
      </c>
      <c r="R65" s="82">
        <f>IFERROR(IF(OR(NOT(ISNUMBER('Price History'!R66)),NOT(ISNUMBER('Price History'!R65)),'Price History'!R65=0),"",'Price History'!R66/'Price History'!R65-1),"")</f>
        <v>2.3520897412701025E-3</v>
      </c>
      <c r="S65" s="82">
        <f>IFERROR(IF(OR(NOT(ISNUMBER('Price History'!S66)),NOT(ISNUMBER('Price History'!S65)),'Price History'!S65=0),"",'Price History'!S66/'Price History'!S65-1),"")</f>
        <v>-1.4669926650366705E-2</v>
      </c>
      <c r="T65" s="82">
        <f>IFERROR(IF(OR(NOT(ISNUMBER('Price History'!T66)),NOT(ISNUMBER('Price History'!T65)),'Price History'!T65=0),"",'Price History'!T66/'Price History'!T65-1),"")</f>
        <v>-1.9236460491269591E-2</v>
      </c>
      <c r="U65" s="82" t="str">
        <f>IFERROR(IF(OR(NOT(ISNUMBER('Price History'!U66)),NOT(ISNUMBER('Price History'!U65)),'Price History'!U65=0),"",'Price History'!U66/'Price History'!U65-1),"")</f>
        <v/>
      </c>
      <c r="V65" s="83">
        <f>IFERROR(IF(OR(NOT(ISNUMBER('Price History'!V66)),NOT(ISNUMBER('Price History'!V65)),'Price History'!V65=0),"",'Price History'!V66/'Price History'!V65-1),"")</f>
        <v>-3.0562347188264005E-2</v>
      </c>
      <c r="W65" s="84" t="str">
        <f>IFERROR('Price History'!B3+(INDEX('Price History'!B:B,MATCH(9.99E+307,'Price History'!$A:$A))-'Price History'!B3)*(ROW()-3)/(MATCH(9.99E+307,'Returns (Calc)'!$A:$A)-3),"")</f>
        <v/>
      </c>
      <c r="X65" s="84">
        <f>IFERROR('Price History'!C3+(INDEX('Price History'!C:C,MATCH(9.99E+307,'Price History'!$A:$A))-'Price History'!C3)*(ROW()-3)/(MATCH(9.99E+307,'Returns (Calc)'!$A:$A)-3),"")</f>
        <v>26.684150943396229</v>
      </c>
      <c r="Y65" s="84">
        <f>IFERROR('Price History'!D3+(INDEX('Price History'!D:D,MATCH(9.99E+307,'Price History'!$A:$A))-'Price History'!D3)*(ROW()-3)/(MATCH(9.99E+307,'Returns (Calc)'!$A:$A)-3),"")</f>
        <v>403.72742138364777</v>
      </c>
      <c r="Z65" s="84">
        <f>IFERROR('Price History'!E3+(INDEX('Price History'!E:E,MATCH(9.99E+307,'Price History'!$A:$A))-'Price History'!E3)*(ROW()-3)/(MATCH(9.99E+307,'Returns (Calc)'!$A:$A)-3),"")</f>
        <v>50.623018867924529</v>
      </c>
      <c r="AA65" s="84">
        <f>IFERROR('Price History'!F3+(INDEX('Price History'!F:F,MATCH(9.99E+307,'Price History'!$A:$A))-'Price History'!F3)*(ROW()-3)/(MATCH(9.99E+307,'Returns (Calc)'!$A:$A)-3),"")</f>
        <v>22.608930817610066</v>
      </c>
      <c r="AB65" s="84">
        <f>IFERROR('Price History'!G3+(INDEX('Price History'!G:G,MATCH(9.99E+307,'Price History'!$A:$A))-'Price History'!G3)*(ROW()-3)/(MATCH(9.99E+307,'Returns (Calc)'!$A:$A)-3),"")</f>
        <v>29.222012578616354</v>
      </c>
      <c r="AC65" s="84">
        <f>IFERROR('Price History'!H3+(INDEX('Price History'!H:H,MATCH(9.99E+307,'Price History'!$A:$A))-'Price History'!H3)*(ROW()-3)/(MATCH(9.99E+307,'Returns (Calc)'!$A:$A)-3),"")</f>
        <v>39.269748427672958</v>
      </c>
      <c r="AD65" s="84">
        <f>IFERROR('Price History'!I3+(INDEX('Price History'!I:I,MATCH(9.99E+307,'Price History'!$A:$A))-'Price History'!I3)*(ROW()-3)/(MATCH(9.99E+307,'Returns (Calc)'!$A:$A)-3),"")</f>
        <v>24.921069182389935</v>
      </c>
      <c r="AE65" s="84">
        <f>IFERROR('Price History'!J3+(INDEX('Price History'!J:J,MATCH(9.99E+307,'Price History'!$A:$A))-'Price History'!J3)*(ROW()-3)/(MATCH(9.99E+307,'Returns (Calc)'!$A:$A)-3),"")</f>
        <v>75.348867924528307</v>
      </c>
      <c r="AF65" s="84">
        <f>IFERROR('Price History'!K3+(INDEX('Price History'!K:K,MATCH(9.99E+307,'Price History'!$A:$A))-'Price History'!K3)*(ROW()-3)/(MATCH(9.99E+307,'Returns (Calc)'!$A:$A)-3),"")</f>
        <v>9.4010691823899375</v>
      </c>
      <c r="AG65" s="84">
        <f>IFERROR('Price History'!L3+(INDEX('Price History'!L:L,MATCH(9.99E+307,'Price History'!$A:$A))-'Price History'!L3)*(ROW()-3)/(MATCH(9.99E+307,'Returns (Calc)'!$A:$A)-3),"")</f>
        <v>56.119685534591191</v>
      </c>
      <c r="AH65" s="84">
        <f>IFERROR('Price History'!M3+(INDEX('Price History'!M:M,MATCH(9.99E+307,'Price History'!$A:$A))-'Price History'!M3)*(ROW()-3)/(MATCH(9.99E+307,'Returns (Calc)'!$A:$A)-3),"")</f>
        <v>20.443207547169809</v>
      </c>
      <c r="AI65" s="84">
        <f>IFERROR('Price History'!N3+(INDEX('Price History'!N:N,MATCH(9.99E+307,'Price History'!$A:$A))-'Price History'!N3)*(ROW()-3)/(MATCH(9.99E+307,'Returns (Calc)'!$A:$A)-3),"")</f>
        <v>213.43660377358492</v>
      </c>
      <c r="AJ65" s="84">
        <f>IFERROR('Price History'!O3+(INDEX('Price History'!O:O,MATCH(9.99E+307,'Price History'!$A:$A))-'Price History'!O3)*(ROW()-3)/(MATCH(9.99E+307,'Returns (Calc)'!$A:$A)-3),"")</f>
        <v>50.543710691823897</v>
      </c>
      <c r="AK65" s="84">
        <f>IFERROR('Price History'!Q3+(INDEX('Price History'!Q:Q,MATCH(9.99E+307,'Price History'!$A:$A))-'Price History'!Q3)*(ROW()-3)/(MATCH(9.99E+307,'Returns (Calc)'!$A:$A)-3),"")</f>
        <v>30.405534591194968</v>
      </c>
      <c r="AL65" s="84">
        <f>IFERROR('Price History'!R3+(INDEX('Price History'!R:R,MATCH(9.99E+307,'Price History'!$A:$A))-'Price History'!R3)*(ROW()-3)/(MATCH(9.99E+307,'Returns (Calc)'!$A:$A)-3),"")</f>
        <v>29.17320754716981</v>
      </c>
      <c r="AM65" s="84">
        <f>IFERROR('Price History'!S3+(INDEX('Price History'!S:S,MATCH(9.99E+307,'Price History'!$A:$A))-'Price History'!S3)*(ROW()-3)/(MATCH(9.99E+307,'Returns (Calc)'!$A:$A)-3),"")</f>
        <v>35.713081761006293</v>
      </c>
      <c r="AN65" s="84">
        <f>IFERROR('Price History'!T3+(INDEX('Price History'!T:T,MATCH(9.99E+307,'Price History'!$A:$A))-'Price History'!T3)*(ROW()-3)/(MATCH(9.99E+307,'Returns (Calc)'!$A:$A)-3),"")</f>
        <v>16.416792452830187</v>
      </c>
      <c r="AO65" s="85">
        <f>IFERROR('Price History'!V3+(INDEX('Price History'!V:V,MATCH(9.99E+307,'Price History'!$A:$A))-'Price History'!V3)*(ROW()-3)/(MATCH(9.99E+307,'Returns (Calc)'!$A:$A)-3),"")</f>
        <v>0</v>
      </c>
    </row>
    <row r="66" spans="1:41" ht="15" customHeight="1" x14ac:dyDescent="0.3">
      <c r="A66" s="81">
        <f>IF('Price History'!A67="","",'Price History'!A67)</f>
        <v>45597</v>
      </c>
      <c r="B66" s="82">
        <f>IFERROR(IF(OR(NOT(ISNUMBER('Price History'!B67)),NOT(ISNUMBER('Price History'!B66)),'Price History'!B66=0),"",'Price History'!B67/'Price History'!B66-1),"")</f>
        <v>-1.901926734474535E-3</v>
      </c>
      <c r="C66" s="82">
        <f>IFERROR(IF(OR(NOT(ISNUMBER('Price History'!C67)),NOT(ISNUMBER('Price History'!C66)),'Price History'!C66=0),"",'Price History'!C67/'Price History'!C66-1),"")</f>
        <v>2.0300446609833322E-4</v>
      </c>
      <c r="D66" s="82">
        <f>IFERROR(IF(OR(NOT(ISNUMBER('Price History'!D67)),NOT(ISNUMBER('Price History'!D66)),'Price History'!D66=0),"",'Price History'!D67/'Price History'!D66-1),"")</f>
        <v>-5.1946044681748016E-2</v>
      </c>
      <c r="E66" s="82">
        <f>IFERROR(IF(OR(NOT(ISNUMBER('Price History'!E67)),NOT(ISNUMBER('Price History'!E66)),'Price History'!E66=0),"",'Price History'!E67/'Price History'!E66-1),"")</f>
        <v>-2.3583815028901833E-2</v>
      </c>
      <c r="F66" s="82">
        <f>IFERROR(IF(OR(NOT(ISNUMBER('Price History'!F67)),NOT(ISNUMBER('Price History'!F66)),'Price History'!F66=0),"",'Price History'!F67/'Price History'!F66-1),"")</f>
        <v>8.2490686535392488E-3</v>
      </c>
      <c r="G66" s="82">
        <f>IFERROR(IF(OR(NOT(ISNUMBER('Price History'!G67)),NOT(ISNUMBER('Price History'!G66)),'Price History'!G66=0),"",'Price History'!G67/'Price History'!G66-1),"")</f>
        <v>-5.4969543901353113E-3</v>
      </c>
      <c r="H66" s="82">
        <f>IFERROR(IF(OR(NOT(ISNUMBER('Price History'!H67)),NOT(ISNUMBER('Price History'!H66)),'Price History'!H66=0),"",'Price History'!H67/'Price History'!H66-1),"")</f>
        <v>-7.5803910666295882E-2</v>
      </c>
      <c r="I66" s="82">
        <f>IFERROR(IF(OR(NOT(ISNUMBER('Price History'!I67)),NOT(ISNUMBER('Price History'!I66)),'Price History'!I66=0),"",'Price History'!I67/'Price History'!I66-1),"")</f>
        <v>-4.3379963261268806E-2</v>
      </c>
      <c r="J66" s="82">
        <f>IFERROR(IF(OR(NOT(ISNUMBER('Price History'!J67)),NOT(ISNUMBER('Price History'!J66)),'Price History'!J66=0),"",'Price History'!J67/'Price History'!J66-1),"")</f>
        <v>-3.5222052067381271E-2</v>
      </c>
      <c r="K66" s="82">
        <f>IFERROR(IF(OR(NOT(ISNUMBER('Price History'!K67)),NOT(ISNUMBER('Price History'!K66)),'Price History'!K66=0),"",'Price History'!K67/'Price History'!K66-1),"")</f>
        <v>-6.553722692822106E-2</v>
      </c>
      <c r="L66" s="82">
        <f>IFERROR(IF(OR(NOT(ISNUMBER('Price History'!L67)),NOT(ISNUMBER('Price History'!L66)),'Price History'!L66=0),"",'Price History'!L67/'Price History'!L66-1),"")</f>
        <v>-5.1563114431773527E-2</v>
      </c>
      <c r="M66" s="82">
        <f>IFERROR(IF(OR(NOT(ISNUMBER('Price History'!M67)),NOT(ISNUMBER('Price History'!M66)),'Price History'!M66=0),"",'Price History'!M67/'Price History'!M66-1),"")</f>
        <v>-4.6982259071052801E-2</v>
      </c>
      <c r="N66" s="82">
        <f>IFERROR(IF(OR(NOT(ISNUMBER('Price History'!N67)),NOT(ISNUMBER('Price History'!N66)),'Price History'!N66=0),"",'Price History'!N67/'Price History'!N66-1),"")</f>
        <v>-1.3774335356918521E-2</v>
      </c>
      <c r="O66" s="82">
        <f>IFERROR(IF(OR(NOT(ISNUMBER('Price History'!O67)),NOT(ISNUMBER('Price History'!O66)),'Price History'!O66=0),"",'Price History'!O67/'Price History'!O66-1),"")</f>
        <v>-2.4230931310578185E-3</v>
      </c>
      <c r="P66" s="82" t="str">
        <f>IFERROR(IF(OR(NOT(ISNUMBER('Price History'!P67)),NOT(ISNUMBER('Price History'!P66)),'Price History'!P66=0),"",'Price History'!P67/'Price History'!P66-1),"")</f>
        <v/>
      </c>
      <c r="Q66" s="82">
        <f>IFERROR(IF(OR(NOT(ISNUMBER('Price History'!Q67)),NOT(ISNUMBER('Price History'!Q66)),'Price History'!Q66=0),"",'Price History'!Q67/'Price History'!Q66-1),"")</f>
        <v>-1.2347633370270672E-2</v>
      </c>
      <c r="R66" s="82">
        <f>IFERROR(IF(OR(NOT(ISNUMBER('Price History'!R67)),NOT(ISNUMBER('Price History'!R66)),'Price History'!R66=0),"",'Price History'!R67/'Price History'!R66-1),"")</f>
        <v>-1.7328519855595692E-2</v>
      </c>
      <c r="S66" s="82">
        <f>IFERROR(IF(OR(NOT(ISNUMBER('Price History'!S67)),NOT(ISNUMBER('Price History'!S66)),'Price History'!S66=0),"",'Price History'!S67/'Price History'!S66-1),"")</f>
        <v>-1.3701585931599869E-2</v>
      </c>
      <c r="T66" s="82">
        <f>IFERROR(IF(OR(NOT(ISNUMBER('Price History'!T67)),NOT(ISNUMBER('Price History'!T66)),'Price History'!T66=0),"",'Price History'!T67/'Price History'!T66-1),"")</f>
        <v>6.0350030174993741E-4</v>
      </c>
      <c r="U66" s="82" t="str">
        <f>IFERROR(IF(OR(NOT(ISNUMBER('Price History'!U67)),NOT(ISNUMBER('Price History'!U66)),'Price History'!U66=0),"",'Price History'!U67/'Price History'!U66-1),"")</f>
        <v/>
      </c>
      <c r="V66" s="83">
        <f>IFERROR(IF(OR(NOT(ISNUMBER('Price History'!V67)),NOT(ISNUMBER('Price History'!V66)),'Price History'!V66=0),"",'Price History'!V67/'Price History'!V66-1),"")</f>
        <v>3.1958205728697564E-2</v>
      </c>
      <c r="W66" s="84" t="str">
        <f>IFERROR('Price History'!B3+(INDEX('Price History'!B:B,MATCH(9.99E+307,'Price History'!$A:$A))-'Price History'!B3)*(ROW()-3)/(MATCH(9.99E+307,'Returns (Calc)'!$A:$A)-3),"")</f>
        <v/>
      </c>
      <c r="X66" s="84">
        <f>IFERROR('Price History'!C3+(INDEX('Price History'!C:C,MATCH(9.99E+307,'Price History'!$A:$A))-'Price History'!C3)*(ROW()-3)/(MATCH(9.99E+307,'Returns (Calc)'!$A:$A)-3),"")</f>
        <v>26.409056603773585</v>
      </c>
      <c r="Y66" s="84">
        <f>IFERROR('Price History'!D3+(INDEX('Price History'!D:D,MATCH(9.99E+307,'Price History'!$A:$A))-'Price History'!D3)*(ROW()-3)/(MATCH(9.99E+307,'Returns (Calc)'!$A:$A)-3),"")</f>
        <v>399.56528301886789</v>
      </c>
      <c r="Z66" s="84">
        <f>IFERROR('Price History'!E3+(INDEX('Price History'!E:E,MATCH(9.99E+307,'Price History'!$A:$A))-'Price History'!E3)*(ROW()-3)/(MATCH(9.99E+307,'Returns (Calc)'!$A:$A)-3),"")</f>
        <v>50.101132075471696</v>
      </c>
      <c r="AA66" s="84">
        <f>IFERROR('Price History'!F3+(INDEX('Price History'!F:F,MATCH(9.99E+307,'Price History'!$A:$A))-'Price History'!F3)*(ROW()-3)/(MATCH(9.99E+307,'Returns (Calc)'!$A:$A)-3),"")</f>
        <v>22.375849056603776</v>
      </c>
      <c r="AB66" s="84">
        <f>IFERROR('Price History'!G3+(INDEX('Price History'!G:G,MATCH(9.99E+307,'Price History'!$A:$A))-'Price History'!G3)*(ROW()-3)/(MATCH(9.99E+307,'Returns (Calc)'!$A:$A)-3),"")</f>
        <v>28.920754716981133</v>
      </c>
      <c r="AC66" s="84">
        <f>IFERROR('Price History'!H3+(INDEX('Price History'!H:H,MATCH(9.99E+307,'Price History'!$A:$A))-'Price History'!H3)*(ROW()-3)/(MATCH(9.99E+307,'Returns (Calc)'!$A:$A)-3),"")</f>
        <v>38.86490566037736</v>
      </c>
      <c r="AD66" s="84">
        <f>IFERROR('Price History'!I3+(INDEX('Price History'!I:I,MATCH(9.99E+307,'Price History'!$A:$A))-'Price History'!I3)*(ROW()-3)/(MATCH(9.99E+307,'Returns (Calc)'!$A:$A)-3),"")</f>
        <v>24.664150943396226</v>
      </c>
      <c r="AE66" s="84">
        <f>IFERROR('Price History'!J3+(INDEX('Price History'!J:J,MATCH(9.99E+307,'Price History'!$A:$A))-'Price History'!J3)*(ROW()-3)/(MATCH(9.99E+307,'Returns (Calc)'!$A:$A)-3),"")</f>
        <v>74.572075471698128</v>
      </c>
      <c r="AF66" s="84">
        <f>IFERROR('Price History'!K3+(INDEX('Price History'!K:K,MATCH(9.99E+307,'Price History'!$A:$A))-'Price History'!K3)*(ROW()-3)/(MATCH(9.99E+307,'Returns (Calc)'!$A:$A)-3),"")</f>
        <v>9.3041509433962268</v>
      </c>
      <c r="AG66" s="84">
        <f>IFERROR('Price History'!L3+(INDEX('Price History'!L:L,MATCH(9.99E+307,'Price History'!$A:$A))-'Price History'!L3)*(ROW()-3)/(MATCH(9.99E+307,'Returns (Calc)'!$A:$A)-3),"")</f>
        <v>55.541132075471694</v>
      </c>
      <c r="AH66" s="84">
        <f>IFERROR('Price History'!M3+(INDEX('Price History'!M:M,MATCH(9.99E+307,'Price History'!$A:$A))-'Price History'!M3)*(ROW()-3)/(MATCH(9.99E+307,'Returns (Calc)'!$A:$A)-3),"")</f>
        <v>20.232452830188677</v>
      </c>
      <c r="AI66" s="84">
        <f>IFERROR('Price History'!N3+(INDEX('Price History'!N:N,MATCH(9.99E+307,'Price History'!$A:$A))-'Price History'!N3)*(ROW()-3)/(MATCH(9.99E+307,'Returns (Calc)'!$A:$A)-3),"")</f>
        <v>211.23622641509436</v>
      </c>
      <c r="AJ66" s="84">
        <f>IFERROR('Price History'!O3+(INDEX('Price History'!O:O,MATCH(9.99E+307,'Price History'!$A:$A))-'Price History'!O3)*(ROW()-3)/(MATCH(9.99E+307,'Returns (Calc)'!$A:$A)-3),"")</f>
        <v>50.02264150943396</v>
      </c>
      <c r="AK66" s="84">
        <f>IFERROR('Price History'!Q3+(INDEX('Price History'!Q:Q,MATCH(9.99E+307,'Price History'!$A:$A))-'Price History'!Q3)*(ROW()-3)/(MATCH(9.99E+307,'Returns (Calc)'!$A:$A)-3),"")</f>
        <v>30.092075471698116</v>
      </c>
      <c r="AL66" s="84">
        <f>IFERROR('Price History'!R3+(INDEX('Price History'!R:R,MATCH(9.99E+307,'Price History'!$A:$A))-'Price History'!R3)*(ROW()-3)/(MATCH(9.99E+307,'Returns (Calc)'!$A:$A)-3),"")</f>
        <v>28.872452830188681</v>
      </c>
      <c r="AM66" s="84">
        <f>IFERROR('Price History'!S3+(INDEX('Price History'!S:S,MATCH(9.99E+307,'Price History'!$A:$A))-'Price History'!S3)*(ROW()-3)/(MATCH(9.99E+307,'Returns (Calc)'!$A:$A)-3),"")</f>
        <v>35.344905660377357</v>
      </c>
      <c r="AN66" s="84">
        <f>IFERROR('Price History'!T3+(INDEX('Price History'!T:T,MATCH(9.99E+307,'Price History'!$A:$A))-'Price History'!T3)*(ROW()-3)/(MATCH(9.99E+307,'Returns (Calc)'!$A:$A)-3),"")</f>
        <v>16.24754716981132</v>
      </c>
      <c r="AO66" s="85">
        <f>IFERROR('Price History'!V3+(INDEX('Price History'!V:V,MATCH(9.99E+307,'Price History'!$A:$A))-'Price History'!V3)*(ROW()-3)/(MATCH(9.99E+307,'Returns (Calc)'!$A:$A)-3),"")</f>
        <v>0</v>
      </c>
    </row>
    <row r="67" spans="1:41" ht="15" customHeight="1" x14ac:dyDescent="0.3">
      <c r="A67" s="81">
        <f>IF('Price History'!A68="","",'Price History'!A68)</f>
        <v>45604</v>
      </c>
      <c r="B67" s="82">
        <f>IFERROR(IF(OR(NOT(ISNUMBER('Price History'!B68)),NOT(ISNUMBER('Price History'!B67)),'Price History'!B67=0),"",'Price History'!B68/'Price History'!B67-1),"")</f>
        <v>2.4606462303231158E-2</v>
      </c>
      <c r="C67" s="82">
        <f>IFERROR(IF(OR(NOT(ISNUMBER('Price History'!C68)),NOT(ISNUMBER('Price History'!C67)),'Price History'!C67=0),"",'Price History'!C68/'Price History'!C67-1),"")</f>
        <v>1.5932616196468352E-2</v>
      </c>
      <c r="D67" s="82">
        <f>IFERROR(IF(OR(NOT(ISNUMBER('Price History'!D68)),NOT(ISNUMBER('Price History'!D67)),'Price History'!D67=0),"",'Price History'!D68/'Price History'!D67-1),"")</f>
        <v>-7.795710876943307E-3</v>
      </c>
      <c r="E67" s="82">
        <f>IFERROR(IF(OR(NOT(ISNUMBER('Price History'!E68)),NOT(ISNUMBER('Price History'!E67)),'Price History'!E67=0),"",'Price History'!E68/'Price History'!E67-1),"")</f>
        <v>8.7141842292209226E-2</v>
      </c>
      <c r="F67" s="82">
        <f>IFERROR(IF(OR(NOT(ISNUMBER('Price History'!F68)),NOT(ISNUMBER('Price History'!F67)),'Price History'!F67=0),"",'Price History'!F68/'Price History'!F67-1),"")</f>
        <v>8.8809712325151891E-2</v>
      </c>
      <c r="G67" s="82">
        <f>IFERROR(IF(OR(NOT(ISNUMBER('Price History'!G68)),NOT(ISNUMBER('Price History'!G67)),'Price History'!G67=0),"",'Price History'!G68/'Price History'!G67-1),"")</f>
        <v>2.6889752016731272E-2</v>
      </c>
      <c r="H67" s="82">
        <f>IFERROR(IF(OR(NOT(ISNUMBER('Price History'!H68)),NOT(ISNUMBER('Price History'!H67)),'Price History'!H67=0),"",'Price History'!H68/'Price History'!H67-1),"")</f>
        <v>0.12202947959490618</v>
      </c>
      <c r="I67" s="82">
        <f>IFERROR(IF(OR(NOT(ISNUMBER('Price History'!I68)),NOT(ISNUMBER('Price History'!I67)),'Price History'!I67=0),"",'Price History'!I68/'Price History'!I67-1),"")</f>
        <v>9.0324963072378139E-2</v>
      </c>
      <c r="J67" s="82">
        <f>IFERROR(IF(OR(NOT(ISNUMBER('Price History'!J68)),NOT(ISNUMBER('Price History'!J67)),'Price History'!J67=0),"",'Price History'!J68/'Price History'!J67-1),"")</f>
        <v>2.1428571428571352E-2</v>
      </c>
      <c r="K67" s="82">
        <f>IFERROR(IF(OR(NOT(ISNUMBER('Price History'!K68)),NOT(ISNUMBER('Price History'!K67)),'Price History'!K67=0),"",'Price History'!K68/'Price History'!K67-1),"")</f>
        <v>0.39289122137404586</v>
      </c>
      <c r="L67" s="82">
        <f>IFERROR(IF(OR(NOT(ISNUMBER('Price History'!L68)),NOT(ISNUMBER('Price History'!L67)),'Price History'!L67=0),"",'Price History'!L68/'Price History'!L67-1),"")</f>
        <v>4.275719098211983E-2</v>
      </c>
      <c r="M67" s="82">
        <f>IFERROR(IF(OR(NOT(ISNUMBER('Price History'!M68)),NOT(ISNUMBER('Price History'!M67)),'Price History'!M67=0),"",'Price History'!M68/'Price History'!M67-1),"")</f>
        <v>0.17633302151543484</v>
      </c>
      <c r="N67" s="82">
        <f>IFERROR(IF(OR(NOT(ISNUMBER('Price History'!N68)),NOT(ISNUMBER('Price History'!N67)),'Price History'!N67=0),"",'Price History'!N68/'Price History'!N67-1),"")</f>
        <v>9.6833078621158197E-2</v>
      </c>
      <c r="O67" s="82">
        <f>IFERROR(IF(OR(NOT(ISNUMBER('Price History'!O68)),NOT(ISNUMBER('Price History'!O67)),'Price History'!O67=0),"",'Price History'!O68/'Price History'!O67-1),"")</f>
        <v>8.8604921322209318E-2</v>
      </c>
      <c r="P67" s="82" t="str">
        <f>IFERROR(IF(OR(NOT(ISNUMBER('Price History'!P68)),NOT(ISNUMBER('Price History'!P67)),'Price History'!P67=0),"",'Price History'!P68/'Price History'!P67-1),"")</f>
        <v/>
      </c>
      <c r="Q67" s="82">
        <f>IFERROR(IF(OR(NOT(ISNUMBER('Price History'!Q68)),NOT(ISNUMBER('Price History'!Q67)),'Price History'!Q67=0),"",'Price History'!Q68/'Price History'!Q67-1),"")</f>
        <v>4.1673345087354097E-3</v>
      </c>
      <c r="R67" s="82">
        <f>IFERROR(IF(OR(NOT(ISNUMBER('Price History'!R68)),NOT(ISNUMBER('Price History'!R67)),'Price History'!R67=0),"",'Price History'!R68/'Price History'!R67-1),"")</f>
        <v>3.8574577516532038E-2</v>
      </c>
      <c r="S67" s="82">
        <f>IFERROR(IF(OR(NOT(ISNUMBER('Price History'!S68)),NOT(ISNUMBER('Price History'!S67)),'Price History'!S67=0),"",'Price History'!S68/'Price History'!S67-1),"")</f>
        <v>5.9833734412601203E-2</v>
      </c>
      <c r="T67" s="82">
        <f>IFERROR(IF(OR(NOT(ISNUMBER('Price History'!T68)),NOT(ISNUMBER('Price History'!T67)),'Price History'!T67=0),"",'Price History'!T68/'Price History'!T67-1),"")</f>
        <v>7.7503015681543941E-2</v>
      </c>
      <c r="U67" s="82" t="str">
        <f>IFERROR(IF(OR(NOT(ISNUMBER('Price History'!U68)),NOT(ISNUMBER('Price History'!U67)),'Price History'!U67=0),"",'Price History'!U68/'Price History'!U67-1),"")</f>
        <v/>
      </c>
      <c r="V67" s="83">
        <f>IFERROR(IF(OR(NOT(ISNUMBER('Price History'!V68)),NOT(ISNUMBER('Price History'!V67)),'Price History'!V67=0),"",'Price History'!V68/'Price History'!V67-1),"")</f>
        <v>5.8934431953075794E-2</v>
      </c>
      <c r="W67" s="84" t="str">
        <f>IFERROR('Price History'!B3+(INDEX('Price History'!B:B,MATCH(9.99E+307,'Price History'!$A:$A))-'Price History'!B3)*(ROW()-3)/(MATCH(9.99E+307,'Returns (Calc)'!$A:$A)-3),"")</f>
        <v/>
      </c>
      <c r="X67" s="84">
        <f>IFERROR('Price History'!C3+(INDEX('Price History'!C:C,MATCH(9.99E+307,'Price History'!$A:$A))-'Price History'!C3)*(ROW()-3)/(MATCH(9.99E+307,'Returns (Calc)'!$A:$A)-3),"")</f>
        <v>26.133962264150945</v>
      </c>
      <c r="Y67" s="84">
        <f>IFERROR('Price History'!D3+(INDEX('Price History'!D:D,MATCH(9.99E+307,'Price History'!$A:$A))-'Price History'!D3)*(ROW()-3)/(MATCH(9.99E+307,'Returns (Calc)'!$A:$A)-3),"")</f>
        <v>395.40314465408801</v>
      </c>
      <c r="Z67" s="84">
        <f>IFERROR('Price History'!E3+(INDEX('Price History'!E:E,MATCH(9.99E+307,'Price History'!$A:$A))-'Price History'!E3)*(ROW()-3)/(MATCH(9.99E+307,'Returns (Calc)'!$A:$A)-3),"")</f>
        <v>49.579245283018871</v>
      </c>
      <c r="AA67" s="84">
        <f>IFERROR('Price History'!F3+(INDEX('Price History'!F:F,MATCH(9.99E+307,'Price History'!$A:$A))-'Price History'!F3)*(ROW()-3)/(MATCH(9.99E+307,'Returns (Calc)'!$A:$A)-3),"")</f>
        <v>22.142767295597487</v>
      </c>
      <c r="AB67" s="84">
        <f>IFERROR('Price History'!G3+(INDEX('Price History'!G:G,MATCH(9.99E+307,'Price History'!$A:$A))-'Price History'!G3)*(ROW()-3)/(MATCH(9.99E+307,'Returns (Calc)'!$A:$A)-3),"")</f>
        <v>28.619496855345911</v>
      </c>
      <c r="AC67" s="84">
        <f>IFERROR('Price History'!H3+(INDEX('Price History'!H:H,MATCH(9.99E+307,'Price History'!$A:$A))-'Price History'!H3)*(ROW()-3)/(MATCH(9.99E+307,'Returns (Calc)'!$A:$A)-3),"")</f>
        <v>38.460062893081762</v>
      </c>
      <c r="AD67" s="84">
        <f>IFERROR('Price History'!I3+(INDEX('Price History'!I:I,MATCH(9.99E+307,'Price History'!$A:$A))-'Price History'!I3)*(ROW()-3)/(MATCH(9.99E+307,'Returns (Calc)'!$A:$A)-3),"")</f>
        <v>24.407232704402517</v>
      </c>
      <c r="AE67" s="84">
        <f>IFERROR('Price History'!J3+(INDEX('Price History'!J:J,MATCH(9.99E+307,'Price History'!$A:$A))-'Price History'!J3)*(ROW()-3)/(MATCH(9.99E+307,'Returns (Calc)'!$A:$A)-3),"")</f>
        <v>73.795283018867934</v>
      </c>
      <c r="AF67" s="84">
        <f>IFERROR('Price History'!K3+(INDEX('Price History'!K:K,MATCH(9.99E+307,'Price History'!$A:$A))-'Price History'!K3)*(ROW()-3)/(MATCH(9.99E+307,'Returns (Calc)'!$A:$A)-3),"")</f>
        <v>9.2072327044025162</v>
      </c>
      <c r="AG67" s="84">
        <f>IFERROR('Price History'!L3+(INDEX('Price History'!L:L,MATCH(9.99E+307,'Price History'!$A:$A))-'Price History'!L3)*(ROW()-3)/(MATCH(9.99E+307,'Returns (Calc)'!$A:$A)-3),"")</f>
        <v>54.962578616352197</v>
      </c>
      <c r="AH67" s="84">
        <f>IFERROR('Price History'!M3+(INDEX('Price History'!M:M,MATCH(9.99E+307,'Price History'!$A:$A))-'Price History'!M3)*(ROW()-3)/(MATCH(9.99E+307,'Returns (Calc)'!$A:$A)-3),"")</f>
        <v>20.021698113207545</v>
      </c>
      <c r="AI67" s="84">
        <f>IFERROR('Price History'!N3+(INDEX('Price History'!N:N,MATCH(9.99E+307,'Price History'!$A:$A))-'Price History'!N3)*(ROW()-3)/(MATCH(9.99E+307,'Returns (Calc)'!$A:$A)-3),"")</f>
        <v>209.03584905660378</v>
      </c>
      <c r="AJ67" s="84">
        <f>IFERROR('Price History'!O3+(INDEX('Price History'!O:O,MATCH(9.99E+307,'Price History'!$A:$A))-'Price History'!O3)*(ROW()-3)/(MATCH(9.99E+307,'Returns (Calc)'!$A:$A)-3),"")</f>
        <v>49.501572327044023</v>
      </c>
      <c r="AK67" s="84">
        <f>IFERROR('Price History'!Q3+(INDEX('Price History'!Q:Q,MATCH(9.99E+307,'Price History'!$A:$A))-'Price History'!Q3)*(ROW()-3)/(MATCH(9.99E+307,'Returns (Calc)'!$A:$A)-3),"")</f>
        <v>29.778616352201261</v>
      </c>
      <c r="AL67" s="84">
        <f>IFERROR('Price History'!R3+(INDEX('Price History'!R:R,MATCH(9.99E+307,'Price History'!$A:$A))-'Price History'!R3)*(ROW()-3)/(MATCH(9.99E+307,'Returns (Calc)'!$A:$A)-3),"")</f>
        <v>28.571698113207546</v>
      </c>
      <c r="AM67" s="84">
        <f>IFERROR('Price History'!S3+(INDEX('Price History'!S:S,MATCH(9.99E+307,'Price History'!$A:$A))-'Price History'!S3)*(ROW()-3)/(MATCH(9.99E+307,'Returns (Calc)'!$A:$A)-3),"")</f>
        <v>34.976729559748428</v>
      </c>
      <c r="AN67" s="84">
        <f>IFERROR('Price History'!T3+(INDEX('Price History'!T:T,MATCH(9.99E+307,'Price History'!$A:$A))-'Price History'!T3)*(ROW()-3)/(MATCH(9.99E+307,'Returns (Calc)'!$A:$A)-3),"")</f>
        <v>16.078301886792453</v>
      </c>
      <c r="AO67" s="85">
        <f>IFERROR('Price History'!V3+(INDEX('Price History'!V:V,MATCH(9.99E+307,'Price History'!$A:$A))-'Price History'!V3)*(ROW()-3)/(MATCH(9.99E+307,'Returns (Calc)'!$A:$A)-3),"")</f>
        <v>0</v>
      </c>
    </row>
    <row r="68" spans="1:41" ht="15" customHeight="1" x14ac:dyDescent="0.3">
      <c r="A68" s="81">
        <f>IF('Price History'!A69="","",'Price History'!A69)</f>
        <v>45611</v>
      </c>
      <c r="B68" s="82">
        <f>IFERROR(IF(OR(NOT(ISNUMBER('Price History'!B69)),NOT(ISNUMBER('Price History'!B68)),'Price History'!B68=0),"",'Price History'!B69/'Price History'!B68-1),"")</f>
        <v>1.7566911943074359E-2</v>
      </c>
      <c r="C68" s="82">
        <f>IFERROR(IF(OR(NOT(ISNUMBER('Price History'!C69)),NOT(ISNUMBER('Price History'!C68)),'Price History'!C68=0),"",'Price History'!C69/'Price History'!C68-1),"")</f>
        <v>-6.5028468684447116E-2</v>
      </c>
      <c r="D68" s="82">
        <f>IFERROR(IF(OR(NOT(ISNUMBER('Price History'!D69)),NOT(ISNUMBER('Price History'!D68)),'Price History'!D68=0),"",'Price History'!D69/'Price History'!D68-1),"")</f>
        <v>-1.6191913005810576E-2</v>
      </c>
      <c r="E68" s="82">
        <f>IFERROR(IF(OR(NOT(ISNUMBER('Price History'!E69)),NOT(ISNUMBER('Price History'!E68)),'Price History'!E68=0),"",'Price History'!E69/'Price History'!E68-1),"")</f>
        <v>-0.10237421041167494</v>
      </c>
      <c r="F68" s="82">
        <f>IFERROR(IF(OR(NOT(ISNUMBER('Price History'!F69)),NOT(ISNUMBER('Price History'!F68)),'Price History'!F68=0),"",'Price History'!F69/'Price History'!F68-1),"")</f>
        <v>2.0361168343230984E-2</v>
      </c>
      <c r="G68" s="82">
        <f>IFERROR(IF(OR(NOT(ISNUMBER('Price History'!G69)),NOT(ISNUMBER('Price History'!G68)),'Price History'!G68=0),"",'Price History'!G69/'Price History'!G68-1),"")</f>
        <v>-0.10605178935117821</v>
      </c>
      <c r="H68" s="82">
        <f>IFERROR(IF(OR(NOT(ISNUMBER('Price History'!H69)),NOT(ISNUMBER('Price History'!H68)),'Price History'!H68=0),"",'Price History'!H69/'Price History'!H68-1),"")</f>
        <v>-0.13905272564789994</v>
      </c>
      <c r="I68" s="82">
        <f>IFERROR(IF(OR(NOT(ISNUMBER('Price History'!I69)),NOT(ISNUMBER('Price History'!I68)),'Price History'!I68=0),"",'Price History'!I69/'Price History'!I68-1),"")</f>
        <v>-3.8271354060827822E-2</v>
      </c>
      <c r="J68" s="82">
        <f>IFERROR(IF(OR(NOT(ISNUMBER('Price History'!J69)),NOT(ISNUMBER('Price History'!J68)),'Price History'!J68=0),"",'Price History'!J69/'Price History'!J68-1),"")</f>
        <v>-2.0806354139687455E-2</v>
      </c>
      <c r="K68" s="82">
        <f>IFERROR(IF(OR(NOT(ISNUMBER('Price History'!K69)),NOT(ISNUMBER('Price History'!K68)),'Price History'!K68=0),"",'Price History'!K69/'Price History'!K68-1),"")</f>
        <v>0.1263915053947593</v>
      </c>
      <c r="L68" s="82">
        <f>IFERROR(IF(OR(NOT(ISNUMBER('Price History'!L69)),NOT(ISNUMBER('Price History'!L68)),'Price History'!L68=0),"",'Price History'!L69/'Price History'!L68-1),"")</f>
        <v>-7.549701789264418E-2</v>
      </c>
      <c r="M68" s="82">
        <f>IFERROR(IF(OR(NOT(ISNUMBER('Price History'!M69)),NOT(ISNUMBER('Price History'!M68)),'Price History'!M68=0),"",'Price History'!M69/'Price History'!M68-1),"")</f>
        <v>-3.8807157057654029E-2</v>
      </c>
      <c r="N68" s="82">
        <f>IFERROR(IF(OR(NOT(ISNUMBER('Price History'!N69)),NOT(ISNUMBER('Price History'!N68)),'Price History'!N68=0),"",'Price History'!N69/'Price History'!N68-1),"")</f>
        <v>-9.8773077369663675E-2</v>
      </c>
      <c r="O68" s="82">
        <f>IFERROR(IF(OR(NOT(ISNUMBER('Price History'!O69)),NOT(ISNUMBER('Price History'!O68)),'Price History'!O68=0),"",'Price History'!O69/'Price History'!O68-1),"")</f>
        <v>-1.9402405898331421E-2</v>
      </c>
      <c r="P68" s="82" t="str">
        <f>IFERROR(IF(OR(NOT(ISNUMBER('Price History'!P69)),NOT(ISNUMBER('Price History'!P68)),'Price History'!P68=0),"",'Price History'!P69/'Price History'!P68-1),"")</f>
        <v/>
      </c>
      <c r="Q68" s="82">
        <f>IFERROR(IF(OR(NOT(ISNUMBER('Price History'!Q69)),NOT(ISNUMBER('Price History'!Q68)),'Price History'!Q68=0),"",'Price History'!Q69/'Price History'!Q68-1),"")</f>
        <v>-3.9904229848364281E-3</v>
      </c>
      <c r="R68" s="82">
        <f>IFERROR(IF(OR(NOT(ISNUMBER('Price History'!R69)),NOT(ISNUMBER('Price History'!R68)),'Price History'!R68=0),"",'Price History'!R69/'Price History'!R68-1),"")</f>
        <v>-1.6448532012734329E-2</v>
      </c>
      <c r="S68" s="82">
        <f>IFERROR(IF(OR(NOT(ISNUMBER('Price History'!S69)),NOT(ISNUMBER('Price History'!S68)),'Price History'!S68=0),"",'Price History'!S69/'Price History'!S68-1),"")</f>
        <v>-3.085973784704299E-2</v>
      </c>
      <c r="T68" s="82">
        <f>IFERROR(IF(OR(NOT(ISNUMBER('Price History'!T69)),NOT(ISNUMBER('Price History'!T68)),'Price History'!T68=0),"",'Price History'!T69/'Price History'!T68-1),"")</f>
        <v>-1.5393226980128683E-2</v>
      </c>
      <c r="U68" s="82" t="str">
        <f>IFERROR(IF(OR(NOT(ISNUMBER('Price History'!U69)),NOT(ISNUMBER('Price History'!U68)),'Price History'!U68=0),"",'Price History'!U69/'Price History'!U68-1),"")</f>
        <v/>
      </c>
      <c r="V68" s="83">
        <f>IFERROR(IF(OR(NOT(ISNUMBER('Price History'!V69)),NOT(ISNUMBER('Price History'!V68)),'Price History'!V68=0),"",'Price History'!V69/'Price History'!V68-1),"")</f>
        <v>7.6491922189252382E-3</v>
      </c>
      <c r="W68" s="84" t="str">
        <f>IFERROR('Price History'!B3+(INDEX('Price History'!B:B,MATCH(9.99E+307,'Price History'!$A:$A))-'Price History'!B3)*(ROW()-3)/(MATCH(9.99E+307,'Returns (Calc)'!$A:$A)-3),"")</f>
        <v/>
      </c>
      <c r="X68" s="84">
        <f>IFERROR('Price History'!C3+(INDEX('Price History'!C:C,MATCH(9.99E+307,'Price History'!$A:$A))-'Price History'!C3)*(ROW()-3)/(MATCH(9.99E+307,'Returns (Calc)'!$A:$A)-3),"")</f>
        <v>25.858867924528305</v>
      </c>
      <c r="Y68" s="84">
        <f>IFERROR('Price History'!D3+(INDEX('Price History'!D:D,MATCH(9.99E+307,'Price History'!$A:$A))-'Price History'!D3)*(ROW()-3)/(MATCH(9.99E+307,'Returns (Calc)'!$A:$A)-3),"")</f>
        <v>391.24100628930819</v>
      </c>
      <c r="Z68" s="84">
        <f>IFERROR('Price History'!E3+(INDEX('Price History'!E:E,MATCH(9.99E+307,'Price History'!$A:$A))-'Price History'!E3)*(ROW()-3)/(MATCH(9.99E+307,'Returns (Calc)'!$A:$A)-3),"")</f>
        <v>49.057358490566045</v>
      </c>
      <c r="AA68" s="84">
        <f>IFERROR('Price History'!F3+(INDEX('Price History'!F:F,MATCH(9.99E+307,'Price History'!$A:$A))-'Price History'!F3)*(ROW()-3)/(MATCH(9.99E+307,'Returns (Calc)'!$A:$A)-3),"")</f>
        <v>21.909685534591198</v>
      </c>
      <c r="AB68" s="84">
        <f>IFERROR('Price History'!G3+(INDEX('Price History'!G:G,MATCH(9.99E+307,'Price History'!$A:$A))-'Price History'!G3)*(ROW()-3)/(MATCH(9.99E+307,'Returns (Calc)'!$A:$A)-3),"")</f>
        <v>28.31823899371069</v>
      </c>
      <c r="AC68" s="84">
        <f>IFERROR('Price History'!H3+(INDEX('Price History'!H:H,MATCH(9.99E+307,'Price History'!$A:$A))-'Price History'!H3)*(ROW()-3)/(MATCH(9.99E+307,'Returns (Calc)'!$A:$A)-3),"")</f>
        <v>38.055220125786164</v>
      </c>
      <c r="AD68" s="84">
        <f>IFERROR('Price History'!I3+(INDEX('Price History'!I:I,MATCH(9.99E+307,'Price History'!$A:$A))-'Price History'!I3)*(ROW()-3)/(MATCH(9.99E+307,'Returns (Calc)'!$A:$A)-3),"")</f>
        <v>24.150314465408808</v>
      </c>
      <c r="AE68" s="84">
        <f>IFERROR('Price History'!J3+(INDEX('Price History'!J:J,MATCH(9.99E+307,'Price History'!$A:$A))-'Price History'!J3)*(ROW()-3)/(MATCH(9.99E+307,'Returns (Calc)'!$A:$A)-3),"")</f>
        <v>73.018490566037741</v>
      </c>
      <c r="AF68" s="84">
        <f>IFERROR('Price History'!K3+(INDEX('Price History'!K:K,MATCH(9.99E+307,'Price History'!$A:$A))-'Price History'!K3)*(ROW()-3)/(MATCH(9.99E+307,'Returns (Calc)'!$A:$A)-3),"")</f>
        <v>9.1103144654088055</v>
      </c>
      <c r="AG68" s="84">
        <f>IFERROR('Price History'!L3+(INDEX('Price History'!L:L,MATCH(9.99E+307,'Price History'!$A:$A))-'Price History'!L3)*(ROW()-3)/(MATCH(9.99E+307,'Returns (Calc)'!$A:$A)-3),"")</f>
        <v>54.384025157232706</v>
      </c>
      <c r="AH68" s="84">
        <f>IFERROR('Price History'!M3+(INDEX('Price History'!M:M,MATCH(9.99E+307,'Price History'!$A:$A))-'Price History'!M3)*(ROW()-3)/(MATCH(9.99E+307,'Returns (Calc)'!$A:$A)-3),"")</f>
        <v>19.810943396226413</v>
      </c>
      <c r="AI68" s="84">
        <f>IFERROR('Price History'!N3+(INDEX('Price History'!N:N,MATCH(9.99E+307,'Price History'!$A:$A))-'Price History'!N3)*(ROW()-3)/(MATCH(9.99E+307,'Returns (Calc)'!$A:$A)-3),"")</f>
        <v>206.83547169811322</v>
      </c>
      <c r="AJ68" s="84">
        <f>IFERROR('Price History'!O3+(INDEX('Price History'!O:O,MATCH(9.99E+307,'Price History'!$A:$A))-'Price History'!O3)*(ROW()-3)/(MATCH(9.99E+307,'Returns (Calc)'!$A:$A)-3),"")</f>
        <v>48.98050314465408</v>
      </c>
      <c r="AK68" s="84">
        <f>IFERROR('Price History'!Q3+(INDEX('Price History'!Q:Q,MATCH(9.99E+307,'Price History'!$A:$A))-'Price History'!Q3)*(ROW()-3)/(MATCH(9.99E+307,'Returns (Calc)'!$A:$A)-3),"")</f>
        <v>29.465157232704403</v>
      </c>
      <c r="AL68" s="84">
        <f>IFERROR('Price History'!R3+(INDEX('Price History'!R:R,MATCH(9.99E+307,'Price History'!$A:$A))-'Price History'!R3)*(ROW()-3)/(MATCH(9.99E+307,'Returns (Calc)'!$A:$A)-3),"")</f>
        <v>28.270943396226414</v>
      </c>
      <c r="AM68" s="84">
        <f>IFERROR('Price History'!S3+(INDEX('Price History'!S:S,MATCH(9.99E+307,'Price History'!$A:$A))-'Price History'!S3)*(ROW()-3)/(MATCH(9.99E+307,'Returns (Calc)'!$A:$A)-3),"")</f>
        <v>34.608553459119491</v>
      </c>
      <c r="AN68" s="84">
        <f>IFERROR('Price History'!T3+(INDEX('Price History'!T:T,MATCH(9.99E+307,'Price History'!$A:$A))-'Price History'!T3)*(ROW()-3)/(MATCH(9.99E+307,'Returns (Calc)'!$A:$A)-3),"")</f>
        <v>15.909056603773584</v>
      </c>
      <c r="AO68" s="85">
        <f>IFERROR('Price History'!V3+(INDEX('Price History'!V:V,MATCH(9.99E+307,'Price History'!$A:$A))-'Price History'!V3)*(ROW()-3)/(MATCH(9.99E+307,'Returns (Calc)'!$A:$A)-3),"")</f>
        <v>0</v>
      </c>
    </row>
    <row r="69" spans="1:41" ht="15" customHeight="1" x14ac:dyDescent="0.3">
      <c r="A69" s="81">
        <f>IF('Price History'!A70="","",'Price History'!A70)</f>
        <v>45618</v>
      </c>
      <c r="B69" s="82">
        <f>IFERROR(IF(OR(NOT(ISNUMBER('Price History'!B70)),NOT(ISNUMBER('Price History'!B69)),'Price History'!B69=0),"",'Price History'!B70/'Price History'!B69-1),"")</f>
        <v>1.7442437968095081E-2</v>
      </c>
      <c r="C69" s="82">
        <f>IFERROR(IF(OR(NOT(ISNUMBER('Price History'!C70)),NOT(ISNUMBER('Price History'!C69)),'Price History'!C69=0),"",'Price History'!C70/'Price History'!C69-1),"")</f>
        <v>8.5683760683760823E-2</v>
      </c>
      <c r="D69" s="82">
        <f>IFERROR(IF(OR(NOT(ISNUMBER('Price History'!D70)),NOT(ISNUMBER('Price History'!D69)),'Price History'!D69=0),"",'Price History'!D70/'Price History'!D69-1),"")</f>
        <v>2.1635819807782841E-2</v>
      </c>
      <c r="E69" s="82">
        <f>IFERROR(IF(OR(NOT(ISNUMBER('Price History'!E70)),NOT(ISNUMBER('Price History'!E69)),'Price History'!E69=0),"",'Price History'!E70/'Price History'!E69-1),"")</f>
        <v>-3.7005581169620161E-3</v>
      </c>
      <c r="F69" s="82">
        <f>IFERROR(IF(OR(NOT(ISNUMBER('Price History'!F70)),NOT(ISNUMBER('Price History'!F69)),'Price History'!F69=0),"",'Price History'!F70/'Price History'!F69-1),"")</f>
        <v>0.10547570970424025</v>
      </c>
      <c r="G69" s="82">
        <f>IFERROR(IF(OR(NOT(ISNUMBER('Price History'!G70)),NOT(ISNUMBER('Price History'!G69)),'Price History'!G69=0),"",'Price History'!G70/'Price History'!G69-1),"")</f>
        <v>4.0846216436126959E-2</v>
      </c>
      <c r="H69" s="82">
        <f>IFERROR(IF(OR(NOT(ISNUMBER('Price History'!H70)),NOT(ISNUMBER('Price History'!H69)),'Price History'!H69=0),"",'Price History'!H70/'Price History'!H69-1),"")</f>
        <v>6.539339838073488E-2</v>
      </c>
      <c r="I69" s="82">
        <f>IFERROR(IF(OR(NOT(ISNUMBER('Price History'!I70)),NOT(ISNUMBER('Price History'!I69)),'Price History'!I69=0),"",'Price History'!I70/'Price History'!I69-1),"")</f>
        <v>-2.1129736582614633E-4</v>
      </c>
      <c r="J69" s="82">
        <f>IFERROR(IF(OR(NOT(ISNUMBER('Price History'!J70)),NOT(ISNUMBER('Price History'!J69)),'Price History'!J69=0),"",'Price History'!J70/'Price History'!J69-1),"")</f>
        <v>2.0983953447363701E-2</v>
      </c>
      <c r="K69" s="82">
        <f>IFERROR(IF(OR(NOT(ISNUMBER('Price History'!K70)),NOT(ISNUMBER('Price History'!K69)),'Price History'!K69=0),"",'Price History'!K70/'Price History'!K69-1),"")</f>
        <v>-2.1590390755663713E-2</v>
      </c>
      <c r="L69" s="82">
        <f>IFERROR(IF(OR(NOT(ISNUMBER('Price History'!L70)),NOT(ISNUMBER('Price History'!L69)),'Price History'!L69=0),"",'Price History'!L70/'Price History'!L69-1),"")</f>
        <v>2.1880544056771312E-2</v>
      </c>
      <c r="M69" s="82">
        <f>IFERROR(IF(OR(NOT(ISNUMBER('Price History'!M70)),NOT(ISNUMBER('Price History'!M69)),'Price History'!M69=0),"",'Price History'!M70/'Price History'!M69-1),"")</f>
        <v>0.15951021758914541</v>
      </c>
      <c r="N69" s="82">
        <f>IFERROR(IF(OR(NOT(ISNUMBER('Price History'!N70)),NOT(ISNUMBER('Price History'!N69)),'Price History'!N69=0),"",'Price History'!N70/'Price History'!N69-1),"")</f>
        <v>-3.1629804595232902E-2</v>
      </c>
      <c r="O69" s="82">
        <f>IFERROR(IF(OR(NOT(ISNUMBER('Price History'!O70)),NOT(ISNUMBER('Price History'!O69)),'Price History'!O69=0),"",'Price History'!O70/'Price History'!O69-1),"")</f>
        <v>3.6604669568658599E-2</v>
      </c>
      <c r="P69" s="82" t="str">
        <f>IFERROR(IF(OR(NOT(ISNUMBER('Price History'!P70)),NOT(ISNUMBER('Price History'!P69)),'Price History'!P69=0),"",'Price History'!P70/'Price History'!P69-1),"")</f>
        <v/>
      </c>
      <c r="Q69" s="82">
        <f>IFERROR(IF(OR(NOT(ISNUMBER('Price History'!Q70)),NOT(ISNUMBER('Price History'!Q69)),'Price History'!Q69=0),"",'Price History'!Q70/'Price History'!Q69-1),"")</f>
        <v>-1.2179487179487136E-2</v>
      </c>
      <c r="R69" s="82">
        <f>IFERROR(IF(OR(NOT(ISNUMBER('Price History'!R70)),NOT(ISNUMBER('Price History'!R69)),'Price History'!R69=0),"",'Price History'!R70/'Price History'!R69-1),"")</f>
        <v>1.7263082179464151E-2</v>
      </c>
      <c r="S69" s="82">
        <f>IFERROR(IF(OR(NOT(ISNUMBER('Price History'!S70)),NOT(ISNUMBER('Price History'!S69)),'Price History'!S69=0),"",'Price History'!S70/'Price History'!S69-1),"")</f>
        <v>1.7891373801916854E-2</v>
      </c>
      <c r="T69" s="82">
        <f>IFERROR(IF(OR(NOT(ISNUMBER('Price History'!T70)),NOT(ISNUMBER('Price History'!T69)),'Price History'!T69=0),"",'Price History'!T70/'Price History'!T69-1),"")</f>
        <v>3.8658328595793101E-2</v>
      </c>
      <c r="U69" s="82" t="str">
        <f>IFERROR(IF(OR(NOT(ISNUMBER('Price History'!U70)),NOT(ISNUMBER('Price History'!U69)),'Price History'!U69=0),"",'Price History'!U70/'Price History'!U69-1),"")</f>
        <v/>
      </c>
      <c r="V69" s="83">
        <f>IFERROR(IF(OR(NOT(ISNUMBER('Price History'!V70)),NOT(ISNUMBER('Price History'!V69)),'Price History'!V69=0),"",'Price History'!V70/'Price History'!V69-1),"")</f>
        <v>9.1617040769564895E-4</v>
      </c>
      <c r="W69" s="84" t="str">
        <f>IFERROR('Price History'!B3+(INDEX('Price History'!B:B,MATCH(9.99E+307,'Price History'!$A:$A))-'Price History'!B3)*(ROW()-3)/(MATCH(9.99E+307,'Returns (Calc)'!$A:$A)-3),"")</f>
        <v/>
      </c>
      <c r="X69" s="84">
        <f>IFERROR('Price History'!C3+(INDEX('Price History'!C:C,MATCH(9.99E+307,'Price History'!$A:$A))-'Price History'!C3)*(ROW()-3)/(MATCH(9.99E+307,'Returns (Calc)'!$A:$A)-3),"")</f>
        <v>25.583773584905661</v>
      </c>
      <c r="Y69" s="84">
        <f>IFERROR('Price History'!D3+(INDEX('Price History'!D:D,MATCH(9.99E+307,'Price History'!$A:$A))-'Price History'!D3)*(ROW()-3)/(MATCH(9.99E+307,'Returns (Calc)'!$A:$A)-3),"")</f>
        <v>387.07886792452831</v>
      </c>
      <c r="Z69" s="84">
        <f>IFERROR('Price History'!E3+(INDEX('Price History'!E:E,MATCH(9.99E+307,'Price History'!$A:$A))-'Price History'!E3)*(ROW()-3)/(MATCH(9.99E+307,'Returns (Calc)'!$A:$A)-3),"")</f>
        <v>48.535471698113213</v>
      </c>
      <c r="AA69" s="84">
        <f>IFERROR('Price History'!F3+(INDEX('Price History'!F:F,MATCH(9.99E+307,'Price History'!$A:$A))-'Price History'!F3)*(ROW()-3)/(MATCH(9.99E+307,'Returns (Calc)'!$A:$A)-3),"")</f>
        <v>21.676603773584908</v>
      </c>
      <c r="AB69" s="84">
        <f>IFERROR('Price History'!G3+(INDEX('Price History'!G:G,MATCH(9.99E+307,'Price History'!$A:$A))-'Price History'!G3)*(ROW()-3)/(MATCH(9.99E+307,'Returns (Calc)'!$A:$A)-3),"")</f>
        <v>28.016981132075468</v>
      </c>
      <c r="AC69" s="84">
        <f>IFERROR('Price History'!H3+(INDEX('Price History'!H:H,MATCH(9.99E+307,'Price History'!$A:$A))-'Price History'!H3)*(ROW()-3)/(MATCH(9.99E+307,'Returns (Calc)'!$A:$A)-3),"")</f>
        <v>37.650377358490573</v>
      </c>
      <c r="AD69" s="84">
        <f>IFERROR('Price History'!I3+(INDEX('Price History'!I:I,MATCH(9.99E+307,'Price History'!$A:$A))-'Price History'!I3)*(ROW()-3)/(MATCH(9.99E+307,'Returns (Calc)'!$A:$A)-3),"")</f>
        <v>23.893396226415096</v>
      </c>
      <c r="AE69" s="84">
        <f>IFERROR('Price History'!J3+(INDEX('Price History'!J:J,MATCH(9.99E+307,'Price History'!$A:$A))-'Price History'!J3)*(ROW()-3)/(MATCH(9.99E+307,'Returns (Calc)'!$A:$A)-3),"")</f>
        <v>72.241698113207548</v>
      </c>
      <c r="AF69" s="84">
        <f>IFERROR('Price History'!K3+(INDEX('Price History'!K:K,MATCH(9.99E+307,'Price History'!$A:$A))-'Price History'!K3)*(ROW()-3)/(MATCH(9.99E+307,'Returns (Calc)'!$A:$A)-3),"")</f>
        <v>9.0133962264150931</v>
      </c>
      <c r="AG69" s="84">
        <f>IFERROR('Price History'!L3+(INDEX('Price History'!L:L,MATCH(9.99E+307,'Price History'!$A:$A))-'Price History'!L3)*(ROW()-3)/(MATCH(9.99E+307,'Returns (Calc)'!$A:$A)-3),"")</f>
        <v>53.805471698113209</v>
      </c>
      <c r="AH69" s="84">
        <f>IFERROR('Price History'!M3+(INDEX('Price History'!M:M,MATCH(9.99E+307,'Price History'!$A:$A))-'Price History'!M3)*(ROW()-3)/(MATCH(9.99E+307,'Returns (Calc)'!$A:$A)-3),"")</f>
        <v>19.600188679245282</v>
      </c>
      <c r="AI69" s="84">
        <f>IFERROR('Price History'!N3+(INDEX('Price History'!N:N,MATCH(9.99E+307,'Price History'!$A:$A))-'Price History'!N3)*(ROW()-3)/(MATCH(9.99E+307,'Returns (Calc)'!$A:$A)-3),"")</f>
        <v>204.63509433962264</v>
      </c>
      <c r="AJ69" s="84">
        <f>IFERROR('Price History'!O3+(INDEX('Price History'!O:O,MATCH(9.99E+307,'Price History'!$A:$A))-'Price History'!O3)*(ROW()-3)/(MATCH(9.99E+307,'Returns (Calc)'!$A:$A)-3),"")</f>
        <v>48.45943396226415</v>
      </c>
      <c r="AK69" s="84">
        <f>IFERROR('Price History'!Q3+(INDEX('Price History'!Q:Q,MATCH(9.99E+307,'Price History'!$A:$A))-'Price History'!Q3)*(ROW()-3)/(MATCH(9.99E+307,'Returns (Calc)'!$A:$A)-3),"")</f>
        <v>29.151698113207551</v>
      </c>
      <c r="AL69" s="84">
        <f>IFERROR('Price History'!R3+(INDEX('Price History'!R:R,MATCH(9.99E+307,'Price History'!$A:$A))-'Price History'!R3)*(ROW()-3)/(MATCH(9.99E+307,'Returns (Calc)'!$A:$A)-3),"")</f>
        <v>27.970188679245283</v>
      </c>
      <c r="AM69" s="84">
        <f>IFERROR('Price History'!S3+(INDEX('Price History'!S:S,MATCH(9.99E+307,'Price History'!$A:$A))-'Price History'!S3)*(ROW()-3)/(MATCH(9.99E+307,'Returns (Calc)'!$A:$A)-3),"")</f>
        <v>34.240377358490562</v>
      </c>
      <c r="AN69" s="84">
        <f>IFERROR('Price History'!T3+(INDEX('Price History'!T:T,MATCH(9.99E+307,'Price History'!$A:$A))-'Price History'!T3)*(ROW()-3)/(MATCH(9.99E+307,'Returns (Calc)'!$A:$A)-3),"")</f>
        <v>15.739811320754718</v>
      </c>
      <c r="AO69" s="85">
        <f>IFERROR('Price History'!V3+(INDEX('Price History'!V:V,MATCH(9.99E+307,'Price History'!$A:$A))-'Price History'!V3)*(ROW()-3)/(MATCH(9.99E+307,'Returns (Calc)'!$A:$A)-3),"")</f>
        <v>0</v>
      </c>
    </row>
    <row r="70" spans="1:41" ht="15" customHeight="1" x14ac:dyDescent="0.3">
      <c r="A70" s="81">
        <f>IF('Price History'!A71="","",'Price History'!A71)</f>
        <v>45625</v>
      </c>
      <c r="B70" s="82">
        <f>IFERROR(IF(OR(NOT(ISNUMBER('Price History'!B71)),NOT(ISNUMBER('Price History'!B70)),'Price History'!B70=0),"",'Price History'!B71/'Price History'!B70-1),"")</f>
        <v>7.3806502001365626E-3</v>
      </c>
      <c r="C70" s="82">
        <f>IFERROR(IF(OR(NOT(ISNUMBER('Price History'!C71)),NOT(ISNUMBER('Price History'!C70)),'Price History'!C70=0),"",'Price History'!C71/'Price History'!C70-1),"")</f>
        <v>-1.5744932099981401E-3</v>
      </c>
      <c r="D70" s="82">
        <f>IFERROR(IF(OR(NOT(ISNUMBER('Price History'!D71)),NOT(ISNUMBER('Price History'!D70)),'Price History'!D70=0),"",'Price History'!D71/'Price History'!D70-1),"")</f>
        <v>2.0404827012245885E-2</v>
      </c>
      <c r="E70" s="82">
        <f>IFERROR(IF(OR(NOT(ISNUMBER('Price History'!E71)),NOT(ISNUMBER('Price History'!E70)),'Price History'!E70=0),"",'Price History'!E71/'Price History'!E70-1),"")</f>
        <v>-1.3091396212628448E-2</v>
      </c>
      <c r="F70" s="82">
        <f>IFERROR(IF(OR(NOT(ISNUMBER('Price History'!F71)),NOT(ISNUMBER('Price History'!F70)),'Price History'!F70=0),"",'Price History'!F71/'Price History'!F70-1),"")</f>
        <v>-7.0699473514558964E-2</v>
      </c>
      <c r="G70" s="82">
        <f>IFERROR(IF(OR(NOT(ISNUMBER('Price History'!G71)),NOT(ISNUMBER('Price History'!G70)),'Price History'!G70=0),"",'Price History'!G71/'Price History'!G70-1),"")</f>
        <v>1.1569731081926271E-2</v>
      </c>
      <c r="H70" s="82">
        <f>IFERROR(IF(OR(NOT(ISNUMBER('Price History'!H71)),NOT(ISNUMBER('Price History'!H70)),'Price History'!H70=0),"",'Price History'!H71/'Price History'!H70-1),"")</f>
        <v>-4.5693686671862799E-2</v>
      </c>
      <c r="I70" s="82">
        <f>IFERROR(IF(OR(NOT(ISNUMBER('Price History'!I71)),NOT(ISNUMBER('Price History'!I70)),'Price History'!I70=0),"",'Price History'!I71/'Price History'!I70-1),"")</f>
        <v>-2.6065516026769875E-2</v>
      </c>
      <c r="J70" s="82">
        <f>IFERROR(IF(OR(NOT(ISNUMBER('Price History'!J71)),NOT(ISNUMBER('Price History'!J70)),'Price History'!J70=0),"",'Price History'!J71/'Price History'!J70-1),"")</f>
        <v>8.4628670120898697E-3</v>
      </c>
      <c r="K70" s="82">
        <f>IFERROR(IF(OR(NOT(ISNUMBER('Price History'!K71)),NOT(ISNUMBER('Price History'!K70)),'Price History'!K70=0),"",'Price History'!K71/'Price History'!K70-1),"")</f>
        <v>4.2424242424242475E-2</v>
      </c>
      <c r="L70" s="82">
        <f>IFERROR(IF(OR(NOT(ISNUMBER('Price History'!L71)),NOT(ISNUMBER('Price History'!L70)),'Price History'!L70=0),"",'Price History'!L71/'Price History'!L70-1),"")</f>
        <v>-2.8514309764309798E-2</v>
      </c>
      <c r="M70" s="82">
        <f>IFERROR(IF(OR(NOT(ISNUMBER('Price History'!M71)),NOT(ISNUMBER('Price History'!M70)),'Price History'!M70=0),"",'Price History'!M71/'Price History'!M70-1),"")</f>
        <v>-8.9546914020692148E-2</v>
      </c>
      <c r="N70" s="82">
        <f>IFERROR(IF(OR(NOT(ISNUMBER('Price History'!N71)),NOT(ISNUMBER('Price History'!N70)),'Price History'!N70=0),"",'Price History'!N71/'Price History'!N70-1),"")</f>
        <v>3.8051311617180561E-2</v>
      </c>
      <c r="O70" s="82">
        <f>IFERROR(IF(OR(NOT(ISNUMBER('Price History'!O71)),NOT(ISNUMBER('Price History'!O70)),'Price History'!O70=0),"",'Price History'!O71/'Price History'!O70-1),"")</f>
        <v>6.7761023096009065E-3</v>
      </c>
      <c r="P70" s="82" t="str">
        <f>IFERROR(IF(OR(NOT(ISNUMBER('Price History'!P71)),NOT(ISNUMBER('Price History'!P70)),'Price History'!P70=0),"",'Price History'!P71/'Price History'!P70-1),"")</f>
        <v/>
      </c>
      <c r="Q70" s="82">
        <f>IFERROR(IF(OR(NOT(ISNUMBER('Price History'!Q71)),NOT(ISNUMBER('Price History'!Q70)),'Price History'!Q70=0),"",'Price History'!Q71/'Price History'!Q70-1),"")</f>
        <v>1.7196625567813095E-2</v>
      </c>
      <c r="R70" s="82">
        <f>IFERROR(IF(OR(NOT(ISNUMBER('Price History'!R71)),NOT(ISNUMBER('Price History'!R70)),'Price History'!R70=0),"",'Price History'!R71/'Price History'!R70-1),"")</f>
        <v>9.1921513169526126E-3</v>
      </c>
      <c r="S70" s="82">
        <f>IFERROR(IF(OR(NOT(ISNUMBER('Price History'!S71)),NOT(ISNUMBER('Price History'!S70)),'Price History'!S70=0),"",'Price History'!S71/'Price History'!S70-1),"")</f>
        <v>1.3078049801213742E-2</v>
      </c>
      <c r="T70" s="82">
        <f>IFERROR(IF(OR(NOT(ISNUMBER('Price History'!T71)),NOT(ISNUMBER('Price History'!T70)),'Price History'!T70=0),"",'Price History'!T71/'Price History'!T70-1),"")</f>
        <v>1.9157088122605526E-3</v>
      </c>
      <c r="U70" s="82" t="str">
        <f>IFERROR(IF(OR(NOT(ISNUMBER('Price History'!U71)),NOT(ISNUMBER('Price History'!U70)),'Price History'!U70=0),"",'Price History'!U71/'Price History'!U70-1),"")</f>
        <v/>
      </c>
      <c r="V70" s="83">
        <f>IFERROR(IF(OR(NOT(ISNUMBER('Price History'!V71)),NOT(ISNUMBER('Price History'!V70)),'Price History'!V70=0),"",'Price History'!V71/'Price History'!V70-1),"")</f>
        <v>1.6639424648578149E-2</v>
      </c>
      <c r="W70" s="84" t="str">
        <f>IFERROR('Price History'!B3+(INDEX('Price History'!B:B,MATCH(9.99E+307,'Price History'!$A:$A))-'Price History'!B3)*(ROW()-3)/(MATCH(9.99E+307,'Returns (Calc)'!$A:$A)-3),"")</f>
        <v/>
      </c>
      <c r="X70" s="84">
        <f>IFERROR('Price History'!C3+(INDEX('Price History'!C:C,MATCH(9.99E+307,'Price History'!$A:$A))-'Price History'!C3)*(ROW()-3)/(MATCH(9.99E+307,'Returns (Calc)'!$A:$A)-3),"")</f>
        <v>25.30867924528302</v>
      </c>
      <c r="Y70" s="84">
        <f>IFERROR('Price History'!D3+(INDEX('Price History'!D:D,MATCH(9.99E+307,'Price History'!$A:$A))-'Price History'!D3)*(ROW()-3)/(MATCH(9.99E+307,'Returns (Calc)'!$A:$A)-3),"")</f>
        <v>382.91672955974843</v>
      </c>
      <c r="Z70" s="84">
        <f>IFERROR('Price History'!E3+(INDEX('Price History'!E:E,MATCH(9.99E+307,'Price History'!$A:$A))-'Price History'!E3)*(ROW()-3)/(MATCH(9.99E+307,'Returns (Calc)'!$A:$A)-3),"")</f>
        <v>48.01358490566038</v>
      </c>
      <c r="AA70" s="84">
        <f>IFERROR('Price History'!F3+(INDEX('Price History'!F:F,MATCH(9.99E+307,'Price History'!$A:$A))-'Price History'!F3)*(ROW()-3)/(MATCH(9.99E+307,'Returns (Calc)'!$A:$A)-3),"")</f>
        <v>21.443522012578619</v>
      </c>
      <c r="AB70" s="84">
        <f>IFERROR('Price History'!G3+(INDEX('Price History'!G:G,MATCH(9.99E+307,'Price History'!$A:$A))-'Price History'!G3)*(ROW()-3)/(MATCH(9.99E+307,'Returns (Calc)'!$A:$A)-3),"")</f>
        <v>27.71572327044025</v>
      </c>
      <c r="AC70" s="84">
        <f>IFERROR('Price History'!H3+(INDEX('Price History'!H:H,MATCH(9.99E+307,'Price History'!$A:$A))-'Price History'!H3)*(ROW()-3)/(MATCH(9.99E+307,'Returns (Calc)'!$A:$A)-3),"")</f>
        <v>37.245534591194975</v>
      </c>
      <c r="AD70" s="84">
        <f>IFERROR('Price History'!I3+(INDEX('Price History'!I:I,MATCH(9.99E+307,'Price History'!$A:$A))-'Price History'!I3)*(ROW()-3)/(MATCH(9.99E+307,'Returns (Calc)'!$A:$A)-3),"")</f>
        <v>23.636477987421383</v>
      </c>
      <c r="AE70" s="84">
        <f>IFERROR('Price History'!J3+(INDEX('Price History'!J:J,MATCH(9.99E+307,'Price History'!$A:$A))-'Price History'!J3)*(ROW()-3)/(MATCH(9.99E+307,'Returns (Calc)'!$A:$A)-3),"")</f>
        <v>71.464905660377354</v>
      </c>
      <c r="AF70" s="84">
        <f>IFERROR('Price History'!K3+(INDEX('Price History'!K:K,MATCH(9.99E+307,'Price History'!$A:$A))-'Price History'!K3)*(ROW()-3)/(MATCH(9.99E+307,'Returns (Calc)'!$A:$A)-3),"")</f>
        <v>8.9164779874213842</v>
      </c>
      <c r="AG70" s="84">
        <f>IFERROR('Price History'!L3+(INDEX('Price History'!L:L,MATCH(9.99E+307,'Price History'!$A:$A))-'Price History'!L3)*(ROW()-3)/(MATCH(9.99E+307,'Returns (Calc)'!$A:$A)-3),"")</f>
        <v>53.226918238993704</v>
      </c>
      <c r="AH70" s="84">
        <f>IFERROR('Price History'!M3+(INDEX('Price History'!M:M,MATCH(9.99E+307,'Price History'!$A:$A))-'Price History'!M3)*(ROW()-3)/(MATCH(9.99E+307,'Returns (Calc)'!$A:$A)-3),"")</f>
        <v>19.38943396226415</v>
      </c>
      <c r="AI70" s="84">
        <f>IFERROR('Price History'!N3+(INDEX('Price History'!N:N,MATCH(9.99E+307,'Price History'!$A:$A))-'Price History'!N3)*(ROW()-3)/(MATCH(9.99E+307,'Returns (Calc)'!$A:$A)-3),"")</f>
        <v>202.43471698113208</v>
      </c>
      <c r="AJ70" s="84">
        <f>IFERROR('Price History'!O3+(INDEX('Price History'!O:O,MATCH(9.99E+307,'Price History'!$A:$A))-'Price History'!O3)*(ROW()-3)/(MATCH(9.99E+307,'Returns (Calc)'!$A:$A)-3),"")</f>
        <v>47.938364779874206</v>
      </c>
      <c r="AK70" s="84">
        <f>IFERROR('Price History'!Q3+(INDEX('Price History'!Q:Q,MATCH(9.99E+307,'Price History'!$A:$A))-'Price History'!Q3)*(ROW()-3)/(MATCH(9.99E+307,'Returns (Calc)'!$A:$A)-3),"")</f>
        <v>28.838238993710693</v>
      </c>
      <c r="AL70" s="84">
        <f>IFERROR('Price History'!R3+(INDEX('Price History'!R:R,MATCH(9.99E+307,'Price History'!$A:$A))-'Price History'!R3)*(ROW()-3)/(MATCH(9.99E+307,'Returns (Calc)'!$A:$A)-3),"")</f>
        <v>27.669433962264151</v>
      </c>
      <c r="AM70" s="84">
        <f>IFERROR('Price History'!S3+(INDEX('Price History'!S:S,MATCH(9.99E+307,'Price History'!$A:$A))-'Price History'!S3)*(ROW()-3)/(MATCH(9.99E+307,'Returns (Calc)'!$A:$A)-3),"")</f>
        <v>33.872201257861633</v>
      </c>
      <c r="AN70" s="84">
        <f>IFERROR('Price History'!T3+(INDEX('Price History'!T:T,MATCH(9.99E+307,'Price History'!$A:$A))-'Price History'!T3)*(ROW()-3)/(MATCH(9.99E+307,'Returns (Calc)'!$A:$A)-3),"")</f>
        <v>15.570566037735849</v>
      </c>
      <c r="AO70" s="85">
        <f>IFERROR('Price History'!V3+(INDEX('Price History'!V:V,MATCH(9.99E+307,'Price History'!$A:$A))-'Price History'!V3)*(ROW()-3)/(MATCH(9.99E+307,'Returns (Calc)'!$A:$A)-3),"")</f>
        <v>0</v>
      </c>
    </row>
    <row r="71" spans="1:41" ht="15" customHeight="1" x14ac:dyDescent="0.3">
      <c r="A71" s="81">
        <f>IF('Price History'!A72="","",'Price History'!A72)</f>
        <v>45632</v>
      </c>
      <c r="B71" s="82">
        <f>IFERROR(IF(OR(NOT(ISNUMBER('Price History'!B72)),NOT(ISNUMBER('Price History'!B71)),'Price History'!B71=0),"",'Price History'!B72/'Price History'!B71-1),"")</f>
        <v>7.1773302579807519E-2</v>
      </c>
      <c r="C71" s="82">
        <f>IFERROR(IF(OR(NOT(ISNUMBER('Price History'!C72)),NOT(ISNUMBER('Price History'!C71)),'Price History'!C71=0),"",'Price History'!C72/'Price History'!C71-1),"")</f>
        <v>6.6922925290755053E-2</v>
      </c>
      <c r="D71" s="82">
        <f>IFERROR(IF(OR(NOT(ISNUMBER('Price History'!D72)),NOT(ISNUMBER('Price History'!D71)),'Price History'!D71=0),"",'Price History'!D72/'Price History'!D71-1),"")</f>
        <v>3.2580358573280233E-2</v>
      </c>
      <c r="E71" s="82">
        <f>IFERROR(IF(OR(NOT(ISNUMBER('Price History'!E72)),NOT(ISNUMBER('Price History'!E71)),'Price History'!E71=0),"",'Price History'!E72/'Price History'!E71-1),"")</f>
        <v>0.10766288252714706</v>
      </c>
      <c r="F71" s="82">
        <f>IFERROR(IF(OR(NOT(ISNUMBER('Price History'!F72)),NOT(ISNUMBER('Price History'!F71)),'Price History'!F71=0),"",'Price History'!F72/'Price History'!F71-1),"")</f>
        <v>5.6885189039195261E-2</v>
      </c>
      <c r="G71" s="82">
        <f>IFERROR(IF(OR(NOT(ISNUMBER('Price History'!G72)),NOT(ISNUMBER('Price History'!G71)),'Price History'!G71=0),"",'Price History'!G72/'Price History'!G71-1),"")</f>
        <v>2.0092735703245435E-3</v>
      </c>
      <c r="H71" s="82">
        <f>IFERROR(IF(OR(NOT(ISNUMBER('Price History'!H72)),NOT(ISNUMBER('Price History'!H71)),'Price History'!H71=0),"",'Price History'!H72/'Price History'!H71-1),"")</f>
        <v>3.2873915262889186E-2</v>
      </c>
      <c r="I71" s="82">
        <f>IFERROR(IF(OR(NOT(ISNUMBER('Price History'!I72)),NOT(ISNUMBER('Price History'!I71)),'Price History'!I71=0),"",'Price History'!I72/'Price History'!I71-1),"")</f>
        <v>3.0307414104882469E-2</v>
      </c>
      <c r="J71" s="82">
        <f>IFERROR(IF(OR(NOT(ISNUMBER('Price History'!J72)),NOT(ISNUMBER('Price History'!J71)),'Price History'!J71=0),"",'Price History'!J72/'Price History'!J71-1),"")</f>
        <v>-4.0931666381229692E-2</v>
      </c>
      <c r="K71" s="82">
        <f>IFERROR(IF(OR(NOT(ISNUMBER('Price History'!K72)),NOT(ISNUMBER('Price History'!K71)),'Price History'!K71=0),"",'Price History'!K72/'Price History'!K71-1),"")</f>
        <v>0.13804412641621955</v>
      </c>
      <c r="L71" s="82">
        <f>IFERROR(IF(OR(NOT(ISNUMBER('Price History'!L72)),NOT(ISNUMBER('Price History'!L71)),'Price History'!L71=0),"",'Price History'!L72/'Price History'!L71-1),"")</f>
        <v>9.9425972056752965E-2</v>
      </c>
      <c r="M71" s="82">
        <f>IFERROR(IF(OR(NOT(ISNUMBER('Price History'!M72)),NOT(ISNUMBER('Price History'!M71)),'Price History'!M71=0),"",'Price History'!M72/'Price History'!M71-1),"")</f>
        <v>4.8981191222570608E-2</v>
      </c>
      <c r="N71" s="82">
        <f>IFERROR(IF(OR(NOT(ISNUMBER('Price History'!N72)),NOT(ISNUMBER('Price History'!N71)),'Price History'!N71=0),"",'Price History'!N72/'Price History'!N71-1),"")</f>
        <v>-1.28810373186935E-2</v>
      </c>
      <c r="O71" s="82">
        <f>IFERROR(IF(OR(NOT(ISNUMBER('Price History'!O72)),NOT(ISNUMBER('Price History'!O71)),'Price History'!O71=0),"",'Price History'!O72/'Price History'!O71-1),"")</f>
        <v>-2.085505735140758E-2</v>
      </c>
      <c r="P71" s="82" t="str">
        <f>IFERROR(IF(OR(NOT(ISNUMBER('Price History'!P72)),NOT(ISNUMBER('Price History'!P71)),'Price History'!P71=0),"",'Price History'!P72/'Price History'!P71-1),"")</f>
        <v/>
      </c>
      <c r="Q71" s="82">
        <f>IFERROR(IF(OR(NOT(ISNUMBER('Price History'!Q72)),NOT(ISNUMBER('Price History'!Q71)),'Price History'!Q71=0),"",'Price History'!Q72/'Price History'!Q71-1),"")</f>
        <v>1.0366826156299913E-2</v>
      </c>
      <c r="R71" s="82">
        <f>IFERROR(IF(OR(NOT(ISNUMBER('Price History'!R72)),NOT(ISNUMBER('Price History'!R71)),'Price History'!R71=0),"",'Price History'!R72/'Price History'!R71-1),"")</f>
        <v>9.2835873182692819E-3</v>
      </c>
      <c r="S71" s="82">
        <f>IFERROR(IF(OR(NOT(ISNUMBER('Price History'!S72)),NOT(ISNUMBER('Price History'!S71)),'Price History'!S71=0),"",'Price History'!S72/'Price History'!S71-1),"")</f>
        <v>1.931219663327477E-2</v>
      </c>
      <c r="T71" s="82">
        <f>IFERROR(IF(OR(NOT(ISNUMBER('Price History'!T72)),NOT(ISNUMBER('Price History'!T71)),'Price History'!T71=0),"",'Price History'!T72/'Price History'!T71-1),"")</f>
        <v>-8.1944823818635992E-4</v>
      </c>
      <c r="U71" s="82" t="str">
        <f>IFERROR(IF(OR(NOT(ISNUMBER('Price History'!U72)),NOT(ISNUMBER('Price History'!U71)),'Price History'!U71=0),"",'Price History'!U72/'Price History'!U71-1),"")</f>
        <v/>
      </c>
      <c r="V71" s="83">
        <f>IFERROR(IF(OR(NOT(ISNUMBER('Price History'!V72)),NOT(ISNUMBER('Price History'!V71)),'Price History'!V71=0),"",'Price History'!V72/'Price History'!V71-1),"")</f>
        <v>-1.2926460657898931E-2</v>
      </c>
      <c r="W71" s="84" t="str">
        <f>IFERROR('Price History'!B3+(INDEX('Price History'!B:B,MATCH(9.99E+307,'Price History'!$A:$A))-'Price History'!B3)*(ROW()-3)/(MATCH(9.99E+307,'Returns (Calc)'!$A:$A)-3),"")</f>
        <v/>
      </c>
      <c r="X71" s="84">
        <f>IFERROR('Price History'!C3+(INDEX('Price History'!C:C,MATCH(9.99E+307,'Price History'!$A:$A))-'Price History'!C3)*(ROW()-3)/(MATCH(9.99E+307,'Returns (Calc)'!$A:$A)-3),"")</f>
        <v>25.03358490566038</v>
      </c>
      <c r="Y71" s="84">
        <f>IFERROR('Price History'!D3+(INDEX('Price History'!D:D,MATCH(9.99E+307,'Price History'!$A:$A))-'Price History'!D3)*(ROW()-3)/(MATCH(9.99E+307,'Returns (Calc)'!$A:$A)-3),"")</f>
        <v>378.7545911949685</v>
      </c>
      <c r="Z71" s="84">
        <f>IFERROR('Price History'!E3+(INDEX('Price History'!E:E,MATCH(9.99E+307,'Price History'!$A:$A))-'Price History'!E3)*(ROW()-3)/(MATCH(9.99E+307,'Returns (Calc)'!$A:$A)-3),"")</f>
        <v>47.491698113207548</v>
      </c>
      <c r="AA71" s="84">
        <f>IFERROR('Price History'!F3+(INDEX('Price History'!F:F,MATCH(9.99E+307,'Price History'!$A:$A))-'Price History'!F3)*(ROW()-3)/(MATCH(9.99E+307,'Returns (Calc)'!$A:$A)-3),"")</f>
        <v>21.210440251572329</v>
      </c>
      <c r="AB71" s="84">
        <f>IFERROR('Price History'!G3+(INDEX('Price History'!G:G,MATCH(9.99E+307,'Price History'!$A:$A))-'Price History'!G3)*(ROW()-3)/(MATCH(9.99E+307,'Returns (Calc)'!$A:$A)-3),"")</f>
        <v>27.414465408805032</v>
      </c>
      <c r="AC71" s="84">
        <f>IFERROR('Price History'!H3+(INDEX('Price History'!H:H,MATCH(9.99E+307,'Price History'!$A:$A))-'Price History'!H3)*(ROW()-3)/(MATCH(9.99E+307,'Returns (Calc)'!$A:$A)-3),"")</f>
        <v>36.840691823899377</v>
      </c>
      <c r="AD71" s="84">
        <f>IFERROR('Price History'!I3+(INDEX('Price History'!I:I,MATCH(9.99E+307,'Price History'!$A:$A))-'Price History'!I3)*(ROW()-3)/(MATCH(9.99E+307,'Returns (Calc)'!$A:$A)-3),"")</f>
        <v>23.379559748427674</v>
      </c>
      <c r="AE71" s="84">
        <f>IFERROR('Price History'!J3+(INDEX('Price History'!J:J,MATCH(9.99E+307,'Price History'!$A:$A))-'Price History'!J3)*(ROW()-3)/(MATCH(9.99E+307,'Returns (Calc)'!$A:$A)-3),"")</f>
        <v>70.688113207547175</v>
      </c>
      <c r="AF71" s="84">
        <f>IFERROR('Price History'!K3+(INDEX('Price History'!K:K,MATCH(9.99E+307,'Price History'!$A:$A))-'Price History'!K3)*(ROW()-3)/(MATCH(9.99E+307,'Returns (Calc)'!$A:$A)-3),"")</f>
        <v>8.8195597484276718</v>
      </c>
      <c r="AG71" s="84">
        <f>IFERROR('Price History'!L3+(INDEX('Price History'!L:L,MATCH(9.99E+307,'Price History'!$A:$A))-'Price History'!L3)*(ROW()-3)/(MATCH(9.99E+307,'Returns (Calc)'!$A:$A)-3),"")</f>
        <v>52.648364779874214</v>
      </c>
      <c r="AH71" s="84">
        <f>IFERROR('Price History'!M3+(INDEX('Price History'!M:M,MATCH(9.99E+307,'Price History'!$A:$A))-'Price History'!M3)*(ROW()-3)/(MATCH(9.99E+307,'Returns (Calc)'!$A:$A)-3),"")</f>
        <v>19.178679245283018</v>
      </c>
      <c r="AI71" s="84">
        <f>IFERROR('Price History'!N3+(INDEX('Price History'!N:N,MATCH(9.99E+307,'Price History'!$A:$A))-'Price History'!N3)*(ROW()-3)/(MATCH(9.99E+307,'Returns (Calc)'!$A:$A)-3),"")</f>
        <v>200.23433962264153</v>
      </c>
      <c r="AJ71" s="84">
        <f>IFERROR('Price History'!O3+(INDEX('Price History'!O:O,MATCH(9.99E+307,'Price History'!$A:$A))-'Price History'!O3)*(ROW()-3)/(MATCH(9.99E+307,'Returns (Calc)'!$A:$A)-3),"")</f>
        <v>47.417295597484276</v>
      </c>
      <c r="AK71" s="84">
        <f>IFERROR('Price History'!Q3+(INDEX('Price History'!Q:Q,MATCH(9.99E+307,'Price History'!$A:$A))-'Price History'!Q3)*(ROW()-3)/(MATCH(9.99E+307,'Returns (Calc)'!$A:$A)-3),"")</f>
        <v>28.524779874213838</v>
      </c>
      <c r="AL71" s="84">
        <f>IFERROR('Price History'!R3+(INDEX('Price History'!R:R,MATCH(9.99E+307,'Price History'!$A:$A))-'Price History'!R3)*(ROW()-3)/(MATCH(9.99E+307,'Returns (Calc)'!$A:$A)-3),"")</f>
        <v>27.368679245283019</v>
      </c>
      <c r="AM71" s="84">
        <f>IFERROR('Price History'!S3+(INDEX('Price History'!S:S,MATCH(9.99E+307,'Price History'!$A:$A))-'Price History'!S3)*(ROW()-3)/(MATCH(9.99E+307,'Returns (Calc)'!$A:$A)-3),"")</f>
        <v>33.504025157232704</v>
      </c>
      <c r="AN71" s="84">
        <f>IFERROR('Price History'!T3+(INDEX('Price History'!T:T,MATCH(9.99E+307,'Price History'!$A:$A))-'Price History'!T3)*(ROW()-3)/(MATCH(9.99E+307,'Returns (Calc)'!$A:$A)-3),"")</f>
        <v>15.401320754716981</v>
      </c>
      <c r="AO71" s="85">
        <f>IFERROR('Price History'!V3+(INDEX('Price History'!V:V,MATCH(9.99E+307,'Price History'!$A:$A))-'Price History'!V3)*(ROW()-3)/(MATCH(9.99E+307,'Returns (Calc)'!$A:$A)-3),"")</f>
        <v>0</v>
      </c>
    </row>
    <row r="72" spans="1:41" ht="15" customHeight="1" x14ac:dyDescent="0.3">
      <c r="A72" s="81">
        <f>IF('Price History'!A73="","",'Price History'!A73)</f>
        <v>45639</v>
      </c>
      <c r="B72" s="82">
        <f>IFERROR(IF(OR(NOT(ISNUMBER('Price History'!B73)),NOT(ISNUMBER('Price History'!B72)),'Price History'!B72=0),"",'Price History'!B73/'Price History'!B72-1),"")</f>
        <v>-0.15782335069444453</v>
      </c>
      <c r="C72" s="82">
        <f>IFERROR(IF(OR(NOT(ISNUMBER('Price History'!C73)),NOT(ISNUMBER('Price History'!C72)),'Price History'!C72=0),"",'Price History'!C73/'Price History'!C72-1),"")</f>
        <v>3.8060046189376529E-2</v>
      </c>
      <c r="D72" s="82">
        <f>IFERROR(IF(OR(NOT(ISNUMBER('Price History'!D73)),NOT(ISNUMBER('Price History'!D72)),'Price History'!D72=0),"",'Price History'!D73/'Price History'!D72-1),"")</f>
        <v>1.3540579423961141E-2</v>
      </c>
      <c r="E72" s="82">
        <f>IFERROR(IF(OR(NOT(ISNUMBER('Price History'!E73)),NOT(ISNUMBER('Price History'!E72)),'Price History'!E72=0),"",'Price History'!E73/'Price History'!E72-1),"")</f>
        <v>0.2521584136356041</v>
      </c>
      <c r="F72" s="82">
        <f>IFERROR(IF(OR(NOT(ISNUMBER('Price History'!F73)),NOT(ISNUMBER('Price History'!F72)),'Price History'!F72=0),"",'Price History'!F73/'Price History'!F72-1),"")</f>
        <v>6.5638332786348563E-3</v>
      </c>
      <c r="G72" s="82">
        <f>IFERROR(IF(OR(NOT(ISNUMBER('Price History'!G73)),NOT(ISNUMBER('Price History'!G72)),'Price History'!G72=0),"",'Price History'!G73/'Price History'!G72-1),"")</f>
        <v>8.4837266697517233E-3</v>
      </c>
      <c r="H72" s="82">
        <f>IFERROR(IF(OR(NOT(ISNUMBER('Price History'!H73)),NOT(ISNUMBER('Price History'!H72)),'Price History'!H72=0),"",'Price History'!H73/'Price History'!H72-1),"")</f>
        <v>1.3146189581891843E-2</v>
      </c>
      <c r="I72" s="82">
        <f>IFERROR(IF(OR(NOT(ISNUMBER('Price History'!I73)),NOT(ISNUMBER('Price History'!I72)),'Price History'!I72=0),"",'Price History'!I73/'Price History'!I72-1),"")</f>
        <v>-5.7497893850042114E-2</v>
      </c>
      <c r="J72" s="82">
        <f>IFERROR(IF(OR(NOT(ISNUMBER('Price History'!J73)),NOT(ISNUMBER('Price History'!J72)),'Price History'!J72=0),"",'Price History'!J73/'Price History'!J72-1),"")</f>
        <v>-7.7678571428572152E-3</v>
      </c>
      <c r="K72" s="82">
        <f>IFERROR(IF(OR(NOT(ISNUMBER('Price History'!K73)),NOT(ISNUMBER('Price History'!K72)),'Price History'!K72=0),"",'Price History'!K73/'Price History'!K72-1),"")</f>
        <v>-3.5368090123134577E-3</v>
      </c>
      <c r="L72" s="82">
        <f>IFERROR(IF(OR(NOT(ISNUMBER('Price History'!L73)),NOT(ISNUMBER('Price History'!L72)),'Price History'!L72=0),"",'Price History'!L73/'Price History'!L72-1),"")</f>
        <v>-9.9990148753817953E-3</v>
      </c>
      <c r="M72" s="82">
        <f>IFERROR(IF(OR(NOT(ISNUMBER('Price History'!M73)),NOT(ISNUMBER('Price History'!M72)),'Price History'!M72=0),"",'Price History'!M73/'Price History'!M72-1),"")</f>
        <v>-6.0291370937616717E-2</v>
      </c>
      <c r="N72" s="82">
        <f>IFERROR(IF(OR(NOT(ISNUMBER('Price History'!N73)),NOT(ISNUMBER('Price History'!N72)),'Price History'!N72=0),"",'Price History'!N73/'Price History'!N72-1),"")</f>
        <v>3.5273750270503612E-3</v>
      </c>
      <c r="O72" s="82">
        <f>IFERROR(IF(OR(NOT(ISNUMBER('Price History'!O73)),NOT(ISNUMBER('Price History'!O72)),'Price History'!O72=0),"",'Price History'!O73/'Price History'!O72-1),"")</f>
        <v>-1.2392293542453303E-2</v>
      </c>
      <c r="P72" s="82" t="str">
        <f>IFERROR(IF(OR(NOT(ISNUMBER('Price History'!P73)),NOT(ISNUMBER('Price History'!P72)),'Price History'!P72=0),"",'Price History'!P73/'Price History'!P72-1),"")</f>
        <v/>
      </c>
      <c r="Q72" s="82">
        <f>IFERROR(IF(OR(NOT(ISNUMBER('Price History'!Q73)),NOT(ISNUMBER('Price History'!Q72)),'Price History'!Q72=0),"",'Price History'!Q73/'Price History'!Q72-1),"")</f>
        <v>-8.6819258089977369E-3</v>
      </c>
      <c r="R72" s="82">
        <f>IFERROR(IF(OR(NOT(ISNUMBER('Price History'!R73)),NOT(ISNUMBER('Price History'!R72)),'Price History'!R72=0),"",'Price History'!R73/'Price History'!R72-1),"")</f>
        <v>3.9916695591808438E-3</v>
      </c>
      <c r="S72" s="82">
        <f>IFERROR(IF(OR(NOT(ISNUMBER('Price History'!S73)),NOT(ISNUMBER('Price History'!S72)),'Price History'!S72=0),"",'Price History'!S73/'Price History'!S72-1),"")</f>
        <v>-9.4224924012158429E-3</v>
      </c>
      <c r="T72" s="82">
        <f>IFERROR(IF(OR(NOT(ISNUMBER('Price History'!T73)),NOT(ISNUMBER('Price History'!T72)),'Price History'!T72=0),"",'Price History'!T73/'Price History'!T72-1),"")</f>
        <v>-4.401312192454887E-2</v>
      </c>
      <c r="U72" s="82" t="str">
        <f>IFERROR(IF(OR(NOT(ISNUMBER('Price History'!U73)),NOT(ISNUMBER('Price History'!U72)),'Price History'!U72=0),"",'Price History'!U73/'Price History'!U72-1),"")</f>
        <v/>
      </c>
      <c r="V72" s="83">
        <f>IFERROR(IF(OR(NOT(ISNUMBER('Price History'!V73)),NOT(ISNUMBER('Price History'!V72)),'Price History'!V72=0),"",'Price History'!V73/'Price History'!V72-1),"")</f>
        <v>1.1988142163729121E-2</v>
      </c>
      <c r="W72" s="84" t="str">
        <f>IFERROR('Price History'!B3+(INDEX('Price History'!B:B,MATCH(9.99E+307,'Price History'!$A:$A))-'Price History'!B3)*(ROW()-3)/(MATCH(9.99E+307,'Returns (Calc)'!$A:$A)-3),"")</f>
        <v/>
      </c>
      <c r="X72" s="84">
        <f>IFERROR('Price History'!C3+(INDEX('Price History'!C:C,MATCH(9.99E+307,'Price History'!$A:$A))-'Price History'!C3)*(ROW()-3)/(MATCH(9.99E+307,'Returns (Calc)'!$A:$A)-3),"")</f>
        <v>24.758490566037739</v>
      </c>
      <c r="Y72" s="84">
        <f>IFERROR('Price History'!D3+(INDEX('Price History'!D:D,MATCH(9.99E+307,'Price History'!$A:$A))-'Price History'!D3)*(ROW()-3)/(MATCH(9.99E+307,'Returns (Calc)'!$A:$A)-3),"")</f>
        <v>374.59245283018868</v>
      </c>
      <c r="Z72" s="84">
        <f>IFERROR('Price History'!E3+(INDEX('Price History'!E:E,MATCH(9.99E+307,'Price History'!$A:$A))-'Price History'!E3)*(ROW()-3)/(MATCH(9.99E+307,'Returns (Calc)'!$A:$A)-3),"")</f>
        <v>46.969811320754722</v>
      </c>
      <c r="AA72" s="84">
        <f>IFERROR('Price History'!F3+(INDEX('Price History'!F:F,MATCH(9.99E+307,'Price History'!$A:$A))-'Price History'!F3)*(ROW()-3)/(MATCH(9.99E+307,'Returns (Calc)'!$A:$A)-3),"")</f>
        <v>20.977358490566036</v>
      </c>
      <c r="AB72" s="84">
        <f>IFERROR('Price History'!G3+(INDEX('Price History'!G:G,MATCH(9.99E+307,'Price History'!$A:$A))-'Price History'!G3)*(ROW()-3)/(MATCH(9.99E+307,'Returns (Calc)'!$A:$A)-3),"")</f>
        <v>27.113207547169811</v>
      </c>
      <c r="AC72" s="84">
        <f>IFERROR('Price History'!H3+(INDEX('Price History'!H:H,MATCH(9.99E+307,'Price History'!$A:$A))-'Price History'!H3)*(ROW()-3)/(MATCH(9.99E+307,'Returns (Calc)'!$A:$A)-3),"")</f>
        <v>36.435849056603772</v>
      </c>
      <c r="AD72" s="84">
        <f>IFERROR('Price History'!I3+(INDEX('Price History'!I:I,MATCH(9.99E+307,'Price History'!$A:$A))-'Price History'!I3)*(ROW()-3)/(MATCH(9.99E+307,'Returns (Calc)'!$A:$A)-3),"")</f>
        <v>23.122641509433961</v>
      </c>
      <c r="AE72" s="84">
        <f>IFERROR('Price History'!J3+(INDEX('Price History'!J:J,MATCH(9.99E+307,'Price History'!$A:$A))-'Price History'!J3)*(ROW()-3)/(MATCH(9.99E+307,'Returns (Calc)'!$A:$A)-3),"")</f>
        <v>69.911320754716982</v>
      </c>
      <c r="AF72" s="84">
        <f>IFERROR('Price History'!K3+(INDEX('Price History'!K:K,MATCH(9.99E+307,'Price History'!$A:$A))-'Price History'!K3)*(ROW()-3)/(MATCH(9.99E+307,'Returns (Calc)'!$A:$A)-3),"")</f>
        <v>8.7226415094339629</v>
      </c>
      <c r="AG72" s="84">
        <f>IFERROR('Price History'!L3+(INDEX('Price History'!L:L,MATCH(9.99E+307,'Price History'!$A:$A))-'Price History'!L3)*(ROW()-3)/(MATCH(9.99E+307,'Returns (Calc)'!$A:$A)-3),"")</f>
        <v>52.069811320754717</v>
      </c>
      <c r="AH72" s="84">
        <f>IFERROR('Price History'!M3+(INDEX('Price History'!M:M,MATCH(9.99E+307,'Price History'!$A:$A))-'Price History'!M3)*(ROW()-3)/(MATCH(9.99E+307,'Returns (Calc)'!$A:$A)-3),"")</f>
        <v>18.967924528301886</v>
      </c>
      <c r="AI72" s="84">
        <f>IFERROR('Price History'!N3+(INDEX('Price History'!N:N,MATCH(9.99E+307,'Price History'!$A:$A))-'Price History'!N3)*(ROW()-3)/(MATCH(9.99E+307,'Returns (Calc)'!$A:$A)-3),"")</f>
        <v>198.03396226415094</v>
      </c>
      <c r="AJ72" s="84">
        <f>IFERROR('Price History'!O3+(INDEX('Price History'!O:O,MATCH(9.99E+307,'Price History'!$A:$A))-'Price History'!O3)*(ROW()-3)/(MATCH(9.99E+307,'Returns (Calc)'!$A:$A)-3),"")</f>
        <v>46.89622641509434</v>
      </c>
      <c r="AK72" s="84">
        <f>IFERROR('Price History'!Q3+(INDEX('Price History'!Q:Q,MATCH(9.99E+307,'Price History'!$A:$A))-'Price History'!Q3)*(ROW()-3)/(MATCH(9.99E+307,'Returns (Calc)'!$A:$A)-3),"")</f>
        <v>28.211320754716983</v>
      </c>
      <c r="AL72" s="84">
        <f>IFERROR('Price History'!R3+(INDEX('Price History'!R:R,MATCH(9.99E+307,'Price History'!$A:$A))-'Price History'!R3)*(ROW()-3)/(MATCH(9.99E+307,'Returns (Calc)'!$A:$A)-3),"")</f>
        <v>27.067924528301887</v>
      </c>
      <c r="AM72" s="84">
        <f>IFERROR('Price History'!S3+(INDEX('Price History'!S:S,MATCH(9.99E+307,'Price History'!$A:$A))-'Price History'!S3)*(ROW()-3)/(MATCH(9.99E+307,'Returns (Calc)'!$A:$A)-3),"")</f>
        <v>33.135849056603774</v>
      </c>
      <c r="AN72" s="84">
        <f>IFERROR('Price History'!T3+(INDEX('Price History'!T:T,MATCH(9.99E+307,'Price History'!$A:$A))-'Price History'!T3)*(ROW()-3)/(MATCH(9.99E+307,'Returns (Calc)'!$A:$A)-3),"")</f>
        <v>15.232075471698113</v>
      </c>
      <c r="AO72" s="85">
        <f>IFERROR('Price History'!V3+(INDEX('Price History'!V:V,MATCH(9.99E+307,'Price History'!$A:$A))-'Price History'!V3)*(ROW()-3)/(MATCH(9.99E+307,'Returns (Calc)'!$A:$A)-3),"")</f>
        <v>0</v>
      </c>
    </row>
    <row r="73" spans="1:41" ht="15" customHeight="1" x14ac:dyDescent="0.3">
      <c r="A73" s="81">
        <f>IF('Price History'!A74="","",'Price History'!A74)</f>
        <v>45646</v>
      </c>
      <c r="B73" s="82">
        <f>IFERROR(IF(OR(NOT(ISNUMBER('Price History'!B74)),NOT(ISNUMBER('Price History'!B73)),'Price History'!B73=0),"",'Price History'!B74/'Price History'!B73-1),"")</f>
        <v>-3.9768945006334655E-2</v>
      </c>
      <c r="C73" s="82">
        <f>IFERROR(IF(OR(NOT(ISNUMBER('Price History'!C74)),NOT(ISNUMBER('Price History'!C73)),'Price History'!C73=0),"",'Price History'!C74/'Price History'!C73-1),"")</f>
        <v>3.9156358458662943E-3</v>
      </c>
      <c r="D73" s="82">
        <f>IFERROR(IF(OR(NOT(ISNUMBER('Price History'!D74)),NOT(ISNUMBER('Price History'!D73)),'Price History'!D73=0),"",'Price History'!D74/'Price History'!D73-1),"")</f>
        <v>-1.7952072142280784E-2</v>
      </c>
      <c r="E73" s="82">
        <f>IFERROR(IF(OR(NOT(ISNUMBER('Price History'!E74)),NOT(ISNUMBER('Price History'!E73)),'Price History'!E73=0),"",'Price History'!E74/'Price History'!E73-1),"")</f>
        <v>-1.7838078291815052E-2</v>
      </c>
      <c r="F73" s="82">
        <f>IFERROR(IF(OR(NOT(ISNUMBER('Price History'!F74)),NOT(ISNUMBER('Price History'!F73)),'Price History'!F73=0),"",'Price History'!F74/'Price History'!F73-1),"")</f>
        <v>-1.5650472774698554E-2</v>
      </c>
      <c r="G73" s="82">
        <f>IFERROR(IF(OR(NOT(ISNUMBER('Price History'!G74)),NOT(ISNUMBER('Price History'!G73)),'Price History'!G73=0),"",'Price History'!G74/'Price History'!G73-1),"")</f>
        <v>-3.7320281431630464E-2</v>
      </c>
      <c r="H73" s="82">
        <f>IFERROR(IF(OR(NOT(ISNUMBER('Price History'!H74)),NOT(ISNUMBER('Price History'!H73)),'Price History'!H73=0),"",'Price History'!H74/'Price History'!H73-1),"")</f>
        <v>-0.12078048780487805</v>
      </c>
      <c r="I73" s="82">
        <f>IFERROR(IF(OR(NOT(ISNUMBER('Price History'!I74)),NOT(ISNUMBER('Price History'!I73)),'Price History'!I73=0),"",'Price History'!I74/'Price History'!I73-1),"")</f>
        <v>3.3519553072625108E-3</v>
      </c>
      <c r="J73" s="82">
        <f>IFERROR(IF(OR(NOT(ISNUMBER('Price History'!J74)),NOT(ISNUMBER('Price History'!J73)),'Price History'!J73=0),"",'Price History'!J74/'Price History'!J73-1),"")</f>
        <v>-7.0278052731035712E-2</v>
      </c>
      <c r="K73" s="82">
        <f>IFERROR(IF(OR(NOT(ISNUMBER('Price History'!K74)),NOT(ISNUMBER('Price History'!K73)),'Price History'!K73=0),"",'Price History'!K74/'Price History'!K73-1),"")</f>
        <v>5.889312475351649E-2</v>
      </c>
      <c r="L73" s="82">
        <f>IFERROR(IF(OR(NOT(ISNUMBER('Price History'!L74)),NOT(ISNUMBER('Price History'!L73)),'Price History'!L73=0),"",'Price History'!L74/'Price History'!L73-1),"")</f>
        <v>-1.8806905816209807E-2</v>
      </c>
      <c r="M73" s="82">
        <f>IFERROR(IF(OR(NOT(ISNUMBER('Price History'!M74)),NOT(ISNUMBER('Price History'!M73)),'Price History'!M73=0),"",'Price History'!M74/'Price History'!M73-1),"")</f>
        <v>-4.5635236126570167E-2</v>
      </c>
      <c r="N73" s="82">
        <f>IFERROR(IF(OR(NOT(ISNUMBER('Price History'!N74)),NOT(ISNUMBER('Price History'!N73)),'Price History'!N73=0),"",'Price History'!N74/'Price History'!N73-1),"")</f>
        <v>-0.14331615379639018</v>
      </c>
      <c r="O73" s="82">
        <f>IFERROR(IF(OR(NOT(ISNUMBER('Price History'!O74)),NOT(ISNUMBER('Price History'!O73)),'Price History'!O73=0),"",'Price History'!O74/'Price History'!O73-1),"")</f>
        <v>-5.7837466915008351E-2</v>
      </c>
      <c r="P73" s="82" t="str">
        <f>IFERROR(IF(OR(NOT(ISNUMBER('Price History'!P74)),NOT(ISNUMBER('Price History'!P73)),'Price History'!P73=0),"",'Price History'!P74/'Price History'!P73-1),"")</f>
        <v/>
      </c>
      <c r="Q73" s="82">
        <f>IFERROR(IF(OR(NOT(ISNUMBER('Price History'!Q74)),NOT(ISNUMBER('Price History'!Q73)),'Price History'!Q73=0),"",'Price History'!Q74/'Price History'!Q73-1),"")</f>
        <v>-6.3694267515923553E-4</v>
      </c>
      <c r="R73" s="82">
        <f>IFERROR(IF(OR(NOT(ISNUMBER('Price History'!R74)),NOT(ISNUMBER('Price History'!R73)),'Price History'!R73=0),"",'Price History'!R74/'Price History'!R73-1),"")</f>
        <v>-1.1235955056179803E-2</v>
      </c>
      <c r="S73" s="82">
        <f>IFERROR(IF(OR(NOT(ISNUMBER('Price History'!S74)),NOT(ISNUMBER('Price History'!S73)),'Price History'!S73=0),"",'Price History'!S74/'Price History'!S73-1),"")</f>
        <v>-2.2399509051856392E-2</v>
      </c>
      <c r="T73" s="82">
        <f>IFERROR(IF(OR(NOT(ISNUMBER('Price History'!T74)),NOT(ISNUMBER('Price History'!T73)),'Price History'!T73=0),"",'Price History'!T74/'Price History'!T73-1),"")</f>
        <v>-3.059765513297108E-2</v>
      </c>
      <c r="U73" s="82" t="str">
        <f>IFERROR(IF(OR(NOT(ISNUMBER('Price History'!U74)),NOT(ISNUMBER('Price History'!U73)),'Price History'!U73=0),"",'Price History'!U74/'Price History'!U73-1),"")</f>
        <v/>
      </c>
      <c r="V73" s="83">
        <f>IFERROR(IF(OR(NOT(ISNUMBER('Price History'!V74)),NOT(ISNUMBER('Price History'!V73)),'Price History'!V73=0),"",'Price History'!V74/'Price History'!V73-1),"")</f>
        <v>9.4640270400772053E-3</v>
      </c>
      <c r="W73" s="84" t="str">
        <f>IFERROR('Price History'!B3+(INDEX('Price History'!B:B,MATCH(9.99E+307,'Price History'!$A:$A))-'Price History'!B3)*(ROW()-3)/(MATCH(9.99E+307,'Returns (Calc)'!$A:$A)-3),"")</f>
        <v/>
      </c>
      <c r="X73" s="84">
        <f>IFERROR('Price History'!C3+(INDEX('Price History'!C:C,MATCH(9.99E+307,'Price History'!$A:$A))-'Price History'!C3)*(ROW()-3)/(MATCH(9.99E+307,'Returns (Calc)'!$A:$A)-3),"")</f>
        <v>24.483396226415095</v>
      </c>
      <c r="Y73" s="84">
        <f>IFERROR('Price History'!D3+(INDEX('Price History'!D:D,MATCH(9.99E+307,'Price History'!$A:$A))-'Price History'!D3)*(ROW()-3)/(MATCH(9.99E+307,'Returns (Calc)'!$A:$A)-3),"")</f>
        <v>370.4303144654088</v>
      </c>
      <c r="Z73" s="84">
        <f>IFERROR('Price History'!E3+(INDEX('Price History'!E:E,MATCH(9.99E+307,'Price History'!$A:$A))-'Price History'!E3)*(ROW()-3)/(MATCH(9.99E+307,'Returns (Calc)'!$A:$A)-3),"")</f>
        <v>46.44792452830189</v>
      </c>
      <c r="AA73" s="84">
        <f>IFERROR('Price History'!F3+(INDEX('Price History'!F:F,MATCH(9.99E+307,'Price History'!$A:$A))-'Price History'!F3)*(ROW()-3)/(MATCH(9.99E+307,'Returns (Calc)'!$A:$A)-3),"")</f>
        <v>20.744276729559751</v>
      </c>
      <c r="AB73" s="84">
        <f>IFERROR('Price History'!G3+(INDEX('Price History'!G:G,MATCH(9.99E+307,'Price History'!$A:$A))-'Price History'!G3)*(ROW()-3)/(MATCH(9.99E+307,'Returns (Calc)'!$A:$A)-3),"")</f>
        <v>26.811949685534589</v>
      </c>
      <c r="AC73" s="84">
        <f>IFERROR('Price History'!H3+(INDEX('Price History'!H:H,MATCH(9.99E+307,'Price History'!$A:$A))-'Price History'!H3)*(ROW()-3)/(MATCH(9.99E+307,'Returns (Calc)'!$A:$A)-3),"")</f>
        <v>36.031006289308181</v>
      </c>
      <c r="AD73" s="84">
        <f>IFERROR('Price History'!I3+(INDEX('Price History'!I:I,MATCH(9.99E+307,'Price History'!$A:$A))-'Price History'!I3)*(ROW()-3)/(MATCH(9.99E+307,'Returns (Calc)'!$A:$A)-3),"")</f>
        <v>22.865723270440252</v>
      </c>
      <c r="AE73" s="84">
        <f>IFERROR('Price History'!J3+(INDEX('Price History'!J:J,MATCH(9.99E+307,'Price History'!$A:$A))-'Price History'!J3)*(ROW()-3)/(MATCH(9.99E+307,'Returns (Calc)'!$A:$A)-3),"")</f>
        <v>69.134528301886803</v>
      </c>
      <c r="AF73" s="84">
        <f>IFERROR('Price History'!K3+(INDEX('Price History'!K:K,MATCH(9.99E+307,'Price History'!$A:$A))-'Price History'!K3)*(ROW()-3)/(MATCH(9.99E+307,'Returns (Calc)'!$A:$A)-3),"")</f>
        <v>8.6257232704402504</v>
      </c>
      <c r="AG73" s="84">
        <f>IFERROR('Price History'!L3+(INDEX('Price History'!L:L,MATCH(9.99E+307,'Price History'!$A:$A))-'Price History'!L3)*(ROW()-3)/(MATCH(9.99E+307,'Returns (Calc)'!$A:$A)-3),"")</f>
        <v>51.491257861635219</v>
      </c>
      <c r="AH73" s="84">
        <f>IFERROR('Price History'!M3+(INDEX('Price History'!M:M,MATCH(9.99E+307,'Price History'!$A:$A))-'Price History'!M3)*(ROW()-3)/(MATCH(9.99E+307,'Returns (Calc)'!$A:$A)-3),"")</f>
        <v>18.757169811320754</v>
      </c>
      <c r="AI73" s="84">
        <f>IFERROR('Price History'!N3+(INDEX('Price History'!N:N,MATCH(9.99E+307,'Price History'!$A:$A))-'Price History'!N3)*(ROW()-3)/(MATCH(9.99E+307,'Returns (Calc)'!$A:$A)-3),"")</f>
        <v>195.83358490566039</v>
      </c>
      <c r="AJ73" s="84">
        <f>IFERROR('Price History'!O3+(INDEX('Price History'!O:O,MATCH(9.99E+307,'Price History'!$A:$A))-'Price History'!O3)*(ROW()-3)/(MATCH(9.99E+307,'Returns (Calc)'!$A:$A)-3),"")</f>
        <v>46.375157232704396</v>
      </c>
      <c r="AK73" s="84">
        <f>IFERROR('Price History'!Q3+(INDEX('Price History'!Q:Q,MATCH(9.99E+307,'Price History'!$A:$A))-'Price History'!Q3)*(ROW()-3)/(MATCH(9.99E+307,'Returns (Calc)'!$A:$A)-3),"")</f>
        <v>27.897861635220128</v>
      </c>
      <c r="AL73" s="84">
        <f>IFERROR('Price History'!R3+(INDEX('Price History'!R:R,MATCH(9.99E+307,'Price History'!$A:$A))-'Price History'!R3)*(ROW()-3)/(MATCH(9.99E+307,'Returns (Calc)'!$A:$A)-3),"")</f>
        <v>26.767169811320755</v>
      </c>
      <c r="AM73" s="84">
        <f>IFERROR('Price History'!S3+(INDEX('Price History'!S:S,MATCH(9.99E+307,'Price History'!$A:$A))-'Price History'!S3)*(ROW()-3)/(MATCH(9.99E+307,'Returns (Calc)'!$A:$A)-3),"")</f>
        <v>32.767672955974845</v>
      </c>
      <c r="AN73" s="84">
        <f>IFERROR('Price History'!T3+(INDEX('Price History'!T:T,MATCH(9.99E+307,'Price History'!$A:$A))-'Price History'!T3)*(ROW()-3)/(MATCH(9.99E+307,'Returns (Calc)'!$A:$A)-3),"")</f>
        <v>15.062830188679245</v>
      </c>
      <c r="AO73" s="85">
        <f>IFERROR('Price History'!V3+(INDEX('Price History'!V:V,MATCH(9.99E+307,'Price History'!$A:$A))-'Price History'!V3)*(ROW()-3)/(MATCH(9.99E+307,'Returns (Calc)'!$A:$A)-3),"")</f>
        <v>0</v>
      </c>
    </row>
    <row r="74" spans="1:41" ht="15" customHeight="1" x14ac:dyDescent="0.3">
      <c r="A74" s="81">
        <f>IF('Price History'!A75="","",'Price History'!A75)</f>
        <v>45653</v>
      </c>
      <c r="B74" s="82">
        <f>IFERROR(IF(OR(NOT(ISNUMBER('Price History'!B75)),NOT(ISNUMBER('Price History'!B74)),'Price History'!B74=0),"",'Price History'!B75/'Price History'!B74-1),"")</f>
        <v>-1.5430373236129391E-3</v>
      </c>
      <c r="C74" s="82">
        <f>IFERROR(IF(OR(NOT(ISNUMBER('Price History'!C75)),NOT(ISNUMBER('Price History'!C74)),'Price History'!C74=0),"",'Price History'!C75/'Price History'!C74-1),"")</f>
        <v>1.9501817214786499E-3</v>
      </c>
      <c r="D74" s="82">
        <f>IFERROR(IF(OR(NOT(ISNUMBER('Price History'!D75)),NOT(ISNUMBER('Price History'!D74)),'Price History'!D74=0),"",'Price History'!D75/'Price History'!D74-1),"")</f>
        <v>1.1209046593356975E-2</v>
      </c>
      <c r="E74" s="82">
        <f>IFERROR(IF(OR(NOT(ISNUMBER('Price History'!E75)),NOT(ISNUMBER('Price History'!E74)),'Price History'!E74=0),"",'Price History'!E75/'Price History'!E74-1),"")</f>
        <v>9.4931835680963861E-2</v>
      </c>
      <c r="F74" s="82">
        <f>IFERROR(IF(OR(NOT(ISNUMBER('Price History'!F75)),NOT(ISNUMBER('Price History'!F74)),'Price History'!F74=0),"",'Price History'!F75/'Price History'!F74-1),"")</f>
        <v>-2.0094954179087909E-2</v>
      </c>
      <c r="G74" s="82">
        <f>IFERROR(IF(OR(NOT(ISNUMBER('Price History'!G75)),NOT(ISNUMBER('Price History'!G74)),'Price History'!G74=0),"",'Price History'!G75/'Price History'!G74-1),"")</f>
        <v>2.4467747060692879E-2</v>
      </c>
      <c r="H74" s="82">
        <f>IFERROR(IF(OR(NOT(ISNUMBER('Price History'!H75)),NOT(ISNUMBER('Price History'!H74)),'Price History'!H74=0),"",'Price History'!H75/'Price History'!H74-1),"")</f>
        <v>-1.6533510874389812E-2</v>
      </c>
      <c r="I74" s="82">
        <f>IFERROR(IF(OR(NOT(ISNUMBER('Price History'!I75)),NOT(ISNUMBER('Price History'!I74)),'Price History'!I74=0),"",'Price History'!I75/'Price History'!I74-1),"")</f>
        <v>1.714922048997769E-2</v>
      </c>
      <c r="J74" s="82">
        <f>IFERROR(IF(OR(NOT(ISNUMBER('Price History'!J75)),NOT(ISNUMBER('Price History'!J74)),'Price History'!J74=0),"",'Price History'!J75/'Price History'!J74-1),"")</f>
        <v>1.8583042973286945E-2</v>
      </c>
      <c r="K74" s="82">
        <f>IFERROR(IF(OR(NOT(ISNUMBER('Price History'!K75)),NOT(ISNUMBER('Price History'!K74)),'Price History'!K74=0),"",'Price History'!K75/'Price History'!K74-1),"")</f>
        <v>-1.8249534450651805E-2</v>
      </c>
      <c r="L74" s="82">
        <f>IFERROR(IF(OR(NOT(ISNUMBER('Price History'!L75)),NOT(ISNUMBER('Price History'!L74)),'Price History'!L74=0),"",'Price History'!L75/'Price History'!L74-1),"")</f>
        <v>2.2412656558997934E-2</v>
      </c>
      <c r="M74" s="82">
        <f>IFERROR(IF(OR(NOT(ISNUMBER('Price History'!M75)),NOT(ISNUMBER('Price History'!M74)),'Price History'!M74=0),"",'Price History'!M75/'Price History'!M74-1),"")</f>
        <v>-4.1069643452182669E-2</v>
      </c>
      <c r="N74" s="82">
        <f>IFERROR(IF(OR(NOT(ISNUMBER('Price History'!N75)),NOT(ISNUMBER('Price History'!N74)),'Price History'!N74=0),"",'Price History'!N75/'Price History'!N74-1),"")</f>
        <v>2.8922395348251806E-2</v>
      </c>
      <c r="O74" s="82">
        <f>IFERROR(IF(OR(NOT(ISNUMBER('Price History'!O75)),NOT(ISNUMBER('Price History'!O74)),'Price History'!O74=0),"",'Price History'!O75/'Price History'!O74-1),"")</f>
        <v>3.9538029341379399E-3</v>
      </c>
      <c r="P74" s="82" t="str">
        <f>IFERROR(IF(OR(NOT(ISNUMBER('Price History'!P75)),NOT(ISNUMBER('Price History'!P74)),'Price History'!P74=0),"",'Price History'!P75/'Price History'!P74-1),"")</f>
        <v/>
      </c>
      <c r="Q74" s="82">
        <f>IFERROR(IF(OR(NOT(ISNUMBER('Price History'!Q75)),NOT(ISNUMBER('Price History'!Q74)),'Price History'!Q74=0),"",'Price History'!Q75/'Price History'!Q74-1),"")</f>
        <v>1.051625239005749E-2</v>
      </c>
      <c r="R74" s="82">
        <f>IFERROR(IF(OR(NOT(ISNUMBER('Price History'!R75)),NOT(ISNUMBER('Price History'!R74)),'Price History'!R74=0),"",'Price History'!R75/'Price History'!R74-1),"")</f>
        <v>9.4405594405593263E-3</v>
      </c>
      <c r="S74" s="82">
        <f>IFERROR(IF(OR(NOT(ISNUMBER('Price History'!S75)),NOT(ISNUMBER('Price History'!S74)),'Price History'!S74=0),"",'Price History'!S75/'Price History'!S74-1),"")</f>
        <v>1.0567064239380697E-2</v>
      </c>
      <c r="T74" s="82">
        <f>IFERROR(IF(OR(NOT(ISNUMBER('Price History'!T75)),NOT(ISNUMBER('Price History'!T74)),'Price History'!T74=0),"",'Price History'!T75/'Price History'!T74-1),"")</f>
        <v>9.1445427728613637E-3</v>
      </c>
      <c r="U74" s="82" t="str">
        <f>IFERROR(IF(OR(NOT(ISNUMBER('Price History'!U75)),NOT(ISNUMBER('Price History'!U74)),'Price History'!U74=0),"",'Price History'!U75/'Price History'!U74-1),"")</f>
        <v/>
      </c>
      <c r="V74" s="83">
        <f>IFERROR(IF(OR(NOT(ISNUMBER('Price History'!V75)),NOT(ISNUMBER('Price History'!V74)),'Price History'!V74=0),"",'Price History'!V75/'Price History'!V74-1),"")</f>
        <v>2.9656557925954452E-3</v>
      </c>
      <c r="W74" s="84" t="str">
        <f>IFERROR('Price History'!B3+(INDEX('Price History'!B:B,MATCH(9.99E+307,'Price History'!$A:$A))-'Price History'!B3)*(ROW()-3)/(MATCH(9.99E+307,'Returns (Calc)'!$A:$A)-3),"")</f>
        <v/>
      </c>
      <c r="X74" s="84">
        <f>IFERROR('Price History'!C3+(INDEX('Price History'!C:C,MATCH(9.99E+307,'Price History'!$A:$A))-'Price History'!C3)*(ROW()-3)/(MATCH(9.99E+307,'Returns (Calc)'!$A:$A)-3),"")</f>
        <v>24.208301886792455</v>
      </c>
      <c r="Y74" s="84">
        <f>IFERROR('Price History'!D3+(INDEX('Price History'!D:D,MATCH(9.99E+307,'Price History'!$A:$A))-'Price History'!D3)*(ROW()-3)/(MATCH(9.99E+307,'Returns (Calc)'!$A:$A)-3),"")</f>
        <v>366.26817610062892</v>
      </c>
      <c r="Z74" s="84">
        <f>IFERROR('Price History'!E3+(INDEX('Price History'!E:E,MATCH(9.99E+307,'Price History'!$A:$A))-'Price History'!E3)*(ROW()-3)/(MATCH(9.99E+307,'Returns (Calc)'!$A:$A)-3),"")</f>
        <v>45.926037735849064</v>
      </c>
      <c r="AA74" s="84">
        <f>IFERROR('Price History'!F3+(INDEX('Price History'!F:F,MATCH(9.99E+307,'Price History'!$A:$A))-'Price History'!F3)*(ROW()-3)/(MATCH(9.99E+307,'Returns (Calc)'!$A:$A)-3),"")</f>
        <v>20.511194968553461</v>
      </c>
      <c r="AB74" s="84">
        <f>IFERROR('Price History'!G3+(INDEX('Price History'!G:G,MATCH(9.99E+307,'Price History'!$A:$A))-'Price History'!G3)*(ROW()-3)/(MATCH(9.99E+307,'Returns (Calc)'!$A:$A)-3),"")</f>
        <v>26.510691823899368</v>
      </c>
      <c r="AC74" s="84">
        <f>IFERROR('Price History'!H3+(INDEX('Price History'!H:H,MATCH(9.99E+307,'Price History'!$A:$A))-'Price History'!H3)*(ROW()-3)/(MATCH(9.99E+307,'Returns (Calc)'!$A:$A)-3),"")</f>
        <v>35.626163522012575</v>
      </c>
      <c r="AD74" s="84">
        <f>IFERROR('Price History'!I3+(INDEX('Price History'!I:I,MATCH(9.99E+307,'Price History'!$A:$A))-'Price History'!I3)*(ROW()-3)/(MATCH(9.99E+307,'Returns (Calc)'!$A:$A)-3),"")</f>
        <v>22.608805031446543</v>
      </c>
      <c r="AE74" s="84">
        <f>IFERROR('Price History'!J3+(INDEX('Price History'!J:J,MATCH(9.99E+307,'Price History'!$A:$A))-'Price History'!J3)*(ROW()-3)/(MATCH(9.99E+307,'Returns (Calc)'!$A:$A)-3),"")</f>
        <v>68.35773584905661</v>
      </c>
      <c r="AF74" s="84">
        <f>IFERROR('Price History'!K3+(INDEX('Price History'!K:K,MATCH(9.99E+307,'Price History'!$A:$A))-'Price History'!K3)*(ROW()-3)/(MATCH(9.99E+307,'Returns (Calc)'!$A:$A)-3),"")</f>
        <v>8.5288050314465416</v>
      </c>
      <c r="AG74" s="84">
        <f>IFERROR('Price History'!L3+(INDEX('Price History'!L:L,MATCH(9.99E+307,'Price History'!$A:$A))-'Price History'!L3)*(ROW()-3)/(MATCH(9.99E+307,'Returns (Calc)'!$A:$A)-3),"")</f>
        <v>50.912704402515722</v>
      </c>
      <c r="AH74" s="84">
        <f>IFERROR('Price History'!M3+(INDEX('Price History'!M:M,MATCH(9.99E+307,'Price History'!$A:$A))-'Price History'!M3)*(ROW()-3)/(MATCH(9.99E+307,'Returns (Calc)'!$A:$A)-3),"")</f>
        <v>18.546415094339622</v>
      </c>
      <c r="AI74" s="84">
        <f>IFERROR('Price History'!N3+(INDEX('Price History'!N:N,MATCH(9.99E+307,'Price History'!$A:$A))-'Price History'!N3)*(ROW()-3)/(MATCH(9.99E+307,'Returns (Calc)'!$A:$A)-3),"")</f>
        <v>193.6332075471698</v>
      </c>
      <c r="AJ74" s="84">
        <f>IFERROR('Price History'!O3+(INDEX('Price History'!O:O,MATCH(9.99E+307,'Price History'!$A:$A))-'Price History'!O3)*(ROW()-3)/(MATCH(9.99E+307,'Returns (Calc)'!$A:$A)-3),"")</f>
        <v>45.854088050314466</v>
      </c>
      <c r="AK74" s="84">
        <f>IFERROR('Price History'!Q3+(INDEX('Price History'!Q:Q,MATCH(9.99E+307,'Price History'!$A:$A))-'Price History'!Q3)*(ROW()-3)/(MATCH(9.99E+307,'Returns (Calc)'!$A:$A)-3),"")</f>
        <v>27.584402515723273</v>
      </c>
      <c r="AL74" s="84">
        <f>IFERROR('Price History'!R3+(INDEX('Price History'!R:R,MATCH(9.99E+307,'Price History'!$A:$A))-'Price History'!R3)*(ROW()-3)/(MATCH(9.99E+307,'Returns (Calc)'!$A:$A)-3),"")</f>
        <v>26.466415094339624</v>
      </c>
      <c r="AM74" s="84">
        <f>IFERROR('Price History'!S3+(INDEX('Price History'!S:S,MATCH(9.99E+307,'Price History'!$A:$A))-'Price History'!S3)*(ROW()-3)/(MATCH(9.99E+307,'Returns (Calc)'!$A:$A)-3),"")</f>
        <v>32.399496855345909</v>
      </c>
      <c r="AN74" s="84">
        <f>IFERROR('Price History'!T3+(INDEX('Price History'!T:T,MATCH(9.99E+307,'Price History'!$A:$A))-'Price History'!T3)*(ROW()-3)/(MATCH(9.99E+307,'Returns (Calc)'!$A:$A)-3),"")</f>
        <v>14.893584905660378</v>
      </c>
      <c r="AO74" s="85">
        <f>IFERROR('Price History'!V3+(INDEX('Price History'!V:V,MATCH(9.99E+307,'Price History'!$A:$A))-'Price History'!V3)*(ROW()-3)/(MATCH(9.99E+307,'Returns (Calc)'!$A:$A)-3),"")</f>
        <v>0</v>
      </c>
    </row>
    <row r="75" spans="1:41" ht="15" customHeight="1" x14ac:dyDescent="0.3">
      <c r="A75" s="81">
        <f>IF('Price History'!A76="","",'Price History'!A76)</f>
        <v>45660</v>
      </c>
      <c r="B75" s="82">
        <f>IFERROR(IF(OR(NOT(ISNUMBER('Price History'!B76)),NOT(ISNUMBER('Price History'!B75)),'Price History'!B75=0),"",'Price History'!B76/'Price History'!B75-1),"")</f>
        <v>-3.5634294929224208E-2</v>
      </c>
      <c r="C75" s="82">
        <f>IFERROR(IF(OR(NOT(ISNUMBER('Price History'!C76)),NOT(ISNUMBER('Price History'!C75)),'Price History'!C75=0),"",'Price History'!C76/'Price History'!C75-1),"")</f>
        <v>1.9198442891267931E-2</v>
      </c>
      <c r="D75" s="82">
        <f>IFERROR(IF(OR(NOT(ISNUMBER('Price History'!D76)),NOT(ISNUMBER('Price History'!D75)),'Price History'!D75=0),"",'Price History'!D76/'Price History'!D75-1),"")</f>
        <v>1.0790509956697392E-3</v>
      </c>
      <c r="E75" s="82">
        <f>IFERROR(IF(OR(NOT(ISNUMBER('Price History'!E76)),NOT(ISNUMBER('Price History'!E75)),'Price History'!E75=0),"",'Price History'!E76/'Price History'!E75-1),"")</f>
        <v>-3.8055842812823149E-2</v>
      </c>
      <c r="F75" s="82">
        <f>IFERROR(IF(OR(NOT(ISNUMBER('Price History'!F76)),NOT(ISNUMBER('Price History'!F75)),'Price History'!F75=0),"",'Price History'!F76/'Price History'!F75-1),"")</f>
        <v>1.1380281690140936E-2</v>
      </c>
      <c r="G75" s="82">
        <f>IFERROR(IF(OR(NOT(ISNUMBER('Price History'!G76)),NOT(ISNUMBER('Price History'!G75)),'Price History'!G75=0),"",'Price History'!G76/'Price History'!G75-1),"")</f>
        <v>1.8920595533498785E-2</v>
      </c>
      <c r="H75" s="82">
        <f>IFERROR(IF(OR(NOT(ISNUMBER('Price History'!H76)),NOT(ISNUMBER('Price History'!H75)),'Price History'!H75=0),"",'Price History'!H76/'Price History'!H75-1),"")</f>
        <v>1.3990748053706481E-2</v>
      </c>
      <c r="I75" s="82">
        <f>IFERROR(IF(OR(NOT(ISNUMBER('Price History'!I76)),NOT(ISNUMBER('Price History'!I75)),'Price History'!I75=0),"",'Price History'!I76/'Price History'!I75-1),"")</f>
        <v>5.4448580395591639E-2</v>
      </c>
      <c r="J75" s="82">
        <f>IFERROR(IF(OR(NOT(ISNUMBER('Price History'!J76)),NOT(ISNUMBER('Price History'!J75)),'Price History'!J75=0),"",'Price History'!J76/'Price History'!J75-1),"")</f>
        <v>3.7058152793614241E-3</v>
      </c>
      <c r="K75" s="82">
        <f>IFERROR(IF(OR(NOT(ISNUMBER('Price History'!K76)),NOT(ISNUMBER('Price History'!K75)),'Price History'!K75=0),"",'Price History'!K76/'Price History'!K75-1),"")</f>
        <v>1.0242792109256493E-2</v>
      </c>
      <c r="L75" s="82">
        <f>IFERROR(IF(OR(NOT(ISNUMBER('Price History'!L76)),NOT(ISNUMBER('Price History'!L75)),'Price History'!L75=0),"",'Price History'!L76/'Price History'!L75-1),"")</f>
        <v>3.4617864405098508E-2</v>
      </c>
      <c r="M75" s="82">
        <f>IFERROR(IF(OR(NOT(ISNUMBER('Price History'!M76)),NOT(ISNUMBER('Price History'!M75)),'Price History'!M75=0),"",'Price History'!M76/'Price History'!M75-1),"")</f>
        <v>9.1738337242637469E-2</v>
      </c>
      <c r="N75" s="82">
        <f>IFERROR(IF(OR(NOT(ISNUMBER('Price History'!N76)),NOT(ISNUMBER('Price History'!N75)),'Price History'!N75=0),"",'Price History'!N76/'Price History'!N75-1),"")</f>
        <v>-4.0365984930031962E-3</v>
      </c>
      <c r="O75" s="82">
        <f>IFERROR(IF(OR(NOT(ISNUMBER('Price History'!O76)),NOT(ISNUMBER('Price History'!O75)),'Price History'!O75=0),"",'Price History'!O76/'Price History'!O75-1),"")</f>
        <v>7.7728261996061754E-3</v>
      </c>
      <c r="P75" s="82" t="str">
        <f>IFERROR(IF(OR(NOT(ISNUMBER('Price History'!P76)),NOT(ISNUMBER('Price History'!P75)),'Price History'!P75=0),"",'Price History'!P76/'Price History'!P75-1),"")</f>
        <v/>
      </c>
      <c r="Q75" s="82">
        <f>IFERROR(IF(OR(NOT(ISNUMBER('Price History'!Q76)),NOT(ISNUMBER('Price History'!Q75)),'Price History'!Q75=0),"",'Price History'!Q76/'Price History'!Q75-1),"")</f>
        <v>-8.9877010406811397E-3</v>
      </c>
      <c r="R75" s="82">
        <f>IFERROR(IF(OR(NOT(ISNUMBER('Price History'!R76)),NOT(ISNUMBER('Price History'!R75)),'Price History'!R75=0),"",'Price History'!R76/'Price History'!R75-1),"")</f>
        <v>-1.1430550744717771E-2</v>
      </c>
      <c r="S75" s="82">
        <f>IFERROR(IF(OR(NOT(ISNUMBER('Price History'!S76)),NOT(ISNUMBER('Price History'!S75)),'Price History'!S75=0),"",'Price History'!S76/'Price History'!S75-1),"")</f>
        <v>3.1059115850502472E-3</v>
      </c>
      <c r="T75" s="82">
        <f>IFERROR(IF(OR(NOT(ISNUMBER('Price History'!T76)),NOT(ISNUMBER('Price History'!T75)),'Price History'!T75=0),"",'Price History'!T76/'Price History'!T75-1),"")</f>
        <v>7.6001169248756106E-3</v>
      </c>
      <c r="U75" s="82" t="str">
        <f>IFERROR(IF(OR(NOT(ISNUMBER('Price History'!U76)),NOT(ISNUMBER('Price History'!U75)),'Price History'!U75=0),"",'Price History'!U76/'Price History'!U75-1),"")</f>
        <v/>
      </c>
      <c r="V75" s="83">
        <f>IFERROR(IF(OR(NOT(ISNUMBER('Price History'!V76)),NOT(ISNUMBER('Price History'!V75)),'Price History'!V75=0),"",'Price History'!V76/'Price History'!V75-1),"")</f>
        <v>-1.1763957776929845E-2</v>
      </c>
      <c r="W75" s="84" t="str">
        <f>IFERROR('Price History'!B3+(INDEX('Price History'!B:B,MATCH(9.99E+307,'Price History'!$A:$A))-'Price History'!B3)*(ROW()-3)/(MATCH(9.99E+307,'Returns (Calc)'!$A:$A)-3),"")</f>
        <v/>
      </c>
      <c r="X75" s="84">
        <f>IFERROR('Price History'!C3+(INDEX('Price History'!C:C,MATCH(9.99E+307,'Price History'!$A:$A))-'Price History'!C3)*(ROW()-3)/(MATCH(9.99E+307,'Returns (Calc)'!$A:$A)-3),"")</f>
        <v>23.933207547169811</v>
      </c>
      <c r="Y75" s="84">
        <f>IFERROR('Price History'!D3+(INDEX('Price History'!D:D,MATCH(9.99E+307,'Price History'!$A:$A))-'Price History'!D3)*(ROW()-3)/(MATCH(9.99E+307,'Returns (Calc)'!$A:$A)-3),"")</f>
        <v>362.10603773584904</v>
      </c>
      <c r="Z75" s="84">
        <f>IFERROR('Price History'!E3+(INDEX('Price History'!E:E,MATCH(9.99E+307,'Price History'!$A:$A))-'Price History'!E3)*(ROW()-3)/(MATCH(9.99E+307,'Returns (Calc)'!$A:$A)-3),"")</f>
        <v>45.404150943396225</v>
      </c>
      <c r="AA75" s="84">
        <f>IFERROR('Price History'!F3+(INDEX('Price History'!F:F,MATCH(9.99E+307,'Price History'!$A:$A))-'Price History'!F3)*(ROW()-3)/(MATCH(9.99E+307,'Returns (Calc)'!$A:$A)-3),"")</f>
        <v>20.278113207547172</v>
      </c>
      <c r="AB75" s="84">
        <f>IFERROR('Price History'!G3+(INDEX('Price History'!G:G,MATCH(9.99E+307,'Price History'!$A:$A))-'Price History'!G3)*(ROW()-3)/(MATCH(9.99E+307,'Returns (Calc)'!$A:$A)-3),"")</f>
        <v>26.20943396226415</v>
      </c>
      <c r="AC75" s="84">
        <f>IFERROR('Price History'!H3+(INDEX('Price History'!H:H,MATCH(9.99E+307,'Price History'!$A:$A))-'Price History'!H3)*(ROW()-3)/(MATCH(9.99E+307,'Returns (Calc)'!$A:$A)-3),"")</f>
        <v>35.221320754716984</v>
      </c>
      <c r="AD75" s="84">
        <f>IFERROR('Price History'!I3+(INDEX('Price History'!I:I,MATCH(9.99E+307,'Price History'!$A:$A))-'Price History'!I3)*(ROW()-3)/(MATCH(9.99E+307,'Returns (Calc)'!$A:$A)-3),"")</f>
        <v>22.351886792452831</v>
      </c>
      <c r="AE75" s="84">
        <f>IFERROR('Price History'!J3+(INDEX('Price History'!J:J,MATCH(9.99E+307,'Price History'!$A:$A))-'Price History'!J3)*(ROW()-3)/(MATCH(9.99E+307,'Returns (Calc)'!$A:$A)-3),"")</f>
        <v>67.580943396226417</v>
      </c>
      <c r="AF75" s="84">
        <f>IFERROR('Price History'!K3+(INDEX('Price History'!K:K,MATCH(9.99E+307,'Price History'!$A:$A))-'Price History'!K3)*(ROW()-3)/(MATCH(9.99E+307,'Returns (Calc)'!$A:$A)-3),"")</f>
        <v>8.4318867924528291</v>
      </c>
      <c r="AG75" s="84">
        <f>IFERROR('Price History'!L3+(INDEX('Price History'!L:L,MATCH(9.99E+307,'Price History'!$A:$A))-'Price History'!L3)*(ROW()-3)/(MATCH(9.99E+307,'Returns (Calc)'!$A:$A)-3),"")</f>
        <v>50.334150943396224</v>
      </c>
      <c r="AH75" s="84">
        <f>IFERROR('Price History'!M3+(INDEX('Price History'!M:M,MATCH(9.99E+307,'Price History'!$A:$A))-'Price History'!M3)*(ROW()-3)/(MATCH(9.99E+307,'Returns (Calc)'!$A:$A)-3),"")</f>
        <v>18.33566037735849</v>
      </c>
      <c r="AI75" s="84">
        <f>IFERROR('Price History'!N3+(INDEX('Price History'!N:N,MATCH(9.99E+307,'Price History'!$A:$A))-'Price History'!N3)*(ROW()-3)/(MATCH(9.99E+307,'Returns (Calc)'!$A:$A)-3),"")</f>
        <v>191.43283018867925</v>
      </c>
      <c r="AJ75" s="84">
        <f>IFERROR('Price History'!O3+(INDEX('Price History'!O:O,MATCH(9.99E+307,'Price History'!$A:$A))-'Price History'!O3)*(ROW()-3)/(MATCH(9.99E+307,'Returns (Calc)'!$A:$A)-3),"")</f>
        <v>45.333018867924523</v>
      </c>
      <c r="AK75" s="84">
        <f>IFERROR('Price History'!Q3+(INDEX('Price History'!Q:Q,MATCH(9.99E+307,'Price History'!$A:$A))-'Price History'!Q3)*(ROW()-3)/(MATCH(9.99E+307,'Returns (Calc)'!$A:$A)-3),"")</f>
        <v>27.270943396226414</v>
      </c>
      <c r="AL75" s="84">
        <f>IFERROR('Price History'!R3+(INDEX('Price History'!R:R,MATCH(9.99E+307,'Price History'!$A:$A))-'Price History'!R3)*(ROW()-3)/(MATCH(9.99E+307,'Returns (Calc)'!$A:$A)-3),"")</f>
        <v>26.165660377358492</v>
      </c>
      <c r="AM75" s="84">
        <f>IFERROR('Price History'!S3+(INDEX('Price History'!S:S,MATCH(9.99E+307,'Price History'!$A:$A))-'Price History'!S3)*(ROW()-3)/(MATCH(9.99E+307,'Returns (Calc)'!$A:$A)-3),"")</f>
        <v>32.03132075471698</v>
      </c>
      <c r="AN75" s="84">
        <f>IFERROR('Price History'!T3+(INDEX('Price History'!T:T,MATCH(9.99E+307,'Price History'!$A:$A))-'Price History'!T3)*(ROW()-3)/(MATCH(9.99E+307,'Returns (Calc)'!$A:$A)-3),"")</f>
        <v>14.72433962264151</v>
      </c>
      <c r="AO75" s="85">
        <f>IFERROR('Price History'!V3+(INDEX('Price History'!V:V,MATCH(9.99E+307,'Price History'!$A:$A))-'Price History'!V3)*(ROW()-3)/(MATCH(9.99E+307,'Returns (Calc)'!$A:$A)-3),"")</f>
        <v>0</v>
      </c>
    </row>
    <row r="76" spans="1:41" ht="15" customHeight="1" x14ac:dyDescent="0.3">
      <c r="A76" s="81">
        <f>IF('Price History'!A77="","",'Price History'!A77)</f>
        <v>45667</v>
      </c>
      <c r="B76" s="82">
        <f>IFERROR(IF(OR(NOT(ISNUMBER('Price History'!B77)),NOT(ISNUMBER('Price History'!B76)),'Price History'!B76=0),"",'Price History'!B77/'Price History'!B76-1),"")</f>
        <v>-5.7249692268388386E-2</v>
      </c>
      <c r="C76" s="82">
        <f>IFERROR(IF(OR(NOT(ISNUMBER('Price History'!C77)),NOT(ISNUMBER('Price History'!C76)),'Price History'!C76=0),"",'Price History'!C77/'Price History'!C76-1),"")</f>
        <v>-7.4652777777777235E-3</v>
      </c>
      <c r="D76" s="82">
        <f>IFERROR(IF(OR(NOT(ISNUMBER('Price History'!D77)),NOT(ISNUMBER('Price History'!D76)),'Price History'!D76=0),"",'Price History'!D77/'Price History'!D76-1),"")</f>
        <v>3.450641133322141E-2</v>
      </c>
      <c r="E76" s="82">
        <f>IFERROR(IF(OR(NOT(ISNUMBER('Price History'!E77)),NOT(ISNUMBER('Price History'!E76)),'Price History'!E76=0),"",'Price History'!E77/'Price History'!E76-1),"")</f>
        <v>-3.5433240163405766E-2</v>
      </c>
      <c r="F76" s="82">
        <f>IFERROR(IF(OR(NOT(ISNUMBER('Price History'!F77)),NOT(ISNUMBER('Price History'!F76)),'Price History'!F76=0),"",'Price History'!F77/'Price History'!F76-1),"")</f>
        <v>-2.840909090909105E-2</v>
      </c>
      <c r="G76" s="82">
        <f>IFERROR(IF(OR(NOT(ISNUMBER('Price History'!G77)),NOT(ISNUMBER('Price History'!G76)),'Price History'!G76=0),"",'Price History'!G77/'Price History'!G76-1),"")</f>
        <v>3.9726027397260166E-2</v>
      </c>
      <c r="H76" s="82">
        <f>IFERROR(IF(OR(NOT(ISNUMBER('Price History'!H77)),NOT(ISNUMBER('Price History'!H76)),'Price History'!H76=0),"",'Price History'!H77/'Price History'!H76-1),"")</f>
        <v>0.10537442973183486</v>
      </c>
      <c r="I76" s="82">
        <f>IFERROR(IF(OR(NOT(ISNUMBER('Price History'!I77)),NOT(ISNUMBER('Price History'!I76)),'Price History'!I76=0),"",'Price History'!I77/'Price History'!I76-1),"")</f>
        <v>-5.9251055582473899E-2</v>
      </c>
      <c r="J76" s="82">
        <f>IFERROR(IF(OR(NOT(ISNUMBER('Price History'!J77)),NOT(ISNUMBER('Price History'!J76)),'Price History'!J76=0),"",'Price History'!J77/'Price History'!J76-1),"")</f>
        <v>-1.9312695257029167E-2</v>
      </c>
      <c r="K76" s="82">
        <f>IFERROR(IF(OR(NOT(ISNUMBER('Price History'!K77)),NOT(ISNUMBER('Price History'!K76)),'Price History'!K76=0),"",'Price History'!K77/'Price History'!K76-1),"")</f>
        <v>-0.15809237701840029</v>
      </c>
      <c r="L76" s="82">
        <f>IFERROR(IF(OR(NOT(ISNUMBER('Price History'!L77)),NOT(ISNUMBER('Price History'!L76)),'Price History'!L76=0),"",'Price History'!L77/'Price History'!L76-1),"")</f>
        <v>-1.1504721729543865E-3</v>
      </c>
      <c r="M76" s="82">
        <f>IFERROR(IF(OR(NOT(ISNUMBER('Price History'!M77)),NOT(ISNUMBER('Price History'!M76)),'Price History'!M76=0),"",'Price History'!M77/'Price History'!M76-1),"")</f>
        <v>2.5940956473303078E-2</v>
      </c>
      <c r="N76" s="82">
        <f>IFERROR(IF(OR(NOT(ISNUMBER('Price History'!N77)),NOT(ISNUMBER('Price History'!N76)),'Price History'!N76=0),"",'Price History'!N77/'Price History'!N76-1),"")</f>
        <v>6.0180295251897054E-3</v>
      </c>
      <c r="O76" s="82">
        <f>IFERROR(IF(OR(NOT(ISNUMBER('Price History'!O77)),NOT(ISNUMBER('Price History'!O76)),'Price History'!O76=0),"",'Price History'!O77/'Price History'!O76-1),"")</f>
        <v>-2.6223776223776141E-2</v>
      </c>
      <c r="P76" s="82" t="str">
        <f>IFERROR(IF(OR(NOT(ISNUMBER('Price History'!P77)),NOT(ISNUMBER('Price History'!P76)),'Price History'!P76=0),"",'Price History'!P77/'Price History'!P76-1),"")</f>
        <v/>
      </c>
      <c r="Q76" s="82">
        <f>IFERROR(IF(OR(NOT(ISNUMBER('Price History'!Q77)),NOT(ISNUMBER('Price History'!Q76)),'Price History'!Q76=0),"",'Price History'!Q77/'Price History'!Q76-1),"")</f>
        <v>-6.364359586316648E-3</v>
      </c>
      <c r="R76" s="82">
        <f>IFERROR(IF(OR(NOT(ISNUMBER('Price History'!R77)),NOT(ISNUMBER('Price History'!R76)),'Price History'!R76=0),"",'Price History'!R77/'Price History'!R76-1),"")</f>
        <v>-1.927119831814994E-2</v>
      </c>
      <c r="S76" s="82">
        <f>IFERROR(IF(OR(NOT(ISNUMBER('Price History'!S77)),NOT(ISNUMBER('Price History'!S76)),'Price History'!S76=0),"",'Price History'!S77/'Price History'!S76-1),"")</f>
        <v>-1.3520487150376792E-2</v>
      </c>
      <c r="T76" s="82">
        <f>IFERROR(IF(OR(NOT(ISNUMBER('Price History'!T77)),NOT(ISNUMBER('Price History'!T76)),'Price History'!T76=0),"",'Price History'!T77/'Price History'!T76-1),"")</f>
        <v>-2.9010733971568392E-4</v>
      </c>
      <c r="U76" s="82" t="str">
        <f>IFERROR(IF(OR(NOT(ISNUMBER('Price History'!U77)),NOT(ISNUMBER('Price History'!U76)),'Price History'!U76=0),"",'Price History'!U77/'Price History'!U76-1),"")</f>
        <v/>
      </c>
      <c r="V76" s="83">
        <f>IFERROR(IF(OR(NOT(ISNUMBER('Price History'!V77)),NOT(ISNUMBER('Price History'!V76)),'Price History'!V76=0),"",'Price History'!V77/'Price History'!V76-1),"")</f>
        <v>-2.2842802908435655E-2</v>
      </c>
      <c r="W76" s="84" t="str">
        <f>IFERROR('Price History'!B3+(INDEX('Price History'!B:B,MATCH(9.99E+307,'Price History'!$A:$A))-'Price History'!B3)*(ROW()-3)/(MATCH(9.99E+307,'Returns (Calc)'!$A:$A)-3),"")</f>
        <v/>
      </c>
      <c r="X76" s="84">
        <f>IFERROR('Price History'!C3+(INDEX('Price History'!C:C,MATCH(9.99E+307,'Price History'!$A:$A))-'Price History'!C3)*(ROW()-3)/(MATCH(9.99E+307,'Returns (Calc)'!$A:$A)-3),"")</f>
        <v>23.658113207547171</v>
      </c>
      <c r="Y76" s="84">
        <f>IFERROR('Price History'!D3+(INDEX('Price History'!D:D,MATCH(9.99E+307,'Price History'!$A:$A))-'Price History'!D3)*(ROW()-3)/(MATCH(9.99E+307,'Returns (Calc)'!$A:$A)-3),"")</f>
        <v>357.94389937106916</v>
      </c>
      <c r="Z76" s="84">
        <f>IFERROR('Price History'!E3+(INDEX('Price History'!E:E,MATCH(9.99E+307,'Price History'!$A:$A))-'Price History'!E3)*(ROW()-3)/(MATCH(9.99E+307,'Returns (Calc)'!$A:$A)-3),"")</f>
        <v>44.882264150943399</v>
      </c>
      <c r="AA76" s="84">
        <f>IFERROR('Price History'!F3+(INDEX('Price History'!F:F,MATCH(9.99E+307,'Price History'!$A:$A))-'Price History'!F3)*(ROW()-3)/(MATCH(9.99E+307,'Returns (Calc)'!$A:$A)-3),"")</f>
        <v>20.045031446540882</v>
      </c>
      <c r="AB76" s="84">
        <f>IFERROR('Price History'!G3+(INDEX('Price History'!G:G,MATCH(9.99E+307,'Price History'!$A:$A))-'Price History'!G3)*(ROW()-3)/(MATCH(9.99E+307,'Returns (Calc)'!$A:$A)-3),"")</f>
        <v>25.908176100628932</v>
      </c>
      <c r="AC76" s="84">
        <f>IFERROR('Price History'!H3+(INDEX('Price History'!H:H,MATCH(9.99E+307,'Price History'!$A:$A))-'Price History'!H3)*(ROW()-3)/(MATCH(9.99E+307,'Returns (Calc)'!$A:$A)-3),"")</f>
        <v>34.816477987421386</v>
      </c>
      <c r="AD76" s="84">
        <f>IFERROR('Price History'!I3+(INDEX('Price History'!I:I,MATCH(9.99E+307,'Price History'!$A:$A))-'Price History'!I3)*(ROW()-3)/(MATCH(9.99E+307,'Returns (Calc)'!$A:$A)-3),"")</f>
        <v>22.094968553459118</v>
      </c>
      <c r="AE76" s="84">
        <f>IFERROR('Price History'!J3+(INDEX('Price History'!J:J,MATCH(9.99E+307,'Price History'!$A:$A))-'Price History'!J3)*(ROW()-3)/(MATCH(9.99E+307,'Returns (Calc)'!$A:$A)-3),"")</f>
        <v>66.804150943396237</v>
      </c>
      <c r="AF76" s="84">
        <f>IFERROR('Price History'!K3+(INDEX('Price History'!K:K,MATCH(9.99E+307,'Price History'!$A:$A))-'Price History'!K3)*(ROW()-3)/(MATCH(9.99E+307,'Returns (Calc)'!$A:$A)-3),"")</f>
        <v>8.3349685534591202</v>
      </c>
      <c r="AG76" s="84">
        <f>IFERROR('Price History'!L3+(INDEX('Price History'!L:L,MATCH(9.99E+307,'Price History'!$A:$A))-'Price History'!L3)*(ROW()-3)/(MATCH(9.99E+307,'Returns (Calc)'!$A:$A)-3),"")</f>
        <v>49.755597484276727</v>
      </c>
      <c r="AH76" s="84">
        <f>IFERROR('Price History'!M3+(INDEX('Price History'!M:M,MATCH(9.99E+307,'Price History'!$A:$A))-'Price History'!M3)*(ROW()-3)/(MATCH(9.99E+307,'Returns (Calc)'!$A:$A)-3),"")</f>
        <v>18.124905660377358</v>
      </c>
      <c r="AI76" s="84">
        <f>IFERROR('Price History'!N3+(INDEX('Price History'!N:N,MATCH(9.99E+307,'Price History'!$A:$A))-'Price History'!N3)*(ROW()-3)/(MATCH(9.99E+307,'Returns (Calc)'!$A:$A)-3),"")</f>
        <v>189.23245283018869</v>
      </c>
      <c r="AJ76" s="84">
        <f>IFERROR('Price History'!O3+(INDEX('Price History'!O:O,MATCH(9.99E+307,'Price History'!$A:$A))-'Price History'!O3)*(ROW()-3)/(MATCH(9.99E+307,'Returns (Calc)'!$A:$A)-3),"")</f>
        <v>44.811949685534593</v>
      </c>
      <c r="AK76" s="84">
        <f>IFERROR('Price History'!Q3+(INDEX('Price History'!Q:Q,MATCH(9.99E+307,'Price History'!$A:$A))-'Price History'!Q3)*(ROW()-3)/(MATCH(9.99E+307,'Returns (Calc)'!$A:$A)-3),"")</f>
        <v>26.957484276729563</v>
      </c>
      <c r="AL76" s="84">
        <f>IFERROR('Price History'!R3+(INDEX('Price History'!R:R,MATCH(9.99E+307,'Price History'!$A:$A))-'Price History'!R3)*(ROW()-3)/(MATCH(9.99E+307,'Returns (Calc)'!$A:$A)-3),"")</f>
        <v>25.864905660377357</v>
      </c>
      <c r="AM76" s="84">
        <f>IFERROR('Price History'!S3+(INDEX('Price History'!S:S,MATCH(9.99E+307,'Price History'!$A:$A))-'Price History'!S3)*(ROW()-3)/(MATCH(9.99E+307,'Returns (Calc)'!$A:$A)-3),"")</f>
        <v>31.66314465408805</v>
      </c>
      <c r="AN76" s="84">
        <f>IFERROR('Price History'!T3+(INDEX('Price History'!T:T,MATCH(9.99E+307,'Price History'!$A:$A))-'Price History'!T3)*(ROW()-3)/(MATCH(9.99E+307,'Returns (Calc)'!$A:$A)-3),"")</f>
        <v>14.555094339622642</v>
      </c>
      <c r="AO76" s="85">
        <f>IFERROR('Price History'!V3+(INDEX('Price History'!V:V,MATCH(9.99E+307,'Price History'!$A:$A))-'Price History'!V3)*(ROW()-3)/(MATCH(9.99E+307,'Returns (Calc)'!$A:$A)-3),"")</f>
        <v>0</v>
      </c>
    </row>
    <row r="77" spans="1:41" ht="15" customHeight="1" x14ac:dyDescent="0.3">
      <c r="A77" s="81">
        <f>IF('Price History'!A78="","",'Price History'!A78)</f>
        <v>45674</v>
      </c>
      <c r="B77" s="82">
        <f>IFERROR(IF(OR(NOT(ISNUMBER('Price History'!B78)),NOT(ISNUMBER('Price History'!B77)),'Price History'!B77=0),"",'Price History'!B78/'Price History'!B77-1),"")</f>
        <v>5.9297398502167864E-2</v>
      </c>
      <c r="C77" s="82">
        <f>IFERROR(IF(OR(NOT(ISNUMBER('Price History'!C78)),NOT(ISNUMBER('Price History'!C77)),'Price History'!C77=0),"",'Price History'!C78/'Price History'!C77-1),"")</f>
        <v>4.9064194507608905E-2</v>
      </c>
      <c r="D77" s="82">
        <f>IFERROR(IF(OR(NOT(ISNUMBER('Price History'!D78)),NOT(ISNUMBER('Price History'!D77)),'Price History'!D77=0),"",'Price History'!D78/'Price History'!D77-1),"")</f>
        <v>2.3436759989716061E-2</v>
      </c>
      <c r="E77" s="82">
        <f>IFERROR(IF(OR(NOT(ISNUMBER('Price History'!E78)),NOT(ISNUMBER('Price History'!E77)),'Price History'!E77=0),"",'Price History'!E78/'Price History'!E77-1),"")</f>
        <v>5.8535063082341354E-2</v>
      </c>
      <c r="F77" s="82">
        <f>IFERROR(IF(OR(NOT(ISNUMBER('Price History'!F78)),NOT(ISNUMBER('Price History'!F77)),'Price History'!F77=0),"",'Price History'!F78/'Price History'!F77-1),"")</f>
        <v>2.3391812865497075E-2</v>
      </c>
      <c r="G77" s="82">
        <f>IFERROR(IF(OR(NOT(ISNUMBER('Price History'!G78)),NOT(ISNUMBER('Price History'!G77)),'Price History'!G77=0),"",'Price History'!G78/'Price History'!G77-1),"")</f>
        <v>0.1089152393500219</v>
      </c>
      <c r="H77" s="82">
        <f>IFERROR(IF(OR(NOT(ISNUMBER('Price History'!H78)),NOT(ISNUMBER('Price History'!H77)),'Price History'!H77=0),"",'Price History'!H78/'Price History'!H77-1),"")</f>
        <v>6.4525870746929614E-2</v>
      </c>
      <c r="I77" s="82">
        <f>IFERROR(IF(OR(NOT(ISNUMBER('Price History'!I78)),NOT(ISNUMBER('Price History'!I77)),'Price History'!I77=0),"",'Price History'!I78/'Price History'!I77-1),"")</f>
        <v>1.3244058568170125E-2</v>
      </c>
      <c r="J77" s="82">
        <f>IFERROR(IF(OR(NOT(ISNUMBER('Price History'!J78)),NOT(ISNUMBER('Price History'!J77)),'Price History'!J77=0),"",'Price History'!J78/'Price History'!J77-1),"")</f>
        <v>5.6858770151559046E-2</v>
      </c>
      <c r="K77" s="82">
        <f>IFERROR(IF(OR(NOT(ISNUMBER('Price History'!K78)),NOT(ISNUMBER('Price History'!K77)),'Price History'!K77=0),"",'Price History'!K78/'Price History'!K77-1),"")</f>
        <v>6.7053226286053924E-2</v>
      </c>
      <c r="L77" s="82">
        <f>IFERROR(IF(OR(NOT(ISNUMBER('Price History'!L78)),NOT(ISNUMBER('Price History'!L77)),'Price History'!L77=0),"",'Price History'!L78/'Price History'!L77-1),"")</f>
        <v>1.502135624130152E-2</v>
      </c>
      <c r="M77" s="82">
        <f>IFERROR(IF(OR(NOT(ISNUMBER('Price History'!M78)),NOT(ISNUMBER('Price History'!M77)),'Price History'!M77=0),"",'Price History'!M78/'Price History'!M77-1),"")</f>
        <v>5.3905219886760225E-2</v>
      </c>
      <c r="N77" s="82">
        <f>IFERROR(IF(OR(NOT(ISNUMBER('Price History'!N78)),NOT(ISNUMBER('Price History'!N77)),'Price History'!N77=0),"",'Price History'!N78/'Price History'!N77-1),"")</f>
        <v>3.0374059966793654E-2</v>
      </c>
      <c r="O77" s="82">
        <f>IFERROR(IF(OR(NOT(ISNUMBER('Price History'!O78)),NOT(ISNUMBER('Price History'!O77)),'Price History'!O77=0),"",'Price History'!O78/'Price History'!O77-1),"")</f>
        <v>4.8896398774949779E-2</v>
      </c>
      <c r="P77" s="82" t="str">
        <f>IFERROR(IF(OR(NOT(ISNUMBER('Price History'!P78)),NOT(ISNUMBER('Price History'!P77)),'Price History'!P77=0),"",'Price History'!P78/'Price History'!P77-1),"")</f>
        <v/>
      </c>
      <c r="Q77" s="82">
        <f>IFERROR(IF(OR(NOT(ISNUMBER('Price History'!Q78)),NOT(ISNUMBER('Price History'!Q77)),'Price History'!Q77=0),"",'Price History'!Q78/'Price History'!Q77-1),"")</f>
        <v>-1.7453963170536491E-2</v>
      </c>
      <c r="R77" s="82">
        <f>IFERROR(IF(OR(NOT(ISNUMBER('Price History'!R78)),NOT(ISNUMBER('Price History'!R77)),'Price History'!R77=0),"",'Price History'!R78/'Price History'!R77-1),"")</f>
        <v>2.3043944265809246E-2</v>
      </c>
      <c r="S77" s="82">
        <f>IFERROR(IF(OR(NOT(ISNUMBER('Price History'!S78)),NOT(ISNUMBER('Price History'!S77)),'Price History'!S77=0),"",'Price History'!S78/'Price History'!S77-1),"")</f>
        <v>3.2119690311780857E-2</v>
      </c>
      <c r="T77" s="82">
        <f>IFERROR(IF(OR(NOT(ISNUMBER('Price History'!T78)),NOT(ISNUMBER('Price History'!T77)),'Price History'!T77=0),"",'Price History'!T78/'Price History'!T77-1),"")</f>
        <v>3.859547301218802E-2</v>
      </c>
      <c r="U77" s="82" t="str">
        <f>IFERROR(IF(OR(NOT(ISNUMBER('Price History'!U78)),NOT(ISNUMBER('Price History'!U77)),'Price History'!U77=0),"",'Price History'!U78/'Price History'!U77-1),"")</f>
        <v/>
      </c>
      <c r="V77" s="83">
        <f>IFERROR(IF(OR(NOT(ISNUMBER('Price History'!V78)),NOT(ISNUMBER('Price History'!V77)),'Price History'!V77=0),"",'Price History'!V78/'Price History'!V77-1),"")</f>
        <v>3.8686948505202157E-2</v>
      </c>
      <c r="W77" s="84" t="str">
        <f>IFERROR('Price History'!B3+(INDEX('Price History'!B:B,MATCH(9.99E+307,'Price History'!$A:$A))-'Price History'!B3)*(ROW()-3)/(MATCH(9.99E+307,'Returns (Calc)'!$A:$A)-3),"")</f>
        <v/>
      </c>
      <c r="X77" s="84">
        <f>IFERROR('Price History'!C3+(INDEX('Price History'!C:C,MATCH(9.99E+307,'Price History'!$A:$A))-'Price History'!C3)*(ROW()-3)/(MATCH(9.99E+307,'Returns (Calc)'!$A:$A)-3),"")</f>
        <v>23.38301886792453</v>
      </c>
      <c r="Y77" s="84">
        <f>IFERROR('Price History'!D3+(INDEX('Price History'!D:D,MATCH(9.99E+307,'Price History'!$A:$A))-'Price History'!D3)*(ROW()-3)/(MATCH(9.99E+307,'Returns (Calc)'!$A:$A)-3),"")</f>
        <v>353.78176100628929</v>
      </c>
      <c r="Z77" s="84">
        <f>IFERROR('Price History'!E3+(INDEX('Price History'!E:E,MATCH(9.99E+307,'Price History'!$A:$A))-'Price History'!E3)*(ROW()-3)/(MATCH(9.99E+307,'Returns (Calc)'!$A:$A)-3),"")</f>
        <v>44.360377358490567</v>
      </c>
      <c r="AA77" s="84">
        <f>IFERROR('Price History'!F3+(INDEX('Price History'!F:F,MATCH(9.99E+307,'Price History'!$A:$A))-'Price History'!F3)*(ROW()-3)/(MATCH(9.99E+307,'Returns (Calc)'!$A:$A)-3),"")</f>
        <v>19.811949685534593</v>
      </c>
      <c r="AB77" s="84">
        <f>IFERROR('Price History'!G3+(INDEX('Price History'!G:G,MATCH(9.99E+307,'Price History'!$A:$A))-'Price History'!G3)*(ROW()-3)/(MATCH(9.99E+307,'Returns (Calc)'!$A:$A)-3),"")</f>
        <v>25.60691823899371</v>
      </c>
      <c r="AC77" s="84">
        <f>IFERROR('Price History'!H3+(INDEX('Price History'!H:H,MATCH(9.99E+307,'Price History'!$A:$A))-'Price History'!H3)*(ROW()-3)/(MATCH(9.99E+307,'Returns (Calc)'!$A:$A)-3),"")</f>
        <v>34.411635220125788</v>
      </c>
      <c r="AD77" s="84">
        <f>IFERROR('Price History'!I3+(INDEX('Price History'!I:I,MATCH(9.99E+307,'Price History'!$A:$A))-'Price History'!I3)*(ROW()-3)/(MATCH(9.99E+307,'Returns (Calc)'!$A:$A)-3),"")</f>
        <v>21.838050314465409</v>
      </c>
      <c r="AE77" s="84">
        <f>IFERROR('Price History'!J3+(INDEX('Price History'!J:J,MATCH(9.99E+307,'Price History'!$A:$A))-'Price History'!J3)*(ROW()-3)/(MATCH(9.99E+307,'Returns (Calc)'!$A:$A)-3),"")</f>
        <v>66.027358490566044</v>
      </c>
      <c r="AF77" s="84">
        <f>IFERROR('Price History'!K3+(INDEX('Price History'!K:K,MATCH(9.99E+307,'Price History'!$A:$A))-'Price History'!K3)*(ROW()-3)/(MATCH(9.99E+307,'Returns (Calc)'!$A:$A)-3),"")</f>
        <v>8.2380503144654096</v>
      </c>
      <c r="AG77" s="84">
        <f>IFERROR('Price History'!L3+(INDEX('Price History'!L:L,MATCH(9.99E+307,'Price History'!$A:$A))-'Price History'!L3)*(ROW()-3)/(MATCH(9.99E+307,'Returns (Calc)'!$A:$A)-3),"")</f>
        <v>49.17704402515723</v>
      </c>
      <c r="AH77" s="84">
        <f>IFERROR('Price History'!M3+(INDEX('Price History'!M:M,MATCH(9.99E+307,'Price History'!$A:$A))-'Price History'!M3)*(ROW()-3)/(MATCH(9.99E+307,'Returns (Calc)'!$A:$A)-3),"")</f>
        <v>17.914150943396226</v>
      </c>
      <c r="AI77" s="84">
        <f>IFERROR('Price History'!N3+(INDEX('Price History'!N:N,MATCH(9.99E+307,'Price History'!$A:$A))-'Price History'!N3)*(ROW()-3)/(MATCH(9.99E+307,'Returns (Calc)'!$A:$A)-3),"")</f>
        <v>187.03207547169814</v>
      </c>
      <c r="AJ77" s="84">
        <f>IFERROR('Price History'!O3+(INDEX('Price History'!O:O,MATCH(9.99E+307,'Price History'!$A:$A))-'Price History'!O3)*(ROW()-3)/(MATCH(9.99E+307,'Returns (Calc)'!$A:$A)-3),"")</f>
        <v>44.290880503144649</v>
      </c>
      <c r="AK77" s="84">
        <f>IFERROR('Price History'!Q3+(INDEX('Price History'!Q:Q,MATCH(9.99E+307,'Price History'!$A:$A))-'Price History'!Q3)*(ROW()-3)/(MATCH(9.99E+307,'Returns (Calc)'!$A:$A)-3),"")</f>
        <v>26.644025157232704</v>
      </c>
      <c r="AL77" s="84">
        <f>IFERROR('Price History'!R3+(INDEX('Price History'!R:R,MATCH(9.99E+307,'Price History'!$A:$A))-'Price History'!R3)*(ROW()-3)/(MATCH(9.99E+307,'Returns (Calc)'!$A:$A)-3),"")</f>
        <v>25.564150943396228</v>
      </c>
      <c r="AM77" s="84">
        <f>IFERROR('Price History'!S3+(INDEX('Price History'!S:S,MATCH(9.99E+307,'Price History'!$A:$A))-'Price History'!S3)*(ROW()-3)/(MATCH(9.99E+307,'Returns (Calc)'!$A:$A)-3),"")</f>
        <v>31.294968553459118</v>
      </c>
      <c r="AN77" s="84">
        <f>IFERROR('Price History'!T3+(INDEX('Price History'!T:T,MATCH(9.99E+307,'Price History'!$A:$A))-'Price History'!T3)*(ROW()-3)/(MATCH(9.99E+307,'Returns (Calc)'!$A:$A)-3),"")</f>
        <v>14.385849056603774</v>
      </c>
      <c r="AO77" s="85">
        <f>IFERROR('Price History'!V3+(INDEX('Price History'!V:V,MATCH(9.99E+307,'Price History'!$A:$A))-'Price History'!V3)*(ROW()-3)/(MATCH(9.99E+307,'Returns (Calc)'!$A:$A)-3),"")</f>
        <v>0</v>
      </c>
    </row>
    <row r="78" spans="1:41" ht="15" customHeight="1" x14ac:dyDescent="0.3">
      <c r="A78" s="81">
        <f>IF('Price History'!A79="","",'Price History'!A79)</f>
        <v>45681</v>
      </c>
      <c r="B78" s="82">
        <f>IFERROR(IF(OR(NOT(ISNUMBER('Price History'!B79)),NOT(ISNUMBER('Price History'!B78)),'Price History'!B78=0),"",'Price History'!B79/'Price History'!B78-1),"")</f>
        <v>1.2535175236633389E-2</v>
      </c>
      <c r="C78" s="82">
        <f>IFERROR(IF(OR(NOT(ISNUMBER('Price History'!C79)),NOT(ISNUMBER('Price History'!C78)),'Price History'!C78=0),"",'Price History'!C79/'Price History'!C78-1),"")</f>
        <v>7.6865360566902741E-2</v>
      </c>
      <c r="D78" s="82">
        <f>IFERROR(IF(OR(NOT(ISNUMBER('Price History'!D79)),NOT(ISNUMBER('Price History'!D78)),'Price History'!D78=0),"",'Price History'!D79/'Price History'!D78-1),"")</f>
        <v>-3.1837954332103791E-2</v>
      </c>
      <c r="E78" s="82">
        <f>IFERROR(IF(OR(NOT(ISNUMBER('Price History'!E79)),NOT(ISNUMBER('Price History'!E78)),'Price History'!E78=0),"",'Price History'!E79/'Price History'!E78-1),"")</f>
        <v>3.0576145552560607E-2</v>
      </c>
      <c r="F78" s="82">
        <f>IFERROR(IF(OR(NOT(ISNUMBER('Price History'!F79)),NOT(ISNUMBER('Price History'!F78)),'Price History'!F78=0),"",'Price History'!F79/'Price History'!F78-1),"")</f>
        <v>5.0196078431372637E-2</v>
      </c>
      <c r="G78" s="82">
        <f>IFERROR(IF(OR(NOT(ISNUMBER('Price History'!G79)),NOT(ISNUMBER('Price History'!G78)),'Price History'!G78=0),"",'Price History'!G79/'Price History'!G78-1),"")</f>
        <v>-1.0165016501650137E-2</v>
      </c>
      <c r="H78" s="82">
        <f>IFERROR(IF(OR(NOT(ISNUMBER('Price History'!H79)),NOT(ISNUMBER('Price History'!H78)),'Price History'!H78=0),"",'Price History'!H79/'Price History'!H78-1),"")</f>
        <v>-2.4208037825059092E-2</v>
      </c>
      <c r="I78" s="82">
        <f>IFERROR(IF(OR(NOT(ISNUMBER('Price History'!I79)),NOT(ISNUMBER('Price History'!I78)),'Price History'!I78=0),"",'Price History'!I79/'Price History'!I78-1),"")</f>
        <v>3.5654636555079389E-2</v>
      </c>
      <c r="J78" s="82">
        <f>IFERROR(IF(OR(NOT(ISNUMBER('Price History'!J79)),NOT(ISNUMBER('Price History'!J78)),'Price History'!J78=0),"",'Price History'!J79/'Price History'!J78-1),"")</f>
        <v>8.6317135549872193E-2</v>
      </c>
      <c r="K78" s="82">
        <f>IFERROR(IF(OR(NOT(ISNUMBER('Price History'!K79)),NOT(ISNUMBER('Price History'!K78)),'Price History'!K78=0),"",'Price History'!K79/'Price History'!K78-1),"")</f>
        <v>0.10045980214574346</v>
      </c>
      <c r="L78" s="82">
        <f>IFERROR(IF(OR(NOT(ISNUMBER('Price History'!L79)),NOT(ISNUMBER('Price History'!L78)),'Price History'!L78=0),"",'Price History'!L79/'Price History'!L78-1),"")</f>
        <v>4.9078014184397167E-2</v>
      </c>
      <c r="M78" s="82">
        <f>IFERROR(IF(OR(NOT(ISNUMBER('Price History'!M79)),NOT(ISNUMBER('Price History'!M78)),'Price History'!M78=0),"",'Price History'!M79/'Price History'!M78-1),"")</f>
        <v>7.6832499264056553E-2</v>
      </c>
      <c r="N78" s="82">
        <f>IFERROR(IF(OR(NOT(ISNUMBER('Price History'!N79)),NOT(ISNUMBER('Price History'!N78)),'Price History'!N78=0),"",'Price History'!N79/'Price History'!N78-1),"")</f>
        <v>4.1753554502369727E-2</v>
      </c>
      <c r="O78" s="82">
        <f>IFERROR(IF(OR(NOT(ISNUMBER('Price History'!O79)),NOT(ISNUMBER('Price History'!O78)),'Price History'!O78=0),"",'Price History'!O79/'Price History'!O78-1),"")</f>
        <v>5.0342327829238087E-3</v>
      </c>
      <c r="P78" s="82" t="str">
        <f>IFERROR(IF(OR(NOT(ISNUMBER('Price History'!P79)),NOT(ISNUMBER('Price History'!P78)),'Price History'!P78=0),"",'Price History'!P79/'Price History'!P78-1),"")</f>
        <v/>
      </c>
      <c r="Q78" s="82">
        <f>IFERROR(IF(OR(NOT(ISNUMBER('Price History'!Q79)),NOT(ISNUMBER('Price History'!Q78)),'Price History'!Q78=0),"",'Price History'!Q79/'Price History'!Q78-1),"")</f>
        <v>-1.4178617992177234E-2</v>
      </c>
      <c r="R78" s="82">
        <f>IFERROR(IF(OR(NOT(ISNUMBER('Price History'!R79)),NOT(ISNUMBER('Price History'!R78)),'Price History'!R78=0),"",'Price History'!R79/'Price History'!R78-1),"")</f>
        <v>1.396891915488041E-2</v>
      </c>
      <c r="S78" s="82">
        <f>IFERROR(IF(OR(NOT(ISNUMBER('Price History'!S79)),NOT(ISNUMBER('Price History'!S78)),'Price History'!S78=0),"",'Price History'!S79/'Price History'!S78-1),"")</f>
        <v>2.716675114039524E-2</v>
      </c>
      <c r="T78" s="82">
        <f>IFERROR(IF(OR(NOT(ISNUMBER('Price History'!T79)),NOT(ISNUMBER('Price History'!T78)),'Price History'!T78=0),"",'Price History'!T79/'Price History'!T78-1),"")</f>
        <v>2.5146689019279744E-3</v>
      </c>
      <c r="U78" s="82" t="str">
        <f>IFERROR(IF(OR(NOT(ISNUMBER('Price History'!U79)),NOT(ISNUMBER('Price History'!U78)),'Price History'!U78=0),"",'Price History'!U79/'Price History'!U78-1),"")</f>
        <v/>
      </c>
      <c r="V78" s="83">
        <f>IFERROR(IF(OR(NOT(ISNUMBER('Price History'!V79)),NOT(ISNUMBER('Price History'!V78)),'Price History'!V78=0),"",'Price History'!V79/'Price History'!V78-1),"")</f>
        <v>3.3093479570165174E-2</v>
      </c>
      <c r="W78" s="84" t="str">
        <f>IFERROR('Price History'!B3+(INDEX('Price History'!B:B,MATCH(9.99E+307,'Price History'!$A:$A))-'Price History'!B3)*(ROW()-3)/(MATCH(9.99E+307,'Returns (Calc)'!$A:$A)-3),"")</f>
        <v/>
      </c>
      <c r="X78" s="84">
        <f>IFERROR('Price History'!C3+(INDEX('Price History'!C:C,MATCH(9.99E+307,'Price History'!$A:$A))-'Price History'!C3)*(ROW()-3)/(MATCH(9.99E+307,'Returns (Calc)'!$A:$A)-3),"")</f>
        <v>23.10792452830189</v>
      </c>
      <c r="Y78" s="84">
        <f>IFERROR('Price History'!D3+(INDEX('Price History'!D:D,MATCH(9.99E+307,'Price History'!$A:$A))-'Price History'!D3)*(ROW()-3)/(MATCH(9.99E+307,'Returns (Calc)'!$A:$A)-3),"")</f>
        <v>349.61962264150941</v>
      </c>
      <c r="Z78" s="84">
        <f>IFERROR('Price History'!E3+(INDEX('Price History'!E:E,MATCH(9.99E+307,'Price History'!$A:$A))-'Price History'!E3)*(ROW()-3)/(MATCH(9.99E+307,'Returns (Calc)'!$A:$A)-3),"")</f>
        <v>43.838490566037741</v>
      </c>
      <c r="AA78" s="84">
        <f>IFERROR('Price History'!F3+(INDEX('Price History'!F:F,MATCH(9.99E+307,'Price History'!$A:$A))-'Price History'!F3)*(ROW()-3)/(MATCH(9.99E+307,'Returns (Calc)'!$A:$A)-3),"")</f>
        <v>19.578867924528303</v>
      </c>
      <c r="AB78" s="84">
        <f>IFERROR('Price History'!G3+(INDEX('Price History'!G:G,MATCH(9.99E+307,'Price History'!$A:$A))-'Price History'!G3)*(ROW()-3)/(MATCH(9.99E+307,'Returns (Calc)'!$A:$A)-3),"")</f>
        <v>25.305660377358489</v>
      </c>
      <c r="AC78" s="84">
        <f>IFERROR('Price History'!H3+(INDEX('Price History'!H:H,MATCH(9.99E+307,'Price History'!$A:$A))-'Price History'!H3)*(ROW()-3)/(MATCH(9.99E+307,'Returns (Calc)'!$A:$A)-3),"")</f>
        <v>34.006792452830197</v>
      </c>
      <c r="AD78" s="84">
        <f>IFERROR('Price History'!I3+(INDEX('Price History'!I:I,MATCH(9.99E+307,'Price History'!$A:$A))-'Price History'!I3)*(ROW()-3)/(MATCH(9.99E+307,'Returns (Calc)'!$A:$A)-3),"")</f>
        <v>21.5811320754717</v>
      </c>
      <c r="AE78" s="84">
        <f>IFERROR('Price History'!J3+(INDEX('Price History'!J:J,MATCH(9.99E+307,'Price History'!$A:$A))-'Price History'!J3)*(ROW()-3)/(MATCH(9.99E+307,'Returns (Calc)'!$A:$A)-3),"")</f>
        <v>65.250566037735851</v>
      </c>
      <c r="AF78" s="84">
        <f>IFERROR('Price History'!K3+(INDEX('Price History'!K:K,MATCH(9.99E+307,'Price History'!$A:$A))-'Price History'!K3)*(ROW()-3)/(MATCH(9.99E+307,'Returns (Calc)'!$A:$A)-3),"")</f>
        <v>8.1411320754716989</v>
      </c>
      <c r="AG78" s="84">
        <f>IFERROR('Price History'!L3+(INDEX('Price History'!L:L,MATCH(9.99E+307,'Price History'!$A:$A))-'Price History'!L3)*(ROW()-3)/(MATCH(9.99E+307,'Returns (Calc)'!$A:$A)-3),"")</f>
        <v>48.598490566037732</v>
      </c>
      <c r="AH78" s="84">
        <f>IFERROR('Price History'!M3+(INDEX('Price History'!M:M,MATCH(9.99E+307,'Price History'!$A:$A))-'Price History'!M3)*(ROW()-3)/(MATCH(9.99E+307,'Returns (Calc)'!$A:$A)-3),"")</f>
        <v>17.703396226415094</v>
      </c>
      <c r="AI78" s="84">
        <f>IFERROR('Price History'!N3+(INDEX('Price History'!N:N,MATCH(9.99E+307,'Price History'!$A:$A))-'Price History'!N3)*(ROW()-3)/(MATCH(9.99E+307,'Returns (Calc)'!$A:$A)-3),"")</f>
        <v>184.83169811320755</v>
      </c>
      <c r="AJ78" s="84">
        <f>IFERROR('Price History'!O3+(INDEX('Price History'!O:O,MATCH(9.99E+307,'Price History'!$A:$A))-'Price History'!O3)*(ROW()-3)/(MATCH(9.99E+307,'Returns (Calc)'!$A:$A)-3),"")</f>
        <v>43.769811320754712</v>
      </c>
      <c r="AK78" s="84">
        <f>IFERROR('Price History'!Q3+(INDEX('Price History'!Q:Q,MATCH(9.99E+307,'Price History'!$A:$A))-'Price History'!Q3)*(ROW()-3)/(MATCH(9.99E+307,'Returns (Calc)'!$A:$A)-3),"")</f>
        <v>26.330566037735849</v>
      </c>
      <c r="AL78" s="84">
        <f>IFERROR('Price History'!R3+(INDEX('Price History'!R:R,MATCH(9.99E+307,'Price History'!$A:$A))-'Price History'!R3)*(ROW()-3)/(MATCH(9.99E+307,'Returns (Calc)'!$A:$A)-3),"")</f>
        <v>25.263396226415093</v>
      </c>
      <c r="AM78" s="84">
        <f>IFERROR('Price History'!S3+(INDEX('Price History'!S:S,MATCH(9.99E+307,'Price History'!$A:$A))-'Price History'!S3)*(ROW()-3)/(MATCH(9.99E+307,'Returns (Calc)'!$A:$A)-3),"")</f>
        <v>30.926792452830188</v>
      </c>
      <c r="AN78" s="84">
        <f>IFERROR('Price History'!T3+(INDEX('Price History'!T:T,MATCH(9.99E+307,'Price History'!$A:$A))-'Price History'!T3)*(ROW()-3)/(MATCH(9.99E+307,'Returns (Calc)'!$A:$A)-3),"")</f>
        <v>14.216603773584906</v>
      </c>
      <c r="AO78" s="85">
        <f>IFERROR('Price History'!V3+(INDEX('Price History'!V:V,MATCH(9.99E+307,'Price History'!$A:$A))-'Price History'!V3)*(ROW()-3)/(MATCH(9.99E+307,'Returns (Calc)'!$A:$A)-3),"")</f>
        <v>0</v>
      </c>
    </row>
    <row r="79" spans="1:41" ht="15" customHeight="1" x14ac:dyDescent="0.3">
      <c r="A79" s="81">
        <f>IF('Price History'!A80="","",'Price History'!A80)</f>
        <v>45688</v>
      </c>
      <c r="B79" s="82">
        <f>IFERROR(IF(OR(NOT(ISNUMBER('Price History'!B80)),NOT(ISNUMBER('Price History'!B79)),'Price History'!B79=0),"",'Price History'!B80/'Price History'!B79-1),"")</f>
        <v>4.7544673618447053E-3</v>
      </c>
      <c r="C79" s="82">
        <f>IFERROR(IF(OR(NOT(ISNUMBER('Price History'!C80)),NOT(ISNUMBER('Price History'!C79)),'Price History'!C79=0),"",'Price History'!C80/'Price History'!C79-1),"")</f>
        <v>-0.10791979561817744</v>
      </c>
      <c r="D79" s="82">
        <f>IFERROR(IF(OR(NOT(ISNUMBER('Price History'!D80)),NOT(ISNUMBER('Price History'!D79)),'Price History'!D79=0),"",'Price History'!D80/'Price History'!D79-1),"")</f>
        <v>9.6415158757254815E-3</v>
      </c>
      <c r="E79" s="82">
        <f>IFERROR(IF(OR(NOT(ISNUMBER('Price History'!E80)),NOT(ISNUMBER('Price History'!E79)),'Price History'!E79=0),"",'Price History'!E80/'Price History'!E79-1),"")</f>
        <v>-9.5749897834082498E-2</v>
      </c>
      <c r="F79" s="82">
        <f>IFERROR(IF(OR(NOT(ISNUMBER('Price History'!F80)),NOT(ISNUMBER('Price History'!F79)),'Price History'!F79=0),"",'Price History'!F80/'Price History'!F79-1),"")</f>
        <v>6.1773178278032637E-2</v>
      </c>
      <c r="G79" s="82">
        <f>IFERROR(IF(OR(NOT(ISNUMBER('Price History'!G80)),NOT(ISNUMBER('Price History'!G79)),'Price History'!G79=0),"",'Price History'!G80/'Price History'!G79-1),"")</f>
        <v>-1.5470792211256468E-2</v>
      </c>
      <c r="H79" s="82">
        <f>IFERROR(IF(OR(NOT(ISNUMBER('Price History'!H80)),NOT(ISNUMBER('Price History'!H79)),'Price History'!H79=0),"",'Price History'!H80/'Price History'!H79-1),"")</f>
        <v>-0.11580579513518752</v>
      </c>
      <c r="I79" s="82">
        <f>IFERROR(IF(OR(NOT(ISNUMBER('Price History'!I80)),NOT(ISNUMBER('Price History'!I79)),'Price History'!I79=0),"",'Price History'!I80/'Price History'!I79-1),"")</f>
        <v>-0.15811246669471335</v>
      </c>
      <c r="J79" s="82">
        <f>IFERROR(IF(OR(NOT(ISNUMBER('Price History'!J80)),NOT(ISNUMBER('Price History'!J79)),'Price History'!J79=0),"",'Price History'!J80/'Price History'!J79-1),"")</f>
        <v>2.6906583704700004E-3</v>
      </c>
      <c r="K79" s="82">
        <f>IFERROR(IF(OR(NOT(ISNUMBER('Price History'!K80)),NOT(ISNUMBER('Price History'!K79)),'Price History'!K79=0),"",'Price History'!K80/'Price History'!K79-1),"")</f>
        <v>4.4441630792605658E-2</v>
      </c>
      <c r="L79" s="82">
        <f>IFERROR(IF(OR(NOT(ISNUMBER('Price History'!L80)),NOT(ISNUMBER('Price History'!L79)),'Price History'!L79=0),"",'Price History'!L80/'Price History'!L79-1),"")</f>
        <v>-5.6607175049576353E-2</v>
      </c>
      <c r="M79" s="82">
        <f>IFERROR(IF(OR(NOT(ISNUMBER('Price History'!M80)),NOT(ISNUMBER('Price History'!M79)),'Price History'!M79=0),"",'Price History'!M80/'Price History'!M79-1),"")</f>
        <v>-0.20024603608529246</v>
      </c>
      <c r="N79" s="82">
        <f>IFERROR(IF(OR(NOT(ISNUMBER('Price History'!N80)),NOT(ISNUMBER('Price History'!N79)),'Price History'!N79=0),"",'Price History'!N80/'Price History'!N79-1),"")</f>
        <v>5.0179700650561765E-2</v>
      </c>
      <c r="O79" s="82">
        <f>IFERROR(IF(OR(NOT(ISNUMBER('Price History'!O80)),NOT(ISNUMBER('Price History'!O79)),'Price History'!O79=0),"",'Price History'!O80/'Price History'!O79-1),"")</f>
        <v>-1.5127229012221854E-2</v>
      </c>
      <c r="P79" s="82" t="str">
        <f>IFERROR(IF(OR(NOT(ISNUMBER('Price History'!P80)),NOT(ISNUMBER('Price History'!P79)),'Price History'!P79=0),"",'Price History'!P80/'Price History'!P79-1),"")</f>
        <v/>
      </c>
      <c r="Q79" s="82">
        <f>IFERROR(IF(OR(NOT(ISNUMBER('Price History'!Q80)),NOT(ISNUMBER('Price History'!Q79)),'Price History'!Q79=0),"",'Price History'!Q80/'Price History'!Q79-1),"")</f>
        <v>-2.1491155562903819E-3</v>
      </c>
      <c r="R79" s="82">
        <f>IFERROR(IF(OR(NOT(ISNUMBER('Price History'!R80)),NOT(ISNUMBER('Price History'!R79)),'Price History'!R79=0),"",'Price History'!R80/'Price History'!R79-1),"")</f>
        <v>-1.0332357499569511E-2</v>
      </c>
      <c r="S79" s="82">
        <f>IFERROR(IF(OR(NOT(ISNUMBER('Price History'!S80)),NOT(ISNUMBER('Price History'!S79)),'Price History'!S79=0),"",'Price History'!S80/'Price History'!S79-1),"")</f>
        <v>-1.2730681930326559E-2</v>
      </c>
      <c r="T79" s="82">
        <f>IFERROR(IF(OR(NOT(ISNUMBER('Price History'!T80)),NOT(ISNUMBER('Price History'!T79)),'Price History'!T79=0),"",'Price History'!T80/'Price History'!T79-1),"")</f>
        <v>-1.0312151616499565E-2</v>
      </c>
      <c r="U79" s="82" t="str">
        <f>IFERROR(IF(OR(NOT(ISNUMBER('Price History'!U80)),NOT(ISNUMBER('Price History'!U79)),'Price History'!U79=0),"",'Price History'!U80/'Price History'!U79-1),"")</f>
        <v/>
      </c>
      <c r="V79" s="83">
        <f>IFERROR(IF(OR(NOT(ISNUMBER('Price History'!V80)),NOT(ISNUMBER('Price History'!V79)),'Price History'!V79=0),"",'Price History'!V80/'Price History'!V79-1),"")</f>
        <v>3.5132398514927443E-2</v>
      </c>
      <c r="W79" s="84" t="str">
        <f>IFERROR('Price History'!B3+(INDEX('Price History'!B:B,MATCH(9.99E+307,'Price History'!$A:$A))-'Price History'!B3)*(ROW()-3)/(MATCH(9.99E+307,'Returns (Calc)'!$A:$A)-3),"")</f>
        <v/>
      </c>
      <c r="X79" s="84">
        <f>IFERROR('Price History'!C3+(INDEX('Price History'!C:C,MATCH(9.99E+307,'Price History'!$A:$A))-'Price History'!C3)*(ROW()-3)/(MATCH(9.99E+307,'Returns (Calc)'!$A:$A)-3),"")</f>
        <v>22.832830188679246</v>
      </c>
      <c r="Y79" s="84">
        <f>IFERROR('Price History'!D3+(INDEX('Price History'!D:D,MATCH(9.99E+307,'Price History'!$A:$A))-'Price History'!D3)*(ROW()-3)/(MATCH(9.99E+307,'Returns (Calc)'!$A:$A)-3),"")</f>
        <v>345.45748427672953</v>
      </c>
      <c r="Z79" s="84">
        <f>IFERROR('Price History'!E3+(INDEX('Price History'!E:E,MATCH(9.99E+307,'Price History'!$A:$A))-'Price History'!E3)*(ROW()-3)/(MATCH(9.99E+307,'Returns (Calc)'!$A:$A)-3),"")</f>
        <v>43.316603773584909</v>
      </c>
      <c r="AA79" s="84">
        <f>IFERROR('Price History'!F3+(INDEX('Price History'!F:F,MATCH(9.99E+307,'Price History'!$A:$A))-'Price History'!F3)*(ROW()-3)/(MATCH(9.99E+307,'Returns (Calc)'!$A:$A)-3),"")</f>
        <v>19.345786163522014</v>
      </c>
      <c r="AB79" s="84">
        <f>IFERROR('Price History'!G3+(INDEX('Price History'!G:G,MATCH(9.99E+307,'Price History'!$A:$A))-'Price History'!G3)*(ROW()-3)/(MATCH(9.99E+307,'Returns (Calc)'!$A:$A)-3),"")</f>
        <v>25.004402515723267</v>
      </c>
      <c r="AC79" s="84">
        <f>IFERROR('Price History'!H3+(INDEX('Price History'!H:H,MATCH(9.99E+307,'Price History'!$A:$A))-'Price History'!H3)*(ROW()-3)/(MATCH(9.99E+307,'Returns (Calc)'!$A:$A)-3),"")</f>
        <v>33.601949685534592</v>
      </c>
      <c r="AD79" s="84">
        <f>IFERROR('Price History'!I3+(INDEX('Price History'!I:I,MATCH(9.99E+307,'Price History'!$A:$A))-'Price History'!I3)*(ROW()-3)/(MATCH(9.99E+307,'Returns (Calc)'!$A:$A)-3),"")</f>
        <v>21.324213836477991</v>
      </c>
      <c r="AE79" s="84">
        <f>IFERROR('Price History'!J3+(INDEX('Price History'!J:J,MATCH(9.99E+307,'Price History'!$A:$A))-'Price History'!J3)*(ROW()-3)/(MATCH(9.99E+307,'Returns (Calc)'!$A:$A)-3),"")</f>
        <v>64.473773584905672</v>
      </c>
      <c r="AF79" s="84">
        <f>IFERROR('Price History'!K3+(INDEX('Price History'!K:K,MATCH(9.99E+307,'Price History'!$A:$A))-'Price History'!K3)*(ROW()-3)/(MATCH(9.99E+307,'Returns (Calc)'!$A:$A)-3),"")</f>
        <v>8.0442138364779865</v>
      </c>
      <c r="AG79" s="84">
        <f>IFERROR('Price History'!L3+(INDEX('Price History'!L:L,MATCH(9.99E+307,'Price History'!$A:$A))-'Price History'!L3)*(ROW()-3)/(MATCH(9.99E+307,'Returns (Calc)'!$A:$A)-3),"")</f>
        <v>48.019937106918235</v>
      </c>
      <c r="AH79" s="84">
        <f>IFERROR('Price History'!M3+(INDEX('Price History'!M:M,MATCH(9.99E+307,'Price History'!$A:$A))-'Price History'!M3)*(ROW()-3)/(MATCH(9.99E+307,'Returns (Calc)'!$A:$A)-3),"")</f>
        <v>17.492641509433962</v>
      </c>
      <c r="AI79" s="84">
        <f>IFERROR('Price History'!N3+(INDEX('Price History'!N:N,MATCH(9.99E+307,'Price History'!$A:$A))-'Price History'!N3)*(ROW()-3)/(MATCH(9.99E+307,'Returns (Calc)'!$A:$A)-3),"")</f>
        <v>182.631320754717</v>
      </c>
      <c r="AJ79" s="84">
        <f>IFERROR('Price History'!O3+(INDEX('Price History'!O:O,MATCH(9.99E+307,'Price History'!$A:$A))-'Price History'!O3)*(ROW()-3)/(MATCH(9.99E+307,'Returns (Calc)'!$A:$A)-3),"")</f>
        <v>43.248742138364776</v>
      </c>
      <c r="AK79" s="84">
        <f>IFERROR('Price History'!Q3+(INDEX('Price History'!Q:Q,MATCH(9.99E+307,'Price History'!$A:$A))-'Price History'!Q3)*(ROW()-3)/(MATCH(9.99E+307,'Returns (Calc)'!$A:$A)-3),"")</f>
        <v>26.017106918238998</v>
      </c>
      <c r="AL79" s="84">
        <f>IFERROR('Price History'!R3+(INDEX('Price History'!R:R,MATCH(9.99E+307,'Price History'!$A:$A))-'Price History'!R3)*(ROW()-3)/(MATCH(9.99E+307,'Returns (Calc)'!$A:$A)-3),"")</f>
        <v>24.962641509433961</v>
      </c>
      <c r="AM79" s="84">
        <f>IFERROR('Price History'!S3+(INDEX('Price History'!S:S,MATCH(9.99E+307,'Price History'!$A:$A))-'Price History'!S3)*(ROW()-3)/(MATCH(9.99E+307,'Returns (Calc)'!$A:$A)-3),"")</f>
        <v>30.558616352201255</v>
      </c>
      <c r="AN79" s="84">
        <f>IFERROR('Price History'!T3+(INDEX('Price History'!T:T,MATCH(9.99E+307,'Price History'!$A:$A))-'Price History'!T3)*(ROW()-3)/(MATCH(9.99E+307,'Returns (Calc)'!$A:$A)-3),"")</f>
        <v>14.047358490566037</v>
      </c>
      <c r="AO79" s="85">
        <f>IFERROR('Price History'!V3+(INDEX('Price History'!V:V,MATCH(9.99E+307,'Price History'!$A:$A))-'Price History'!V3)*(ROW()-3)/(MATCH(9.99E+307,'Returns (Calc)'!$A:$A)-3),"")</f>
        <v>0</v>
      </c>
    </row>
    <row r="80" spans="1:41" ht="15" customHeight="1" x14ac:dyDescent="0.3">
      <c r="A80" s="81">
        <f>IF('Price History'!A81="","",'Price History'!A81)</f>
        <v>45695</v>
      </c>
      <c r="B80" s="82">
        <f>IFERROR(IF(OR(NOT(ISNUMBER('Price History'!B81)),NOT(ISNUMBER('Price History'!B80)),'Price History'!B80=0),"",'Price History'!B81/'Price History'!B80-1),"")</f>
        <v>-1.0012572865470304E-2</v>
      </c>
      <c r="C80" s="82">
        <f>IFERROR(IF(OR(NOT(ISNUMBER('Price History'!C81)),NOT(ISNUMBER('Price History'!C80)),'Price History'!C80=0),"",'Price History'!C81/'Price History'!C80-1),"")</f>
        <v>2.8117677688102027E-2</v>
      </c>
      <c r="D80" s="82">
        <f>IFERROR(IF(OR(NOT(ISNUMBER('Price History'!D81)),NOT(ISNUMBER('Price History'!D80)),'Price History'!D80=0),"",'Price History'!D81/'Price History'!D80-1),"")</f>
        <v>-1.5703831951414005E-2</v>
      </c>
      <c r="E80" s="82">
        <f>IFERROR(IF(OR(NOT(ISNUMBER('Price History'!E81)),NOT(ISNUMBER('Price History'!E80)),'Price History'!E80=0),"",'Price History'!E81/'Price History'!E80-1),"")</f>
        <v>1.6269715731911161E-2</v>
      </c>
      <c r="F80" s="82">
        <f>IFERROR(IF(OR(NOT(ISNUMBER('Price History'!F81)),NOT(ISNUMBER('Price History'!F80)),'Price History'!F80=0),"",'Price History'!F81/'Price History'!F80-1),"")</f>
        <v>5.9083601286173737E-2</v>
      </c>
      <c r="G80" s="82">
        <f>IFERROR(IF(OR(NOT(ISNUMBER('Price History'!G81)),NOT(ISNUMBER('Price History'!G80)),'Price History'!G80=0),"",'Price History'!G81/'Price History'!G80-1),"")</f>
        <v>1.2869141154158825E-2</v>
      </c>
      <c r="H80" s="82">
        <f>IFERROR(IF(OR(NOT(ISNUMBER('Price History'!H81)),NOT(ISNUMBER('Price History'!H80)),'Price History'!H80=0),"",'Price History'!H81/'Price History'!H80-1),"")</f>
        <v>1.1617711530030661E-2</v>
      </c>
      <c r="I80" s="82">
        <f>IFERROR(IF(OR(NOT(ISNUMBER('Price History'!I81)),NOT(ISNUMBER('Price History'!I80)),'Price History'!I80=0),"",'Price History'!I81/'Price History'!I80-1),"")</f>
        <v>8.1369201299242189E-2</v>
      </c>
      <c r="J80" s="82">
        <f>IFERROR(IF(OR(NOT(ISNUMBER('Price History'!J81)),NOT(ISNUMBER('Price History'!J80)),'Price History'!J80=0),"",'Price History'!J81/'Price History'!J80-1),"")</f>
        <v>-1.5932914046121627E-2</v>
      </c>
      <c r="K80" s="82">
        <f>IFERROR(IF(OR(NOT(ISNUMBER('Price History'!K81)),NOT(ISNUMBER('Price History'!K80)),'Price History'!K80=0),"",'Price History'!K81/'Price History'!K80-1),"")</f>
        <v>0.34379924839374465</v>
      </c>
      <c r="L80" s="82">
        <f>IFERROR(IF(OR(NOT(ISNUMBER('Price History'!L81)),NOT(ISNUMBER('Price History'!L80)),'Price History'!L80=0),"",'Price History'!L81/'Price History'!L80-1),"")</f>
        <v>-1.528759793617418E-2</v>
      </c>
      <c r="M80" s="82">
        <f>IFERROR(IF(OR(NOT(ISNUMBER('Price History'!M81)),NOT(ISNUMBER('Price History'!M80)),'Price History'!M80=0),"",'Price History'!M81/'Price History'!M80-1),"")</f>
        <v>3.7258588275508542E-2</v>
      </c>
      <c r="N80" s="82">
        <f>IFERROR(IF(OR(NOT(ISNUMBER('Price History'!N81)),NOT(ISNUMBER('Price History'!N80)),'Price History'!N80=0),"",'Price History'!N81/'Price History'!N80-1),"")</f>
        <v>1.6548258534049509E-2</v>
      </c>
      <c r="O80" s="82">
        <f>IFERROR(IF(OR(NOT(ISNUMBER('Price History'!O81)),NOT(ISNUMBER('Price History'!O80)),'Price History'!O80=0),"",'Price History'!O81/'Price History'!O80-1),"")</f>
        <v>-1.1595971925541626E-2</v>
      </c>
      <c r="P80" s="82" t="str">
        <f>IFERROR(IF(OR(NOT(ISNUMBER('Price History'!P81)),NOT(ISNUMBER('Price History'!P80)),'Price History'!P80=0),"",'Price History'!P81/'Price History'!P80-1),"")</f>
        <v/>
      </c>
      <c r="Q80" s="82">
        <f>IFERROR(IF(OR(NOT(ISNUMBER('Price History'!Q81)),NOT(ISNUMBER('Price History'!Q80)),'Price History'!Q80=0),"",'Price History'!Q81/'Price History'!Q80-1),"")</f>
        <v>-1.2922465208747513E-2</v>
      </c>
      <c r="R80" s="82">
        <f>IFERROR(IF(OR(NOT(ISNUMBER('Price History'!R81)),NOT(ISNUMBER('Price History'!R80)),'Price History'!R80=0),"",'Price History'!R81/'Price History'!R80-1),"")</f>
        <v>-5.2201148425264909E-3</v>
      </c>
      <c r="S80" s="82">
        <f>IFERROR(IF(OR(NOT(ISNUMBER('Price History'!S81)),NOT(ISNUMBER('Price History'!S80)),'Price History'!S80=0),"",'Price History'!S81/'Price History'!S80-1),"")</f>
        <v>1.9892043182726749E-2</v>
      </c>
      <c r="T80" s="82">
        <f>IFERROR(IF(OR(NOT(ISNUMBER('Price History'!T81)),NOT(ISNUMBER('Price History'!T80)),'Price History'!T80=0),"",'Price History'!T81/'Price History'!T80-1),"")</f>
        <v>-8.7299352295127086E-3</v>
      </c>
      <c r="U80" s="82" t="str">
        <f>IFERROR(IF(OR(NOT(ISNUMBER('Price History'!U81)),NOT(ISNUMBER('Price History'!U80)),'Price History'!U80=0),"",'Price History'!U81/'Price History'!U80-1),"")</f>
        <v/>
      </c>
      <c r="V80" s="83">
        <f>IFERROR(IF(OR(NOT(ISNUMBER('Price History'!V81)),NOT(ISNUMBER('Price History'!V80)),'Price History'!V80=0),"",'Price History'!V81/'Price History'!V80-1),"")</f>
        <v>1.820014228124256E-2</v>
      </c>
      <c r="W80" s="84" t="str">
        <f>IFERROR('Price History'!B3+(INDEX('Price History'!B:B,MATCH(9.99E+307,'Price History'!$A:$A))-'Price History'!B3)*(ROW()-3)/(MATCH(9.99E+307,'Returns (Calc)'!$A:$A)-3),"")</f>
        <v/>
      </c>
      <c r="X80" s="84">
        <f>IFERROR('Price History'!C3+(INDEX('Price History'!C:C,MATCH(9.99E+307,'Price History'!$A:$A))-'Price History'!C3)*(ROW()-3)/(MATCH(9.99E+307,'Returns (Calc)'!$A:$A)-3),"")</f>
        <v>22.557735849056606</v>
      </c>
      <c r="Y80" s="84">
        <f>IFERROR('Price History'!D3+(INDEX('Price History'!D:D,MATCH(9.99E+307,'Price History'!$A:$A))-'Price History'!D3)*(ROW()-3)/(MATCH(9.99E+307,'Returns (Calc)'!$A:$A)-3),"")</f>
        <v>341.29534591194965</v>
      </c>
      <c r="Z80" s="84">
        <f>IFERROR('Price History'!E3+(INDEX('Price History'!E:E,MATCH(9.99E+307,'Price History'!$A:$A))-'Price History'!E3)*(ROW()-3)/(MATCH(9.99E+307,'Returns (Calc)'!$A:$A)-3),"")</f>
        <v>42.794716981132076</v>
      </c>
      <c r="AA80" s="84">
        <f>IFERROR('Price History'!F3+(INDEX('Price History'!F:F,MATCH(9.99E+307,'Price History'!$A:$A))-'Price History'!F3)*(ROW()-3)/(MATCH(9.99E+307,'Returns (Calc)'!$A:$A)-3),"")</f>
        <v>19.112704402515725</v>
      </c>
      <c r="AB80" s="84">
        <f>IFERROR('Price History'!G3+(INDEX('Price History'!G:G,MATCH(9.99E+307,'Price History'!$A:$A))-'Price History'!G3)*(ROW()-3)/(MATCH(9.99E+307,'Returns (Calc)'!$A:$A)-3),"")</f>
        <v>24.703144654088049</v>
      </c>
      <c r="AC80" s="84">
        <f>IFERROR('Price History'!H3+(INDEX('Price History'!H:H,MATCH(9.99E+307,'Price History'!$A:$A))-'Price History'!H3)*(ROW()-3)/(MATCH(9.99E+307,'Returns (Calc)'!$A:$A)-3),"")</f>
        <v>33.197106918238994</v>
      </c>
      <c r="AD80" s="84">
        <f>IFERROR('Price History'!I3+(INDEX('Price History'!I:I,MATCH(9.99E+307,'Price History'!$A:$A))-'Price History'!I3)*(ROW()-3)/(MATCH(9.99E+307,'Returns (Calc)'!$A:$A)-3),"")</f>
        <v>21.067295597484275</v>
      </c>
      <c r="AE80" s="84">
        <f>IFERROR('Price History'!J3+(INDEX('Price History'!J:J,MATCH(9.99E+307,'Price History'!$A:$A))-'Price History'!J3)*(ROW()-3)/(MATCH(9.99E+307,'Returns (Calc)'!$A:$A)-3),"")</f>
        <v>63.696981132075472</v>
      </c>
      <c r="AF80" s="84">
        <f>IFERROR('Price History'!K3+(INDEX('Price History'!K:K,MATCH(9.99E+307,'Price History'!$A:$A))-'Price History'!K3)*(ROW()-3)/(MATCH(9.99E+307,'Returns (Calc)'!$A:$A)-3),"")</f>
        <v>7.9472955974842776</v>
      </c>
      <c r="AG80" s="84">
        <f>IFERROR('Price History'!L3+(INDEX('Price History'!L:L,MATCH(9.99E+307,'Price History'!$A:$A))-'Price History'!L3)*(ROW()-3)/(MATCH(9.99E+307,'Returns (Calc)'!$A:$A)-3),"")</f>
        <v>47.441383647798737</v>
      </c>
      <c r="AH80" s="84">
        <f>IFERROR('Price History'!M3+(INDEX('Price History'!M:M,MATCH(9.99E+307,'Price History'!$A:$A))-'Price History'!M3)*(ROW()-3)/(MATCH(9.99E+307,'Returns (Calc)'!$A:$A)-3),"")</f>
        <v>17.281886792452827</v>
      </c>
      <c r="AI80" s="84">
        <f>IFERROR('Price History'!N3+(INDEX('Price History'!N:N,MATCH(9.99E+307,'Price History'!$A:$A))-'Price History'!N3)*(ROW()-3)/(MATCH(9.99E+307,'Returns (Calc)'!$A:$A)-3),"")</f>
        <v>180.43094339622641</v>
      </c>
      <c r="AJ80" s="84">
        <f>IFERROR('Price History'!O3+(INDEX('Price History'!O:O,MATCH(9.99E+307,'Price History'!$A:$A))-'Price History'!O3)*(ROW()-3)/(MATCH(9.99E+307,'Returns (Calc)'!$A:$A)-3),"")</f>
        <v>42.727672955974839</v>
      </c>
      <c r="AK80" s="84">
        <f>IFERROR('Price History'!Q3+(INDEX('Price History'!Q:Q,MATCH(9.99E+307,'Price History'!$A:$A))-'Price History'!Q3)*(ROW()-3)/(MATCH(9.99E+307,'Returns (Calc)'!$A:$A)-3),"")</f>
        <v>25.703647798742139</v>
      </c>
      <c r="AL80" s="84">
        <f>IFERROR('Price History'!R3+(INDEX('Price History'!R:R,MATCH(9.99E+307,'Price History'!$A:$A))-'Price History'!R3)*(ROW()-3)/(MATCH(9.99E+307,'Returns (Calc)'!$A:$A)-3),"")</f>
        <v>24.66188679245283</v>
      </c>
      <c r="AM80" s="84">
        <f>IFERROR('Price History'!S3+(INDEX('Price History'!S:S,MATCH(9.99E+307,'Price History'!$A:$A))-'Price History'!S3)*(ROW()-3)/(MATCH(9.99E+307,'Returns (Calc)'!$A:$A)-3),"")</f>
        <v>30.190440251572326</v>
      </c>
      <c r="AN80" s="84">
        <f>IFERROR('Price History'!T3+(INDEX('Price History'!T:T,MATCH(9.99E+307,'Price History'!$A:$A))-'Price History'!T3)*(ROW()-3)/(MATCH(9.99E+307,'Returns (Calc)'!$A:$A)-3),"")</f>
        <v>13.87811320754717</v>
      </c>
      <c r="AO80" s="85">
        <f>IFERROR('Price History'!V3+(INDEX('Price History'!V:V,MATCH(9.99E+307,'Price History'!$A:$A))-'Price History'!V3)*(ROW()-3)/(MATCH(9.99E+307,'Returns (Calc)'!$A:$A)-3),"")</f>
        <v>0</v>
      </c>
    </row>
    <row r="81" spans="1:41" ht="15" customHeight="1" x14ac:dyDescent="0.3">
      <c r="A81" s="81">
        <f>IF('Price History'!A82="","",'Price History'!A82)</f>
        <v>45702</v>
      </c>
      <c r="B81" s="82">
        <f>IFERROR(IF(OR(NOT(ISNUMBER('Price History'!B82)),NOT(ISNUMBER('Price History'!B81)),'Price History'!B81=0),"",'Price History'!B82/'Price History'!B81-1),"")</f>
        <v>6.2553397834068436E-2</v>
      </c>
      <c r="C81" s="82">
        <f>IFERROR(IF(OR(NOT(ISNUMBER('Price History'!C82)),NOT(ISNUMBER('Price History'!C81)),'Price History'!C81=0),"",'Price History'!C82/'Price History'!C81-1),"")</f>
        <v>-9.7915083987507368E-2</v>
      </c>
      <c r="D81" s="82">
        <f>IFERROR(IF(OR(NOT(ISNUMBER('Price History'!D82)),NOT(ISNUMBER('Price History'!D81)),'Price History'!D81=0),"",'Price History'!D82/'Price History'!D81-1),"")</f>
        <v>3.27744949841966E-2</v>
      </c>
      <c r="E81" s="82">
        <f>IFERROR(IF(OR(NOT(ISNUMBER('Price History'!E82)),NOT(ISNUMBER('Price History'!E81)),'Price History'!E81=0),"",'Price History'!E82/'Price History'!E81-1),"")</f>
        <v>3.6332102992840287E-2</v>
      </c>
      <c r="F81" s="82">
        <f>IFERROR(IF(OR(NOT(ISNUMBER('Price History'!F82)),NOT(ISNUMBER('Price History'!F81)),'Price History'!F81=0),"",'Price History'!F82/'Price History'!F81-1),"")</f>
        <v>7.1537001897533203E-2</v>
      </c>
      <c r="G81" s="82">
        <f>IFERROR(IF(OR(NOT(ISNUMBER('Price History'!G82)),NOT(ISNUMBER('Price History'!G81)),'Price History'!G81=0),"",'Price History'!G82/'Price History'!G81-1),"")</f>
        <v>4.0123044001605379E-3</v>
      </c>
      <c r="H81" s="82">
        <f>IFERROR(IF(OR(NOT(ISNUMBER('Price History'!H82)),NOT(ISNUMBER('Price History'!H81)),'Price History'!H81=0),"",'Price History'!H82/'Price History'!H81-1),"")</f>
        <v>7.8223185265438699E-2</v>
      </c>
      <c r="I81" s="82">
        <f>IFERROR(IF(OR(NOT(ISNUMBER('Price History'!I82)),NOT(ISNUMBER('Price History'!I81)),'Price History'!I81=0),"",'Price History'!I82/'Price History'!I81-1),"")</f>
        <v>6.9393099199014152E-2</v>
      </c>
      <c r="J81" s="82">
        <f>IFERROR(IF(OR(NOT(ISNUMBER('Price History'!J82)),NOT(ISNUMBER('Price History'!J81)),'Price History'!J81=0),"",'Price History'!J82/'Price History'!J81-1),"")</f>
        <v>2.9825308904985137E-2</v>
      </c>
      <c r="K81" s="82">
        <f>IFERROR(IF(OR(NOT(ISNUMBER('Price History'!K82)),NOT(ISNUMBER('Price History'!K81)),'Price History'!K81=0),"",'Price History'!K82/'Price History'!K81-1),"")</f>
        <v>7.4966170500676554E-2</v>
      </c>
      <c r="L81" s="82">
        <f>IFERROR(IF(OR(NOT(ISNUMBER('Price History'!L82)),NOT(ISNUMBER('Price History'!L81)),'Price History'!L81=0),"",'Price History'!L82/'Price History'!L81-1),"")</f>
        <v>-1.0770424995148464E-2</v>
      </c>
      <c r="M81" s="82">
        <f>IFERROR(IF(OR(NOT(ISNUMBER('Price History'!M82)),NOT(ISNUMBER('Price History'!M81)),'Price History'!M81=0),"",'Price History'!M82/'Price History'!M81-1),"")</f>
        <v>-0.10982039874773442</v>
      </c>
      <c r="N81" s="82">
        <f>IFERROR(IF(OR(NOT(ISNUMBER('Price History'!N82)),NOT(ISNUMBER('Price History'!N81)),'Price History'!N81=0),"",'Price History'!N82/'Price History'!N81-1),"")</f>
        <v>-2.1989261058552811E-2</v>
      </c>
      <c r="O81" s="82">
        <f>IFERROR(IF(OR(NOT(ISNUMBER('Price History'!O82)),NOT(ISNUMBER('Price History'!O81)),'Price History'!O81=0),"",'Price History'!O82/'Price History'!O81-1),"")</f>
        <v>3.087372645878439E-3</v>
      </c>
      <c r="P81" s="82" t="str">
        <f>IFERROR(IF(OR(NOT(ISNUMBER('Price History'!P82)),NOT(ISNUMBER('Price History'!P81)),'Price History'!P81=0),"",'Price History'!P82/'Price History'!P81-1),"")</f>
        <v/>
      </c>
      <c r="Q81" s="82">
        <f>IFERROR(IF(OR(NOT(ISNUMBER('Price History'!Q82)),NOT(ISNUMBER('Price History'!Q81)),'Price History'!Q81=0),"",'Price History'!Q82/'Price History'!Q81-1),"")</f>
        <v>-3.8771399798590012E-2</v>
      </c>
      <c r="R81" s="82">
        <f>IFERROR(IF(OR(NOT(ISNUMBER('Price History'!R82)),NOT(ISNUMBER('Price History'!R81)),'Price History'!R81=0),"",'Price History'!R82/'Price History'!R81-1),"")</f>
        <v>1.92408605912191E-2</v>
      </c>
      <c r="S81" s="82">
        <f>IFERROR(IF(OR(NOT(ISNUMBER('Price History'!S82)),NOT(ISNUMBER('Price History'!S81)),'Price History'!S81=0),"",'Price History'!S82/'Price History'!S81-1),"")</f>
        <v>1.009507007742827E-2</v>
      </c>
      <c r="T81" s="82">
        <f>IFERROR(IF(OR(NOT(ISNUMBER('Price History'!T82)),NOT(ISNUMBER('Price History'!T81)),'Price History'!T81=0),"",'Price History'!T82/'Price History'!T81-1),"")</f>
        <v>1.1647727272727115E-2</v>
      </c>
      <c r="U81" s="82" t="str">
        <f>IFERROR(IF(OR(NOT(ISNUMBER('Price History'!U82)),NOT(ISNUMBER('Price History'!U81)),'Price History'!U81=0),"",'Price History'!U82/'Price History'!U81-1),"")</f>
        <v/>
      </c>
      <c r="V81" s="83">
        <f>IFERROR(IF(OR(NOT(ISNUMBER('Price History'!V82)),NOT(ISNUMBER('Price History'!V81)),'Price History'!V81=0),"",'Price History'!V82/'Price History'!V81-1),"")</f>
        <v>1.8369723435225582E-2</v>
      </c>
      <c r="W81" s="84" t="str">
        <f>IFERROR('Price History'!B3+(INDEX('Price History'!B:B,MATCH(9.99E+307,'Price History'!$A:$A))-'Price History'!B3)*(ROW()-3)/(MATCH(9.99E+307,'Returns (Calc)'!$A:$A)-3),"")</f>
        <v/>
      </c>
      <c r="X81" s="84">
        <f>IFERROR('Price History'!C3+(INDEX('Price History'!C:C,MATCH(9.99E+307,'Price History'!$A:$A))-'Price History'!C3)*(ROW()-3)/(MATCH(9.99E+307,'Returns (Calc)'!$A:$A)-3),"")</f>
        <v>22.282641509433962</v>
      </c>
      <c r="Y81" s="84">
        <f>IFERROR('Price History'!D3+(INDEX('Price History'!D:D,MATCH(9.99E+307,'Price History'!$A:$A))-'Price History'!D3)*(ROW()-3)/(MATCH(9.99E+307,'Returns (Calc)'!$A:$A)-3),"")</f>
        <v>337.13320754716983</v>
      </c>
      <c r="Z81" s="84">
        <f>IFERROR('Price History'!E3+(INDEX('Price History'!E:E,MATCH(9.99E+307,'Price History'!$A:$A))-'Price History'!E3)*(ROW()-3)/(MATCH(9.99E+307,'Returns (Calc)'!$A:$A)-3),"")</f>
        <v>42.272830188679244</v>
      </c>
      <c r="AA81" s="84">
        <f>IFERROR('Price History'!F3+(INDEX('Price History'!F:F,MATCH(9.99E+307,'Price History'!$A:$A))-'Price History'!F3)*(ROW()-3)/(MATCH(9.99E+307,'Returns (Calc)'!$A:$A)-3),"")</f>
        <v>18.879622641509435</v>
      </c>
      <c r="AB81" s="84">
        <f>IFERROR('Price History'!G3+(INDEX('Price History'!G:G,MATCH(9.99E+307,'Price History'!$A:$A))-'Price History'!G3)*(ROW()-3)/(MATCH(9.99E+307,'Returns (Calc)'!$A:$A)-3),"")</f>
        <v>24.401886792452832</v>
      </c>
      <c r="AC81" s="84">
        <f>IFERROR('Price History'!H3+(INDEX('Price History'!H:H,MATCH(9.99E+307,'Price History'!$A:$A))-'Price History'!H3)*(ROW()-3)/(MATCH(9.99E+307,'Returns (Calc)'!$A:$A)-3),"")</f>
        <v>32.792264150943396</v>
      </c>
      <c r="AD81" s="84">
        <f>IFERROR('Price History'!I3+(INDEX('Price History'!I:I,MATCH(9.99E+307,'Price History'!$A:$A))-'Price History'!I3)*(ROW()-3)/(MATCH(9.99E+307,'Returns (Calc)'!$A:$A)-3),"")</f>
        <v>20.810377358490566</v>
      </c>
      <c r="AE81" s="84">
        <f>IFERROR('Price History'!J3+(INDEX('Price History'!J:J,MATCH(9.99E+307,'Price History'!$A:$A))-'Price History'!J3)*(ROW()-3)/(MATCH(9.99E+307,'Returns (Calc)'!$A:$A)-3),"")</f>
        <v>62.920188679245285</v>
      </c>
      <c r="AF81" s="84">
        <f>IFERROR('Price History'!K3+(INDEX('Price History'!K:K,MATCH(9.99E+307,'Price History'!$A:$A))-'Price History'!K3)*(ROW()-3)/(MATCH(9.99E+307,'Returns (Calc)'!$A:$A)-3),"")</f>
        <v>7.8503773584905661</v>
      </c>
      <c r="AG81" s="84">
        <f>IFERROR('Price History'!L3+(INDEX('Price History'!L:L,MATCH(9.99E+307,'Price History'!$A:$A))-'Price History'!L3)*(ROW()-3)/(MATCH(9.99E+307,'Returns (Calc)'!$A:$A)-3),"")</f>
        <v>46.862830188679247</v>
      </c>
      <c r="AH81" s="84">
        <f>IFERROR('Price History'!M3+(INDEX('Price History'!M:M,MATCH(9.99E+307,'Price History'!$A:$A))-'Price History'!M3)*(ROW()-3)/(MATCH(9.99E+307,'Returns (Calc)'!$A:$A)-3),"")</f>
        <v>17.071132075471699</v>
      </c>
      <c r="AI81" s="84">
        <f>IFERROR('Price History'!N3+(INDEX('Price History'!N:N,MATCH(9.99E+307,'Price History'!$A:$A))-'Price History'!N3)*(ROW()-3)/(MATCH(9.99E+307,'Returns (Calc)'!$A:$A)-3),"")</f>
        <v>178.23056603773585</v>
      </c>
      <c r="AJ81" s="84">
        <f>IFERROR('Price History'!O3+(INDEX('Price History'!O:O,MATCH(9.99E+307,'Price History'!$A:$A))-'Price History'!O3)*(ROW()-3)/(MATCH(9.99E+307,'Returns (Calc)'!$A:$A)-3),"")</f>
        <v>42.206603773584902</v>
      </c>
      <c r="AK81" s="84">
        <f>IFERROR('Price History'!Q3+(INDEX('Price History'!Q:Q,MATCH(9.99E+307,'Price History'!$A:$A))-'Price History'!Q3)*(ROW()-3)/(MATCH(9.99E+307,'Returns (Calc)'!$A:$A)-3),"")</f>
        <v>25.390188679245284</v>
      </c>
      <c r="AL81" s="84">
        <f>IFERROR('Price History'!R3+(INDEX('Price History'!R:R,MATCH(9.99E+307,'Price History'!$A:$A))-'Price History'!R3)*(ROW()-3)/(MATCH(9.99E+307,'Returns (Calc)'!$A:$A)-3),"")</f>
        <v>24.361132075471698</v>
      </c>
      <c r="AM81" s="84">
        <f>IFERROR('Price History'!S3+(INDEX('Price History'!S:S,MATCH(9.99E+307,'Price History'!$A:$A))-'Price History'!S3)*(ROW()-3)/(MATCH(9.99E+307,'Returns (Calc)'!$A:$A)-3),"")</f>
        <v>29.822264150943397</v>
      </c>
      <c r="AN81" s="84">
        <f>IFERROR('Price History'!T3+(INDEX('Price History'!T:T,MATCH(9.99E+307,'Price History'!$A:$A))-'Price History'!T3)*(ROW()-3)/(MATCH(9.99E+307,'Returns (Calc)'!$A:$A)-3),"")</f>
        <v>13.708867924528302</v>
      </c>
      <c r="AO81" s="85">
        <f>IFERROR('Price History'!V3+(INDEX('Price History'!V:V,MATCH(9.99E+307,'Price History'!$A:$A))-'Price History'!V3)*(ROW()-3)/(MATCH(9.99E+307,'Returns (Calc)'!$A:$A)-3),"")</f>
        <v>0</v>
      </c>
    </row>
    <row r="82" spans="1:41" ht="15" customHeight="1" x14ac:dyDescent="0.3">
      <c r="A82" s="81">
        <f>IF('Price History'!A83="","",'Price History'!A83)</f>
        <v>45709</v>
      </c>
      <c r="B82" s="82">
        <f>IFERROR(IF(OR(NOT(ISNUMBER('Price History'!B83)),NOT(ISNUMBER('Price History'!B82)),'Price History'!B82=0),"",'Price History'!B83/'Price History'!B82-1),"")</f>
        <v>-3.4422809457580028E-2</v>
      </c>
      <c r="C82" s="82">
        <f>IFERROR(IF(OR(NOT(ISNUMBER('Price History'!C83)),NOT(ISNUMBER('Price History'!C82)),'Price History'!C82=0),"",'Price History'!C83/'Price History'!C82-1),"")</f>
        <v>-8.0190886123327476E-2</v>
      </c>
      <c r="D82" s="82">
        <f>IFERROR(IF(OR(NOT(ISNUMBER('Price History'!D83)),NOT(ISNUMBER('Price History'!D82)),'Price History'!D82=0),"",'Price History'!D83/'Price History'!D82-1),"")</f>
        <v>-1.9080566828554191E-2</v>
      </c>
      <c r="E82" s="82">
        <f>IFERROR(IF(OR(NOT(ISNUMBER('Price History'!E83)),NOT(ISNUMBER('Price History'!E82)),'Price History'!E82=0),"",'Price History'!E83/'Price History'!E82-1),"")</f>
        <v>-6.1706144867833879E-2</v>
      </c>
      <c r="F82" s="82">
        <f>IFERROR(IF(OR(NOT(ISNUMBER('Price History'!F83)),NOT(ISNUMBER('Price History'!F82)),'Price History'!F82=0),"",'Price History'!F83/'Price History'!F82-1),"")</f>
        <v>-9.9787497786435253E-2</v>
      </c>
      <c r="G82" s="82">
        <f>IFERROR(IF(OR(NOT(ISNUMBER('Price History'!G83)),NOT(ISNUMBER('Price History'!G82)),'Price History'!G82=0),"",'Price History'!G83/'Price History'!G82-1),"")</f>
        <v>4.7955241774346735E-3</v>
      </c>
      <c r="H82" s="82">
        <f>IFERROR(IF(OR(NOT(ISNUMBER('Price History'!H83)),NOT(ISNUMBER('Price History'!H82)),'Price History'!H82=0),"",'Price History'!H83/'Price History'!H82-1),"")</f>
        <v>-6.8327974276526371E-3</v>
      </c>
      <c r="I82" s="82">
        <f>IFERROR(IF(OR(NOT(ISNUMBER('Price History'!I83)),NOT(ISNUMBER('Price History'!I82)),'Price History'!I82=0),"",'Price History'!I83/'Price History'!I82-1),"")</f>
        <v>-3.1832913215700254E-2</v>
      </c>
      <c r="J82" s="82">
        <f>IFERROR(IF(OR(NOT(ISNUMBER('Price History'!J83)),NOT(ISNUMBER('Price History'!J82)),'Price History'!J82=0),"",'Price History'!J83/'Price History'!J82-1),"")</f>
        <v>9.9296648738111948E-4</v>
      </c>
      <c r="K82" s="82">
        <f>IFERROR(IF(OR(NOT(ISNUMBER('Price History'!K83)),NOT(ISNUMBER('Price History'!K82)),'Price History'!K82=0),"",'Price History'!K83/'Price History'!K82-1),"")</f>
        <v>-0.14946290701577714</v>
      </c>
      <c r="L82" s="82">
        <f>IFERROR(IF(OR(NOT(ISNUMBER('Price History'!L83)),NOT(ISNUMBER('Price History'!L82)),'Price History'!L82=0),"",'Price History'!L83/'Price History'!L82-1),"")</f>
        <v>-2.7758705247670434E-2</v>
      </c>
      <c r="M82" s="82">
        <f>IFERROR(IF(OR(NOT(ISNUMBER('Price History'!M83)),NOT(ISNUMBER('Price History'!M82)),'Price History'!M82=0),"",'Price History'!M83/'Price History'!M82-1),"")</f>
        <v>-0.1116149930587691</v>
      </c>
      <c r="N82" s="82">
        <f>IFERROR(IF(OR(NOT(ISNUMBER('Price History'!N83)),NOT(ISNUMBER('Price History'!N82)),'Price History'!N82=0),"",'Price History'!N83/'Price History'!N82-1),"")</f>
        <v>5.4989106753812633E-2</v>
      </c>
      <c r="O82" s="82">
        <f>IFERROR(IF(OR(NOT(ISNUMBER('Price History'!O83)),NOT(ISNUMBER('Price History'!O82)),'Price History'!O82=0),"",'Price History'!O83/'Price History'!O82-1),"")</f>
        <v>-3.6524058684723526E-2</v>
      </c>
      <c r="P82" s="82" t="str">
        <f>IFERROR(IF(OR(NOT(ISNUMBER('Price History'!P83)),NOT(ISNUMBER('Price History'!P82)),'Price History'!P82=0),"",'Price History'!P83/'Price History'!P82-1),"")</f>
        <v/>
      </c>
      <c r="Q82" s="82">
        <f>IFERROR(IF(OR(NOT(ISNUMBER('Price History'!Q83)),NOT(ISNUMBER('Price History'!Q82)),'Price History'!Q82=0),"",'Price History'!Q83/'Price History'!Q82-1),"")</f>
        <v>1.8858040859088598E-2</v>
      </c>
      <c r="R82" s="82">
        <f>IFERROR(IF(OR(NOT(ISNUMBER('Price History'!R83)),NOT(ISNUMBER('Price History'!R82)),'Price History'!R82=0),"",'Price History'!R83/'Price History'!R82-1),"")</f>
        <v>-1.2013042732109236E-2</v>
      </c>
      <c r="S82" s="82">
        <f>IFERROR(IF(OR(NOT(ISNUMBER('Price History'!S83)),NOT(ISNUMBER('Price History'!S82)),'Price History'!S82=0),"",'Price History'!S83/'Price History'!S82-1),"")</f>
        <v>-3.0564719580826738E-2</v>
      </c>
      <c r="T82" s="82">
        <f>IFERROR(IF(OR(NOT(ISNUMBER('Price History'!T83)),NOT(ISNUMBER('Price History'!T82)),'Price History'!T82=0),"",'Price History'!T83/'Price History'!T82-1),"")</f>
        <v>-3.3698399326030914E-3</v>
      </c>
      <c r="U82" s="82" t="str">
        <f>IFERROR(IF(OR(NOT(ISNUMBER('Price History'!U83)),NOT(ISNUMBER('Price History'!U82)),'Price History'!U82=0),"",'Price History'!U83/'Price History'!U82-1),"")</f>
        <v/>
      </c>
      <c r="V82" s="83">
        <f>IFERROR(IF(OR(NOT(ISNUMBER('Price History'!V83)),NOT(ISNUMBER('Price History'!V82)),'Price History'!V82=0),"",'Price History'!V83/'Price History'!V82-1),"")</f>
        <v>-1.4922386438352309E-2</v>
      </c>
      <c r="W82" s="84" t="str">
        <f>IFERROR('Price History'!B3+(INDEX('Price History'!B:B,MATCH(9.99E+307,'Price History'!$A:$A))-'Price History'!B3)*(ROW()-3)/(MATCH(9.99E+307,'Returns (Calc)'!$A:$A)-3),"")</f>
        <v/>
      </c>
      <c r="X82" s="84">
        <f>IFERROR('Price History'!C3+(INDEX('Price History'!C:C,MATCH(9.99E+307,'Price History'!$A:$A))-'Price History'!C3)*(ROW()-3)/(MATCH(9.99E+307,'Returns (Calc)'!$A:$A)-3),"")</f>
        <v>22.007547169811321</v>
      </c>
      <c r="Y82" s="84">
        <f>IFERROR('Price History'!D3+(INDEX('Price History'!D:D,MATCH(9.99E+307,'Price History'!$A:$A))-'Price History'!D3)*(ROW()-3)/(MATCH(9.99E+307,'Returns (Calc)'!$A:$A)-3),"")</f>
        <v>332.97106918238995</v>
      </c>
      <c r="Z82" s="84">
        <f>IFERROR('Price History'!E3+(INDEX('Price History'!E:E,MATCH(9.99E+307,'Price History'!$A:$A))-'Price History'!E3)*(ROW()-3)/(MATCH(9.99E+307,'Returns (Calc)'!$A:$A)-3),"")</f>
        <v>41.750943396226418</v>
      </c>
      <c r="AA82" s="84">
        <f>IFERROR('Price History'!F3+(INDEX('Price History'!F:F,MATCH(9.99E+307,'Price History'!$A:$A))-'Price History'!F3)*(ROW()-3)/(MATCH(9.99E+307,'Returns (Calc)'!$A:$A)-3),"")</f>
        <v>18.646540880503146</v>
      </c>
      <c r="AB82" s="84">
        <f>IFERROR('Price History'!G3+(INDEX('Price History'!G:G,MATCH(9.99E+307,'Price History'!$A:$A))-'Price History'!G3)*(ROW()-3)/(MATCH(9.99E+307,'Returns (Calc)'!$A:$A)-3),"")</f>
        <v>24.10062893081761</v>
      </c>
      <c r="AC82" s="84">
        <f>IFERROR('Price History'!H3+(INDEX('Price History'!H:H,MATCH(9.99E+307,'Price History'!$A:$A))-'Price History'!H3)*(ROW()-3)/(MATCH(9.99E+307,'Returns (Calc)'!$A:$A)-3),"")</f>
        <v>32.387421383647805</v>
      </c>
      <c r="AD82" s="84">
        <f>IFERROR('Price History'!I3+(INDEX('Price History'!I:I,MATCH(9.99E+307,'Price History'!$A:$A))-'Price History'!I3)*(ROW()-3)/(MATCH(9.99E+307,'Returns (Calc)'!$A:$A)-3),"")</f>
        <v>20.553459119496857</v>
      </c>
      <c r="AE82" s="84">
        <f>IFERROR('Price History'!J3+(INDEX('Price History'!J:J,MATCH(9.99E+307,'Price History'!$A:$A))-'Price History'!J3)*(ROW()-3)/(MATCH(9.99E+307,'Returns (Calc)'!$A:$A)-3),"")</f>
        <v>62.143396226415092</v>
      </c>
      <c r="AF82" s="84">
        <f>IFERROR('Price History'!K3+(INDEX('Price History'!K:K,MATCH(9.99E+307,'Price History'!$A:$A))-'Price History'!K3)*(ROW()-3)/(MATCH(9.99E+307,'Returns (Calc)'!$A:$A)-3),"")</f>
        <v>7.7534591194968545</v>
      </c>
      <c r="AG82" s="84">
        <f>IFERROR('Price History'!L3+(INDEX('Price History'!L:L,MATCH(9.99E+307,'Price History'!$A:$A))-'Price History'!L3)*(ROW()-3)/(MATCH(9.99E+307,'Returns (Calc)'!$A:$A)-3),"")</f>
        <v>46.284276729559743</v>
      </c>
      <c r="AH82" s="84">
        <f>IFERROR('Price History'!M3+(INDEX('Price History'!M:M,MATCH(9.99E+307,'Price History'!$A:$A))-'Price History'!M3)*(ROW()-3)/(MATCH(9.99E+307,'Returns (Calc)'!$A:$A)-3),"")</f>
        <v>16.860377358490563</v>
      </c>
      <c r="AI82" s="84">
        <f>IFERROR('Price History'!N3+(INDEX('Price History'!N:N,MATCH(9.99E+307,'Price History'!$A:$A))-'Price History'!N3)*(ROW()-3)/(MATCH(9.99E+307,'Returns (Calc)'!$A:$A)-3),"")</f>
        <v>176.03018867924527</v>
      </c>
      <c r="AJ82" s="84">
        <f>IFERROR('Price History'!O3+(INDEX('Price History'!O:O,MATCH(9.99E+307,'Price History'!$A:$A))-'Price History'!O3)*(ROW()-3)/(MATCH(9.99E+307,'Returns (Calc)'!$A:$A)-3),"")</f>
        <v>41.685534591194966</v>
      </c>
      <c r="AK82" s="84">
        <f>IFERROR('Price History'!Q3+(INDEX('Price History'!Q:Q,MATCH(9.99E+307,'Price History'!$A:$A))-'Price History'!Q3)*(ROW()-3)/(MATCH(9.99E+307,'Returns (Calc)'!$A:$A)-3),"")</f>
        <v>25.076729559748429</v>
      </c>
      <c r="AL82" s="84">
        <f>IFERROR('Price History'!R3+(INDEX('Price History'!R:R,MATCH(9.99E+307,'Price History'!$A:$A))-'Price History'!R3)*(ROW()-3)/(MATCH(9.99E+307,'Returns (Calc)'!$A:$A)-3),"")</f>
        <v>24.060377358490566</v>
      </c>
      <c r="AM82" s="84">
        <f>IFERROR('Price History'!S3+(INDEX('Price History'!S:S,MATCH(9.99E+307,'Price History'!$A:$A))-'Price History'!S3)*(ROW()-3)/(MATCH(9.99E+307,'Returns (Calc)'!$A:$A)-3),"")</f>
        <v>29.454088050314464</v>
      </c>
      <c r="AN82" s="84">
        <f>IFERROR('Price History'!T3+(INDEX('Price History'!T:T,MATCH(9.99E+307,'Price History'!$A:$A))-'Price History'!T3)*(ROW()-3)/(MATCH(9.99E+307,'Returns (Calc)'!$A:$A)-3),"")</f>
        <v>13.539622641509435</v>
      </c>
      <c r="AO82" s="85">
        <f>IFERROR('Price History'!V3+(INDEX('Price History'!V:V,MATCH(9.99E+307,'Price History'!$A:$A))-'Price History'!V3)*(ROW()-3)/(MATCH(9.99E+307,'Returns (Calc)'!$A:$A)-3),"")</f>
        <v>0</v>
      </c>
    </row>
    <row r="83" spans="1:41" ht="15" customHeight="1" x14ac:dyDescent="0.3">
      <c r="A83" s="81">
        <f>IF('Price History'!A84="","",'Price History'!A84)</f>
        <v>45716</v>
      </c>
      <c r="B83" s="82">
        <f>IFERROR(IF(OR(NOT(ISNUMBER('Price History'!B84)),NOT(ISNUMBER('Price History'!B83)),'Price History'!B83=0),"",'Price History'!B84/'Price History'!B83-1),"")</f>
        <v>-1.2963629816348576E-2</v>
      </c>
      <c r="C83" s="82">
        <f>IFERROR(IF(OR(NOT(ISNUMBER('Price History'!C84)),NOT(ISNUMBER('Price History'!C83)),'Price History'!C83=0),"",'Price History'!C84/'Price History'!C83-1),"")</f>
        <v>-5.3407934893184184E-2</v>
      </c>
      <c r="D83" s="82">
        <f>IFERROR(IF(OR(NOT(ISNUMBER('Price History'!D84)),NOT(ISNUMBER('Price History'!D83)),'Price History'!D83=0),"",'Price History'!D84/'Price History'!D83-1),"")</f>
        <v>-3.8157377138128834E-2</v>
      </c>
      <c r="E83" s="82">
        <f>IFERROR(IF(OR(NOT(ISNUMBER('Price History'!E84)),NOT(ISNUMBER('Price History'!E83)),'Price History'!E83=0),"",'Price History'!E84/'Price History'!E83-1),"")</f>
        <v>-8.794475441324423E-2</v>
      </c>
      <c r="F83" s="82">
        <f>IFERROR(IF(OR(NOT(ISNUMBER('Price History'!F84)),NOT(ISNUMBER('Price History'!F83)),'Price History'!F83=0),"",'Price History'!F84/'Price History'!F83-1),"")</f>
        <v>-4.1801908134159516E-2</v>
      </c>
      <c r="G83" s="82">
        <f>IFERROR(IF(OR(NOT(ISNUMBER('Price History'!G84)),NOT(ISNUMBER('Price History'!G83)),'Price History'!G83=0),"",'Price History'!G84/'Price History'!G83-1),"")</f>
        <v>-6.0320827257059673E-2</v>
      </c>
      <c r="H83" s="82">
        <f>IFERROR(IF(OR(NOT(ISNUMBER('Price History'!H84)),NOT(ISNUMBER('Price History'!H83)),'Price History'!H83=0),"",'Price History'!H84/'Price History'!H83-1),"")</f>
        <v>-5.2711452853095975E-2</v>
      </c>
      <c r="I83" s="82">
        <f>IFERROR(IF(OR(NOT(ISNUMBER('Price History'!I84)),NOT(ISNUMBER('Price History'!I83)),'Price History'!I83=0),"",'Price History'!I84/'Price History'!I83-1),"")</f>
        <v>-7.0743137692479419E-2</v>
      </c>
      <c r="J83" s="82">
        <f>IFERROR(IF(OR(NOT(ISNUMBER('Price History'!J84)),NOT(ISNUMBER('Price History'!J83)),'Price History'!J83=0),"",'Price History'!J84/'Price History'!J83-1),"")</f>
        <v>2.4386211457386064E-2</v>
      </c>
      <c r="K83" s="82">
        <f>IFERROR(IF(OR(NOT(ISNUMBER('Price History'!K84)),NOT(ISNUMBER('Price History'!K83)),'Price History'!K83=0),"",'Price History'!K84/'Price History'!K83-1),"")</f>
        <v>-0.16211149481993092</v>
      </c>
      <c r="L83" s="82">
        <f>IFERROR(IF(OR(NOT(ISNUMBER('Price History'!L84)),NOT(ISNUMBER('Price History'!L83)),'Price History'!L83=0),"",'Price History'!L84/'Price History'!L83-1),"")</f>
        <v>-8.9336158192090398E-2</v>
      </c>
      <c r="M83" s="82">
        <f>IFERROR(IF(OR(NOT(ISNUMBER('Price History'!M84)),NOT(ISNUMBER('Price History'!M83)),'Price History'!M83=0),"",'Price History'!M84/'Price History'!M83-1),"")</f>
        <v>-8.5425565163037565E-3</v>
      </c>
      <c r="N83" s="82">
        <f>IFERROR(IF(OR(NOT(ISNUMBER('Price History'!N84)),NOT(ISNUMBER('Price History'!N83)),'Price History'!N83=0),"",'Price History'!N84/'Price History'!N83-1),"")</f>
        <v>-9.1896580208160605E-3</v>
      </c>
      <c r="O83" s="82">
        <f>IFERROR(IF(OR(NOT(ISNUMBER('Price History'!O84)),NOT(ISNUMBER('Price History'!O83)),'Price History'!O83=0),"",'Price History'!O84/'Price History'!O83-1),"")</f>
        <v>-1.1287402832499183E-2</v>
      </c>
      <c r="P83" s="82" t="str">
        <f>IFERROR(IF(OR(NOT(ISNUMBER('Price History'!P84)),NOT(ISNUMBER('Price History'!P83)),'Price History'!P83=0),"",'Price History'!P84/'Price History'!P83-1),"")</f>
        <v/>
      </c>
      <c r="Q83" s="82">
        <f>IFERROR(IF(OR(NOT(ISNUMBER('Price History'!Q84)),NOT(ISNUMBER('Price History'!Q83)),'Price History'!Q83=0),"",'Price History'!Q84/'Price History'!Q83-1),"")</f>
        <v>-5.9982862039417162E-3</v>
      </c>
      <c r="R83" s="82">
        <f>IFERROR(IF(OR(NOT(ISNUMBER('Price History'!R84)),NOT(ISNUMBER('Price History'!R83)),'Price History'!R83=0),"",'Price History'!R84/'Price History'!R83-1),"")</f>
        <v>-2.7618551328817187E-2</v>
      </c>
      <c r="S83" s="82">
        <f>IFERROR(IF(OR(NOT(ISNUMBER('Price History'!S84)),NOT(ISNUMBER('Price History'!S83)),'Price History'!S83=0),"",'Price History'!S84/'Price History'!S83-1),"")</f>
        <v>-1.1009908918026001E-3</v>
      </c>
      <c r="T83" s="82">
        <f>IFERROR(IF(OR(NOT(ISNUMBER('Price History'!T84)),NOT(ISNUMBER('Price History'!T83)),'Price History'!T83=0),"",'Price History'!T84/'Price History'!T83-1),"")</f>
        <v>-4.7900817131586448E-3</v>
      </c>
      <c r="U83" s="82" t="str">
        <f>IFERROR(IF(OR(NOT(ISNUMBER('Price History'!U84)),NOT(ISNUMBER('Price History'!U83)),'Price History'!U83=0),"",'Price History'!U84/'Price History'!U83-1),"")</f>
        <v/>
      </c>
      <c r="V83" s="83">
        <f>IFERROR(IF(OR(NOT(ISNUMBER('Price History'!V84)),NOT(ISNUMBER('Price History'!V83)),'Price History'!V83=0),"",'Price History'!V84/'Price History'!V83-1),"")</f>
        <v>4.0657012681737825E-2</v>
      </c>
      <c r="W83" s="84" t="str">
        <f>IFERROR('Price History'!B3+(INDEX('Price History'!B:B,MATCH(9.99E+307,'Price History'!$A:$A))-'Price History'!B3)*(ROW()-3)/(MATCH(9.99E+307,'Returns (Calc)'!$A:$A)-3),"")</f>
        <v/>
      </c>
      <c r="X83" s="84">
        <f>IFERROR('Price History'!C3+(INDEX('Price History'!C:C,MATCH(9.99E+307,'Price History'!$A:$A))-'Price History'!C3)*(ROW()-3)/(MATCH(9.99E+307,'Returns (Calc)'!$A:$A)-3),"")</f>
        <v>21.732452830188681</v>
      </c>
      <c r="Y83" s="84">
        <f>IFERROR('Price History'!D3+(INDEX('Price History'!D:D,MATCH(9.99E+307,'Price History'!$A:$A))-'Price History'!D3)*(ROW()-3)/(MATCH(9.99E+307,'Returns (Calc)'!$A:$A)-3),"")</f>
        <v>328.80893081761008</v>
      </c>
      <c r="Z83" s="84">
        <f>IFERROR('Price History'!E3+(INDEX('Price History'!E:E,MATCH(9.99E+307,'Price History'!$A:$A))-'Price History'!E3)*(ROW()-3)/(MATCH(9.99E+307,'Returns (Calc)'!$A:$A)-3),"")</f>
        <v>41.229056603773586</v>
      </c>
      <c r="AA83" s="84">
        <f>IFERROR('Price History'!F3+(INDEX('Price History'!F:F,MATCH(9.99E+307,'Price History'!$A:$A))-'Price History'!F3)*(ROW()-3)/(MATCH(9.99E+307,'Returns (Calc)'!$A:$A)-3),"")</f>
        <v>18.413459119496856</v>
      </c>
      <c r="AB83" s="84">
        <f>IFERROR('Price History'!G3+(INDEX('Price History'!G:G,MATCH(9.99E+307,'Price History'!$A:$A))-'Price History'!G3)*(ROW()-3)/(MATCH(9.99E+307,'Returns (Calc)'!$A:$A)-3),"")</f>
        <v>23.799371069182389</v>
      </c>
      <c r="AC83" s="84">
        <f>IFERROR('Price History'!H3+(INDEX('Price History'!H:H,MATCH(9.99E+307,'Price History'!$A:$A))-'Price History'!H3)*(ROW()-3)/(MATCH(9.99E+307,'Returns (Calc)'!$A:$A)-3),"")</f>
        <v>31.982578616352207</v>
      </c>
      <c r="AD83" s="84">
        <f>IFERROR('Price History'!I3+(INDEX('Price History'!I:I,MATCH(9.99E+307,'Price History'!$A:$A))-'Price History'!I3)*(ROW()-3)/(MATCH(9.99E+307,'Returns (Calc)'!$A:$A)-3),"")</f>
        <v>20.296540880503144</v>
      </c>
      <c r="AE83" s="84">
        <f>IFERROR('Price History'!J3+(INDEX('Price History'!J:J,MATCH(9.99E+307,'Price History'!$A:$A))-'Price History'!J3)*(ROW()-3)/(MATCH(9.99E+307,'Returns (Calc)'!$A:$A)-3),"")</f>
        <v>61.366603773584906</v>
      </c>
      <c r="AF83" s="84">
        <f>IFERROR('Price History'!K3+(INDEX('Price History'!K:K,MATCH(9.99E+307,'Price History'!$A:$A))-'Price History'!K3)*(ROW()-3)/(MATCH(9.99E+307,'Returns (Calc)'!$A:$A)-3),"")</f>
        <v>7.6565408805031447</v>
      </c>
      <c r="AG83" s="84">
        <f>IFERROR('Price History'!L3+(INDEX('Price History'!L:L,MATCH(9.99E+307,'Price History'!$A:$A))-'Price History'!L3)*(ROW()-3)/(MATCH(9.99E+307,'Returns (Calc)'!$A:$A)-3),"")</f>
        <v>45.705723270440245</v>
      </c>
      <c r="AH83" s="84">
        <f>IFERROR('Price History'!M3+(INDEX('Price History'!M:M,MATCH(9.99E+307,'Price History'!$A:$A))-'Price History'!M3)*(ROW()-3)/(MATCH(9.99E+307,'Returns (Calc)'!$A:$A)-3),"")</f>
        <v>16.649622641509435</v>
      </c>
      <c r="AI83" s="84">
        <f>IFERROR('Price History'!N3+(INDEX('Price History'!N:N,MATCH(9.99E+307,'Price History'!$A:$A))-'Price History'!N3)*(ROW()-3)/(MATCH(9.99E+307,'Returns (Calc)'!$A:$A)-3),"")</f>
        <v>173.82981132075471</v>
      </c>
      <c r="AJ83" s="84">
        <f>IFERROR('Price History'!O3+(INDEX('Price History'!O:O,MATCH(9.99E+307,'Price History'!$A:$A))-'Price History'!O3)*(ROW()-3)/(MATCH(9.99E+307,'Returns (Calc)'!$A:$A)-3),"")</f>
        <v>41.164465408805029</v>
      </c>
      <c r="AK83" s="84">
        <f>IFERROR('Price History'!Q3+(INDEX('Price History'!Q:Q,MATCH(9.99E+307,'Price History'!$A:$A))-'Price History'!Q3)*(ROW()-3)/(MATCH(9.99E+307,'Returns (Calc)'!$A:$A)-3),"")</f>
        <v>24.763270440251574</v>
      </c>
      <c r="AL83" s="84">
        <f>IFERROR('Price History'!R3+(INDEX('Price History'!R:R,MATCH(9.99E+307,'Price History'!$A:$A))-'Price History'!R3)*(ROW()-3)/(MATCH(9.99E+307,'Returns (Calc)'!$A:$A)-3),"")</f>
        <v>23.759622641509434</v>
      </c>
      <c r="AM83" s="84">
        <f>IFERROR('Price History'!S3+(INDEX('Price History'!S:S,MATCH(9.99E+307,'Price History'!$A:$A))-'Price History'!S3)*(ROW()-3)/(MATCH(9.99E+307,'Returns (Calc)'!$A:$A)-3),"")</f>
        <v>29.085911949685535</v>
      </c>
      <c r="AN83" s="84">
        <f>IFERROR('Price History'!T3+(INDEX('Price History'!T:T,MATCH(9.99E+307,'Price History'!$A:$A))-'Price History'!T3)*(ROW()-3)/(MATCH(9.99E+307,'Returns (Calc)'!$A:$A)-3),"")</f>
        <v>13.370377358490565</v>
      </c>
      <c r="AO83" s="85">
        <f>IFERROR('Price History'!V3+(INDEX('Price History'!V:V,MATCH(9.99E+307,'Price History'!$A:$A))-'Price History'!V3)*(ROW()-3)/(MATCH(9.99E+307,'Returns (Calc)'!$A:$A)-3),"")</f>
        <v>0</v>
      </c>
    </row>
    <row r="84" spans="1:41" ht="15" customHeight="1" x14ac:dyDescent="0.3">
      <c r="A84" s="81">
        <f>IF('Price History'!A85="","",'Price History'!A85)</f>
        <v>45723</v>
      </c>
      <c r="B84" s="82">
        <f>IFERROR(IF(OR(NOT(ISNUMBER('Price History'!B85)),NOT(ISNUMBER('Price History'!B84)),'Price History'!B84=0),"",'Price History'!B85/'Price History'!B84-1),"")</f>
        <v>2.4717256475738747E-2</v>
      </c>
      <c r="C84" s="82">
        <f>IFERROR(IF(OR(NOT(ISNUMBER('Price History'!C85)),NOT(ISNUMBER('Price History'!C84)),'Price History'!C84=0),"",'Price History'!C85/'Price History'!C84-1),"")</f>
        <v>-0.10413756045137024</v>
      </c>
      <c r="D84" s="82">
        <f>IFERROR(IF(OR(NOT(ISNUMBER('Price History'!D85)),NOT(ISNUMBER('Price History'!D84)),'Price History'!D84=0),"",'Price History'!D85/'Price History'!D84-1),"")</f>
        <v>3.2633835392339439E-2</v>
      </c>
      <c r="E84" s="82">
        <f>IFERROR(IF(OR(NOT(ISNUMBER('Price History'!E85)),NOT(ISNUMBER('Price History'!E84)),'Price History'!E84=0),"",'Price History'!E85/'Price History'!E84-1),"")</f>
        <v>-2.2413879556736682E-2</v>
      </c>
      <c r="F84" s="82">
        <f>IFERROR(IF(OR(NOT(ISNUMBER('Price History'!F85)),NOT(ISNUMBER('Price History'!F84)),'Price History'!F84=0),"",'Price History'!F85/'Price History'!F84-1),"")</f>
        <v>-0.14411825087251084</v>
      </c>
      <c r="G84" s="82">
        <f>IFERROR(IF(OR(NOT(ISNUMBER('Price History'!G85)),NOT(ISNUMBER('Price History'!G84)),'Price History'!G84=0),"",'Price History'!G85/'Price History'!G84-1),"")</f>
        <v>3.5270880361173429E-3</v>
      </c>
      <c r="H84" s="82">
        <f>IFERROR(IF(OR(NOT(ISNUMBER('Price History'!H85)),NOT(ISNUMBER('Price History'!H84)),'Price History'!H84=0),"",'Price History'!H85/'Price History'!H84-1),"")</f>
        <v>-7.1558261241055909E-3</v>
      </c>
      <c r="I84" s="82">
        <f>IFERROR(IF(OR(NOT(ISNUMBER('Price History'!I85)),NOT(ISNUMBER('Price History'!I84)),'Price History'!I84=0),"",'Price History'!I85/'Price History'!I84-1),"")</f>
        <v>-9.7902657700928652E-2</v>
      </c>
      <c r="J84" s="82">
        <f>IFERROR(IF(OR(NOT(ISNUMBER('Price History'!J85)),NOT(ISNUMBER('Price History'!J84)),'Price History'!J84=0),"",'Price History'!J85/'Price History'!J84-1),"")</f>
        <v>-3.2359586830213116E-2</v>
      </c>
      <c r="K84" s="82">
        <f>IFERROR(IF(OR(NOT(ISNUMBER('Price History'!K85)),NOT(ISNUMBER('Price History'!K84)),'Price History'!K84=0),"",'Price History'!K85/'Price History'!K84-1),"")</f>
        <v>-1.1775788977863577E-4</v>
      </c>
      <c r="L84" s="82">
        <f>IFERROR(IF(OR(NOT(ISNUMBER('Price History'!L85)),NOT(ISNUMBER('Price History'!L84)),'Price History'!L84=0),"",'Price History'!L85/'Price History'!L84-1),"")</f>
        <v>-1.8999612252811215E-2</v>
      </c>
      <c r="M84" s="82">
        <f>IFERROR(IF(OR(NOT(ISNUMBER('Price History'!M85)),NOT(ISNUMBER('Price History'!M84)),'Price History'!M84=0),"",'Price History'!M85/'Price History'!M84-1),"")</f>
        <v>-0.10644110539035401</v>
      </c>
      <c r="N84" s="82">
        <f>IFERROR(IF(OR(NOT(ISNUMBER('Price History'!N85)),NOT(ISNUMBER('Price History'!N84)),'Price History'!N84=0),"",'Price History'!N85/'Price History'!N84-1),"")</f>
        <v>1.7716084120135811E-2</v>
      </c>
      <c r="O84" s="82">
        <f>IFERROR(IF(OR(NOT(ISNUMBER('Price History'!O85)),NOT(ISNUMBER('Price History'!O84)),'Price History'!O84=0),"",'Price History'!O85/'Price History'!O84-1),"")</f>
        <v>-4.4911147011308383E-2</v>
      </c>
      <c r="P84" s="82" t="str">
        <f>IFERROR(IF(OR(NOT(ISNUMBER('Price History'!P85)),NOT(ISNUMBER('Price History'!P84)),'Price History'!P84=0),"",'Price History'!P85/'Price History'!P84-1),"")</f>
        <v/>
      </c>
      <c r="Q84" s="82">
        <f>IFERROR(IF(OR(NOT(ISNUMBER('Price History'!Q85)),NOT(ISNUMBER('Price History'!Q84)),'Price History'!Q84=0),"",'Price History'!Q85/'Price History'!Q84-1),"")</f>
        <v>1.7758620689655169E-2</v>
      </c>
      <c r="R84" s="82">
        <f>IFERROR(IF(OR(NOT(ISNUMBER('Price History'!R85)),NOT(ISNUMBER('Price History'!R84)),'Price History'!R84=0),"",'Price History'!R85/'Price History'!R84-1),"")</f>
        <v>-3.9657020364415874E-2</v>
      </c>
      <c r="S84" s="82">
        <f>IFERROR(IF(OR(NOT(ISNUMBER('Price History'!S85)),NOT(ISNUMBER('Price History'!S84)),'Price History'!S84=0),"",'Price History'!S85/'Price History'!S84-1),"")</f>
        <v>-5.270541082164315E-2</v>
      </c>
      <c r="T84" s="82">
        <f>IFERROR(IF(OR(NOT(ISNUMBER('Price History'!T85)),NOT(ISNUMBER('Price History'!T84)),'Price History'!T84=0),"",'Price History'!T85/'Price History'!T84-1),"")</f>
        <v>-1.4439411098527644E-2</v>
      </c>
      <c r="U84" s="82" t="str">
        <f>IFERROR(IF(OR(NOT(ISNUMBER('Price History'!U85)),NOT(ISNUMBER('Price History'!U84)),'Price History'!U84=0),"",'Price History'!U85/'Price History'!U84-1),"")</f>
        <v/>
      </c>
      <c r="V84" s="83">
        <f>IFERROR(IF(OR(NOT(ISNUMBER('Price History'!V85)),NOT(ISNUMBER('Price History'!V84)),'Price History'!V84=0),"",'Price History'!V85/'Price History'!V84-1),"")</f>
        <v>-4.7936419408811992E-2</v>
      </c>
      <c r="W84" s="84" t="str">
        <f>IFERROR('Price History'!B3+(INDEX('Price History'!B:B,MATCH(9.99E+307,'Price History'!$A:$A))-'Price History'!B3)*(ROW()-3)/(MATCH(9.99E+307,'Returns (Calc)'!$A:$A)-3),"")</f>
        <v/>
      </c>
      <c r="X84" s="84">
        <f>IFERROR('Price History'!C3+(INDEX('Price History'!C:C,MATCH(9.99E+307,'Price History'!$A:$A))-'Price History'!C3)*(ROW()-3)/(MATCH(9.99E+307,'Returns (Calc)'!$A:$A)-3),"")</f>
        <v>21.45735849056604</v>
      </c>
      <c r="Y84" s="84">
        <f>IFERROR('Price History'!D3+(INDEX('Price History'!D:D,MATCH(9.99E+307,'Price History'!$A:$A))-'Price History'!D3)*(ROW()-3)/(MATCH(9.99E+307,'Returns (Calc)'!$A:$A)-3),"")</f>
        <v>324.64679245283014</v>
      </c>
      <c r="Z84" s="84">
        <f>IFERROR('Price History'!E3+(INDEX('Price History'!E:E,MATCH(9.99E+307,'Price History'!$A:$A))-'Price History'!E3)*(ROW()-3)/(MATCH(9.99E+307,'Returns (Calc)'!$A:$A)-3),"")</f>
        <v>40.70716981132076</v>
      </c>
      <c r="AA84" s="84">
        <f>IFERROR('Price History'!F3+(INDEX('Price History'!F:F,MATCH(9.99E+307,'Price History'!$A:$A))-'Price History'!F3)*(ROW()-3)/(MATCH(9.99E+307,'Returns (Calc)'!$A:$A)-3),"")</f>
        <v>18.180377358490567</v>
      </c>
      <c r="AB84" s="84">
        <f>IFERROR('Price History'!G3+(INDEX('Price History'!G:G,MATCH(9.99E+307,'Price History'!$A:$A))-'Price History'!G3)*(ROW()-3)/(MATCH(9.99E+307,'Returns (Calc)'!$A:$A)-3),"")</f>
        <v>23.498113207547167</v>
      </c>
      <c r="AC84" s="84">
        <f>IFERROR('Price History'!H3+(INDEX('Price History'!H:H,MATCH(9.99E+307,'Price History'!$A:$A))-'Price History'!H3)*(ROW()-3)/(MATCH(9.99E+307,'Returns (Calc)'!$A:$A)-3),"")</f>
        <v>31.577735849056609</v>
      </c>
      <c r="AD84" s="84">
        <f>IFERROR('Price History'!I3+(INDEX('Price History'!I:I,MATCH(9.99E+307,'Price History'!$A:$A))-'Price History'!I3)*(ROW()-3)/(MATCH(9.99E+307,'Returns (Calc)'!$A:$A)-3),"")</f>
        <v>20.039622641509435</v>
      </c>
      <c r="AE84" s="84">
        <f>IFERROR('Price History'!J3+(INDEX('Price History'!J:J,MATCH(9.99E+307,'Price History'!$A:$A))-'Price History'!J3)*(ROW()-3)/(MATCH(9.99E+307,'Returns (Calc)'!$A:$A)-3),"")</f>
        <v>60.589811320754713</v>
      </c>
      <c r="AF84" s="84">
        <f>IFERROR('Price History'!K3+(INDEX('Price History'!K:K,MATCH(9.99E+307,'Price History'!$A:$A))-'Price History'!K3)*(ROW()-3)/(MATCH(9.99E+307,'Returns (Calc)'!$A:$A)-3),"")</f>
        <v>7.5596226415094341</v>
      </c>
      <c r="AG84" s="84">
        <f>IFERROR('Price History'!L3+(INDEX('Price History'!L:L,MATCH(9.99E+307,'Price History'!$A:$A))-'Price History'!L3)*(ROW()-3)/(MATCH(9.99E+307,'Returns (Calc)'!$A:$A)-3),"")</f>
        <v>45.127169811320755</v>
      </c>
      <c r="AH84" s="84">
        <f>IFERROR('Price History'!M3+(INDEX('Price History'!M:M,MATCH(9.99E+307,'Price History'!$A:$A))-'Price History'!M3)*(ROW()-3)/(MATCH(9.99E+307,'Returns (Calc)'!$A:$A)-3),"")</f>
        <v>16.438867924528299</v>
      </c>
      <c r="AI84" s="84">
        <f>IFERROR('Price History'!N3+(INDEX('Price History'!N:N,MATCH(9.99E+307,'Price History'!$A:$A))-'Price History'!N3)*(ROW()-3)/(MATCH(9.99E+307,'Returns (Calc)'!$A:$A)-3),"")</f>
        <v>171.62943396226416</v>
      </c>
      <c r="AJ84" s="84">
        <f>IFERROR('Price History'!O3+(INDEX('Price History'!O:O,MATCH(9.99E+307,'Price History'!$A:$A))-'Price History'!O3)*(ROW()-3)/(MATCH(9.99E+307,'Returns (Calc)'!$A:$A)-3),"")</f>
        <v>40.643396226415092</v>
      </c>
      <c r="AK84" s="84">
        <f>IFERROR('Price History'!Q3+(INDEX('Price History'!Q:Q,MATCH(9.99E+307,'Price History'!$A:$A))-'Price History'!Q3)*(ROW()-3)/(MATCH(9.99E+307,'Returns (Calc)'!$A:$A)-3),"")</f>
        <v>24.449811320754719</v>
      </c>
      <c r="AL84" s="84">
        <f>IFERROR('Price History'!R3+(INDEX('Price History'!R:R,MATCH(9.99E+307,'Price History'!$A:$A))-'Price History'!R3)*(ROW()-3)/(MATCH(9.99E+307,'Returns (Calc)'!$A:$A)-3),"")</f>
        <v>23.458867924528302</v>
      </c>
      <c r="AM84" s="84">
        <f>IFERROR('Price History'!S3+(INDEX('Price History'!S:S,MATCH(9.99E+307,'Price History'!$A:$A))-'Price History'!S3)*(ROW()-3)/(MATCH(9.99E+307,'Returns (Calc)'!$A:$A)-3),"")</f>
        <v>28.717735849056606</v>
      </c>
      <c r="AN84" s="84">
        <f>IFERROR('Price History'!T3+(INDEX('Price History'!T:T,MATCH(9.99E+307,'Price History'!$A:$A))-'Price History'!T3)*(ROW()-3)/(MATCH(9.99E+307,'Returns (Calc)'!$A:$A)-3),"")</f>
        <v>13.201132075471698</v>
      </c>
      <c r="AO84" s="85">
        <f>IFERROR('Price History'!V3+(INDEX('Price History'!V:V,MATCH(9.99E+307,'Price History'!$A:$A))-'Price History'!V3)*(ROW()-3)/(MATCH(9.99E+307,'Returns (Calc)'!$A:$A)-3),"")</f>
        <v>0</v>
      </c>
    </row>
    <row r="85" spans="1:41" ht="15" customHeight="1" x14ac:dyDescent="0.3">
      <c r="A85" s="81">
        <f>IF('Price History'!A86="","",'Price History'!A86)</f>
        <v>45730</v>
      </c>
      <c r="B85" s="82">
        <f>IFERROR(IF(OR(NOT(ISNUMBER('Price History'!B86)),NOT(ISNUMBER('Price History'!B85)),'Price History'!B85=0),"",'Price History'!B86/'Price History'!B85-1),"")</f>
        <v>-0.12162883845126826</v>
      </c>
      <c r="C85" s="82">
        <f>IFERROR(IF(OR(NOT(ISNUMBER('Price History'!C86)),NOT(ISNUMBER('Price History'!C85)),'Price History'!C85=0),"",'Price History'!C86/'Price History'!C85-1),"")</f>
        <v>1.7994241842611558E-3</v>
      </c>
      <c r="D85" s="82">
        <f>IFERROR(IF(OR(NOT(ISNUMBER('Price History'!D86)),NOT(ISNUMBER('Price History'!D85)),'Price History'!D85=0),"",'Price History'!D86/'Price History'!D85-1),"")</f>
        <v>-2.4883231815574613E-2</v>
      </c>
      <c r="E85" s="82">
        <f>IFERROR(IF(OR(NOT(ISNUMBER('Price History'!E86)),NOT(ISNUMBER('Price History'!E85)),'Price History'!E85=0),"",'Price History'!E86/'Price History'!E85-1),"")</f>
        <v>2.9749692244562809E-3</v>
      </c>
      <c r="F85" s="82">
        <f>IFERROR(IF(OR(NOT(ISNUMBER('Price History'!F86)),NOT(ISNUMBER('Price History'!F85)),'Price History'!F85=0),"",'Price History'!F86/'Price History'!F85-1),"")</f>
        <v>6.0566082993523729E-2</v>
      </c>
      <c r="G85" s="82">
        <f>IFERROR(IF(OR(NOT(ISNUMBER('Price History'!G86)),NOT(ISNUMBER('Price History'!G85)),'Price History'!G85=0),"",'Price History'!G86/'Price History'!G85-1),"")</f>
        <v>2.389990158863986E-3</v>
      </c>
      <c r="H85" s="82">
        <f>IFERROR(IF(OR(NOT(ISNUMBER('Price History'!H86)),NOT(ISNUMBER('Price History'!H85)),'Price History'!H85=0),"",'Price History'!H86/'Price History'!H85-1),"")</f>
        <v>8.4229776247848775E-2</v>
      </c>
      <c r="I85" s="82">
        <f>IFERROR(IF(OR(NOT(ISNUMBER('Price History'!I86)),NOT(ISNUMBER('Price History'!I85)),'Price History'!I85=0),"",'Price History'!I86/'Price History'!I85-1),"")</f>
        <v>7.9687638654716508E-2</v>
      </c>
      <c r="J85" s="82">
        <f>IFERROR(IF(OR(NOT(ISNUMBER('Price History'!J86)),NOT(ISNUMBER('Price History'!J85)),'Price History'!J85=0),"",'Price History'!J86/'Price History'!J85-1),"")</f>
        <v>-6.6883495955299743E-2</v>
      </c>
      <c r="K85" s="82">
        <f>IFERROR(IF(OR(NOT(ISNUMBER('Price History'!K86)),NOT(ISNUMBER('Price History'!K85)),'Price History'!K85=0),"",'Price History'!K86/'Price History'!K85-1),"")</f>
        <v>1.5663643858202736E-2</v>
      </c>
      <c r="L85" s="82">
        <f>IFERROR(IF(OR(NOT(ISNUMBER('Price History'!L86)),NOT(ISNUMBER('Price History'!L85)),'Price History'!L85=0),"",'Price History'!L86/'Price History'!L85-1),"")</f>
        <v>-1.6996047430829941E-2</v>
      </c>
      <c r="M85" s="82">
        <f>IFERROR(IF(OR(NOT(ISNUMBER('Price History'!M86)),NOT(ISNUMBER('Price History'!M85)),'Price History'!M85=0),"",'Price History'!M86/'Price History'!M85-1),"")</f>
        <v>2.833960489181564E-2</v>
      </c>
      <c r="N85" s="82">
        <f>IFERROR(IF(OR(NOT(ISNUMBER('Price History'!N86)),NOT(ISNUMBER('Price History'!N85)),'Price History'!N85=0),"",'Price History'!N86/'Price History'!N85-1),"")</f>
        <v>3.3750435192201333E-2</v>
      </c>
      <c r="O85" s="82">
        <f>IFERROR(IF(OR(NOT(ISNUMBER('Price History'!O86)),NOT(ISNUMBER('Price History'!O85)),'Price History'!O85=0),"",'Price History'!O86/'Price History'!O85-1),"")</f>
        <v>-1.8718989625620353E-2</v>
      </c>
      <c r="P85" s="82" t="str">
        <f>IFERROR(IF(OR(NOT(ISNUMBER('Price History'!P86)),NOT(ISNUMBER('Price History'!P85)),'Price History'!P85=0),"",'Price History'!P86/'Price History'!P85-1),"")</f>
        <v/>
      </c>
      <c r="Q85" s="82">
        <f>IFERROR(IF(OR(NOT(ISNUMBER('Price History'!Q86)),NOT(ISNUMBER('Price History'!Q85)),'Price History'!Q85=0),"",'Price History'!Q86/'Price History'!Q85-1),"")</f>
        <v>1.6262917160765777E-2</v>
      </c>
      <c r="R85" s="82">
        <f>IFERROR(IF(OR(NOT(ISNUMBER('Price History'!R86)),NOT(ISNUMBER('Price History'!R85)),'Price History'!R85=0),"",'Price History'!R86/'Price History'!R85-1),"")</f>
        <v>-2.1391369047619069E-2</v>
      </c>
      <c r="S85" s="82">
        <f>IFERROR(IF(OR(NOT(ISNUMBER('Price History'!S86)),NOT(ISNUMBER('Price History'!S85)),'Price History'!S85=0),"",'Price History'!S86/'Price History'!S85-1),"")</f>
        <v>-7.1927226570764891E-3</v>
      </c>
      <c r="T85" s="82">
        <f>IFERROR(IF(OR(NOT(ISNUMBER('Price History'!T86)),NOT(ISNUMBER('Price History'!T85)),'Price History'!T85=0),"",'Price History'!T86/'Price History'!T85-1),"")</f>
        <v>-2.0683711577133002E-2</v>
      </c>
      <c r="U85" s="82" t="str">
        <f>IFERROR(IF(OR(NOT(ISNUMBER('Price History'!U86)),NOT(ISNUMBER('Price History'!U85)),'Price History'!U85=0),"",'Price History'!U86/'Price History'!U85-1),"")</f>
        <v/>
      </c>
      <c r="V85" s="83">
        <f>IFERROR(IF(OR(NOT(ISNUMBER('Price History'!V86)),NOT(ISNUMBER('Price History'!V85)),'Price History'!V85=0),"",'Price History'!V86/'Price History'!V85-1),"")</f>
        <v>-3.916112591898302E-2</v>
      </c>
      <c r="W85" s="84" t="str">
        <f>IFERROR('Price History'!B3+(INDEX('Price History'!B:B,MATCH(9.99E+307,'Price History'!$A:$A))-'Price History'!B3)*(ROW()-3)/(MATCH(9.99E+307,'Returns (Calc)'!$A:$A)-3),"")</f>
        <v/>
      </c>
      <c r="X85" s="84">
        <f>IFERROR('Price History'!C3+(INDEX('Price History'!C:C,MATCH(9.99E+307,'Price History'!$A:$A))-'Price History'!C3)*(ROW()-3)/(MATCH(9.99E+307,'Returns (Calc)'!$A:$A)-3),"")</f>
        <v>21.182264150943396</v>
      </c>
      <c r="Y85" s="84">
        <f>IFERROR('Price History'!D3+(INDEX('Price History'!D:D,MATCH(9.99E+307,'Price History'!$A:$A))-'Price History'!D3)*(ROW()-3)/(MATCH(9.99E+307,'Returns (Calc)'!$A:$A)-3),"")</f>
        <v>320.48465408805032</v>
      </c>
      <c r="Z85" s="84">
        <f>IFERROR('Price History'!E3+(INDEX('Price History'!E:E,MATCH(9.99E+307,'Price History'!$A:$A))-'Price History'!E3)*(ROW()-3)/(MATCH(9.99E+307,'Returns (Calc)'!$A:$A)-3),"")</f>
        <v>40.185283018867928</v>
      </c>
      <c r="AA85" s="84">
        <f>IFERROR('Price History'!F3+(INDEX('Price History'!F:F,MATCH(9.99E+307,'Price History'!$A:$A))-'Price History'!F3)*(ROW()-3)/(MATCH(9.99E+307,'Returns (Calc)'!$A:$A)-3),"")</f>
        <v>17.947295597484278</v>
      </c>
      <c r="AB85" s="84">
        <f>IFERROR('Price History'!G3+(INDEX('Price History'!G:G,MATCH(9.99E+307,'Price History'!$A:$A))-'Price History'!G3)*(ROW()-3)/(MATCH(9.99E+307,'Returns (Calc)'!$A:$A)-3),"")</f>
        <v>23.196855345911949</v>
      </c>
      <c r="AC85" s="84">
        <f>IFERROR('Price History'!H3+(INDEX('Price History'!H:H,MATCH(9.99E+307,'Price History'!$A:$A))-'Price History'!H3)*(ROW()-3)/(MATCH(9.99E+307,'Returns (Calc)'!$A:$A)-3),"")</f>
        <v>31.172893081761011</v>
      </c>
      <c r="AD85" s="84">
        <f>IFERROR('Price History'!I3+(INDEX('Price History'!I:I,MATCH(9.99E+307,'Price History'!$A:$A))-'Price History'!I3)*(ROW()-3)/(MATCH(9.99E+307,'Returns (Calc)'!$A:$A)-3),"")</f>
        <v>19.782704402515723</v>
      </c>
      <c r="AE85" s="84">
        <f>IFERROR('Price History'!J3+(INDEX('Price History'!J:J,MATCH(9.99E+307,'Price History'!$A:$A))-'Price History'!J3)*(ROW()-3)/(MATCH(9.99E+307,'Returns (Calc)'!$A:$A)-3),"")</f>
        <v>59.813018867924534</v>
      </c>
      <c r="AF85" s="84">
        <f>IFERROR('Price History'!K3+(INDEX('Price History'!K:K,MATCH(9.99E+307,'Price History'!$A:$A))-'Price History'!K3)*(ROW()-3)/(MATCH(9.99E+307,'Returns (Calc)'!$A:$A)-3),"")</f>
        <v>7.4627044025157225</v>
      </c>
      <c r="AG85" s="84">
        <f>IFERROR('Price History'!L3+(INDEX('Price History'!L:L,MATCH(9.99E+307,'Price History'!$A:$A))-'Price History'!L3)*(ROW()-3)/(MATCH(9.99E+307,'Returns (Calc)'!$A:$A)-3),"")</f>
        <v>44.548616352201257</v>
      </c>
      <c r="AH85" s="84">
        <f>IFERROR('Price History'!M3+(INDEX('Price History'!M:M,MATCH(9.99E+307,'Price History'!$A:$A))-'Price History'!M3)*(ROW()-3)/(MATCH(9.99E+307,'Returns (Calc)'!$A:$A)-3),"")</f>
        <v>16.228113207547171</v>
      </c>
      <c r="AI85" s="84">
        <f>IFERROR('Price History'!N3+(INDEX('Price History'!N:N,MATCH(9.99E+307,'Price History'!$A:$A))-'Price History'!N3)*(ROW()-3)/(MATCH(9.99E+307,'Returns (Calc)'!$A:$A)-3),"")</f>
        <v>169.4290566037736</v>
      </c>
      <c r="AJ85" s="84">
        <f>IFERROR('Price History'!O3+(INDEX('Price History'!O:O,MATCH(9.99E+307,'Price History'!$A:$A))-'Price History'!O3)*(ROW()-3)/(MATCH(9.99E+307,'Returns (Calc)'!$A:$A)-3),"")</f>
        <v>40.122327044025155</v>
      </c>
      <c r="AK85" s="84">
        <f>IFERROR('Price History'!Q3+(INDEX('Price History'!Q:Q,MATCH(9.99E+307,'Price History'!$A:$A))-'Price History'!Q3)*(ROW()-3)/(MATCH(9.99E+307,'Returns (Calc)'!$A:$A)-3),"")</f>
        <v>24.136352201257864</v>
      </c>
      <c r="AL85" s="84">
        <f>IFERROR('Price History'!R3+(INDEX('Price History'!R:R,MATCH(9.99E+307,'Price History'!$A:$A))-'Price History'!R3)*(ROW()-3)/(MATCH(9.99E+307,'Returns (Calc)'!$A:$A)-3),"")</f>
        <v>23.158113207547167</v>
      </c>
      <c r="AM85" s="84">
        <f>IFERROR('Price History'!S3+(INDEX('Price History'!S:S,MATCH(9.99E+307,'Price History'!$A:$A))-'Price History'!S3)*(ROW()-3)/(MATCH(9.99E+307,'Returns (Calc)'!$A:$A)-3),"")</f>
        <v>28.349559748427673</v>
      </c>
      <c r="AN85" s="84">
        <f>IFERROR('Price History'!T3+(INDEX('Price History'!T:T,MATCH(9.99E+307,'Price History'!$A:$A))-'Price History'!T3)*(ROW()-3)/(MATCH(9.99E+307,'Returns (Calc)'!$A:$A)-3),"")</f>
        <v>13.031886792452831</v>
      </c>
      <c r="AO85" s="85">
        <f>IFERROR('Price History'!V3+(INDEX('Price History'!V:V,MATCH(9.99E+307,'Price History'!$A:$A))-'Price History'!V3)*(ROW()-3)/(MATCH(9.99E+307,'Returns (Calc)'!$A:$A)-3),"")</f>
        <v>0</v>
      </c>
    </row>
    <row r="86" spans="1:41" ht="15" customHeight="1" x14ac:dyDescent="0.3">
      <c r="A86" s="81">
        <f>IF('Price History'!A87="","",'Price History'!A87)</f>
        <v>45737</v>
      </c>
      <c r="B86" s="82">
        <f>IFERROR(IF(OR(NOT(ISNUMBER('Price History'!B87)),NOT(ISNUMBER('Price History'!B86)),'Price History'!B86=0),"",'Price History'!B87/'Price History'!B86-1),"")</f>
        <v>-1.8949181739879473E-2</v>
      </c>
      <c r="C86" s="82">
        <f>IFERROR(IF(OR(NOT(ISNUMBER('Price History'!C87)),NOT(ISNUMBER('Price History'!C86)),'Price History'!C86=0),"",'Price History'!C87/'Price History'!C86-1),"")</f>
        <v>-4.5503532511077527E-3</v>
      </c>
      <c r="D86" s="82">
        <f>IFERROR(IF(OR(NOT(ISNUMBER('Price History'!D87)),NOT(ISNUMBER('Price History'!D86)),'Price History'!D86=0),"",'Price History'!D87/'Price History'!D86-1),"")</f>
        <v>3.1092436974791138E-3</v>
      </c>
      <c r="E86" s="82">
        <f>IFERROR(IF(OR(NOT(ISNUMBER('Price History'!E87)),NOT(ISNUMBER('Price History'!E86)),'Price History'!E86=0),"",'Price History'!E87/'Price History'!E86-1),"")</f>
        <v>-1.984248747059425E-2</v>
      </c>
      <c r="F86" s="82">
        <f>IFERROR(IF(OR(NOT(ISNUMBER('Price History'!F87)),NOT(ISNUMBER('Price History'!F86)),'Price History'!F86=0),"",'Price History'!F87/'Price History'!F86-1),"")</f>
        <v>2.4086848354630819E-2</v>
      </c>
      <c r="G86" s="82">
        <f>IFERROR(IF(OR(NOT(ISNUMBER('Price History'!G87)),NOT(ISNUMBER('Price History'!G86)),'Price History'!G86=0),"",'Price History'!G87/'Price History'!G86-1),"")</f>
        <v>-9.1164095371667475E-3</v>
      </c>
      <c r="H86" s="82">
        <f>IFERROR(IF(OR(NOT(ISNUMBER('Price History'!H87)),NOT(ISNUMBER('Price History'!H86)),'Price History'!H86=0),"",'Price History'!H87/'Price History'!H86-1),"")</f>
        <v>-6.0224228594106588E-2</v>
      </c>
      <c r="I86" s="82">
        <f>IFERROR(IF(OR(NOT(ISNUMBER('Price History'!I87)),NOT(ISNUMBER('Price History'!I86)),'Price History'!I86=0),"",'Price History'!I87/'Price History'!I86-1),"")</f>
        <v>-3.2629243034437372E-2</v>
      </c>
      <c r="J86" s="82">
        <f>IFERROR(IF(OR(NOT(ISNUMBER('Price History'!J87)),NOT(ISNUMBER('Price History'!J86)),'Price History'!J86=0),"",'Price History'!J87/'Price History'!J86-1),"")</f>
        <v>-3.1012601662346984E-2</v>
      </c>
      <c r="K86" s="82">
        <f>IFERROR(IF(OR(NOT(ISNUMBER('Price History'!K87)),NOT(ISNUMBER('Price History'!K86)),'Price History'!K86=0),"",'Price History'!K87/'Price History'!K86-1),"")</f>
        <v>5.4730983302411884E-2</v>
      </c>
      <c r="L86" s="82">
        <f>IFERROR(IF(OR(NOT(ISNUMBER('Price History'!L87)),NOT(ISNUMBER('Price History'!L86)),'Price History'!L86=0),"",'Price History'!L87/'Price History'!L86-1),"")</f>
        <v>1.5164570049974069E-2</v>
      </c>
      <c r="M86" s="82">
        <f>IFERROR(IF(OR(NOT(ISNUMBER('Price History'!M87)),NOT(ISNUMBER('Price History'!M86)),'Price History'!M86=0),"",'Price History'!M87/'Price History'!M86-1),"")</f>
        <v>1.3493424814179367E-2</v>
      </c>
      <c r="N86" s="82">
        <f>IFERROR(IF(OR(NOT(ISNUMBER('Price History'!N87)),NOT(ISNUMBER('Price History'!N86)),'Price History'!N86=0),"",'Price History'!N87/'Price History'!N86-1),"")</f>
        <v>-3.1103274758801369E-3</v>
      </c>
      <c r="O86" s="82">
        <f>IFERROR(IF(OR(NOT(ISNUMBER('Price History'!O87)),NOT(ISNUMBER('Price History'!O86)),'Price History'!O86=0),"",'Price History'!O87/'Price History'!O86-1),"")</f>
        <v>9.6529533440588011E-3</v>
      </c>
      <c r="P86" s="82" t="str">
        <f>IFERROR(IF(OR(NOT(ISNUMBER('Price History'!P87)),NOT(ISNUMBER('Price History'!P86)),'Price History'!P86=0),"",'Price History'!P87/'Price History'!P86-1),"")</f>
        <v/>
      </c>
      <c r="Q86" s="82">
        <f>IFERROR(IF(OR(NOT(ISNUMBER('Price History'!Q87)),NOT(ISNUMBER('Price History'!Q86)),'Price History'!Q86=0),"",'Price History'!Q87/'Price History'!Q86-1),"")</f>
        <v>-2.5004167361226681E-3</v>
      </c>
      <c r="R86" s="82">
        <f>IFERROR(IF(OR(NOT(ISNUMBER('Price History'!R87)),NOT(ISNUMBER('Price History'!R86)),'Price History'!R86=0),"",'Price History'!R87/'Price History'!R86-1),"")</f>
        <v>3.6114807070899424E-3</v>
      </c>
      <c r="S86" s="82">
        <f>IFERROR(IF(OR(NOT(ISNUMBER('Price History'!S87)),NOT(ISNUMBER('Price History'!S86)),'Price History'!S86=0),"",'Price History'!S87/'Price History'!S86-1),"")</f>
        <v>3.8354996803751096E-3</v>
      </c>
      <c r="T86" s="82">
        <f>IFERROR(IF(OR(NOT(ISNUMBER('Price History'!T87)),NOT(ISNUMBER('Price History'!T86)),'Price History'!T86=0),"",'Price History'!T87/'Price History'!T86-1),"")</f>
        <v>1.7013787034320771E-2</v>
      </c>
      <c r="U86" s="82" t="str">
        <f>IFERROR(IF(OR(NOT(ISNUMBER('Price History'!U87)),NOT(ISNUMBER('Price History'!U86)),'Price History'!U86=0),"",'Price History'!U87/'Price History'!U86-1),"")</f>
        <v/>
      </c>
      <c r="V86" s="83">
        <f>IFERROR(IF(OR(NOT(ISNUMBER('Price History'!V87)),NOT(ISNUMBER('Price History'!V86)),'Price History'!V86=0),"",'Price History'!V87/'Price History'!V86-1),"")</f>
        <v>1.1644921351054771E-2</v>
      </c>
      <c r="W86" s="84" t="str">
        <f>IFERROR('Price History'!B3+(INDEX('Price History'!B:B,MATCH(9.99E+307,'Price History'!$A:$A))-'Price History'!B3)*(ROW()-3)/(MATCH(9.99E+307,'Returns (Calc)'!$A:$A)-3),"")</f>
        <v/>
      </c>
      <c r="X86" s="84">
        <f>IFERROR('Price History'!C3+(INDEX('Price History'!C:C,MATCH(9.99E+307,'Price History'!$A:$A))-'Price History'!C3)*(ROW()-3)/(MATCH(9.99E+307,'Returns (Calc)'!$A:$A)-3),"")</f>
        <v>20.907169811320756</v>
      </c>
      <c r="Y86" s="84">
        <f>IFERROR('Price History'!D3+(INDEX('Price History'!D:D,MATCH(9.99E+307,'Price History'!$A:$A))-'Price History'!D3)*(ROW()-3)/(MATCH(9.99E+307,'Returns (Calc)'!$A:$A)-3),"")</f>
        <v>316.32251572327044</v>
      </c>
      <c r="Z86" s="84">
        <f>IFERROR('Price History'!E3+(INDEX('Price History'!E:E,MATCH(9.99E+307,'Price History'!$A:$A))-'Price History'!E3)*(ROW()-3)/(MATCH(9.99E+307,'Returns (Calc)'!$A:$A)-3),"")</f>
        <v>39.663396226415095</v>
      </c>
      <c r="AA86" s="84">
        <f>IFERROR('Price History'!F3+(INDEX('Price History'!F:F,MATCH(9.99E+307,'Price History'!$A:$A))-'Price History'!F3)*(ROW()-3)/(MATCH(9.99E+307,'Returns (Calc)'!$A:$A)-3),"")</f>
        <v>17.714213836477988</v>
      </c>
      <c r="AB86" s="84">
        <f>IFERROR('Price History'!G3+(INDEX('Price History'!G:G,MATCH(9.99E+307,'Price History'!$A:$A))-'Price History'!G3)*(ROW()-3)/(MATCH(9.99E+307,'Returns (Calc)'!$A:$A)-3),"")</f>
        <v>22.895597484276728</v>
      </c>
      <c r="AC86" s="84">
        <f>IFERROR('Price History'!H3+(INDEX('Price History'!H:H,MATCH(9.99E+307,'Price History'!$A:$A))-'Price History'!H3)*(ROW()-3)/(MATCH(9.99E+307,'Returns (Calc)'!$A:$A)-3),"")</f>
        <v>30.768050314465412</v>
      </c>
      <c r="AD86" s="84">
        <f>IFERROR('Price History'!I3+(INDEX('Price History'!I:I,MATCH(9.99E+307,'Price History'!$A:$A))-'Price History'!I3)*(ROW()-3)/(MATCH(9.99E+307,'Returns (Calc)'!$A:$A)-3),"")</f>
        <v>19.525786163522014</v>
      </c>
      <c r="AE86" s="84">
        <f>IFERROR('Price History'!J3+(INDEX('Price History'!J:J,MATCH(9.99E+307,'Price History'!$A:$A))-'Price History'!J3)*(ROW()-3)/(MATCH(9.99E+307,'Returns (Calc)'!$A:$A)-3),"")</f>
        <v>59.036226415094347</v>
      </c>
      <c r="AF86" s="84">
        <f>IFERROR('Price History'!K3+(INDEX('Price History'!K:K,MATCH(9.99E+307,'Price History'!$A:$A))-'Price History'!K3)*(ROW()-3)/(MATCH(9.99E+307,'Returns (Calc)'!$A:$A)-3),"")</f>
        <v>7.3657861635220137</v>
      </c>
      <c r="AG86" s="84">
        <f>IFERROR('Price History'!L3+(INDEX('Price History'!L:L,MATCH(9.99E+307,'Price History'!$A:$A))-'Price History'!L3)*(ROW()-3)/(MATCH(9.99E+307,'Returns (Calc)'!$A:$A)-3),"")</f>
        <v>43.97006289308176</v>
      </c>
      <c r="AH86" s="84">
        <f>IFERROR('Price History'!M3+(INDEX('Price History'!M:M,MATCH(9.99E+307,'Price History'!$A:$A))-'Price History'!M3)*(ROW()-3)/(MATCH(9.99E+307,'Returns (Calc)'!$A:$A)-3),"")</f>
        <v>16.017358490566036</v>
      </c>
      <c r="AI86" s="84">
        <f>IFERROR('Price History'!N3+(INDEX('Price History'!N:N,MATCH(9.99E+307,'Price History'!$A:$A))-'Price History'!N3)*(ROW()-3)/(MATCH(9.99E+307,'Returns (Calc)'!$A:$A)-3),"")</f>
        <v>167.22867924528302</v>
      </c>
      <c r="AJ86" s="84">
        <f>IFERROR('Price History'!O3+(INDEX('Price History'!O:O,MATCH(9.99E+307,'Price History'!$A:$A))-'Price History'!O3)*(ROW()-3)/(MATCH(9.99E+307,'Returns (Calc)'!$A:$A)-3),"")</f>
        <v>39.601257861635219</v>
      </c>
      <c r="AK86" s="84">
        <f>IFERROR('Price History'!Q3+(INDEX('Price History'!Q:Q,MATCH(9.99E+307,'Price History'!$A:$A))-'Price History'!Q3)*(ROW()-3)/(MATCH(9.99E+307,'Returns (Calc)'!$A:$A)-3),"")</f>
        <v>23.822893081761009</v>
      </c>
      <c r="AL86" s="84">
        <f>IFERROR('Price History'!R3+(INDEX('Price History'!R:R,MATCH(9.99E+307,'Price History'!$A:$A))-'Price History'!R3)*(ROW()-3)/(MATCH(9.99E+307,'Returns (Calc)'!$A:$A)-3),"")</f>
        <v>22.857358490566039</v>
      </c>
      <c r="AM86" s="84">
        <f>IFERROR('Price History'!S3+(INDEX('Price History'!S:S,MATCH(9.99E+307,'Price History'!$A:$A))-'Price History'!S3)*(ROW()-3)/(MATCH(9.99E+307,'Returns (Calc)'!$A:$A)-3),"")</f>
        <v>27.981383647798744</v>
      </c>
      <c r="AN86" s="84">
        <f>IFERROR('Price History'!T3+(INDEX('Price History'!T:T,MATCH(9.99E+307,'Price History'!$A:$A))-'Price History'!T3)*(ROW()-3)/(MATCH(9.99E+307,'Returns (Calc)'!$A:$A)-3),"")</f>
        <v>12.862641509433962</v>
      </c>
      <c r="AO86" s="85">
        <f>IFERROR('Price History'!V3+(INDEX('Price History'!V:V,MATCH(9.99E+307,'Price History'!$A:$A))-'Price History'!V3)*(ROW()-3)/(MATCH(9.99E+307,'Returns (Calc)'!$A:$A)-3),"")</f>
        <v>0</v>
      </c>
    </row>
    <row r="87" spans="1:41" ht="15" customHeight="1" x14ac:dyDescent="0.3">
      <c r="A87" s="81">
        <f>IF('Price History'!A88="","",'Price History'!A88)</f>
        <v>45744</v>
      </c>
      <c r="B87" s="82">
        <f>IFERROR(IF(OR(NOT(ISNUMBER('Price History'!B88)),NOT(ISNUMBER('Price History'!B87)),'Price History'!B87=0),"",'Price History'!B88/'Price History'!B87-1),"")</f>
        <v>-4.0024789547075112E-3</v>
      </c>
      <c r="C87" s="82">
        <f>IFERROR(IF(OR(NOT(ISNUMBER('Price History'!C88)),NOT(ISNUMBER('Price History'!C87)),'Price History'!C87=0),"",'Price History'!C88/'Price History'!C87-1),"")</f>
        <v>-6.2432334897149055E-2</v>
      </c>
      <c r="D87" s="82">
        <f>IFERROR(IF(OR(NOT(ISNUMBER('Price History'!D88)),NOT(ISNUMBER('Price History'!D87)),'Price History'!D87=0),"",'Price History'!D88/'Price History'!D87-1),"")</f>
        <v>-5.8138560777414749E-2</v>
      </c>
      <c r="E87" s="82">
        <f>IFERROR(IF(OR(NOT(ISNUMBER('Price History'!E88)),NOT(ISNUMBER('Price History'!E87)),'Price History'!E87=0),"",'Price History'!E88/'Price History'!E87-1),"")</f>
        <v>-0.11760409057706356</v>
      </c>
      <c r="F87" s="82">
        <f>IFERROR(IF(OR(NOT(ISNUMBER('Price History'!F88)),NOT(ISNUMBER('Price History'!F87)),'Price History'!F87=0),"",'Price History'!F88/'Price History'!F87-1),"")</f>
        <v>-1.4134275618374548E-2</v>
      </c>
      <c r="G87" s="82">
        <f>IFERROR(IF(OR(NOT(ISNUMBER('Price History'!G88)),NOT(ISNUMBER('Price History'!G87)),'Price History'!G87=0),"",'Price History'!G88/'Price History'!G87-1),"")</f>
        <v>-4.6567586694975294E-2</v>
      </c>
      <c r="H87" s="82">
        <f>IFERROR(IF(OR(NOT(ISNUMBER('Price History'!H88)),NOT(ISNUMBER('Price History'!H87)),'Price History'!H87=0),"",'Price History'!H88/'Price History'!H87-1),"")</f>
        <v>-6.6300675675675658E-2</v>
      </c>
      <c r="I87" s="82">
        <f>IFERROR(IF(OR(NOT(ISNUMBER('Price History'!I88)),NOT(ISNUMBER('Price History'!I87)),'Price History'!I87=0),"",'Price History'!I88/'Price History'!I87-1),"")</f>
        <v>-6.8224299065420602E-2</v>
      </c>
      <c r="J87" s="82">
        <f>IFERROR(IF(OR(NOT(ISNUMBER('Price History'!J88)),NOT(ISNUMBER('Price History'!J87)),'Price History'!J87=0),"",'Price History'!J88/'Price History'!J87-1),"")</f>
        <v>1.8723482752259768E-2</v>
      </c>
      <c r="K87" s="82">
        <f>IFERROR(IF(OR(NOT(ISNUMBER('Price History'!K88)),NOT(ISNUMBER('Price History'!K87)),'Price History'!K87=0),"",'Price History'!K88/'Price History'!K87-1),"")</f>
        <v>-5.6178540017590151E-2</v>
      </c>
      <c r="L87" s="82">
        <f>IFERROR(IF(OR(NOT(ISNUMBER('Price History'!L88)),NOT(ISNUMBER('Price History'!L87)),'Price History'!L87=0),"",'Price History'!L88/'Price History'!L87-1),"")</f>
        <v>-6.4957845300741224E-2</v>
      </c>
      <c r="M87" s="82">
        <f>IFERROR(IF(OR(NOT(ISNUMBER('Price History'!M88)),NOT(ISNUMBER('Price History'!M87)),'Price History'!M87=0),"",'Price History'!M88/'Price History'!M87-1),"")</f>
        <v>-0.16224754597765989</v>
      </c>
      <c r="N87" s="82">
        <f>IFERROR(IF(OR(NOT(ISNUMBER('Price History'!N88)),NOT(ISNUMBER('Price History'!N87)),'Price History'!N87=0),"",'Price History'!N88/'Price History'!N87-1),"")</f>
        <v>-2.0886327503974567E-2</v>
      </c>
      <c r="O87" s="82">
        <f>IFERROR(IF(OR(NOT(ISNUMBER('Price History'!O88)),NOT(ISNUMBER('Price History'!O87)),'Price History'!O87=0),"",'Price History'!O88/'Price History'!O87-1),"")</f>
        <v>-8.4224903255177841E-3</v>
      </c>
      <c r="P87" s="82" t="str">
        <f>IFERROR(IF(OR(NOT(ISNUMBER('Price History'!P88)),NOT(ISNUMBER('Price History'!P87)),'Price History'!P87=0),"",'Price History'!P88/'Price History'!P87-1),"")</f>
        <v/>
      </c>
      <c r="Q87" s="82">
        <f>IFERROR(IF(OR(NOT(ISNUMBER('Price History'!Q88)),NOT(ISNUMBER('Price History'!Q87)),'Price History'!Q87=0),"",'Price History'!Q88/'Price History'!Q87-1),"")</f>
        <v>2.9411764705882248E-2</v>
      </c>
      <c r="R87" s="82">
        <f>IFERROR(IF(OR(NOT(ISNUMBER('Price History'!R88)),NOT(ISNUMBER('Price History'!R87)),'Price History'!R87=0),"",'Price History'!R88/'Price History'!R87-1),"")</f>
        <v>-1.8749999999999933E-2</v>
      </c>
      <c r="S87" s="82">
        <f>IFERROR(IF(OR(NOT(ISNUMBER('Price History'!S88)),NOT(ISNUMBER('Price History'!S87)),'Price History'!S87=0),"",'Price History'!S88/'Price History'!S87-1),"")</f>
        <v>-2.1545319465081758E-2</v>
      </c>
      <c r="T87" s="82">
        <f>IFERROR(IF(OR(NOT(ISNUMBER('Price History'!T88)),NOT(ISNUMBER('Price History'!T87)),'Price History'!T87=0),"",'Price History'!T88/'Price History'!T87-1),"")</f>
        <v>-1.6440726853187204E-2</v>
      </c>
      <c r="U87" s="82" t="str">
        <f>IFERROR(IF(OR(NOT(ISNUMBER('Price History'!U88)),NOT(ISNUMBER('Price History'!U87)),'Price History'!U87=0),"",'Price History'!U88/'Price History'!U87-1),"")</f>
        <v/>
      </c>
      <c r="V87" s="83">
        <f>IFERROR(IF(OR(NOT(ISNUMBER('Price History'!V88)),NOT(ISNUMBER('Price History'!V87)),'Price History'!V87=0),"",'Price History'!V88/'Price History'!V87-1),"")</f>
        <v>2.1424697161453565E-2</v>
      </c>
      <c r="W87" s="84" t="str">
        <f>IFERROR('Price History'!B3+(INDEX('Price History'!B:B,MATCH(9.99E+307,'Price History'!$A:$A))-'Price History'!B3)*(ROW()-3)/(MATCH(9.99E+307,'Returns (Calc)'!$A:$A)-3),"")</f>
        <v/>
      </c>
      <c r="X87" s="84">
        <f>IFERROR('Price History'!C3+(INDEX('Price History'!C:C,MATCH(9.99E+307,'Price History'!$A:$A))-'Price History'!C3)*(ROW()-3)/(MATCH(9.99E+307,'Returns (Calc)'!$A:$A)-3),"")</f>
        <v>20.632075471698112</v>
      </c>
      <c r="Y87" s="84">
        <f>IFERROR('Price History'!D3+(INDEX('Price History'!D:D,MATCH(9.99E+307,'Price History'!$A:$A))-'Price History'!D3)*(ROW()-3)/(MATCH(9.99E+307,'Returns (Calc)'!$A:$A)-3),"")</f>
        <v>312.16037735849056</v>
      </c>
      <c r="Z87" s="84">
        <f>IFERROR('Price History'!E3+(INDEX('Price History'!E:E,MATCH(9.99E+307,'Price History'!$A:$A))-'Price History'!E3)*(ROW()-3)/(MATCH(9.99E+307,'Returns (Calc)'!$A:$A)-3),"")</f>
        <v>39.141509433962263</v>
      </c>
      <c r="AA87" s="84">
        <f>IFERROR('Price History'!F3+(INDEX('Price History'!F:F,MATCH(9.99E+307,'Price History'!$A:$A))-'Price History'!F3)*(ROW()-3)/(MATCH(9.99E+307,'Returns (Calc)'!$A:$A)-3),"")</f>
        <v>17.481132075471702</v>
      </c>
      <c r="AB87" s="84">
        <f>IFERROR('Price History'!G3+(INDEX('Price History'!G:G,MATCH(9.99E+307,'Price History'!$A:$A))-'Price History'!G3)*(ROW()-3)/(MATCH(9.99E+307,'Returns (Calc)'!$A:$A)-3),"")</f>
        <v>22.59433962264151</v>
      </c>
      <c r="AC87" s="84">
        <f>IFERROR('Price History'!H3+(INDEX('Price History'!H:H,MATCH(9.99E+307,'Price History'!$A:$A))-'Price History'!H3)*(ROW()-3)/(MATCH(9.99E+307,'Returns (Calc)'!$A:$A)-3),"")</f>
        <v>30.363207547169814</v>
      </c>
      <c r="AD87" s="84">
        <f>IFERROR('Price History'!I3+(INDEX('Price History'!I:I,MATCH(9.99E+307,'Price History'!$A:$A))-'Price History'!I3)*(ROW()-3)/(MATCH(9.99E+307,'Returns (Calc)'!$A:$A)-3),"")</f>
        <v>19.268867924528301</v>
      </c>
      <c r="AE87" s="84">
        <f>IFERROR('Price History'!J3+(INDEX('Price History'!J:J,MATCH(9.99E+307,'Price History'!$A:$A))-'Price History'!J3)*(ROW()-3)/(MATCH(9.99E+307,'Returns (Calc)'!$A:$A)-3),"")</f>
        <v>58.259433962264154</v>
      </c>
      <c r="AF87" s="84">
        <f>IFERROR('Price History'!K3+(INDEX('Price History'!K:K,MATCH(9.99E+307,'Price History'!$A:$A))-'Price History'!K3)*(ROW()-3)/(MATCH(9.99E+307,'Returns (Calc)'!$A:$A)-3),"")</f>
        <v>7.2688679245283012</v>
      </c>
      <c r="AG87" s="84">
        <f>IFERROR('Price History'!L3+(INDEX('Price History'!L:L,MATCH(9.99E+307,'Price History'!$A:$A))-'Price History'!L3)*(ROW()-3)/(MATCH(9.99E+307,'Returns (Calc)'!$A:$A)-3),"")</f>
        <v>43.391509433962263</v>
      </c>
      <c r="AH87" s="84">
        <f>IFERROR('Price History'!M3+(INDEX('Price History'!M:M,MATCH(9.99E+307,'Price History'!$A:$A))-'Price History'!M3)*(ROW()-3)/(MATCH(9.99E+307,'Returns (Calc)'!$A:$A)-3),"")</f>
        <v>15.806603773584907</v>
      </c>
      <c r="AI87" s="84">
        <f>IFERROR('Price History'!N3+(INDEX('Price History'!N:N,MATCH(9.99E+307,'Price History'!$A:$A))-'Price History'!N3)*(ROW()-3)/(MATCH(9.99E+307,'Returns (Calc)'!$A:$A)-3),"")</f>
        <v>165.02830188679246</v>
      </c>
      <c r="AJ87" s="84">
        <f>IFERROR('Price History'!O3+(INDEX('Price History'!O:O,MATCH(9.99E+307,'Price History'!$A:$A))-'Price History'!O3)*(ROW()-3)/(MATCH(9.99E+307,'Returns (Calc)'!$A:$A)-3),"")</f>
        <v>39.080188679245282</v>
      </c>
      <c r="AK87" s="84">
        <f>IFERROR('Price History'!Q3+(INDEX('Price History'!Q:Q,MATCH(9.99E+307,'Price History'!$A:$A))-'Price History'!Q3)*(ROW()-3)/(MATCH(9.99E+307,'Returns (Calc)'!$A:$A)-3),"")</f>
        <v>23.509433962264151</v>
      </c>
      <c r="AL87" s="84">
        <f>IFERROR('Price History'!R3+(INDEX('Price History'!R:R,MATCH(9.99E+307,'Price History'!$A:$A))-'Price History'!R3)*(ROW()-3)/(MATCH(9.99E+307,'Returns (Calc)'!$A:$A)-3),"")</f>
        <v>22.556603773584904</v>
      </c>
      <c r="AM87" s="84">
        <f>IFERROR('Price History'!S3+(INDEX('Price History'!S:S,MATCH(9.99E+307,'Price History'!$A:$A))-'Price History'!S3)*(ROW()-3)/(MATCH(9.99E+307,'Returns (Calc)'!$A:$A)-3),"")</f>
        <v>27.613207547169811</v>
      </c>
      <c r="AN87" s="84">
        <f>IFERROR('Price History'!T3+(INDEX('Price History'!T:T,MATCH(9.99E+307,'Price History'!$A:$A))-'Price History'!T3)*(ROW()-3)/(MATCH(9.99E+307,'Returns (Calc)'!$A:$A)-3),"")</f>
        <v>12.693396226415095</v>
      </c>
      <c r="AO87" s="85">
        <f>IFERROR('Price History'!V3+(INDEX('Price History'!V:V,MATCH(9.99E+307,'Price History'!$A:$A))-'Price History'!V3)*(ROW()-3)/(MATCH(9.99E+307,'Returns (Calc)'!$A:$A)-3),"")</f>
        <v>0</v>
      </c>
    </row>
    <row r="88" spans="1:41" ht="15" customHeight="1" x14ac:dyDescent="0.3">
      <c r="A88" s="81">
        <f>IF('Price History'!A89="","",'Price History'!A89)</f>
        <v>45751</v>
      </c>
      <c r="B88" s="82">
        <f>IFERROR(IF(OR(NOT(ISNUMBER('Price History'!B89)),NOT(ISNUMBER('Price History'!B88)),'Price History'!B88=0),"",'Price History'!B89/'Price History'!B88-1),"")</f>
        <v>-9.4993648077571158E-2</v>
      </c>
      <c r="C88" s="82">
        <f>IFERROR(IF(OR(NOT(ISNUMBER('Price History'!C89)),NOT(ISNUMBER('Price History'!C88)),'Price History'!C88=0),"",'Price History'!C89/'Price History'!C88-1),"")</f>
        <v>-0.17410828842699499</v>
      </c>
      <c r="D88" s="82">
        <f>IFERROR(IF(OR(NOT(ISNUMBER('Price History'!D89)),NOT(ISNUMBER('Price History'!D88)),'Price History'!D88=0),"",'Price History'!D89/'Price History'!D88-1),"")</f>
        <v>-0.10233033887752396</v>
      </c>
      <c r="E88" s="82">
        <f>IFERROR(IF(OR(NOT(ISNUMBER('Price History'!E89)),NOT(ISNUMBER('Price History'!E88)),'Price History'!E88=0),"",'Price History'!E89/'Price History'!E88-1),"")</f>
        <v>-0.13499290444654688</v>
      </c>
      <c r="F88" s="82">
        <f>IFERROR(IF(OR(NOT(ISNUMBER('Price History'!F89)),NOT(ISNUMBER('Price History'!F88)),'Price History'!F88=0),"",'Price History'!F89/'Price History'!F88-1),"")</f>
        <v>-9.9350358422939156E-2</v>
      </c>
      <c r="G88" s="82">
        <f>IFERROR(IF(OR(NOT(ISNUMBER('Price History'!G89)),NOT(ISNUMBER('Price History'!G88)),'Price History'!G88=0),"",'Price History'!G89/'Price History'!G88-1),"")</f>
        <v>-0.14415083135391926</v>
      </c>
      <c r="H88" s="82">
        <f>IFERROR(IF(OR(NOT(ISNUMBER('Price History'!H89)),NOT(ISNUMBER('Price History'!H88)),'Price History'!H88=0),"",'Price History'!H89/'Price History'!H88-1),"")</f>
        <v>-0.26820443238353686</v>
      </c>
      <c r="I88" s="82">
        <f>IFERROR(IF(OR(NOT(ISNUMBER('Price History'!I89)),NOT(ISNUMBER('Price History'!I88)),'Price History'!I88=0),"",'Price History'!I89/'Price History'!I88-1),"")</f>
        <v>-0.14005653323607181</v>
      </c>
      <c r="J88" s="82">
        <f>IFERROR(IF(OR(NOT(ISNUMBER('Price History'!J89)),NOT(ISNUMBER('Price History'!J88)),'Price History'!J88=0),"",'Price History'!J89/'Price History'!J88-1),"")</f>
        <v>-0.11063829787234036</v>
      </c>
      <c r="K88" s="82">
        <f>IFERROR(IF(OR(NOT(ISNUMBER('Price History'!K89)),NOT(ISNUMBER('Price History'!K88)),'Price History'!K88=0),"",'Price History'!K89/'Price History'!K88-1),"")</f>
        <v>-0.13791496796738489</v>
      </c>
      <c r="L88" s="82">
        <f>IFERROR(IF(OR(NOT(ISNUMBER('Price History'!L89)),NOT(ISNUMBER('Price History'!L88)),'Price History'!L88=0),"",'Price History'!L89/'Price History'!L88-1),"")</f>
        <v>-0.11164901664145233</v>
      </c>
      <c r="M88" s="82">
        <f>IFERROR(IF(OR(NOT(ISNUMBER('Price History'!M89)),NOT(ISNUMBER('Price History'!M88)),'Price History'!M88=0),"",'Price History'!M89/'Price History'!M88-1),"")</f>
        <v>-0.19986531986531986</v>
      </c>
      <c r="N88" s="82">
        <f>IFERROR(IF(OR(NOT(ISNUMBER('Price History'!N89)),NOT(ISNUMBER('Price History'!N88)),'Price History'!N88=0),"",'Price History'!N89/'Price History'!N88-1),"")</f>
        <v>-3.6676206133674283E-2</v>
      </c>
      <c r="O88" s="82">
        <f>IFERROR(IF(OR(NOT(ISNUMBER('Price History'!O89)),NOT(ISNUMBER('Price History'!O88)),'Price History'!O88=0),"",'Price History'!O89/'Price History'!O88-1),"")</f>
        <v>-0.10468319559228656</v>
      </c>
      <c r="P88" s="82" t="str">
        <f>IFERROR(IF(OR(NOT(ISNUMBER('Price History'!P89)),NOT(ISNUMBER('Price History'!P88)),'Price History'!P88=0),"",'Price History'!P89/'Price History'!P88-1),"")</f>
        <v/>
      </c>
      <c r="Q88" s="82">
        <f>IFERROR(IF(OR(NOT(ISNUMBER('Price History'!Q89)),NOT(ISNUMBER('Price History'!Q88)),'Price History'!Q88=0),"",'Price History'!Q89/'Price History'!Q88-1),"")</f>
        <v>-1.6558441558441661E-2</v>
      </c>
      <c r="R88" s="82">
        <f>IFERROR(IF(OR(NOT(ISNUMBER('Price History'!R89)),NOT(ISNUMBER('Price History'!R88)),'Price History'!R88=0),"",'Price History'!R89/'Price History'!R88-1),"")</f>
        <v>-0.10055973750241265</v>
      </c>
      <c r="S88" s="82">
        <f>IFERROR(IF(OR(NOT(ISNUMBER('Price History'!S89)),NOT(ISNUMBER('Price History'!S88)),'Price History'!S88=0),"",'Price History'!S89/'Price History'!S88-1),"")</f>
        <v>-0.1070615034168565</v>
      </c>
      <c r="T88" s="82">
        <f>IFERROR(IF(OR(NOT(ISNUMBER('Price History'!T89)),NOT(ISNUMBER('Price History'!T88)),'Price History'!T88=0),"",'Price History'!T89/'Price History'!T88-1),"")</f>
        <v>-9.2375366568914985E-2</v>
      </c>
      <c r="U88" s="82" t="str">
        <f>IFERROR(IF(OR(NOT(ISNUMBER('Price History'!U89)),NOT(ISNUMBER('Price History'!U88)),'Price History'!U88=0),"",'Price History'!U89/'Price History'!U88-1),"")</f>
        <v/>
      </c>
      <c r="V88" s="83">
        <f>IFERROR(IF(OR(NOT(ISNUMBER('Price History'!V89)),NOT(ISNUMBER('Price History'!V88)),'Price History'!V88=0),"",'Price History'!V89/'Price History'!V88-1),"")</f>
        <v>-8.6674336961973131E-2</v>
      </c>
      <c r="W88" s="84" t="str">
        <f>IFERROR('Price History'!B3+(INDEX('Price History'!B:B,MATCH(9.99E+307,'Price History'!$A:$A))-'Price History'!B3)*(ROW()-3)/(MATCH(9.99E+307,'Returns (Calc)'!$A:$A)-3),"")</f>
        <v/>
      </c>
      <c r="X88" s="84">
        <f>IFERROR('Price History'!C3+(INDEX('Price History'!C:C,MATCH(9.99E+307,'Price History'!$A:$A))-'Price History'!C3)*(ROW()-3)/(MATCH(9.99E+307,'Returns (Calc)'!$A:$A)-3),"")</f>
        <v>20.356981132075472</v>
      </c>
      <c r="Y88" s="84">
        <f>IFERROR('Price History'!D3+(INDEX('Price History'!D:D,MATCH(9.99E+307,'Price History'!$A:$A))-'Price History'!D3)*(ROW()-3)/(MATCH(9.99E+307,'Returns (Calc)'!$A:$A)-3),"")</f>
        <v>307.99823899371069</v>
      </c>
      <c r="Z88" s="84">
        <f>IFERROR('Price History'!E3+(INDEX('Price History'!E:E,MATCH(9.99E+307,'Price History'!$A:$A))-'Price History'!E3)*(ROW()-3)/(MATCH(9.99E+307,'Returns (Calc)'!$A:$A)-3),"")</f>
        <v>38.619622641509437</v>
      </c>
      <c r="AA88" s="84">
        <f>IFERROR('Price History'!F3+(INDEX('Price History'!F:F,MATCH(9.99E+307,'Price History'!$A:$A))-'Price History'!F3)*(ROW()-3)/(MATCH(9.99E+307,'Returns (Calc)'!$A:$A)-3),"")</f>
        <v>17.248050314465409</v>
      </c>
      <c r="AB88" s="84">
        <f>IFERROR('Price History'!G3+(INDEX('Price History'!G:G,MATCH(9.99E+307,'Price History'!$A:$A))-'Price History'!G3)*(ROW()-3)/(MATCH(9.99E+307,'Returns (Calc)'!$A:$A)-3),"")</f>
        <v>22.293081761006288</v>
      </c>
      <c r="AC88" s="84">
        <f>IFERROR('Price History'!H3+(INDEX('Price History'!H:H,MATCH(9.99E+307,'Price History'!$A:$A))-'Price History'!H3)*(ROW()-3)/(MATCH(9.99E+307,'Returns (Calc)'!$A:$A)-3),"")</f>
        <v>29.958364779874216</v>
      </c>
      <c r="AD88" s="84">
        <f>IFERROR('Price History'!I3+(INDEX('Price History'!I:I,MATCH(9.99E+307,'Price History'!$A:$A))-'Price History'!I3)*(ROW()-3)/(MATCH(9.99E+307,'Returns (Calc)'!$A:$A)-3),"")</f>
        <v>19.011949685534592</v>
      </c>
      <c r="AE88" s="84">
        <f>IFERROR('Price History'!J3+(INDEX('Price History'!J:J,MATCH(9.99E+307,'Price History'!$A:$A))-'Price History'!J3)*(ROW()-3)/(MATCH(9.99E+307,'Returns (Calc)'!$A:$A)-3),"")</f>
        <v>57.482641509433961</v>
      </c>
      <c r="AF88" s="84">
        <f>IFERROR('Price History'!K3+(INDEX('Price History'!K:K,MATCH(9.99E+307,'Price History'!$A:$A))-'Price History'!K3)*(ROW()-3)/(MATCH(9.99E+307,'Returns (Calc)'!$A:$A)-3),"")</f>
        <v>7.1719496855345923</v>
      </c>
      <c r="AG88" s="84">
        <f>IFERROR('Price History'!L3+(INDEX('Price History'!L:L,MATCH(9.99E+307,'Price History'!$A:$A))-'Price History'!L3)*(ROW()-3)/(MATCH(9.99E+307,'Returns (Calc)'!$A:$A)-3),"")</f>
        <v>42.812955974842765</v>
      </c>
      <c r="AH88" s="84">
        <f>IFERROR('Price History'!M3+(INDEX('Price History'!M:M,MATCH(9.99E+307,'Price History'!$A:$A))-'Price History'!M3)*(ROW()-3)/(MATCH(9.99E+307,'Returns (Calc)'!$A:$A)-3),"")</f>
        <v>15.595849056603772</v>
      </c>
      <c r="AI88" s="84">
        <f>IFERROR('Price History'!N3+(INDEX('Price History'!N:N,MATCH(9.99E+307,'Price History'!$A:$A))-'Price History'!N3)*(ROW()-3)/(MATCH(9.99E+307,'Returns (Calc)'!$A:$A)-3),"")</f>
        <v>162.82792452830188</v>
      </c>
      <c r="AJ88" s="84">
        <f>IFERROR('Price History'!O3+(INDEX('Price History'!O:O,MATCH(9.99E+307,'Price History'!$A:$A))-'Price History'!O3)*(ROW()-3)/(MATCH(9.99E+307,'Returns (Calc)'!$A:$A)-3),"")</f>
        <v>38.559119496855345</v>
      </c>
      <c r="AK88" s="84">
        <f>IFERROR('Price History'!Q3+(INDEX('Price History'!Q:Q,MATCH(9.99E+307,'Price History'!$A:$A))-'Price History'!Q3)*(ROW()-3)/(MATCH(9.99E+307,'Returns (Calc)'!$A:$A)-3),"")</f>
        <v>23.195974842767296</v>
      </c>
      <c r="AL88" s="84">
        <f>IFERROR('Price History'!R3+(INDEX('Price History'!R:R,MATCH(9.99E+307,'Price History'!$A:$A))-'Price History'!R3)*(ROW()-3)/(MATCH(9.99E+307,'Returns (Calc)'!$A:$A)-3),"")</f>
        <v>22.255849056603775</v>
      </c>
      <c r="AM88" s="84">
        <f>IFERROR('Price History'!S3+(INDEX('Price History'!S:S,MATCH(9.99E+307,'Price History'!$A:$A))-'Price History'!S3)*(ROW()-3)/(MATCH(9.99E+307,'Returns (Calc)'!$A:$A)-3),"")</f>
        <v>27.245031446540882</v>
      </c>
      <c r="AN88" s="84">
        <f>IFERROR('Price History'!T3+(INDEX('Price History'!T:T,MATCH(9.99E+307,'Price History'!$A:$A))-'Price History'!T3)*(ROW()-3)/(MATCH(9.99E+307,'Returns (Calc)'!$A:$A)-3),"")</f>
        <v>12.524150943396227</v>
      </c>
      <c r="AO88" s="85">
        <f>IFERROR('Price History'!V3+(INDEX('Price History'!V:V,MATCH(9.99E+307,'Price History'!$A:$A))-'Price History'!V3)*(ROW()-3)/(MATCH(9.99E+307,'Returns (Calc)'!$A:$A)-3),"")</f>
        <v>0</v>
      </c>
    </row>
    <row r="89" spans="1:41" ht="15" customHeight="1" x14ac:dyDescent="0.3">
      <c r="A89" s="81">
        <f>IF('Price History'!A90="","",'Price History'!A90)</f>
        <v>45758</v>
      </c>
      <c r="B89" s="82">
        <f>IFERROR(IF(OR(NOT(ISNUMBER('Price History'!B90)),NOT(ISNUMBER('Price History'!B89)),'Price History'!B89=0),"",'Price History'!B90/'Price History'!B89-1),"")</f>
        <v>9.7401667287364546E-3</v>
      </c>
      <c r="C89" s="82">
        <f>IFERROR(IF(OR(NOT(ISNUMBER('Price History'!C90)),NOT(ISNUMBER('Price History'!C89)),'Price History'!C89=0),"",'Price History'!C90/'Price History'!C89-1),"")</f>
        <v>0.12894205375174761</v>
      </c>
      <c r="D89" s="82">
        <f>IFERROR(IF(OR(NOT(ISNUMBER('Price History'!D90)),NOT(ISNUMBER('Price History'!D89)),'Price History'!D89=0),"",'Price History'!D90/'Price History'!D89-1),"")</f>
        <v>0.10446701345883902</v>
      </c>
      <c r="E89" s="82">
        <f>IFERROR(IF(OR(NOT(ISNUMBER('Price History'!E90)),NOT(ISNUMBER('Price History'!E89)),'Price History'!E89=0),"",'Price History'!E90/'Price History'!E89-1),"")</f>
        <v>0.24369403240139453</v>
      </c>
      <c r="F89" s="82">
        <f>IFERROR(IF(OR(NOT(ISNUMBER('Price History'!F90)),NOT(ISNUMBER('Price History'!F89)),'Price History'!F89=0),"",'Price History'!F90/'Price History'!F89-1),"")</f>
        <v>0.17497823653774414</v>
      </c>
      <c r="G89" s="82">
        <f>IFERROR(IF(OR(NOT(ISNUMBER('Price History'!G90)),NOT(ISNUMBER('Price History'!G89)),'Price History'!G89=0),"",'Price History'!G90/'Price History'!G89-1),"")</f>
        <v>0.16253252385082395</v>
      </c>
      <c r="H89" s="82">
        <f>IFERROR(IF(OR(NOT(ISNUMBER('Price History'!H90)),NOT(ISNUMBER('Price History'!H89)),'Price History'!H89=0),"",'Price History'!H90/'Price History'!H89-1),"")</f>
        <v>7.4629171817057971E-2</v>
      </c>
      <c r="I89" s="82">
        <f>IFERROR(IF(OR(NOT(ISNUMBER('Price History'!I90)),NOT(ISNUMBER('Price History'!I89)),'Price History'!I89=0),"",'Price History'!I90/'Price History'!I89-1),"")</f>
        <v>0.17622733538331037</v>
      </c>
      <c r="J89" s="82">
        <f>IFERROR(IF(OR(NOT(ISNUMBER('Price History'!J90)),NOT(ISNUMBER('Price History'!J89)),'Price History'!J89=0),"",'Price History'!J90/'Price History'!J89-1),"")</f>
        <v>-2.0360378703043858E-2</v>
      </c>
      <c r="K89" s="82">
        <f>IFERROR(IF(OR(NOT(ISNUMBER('Price History'!K90)),NOT(ISNUMBER('Price History'!K89)),'Price History'!K89=0),"",'Price History'!K90/'Price History'!K89-1),"")</f>
        <v>0.19645993784623683</v>
      </c>
      <c r="L89" s="82">
        <f>IFERROR(IF(OR(NOT(ISNUMBER('Price History'!L90)),NOT(ISNUMBER('Price History'!L89)),'Price History'!L89=0),"",'Price History'!L90/'Price History'!L89-1),"")</f>
        <v>7.0027247956403249E-2</v>
      </c>
      <c r="M89" s="82">
        <f>IFERROR(IF(OR(NOT(ISNUMBER('Price History'!M90)),NOT(ISNUMBER('Price History'!M89)),'Price History'!M89=0),"",'Price History'!M90/'Price History'!M89-1),"")</f>
        <v>0.17168826796835557</v>
      </c>
      <c r="N89" s="82">
        <f>IFERROR(IF(OR(NOT(ISNUMBER('Price History'!N90)),NOT(ISNUMBER('Price History'!N89)),'Price History'!N89=0),"",'Price History'!N90/'Price History'!N89-1),"")</f>
        <v>2.022670768193513E-2</v>
      </c>
      <c r="O89" s="82">
        <f>IFERROR(IF(OR(NOT(ISNUMBER('Price History'!O90)),NOT(ISNUMBER('Price History'!O89)),'Price History'!O89=0),"",'Price History'!O90/'Price History'!O89-1),"")</f>
        <v>1.2564102564102564E-2</v>
      </c>
      <c r="P89" s="82" t="str">
        <f>IFERROR(IF(OR(NOT(ISNUMBER('Price History'!P90)),NOT(ISNUMBER('Price History'!P89)),'Price History'!P89=0),"",'Price History'!P90/'Price History'!P89-1),"")</f>
        <v/>
      </c>
      <c r="Q89" s="82">
        <f>IFERROR(IF(OR(NOT(ISNUMBER('Price History'!Q90)),NOT(ISNUMBER('Price History'!Q89)),'Price History'!Q89=0),"",'Price History'!Q90/'Price History'!Q89-1),"")</f>
        <v>1.0894684714427338E-2</v>
      </c>
      <c r="R89" s="82">
        <f>IFERROR(IF(OR(NOT(ISNUMBER('Price History'!R90)),NOT(ISNUMBER('Price History'!R89)),'Price History'!R89=0),"",'Price History'!R90/'Price History'!R89-1),"")</f>
        <v>6.3090128755364683E-2</v>
      </c>
      <c r="S89" s="82">
        <f>IFERROR(IF(OR(NOT(ISNUMBER('Price History'!S90)),NOT(ISNUMBER('Price History'!S89)),'Price History'!S89=0),"",'Price History'!S90/'Price History'!S89-1),"")</f>
        <v>9.1107871720116584E-2</v>
      </c>
      <c r="T89" s="82">
        <f>IFERROR(IF(OR(NOT(ISNUMBER('Price History'!T90)),NOT(ISNUMBER('Price History'!T89)),'Price History'!T89=0),"",'Price History'!T90/'Price History'!T89-1),"")</f>
        <v>1.9709208400646272E-2</v>
      </c>
      <c r="U89" s="82" t="str">
        <f>IFERROR(IF(OR(NOT(ISNUMBER('Price History'!U90)),NOT(ISNUMBER('Price History'!U89)),'Price History'!U89=0),"",'Price History'!U90/'Price History'!U89-1),"")</f>
        <v/>
      </c>
      <c r="V89" s="83">
        <f>IFERROR(IF(OR(NOT(ISNUMBER('Price History'!V90)),NOT(ISNUMBER('Price History'!V89)),'Price History'!V89=0),"",'Price History'!V90/'Price History'!V89-1),"")</f>
        <v>6.4730772957782845E-2</v>
      </c>
      <c r="W89" s="84" t="str">
        <f>IFERROR('Price History'!B3+(INDEX('Price History'!B:B,MATCH(9.99E+307,'Price History'!$A:$A))-'Price History'!B3)*(ROW()-3)/(MATCH(9.99E+307,'Returns (Calc)'!$A:$A)-3),"")</f>
        <v/>
      </c>
      <c r="X89" s="84">
        <f>IFERROR('Price History'!C3+(INDEX('Price History'!C:C,MATCH(9.99E+307,'Price History'!$A:$A))-'Price History'!C3)*(ROW()-3)/(MATCH(9.99E+307,'Returns (Calc)'!$A:$A)-3),"")</f>
        <v>20.081886792452831</v>
      </c>
      <c r="Y89" s="84">
        <f>IFERROR('Price History'!D3+(INDEX('Price History'!D:D,MATCH(9.99E+307,'Price History'!$A:$A))-'Price History'!D3)*(ROW()-3)/(MATCH(9.99E+307,'Returns (Calc)'!$A:$A)-3),"")</f>
        <v>303.83610062893081</v>
      </c>
      <c r="Z89" s="84">
        <f>IFERROR('Price History'!E3+(INDEX('Price History'!E:E,MATCH(9.99E+307,'Price History'!$A:$A))-'Price History'!E3)*(ROW()-3)/(MATCH(9.99E+307,'Returns (Calc)'!$A:$A)-3),"")</f>
        <v>38.097735849056605</v>
      </c>
      <c r="AA89" s="84">
        <f>IFERROR('Price History'!F3+(INDEX('Price History'!F:F,MATCH(9.99E+307,'Price History'!$A:$A))-'Price History'!F3)*(ROW()-3)/(MATCH(9.99E+307,'Returns (Calc)'!$A:$A)-3),"")</f>
        <v>17.01496855345912</v>
      </c>
      <c r="AB89" s="84">
        <f>IFERROR('Price History'!G3+(INDEX('Price History'!G:G,MATCH(9.99E+307,'Price History'!$A:$A))-'Price History'!G3)*(ROW()-3)/(MATCH(9.99E+307,'Returns (Calc)'!$A:$A)-3),"")</f>
        <v>21.99182389937107</v>
      </c>
      <c r="AC89" s="84">
        <f>IFERROR('Price History'!H3+(INDEX('Price History'!H:H,MATCH(9.99E+307,'Price History'!$A:$A))-'Price History'!H3)*(ROW()-3)/(MATCH(9.99E+307,'Returns (Calc)'!$A:$A)-3),"")</f>
        <v>29.553522012578618</v>
      </c>
      <c r="AD89" s="84">
        <f>IFERROR('Price History'!I3+(INDEX('Price History'!I:I,MATCH(9.99E+307,'Price History'!$A:$A))-'Price History'!I3)*(ROW()-3)/(MATCH(9.99E+307,'Returns (Calc)'!$A:$A)-3),"")</f>
        <v>18.755031446540883</v>
      </c>
      <c r="AE89" s="84">
        <f>IFERROR('Price History'!J3+(INDEX('Price History'!J:J,MATCH(9.99E+307,'Price History'!$A:$A))-'Price History'!J3)*(ROW()-3)/(MATCH(9.99E+307,'Returns (Calc)'!$A:$A)-3),"")</f>
        <v>56.705849056603782</v>
      </c>
      <c r="AF89" s="84">
        <f>IFERROR('Price History'!K3+(INDEX('Price History'!K:K,MATCH(9.99E+307,'Price History'!$A:$A))-'Price History'!K3)*(ROW()-3)/(MATCH(9.99E+307,'Returns (Calc)'!$A:$A)-3),"")</f>
        <v>7.0750314465408799</v>
      </c>
      <c r="AG89" s="84">
        <f>IFERROR('Price History'!L3+(INDEX('Price History'!L:L,MATCH(9.99E+307,'Price History'!$A:$A))-'Price History'!L3)*(ROW()-3)/(MATCH(9.99E+307,'Returns (Calc)'!$A:$A)-3),"")</f>
        <v>42.234402515723268</v>
      </c>
      <c r="AH89" s="84">
        <f>IFERROR('Price History'!M3+(INDEX('Price History'!M:M,MATCH(9.99E+307,'Price History'!$A:$A))-'Price History'!M3)*(ROW()-3)/(MATCH(9.99E+307,'Returns (Calc)'!$A:$A)-3),"")</f>
        <v>15.38509433962264</v>
      </c>
      <c r="AI89" s="84">
        <f>IFERROR('Price History'!N3+(INDEX('Price History'!N:N,MATCH(9.99E+307,'Price History'!$A:$A))-'Price History'!N3)*(ROW()-3)/(MATCH(9.99E+307,'Returns (Calc)'!$A:$A)-3),"")</f>
        <v>160.62754716981132</v>
      </c>
      <c r="AJ89" s="84">
        <f>IFERROR('Price History'!O3+(INDEX('Price History'!O:O,MATCH(9.99E+307,'Price History'!$A:$A))-'Price History'!O3)*(ROW()-3)/(MATCH(9.99E+307,'Returns (Calc)'!$A:$A)-3),"")</f>
        <v>38.038050314465409</v>
      </c>
      <c r="AK89" s="84">
        <f>IFERROR('Price History'!Q3+(INDEX('Price History'!Q:Q,MATCH(9.99E+307,'Price History'!$A:$A))-'Price History'!Q3)*(ROW()-3)/(MATCH(9.99E+307,'Returns (Calc)'!$A:$A)-3),"")</f>
        <v>22.882515723270441</v>
      </c>
      <c r="AL89" s="84">
        <f>IFERROR('Price History'!R3+(INDEX('Price History'!R:R,MATCH(9.99E+307,'Price History'!$A:$A))-'Price History'!R3)*(ROW()-3)/(MATCH(9.99E+307,'Returns (Calc)'!$A:$A)-3),"")</f>
        <v>21.95509433962264</v>
      </c>
      <c r="AM89" s="84">
        <f>IFERROR('Price History'!S3+(INDEX('Price History'!S:S,MATCH(9.99E+307,'Price History'!$A:$A))-'Price History'!S3)*(ROW()-3)/(MATCH(9.99E+307,'Returns (Calc)'!$A:$A)-3),"")</f>
        <v>26.876855345911952</v>
      </c>
      <c r="AN89" s="84">
        <f>IFERROR('Price History'!T3+(INDEX('Price History'!T:T,MATCH(9.99E+307,'Price History'!$A:$A))-'Price History'!T3)*(ROW()-3)/(MATCH(9.99E+307,'Returns (Calc)'!$A:$A)-3),"")</f>
        <v>12.354905660377357</v>
      </c>
      <c r="AO89" s="85">
        <f>IFERROR('Price History'!V3+(INDEX('Price History'!V:V,MATCH(9.99E+307,'Price History'!$A:$A))-'Price History'!V3)*(ROW()-3)/(MATCH(9.99E+307,'Returns (Calc)'!$A:$A)-3),"")</f>
        <v>0</v>
      </c>
    </row>
    <row r="90" spans="1:41" ht="15" customHeight="1" x14ac:dyDescent="0.3">
      <c r="A90" s="81">
        <f>IF('Price History'!A91="","",'Price History'!A91)</f>
        <v>45764</v>
      </c>
      <c r="B90" s="82">
        <f>IFERROR(IF(OR(NOT(ISNUMBER('Price History'!B91)),NOT(ISNUMBER('Price History'!B90)),'Price History'!B90=0),"",'Price History'!B91/'Price History'!B90-1),"")</f>
        <v>-1.0412233665276549E-2</v>
      </c>
      <c r="C90" s="82">
        <f>IFERROR(IF(OR(NOT(ISNUMBER('Price History'!C91)),NOT(ISNUMBER('Price History'!C90)),'Price History'!C90=0),"",'Price History'!C91/'Price History'!C90-1),"")</f>
        <v>-2.0228429888537236E-2</v>
      </c>
      <c r="D90" s="82">
        <f>IFERROR(IF(OR(NOT(ISNUMBER('Price History'!D91)),NOT(ISNUMBER('Price History'!D90)),'Price History'!D90=0),"",'Price History'!D91/'Price History'!D90-1),"")</f>
        <v>-4.2837278150745339E-2</v>
      </c>
      <c r="E90" s="82">
        <f>IFERROR(IF(OR(NOT(ISNUMBER('Price History'!E91)),NOT(ISNUMBER('Price History'!E90)),'Price History'!E90=0),"",'Price History'!E91/'Price History'!E90-1),"")</f>
        <v>-6.018467626690116E-2</v>
      </c>
      <c r="F90" s="82">
        <f>IFERROR(IF(OR(NOT(ISNUMBER('Price History'!F91)),NOT(ISNUMBER('Price History'!F90)),'Price History'!F90=0),"",'Price History'!F91/'Price History'!F90-1),"")</f>
        <v>-6.0330228619814852E-3</v>
      </c>
      <c r="G90" s="82">
        <f>IFERROR(IF(OR(NOT(ISNUMBER('Price History'!G91)),NOT(ISNUMBER('Price History'!G90)),'Price History'!G90=0),"",'Price History'!G91/'Price History'!G90-1),"")</f>
        <v>-5.3416890480453616E-2</v>
      </c>
      <c r="H90" s="82">
        <f>IFERROR(IF(OR(NOT(ISNUMBER('Price History'!H91)),NOT(ISNUMBER('Price History'!H90)),'Price History'!H90=0),"",'Price History'!H91/'Price History'!H90-1),"")</f>
        <v>-1.0783608914450071E-2</v>
      </c>
      <c r="I90" s="82">
        <f>IFERROR(IF(OR(NOT(ISNUMBER('Price History'!I91)),NOT(ISNUMBER('Price History'!I90)),'Price History'!I90=0),"",'Price History'!I91/'Price History'!I90-1),"")</f>
        <v>-8.5098710898765084E-2</v>
      </c>
      <c r="J90" s="82">
        <f>IFERROR(IF(OR(NOT(ISNUMBER('Price History'!J91)),NOT(ISNUMBER('Price History'!J90)),'Price History'!J90=0),"",'Price History'!J91/'Price History'!J90-1),"")</f>
        <v>6.0999688246908379E-2</v>
      </c>
      <c r="K90" s="82">
        <f>IFERROR(IF(OR(NOT(ISNUMBER('Price History'!K91)),NOT(ISNUMBER('Price History'!K90)),'Price History'!K90=0),"",'Price History'!K91/'Price History'!K90-1),"")</f>
        <v>5.9062676453980778E-2</v>
      </c>
      <c r="L90" s="82">
        <f>IFERROR(IF(OR(NOT(ISNUMBER('Price History'!L91)),NOT(ISNUMBER('Price History'!L90)),'Price History'!L90=0),"",'Price History'!L91/'Price History'!L90-1),"")</f>
        <v>-3.3995416348357566E-2</v>
      </c>
      <c r="M90" s="82">
        <f>IFERROR(IF(OR(NOT(ISNUMBER('Price History'!M91)),NOT(ISNUMBER('Price History'!M90)),'Price History'!M90=0),"",'Price History'!M91/'Price History'!M90-1),"")</f>
        <v>5.1716707369630743E-2</v>
      </c>
      <c r="N90" s="82">
        <f>IFERROR(IF(OR(NOT(ISNUMBER('Price History'!N91)),NOT(ISNUMBER('Price History'!N90)),'Price History'!N90=0),"",'Price History'!N91/'Price History'!N90-1),"")</f>
        <v>1.0078063690058148E-2</v>
      </c>
      <c r="O90" s="82">
        <f>IFERROR(IF(OR(NOT(ISNUMBER('Price History'!O91)),NOT(ISNUMBER('Price History'!O90)),'Price History'!O90=0),"",'Price History'!O91/'Price History'!O90-1),"")</f>
        <v>1.8612306913142529E-2</v>
      </c>
      <c r="P90" s="82" t="str">
        <f>IFERROR(IF(OR(NOT(ISNUMBER('Price History'!P91)),NOT(ISNUMBER('Price History'!P90)),'Price History'!P90=0),"",'Price History'!P91/'Price History'!P90-1),"")</f>
        <v/>
      </c>
      <c r="Q90" s="82">
        <f>IFERROR(IF(OR(NOT(ISNUMBER('Price History'!Q91)),NOT(ISNUMBER('Price History'!Q90)),'Price History'!Q90=0),"",'Price History'!Q91/'Price History'!Q90-1),"")</f>
        <v>9.6342259960808807E-3</v>
      </c>
      <c r="R90" s="82">
        <f>IFERROR(IF(OR(NOT(ISNUMBER('Price History'!R91)),NOT(ISNUMBER('Price History'!R90)),'Price History'!R90=0),"",'Price History'!R91/'Price History'!R90-1),"")</f>
        <v>-1.614856681469512E-2</v>
      </c>
      <c r="S90" s="82">
        <f>IFERROR(IF(OR(NOT(ISNUMBER('Price History'!S91)),NOT(ISNUMBER('Price History'!S90)),'Price History'!S90=0),"",'Price History'!S91/'Price History'!S90-1),"")</f>
        <v>-1.7368069472277758E-2</v>
      </c>
      <c r="T90" s="82">
        <f>IFERROR(IF(OR(NOT(ISNUMBER('Price History'!T91)),NOT(ISNUMBER('Price History'!T90)),'Price History'!T90=0),"",'Price History'!T91/'Price History'!T90-1),"")</f>
        <v>6.9708491761724112E-3</v>
      </c>
      <c r="U90" s="82" t="str">
        <f>IFERROR(IF(OR(NOT(ISNUMBER('Price History'!U91)),NOT(ISNUMBER('Price History'!U90)),'Price History'!U90=0),"",'Price History'!U91/'Price History'!U90-1),"")</f>
        <v/>
      </c>
      <c r="V90" s="83" t="str">
        <f>IFERROR(IF(OR(NOT(ISNUMBER('Price History'!V91)),NOT(ISNUMBER('Price History'!V90)),'Price History'!V90=0),"",'Price History'!V91/'Price History'!V90-1),"")</f>
        <v/>
      </c>
      <c r="W90" s="84" t="str">
        <f>IFERROR('Price History'!B3+(INDEX('Price History'!B:B,MATCH(9.99E+307,'Price History'!$A:$A))-'Price History'!B3)*(ROW()-3)/(MATCH(9.99E+307,'Returns (Calc)'!$A:$A)-3),"")</f>
        <v/>
      </c>
      <c r="X90" s="84">
        <f>IFERROR('Price History'!C3+(INDEX('Price History'!C:C,MATCH(9.99E+307,'Price History'!$A:$A))-'Price History'!C3)*(ROW()-3)/(MATCH(9.99E+307,'Returns (Calc)'!$A:$A)-3),"")</f>
        <v>19.806792452830191</v>
      </c>
      <c r="Y90" s="84">
        <f>IFERROR('Price History'!D3+(INDEX('Price History'!D:D,MATCH(9.99E+307,'Price History'!$A:$A))-'Price History'!D3)*(ROW()-3)/(MATCH(9.99E+307,'Returns (Calc)'!$A:$A)-3),"")</f>
        <v>299.67396226415093</v>
      </c>
      <c r="Z90" s="84">
        <f>IFERROR('Price History'!E3+(INDEX('Price History'!E:E,MATCH(9.99E+307,'Price History'!$A:$A))-'Price History'!E3)*(ROW()-3)/(MATCH(9.99E+307,'Returns (Calc)'!$A:$A)-3),"")</f>
        <v>37.575849056603779</v>
      </c>
      <c r="AA90" s="84">
        <f>IFERROR('Price History'!F3+(INDEX('Price History'!F:F,MATCH(9.99E+307,'Price History'!$A:$A))-'Price History'!F3)*(ROW()-3)/(MATCH(9.99E+307,'Returns (Calc)'!$A:$A)-3),"")</f>
        <v>16.781886792452831</v>
      </c>
      <c r="AB90" s="84">
        <f>IFERROR('Price History'!G3+(INDEX('Price History'!G:G,MATCH(9.99E+307,'Price History'!$A:$A))-'Price History'!G3)*(ROW()-3)/(MATCH(9.99E+307,'Returns (Calc)'!$A:$A)-3),"")</f>
        <v>21.690566037735845</v>
      </c>
      <c r="AC90" s="84">
        <f>IFERROR('Price History'!H3+(INDEX('Price History'!H:H,MATCH(9.99E+307,'Price History'!$A:$A))-'Price History'!H3)*(ROW()-3)/(MATCH(9.99E+307,'Returns (Calc)'!$A:$A)-3),"")</f>
        <v>29.14867924528302</v>
      </c>
      <c r="AD90" s="84">
        <f>IFERROR('Price History'!I3+(INDEX('Price History'!I:I,MATCH(9.99E+307,'Price History'!$A:$A))-'Price History'!I3)*(ROW()-3)/(MATCH(9.99E+307,'Returns (Calc)'!$A:$A)-3),"")</f>
        <v>18.498113207547171</v>
      </c>
      <c r="AE90" s="84">
        <f>IFERROR('Price History'!J3+(INDEX('Price History'!J:J,MATCH(9.99E+307,'Price History'!$A:$A))-'Price History'!J3)*(ROW()-3)/(MATCH(9.99E+307,'Returns (Calc)'!$A:$A)-3),"")</f>
        <v>55.929056603773589</v>
      </c>
      <c r="AF90" s="84">
        <f>IFERROR('Price History'!K3+(INDEX('Price History'!K:K,MATCH(9.99E+307,'Price History'!$A:$A))-'Price History'!K3)*(ROW()-3)/(MATCH(9.99E+307,'Returns (Calc)'!$A:$A)-3),"")</f>
        <v>6.9781132075471692</v>
      </c>
      <c r="AG90" s="84">
        <f>IFERROR('Price History'!L3+(INDEX('Price History'!L:L,MATCH(9.99E+307,'Price History'!$A:$A))-'Price History'!L3)*(ROW()-3)/(MATCH(9.99E+307,'Returns (Calc)'!$A:$A)-3),"")</f>
        <v>41.65584905660377</v>
      </c>
      <c r="AH90" s="84">
        <f>IFERROR('Price History'!M3+(INDEX('Price History'!M:M,MATCH(9.99E+307,'Price History'!$A:$A))-'Price History'!M3)*(ROW()-3)/(MATCH(9.99E+307,'Returns (Calc)'!$A:$A)-3),"")</f>
        <v>15.174339622641508</v>
      </c>
      <c r="AI90" s="84">
        <f>IFERROR('Price History'!N3+(INDEX('Price History'!N:N,MATCH(9.99E+307,'Price History'!$A:$A))-'Price History'!N3)*(ROW()-3)/(MATCH(9.99E+307,'Returns (Calc)'!$A:$A)-3),"")</f>
        <v>158.42716981132077</v>
      </c>
      <c r="AJ90" s="84">
        <f>IFERROR('Price History'!O3+(INDEX('Price History'!O:O,MATCH(9.99E+307,'Price History'!$A:$A))-'Price History'!O3)*(ROW()-3)/(MATCH(9.99E+307,'Returns (Calc)'!$A:$A)-3),"")</f>
        <v>37.516981132075465</v>
      </c>
      <c r="AK90" s="84">
        <f>IFERROR('Price History'!Q3+(INDEX('Price History'!Q:Q,MATCH(9.99E+307,'Price History'!$A:$A))-'Price History'!Q3)*(ROW()-3)/(MATCH(9.99E+307,'Returns (Calc)'!$A:$A)-3),"")</f>
        <v>22.569056603773589</v>
      </c>
      <c r="AL90" s="84">
        <f>IFERROR('Price History'!R3+(INDEX('Price History'!R:R,MATCH(9.99E+307,'Price History'!$A:$A))-'Price History'!R3)*(ROW()-3)/(MATCH(9.99E+307,'Returns (Calc)'!$A:$A)-3),"")</f>
        <v>21.654339622641508</v>
      </c>
      <c r="AM90" s="84">
        <f>IFERROR('Price History'!S3+(INDEX('Price History'!S:S,MATCH(9.99E+307,'Price History'!$A:$A))-'Price History'!S3)*(ROW()-3)/(MATCH(9.99E+307,'Returns (Calc)'!$A:$A)-3),"")</f>
        <v>26.50867924528302</v>
      </c>
      <c r="AN90" s="84">
        <f>IFERROR('Price History'!T3+(INDEX('Price History'!T:T,MATCH(9.99E+307,'Price History'!$A:$A))-'Price History'!T3)*(ROW()-3)/(MATCH(9.99E+307,'Returns (Calc)'!$A:$A)-3),"")</f>
        <v>12.18566037735849</v>
      </c>
      <c r="AO90" s="85">
        <f>IFERROR('Price History'!V3+(INDEX('Price History'!V:V,MATCH(9.99E+307,'Price History'!$A:$A))-'Price History'!V3)*(ROW()-3)/(MATCH(9.99E+307,'Returns (Calc)'!$A:$A)-3),"")</f>
        <v>0</v>
      </c>
    </row>
    <row r="91" spans="1:41" ht="15" customHeight="1" x14ac:dyDescent="0.3">
      <c r="A91" s="81">
        <f>IF('Price History'!A92="","",'Price History'!A92)</f>
        <v>45772</v>
      </c>
      <c r="B91" s="82">
        <f>IFERROR(IF(OR(NOT(ISNUMBER('Price History'!B92)),NOT(ISNUMBER('Price History'!B91)),'Price History'!B91=0),"",'Price History'!B92/'Price History'!B91-1),"")</f>
        <v>5.4243119266055073E-2</v>
      </c>
      <c r="C91" s="82">
        <f>IFERROR(IF(OR(NOT(ISNUMBER('Price History'!C92)),NOT(ISNUMBER('Price History'!C91)),'Price History'!C91=0),"",'Price History'!C92/'Price History'!C91-1),"")</f>
        <v>9.4241573033707837E-2</v>
      </c>
      <c r="D91" s="82">
        <f>IFERROR(IF(OR(NOT(ISNUMBER('Price History'!D92)),NOT(ISNUMBER('Price History'!D91)),'Price History'!D91=0),"",'Price History'!D92/'Price History'!D91-1),"")</f>
        <v>5.7969882529367744E-2</v>
      </c>
      <c r="E91" s="82">
        <f>IFERROR(IF(OR(NOT(ISNUMBER('Price History'!E92)),NOT(ISNUMBER('Price History'!E91)),'Price History'!E91=0),"",'Price History'!E92/'Price History'!E91-1),"")</f>
        <v>0.12468565413182042</v>
      </c>
      <c r="F91" s="82">
        <f>IFERROR(IF(OR(NOT(ISNUMBER('Price History'!F92)),NOT(ISNUMBER('Price History'!F91)),'Price History'!F91=0),"",'Price History'!F92/'Price History'!F91-1),"")</f>
        <v>0.13108295176232576</v>
      </c>
      <c r="G91" s="82">
        <f>IFERROR(IF(OR(NOT(ISNUMBER('Price History'!G92)),NOT(ISNUMBER('Price History'!G91)),'Price History'!G91=0),"",'Price History'!G92/'Price History'!G91-1),"")</f>
        <v>9.4892812105926705E-2</v>
      </c>
      <c r="H91" s="82">
        <f>IFERROR(IF(OR(NOT(ISNUMBER('Price History'!H92)),NOT(ISNUMBER('Price History'!H91)),'Price History'!H91=0),"",'Price History'!H92/'Price History'!H91-1),"")</f>
        <v>0.15959302325581404</v>
      </c>
      <c r="I91" s="82">
        <f>IFERROR(IF(OR(NOT(ISNUMBER('Price History'!I92)),NOT(ISNUMBER('Price History'!I91)),'Price History'!I91=0),"",'Price History'!I92/'Price History'!I91-1),"")</f>
        <v>9.3802345058626502E-2</v>
      </c>
      <c r="J91" s="82">
        <f>IFERROR(IF(OR(NOT(ISNUMBER('Price History'!J92)),NOT(ISNUMBER('Price History'!J91)),'Price History'!J91=0),"",'Price History'!J92/'Price History'!J91-1),"")</f>
        <v>1.3712047012732764E-3</v>
      </c>
      <c r="K91" s="82">
        <f>IFERROR(IF(OR(NOT(ISNUMBER('Price History'!K92)),NOT(ISNUMBER('Price History'!K91)),'Price History'!K91=0),"",'Price History'!K92/'Price History'!K91-1),"")</f>
        <v>0.20260183407976107</v>
      </c>
      <c r="L91" s="82">
        <f>IFERROR(IF(OR(NOT(ISNUMBER('Price History'!L92)),NOT(ISNUMBER('Price History'!L91)),'Price History'!L91=0),"",'Price History'!L92/'Price History'!L91-1),"")</f>
        <v>8.804534071437975E-2</v>
      </c>
      <c r="M91" s="82">
        <f>IFERROR(IF(OR(NOT(ISNUMBER('Price History'!M92)),NOT(ISNUMBER('Price History'!M91)),'Price History'!M91=0),"",'Price History'!M92/'Price History'!M91-1),"")</f>
        <v>0.18767927878705115</v>
      </c>
      <c r="N91" s="82">
        <f>IFERROR(IF(OR(NOT(ISNUMBER('Price History'!N92)),NOT(ISNUMBER('Price History'!N91)),'Price History'!N91=0),"",'Price History'!N92/'Price History'!N91-1),"")</f>
        <v>9.6912696790021347E-3</v>
      </c>
      <c r="O91" s="82">
        <f>IFERROR(IF(OR(NOT(ISNUMBER('Price History'!O92)),NOT(ISNUMBER('Price History'!O91)),'Price History'!O91=0),"",'Price History'!O92/'Price History'!O91-1),"")</f>
        <v>2.80919825978867E-2</v>
      </c>
      <c r="P91" s="82" t="str">
        <f>IFERROR(IF(OR(NOT(ISNUMBER('Price History'!P92)),NOT(ISNUMBER('Price History'!P91)),'Price History'!P91=0),"",'Price History'!P92/'Price History'!P91-1),"")</f>
        <v/>
      </c>
      <c r="Q91" s="82">
        <f>IFERROR(IF(OR(NOT(ISNUMBER('Price History'!Q92)),NOT(ISNUMBER('Price History'!Q91)),'Price History'!Q91=0),"",'Price History'!Q92/'Price History'!Q91-1),"")</f>
        <v>-1.6173378618788981E-4</v>
      </c>
      <c r="R91" s="82">
        <f>IFERROR(IF(OR(NOT(ISNUMBER('Price History'!R92)),NOT(ISNUMBER('Price History'!R91)),'Price History'!R91=0),"",'Price History'!R92/'Price History'!R91-1),"")</f>
        <v>4.8215018465326276E-2</v>
      </c>
      <c r="S91" s="82">
        <f>IFERROR(IF(OR(NOT(ISNUMBER('Price History'!S92)),NOT(ISNUMBER('Price History'!S91)),'Price History'!S91=0),"",'Price History'!S92/'Price History'!S91-1),"")</f>
        <v>6.5261726716519197E-2</v>
      </c>
      <c r="T91" s="82">
        <f>IFERROR(IF(OR(NOT(ISNUMBER('Price History'!T92)),NOT(ISNUMBER('Price History'!T91)),'Price History'!T91=0),"",'Price History'!T92/'Price History'!T91-1),"")</f>
        <v>3.3039647577092435E-2</v>
      </c>
      <c r="U91" s="82" t="str">
        <f>IFERROR(IF(OR(NOT(ISNUMBER('Price History'!U92)),NOT(ISNUMBER('Price History'!U91)),'Price History'!U91=0),"",'Price History'!U92/'Price History'!U91-1),"")</f>
        <v/>
      </c>
      <c r="V91" s="83" t="str">
        <f>IFERROR(IF(OR(NOT(ISNUMBER('Price History'!V92)),NOT(ISNUMBER('Price History'!V91)),'Price History'!V91=0),"",'Price History'!V92/'Price History'!V91-1),"")</f>
        <v/>
      </c>
      <c r="W91" s="84" t="str">
        <f>IFERROR('Price History'!B3+(INDEX('Price History'!B:B,MATCH(9.99E+307,'Price History'!$A:$A))-'Price History'!B3)*(ROW()-3)/(MATCH(9.99E+307,'Returns (Calc)'!$A:$A)-3),"")</f>
        <v/>
      </c>
      <c r="X91" s="84">
        <f>IFERROR('Price History'!C3+(INDEX('Price History'!C:C,MATCH(9.99E+307,'Price History'!$A:$A))-'Price History'!C3)*(ROW()-3)/(MATCH(9.99E+307,'Returns (Calc)'!$A:$A)-3),"")</f>
        <v>19.531698113207547</v>
      </c>
      <c r="Y91" s="84">
        <f>IFERROR('Price History'!D3+(INDEX('Price History'!D:D,MATCH(9.99E+307,'Price History'!$A:$A))-'Price History'!D3)*(ROW()-3)/(MATCH(9.99E+307,'Returns (Calc)'!$A:$A)-3),"")</f>
        <v>295.51182389937105</v>
      </c>
      <c r="Z91" s="84">
        <f>IFERROR('Price History'!E3+(INDEX('Price History'!E:E,MATCH(9.99E+307,'Price History'!$A:$A))-'Price History'!E3)*(ROW()-3)/(MATCH(9.99E+307,'Returns (Calc)'!$A:$A)-3),"")</f>
        <v>37.05396226415094</v>
      </c>
      <c r="AA91" s="84">
        <f>IFERROR('Price History'!F3+(INDEX('Price History'!F:F,MATCH(9.99E+307,'Price History'!$A:$A))-'Price History'!F3)*(ROW()-3)/(MATCH(9.99E+307,'Returns (Calc)'!$A:$A)-3),"")</f>
        <v>16.548805031446541</v>
      </c>
      <c r="AB91" s="84">
        <f>IFERROR('Price History'!G3+(INDEX('Price History'!G:G,MATCH(9.99E+307,'Price History'!$A:$A))-'Price History'!G3)*(ROW()-3)/(MATCH(9.99E+307,'Returns (Calc)'!$A:$A)-3),"")</f>
        <v>21.389308176100627</v>
      </c>
      <c r="AC91" s="84">
        <f>IFERROR('Price History'!H3+(INDEX('Price History'!H:H,MATCH(9.99E+307,'Price History'!$A:$A))-'Price History'!H3)*(ROW()-3)/(MATCH(9.99E+307,'Returns (Calc)'!$A:$A)-3),"")</f>
        <v>28.743836477987422</v>
      </c>
      <c r="AD91" s="84">
        <f>IFERROR('Price History'!I3+(INDEX('Price History'!I:I,MATCH(9.99E+307,'Price History'!$A:$A))-'Price History'!I3)*(ROW()-3)/(MATCH(9.99E+307,'Returns (Calc)'!$A:$A)-3),"")</f>
        <v>18.241194968553458</v>
      </c>
      <c r="AE91" s="84">
        <f>IFERROR('Price History'!J3+(INDEX('Price History'!J:J,MATCH(9.99E+307,'Price History'!$A:$A))-'Price History'!J3)*(ROW()-3)/(MATCH(9.99E+307,'Returns (Calc)'!$A:$A)-3),"")</f>
        <v>55.152264150943395</v>
      </c>
      <c r="AF91" s="84">
        <f>IFERROR('Price History'!K3+(INDEX('Price History'!K:K,MATCH(9.99E+307,'Price History'!$A:$A))-'Price History'!K3)*(ROW()-3)/(MATCH(9.99E+307,'Returns (Calc)'!$A:$A)-3),"")</f>
        <v>6.8811949685534604</v>
      </c>
      <c r="AG91" s="84">
        <f>IFERROR('Price History'!L3+(INDEX('Price History'!L:L,MATCH(9.99E+307,'Price History'!$A:$A))-'Price History'!L3)*(ROW()-3)/(MATCH(9.99E+307,'Returns (Calc)'!$A:$A)-3),"")</f>
        <v>41.077295597484273</v>
      </c>
      <c r="AH91" s="84">
        <f>IFERROR('Price History'!M3+(INDEX('Price History'!M:M,MATCH(9.99E+307,'Price History'!$A:$A))-'Price History'!M3)*(ROW()-3)/(MATCH(9.99E+307,'Returns (Calc)'!$A:$A)-3),"")</f>
        <v>14.963584905660376</v>
      </c>
      <c r="AI91" s="84">
        <f>IFERROR('Price History'!N3+(INDEX('Price History'!N:N,MATCH(9.99E+307,'Price History'!$A:$A))-'Price History'!N3)*(ROW()-3)/(MATCH(9.99E+307,'Returns (Calc)'!$A:$A)-3),"")</f>
        <v>156.22679245283021</v>
      </c>
      <c r="AJ91" s="84">
        <f>IFERROR('Price History'!O3+(INDEX('Price History'!O:O,MATCH(9.99E+307,'Price History'!$A:$A))-'Price History'!O3)*(ROW()-3)/(MATCH(9.99E+307,'Returns (Calc)'!$A:$A)-3),"")</f>
        <v>36.995911949685535</v>
      </c>
      <c r="AK91" s="84">
        <f>IFERROR('Price History'!Q3+(INDEX('Price History'!Q:Q,MATCH(9.99E+307,'Price History'!$A:$A))-'Price History'!Q3)*(ROW()-3)/(MATCH(9.99E+307,'Returns (Calc)'!$A:$A)-3),"")</f>
        <v>22.255597484276734</v>
      </c>
      <c r="AL91" s="84">
        <f>IFERROR('Price History'!R3+(INDEX('Price History'!R:R,MATCH(9.99E+307,'Price History'!$A:$A))-'Price History'!R3)*(ROW()-3)/(MATCH(9.99E+307,'Returns (Calc)'!$A:$A)-3),"")</f>
        <v>21.35358490566038</v>
      </c>
      <c r="AM91" s="84">
        <f>IFERROR('Price History'!S3+(INDEX('Price History'!S:S,MATCH(9.99E+307,'Price History'!$A:$A))-'Price History'!S3)*(ROW()-3)/(MATCH(9.99E+307,'Returns (Calc)'!$A:$A)-3),"")</f>
        <v>26.14050314465409</v>
      </c>
      <c r="AN91" s="84">
        <f>IFERROR('Price History'!T3+(INDEX('Price History'!T:T,MATCH(9.99E+307,'Price History'!$A:$A))-'Price History'!T3)*(ROW()-3)/(MATCH(9.99E+307,'Returns (Calc)'!$A:$A)-3),"")</f>
        <v>12.016415094339623</v>
      </c>
      <c r="AO91" s="85">
        <f>IFERROR('Price History'!V3+(INDEX('Price History'!V:V,MATCH(9.99E+307,'Price History'!$A:$A))-'Price History'!V3)*(ROW()-3)/(MATCH(9.99E+307,'Returns (Calc)'!$A:$A)-3),"")</f>
        <v>0</v>
      </c>
    </row>
    <row r="92" spans="1:41" ht="15" customHeight="1" x14ac:dyDescent="0.3">
      <c r="A92" s="81">
        <f>IF('Price History'!A93="","",'Price History'!A93)</f>
        <v>45779</v>
      </c>
      <c r="B92" s="82">
        <f>IFERROR(IF(OR(NOT(ISNUMBER('Price History'!B93)),NOT(ISNUMBER('Price History'!B92)),'Price History'!B92=0),"",'Price History'!B93/'Price History'!B92-1),"")</f>
        <v>3.5760905036440693E-2</v>
      </c>
      <c r="C92" s="82">
        <f>IFERROR(IF(OR(NOT(ISNUMBER('Price History'!C93)),NOT(ISNUMBER('Price History'!C92)),'Price History'!C92=0),"",'Price History'!C93/'Price History'!C92-1),"")</f>
        <v>0.16827108201771268</v>
      </c>
      <c r="D92" s="82">
        <f>IFERROR(IF(OR(NOT(ISNUMBER('Price History'!D93)),NOT(ISNUMBER('Price History'!D92)),'Price History'!D92=0),"",'Price History'!D93/'Price History'!D92-1),"")</f>
        <v>1.9283299127379028E-2</v>
      </c>
      <c r="E92" s="82">
        <f>IFERROR(IF(OR(NOT(ISNUMBER('Price History'!E93)),NOT(ISNUMBER('Price History'!E92)),'Price History'!E92=0),"",'Price History'!E93/'Price History'!E92-1),"")</f>
        <v>5.8915293016483794E-2</v>
      </c>
      <c r="F92" s="82">
        <f>IFERROR(IF(OR(NOT(ISNUMBER('Price History'!F93)),NOT(ISNUMBER('Price History'!F92)),'Price History'!F92=0),"",'Price History'!F93/'Price History'!F92-1),"")</f>
        <v>3.699868198079459E-2</v>
      </c>
      <c r="G92" s="82">
        <f>IFERROR(IF(OR(NOT(ISNUMBER('Price History'!G93)),NOT(ISNUMBER('Price History'!G92)),'Price History'!G92=0),"",'Price History'!G93/'Price History'!G92-1),"")</f>
        <v>5.1828390440540328E-3</v>
      </c>
      <c r="H92" s="82">
        <f>IFERROR(IF(OR(NOT(ISNUMBER('Price History'!H93)),NOT(ISNUMBER('Price History'!H92)),'Price History'!H92=0),"",'Price History'!H93/'Price History'!H92-1),"")</f>
        <v>1.1782401604412129E-2</v>
      </c>
      <c r="I92" s="82">
        <f>IFERROR(IF(OR(NOT(ISNUMBER('Price History'!I93)),NOT(ISNUMBER('Price History'!I92)),'Price History'!I92=0),"",'Price History'!I93/'Price History'!I92-1),"")</f>
        <v>3.1438609134312179E-2</v>
      </c>
      <c r="J92" s="82">
        <f>IFERROR(IF(OR(NOT(ISNUMBER('Price History'!J93)),NOT(ISNUMBER('Price History'!J92)),'Price History'!J92=0),"",'Price History'!J93/'Price History'!J92-1),"")</f>
        <v>3.1005477308294171E-2</v>
      </c>
      <c r="K92" s="82">
        <f>IFERROR(IF(OR(NOT(ISNUMBER('Price History'!K93)),NOT(ISNUMBER('Price History'!K92)),'Price History'!K92=0),"",'Price History'!K93/'Price History'!K92-1),"")</f>
        <v>0.10196843411952483</v>
      </c>
      <c r="L92" s="82">
        <f>IFERROR(IF(OR(NOT(ISNUMBER('Price History'!L93)),NOT(ISNUMBER('Price History'!L92)),'Price History'!L92=0),"",'Price History'!L93/'Price History'!L92-1),"")</f>
        <v>8.5887341005451256E-2</v>
      </c>
      <c r="M92" s="82">
        <f>IFERROR(IF(OR(NOT(ISNUMBER('Price History'!M93)),NOT(ISNUMBER('Price History'!M92)),'Price History'!M92=0),"",'Price History'!M93/'Price History'!M92-1),"")</f>
        <v>9.2581943645773324E-2</v>
      </c>
      <c r="N92" s="82">
        <f>IFERROR(IF(OR(NOT(ISNUMBER('Price History'!N93)),NOT(ISNUMBER('Price History'!N92)),'Price History'!N92=0),"",'Price History'!N93/'Price History'!N92-1),"")</f>
        <v>1.4802365138506302E-2</v>
      </c>
      <c r="O92" s="82">
        <f>IFERROR(IF(OR(NOT(ISNUMBER('Price History'!O93)),NOT(ISNUMBER('Price History'!O92)),'Price History'!O92=0),"",'Price History'!O93/'Price History'!O92-1),"")</f>
        <v>3.3974126465965426E-2</v>
      </c>
      <c r="P92" s="82" t="str">
        <f>IFERROR(IF(OR(NOT(ISNUMBER('Price History'!P93)),NOT(ISNUMBER('Price History'!P92)),'Price History'!P92=0),"",'Price History'!P93/'Price History'!P92-1),"")</f>
        <v/>
      </c>
      <c r="Q92" s="82">
        <f>IFERROR(IF(OR(NOT(ISNUMBER('Price History'!Q93)),NOT(ISNUMBER('Price History'!Q92)),'Price History'!Q92=0),"",'Price History'!Q93/'Price History'!Q92-1),"")</f>
        <v>8.0879974118408526E-4</v>
      </c>
      <c r="R92" s="82">
        <f>IFERROR(IF(OR(NOT(ISNUMBER('Price History'!R93)),NOT(ISNUMBER('Price History'!R92)),'Price History'!R92=0),"",'Price History'!R93/'Price History'!R92-1),"")</f>
        <v>7.8293208064199593E-3</v>
      </c>
      <c r="S92" s="82">
        <f>IFERROR(IF(OR(NOT(ISNUMBER('Price History'!S93)),NOT(ISNUMBER('Price History'!S92)),'Price History'!S92=0),"",'Price History'!S93/'Price History'!S92-1),"")</f>
        <v>4.0204211869814932E-2</v>
      </c>
      <c r="T92" s="82">
        <f>IFERROR(IF(OR(NOT(ISNUMBER('Price History'!T93)),NOT(ISNUMBER('Price History'!T92)),'Price History'!T92=0),"",'Price History'!T93/'Price History'!T92-1),"")</f>
        <v>1.9189765458422325E-2</v>
      </c>
      <c r="U92" s="82" t="str">
        <f>IFERROR(IF(OR(NOT(ISNUMBER('Price History'!U93)),NOT(ISNUMBER('Price History'!U92)),'Price History'!U92=0),"",'Price History'!U93/'Price History'!U92-1),"")</f>
        <v/>
      </c>
      <c r="V92" s="83">
        <f>IFERROR(IF(OR(NOT(ISNUMBER('Price History'!V93)),NOT(ISNUMBER('Price History'!V92)),'Price History'!V92=0),"",'Price History'!V93/'Price History'!V92-1),"")</f>
        <v>3.708733176413781E-2</v>
      </c>
      <c r="W92" s="84" t="str">
        <f>IFERROR('Price History'!B3+(INDEX('Price History'!B:B,MATCH(9.99E+307,'Price History'!$A:$A))-'Price History'!B3)*(ROW()-3)/(MATCH(9.99E+307,'Returns (Calc)'!$A:$A)-3),"")</f>
        <v/>
      </c>
      <c r="X92" s="84">
        <f>IFERROR('Price History'!C3+(INDEX('Price History'!C:C,MATCH(9.99E+307,'Price History'!$A:$A))-'Price History'!C3)*(ROW()-3)/(MATCH(9.99E+307,'Returns (Calc)'!$A:$A)-3),"")</f>
        <v>19.256603773584906</v>
      </c>
      <c r="Y92" s="84">
        <f>IFERROR('Price History'!D3+(INDEX('Price History'!D:D,MATCH(9.99E+307,'Price History'!$A:$A))-'Price History'!D3)*(ROW()-3)/(MATCH(9.99E+307,'Returns (Calc)'!$A:$A)-3),"")</f>
        <v>291.34968553459117</v>
      </c>
      <c r="Z92" s="84">
        <f>IFERROR('Price History'!E3+(INDEX('Price History'!E:E,MATCH(9.99E+307,'Price History'!$A:$A))-'Price History'!E3)*(ROW()-3)/(MATCH(9.99E+307,'Returns (Calc)'!$A:$A)-3),"")</f>
        <v>36.532075471698114</v>
      </c>
      <c r="AA92" s="84">
        <f>IFERROR('Price History'!F3+(INDEX('Price History'!F:F,MATCH(9.99E+307,'Price History'!$A:$A))-'Price History'!F3)*(ROW()-3)/(MATCH(9.99E+307,'Returns (Calc)'!$A:$A)-3),"")</f>
        <v>16.315723270440252</v>
      </c>
      <c r="AB92" s="84">
        <f>IFERROR('Price History'!G3+(INDEX('Price History'!G:G,MATCH(9.99E+307,'Price History'!$A:$A))-'Price History'!G3)*(ROW()-3)/(MATCH(9.99E+307,'Returns (Calc)'!$A:$A)-3),"")</f>
        <v>21.088050314465409</v>
      </c>
      <c r="AC92" s="84">
        <f>IFERROR('Price History'!H3+(INDEX('Price History'!H:H,MATCH(9.99E+307,'Price History'!$A:$A))-'Price History'!H3)*(ROW()-3)/(MATCH(9.99E+307,'Returns (Calc)'!$A:$A)-3),"")</f>
        <v>28.338993710691824</v>
      </c>
      <c r="AD92" s="84">
        <f>IFERROR('Price History'!I3+(INDEX('Price History'!I:I,MATCH(9.99E+307,'Price History'!$A:$A))-'Price History'!I3)*(ROW()-3)/(MATCH(9.99E+307,'Returns (Calc)'!$A:$A)-3),"")</f>
        <v>17.984276729559749</v>
      </c>
      <c r="AE92" s="84">
        <f>IFERROR('Price History'!J3+(INDEX('Price History'!J:J,MATCH(9.99E+307,'Price History'!$A:$A))-'Price History'!J3)*(ROW()-3)/(MATCH(9.99E+307,'Returns (Calc)'!$A:$A)-3),"")</f>
        <v>54.375471698113202</v>
      </c>
      <c r="AF92" s="84">
        <f>IFERROR('Price History'!K3+(INDEX('Price History'!K:K,MATCH(9.99E+307,'Price History'!$A:$A))-'Price History'!K3)*(ROW()-3)/(MATCH(9.99E+307,'Returns (Calc)'!$A:$A)-3),"")</f>
        <v>6.7842767295597479</v>
      </c>
      <c r="AG92" s="84">
        <f>IFERROR('Price History'!L3+(INDEX('Price History'!L:L,MATCH(9.99E+307,'Price History'!$A:$A))-'Price History'!L3)*(ROW()-3)/(MATCH(9.99E+307,'Returns (Calc)'!$A:$A)-3),"")</f>
        <v>40.498742138364776</v>
      </c>
      <c r="AH92" s="84">
        <f>IFERROR('Price History'!M3+(INDEX('Price History'!M:M,MATCH(9.99E+307,'Price History'!$A:$A))-'Price History'!M3)*(ROW()-3)/(MATCH(9.99E+307,'Returns (Calc)'!$A:$A)-3),"")</f>
        <v>14.752830188679244</v>
      </c>
      <c r="AI92" s="84">
        <f>IFERROR('Price History'!N3+(INDEX('Price History'!N:N,MATCH(9.99E+307,'Price History'!$A:$A))-'Price History'!N3)*(ROW()-3)/(MATCH(9.99E+307,'Returns (Calc)'!$A:$A)-3),"")</f>
        <v>154.02641509433963</v>
      </c>
      <c r="AJ92" s="84">
        <f>IFERROR('Price History'!O3+(INDEX('Price History'!O:O,MATCH(9.99E+307,'Price History'!$A:$A))-'Price History'!O3)*(ROW()-3)/(MATCH(9.99E+307,'Returns (Calc)'!$A:$A)-3),"")</f>
        <v>36.474842767295591</v>
      </c>
      <c r="AK92" s="84">
        <f>IFERROR('Price History'!Q3+(INDEX('Price History'!Q:Q,MATCH(9.99E+307,'Price History'!$A:$A))-'Price History'!Q3)*(ROW()-3)/(MATCH(9.99E+307,'Returns (Calc)'!$A:$A)-3),"")</f>
        <v>21.942138364779876</v>
      </c>
      <c r="AL92" s="84">
        <f>IFERROR('Price History'!R3+(INDEX('Price History'!R:R,MATCH(9.99E+307,'Price History'!$A:$A))-'Price History'!R3)*(ROW()-3)/(MATCH(9.99E+307,'Returns (Calc)'!$A:$A)-3),"")</f>
        <v>21.052830188679241</v>
      </c>
      <c r="AM92" s="84">
        <f>IFERROR('Price History'!S3+(INDEX('Price History'!S:S,MATCH(9.99E+307,'Price History'!$A:$A))-'Price History'!S3)*(ROW()-3)/(MATCH(9.99E+307,'Returns (Calc)'!$A:$A)-3),"")</f>
        <v>25.772327044025161</v>
      </c>
      <c r="AN92" s="84">
        <f>IFERROR('Price History'!T3+(INDEX('Price History'!T:T,MATCH(9.99E+307,'Price History'!$A:$A))-'Price History'!T3)*(ROW()-3)/(MATCH(9.99E+307,'Returns (Calc)'!$A:$A)-3),"")</f>
        <v>11.847169811320754</v>
      </c>
      <c r="AO92" s="85">
        <f>IFERROR('Price History'!V3+(INDEX('Price History'!V:V,MATCH(9.99E+307,'Price History'!$A:$A))-'Price History'!V3)*(ROW()-3)/(MATCH(9.99E+307,'Returns (Calc)'!$A:$A)-3),"")</f>
        <v>0</v>
      </c>
    </row>
    <row r="93" spans="1:41" ht="15" customHeight="1" x14ac:dyDescent="0.3">
      <c r="A93" s="81">
        <f>IF('Price History'!A94="","",'Price History'!A94)</f>
        <v>45786</v>
      </c>
      <c r="B93" s="82">
        <f>IFERROR(IF(OR(NOT(ISNUMBER('Price History'!B94)),NOT(ISNUMBER('Price History'!B93)),'Price History'!B93=0),"",'Price History'!B94/'Price History'!B93-1),"")</f>
        <v>6.3276183474676451E-3</v>
      </c>
      <c r="C93" s="82">
        <f>IFERROR(IF(OR(NOT(ISNUMBER('Price History'!C94)),NOT(ISNUMBER('Price History'!C93)),'Price History'!C93=0),"",'Price History'!C94/'Price History'!C93-1),"")</f>
        <v>-4.9439683586025018E-2</v>
      </c>
      <c r="D93" s="82">
        <f>IFERROR(IF(OR(NOT(ISNUMBER('Price History'!D94)),NOT(ISNUMBER('Price History'!D93)),'Price History'!D93=0),"",'Price History'!D94/'Price History'!D93-1),"")</f>
        <v>2.3003491083974259E-2</v>
      </c>
      <c r="E93" s="82">
        <f>IFERROR(IF(OR(NOT(ISNUMBER('Price History'!E94)),NOT(ISNUMBER('Price History'!E93)),'Price History'!E93=0),"",'Price History'!E94/'Price History'!E93-1),"")</f>
        <v>2.2392457277548683E-2</v>
      </c>
      <c r="F93" s="82">
        <f>IFERROR(IF(OR(NOT(ISNUMBER('Price History'!F94)),NOT(ISNUMBER('Price History'!F93)),'Price History'!F93=0),"",'Price History'!F94/'Price History'!F93-1),"")</f>
        <v>-6.8179754879709509E-2</v>
      </c>
      <c r="G93" s="82">
        <f>IFERROR(IF(OR(NOT(ISNUMBER('Price History'!G94)),NOT(ISNUMBER('Price History'!G93)),'Price History'!G93=0),"",'Price History'!G94/'Price History'!G93-1),"")</f>
        <v>4.2967631051276101E-3</v>
      </c>
      <c r="H93" s="82">
        <f>IFERROR(IF(OR(NOT(ISNUMBER('Price History'!H94)),NOT(ISNUMBER('Price History'!H93)),'Price History'!H93=0),"",'Price History'!H94/'Price History'!H93-1),"")</f>
        <v>6.3676907829534279E-2</v>
      </c>
      <c r="I93" s="82">
        <f>IFERROR(IF(OR(NOT(ISNUMBER('Price History'!I94)),NOT(ISNUMBER('Price History'!I93)),'Price History'!I93=0),"",'Price History'!I94/'Price History'!I93-1),"")</f>
        <v>1.8777292576419358E-2</v>
      </c>
      <c r="J93" s="82">
        <f>IFERROR(IF(OR(NOT(ISNUMBER('Price History'!J94)),NOT(ISNUMBER('Price History'!J93)),'Price History'!J93=0),"",'Price History'!J94/'Price History'!J93-1),"")</f>
        <v>1.4230148942225629E-2</v>
      </c>
      <c r="K93" s="82">
        <f>IFERROR(IF(OR(NOT(ISNUMBER('Price History'!K94)),NOT(ISNUMBER('Price History'!K93)),'Price History'!K93=0),"",'Price History'!K94/'Price History'!K93-1),"")</f>
        <v>-5.6163501770196356E-2</v>
      </c>
      <c r="L93" s="82">
        <f>IFERROR(IF(OR(NOT(ISNUMBER('Price History'!L94)),NOT(ISNUMBER('Price History'!L93)),'Price History'!L93=0),"",'Price History'!L94/'Price History'!L93-1),"")</f>
        <v>-1.53949129852744E-2</v>
      </c>
      <c r="M93" s="82">
        <f>IFERROR(IF(OR(NOT(ISNUMBER('Price History'!M94)),NOT(ISNUMBER('Price History'!M93)),'Price History'!M93=0),"",'Price History'!M94/'Price History'!M93-1),"")</f>
        <v>-9.8947368421052895E-3</v>
      </c>
      <c r="N93" s="82">
        <f>IFERROR(IF(OR(NOT(ISNUMBER('Price History'!N94)),NOT(ISNUMBER('Price History'!N93)),'Price History'!N93=0),"",'Price History'!N94/'Price History'!N93-1),"")</f>
        <v>-0.15197046792377522</v>
      </c>
      <c r="O93" s="82">
        <f>IFERROR(IF(OR(NOT(ISNUMBER('Price History'!O94)),NOT(ISNUMBER('Price History'!O93)),'Price History'!O93=0),"",'Price History'!O94/'Price History'!O93-1),"")</f>
        <v>1.1576239476146055E-2</v>
      </c>
      <c r="P93" s="82" t="str">
        <f>IFERROR(IF(OR(NOT(ISNUMBER('Price History'!P94)),NOT(ISNUMBER('Price History'!P93)),'Price History'!P93=0),"",'Price History'!P94/'Price History'!P93-1),"")</f>
        <v/>
      </c>
      <c r="Q93" s="82">
        <f>IFERROR(IF(OR(NOT(ISNUMBER('Price History'!Q94)),NOT(ISNUMBER('Price History'!Q93)),'Price History'!Q93=0),"",'Price History'!Q94/'Price History'!Q93-1),"")</f>
        <v>1.0829157911750542E-2</v>
      </c>
      <c r="R93" s="82">
        <f>IFERROR(IF(OR(NOT(ISNUMBER('Price History'!R94)),NOT(ISNUMBER('Price History'!R93)),'Price History'!R93=0),"",'Price History'!R94/'Price History'!R93-1),"")</f>
        <v>2.7189745581666092E-3</v>
      </c>
      <c r="S93" s="82">
        <f>IFERROR(IF(OR(NOT(ISNUMBER('Price History'!S94)),NOT(ISNUMBER('Price History'!S93)),'Price History'!S93=0),"",'Price History'!S94/'Price History'!S93-1),"")</f>
        <v>6.952965235173858E-3</v>
      </c>
      <c r="T93" s="82">
        <f>IFERROR(IF(OR(NOT(ISNUMBER('Price History'!T94)),NOT(ISNUMBER('Price History'!T93)),'Price History'!T93=0),"",'Price History'!T94/'Price History'!T93-1),"")</f>
        <v>-1.7931858936043321E-3</v>
      </c>
      <c r="U93" s="82" t="str">
        <f>IFERROR(IF(OR(NOT(ISNUMBER('Price History'!U94)),NOT(ISNUMBER('Price History'!U93)),'Price History'!U93=0),"",'Price History'!U94/'Price History'!U93-1),"")</f>
        <v/>
      </c>
      <c r="V93" s="83">
        <f>IFERROR(IF(OR(NOT(ISNUMBER('Price History'!V94)),NOT(ISNUMBER('Price History'!V93)),'Price History'!V93=0),"",'Price History'!V94/'Price History'!V93-1),"")</f>
        <v>1.4199668286437594E-2</v>
      </c>
      <c r="W93" s="84" t="str">
        <f>IFERROR('Price History'!B3+(INDEX('Price History'!B:B,MATCH(9.99E+307,'Price History'!$A:$A))-'Price History'!B3)*(ROW()-3)/(MATCH(9.99E+307,'Returns (Calc)'!$A:$A)-3),"")</f>
        <v/>
      </c>
      <c r="X93" s="84">
        <f>IFERROR('Price History'!C3+(INDEX('Price History'!C:C,MATCH(9.99E+307,'Price History'!$A:$A))-'Price History'!C3)*(ROW()-3)/(MATCH(9.99E+307,'Returns (Calc)'!$A:$A)-3),"")</f>
        <v>18.981509433962263</v>
      </c>
      <c r="Y93" s="84">
        <f>IFERROR('Price History'!D3+(INDEX('Price History'!D:D,MATCH(9.99E+307,'Price History'!$A:$A))-'Price History'!D3)*(ROW()-3)/(MATCH(9.99E+307,'Returns (Calc)'!$A:$A)-3),"")</f>
        <v>287.1875471698113</v>
      </c>
      <c r="Z93" s="84">
        <f>IFERROR('Price History'!E3+(INDEX('Price History'!E:E,MATCH(9.99E+307,'Price History'!$A:$A))-'Price History'!E3)*(ROW()-3)/(MATCH(9.99E+307,'Returns (Calc)'!$A:$A)-3),"")</f>
        <v>36.010188679245282</v>
      </c>
      <c r="AA93" s="84">
        <f>IFERROR('Price History'!F3+(INDEX('Price History'!F:F,MATCH(9.99E+307,'Price History'!$A:$A))-'Price History'!F3)*(ROW()-3)/(MATCH(9.99E+307,'Returns (Calc)'!$A:$A)-3),"")</f>
        <v>16.082641509433962</v>
      </c>
      <c r="AB93" s="84">
        <f>IFERROR('Price History'!G3+(INDEX('Price History'!G:G,MATCH(9.99E+307,'Price History'!$A:$A))-'Price History'!G3)*(ROW()-3)/(MATCH(9.99E+307,'Returns (Calc)'!$A:$A)-3),"")</f>
        <v>20.786792452830188</v>
      </c>
      <c r="AC93" s="84">
        <f>IFERROR('Price History'!H3+(INDEX('Price History'!H:H,MATCH(9.99E+307,'Price History'!$A:$A))-'Price History'!H3)*(ROW()-3)/(MATCH(9.99E+307,'Returns (Calc)'!$A:$A)-3),"")</f>
        <v>27.934150943396233</v>
      </c>
      <c r="AD93" s="84">
        <f>IFERROR('Price History'!I3+(INDEX('Price History'!I:I,MATCH(9.99E+307,'Price History'!$A:$A))-'Price History'!I3)*(ROW()-3)/(MATCH(9.99E+307,'Returns (Calc)'!$A:$A)-3),"")</f>
        <v>17.72735849056604</v>
      </c>
      <c r="AE93" s="84">
        <f>IFERROR('Price History'!J3+(INDEX('Price History'!J:J,MATCH(9.99E+307,'Price History'!$A:$A))-'Price History'!J3)*(ROW()-3)/(MATCH(9.99E+307,'Returns (Calc)'!$A:$A)-3),"")</f>
        <v>53.598679245283023</v>
      </c>
      <c r="AF93" s="84">
        <f>IFERROR('Price History'!K3+(INDEX('Price History'!K:K,MATCH(9.99E+307,'Price History'!$A:$A))-'Price History'!K3)*(ROW()-3)/(MATCH(9.99E+307,'Returns (Calc)'!$A:$A)-3),"")</f>
        <v>6.6873584905660373</v>
      </c>
      <c r="AG93" s="84">
        <f>IFERROR('Price History'!L3+(INDEX('Price History'!L:L,MATCH(9.99E+307,'Price History'!$A:$A))-'Price History'!L3)*(ROW()-3)/(MATCH(9.99E+307,'Returns (Calc)'!$A:$A)-3),"")</f>
        <v>39.920188679245278</v>
      </c>
      <c r="AH93" s="84">
        <f>IFERROR('Price History'!M3+(INDEX('Price History'!M:M,MATCH(9.99E+307,'Price History'!$A:$A))-'Price History'!M3)*(ROW()-3)/(MATCH(9.99E+307,'Returns (Calc)'!$A:$A)-3),"")</f>
        <v>14.542075471698112</v>
      </c>
      <c r="AI93" s="84">
        <f>IFERROR('Price History'!N3+(INDEX('Price History'!N:N,MATCH(9.99E+307,'Price History'!$A:$A))-'Price History'!N3)*(ROW()-3)/(MATCH(9.99E+307,'Returns (Calc)'!$A:$A)-3),"")</f>
        <v>151.82603773584907</v>
      </c>
      <c r="AJ93" s="84">
        <f>IFERROR('Price History'!O3+(INDEX('Price History'!O:O,MATCH(9.99E+307,'Price History'!$A:$A))-'Price History'!O3)*(ROW()-3)/(MATCH(9.99E+307,'Returns (Calc)'!$A:$A)-3),"")</f>
        <v>35.953773584905662</v>
      </c>
      <c r="AK93" s="84">
        <f>IFERROR('Price History'!Q3+(INDEX('Price History'!Q:Q,MATCH(9.99E+307,'Price History'!$A:$A))-'Price History'!Q3)*(ROW()-3)/(MATCH(9.99E+307,'Returns (Calc)'!$A:$A)-3),"")</f>
        <v>21.628679245283021</v>
      </c>
      <c r="AL93" s="84">
        <f>IFERROR('Price History'!R3+(INDEX('Price History'!R:R,MATCH(9.99E+307,'Price History'!$A:$A))-'Price History'!R3)*(ROW()-3)/(MATCH(9.99E+307,'Returns (Calc)'!$A:$A)-3),"")</f>
        <v>20.752075471698113</v>
      </c>
      <c r="AM93" s="84">
        <f>IFERROR('Price History'!S3+(INDEX('Price History'!S:S,MATCH(9.99E+307,'Price History'!$A:$A))-'Price History'!S3)*(ROW()-3)/(MATCH(9.99E+307,'Returns (Calc)'!$A:$A)-3),"")</f>
        <v>25.404150943396225</v>
      </c>
      <c r="AN93" s="84">
        <f>IFERROR('Price History'!T3+(INDEX('Price History'!T:T,MATCH(9.99E+307,'Price History'!$A:$A))-'Price History'!T3)*(ROW()-3)/(MATCH(9.99E+307,'Returns (Calc)'!$A:$A)-3),"")</f>
        <v>11.677924528301887</v>
      </c>
      <c r="AO93" s="85">
        <f>IFERROR('Price History'!V3+(INDEX('Price History'!V:V,MATCH(9.99E+307,'Price History'!$A:$A))-'Price History'!V3)*(ROW()-3)/(MATCH(9.99E+307,'Returns (Calc)'!$A:$A)-3),"")</f>
        <v>0</v>
      </c>
    </row>
    <row r="94" spans="1:41" ht="15" customHeight="1" x14ac:dyDescent="0.3">
      <c r="A94" s="81">
        <f>IF('Price History'!A95="","",'Price History'!A95)</f>
        <v>45793</v>
      </c>
      <c r="B94" s="82">
        <f>IFERROR(IF(OR(NOT(ISNUMBER('Price History'!B95)),NOT(ISNUMBER('Price History'!B94)),'Price History'!B94=0),"",'Price History'!B95/'Price History'!B94-1),"")</f>
        <v>8.8316635357962969E-2</v>
      </c>
      <c r="C94" s="82">
        <f>IFERROR(IF(OR(NOT(ISNUMBER('Price History'!C95)),NOT(ISNUMBER('Price History'!C94)),'Price History'!C94=0),"",'Price History'!C95/'Price History'!C94-1),"")</f>
        <v>0.11442441054091557</v>
      </c>
      <c r="D94" s="82">
        <f>IFERROR(IF(OR(NOT(ISNUMBER('Price History'!D95)),NOT(ISNUMBER('Price History'!D94)),'Price History'!D94=0),"",'Price History'!D95/'Price History'!D94-1),"")</f>
        <v>5.9316633862448898E-2</v>
      </c>
      <c r="E94" s="82">
        <f>IFERROR(IF(OR(NOT(ISNUMBER('Price History'!E95)),NOT(ISNUMBER('Price History'!E94)),'Price History'!E94=0),"",'Price History'!E95/'Price History'!E94-1),"")</f>
        <v>9.8030739673391043E-2</v>
      </c>
      <c r="F94" s="82">
        <f>IFERROR(IF(OR(NOT(ISNUMBER('Price History'!F95)),NOT(ISNUMBER('Price History'!F94)),'Price History'!F94=0),"",'Price History'!F95/'Price History'!F94-1),"")</f>
        <v>6.9953234606391135E-2</v>
      </c>
      <c r="G94" s="82">
        <f>IFERROR(IF(OR(NOT(ISNUMBER('Price History'!G95)),NOT(ISNUMBER('Price History'!G94)),'Price History'!G94=0),"",'Price History'!G95/'Price History'!G94-1),"")</f>
        <v>0.1283513976041073</v>
      </c>
      <c r="H94" s="82">
        <f>IFERROR(IF(OR(NOT(ISNUMBER('Price History'!H95)),NOT(ISNUMBER('Price History'!H94)),'Price History'!H94=0),"",'Price History'!H95/'Price History'!H94-1),"")</f>
        <v>0.14139296529233647</v>
      </c>
      <c r="I94" s="82">
        <f>IFERROR(IF(OR(NOT(ISNUMBER('Price History'!I95)),NOT(ISNUMBER('Price History'!I94)),'Price History'!I94=0),"",'Price History'!I95/'Price History'!I94-1),"")</f>
        <v>0.16073724817831114</v>
      </c>
      <c r="J94" s="82">
        <f>IFERROR(IF(OR(NOT(ISNUMBER('Price History'!J95)),NOT(ISNUMBER('Price History'!J94)),'Price History'!J94=0),"",'Price History'!J95/'Price History'!J94-1),"")</f>
        <v>3.4047329529510728E-2</v>
      </c>
      <c r="K94" s="82">
        <f>IFERROR(IF(OR(NOT(ISNUMBER('Price History'!K95)),NOT(ISNUMBER('Price History'!K94)),'Price History'!K94=0),"",'Price History'!K95/'Price History'!K94-1),"")</f>
        <v>0.10417732310315442</v>
      </c>
      <c r="L94" s="82">
        <f>IFERROR(IF(OR(NOT(ISNUMBER('Price History'!L95)),NOT(ISNUMBER('Price History'!L94)),'Price History'!L94=0),"",'Price History'!L95/'Price History'!L94-1),"")</f>
        <v>0.10027192386131878</v>
      </c>
      <c r="M94" s="82">
        <f>IFERROR(IF(OR(NOT(ISNUMBER('Price History'!M95)),NOT(ISNUMBER('Price History'!M94)),'Price History'!M94=0),"",'Price History'!M95/'Price History'!M94-1),"")</f>
        <v>0.12736551137571772</v>
      </c>
      <c r="N94" s="82">
        <f>IFERROR(IF(OR(NOT(ISNUMBER('Price History'!N95)),NOT(ISNUMBER('Price History'!N94)),'Price History'!N94=0),"",'Price History'!N95/'Price History'!N94-1),"")</f>
        <v>3.2141932751358793E-2</v>
      </c>
      <c r="O94" s="82">
        <f>IFERROR(IF(OR(NOT(ISNUMBER('Price History'!O95)),NOT(ISNUMBER('Price History'!O94)),'Price History'!O94=0),"",'Price History'!O95/'Price History'!O94-1),"")</f>
        <v>4.8896081377875378E-2</v>
      </c>
      <c r="P94" s="82" t="str">
        <f>IFERROR(IF(OR(NOT(ISNUMBER('Price History'!P95)),NOT(ISNUMBER('Price History'!P94)),'Price History'!P94=0),"",'Price History'!P95/'Price History'!P94-1),"")</f>
        <v/>
      </c>
      <c r="Q94" s="82">
        <f>IFERROR(IF(OR(NOT(ISNUMBER('Price History'!Q95)),NOT(ISNUMBER('Price History'!Q94)),'Price History'!Q94=0),"",'Price History'!Q95/'Price History'!Q94-1),"")</f>
        <v>6.5558042852575937E-3</v>
      </c>
      <c r="R94" s="82">
        <f>IFERROR(IF(OR(NOT(ISNUMBER('Price History'!R95)),NOT(ISNUMBER('Price History'!R94)),'Price History'!R94=0),"",'Price History'!R95/'Price History'!R94-1),"")</f>
        <v>1.7238039899283297E-2</v>
      </c>
      <c r="S94" s="82">
        <f>IFERROR(IF(OR(NOT(ISNUMBER('Price History'!S95)),NOT(ISNUMBER('Price History'!S94)),'Price History'!S94=0),"",'Price History'!S95/'Price History'!S94-1),"")</f>
        <v>6.8237205523964173E-2</v>
      </c>
      <c r="T94" s="82">
        <f>IFERROR(IF(OR(NOT(ISNUMBER('Price History'!T95)),NOT(ISNUMBER('Price History'!T94)),'Price History'!T94=0),"",'Price History'!T95/'Price History'!T94-1),"")</f>
        <v>4.3113772455090071E-2</v>
      </c>
      <c r="U94" s="82" t="str">
        <f>IFERROR(IF(OR(NOT(ISNUMBER('Price History'!U95)),NOT(ISNUMBER('Price History'!U94)),'Price History'!U94=0),"",'Price History'!U95/'Price History'!U94-1),"")</f>
        <v/>
      </c>
      <c r="V94" s="83">
        <f>IFERROR(IF(OR(NOT(ISNUMBER('Price History'!V95)),NOT(ISNUMBER('Price History'!V94)),'Price History'!V94=0),"",'Price History'!V95/'Price History'!V94-1),"")</f>
        <v>3.7412135991966577E-2</v>
      </c>
      <c r="W94" s="84" t="str">
        <f>IFERROR('Price History'!B3+(INDEX('Price History'!B:B,MATCH(9.99E+307,'Price History'!$A:$A))-'Price History'!B3)*(ROW()-3)/(MATCH(9.99E+307,'Returns (Calc)'!$A:$A)-3),"")</f>
        <v/>
      </c>
      <c r="X94" s="84">
        <f>IFERROR('Price History'!C3+(INDEX('Price History'!C:C,MATCH(9.99E+307,'Price History'!$A:$A))-'Price History'!C3)*(ROW()-3)/(MATCH(9.99E+307,'Returns (Calc)'!$A:$A)-3),"")</f>
        <v>18.706415094339622</v>
      </c>
      <c r="Y94" s="84">
        <f>IFERROR('Price History'!D3+(INDEX('Price History'!D:D,MATCH(9.99E+307,'Price History'!$A:$A))-'Price History'!D3)*(ROW()-3)/(MATCH(9.99E+307,'Returns (Calc)'!$A:$A)-3),"")</f>
        <v>283.02540880503142</v>
      </c>
      <c r="Z94" s="84">
        <f>IFERROR('Price History'!E3+(INDEX('Price History'!E:E,MATCH(9.99E+307,'Price History'!$A:$A))-'Price History'!E3)*(ROW()-3)/(MATCH(9.99E+307,'Returns (Calc)'!$A:$A)-3),"")</f>
        <v>35.488301886792456</v>
      </c>
      <c r="AA94" s="84">
        <f>IFERROR('Price History'!F3+(INDEX('Price History'!F:F,MATCH(9.99E+307,'Price History'!$A:$A))-'Price History'!F3)*(ROW()-3)/(MATCH(9.99E+307,'Returns (Calc)'!$A:$A)-3),"")</f>
        <v>15.849559748427676</v>
      </c>
      <c r="AB94" s="84">
        <f>IFERROR('Price History'!G3+(INDEX('Price History'!G:G,MATCH(9.99E+307,'Price History'!$A:$A))-'Price History'!G3)*(ROW()-3)/(MATCH(9.99E+307,'Returns (Calc)'!$A:$A)-3),"")</f>
        <v>20.48553459119497</v>
      </c>
      <c r="AC94" s="84">
        <f>IFERROR('Price History'!H3+(INDEX('Price History'!H:H,MATCH(9.99E+307,'Price History'!$A:$A))-'Price History'!H3)*(ROW()-3)/(MATCH(9.99E+307,'Returns (Calc)'!$A:$A)-3),"")</f>
        <v>27.529308176100635</v>
      </c>
      <c r="AD94" s="84">
        <f>IFERROR('Price History'!I3+(INDEX('Price History'!I:I,MATCH(9.99E+307,'Price History'!$A:$A))-'Price History'!I3)*(ROW()-3)/(MATCH(9.99E+307,'Returns (Calc)'!$A:$A)-3),"")</f>
        <v>17.470440251572327</v>
      </c>
      <c r="AE94" s="84">
        <f>IFERROR('Price History'!J3+(INDEX('Price History'!J:J,MATCH(9.99E+307,'Price History'!$A:$A))-'Price History'!J3)*(ROW()-3)/(MATCH(9.99E+307,'Returns (Calc)'!$A:$A)-3),"")</f>
        <v>52.82188679245283</v>
      </c>
      <c r="AF94" s="84">
        <f>IFERROR('Price History'!K3+(INDEX('Price History'!K:K,MATCH(9.99E+307,'Price History'!$A:$A))-'Price History'!K3)*(ROW()-3)/(MATCH(9.99E+307,'Returns (Calc)'!$A:$A)-3),"")</f>
        <v>6.5904402515723284</v>
      </c>
      <c r="AG94" s="84">
        <f>IFERROR('Price History'!L3+(INDEX('Price History'!L:L,MATCH(9.99E+307,'Price History'!$A:$A))-'Price History'!L3)*(ROW()-3)/(MATCH(9.99E+307,'Returns (Calc)'!$A:$A)-3),"")</f>
        <v>39.341635220125781</v>
      </c>
      <c r="AH94" s="84">
        <f>IFERROR('Price History'!M3+(INDEX('Price History'!M:M,MATCH(9.99E+307,'Price History'!$A:$A))-'Price History'!M3)*(ROW()-3)/(MATCH(9.99E+307,'Returns (Calc)'!$A:$A)-3),"")</f>
        <v>14.33132075471698</v>
      </c>
      <c r="AI94" s="84">
        <f>IFERROR('Price History'!N3+(INDEX('Price History'!N:N,MATCH(9.99E+307,'Price History'!$A:$A))-'Price History'!N3)*(ROW()-3)/(MATCH(9.99E+307,'Returns (Calc)'!$A:$A)-3),"")</f>
        <v>149.62566037735849</v>
      </c>
      <c r="AJ94" s="84">
        <f>IFERROR('Price History'!O3+(INDEX('Price History'!O:O,MATCH(9.99E+307,'Price History'!$A:$A))-'Price History'!O3)*(ROW()-3)/(MATCH(9.99E+307,'Returns (Calc)'!$A:$A)-3),"")</f>
        <v>35.432704402515718</v>
      </c>
      <c r="AK94" s="84">
        <f>IFERROR('Price History'!Q3+(INDEX('Price History'!Q:Q,MATCH(9.99E+307,'Price History'!$A:$A))-'Price History'!Q3)*(ROW()-3)/(MATCH(9.99E+307,'Returns (Calc)'!$A:$A)-3),"")</f>
        <v>21.315220125786162</v>
      </c>
      <c r="AL94" s="84">
        <f>IFERROR('Price History'!R3+(INDEX('Price History'!R:R,MATCH(9.99E+307,'Price History'!$A:$A))-'Price History'!R3)*(ROW()-3)/(MATCH(9.99E+307,'Returns (Calc)'!$A:$A)-3),"")</f>
        <v>20.451320754716981</v>
      </c>
      <c r="AM94" s="84">
        <f>IFERROR('Price History'!S3+(INDEX('Price History'!S:S,MATCH(9.99E+307,'Price History'!$A:$A))-'Price History'!S3)*(ROW()-3)/(MATCH(9.99E+307,'Returns (Calc)'!$A:$A)-3),"")</f>
        <v>25.035974842767295</v>
      </c>
      <c r="AN94" s="84">
        <f>IFERROR('Price History'!T3+(INDEX('Price History'!T:T,MATCH(9.99E+307,'Price History'!$A:$A))-'Price History'!T3)*(ROW()-3)/(MATCH(9.99E+307,'Returns (Calc)'!$A:$A)-3),"")</f>
        <v>11.50867924528302</v>
      </c>
      <c r="AO94" s="85">
        <f>IFERROR('Price History'!V3+(INDEX('Price History'!V:V,MATCH(9.99E+307,'Price History'!$A:$A))-'Price History'!V3)*(ROW()-3)/(MATCH(9.99E+307,'Returns (Calc)'!$A:$A)-3),"")</f>
        <v>0</v>
      </c>
    </row>
    <row r="95" spans="1:41" ht="15" customHeight="1" x14ac:dyDescent="0.3">
      <c r="A95" s="81">
        <f>IF('Price History'!A96="","",'Price History'!A96)</f>
        <v>45800</v>
      </c>
      <c r="B95" s="82">
        <f>IFERROR(IF(OR(NOT(ISNUMBER('Price History'!B96)),NOT(ISNUMBER('Price History'!B95)),'Price History'!B95=0),"",'Price History'!B96/'Price History'!B95-1),"")</f>
        <v>-2.2630834512022635E-2</v>
      </c>
      <c r="C95" s="82">
        <f>IFERROR(IF(OR(NOT(ISNUMBER('Price History'!C96)),NOT(ISNUMBER('Price History'!C95)),'Price History'!C95=0),"",'Price History'!C96/'Price History'!C95-1),"")</f>
        <v>-5.4138145612943389E-2</v>
      </c>
      <c r="D95" s="82">
        <f>IFERROR(IF(OR(NOT(ISNUMBER('Price History'!D96)),NOT(ISNUMBER('Price History'!D95)),'Price History'!D95=0),"",'Price History'!D96/'Price History'!D95-1),"")</f>
        <v>-2.0866194359042911E-2</v>
      </c>
      <c r="E95" s="82">
        <f>IFERROR(IF(OR(NOT(ISNUMBER('Price History'!E96)),NOT(ISNUMBER('Price History'!E95)),'Price History'!E95=0),"",'Price History'!E96/'Price History'!E95-1),"")</f>
        <v>4.8116880276438678E-4</v>
      </c>
      <c r="F95" s="82">
        <f>IFERROR(IF(OR(NOT(ISNUMBER('Price History'!F96)),NOT(ISNUMBER('Price History'!F95)),'Price History'!F95=0),"",'Price History'!F96/'Price History'!F95-1),"")</f>
        <v>3.7151702786377916E-2</v>
      </c>
      <c r="G95" s="82">
        <f>IFERROR(IF(OR(NOT(ISNUMBER('Price History'!G96)),NOT(ISNUMBER('Price History'!G95)),'Price History'!G95=0),"",'Price History'!G96/'Price History'!G95-1),"")</f>
        <v>-4.2972699696663397E-2</v>
      </c>
      <c r="H95" s="82">
        <f>IFERROR(IF(OR(NOT(ISNUMBER('Price History'!H96)),NOT(ISNUMBER('Price History'!H95)),'Price History'!H95=0),"",'Price History'!H96/'Price History'!H95-1),"")</f>
        <v>-4.7244897959183629E-2</v>
      </c>
      <c r="I95" s="82">
        <f>IFERROR(IF(OR(NOT(ISNUMBER('Price History'!I96)),NOT(ISNUMBER('Price History'!I95)),'Price History'!I95=0),"",'Price History'!I96/'Price History'!I95-1),"")</f>
        <v>-3.0354505169867152E-2</v>
      </c>
      <c r="J95" s="82">
        <f>IFERROR(IF(OR(NOT(ISNUMBER('Price History'!J96)),NOT(ISNUMBER('Price History'!J95)),'Price History'!J95=0),"",'Price History'!J96/'Price History'!J95-1),"")</f>
        <v>-5.8887381275440909E-2</v>
      </c>
      <c r="K95" s="82">
        <f>IFERROR(IF(OR(NOT(ISNUMBER('Price History'!K96)),NOT(ISNUMBER('Price History'!K95)),'Price History'!K95=0),"",'Price History'!K96/'Price History'!K95-1),"")</f>
        <v>-4.7946263125386079E-2</v>
      </c>
      <c r="L95" s="82">
        <f>IFERROR(IF(OR(NOT(ISNUMBER('Price History'!L96)),NOT(ISNUMBER('Price History'!L95)),'Price History'!L95=0),"",'Price History'!L96/'Price History'!L95-1),"")</f>
        <v>-1.1533312738132073E-2</v>
      </c>
      <c r="M95" s="82">
        <f>IFERROR(IF(OR(NOT(ISNUMBER('Price History'!M96)),NOT(ISNUMBER('Price History'!M95)),'Price History'!M95=0),"",'Price History'!M96/'Price History'!M95-1),"")</f>
        <v>-1.791776688042257E-2</v>
      </c>
      <c r="N95" s="82">
        <f>IFERROR(IF(OR(NOT(ISNUMBER('Price History'!N96)),NOT(ISNUMBER('Price History'!N95)),'Price History'!N95=0),"",'Price History'!N96/'Price History'!N95-1),"")</f>
        <v>-6.041262965918115E-3</v>
      </c>
      <c r="O95" s="82">
        <f>IFERROR(IF(OR(NOT(ISNUMBER('Price History'!O96)),NOT(ISNUMBER('Price History'!O95)),'Price History'!O95=0),"",'Price History'!O96/'Price History'!O95-1),"")</f>
        <v>-4.0004408199250552E-2</v>
      </c>
      <c r="P95" s="82" t="str">
        <f>IFERROR(IF(OR(NOT(ISNUMBER('Price History'!P96)),NOT(ISNUMBER('Price History'!P95)),'Price History'!P95=0),"",'Price History'!P96/'Price History'!P95-1),"")</f>
        <v/>
      </c>
      <c r="Q95" s="82">
        <f>IFERROR(IF(OR(NOT(ISNUMBER('Price History'!Q96)),NOT(ISNUMBER('Price History'!Q95)),'Price History'!Q95=0),"",'Price History'!Q96/'Price History'!Q95-1),"")</f>
        <v>1.5885623510722979E-3</v>
      </c>
      <c r="R95" s="82">
        <f>IFERROR(IF(OR(NOT(ISNUMBER('Price History'!R96)),NOT(ISNUMBER('Price History'!R95)),'Price History'!R95=0),"",'Price History'!R96/'Price History'!R95-1),"")</f>
        <v>-9.1393754760091817E-3</v>
      </c>
      <c r="S95" s="82">
        <f>IFERROR(IF(OR(NOT(ISNUMBER('Price History'!S96)),NOT(ISNUMBER('Price History'!S95)),'Price History'!S95=0),"",'Price History'!S96/'Price History'!S95-1),"")</f>
        <v>-2.2338403041825217E-2</v>
      </c>
      <c r="T95" s="82">
        <f>IFERROR(IF(OR(NOT(ISNUMBER('Price History'!T96)),NOT(ISNUMBER('Price History'!T95)),'Price History'!T95=0),"",'Price History'!T96/'Price History'!T95-1),"")</f>
        <v>-3.4730195177956391E-2</v>
      </c>
      <c r="U95" s="82" t="str">
        <f>IFERROR(IF(OR(NOT(ISNUMBER('Price History'!U96)),NOT(ISNUMBER('Price History'!U95)),'Price History'!U95=0),"",'Price History'!U96/'Price History'!U95-1),"")</f>
        <v/>
      </c>
      <c r="V95" s="83">
        <f>IFERROR(IF(OR(NOT(ISNUMBER('Price History'!V96)),NOT(ISNUMBER('Price History'!V95)),'Price History'!V95=0),"",'Price History'!V96/'Price History'!V95-1),"")</f>
        <v>-3.1721009983683102E-2</v>
      </c>
      <c r="W95" s="84" t="str">
        <f>IFERROR('Price History'!B3+(INDEX('Price History'!B:B,MATCH(9.99E+307,'Price History'!$A:$A))-'Price History'!B3)*(ROW()-3)/(MATCH(9.99E+307,'Returns (Calc)'!$A:$A)-3),"")</f>
        <v/>
      </c>
      <c r="X95" s="84">
        <f>IFERROR('Price History'!C3+(INDEX('Price History'!C:C,MATCH(9.99E+307,'Price History'!$A:$A))-'Price History'!C3)*(ROW()-3)/(MATCH(9.99E+307,'Returns (Calc)'!$A:$A)-3),"")</f>
        <v>18.431320754716982</v>
      </c>
      <c r="Y95" s="84">
        <f>IFERROR('Price History'!D3+(INDEX('Price History'!D:D,MATCH(9.99E+307,'Price History'!$A:$A))-'Price History'!D3)*(ROW()-3)/(MATCH(9.99E+307,'Returns (Calc)'!$A:$A)-3),"")</f>
        <v>278.8632704402516</v>
      </c>
      <c r="Z95" s="84">
        <f>IFERROR('Price History'!E3+(INDEX('Price History'!E:E,MATCH(9.99E+307,'Price History'!$A:$A))-'Price History'!E3)*(ROW()-3)/(MATCH(9.99E+307,'Returns (Calc)'!$A:$A)-3),"")</f>
        <v>34.966415094339624</v>
      </c>
      <c r="AA95" s="84">
        <f>IFERROR('Price History'!F3+(INDEX('Price History'!F:F,MATCH(9.99E+307,'Price History'!$A:$A))-'Price History'!F3)*(ROW()-3)/(MATCH(9.99E+307,'Returns (Calc)'!$A:$A)-3),"")</f>
        <v>15.616477987421383</v>
      </c>
      <c r="AB95" s="84">
        <f>IFERROR('Price History'!G3+(INDEX('Price History'!G:G,MATCH(9.99E+307,'Price History'!$A:$A))-'Price History'!G3)*(ROW()-3)/(MATCH(9.99E+307,'Returns (Calc)'!$A:$A)-3),"")</f>
        <v>20.184276729559745</v>
      </c>
      <c r="AC95" s="84">
        <f>IFERROR('Price History'!H3+(INDEX('Price History'!H:H,MATCH(9.99E+307,'Price History'!$A:$A))-'Price History'!H3)*(ROW()-3)/(MATCH(9.99E+307,'Returns (Calc)'!$A:$A)-3),"")</f>
        <v>27.12446540880503</v>
      </c>
      <c r="AD95" s="84">
        <f>IFERROR('Price History'!I3+(INDEX('Price History'!I:I,MATCH(9.99E+307,'Price History'!$A:$A))-'Price History'!I3)*(ROW()-3)/(MATCH(9.99E+307,'Returns (Calc)'!$A:$A)-3),"")</f>
        <v>17.213522012578615</v>
      </c>
      <c r="AE95" s="84">
        <f>IFERROR('Price History'!J3+(INDEX('Price History'!J:J,MATCH(9.99E+307,'Price History'!$A:$A))-'Price History'!J3)*(ROW()-3)/(MATCH(9.99E+307,'Returns (Calc)'!$A:$A)-3),"")</f>
        <v>52.045094339622651</v>
      </c>
      <c r="AF95" s="84">
        <f>IFERROR('Price History'!K3+(INDEX('Price History'!K:K,MATCH(9.99E+307,'Price History'!$A:$A))-'Price History'!K3)*(ROW()-3)/(MATCH(9.99E+307,'Returns (Calc)'!$A:$A)-3),"")</f>
        <v>6.4935220125786159</v>
      </c>
      <c r="AG95" s="84">
        <f>IFERROR('Price History'!L3+(INDEX('Price History'!L:L,MATCH(9.99E+307,'Price History'!$A:$A))-'Price History'!L3)*(ROW()-3)/(MATCH(9.99E+307,'Returns (Calc)'!$A:$A)-3),"")</f>
        <v>38.763081761006283</v>
      </c>
      <c r="AH95" s="84">
        <f>IFERROR('Price History'!M3+(INDEX('Price History'!M:M,MATCH(9.99E+307,'Price History'!$A:$A))-'Price History'!M3)*(ROW()-3)/(MATCH(9.99E+307,'Returns (Calc)'!$A:$A)-3),"")</f>
        <v>14.120566037735848</v>
      </c>
      <c r="AI95" s="84">
        <f>IFERROR('Price History'!N3+(INDEX('Price History'!N:N,MATCH(9.99E+307,'Price History'!$A:$A))-'Price History'!N3)*(ROW()-3)/(MATCH(9.99E+307,'Returns (Calc)'!$A:$A)-3),"")</f>
        <v>147.42528301886793</v>
      </c>
      <c r="AJ95" s="84">
        <f>IFERROR('Price History'!O3+(INDEX('Price History'!O:O,MATCH(9.99E+307,'Price History'!$A:$A))-'Price History'!O3)*(ROW()-3)/(MATCH(9.99E+307,'Returns (Calc)'!$A:$A)-3),"")</f>
        <v>34.911635220125781</v>
      </c>
      <c r="AK95" s="84">
        <f>IFERROR('Price History'!Q3+(INDEX('Price History'!Q:Q,MATCH(9.99E+307,'Price History'!$A:$A))-'Price History'!Q3)*(ROW()-3)/(MATCH(9.99E+307,'Returns (Calc)'!$A:$A)-3),"")</f>
        <v>21.001761006289307</v>
      </c>
      <c r="AL95" s="84">
        <f>IFERROR('Price History'!R3+(INDEX('Price History'!R:R,MATCH(9.99E+307,'Price History'!$A:$A))-'Price History'!R3)*(ROW()-3)/(MATCH(9.99E+307,'Returns (Calc)'!$A:$A)-3),"")</f>
        <v>20.150566037735853</v>
      </c>
      <c r="AM95" s="84">
        <f>IFERROR('Price History'!S3+(INDEX('Price History'!S:S,MATCH(9.99E+307,'Price History'!$A:$A))-'Price History'!S3)*(ROW()-3)/(MATCH(9.99E+307,'Returns (Calc)'!$A:$A)-3),"")</f>
        <v>24.667798742138359</v>
      </c>
      <c r="AN95" s="84">
        <f>IFERROR('Price History'!T3+(INDEX('Price History'!T:T,MATCH(9.99E+307,'Price History'!$A:$A))-'Price History'!T3)*(ROW()-3)/(MATCH(9.99E+307,'Returns (Calc)'!$A:$A)-3),"")</f>
        <v>11.339433962264152</v>
      </c>
      <c r="AO95" s="85">
        <f>IFERROR('Price History'!V3+(INDEX('Price History'!V:V,MATCH(9.99E+307,'Price History'!$A:$A))-'Price History'!V3)*(ROW()-3)/(MATCH(9.99E+307,'Returns (Calc)'!$A:$A)-3),"")</f>
        <v>0</v>
      </c>
    </row>
    <row r="96" spans="1:41" ht="15" customHeight="1" x14ac:dyDescent="0.3">
      <c r="A96" s="81">
        <f>IF('Price History'!A97="","",'Price History'!A97)</f>
        <v>45807</v>
      </c>
      <c r="B96" s="82">
        <f>IFERROR(IF(OR(NOT(ISNUMBER('Price History'!B97)),NOT(ISNUMBER('Price History'!B96)),'Price History'!B96=0),"",'Price History'!B97/'Price History'!B96-1),"")</f>
        <v>1.8151046137997007E-2</v>
      </c>
      <c r="C96" s="82">
        <f>IFERROR(IF(OR(NOT(ISNUMBER('Price History'!C97)),NOT(ISNUMBER('Price History'!C96)),'Price History'!C96=0),"",'Price History'!C97/'Price History'!C96-1),"")</f>
        <v>-5.0000000000000044E-2</v>
      </c>
      <c r="D96" s="82">
        <f>IFERROR(IF(OR(NOT(ISNUMBER('Price History'!D97)),NOT(ISNUMBER('Price History'!D96)),'Price History'!D96=0),"",'Price History'!D97/'Price History'!D96-1),"")</f>
        <v>5.8430831820228679E-3</v>
      </c>
      <c r="E96" s="82">
        <f>IFERROR(IF(OR(NOT(ISNUMBER('Price History'!E97)),NOT(ISNUMBER('Price History'!E96)),'Price History'!E96=0),"",'Price History'!E97/'Price History'!E96-1),"")</f>
        <v>5.8368310598111206E-2</v>
      </c>
      <c r="F96" s="82">
        <f>IFERROR(IF(OR(NOT(ISNUMBER('Price History'!F97)),NOT(ISNUMBER('Price History'!F96)),'Price History'!F96=0),"",'Price History'!F97/'Price History'!F96-1),"")</f>
        <v>3.4591747146619722E-2</v>
      </c>
      <c r="G96" s="82">
        <f>IFERROR(IF(OR(NOT(ISNUMBER('Price History'!G97)),NOT(ISNUMBER('Price History'!G96)),'Price History'!G96=0),"",'Price History'!G97/'Price History'!G96-1),"")</f>
        <v>-3.961965134706702E-4</v>
      </c>
      <c r="H96" s="82">
        <f>IFERROR(IF(OR(NOT(ISNUMBER('Price History'!H97)),NOT(ISNUMBER('Price History'!H96)),'Price History'!H96=0),"",'Price History'!H97/'Price History'!H96-1),"")</f>
        <v>1.1673985220091998E-2</v>
      </c>
      <c r="I96" s="82">
        <f>IFERROR(IF(OR(NOT(ISNUMBER('Price History'!I97)),NOT(ISNUMBER('Price History'!I96)),'Price History'!I96=0),"",'Price History'!I97/'Price History'!I96-1),"")</f>
        <v>2.924822911112801E-2</v>
      </c>
      <c r="J96" s="82">
        <f>IFERROR(IF(OR(NOT(ISNUMBER('Price History'!J97)),NOT(ISNUMBER('Price History'!J96)),'Price History'!J96=0),"",'Price History'!J97/'Price History'!J96-1),"")</f>
        <v>4.3829296424451991E-2</v>
      </c>
      <c r="K96" s="82">
        <f>IFERROR(IF(OR(NOT(ISNUMBER('Price History'!K97)),NOT(ISNUMBER('Price History'!K96)),'Price History'!K96=0),"",'Price History'!K97/'Price History'!K96-1),"")</f>
        <v>6.8688670829616383E-2</v>
      </c>
      <c r="L96" s="82">
        <f>IFERROR(IF(OR(NOT(ISNUMBER('Price History'!L97)),NOT(ISNUMBER('Price History'!L96)),'Price History'!L96=0),"",'Price History'!L97/'Price History'!L96-1),"")</f>
        <v>6.9798937389311533E-3</v>
      </c>
      <c r="M96" s="82">
        <f>IFERROR(IF(OR(NOT(ISNUMBER('Price History'!M97)),NOT(ISNUMBER('Price History'!M96)),'Price History'!M96=0),"",'Price History'!M97/'Price History'!M96-1),"")</f>
        <v>3.6393316689072419E-2</v>
      </c>
      <c r="N96" s="82">
        <f>IFERROR(IF(OR(NOT(ISNUMBER('Price History'!N97)),NOT(ISNUMBER('Price History'!N96)),'Price History'!N96=0),"",'Price History'!N97/'Price History'!N96-1),"")</f>
        <v>1.3876146788990962E-2</v>
      </c>
      <c r="O96" s="82">
        <f>IFERROR(IF(OR(NOT(ISNUMBER('Price History'!O97)),NOT(ISNUMBER('Price History'!O96)),'Price History'!O96=0),"",'Price History'!O97/'Price History'!O96-1),"")</f>
        <v>1.1709333027206892E-2</v>
      </c>
      <c r="P96" s="82" t="str">
        <f>IFERROR(IF(OR(NOT(ISNUMBER('Price History'!P97)),NOT(ISNUMBER('Price History'!P96)),'Price History'!P96=0),"",'Price History'!P97/'Price History'!P96-1),"")</f>
        <v/>
      </c>
      <c r="Q96" s="82">
        <f>IFERROR(IF(OR(NOT(ISNUMBER('Price History'!Q97)),NOT(ISNUMBER('Price History'!Q96)),'Price History'!Q96=0),"",'Price History'!Q97/'Price History'!Q96-1),"")</f>
        <v>3.4892942109436831E-3</v>
      </c>
      <c r="R96" s="82">
        <f>IFERROR(IF(OR(NOT(ISNUMBER('Price History'!R97)),NOT(ISNUMBER('Price History'!R96)),'Price History'!R96=0),"",'Price History'!R97/'Price History'!R96-1),"")</f>
        <v>1.1337432744043197E-2</v>
      </c>
      <c r="S96" s="82">
        <f>IFERROR(IF(OR(NOT(ISNUMBER('Price History'!S97)),NOT(ISNUMBER('Price History'!S96)),'Price History'!S96=0),"",'Price History'!S97/'Price History'!S96-1),"")</f>
        <v>2.4307243558580494E-2</v>
      </c>
      <c r="T96" s="82">
        <f>IFERROR(IF(OR(NOT(ISNUMBER('Price History'!T97)),NOT(ISNUMBER('Price History'!T96)),'Price History'!T96=0),"",'Price History'!T97/'Price History'!T96-1),"")</f>
        <v>7.7311923877489974E-3</v>
      </c>
      <c r="U96" s="82" t="str">
        <f>IFERROR(IF(OR(NOT(ISNUMBER('Price History'!U97)),NOT(ISNUMBER('Price History'!U96)),'Price History'!U96=0),"",'Price History'!U97/'Price History'!U96-1),"")</f>
        <v/>
      </c>
      <c r="V96" s="83">
        <f>IFERROR(IF(OR(NOT(ISNUMBER('Price History'!V97)),NOT(ISNUMBER('Price History'!V96)),'Price History'!V96=0),"",'Price History'!V97/'Price History'!V96-1),"")</f>
        <v>3.2960127956129348E-2</v>
      </c>
      <c r="W96" s="84" t="str">
        <f>IFERROR('Price History'!B3+(INDEX('Price History'!B:B,MATCH(9.99E+307,'Price History'!$A:$A))-'Price History'!B3)*(ROW()-3)/(MATCH(9.99E+307,'Returns (Calc)'!$A:$A)-3),"")</f>
        <v/>
      </c>
      <c r="X96" s="84">
        <f>IFERROR('Price History'!C3+(INDEX('Price History'!C:C,MATCH(9.99E+307,'Price History'!$A:$A))-'Price History'!C3)*(ROW()-3)/(MATCH(9.99E+307,'Returns (Calc)'!$A:$A)-3),"")</f>
        <v>18.156226415094341</v>
      </c>
      <c r="Y96" s="84">
        <f>IFERROR('Price History'!D3+(INDEX('Price History'!D:D,MATCH(9.99E+307,'Price History'!$A:$A))-'Price History'!D3)*(ROW()-3)/(MATCH(9.99E+307,'Returns (Calc)'!$A:$A)-3),"")</f>
        <v>274.70113207547166</v>
      </c>
      <c r="Z96" s="84">
        <f>IFERROR('Price History'!E3+(INDEX('Price History'!E:E,MATCH(9.99E+307,'Price History'!$A:$A))-'Price History'!E3)*(ROW()-3)/(MATCH(9.99E+307,'Returns (Calc)'!$A:$A)-3),"")</f>
        <v>34.444528301886791</v>
      </c>
      <c r="AA96" s="84">
        <f>IFERROR('Price History'!F3+(INDEX('Price History'!F:F,MATCH(9.99E+307,'Price History'!$A:$A))-'Price History'!F3)*(ROW()-3)/(MATCH(9.99E+307,'Returns (Calc)'!$A:$A)-3),"")</f>
        <v>15.383396226415094</v>
      </c>
      <c r="AB96" s="84">
        <f>IFERROR('Price History'!G3+(INDEX('Price History'!G:G,MATCH(9.99E+307,'Price History'!$A:$A))-'Price History'!G3)*(ROW()-3)/(MATCH(9.99E+307,'Returns (Calc)'!$A:$A)-3),"")</f>
        <v>19.883018867924527</v>
      </c>
      <c r="AC96" s="84">
        <f>IFERROR('Price History'!H3+(INDEX('Price History'!H:H,MATCH(9.99E+307,'Price History'!$A:$A))-'Price History'!H3)*(ROW()-3)/(MATCH(9.99E+307,'Returns (Calc)'!$A:$A)-3),"")</f>
        <v>26.719622641509432</v>
      </c>
      <c r="AD96" s="84">
        <f>IFERROR('Price History'!I3+(INDEX('Price History'!I:I,MATCH(9.99E+307,'Price History'!$A:$A))-'Price History'!I3)*(ROW()-3)/(MATCH(9.99E+307,'Returns (Calc)'!$A:$A)-3),"")</f>
        <v>16.956603773584906</v>
      </c>
      <c r="AE96" s="84">
        <f>IFERROR('Price History'!J3+(INDEX('Price History'!J:J,MATCH(9.99E+307,'Price History'!$A:$A))-'Price History'!J3)*(ROW()-3)/(MATCH(9.99E+307,'Returns (Calc)'!$A:$A)-3),"")</f>
        <v>51.268301886792457</v>
      </c>
      <c r="AF96" s="84">
        <f>IFERROR('Price History'!K3+(INDEX('Price History'!K:K,MATCH(9.99E+307,'Price History'!$A:$A))-'Price History'!K3)*(ROW()-3)/(MATCH(9.99E+307,'Returns (Calc)'!$A:$A)-3),"")</f>
        <v>6.3966037735849053</v>
      </c>
      <c r="AG96" s="84">
        <f>IFERROR('Price History'!L3+(INDEX('Price History'!L:L,MATCH(9.99E+307,'Price History'!$A:$A))-'Price History'!L3)*(ROW()-3)/(MATCH(9.99E+307,'Returns (Calc)'!$A:$A)-3),"")</f>
        <v>38.184528301886786</v>
      </c>
      <c r="AH96" s="84">
        <f>IFERROR('Price History'!M3+(INDEX('Price History'!M:M,MATCH(9.99E+307,'Price History'!$A:$A))-'Price History'!M3)*(ROW()-3)/(MATCH(9.99E+307,'Returns (Calc)'!$A:$A)-3),"")</f>
        <v>13.909811320754716</v>
      </c>
      <c r="AI96" s="84">
        <f>IFERROR('Price History'!N3+(INDEX('Price History'!N:N,MATCH(9.99E+307,'Price History'!$A:$A))-'Price History'!N3)*(ROW()-3)/(MATCH(9.99E+307,'Returns (Calc)'!$A:$A)-3),"")</f>
        <v>145.22490566037737</v>
      </c>
      <c r="AJ96" s="84">
        <f>IFERROR('Price History'!O3+(INDEX('Price History'!O:O,MATCH(9.99E+307,'Price History'!$A:$A))-'Price History'!O3)*(ROW()-3)/(MATCH(9.99E+307,'Returns (Calc)'!$A:$A)-3),"")</f>
        <v>34.390566037735844</v>
      </c>
      <c r="AK96" s="84">
        <f>IFERROR('Price History'!Q3+(INDEX('Price History'!Q:Q,MATCH(9.99E+307,'Price History'!$A:$A))-'Price History'!Q3)*(ROW()-3)/(MATCH(9.99E+307,'Returns (Calc)'!$A:$A)-3),"")</f>
        <v>20.688301886792456</v>
      </c>
      <c r="AL96" s="84">
        <f>IFERROR('Price History'!R3+(INDEX('Price History'!R:R,MATCH(9.99E+307,'Price History'!$A:$A))-'Price History'!R3)*(ROW()-3)/(MATCH(9.99E+307,'Returns (Calc)'!$A:$A)-3),"")</f>
        <v>19.849811320754714</v>
      </c>
      <c r="AM96" s="84">
        <f>IFERROR('Price History'!S3+(INDEX('Price History'!S:S,MATCH(9.99E+307,'Price History'!$A:$A))-'Price History'!S3)*(ROW()-3)/(MATCH(9.99E+307,'Returns (Calc)'!$A:$A)-3),"")</f>
        <v>24.29962264150943</v>
      </c>
      <c r="AN96" s="84">
        <f>IFERROR('Price History'!T3+(INDEX('Price History'!T:T,MATCH(9.99E+307,'Price History'!$A:$A))-'Price History'!T3)*(ROW()-3)/(MATCH(9.99E+307,'Returns (Calc)'!$A:$A)-3),"")</f>
        <v>11.170188679245282</v>
      </c>
      <c r="AO96" s="85">
        <f>IFERROR('Price History'!V3+(INDEX('Price History'!V:V,MATCH(9.99E+307,'Price History'!$A:$A))-'Price History'!V3)*(ROW()-3)/(MATCH(9.99E+307,'Returns (Calc)'!$A:$A)-3),"")</f>
        <v>0</v>
      </c>
    </row>
    <row r="97" spans="1:41" ht="15" customHeight="1" x14ac:dyDescent="0.3">
      <c r="A97" s="81">
        <f>IF('Price History'!A98="","",'Price History'!A98)</f>
        <v>45814</v>
      </c>
      <c r="B97" s="82">
        <f>IFERROR(IF(OR(NOT(ISNUMBER('Price History'!B98)),NOT(ISNUMBER('Price History'!B97)),'Price History'!B97=0),"",'Price History'!B98/'Price History'!B97-1),"")</f>
        <v>4.4086824544076197E-3</v>
      </c>
      <c r="C97" s="82">
        <f>IFERROR(IF(OR(NOT(ISNUMBER('Price History'!C98)),NOT(ISNUMBER('Price History'!C97)),'Price History'!C97=0),"",'Price History'!C98/'Price History'!C97-1),"")</f>
        <v>0.12246075715604809</v>
      </c>
      <c r="D97" s="82">
        <f>IFERROR(IF(OR(NOT(ISNUMBER('Price History'!D98)),NOT(ISNUMBER('Price History'!D97)),'Price History'!D97=0),"",'Price History'!D98/'Price History'!D97-1),"")</f>
        <v>2.2055729739267393E-2</v>
      </c>
      <c r="E97" s="82">
        <f>IFERROR(IF(OR(NOT(ISNUMBER('Price History'!E98)),NOT(ISNUMBER('Price History'!E97)),'Price History'!E97=0),"",'Price History'!E98/'Price History'!E97-1),"")</f>
        <v>2.0076837278473203E-2</v>
      </c>
      <c r="F97" s="82">
        <f>IFERROR(IF(OR(NOT(ISNUMBER('Price History'!F98)),NOT(ISNUMBER('Price History'!F97)),'Price History'!F97=0),"",'Price History'!F98/'Price History'!F97-1),"")</f>
        <v>-6.2797012898846427E-3</v>
      </c>
      <c r="G97" s="82">
        <f>IFERROR(IF(OR(NOT(ISNUMBER('Price History'!G98)),NOT(ISNUMBER('Price History'!G97)),'Price History'!G97=0),"",'Price History'!G98/'Price History'!G97-1),"")</f>
        <v>6.7512220901043696E-2</v>
      </c>
      <c r="H97" s="82">
        <f>IFERROR(IF(OR(NOT(ISNUMBER('Price History'!H98)),NOT(ISNUMBER('Price History'!H97)),'Price History'!H97=0),"",'Price History'!H98/'Price History'!H97-1),"")</f>
        <v>0.14926953207706983</v>
      </c>
      <c r="I97" s="82">
        <f>IFERROR(IF(OR(NOT(ISNUMBER('Price History'!I98)),NOT(ISNUMBER('Price History'!I97)),'Price History'!I97=0),"",'Price History'!I98/'Price History'!I97-1),"")</f>
        <v>4.8767853178420806E-2</v>
      </c>
      <c r="J97" s="82">
        <f>IFERROR(IF(OR(NOT(ISNUMBER('Price History'!J98)),NOT(ISNUMBER('Price History'!J97)),'Price History'!J97=0),"",'Price History'!J98/'Price History'!J97-1),"")</f>
        <v>1.7495395948434744E-3</v>
      </c>
      <c r="K97" s="82">
        <f>IFERROR(IF(OR(NOT(ISNUMBER('Price History'!K98)),NOT(ISNUMBER('Price History'!K97)),'Price History'!K97=0),"",'Price History'!K98/'Price History'!K97-1),"")</f>
        <v>-3.0808923964182777E-2</v>
      </c>
      <c r="L97" s="82">
        <f>IFERROR(IF(OR(NOT(ISNUMBER('Price History'!L98)),NOT(ISNUMBER('Price History'!L97)),'Price History'!L97=0),"",'Price History'!L98/'Price History'!L97-1),"")</f>
        <v>6.1349058555762559E-2</v>
      </c>
      <c r="M97" s="82">
        <f>IFERROR(IF(OR(NOT(ISNUMBER('Price History'!M98)),NOT(ISNUMBER('Price History'!M97)),'Price History'!M97=0),"",'Price History'!M98/'Price History'!M97-1),"")</f>
        <v>6.8840915408134862E-2</v>
      </c>
      <c r="N97" s="82">
        <f>IFERROR(IF(OR(NOT(ISNUMBER('Price History'!N98)),NOT(ISNUMBER('Price History'!N97)),'Price History'!N97=0),"",'Price History'!N98/'Price History'!N97-1),"")</f>
        <v>1.9115484673679406E-2</v>
      </c>
      <c r="O97" s="82">
        <f>IFERROR(IF(OR(NOT(ISNUMBER('Price History'!O98)),NOT(ISNUMBER('Price History'!O97)),'Price History'!O97=0),"",'Price History'!O98/'Price History'!O97-1),"")</f>
        <v>1.8495404516055913E-2</v>
      </c>
      <c r="P97" s="82" t="str">
        <f>IFERROR(IF(OR(NOT(ISNUMBER('Price History'!P98)),NOT(ISNUMBER('Price History'!P97)),'Price History'!P97=0),"",'Price History'!P98/'Price History'!P97-1),"")</f>
        <v/>
      </c>
      <c r="Q97" s="82">
        <f>IFERROR(IF(OR(NOT(ISNUMBER('Price History'!Q98)),NOT(ISNUMBER('Price History'!Q97)),'Price History'!Q97=0),"",'Price History'!Q98/'Price History'!Q97-1),"")</f>
        <v>2.2127390548443149E-3</v>
      </c>
      <c r="R97" s="82">
        <f>IFERROR(IF(OR(NOT(ISNUMBER('Price History'!R98)),NOT(ISNUMBER('Price History'!R97)),'Price History'!R97=0),"",'Price History'!R98/'Price History'!R97-1),"")</f>
        <v>1.3300399011970665E-3</v>
      </c>
      <c r="S97" s="82">
        <f>IFERROR(IF(OR(NOT(ISNUMBER('Price History'!S98)),NOT(ISNUMBER('Price History'!S97)),'Price History'!S97=0),"",'Price History'!S98/'Price History'!S97-1),"")</f>
        <v>1.4902705268153849E-2</v>
      </c>
      <c r="T97" s="82">
        <f>IFERROR(IF(OR(NOT(ISNUMBER('Price History'!T98)),NOT(ISNUMBER('Price History'!T97)),'Price History'!T97=0),"",'Price History'!T98/'Price History'!T97-1),"")</f>
        <v>2.3605783416936976E-2</v>
      </c>
      <c r="U97" s="82" t="str">
        <f>IFERROR(IF(OR(NOT(ISNUMBER('Price History'!U98)),NOT(ISNUMBER('Price History'!U97)),'Price History'!U97=0),"",'Price History'!U98/'Price History'!U97-1),"")</f>
        <v/>
      </c>
      <c r="V97" s="83">
        <f>IFERROR(IF(OR(NOT(ISNUMBER('Price History'!V98)),NOT(ISNUMBER('Price History'!V97)),'Price History'!V97=0),"",'Price History'!V98/'Price History'!V97-1),"")</f>
        <v>1.3769839075374657E-2</v>
      </c>
      <c r="W97" s="84" t="str">
        <f>IFERROR('Price History'!B3+(INDEX('Price History'!B:B,MATCH(9.99E+307,'Price History'!$A:$A))-'Price History'!B3)*(ROW()-3)/(MATCH(9.99E+307,'Returns (Calc)'!$A:$A)-3),"")</f>
        <v/>
      </c>
      <c r="X97" s="84">
        <f>IFERROR('Price History'!C3+(INDEX('Price History'!C:C,MATCH(9.99E+307,'Price History'!$A:$A))-'Price History'!C3)*(ROW()-3)/(MATCH(9.99E+307,'Returns (Calc)'!$A:$A)-3),"")</f>
        <v>17.881132075471697</v>
      </c>
      <c r="Y97" s="84">
        <f>IFERROR('Price History'!D3+(INDEX('Price History'!D:D,MATCH(9.99E+307,'Price History'!$A:$A))-'Price History'!D3)*(ROW()-3)/(MATCH(9.99E+307,'Returns (Calc)'!$A:$A)-3),"")</f>
        <v>270.53899371069178</v>
      </c>
      <c r="Z97" s="84">
        <f>IFERROR('Price History'!E3+(INDEX('Price History'!E:E,MATCH(9.99E+307,'Price History'!$A:$A))-'Price History'!E3)*(ROW()-3)/(MATCH(9.99E+307,'Returns (Calc)'!$A:$A)-3),"")</f>
        <v>33.922641509433959</v>
      </c>
      <c r="AA97" s="84">
        <f>IFERROR('Price History'!F3+(INDEX('Price History'!F:F,MATCH(9.99E+307,'Price History'!$A:$A))-'Price History'!F3)*(ROW()-3)/(MATCH(9.99E+307,'Returns (Calc)'!$A:$A)-3),"")</f>
        <v>15.150314465408805</v>
      </c>
      <c r="AB97" s="84">
        <f>IFERROR('Price History'!G3+(INDEX('Price History'!G:G,MATCH(9.99E+307,'Price History'!$A:$A))-'Price History'!G3)*(ROW()-3)/(MATCH(9.99E+307,'Returns (Calc)'!$A:$A)-3),"")</f>
        <v>19.581761006289309</v>
      </c>
      <c r="AC97" s="84">
        <f>IFERROR('Price History'!H3+(INDEX('Price History'!H:H,MATCH(9.99E+307,'Price History'!$A:$A))-'Price History'!H3)*(ROW()-3)/(MATCH(9.99E+307,'Returns (Calc)'!$A:$A)-3),"")</f>
        <v>26.314779874213833</v>
      </c>
      <c r="AD97" s="84">
        <f>IFERROR('Price History'!I3+(INDEX('Price History'!I:I,MATCH(9.99E+307,'Price History'!$A:$A))-'Price History'!I3)*(ROW()-3)/(MATCH(9.99E+307,'Returns (Calc)'!$A:$A)-3),"")</f>
        <v>16.699685534591197</v>
      </c>
      <c r="AE97" s="84">
        <f>IFERROR('Price History'!J3+(INDEX('Price History'!J:J,MATCH(9.99E+307,'Price History'!$A:$A))-'Price History'!J3)*(ROW()-3)/(MATCH(9.99E+307,'Returns (Calc)'!$A:$A)-3),"")</f>
        <v>50.491509433962264</v>
      </c>
      <c r="AF97" s="84">
        <f>IFERROR('Price History'!K3+(INDEX('Price History'!K:K,MATCH(9.99E+307,'Price History'!$A:$A))-'Price History'!K3)*(ROW()-3)/(MATCH(9.99E+307,'Returns (Calc)'!$A:$A)-3),"")</f>
        <v>6.2996855345911946</v>
      </c>
      <c r="AG97" s="84">
        <f>IFERROR('Price History'!L3+(INDEX('Price History'!L:L,MATCH(9.99E+307,'Price History'!$A:$A))-'Price History'!L3)*(ROW()-3)/(MATCH(9.99E+307,'Returns (Calc)'!$A:$A)-3),"")</f>
        <v>37.605974842767296</v>
      </c>
      <c r="AH97" s="84">
        <f>IFERROR('Price History'!M3+(INDEX('Price History'!M:M,MATCH(9.99E+307,'Price History'!$A:$A))-'Price History'!M3)*(ROW()-3)/(MATCH(9.99E+307,'Returns (Calc)'!$A:$A)-3),"")</f>
        <v>13.699056603773585</v>
      </c>
      <c r="AI97" s="84">
        <f>IFERROR('Price History'!N3+(INDEX('Price History'!N:N,MATCH(9.99E+307,'Price History'!$A:$A))-'Price History'!N3)*(ROW()-3)/(MATCH(9.99E+307,'Returns (Calc)'!$A:$A)-3),"")</f>
        <v>143.02452830188679</v>
      </c>
      <c r="AJ97" s="84">
        <f>IFERROR('Price History'!O3+(INDEX('Price History'!O:O,MATCH(9.99E+307,'Price History'!$A:$A))-'Price History'!O3)*(ROW()-3)/(MATCH(9.99E+307,'Returns (Calc)'!$A:$A)-3),"")</f>
        <v>33.869496855345908</v>
      </c>
      <c r="AK97" s="84">
        <f>IFERROR('Price History'!Q3+(INDEX('Price History'!Q:Q,MATCH(9.99E+307,'Price History'!$A:$A))-'Price History'!Q3)*(ROW()-3)/(MATCH(9.99E+307,'Returns (Calc)'!$A:$A)-3),"")</f>
        <v>20.374842767295601</v>
      </c>
      <c r="AL97" s="84">
        <f>IFERROR('Price History'!R3+(INDEX('Price History'!R:R,MATCH(9.99E+307,'Price History'!$A:$A))-'Price History'!R3)*(ROW()-3)/(MATCH(9.99E+307,'Returns (Calc)'!$A:$A)-3),"")</f>
        <v>19.549056603773586</v>
      </c>
      <c r="AM97" s="84">
        <f>IFERROR('Price History'!S3+(INDEX('Price History'!S:S,MATCH(9.99E+307,'Price History'!$A:$A))-'Price History'!S3)*(ROW()-3)/(MATCH(9.99E+307,'Returns (Calc)'!$A:$A)-3),"")</f>
        <v>23.931446540880501</v>
      </c>
      <c r="AN97" s="84">
        <f>IFERROR('Price History'!T3+(INDEX('Price History'!T:T,MATCH(9.99E+307,'Price History'!$A:$A))-'Price History'!T3)*(ROW()-3)/(MATCH(9.99E+307,'Returns (Calc)'!$A:$A)-3),"")</f>
        <v>11.000943396226415</v>
      </c>
      <c r="AO97" s="85">
        <f>IFERROR('Price History'!V3+(INDEX('Price History'!V:V,MATCH(9.99E+307,'Price History'!$A:$A))-'Price History'!V3)*(ROW()-3)/(MATCH(9.99E+307,'Returns (Calc)'!$A:$A)-3),"")</f>
        <v>0</v>
      </c>
    </row>
    <row r="98" spans="1:41" ht="15" customHeight="1" x14ac:dyDescent="0.3">
      <c r="A98" s="81">
        <f>IF('Price History'!A99="","",'Price History'!A99)</f>
        <v>45821</v>
      </c>
      <c r="B98" s="82">
        <f>IFERROR(IF(OR(NOT(ISNUMBER('Price History'!B99)),NOT(ISNUMBER('Price History'!B98)),'Price History'!B98=0),"",'Price History'!B99/'Price History'!B98-1),"")</f>
        <v>-6.0539192171159995E-2</v>
      </c>
      <c r="C98" s="82">
        <f>IFERROR(IF(OR(NOT(ISNUMBER('Price History'!C99)),NOT(ISNUMBER('Price History'!C98)),'Price History'!C98=0),"",'Price History'!C99/'Price History'!C98-1),"")</f>
        <v>-5.0385604113110549E-2</v>
      </c>
      <c r="D98" s="82">
        <f>IFERROR(IF(OR(NOT(ISNUMBER('Price History'!D99)),NOT(ISNUMBER('Price History'!D98)),'Price History'!D98=0),"",'Price History'!D99/'Price History'!D98-1),"")</f>
        <v>1.0597328092215363E-2</v>
      </c>
      <c r="E98" s="82">
        <f>IFERROR(IF(OR(NOT(ISNUMBER('Price History'!E99)),NOT(ISNUMBER('Price History'!E98)),'Price History'!E98=0),"",'Price History'!E99/'Price History'!E98-1),"")</f>
        <v>7.1680233264486137E-3</v>
      </c>
      <c r="F98" s="82">
        <f>IFERROR(IF(OR(NOT(ISNUMBER('Price History'!F99)),NOT(ISNUMBER('Price History'!F98)),'Price History'!F98=0),"",'Price History'!F99/'Price History'!F98-1),"")</f>
        <v>2.6131511528608042E-2</v>
      </c>
      <c r="G98" s="82">
        <f>IFERROR(IF(OR(NOT(ISNUMBER('Price History'!G99)),NOT(ISNUMBER('Price History'!G98)),'Price History'!G98=0),"",'Price History'!G99/'Price History'!G98-1),"")</f>
        <v>7.3886138613861396E-2</v>
      </c>
      <c r="H98" s="82">
        <f>IFERROR(IF(OR(NOT(ISNUMBER('Price History'!H99)),NOT(ISNUMBER('Price History'!H98)),'Price History'!H98=0),"",'Price History'!H99/'Price History'!H98-1),"")</f>
        <v>6.4848931466469972E-2</v>
      </c>
      <c r="I98" s="82">
        <f>IFERROR(IF(OR(NOT(ISNUMBER('Price History'!I99)),NOT(ISNUMBER('Price History'!I98)),'Price History'!I98=0),"",'Price History'!I99/'Price History'!I98-1),"")</f>
        <v>1.7640417725091062E-3</v>
      </c>
      <c r="J98" s="82">
        <f>IFERROR(IF(OR(NOT(ISNUMBER('Price History'!J99)),NOT(ISNUMBER('Price History'!J98)),'Price History'!J98=0),"",'Price History'!J99/'Price History'!J98-1),"")</f>
        <v>-1.3879952201489187E-2</v>
      </c>
      <c r="K98" s="82">
        <f>IFERROR(IF(OR(NOT(ISNUMBER('Price History'!K99)),NOT(ISNUMBER('Price History'!K98)),'Price History'!K98=0),"",'Price History'!K99/'Price History'!K98-1),"")</f>
        <v>7.5790792358283898E-2</v>
      </c>
      <c r="L98" s="82">
        <f>IFERROR(IF(OR(NOT(ISNUMBER('Price History'!L99)),NOT(ISNUMBER('Price History'!L98)),'Price History'!L98=0),"",'Price History'!L99/'Price History'!L98-1),"")</f>
        <v>2.8852714689540759E-2</v>
      </c>
      <c r="M98" s="82">
        <f>IFERROR(IF(OR(NOT(ISNUMBER('Price History'!M99)),NOT(ISNUMBER('Price History'!M98)),'Price History'!M98=0),"",'Price History'!M99/'Price History'!M98-1),"")</f>
        <v>-3.8054785020804394E-2</v>
      </c>
      <c r="N98" s="82">
        <f>IFERROR(IF(OR(NOT(ISNUMBER('Price History'!N99)),NOT(ISNUMBER('Price History'!N98)),'Price History'!N98=0),"",'Price History'!N99/'Price History'!N98-1),"")</f>
        <v>1.0987791342952358E-2</v>
      </c>
      <c r="O98" s="82">
        <f>IFERROR(IF(OR(NOT(ISNUMBER('Price History'!O99)),NOT(ISNUMBER('Price History'!O98)),'Price History'!O98=0),"",'Price History'!O99/'Price History'!O98-1),"")</f>
        <v>-6.0160427807487427E-3</v>
      </c>
      <c r="P98" s="82" t="str">
        <f>IFERROR(IF(OR(NOT(ISNUMBER('Price History'!P99)),NOT(ISNUMBER('Price History'!P98)),'Price History'!P98=0),"",'Price History'!P99/'Price History'!P98-1),"")</f>
        <v/>
      </c>
      <c r="Q98" s="82">
        <f>IFERROR(IF(OR(NOT(ISNUMBER('Price History'!Q99)),NOT(ISNUMBER('Price History'!Q98)),'Price History'!Q98=0),"",'Price History'!Q99/'Price History'!Q98-1),"")</f>
        <v>-1.0408452925406042E-2</v>
      </c>
      <c r="R98" s="82">
        <f>IFERROR(IF(OR(NOT(ISNUMBER('Price History'!R99)),NOT(ISNUMBER('Price History'!R98)),'Price History'!R98=0),"",'Price History'!R99/'Price History'!R98-1),"")</f>
        <v>-2.0872865275142205E-3</v>
      </c>
      <c r="S98" s="82">
        <f>IFERROR(IF(OR(NOT(ISNUMBER('Price History'!S99)),NOT(ISNUMBER('Price History'!S98)),'Price History'!S98=0),"",'Price History'!S99/'Price History'!S98-1),"")</f>
        <v>-7.108118219229409E-3</v>
      </c>
      <c r="T98" s="82">
        <f>IFERROR(IF(OR(NOT(ISNUMBER('Price History'!T99)),NOT(ISNUMBER('Price History'!T98)),'Price History'!T98=0),"",'Price History'!T99/'Price History'!T98-1),"")</f>
        <v>1.0954165465552057E-2</v>
      </c>
      <c r="U98" s="82" t="str">
        <f>IFERROR(IF(OR(NOT(ISNUMBER('Price History'!U99)),NOT(ISNUMBER('Price History'!U98)),'Price History'!U98=0),"",'Price History'!U99/'Price History'!U98-1),"")</f>
        <v/>
      </c>
      <c r="V98" s="83">
        <f>IFERROR(IF(OR(NOT(ISNUMBER('Price History'!V99)),NOT(ISNUMBER('Price History'!V98)),'Price History'!V98=0),"",'Price History'!V99/'Price History'!V98-1),"")</f>
        <v>-4.691250272747105E-2</v>
      </c>
      <c r="W98" s="84" t="str">
        <f>IFERROR('Price History'!B3+(INDEX('Price History'!B:B,MATCH(9.99E+307,'Price History'!$A:$A))-'Price History'!B3)*(ROW()-3)/(MATCH(9.99E+307,'Returns (Calc)'!$A:$A)-3),"")</f>
        <v/>
      </c>
      <c r="X98" s="84">
        <f>IFERROR('Price History'!C3+(INDEX('Price History'!C:C,MATCH(9.99E+307,'Price History'!$A:$A))-'Price History'!C3)*(ROW()-3)/(MATCH(9.99E+307,'Returns (Calc)'!$A:$A)-3),"")</f>
        <v>17.606037735849057</v>
      </c>
      <c r="Y98" s="84">
        <f>IFERROR('Price History'!D3+(INDEX('Price History'!D:D,MATCH(9.99E+307,'Price History'!$A:$A))-'Price History'!D3)*(ROW()-3)/(MATCH(9.99E+307,'Returns (Calc)'!$A:$A)-3),"")</f>
        <v>266.37685534591191</v>
      </c>
      <c r="Z98" s="84">
        <f>IFERROR('Price History'!E3+(INDEX('Price History'!E:E,MATCH(9.99E+307,'Price History'!$A:$A))-'Price History'!E3)*(ROW()-3)/(MATCH(9.99E+307,'Returns (Calc)'!$A:$A)-3),"")</f>
        <v>33.400754716981133</v>
      </c>
      <c r="AA98" s="84">
        <f>IFERROR('Price History'!F3+(INDEX('Price History'!F:F,MATCH(9.99E+307,'Price History'!$A:$A))-'Price History'!F3)*(ROW()-3)/(MATCH(9.99E+307,'Returns (Calc)'!$A:$A)-3),"")</f>
        <v>14.917232704402515</v>
      </c>
      <c r="AB98" s="84">
        <f>IFERROR('Price History'!G3+(INDEX('Price History'!G:G,MATCH(9.99E+307,'Price History'!$A:$A))-'Price History'!G3)*(ROW()-3)/(MATCH(9.99E+307,'Returns (Calc)'!$A:$A)-3),"")</f>
        <v>19.280503144654087</v>
      </c>
      <c r="AC98" s="84">
        <f>IFERROR('Price History'!H3+(INDEX('Price History'!H:H,MATCH(9.99E+307,'Price History'!$A:$A))-'Price History'!H3)*(ROW()-3)/(MATCH(9.99E+307,'Returns (Calc)'!$A:$A)-3),"")</f>
        <v>25.909937106918242</v>
      </c>
      <c r="AD98" s="84">
        <f>IFERROR('Price History'!I3+(INDEX('Price History'!I:I,MATCH(9.99E+307,'Price History'!$A:$A))-'Price History'!I3)*(ROW()-3)/(MATCH(9.99E+307,'Returns (Calc)'!$A:$A)-3),"")</f>
        <v>16.442767295597484</v>
      </c>
      <c r="AE98" s="84">
        <f>IFERROR('Price History'!J3+(INDEX('Price History'!J:J,MATCH(9.99E+307,'Price History'!$A:$A))-'Price History'!J3)*(ROW()-3)/(MATCH(9.99E+307,'Returns (Calc)'!$A:$A)-3),"")</f>
        <v>49.714716981132071</v>
      </c>
      <c r="AF98" s="84">
        <f>IFERROR('Price History'!K3+(INDEX('Price History'!K:K,MATCH(9.99E+307,'Price History'!$A:$A))-'Price History'!K3)*(ROW()-3)/(MATCH(9.99E+307,'Returns (Calc)'!$A:$A)-3),"")</f>
        <v>6.202767295597484</v>
      </c>
      <c r="AG98" s="84">
        <f>IFERROR('Price History'!L3+(INDEX('Price History'!L:L,MATCH(9.99E+307,'Price History'!$A:$A))-'Price History'!L3)*(ROW()-3)/(MATCH(9.99E+307,'Returns (Calc)'!$A:$A)-3),"")</f>
        <v>37.027421383647798</v>
      </c>
      <c r="AH98" s="84">
        <f>IFERROR('Price History'!M3+(INDEX('Price History'!M:M,MATCH(9.99E+307,'Price History'!$A:$A))-'Price History'!M3)*(ROW()-3)/(MATCH(9.99E+307,'Returns (Calc)'!$A:$A)-3),"")</f>
        <v>13.488301886792453</v>
      </c>
      <c r="AI98" s="84">
        <f>IFERROR('Price History'!N3+(INDEX('Price History'!N:N,MATCH(9.99E+307,'Price History'!$A:$A))-'Price History'!N3)*(ROW()-3)/(MATCH(9.99E+307,'Returns (Calc)'!$A:$A)-3),"")</f>
        <v>140.82415094339621</v>
      </c>
      <c r="AJ98" s="84">
        <f>IFERROR('Price History'!O3+(INDEX('Price History'!O:O,MATCH(9.99E+307,'Price History'!$A:$A))-'Price History'!O3)*(ROW()-3)/(MATCH(9.99E+307,'Returns (Calc)'!$A:$A)-3),"")</f>
        <v>33.348427672955978</v>
      </c>
      <c r="AK98" s="84">
        <f>IFERROR('Price History'!Q3+(INDEX('Price History'!Q:Q,MATCH(9.99E+307,'Price History'!$A:$A))-'Price History'!Q3)*(ROW()-3)/(MATCH(9.99E+307,'Returns (Calc)'!$A:$A)-3),"")</f>
        <v>20.061383647798745</v>
      </c>
      <c r="AL98" s="84">
        <f>IFERROR('Price History'!R3+(INDEX('Price History'!R:R,MATCH(9.99E+307,'Price History'!$A:$A))-'Price History'!R3)*(ROW()-3)/(MATCH(9.99E+307,'Returns (Calc)'!$A:$A)-3),"")</f>
        <v>19.248301886792454</v>
      </c>
      <c r="AM98" s="84">
        <f>IFERROR('Price History'!S3+(INDEX('Price History'!S:S,MATCH(9.99E+307,'Price History'!$A:$A))-'Price History'!S3)*(ROW()-3)/(MATCH(9.99E+307,'Returns (Calc)'!$A:$A)-3),"")</f>
        <v>23.563270440251571</v>
      </c>
      <c r="AN98" s="84">
        <f>IFERROR('Price History'!T3+(INDEX('Price History'!T:T,MATCH(9.99E+307,'Price History'!$A:$A))-'Price History'!T3)*(ROW()-3)/(MATCH(9.99E+307,'Returns (Calc)'!$A:$A)-3),"")</f>
        <v>10.831698113207548</v>
      </c>
      <c r="AO98" s="85">
        <f>IFERROR('Price History'!V3+(INDEX('Price History'!V:V,MATCH(9.99E+307,'Price History'!$A:$A))-'Price History'!V3)*(ROW()-3)/(MATCH(9.99E+307,'Returns (Calc)'!$A:$A)-3),"")</f>
        <v>0</v>
      </c>
    </row>
    <row r="99" spans="1:41" ht="15" customHeight="1" x14ac:dyDescent="0.3">
      <c r="A99" s="81">
        <f>IF('Price History'!A100="","",'Price History'!A100)</f>
        <v>45828</v>
      </c>
      <c r="B99" s="82">
        <f>IFERROR(IF(OR(NOT(ISNUMBER('Price History'!B100)),NOT(ISNUMBER('Price History'!B99)),'Price History'!B99=0),"",'Price History'!B100/'Price History'!B99-1),"")</f>
        <v>-3.7683823529411686E-2</v>
      </c>
      <c r="C99" s="82">
        <f>IFERROR(IF(OR(NOT(ISNUMBER('Price History'!C100)),NOT(ISNUMBER('Price History'!C99)),'Price History'!C99=0),"",'Price History'!C100/'Price History'!C99-1),"")</f>
        <v>-6.6053059014618221E-2</v>
      </c>
      <c r="D99" s="82">
        <f>IFERROR(IF(OR(NOT(ISNUMBER('Price History'!D100)),NOT(ISNUMBER('Price History'!D99)),'Price History'!D99=0),"",'Price History'!D100/'Price History'!D99-1),"")</f>
        <v>-5.8738501971090651E-3</v>
      </c>
      <c r="E99" s="82">
        <f>IFERROR(IF(OR(NOT(ISNUMBER('Price History'!E100)),NOT(ISNUMBER('Price History'!E99)),'Price History'!E99=0),"",'Price History'!E100/'Price History'!E99-1),"")</f>
        <v>5.1869722557298381E-3</v>
      </c>
      <c r="F99" s="82">
        <f>IFERROR(IF(OR(NOT(ISNUMBER('Price History'!F100)),NOT(ISNUMBER('Price History'!F99)),'Price History'!F99=0),"",'Price History'!F100/'Price History'!F99-1),"")</f>
        <v>-8.9880159786950298E-3</v>
      </c>
      <c r="G99" s="82">
        <f>IFERROR(IF(OR(NOT(ISNUMBER('Price History'!G100)),NOT(ISNUMBER('Price History'!G99)),'Price History'!G99=0),"",'Price History'!G100/'Price History'!G99-1),"")</f>
        <v>-2.0398755330183205E-2</v>
      </c>
      <c r="H99" s="82">
        <f>IFERROR(IF(OR(NOT(ISNUMBER('Price History'!H100)),NOT(ISNUMBER('Price History'!H99)),'Price History'!H99=0),"",'Price History'!H100/'Price History'!H99-1),"")</f>
        <v>6.9204152249134898E-2</v>
      </c>
      <c r="I99" s="82">
        <f>IFERROR(IF(OR(NOT(ISNUMBER('Price History'!I100)),NOT(ISNUMBER('Price History'!I99)),'Price History'!I99=0),"",'Price History'!I100/'Price History'!I99-1),"")</f>
        <v>1.3242234274846831E-2</v>
      </c>
      <c r="J99" s="82">
        <f>IFERROR(IF(OR(NOT(ISNUMBER('Price History'!J100)),NOT(ISNUMBER('Price History'!J99)),'Price History'!J99=0),"",'Price History'!J100/'Price History'!J99-1),"")</f>
        <v>-1.4821029082774051E-2</v>
      </c>
      <c r="K99" s="82">
        <f>IFERROR(IF(OR(NOT(ISNUMBER('Price History'!K100)),NOT(ISNUMBER('Price History'!K99)),'Price History'!K99=0),"",'Price History'!K100/'Price History'!K99-1),"")</f>
        <v>-7.2780203784561515E-4</v>
      </c>
      <c r="L99" s="82">
        <f>IFERROR(IF(OR(NOT(ISNUMBER('Price History'!L100)),NOT(ISNUMBER('Price History'!L99)),'Price History'!L99=0),"",'Price History'!L100/'Price History'!L99-1),"")</f>
        <v>-7.531975367124577E-3</v>
      </c>
      <c r="M99" s="82">
        <f>IFERROR(IF(OR(NOT(ISNUMBER('Price History'!M100)),NOT(ISNUMBER('Price History'!M99)),'Price History'!M99=0),"",'Price History'!M100/'Price History'!M99-1),"")</f>
        <v>6.8216635126610914E-2</v>
      </c>
      <c r="N99" s="82">
        <f>IFERROR(IF(OR(NOT(ISNUMBER('Price History'!N100)),NOT(ISNUMBER('Price History'!N99)),'Price History'!N99=0),"",'Price History'!N100/'Price History'!N99-1),"")</f>
        <v>-3.2012295531891555E-2</v>
      </c>
      <c r="O99" s="82">
        <f>IFERROR(IF(OR(NOT(ISNUMBER('Price History'!O100)),NOT(ISNUMBER('Price History'!O99)),'Price History'!O99=0),"",'Price History'!O100/'Price History'!O99-1),"")</f>
        <v>1.6812373907195699E-3</v>
      </c>
      <c r="P99" s="82" t="str">
        <f>IFERROR(IF(OR(NOT(ISNUMBER('Price History'!P100)),NOT(ISNUMBER('Price History'!P99)),'Price History'!P99=0),"",'Price History'!P100/'Price History'!P99-1),"")</f>
        <v/>
      </c>
      <c r="Q99" s="82">
        <f>IFERROR(IF(OR(NOT(ISNUMBER('Price History'!Q100)),NOT(ISNUMBER('Price History'!Q99)),'Price History'!Q99=0),"",'Price History'!Q100/'Price History'!Q99-1),"")</f>
        <v>1.1474103585657369E-2</v>
      </c>
      <c r="R99" s="82">
        <f>IFERROR(IF(OR(NOT(ISNUMBER('Price History'!R100)),NOT(ISNUMBER('Price History'!R99)),'Price History'!R99=0),"",'Price History'!R100/'Price History'!R99-1),"")</f>
        <v>3.0424034987639459E-3</v>
      </c>
      <c r="S99" s="82">
        <f>IFERROR(IF(OR(NOT(ISNUMBER('Price History'!S100)),NOT(ISNUMBER('Price History'!S99)),'Price History'!S99=0),"",'Price History'!S100/'Price History'!S99-1),"")</f>
        <v>7.0648078372268497E-3</v>
      </c>
      <c r="T99" s="82">
        <f>IFERROR(IF(OR(NOT(ISNUMBER('Price History'!T100)),NOT(ISNUMBER('Price History'!T99)),'Price History'!T99=0),"",'Price History'!T100/'Price History'!T99-1),"")</f>
        <v>-1.1405759908753588E-3</v>
      </c>
      <c r="U99" s="82" t="str">
        <f>IFERROR(IF(OR(NOT(ISNUMBER('Price History'!U100)),NOT(ISNUMBER('Price History'!U99)),'Price History'!U99=0),"",'Price History'!U100/'Price History'!U99-1),"")</f>
        <v/>
      </c>
      <c r="V99" s="83">
        <f>IFERROR(IF(OR(NOT(ISNUMBER('Price History'!V100)),NOT(ISNUMBER('Price History'!V99)),'Price History'!V99=0),"",'Price History'!V100/'Price History'!V99-1),"")</f>
        <v>-4.0493360805860745E-2</v>
      </c>
      <c r="W99" s="84" t="str">
        <f>IFERROR('Price History'!B3+(INDEX('Price History'!B:B,MATCH(9.99E+307,'Price History'!$A:$A))-'Price History'!B3)*(ROW()-3)/(MATCH(9.99E+307,'Returns (Calc)'!$A:$A)-3),"")</f>
        <v/>
      </c>
      <c r="X99" s="84">
        <f>IFERROR('Price History'!C3+(INDEX('Price History'!C:C,MATCH(9.99E+307,'Price History'!$A:$A))-'Price History'!C3)*(ROW()-3)/(MATCH(9.99E+307,'Returns (Calc)'!$A:$A)-3),"")</f>
        <v>17.330943396226417</v>
      </c>
      <c r="Y99" s="84">
        <f>IFERROR('Price History'!D3+(INDEX('Price History'!D:D,MATCH(9.99E+307,'Price History'!$A:$A))-'Price History'!D3)*(ROW()-3)/(MATCH(9.99E+307,'Returns (Calc)'!$A:$A)-3),"")</f>
        <v>262.21471698113209</v>
      </c>
      <c r="Z99" s="84">
        <f>IFERROR('Price History'!E3+(INDEX('Price History'!E:E,MATCH(9.99E+307,'Price History'!$A:$A))-'Price History'!E3)*(ROW()-3)/(MATCH(9.99E+307,'Returns (Calc)'!$A:$A)-3),"")</f>
        <v>32.878867924528308</v>
      </c>
      <c r="AA99" s="84">
        <f>IFERROR('Price History'!F3+(INDEX('Price History'!F:F,MATCH(9.99E+307,'Price History'!$A:$A))-'Price History'!F3)*(ROW()-3)/(MATCH(9.99E+307,'Returns (Calc)'!$A:$A)-3),"")</f>
        <v>14.684150943396226</v>
      </c>
      <c r="AB99" s="84">
        <f>IFERROR('Price History'!G3+(INDEX('Price History'!G:G,MATCH(9.99E+307,'Price History'!$A:$A))-'Price History'!G3)*(ROW()-3)/(MATCH(9.99E+307,'Returns (Calc)'!$A:$A)-3),"")</f>
        <v>18.979245283018869</v>
      </c>
      <c r="AC99" s="84">
        <f>IFERROR('Price History'!H3+(INDEX('Price History'!H:H,MATCH(9.99E+307,'Price History'!$A:$A))-'Price History'!H3)*(ROW()-3)/(MATCH(9.99E+307,'Returns (Calc)'!$A:$A)-3),"")</f>
        <v>25.505094339622644</v>
      </c>
      <c r="AD99" s="84">
        <f>IFERROR('Price History'!I3+(INDEX('Price History'!I:I,MATCH(9.99E+307,'Price History'!$A:$A))-'Price History'!I3)*(ROW()-3)/(MATCH(9.99E+307,'Returns (Calc)'!$A:$A)-3),"")</f>
        <v>16.185849056603772</v>
      </c>
      <c r="AE99" s="84">
        <f>IFERROR('Price History'!J3+(INDEX('Price History'!J:J,MATCH(9.99E+307,'Price History'!$A:$A))-'Price History'!J3)*(ROW()-3)/(MATCH(9.99E+307,'Returns (Calc)'!$A:$A)-3),"")</f>
        <v>48.937924528301892</v>
      </c>
      <c r="AF99" s="84">
        <f>IFERROR('Price History'!K3+(INDEX('Price History'!K:K,MATCH(9.99E+307,'Price History'!$A:$A))-'Price History'!K3)*(ROW()-3)/(MATCH(9.99E+307,'Returns (Calc)'!$A:$A)-3),"")</f>
        <v>6.1058490566037733</v>
      </c>
      <c r="AG99" s="84">
        <f>IFERROR('Price History'!L3+(INDEX('Price History'!L:L,MATCH(9.99E+307,'Price History'!$A:$A))-'Price History'!L3)*(ROW()-3)/(MATCH(9.99E+307,'Returns (Calc)'!$A:$A)-3),"")</f>
        <v>36.448867924528301</v>
      </c>
      <c r="AH99" s="84">
        <f>IFERROR('Price History'!M3+(INDEX('Price History'!M:M,MATCH(9.99E+307,'Price History'!$A:$A))-'Price History'!M3)*(ROW()-3)/(MATCH(9.99E+307,'Returns (Calc)'!$A:$A)-3),"")</f>
        <v>13.277547169811317</v>
      </c>
      <c r="AI99" s="84">
        <f>IFERROR('Price History'!N3+(INDEX('Price History'!N:N,MATCH(9.99E+307,'Price History'!$A:$A))-'Price History'!N3)*(ROW()-3)/(MATCH(9.99E+307,'Returns (Calc)'!$A:$A)-3),"")</f>
        <v>138.62377358490568</v>
      </c>
      <c r="AJ99" s="84">
        <f>IFERROR('Price History'!O3+(INDEX('Price History'!O:O,MATCH(9.99E+307,'Price History'!$A:$A))-'Price History'!O3)*(ROW()-3)/(MATCH(9.99E+307,'Returns (Calc)'!$A:$A)-3),"")</f>
        <v>32.827358490566034</v>
      </c>
      <c r="AK99" s="84">
        <f>IFERROR('Price History'!Q3+(INDEX('Price History'!Q:Q,MATCH(9.99E+307,'Price History'!$A:$A))-'Price History'!Q3)*(ROW()-3)/(MATCH(9.99E+307,'Returns (Calc)'!$A:$A)-3),"")</f>
        <v>19.747924528301887</v>
      </c>
      <c r="AL99" s="84">
        <f>IFERROR('Price History'!R3+(INDEX('Price History'!R:R,MATCH(9.99E+307,'Price History'!$A:$A))-'Price History'!R3)*(ROW()-3)/(MATCH(9.99E+307,'Returns (Calc)'!$A:$A)-3),"")</f>
        <v>18.947547169811319</v>
      </c>
      <c r="AM99" s="84">
        <f>IFERROR('Price History'!S3+(INDEX('Price History'!S:S,MATCH(9.99E+307,'Price History'!$A:$A))-'Price History'!S3)*(ROW()-3)/(MATCH(9.99E+307,'Returns (Calc)'!$A:$A)-3),"")</f>
        <v>23.195094339622642</v>
      </c>
      <c r="AN99" s="84">
        <f>IFERROR('Price History'!T3+(INDEX('Price History'!T:T,MATCH(9.99E+307,'Price History'!$A:$A))-'Price History'!T3)*(ROW()-3)/(MATCH(9.99E+307,'Returns (Calc)'!$A:$A)-3),"")</f>
        <v>10.662452830188677</v>
      </c>
      <c r="AO99" s="85">
        <f>IFERROR('Price History'!V3+(INDEX('Price History'!V:V,MATCH(9.99E+307,'Price History'!$A:$A))-'Price History'!V3)*(ROW()-3)/(MATCH(9.99E+307,'Returns (Calc)'!$A:$A)-3),"")</f>
        <v>0</v>
      </c>
    </row>
    <row r="100" spans="1:41" ht="15" customHeight="1" x14ac:dyDescent="0.3">
      <c r="A100" s="81">
        <f>IF('Price History'!A101="","",'Price History'!A101)</f>
        <v>45835</v>
      </c>
      <c r="B100" s="82">
        <f>IFERROR(IF(OR(NOT(ISNUMBER('Price History'!B101)),NOT(ISNUMBER('Price History'!B100)),'Price History'!B100=0),"",'Price History'!B101/'Price History'!B100-1),"")</f>
        <v>2.3638968481375366E-2</v>
      </c>
      <c r="C100" s="82">
        <f>IFERROR(IF(OR(NOT(ISNUMBER('Price History'!C101)),NOT(ISNUMBER('Price History'!C100)),'Price History'!C100=0),"",'Price History'!C101/'Price History'!C100-1),"")</f>
        <v>0.15234782608695663</v>
      </c>
      <c r="D100" s="82">
        <f>IFERROR(IF(OR(NOT(ISNUMBER('Price History'!D101)),NOT(ISNUMBER('Price History'!D100)),'Price History'!D100=0),"",'Price History'!D101/'Price History'!D100-1),"")</f>
        <v>5.210632757458411E-2</v>
      </c>
      <c r="E100" s="82">
        <f>IFERROR(IF(OR(NOT(ISNUMBER('Price History'!E101)),NOT(ISNUMBER('Price History'!E100)),'Price History'!E100=0),"",'Price History'!E101/'Price History'!E100-1),"")</f>
        <v>7.7443097723909116E-2</v>
      </c>
      <c r="F100" s="82">
        <f>IFERROR(IF(OR(NOT(ISNUMBER('Price History'!F101)),NOT(ISNUMBER('Price History'!F100)),'Price History'!F100=0),"",'Price History'!F101/'Price History'!F100-1),"")</f>
        <v>4.8286865972455573E-2</v>
      </c>
      <c r="G100" s="82">
        <f>IFERROR(IF(OR(NOT(ISNUMBER('Price History'!G101)),NOT(ISNUMBER('Price History'!G100)),'Price History'!G100=0),"",'Price History'!G101/'Price History'!G100-1),"")</f>
        <v>4.6941176470588264E-2</v>
      </c>
      <c r="H100" s="82">
        <f>IFERROR(IF(OR(NOT(ISNUMBER('Price History'!H101)),NOT(ISNUMBER('Price History'!H100)),'Price History'!H100=0),"",'Price History'!H101/'Price History'!H100-1),"")</f>
        <v>9.3851132686084693E-3</v>
      </c>
      <c r="I100" s="82">
        <f>IFERROR(IF(OR(NOT(ISNUMBER('Price History'!I101)),NOT(ISNUMBER('Price History'!I100)),'Price History'!I100=0),"",'Price History'!I101/'Price History'!I100-1),"")</f>
        <v>9.6628432394855857E-2</v>
      </c>
      <c r="J100" s="82">
        <f>IFERROR(IF(OR(NOT(ISNUMBER('Price History'!J101)),NOT(ISNUMBER('Price History'!J100)),'Price History'!J100=0),"",'Price History'!J101/'Price History'!J100-1),"")</f>
        <v>-6.6231431545082931E-4</v>
      </c>
      <c r="K100" s="82">
        <f>IFERROR(IF(OR(NOT(ISNUMBER('Price History'!K101)),NOT(ISNUMBER('Price History'!K100)),'Price History'!K100=0),"",'Price History'!K101/'Price History'!K100-1),"")</f>
        <v>-4.7778587035688269E-2</v>
      </c>
      <c r="L100" s="82">
        <f>IFERROR(IF(OR(NOT(ISNUMBER('Price History'!L101)),NOT(ISNUMBER('Price History'!L100)),'Price History'!L100=0),"",'Price History'!L101/'Price History'!L100-1),"")</f>
        <v>9.0974177843539783E-2</v>
      </c>
      <c r="M100" s="82">
        <f>IFERROR(IF(OR(NOT(ISNUMBER('Price History'!M101)),NOT(ISNUMBER('Price History'!M100)),'Price History'!M100=0),"",'Price History'!M101/'Price History'!M100-1),"")</f>
        <v>7.2718069849839528E-2</v>
      </c>
      <c r="N100" s="82">
        <f>IFERROR(IF(OR(NOT(ISNUMBER('Price History'!N101)),NOT(ISNUMBER('Price History'!N100)),'Price History'!N100=0),"",'Price History'!N101/'Price History'!N100-1),"")</f>
        <v>9.7534420577494174E-4</v>
      </c>
      <c r="O100" s="82">
        <f>IFERROR(IF(OR(NOT(ISNUMBER('Price History'!O101)),NOT(ISNUMBER('Price History'!O100)),'Price History'!O100=0),"",'Price History'!O101/'Price History'!O100-1),"")</f>
        <v>2.058856439521084E-2</v>
      </c>
      <c r="P100" s="82" t="str">
        <f>IFERROR(IF(OR(NOT(ISNUMBER('Price History'!P101)),NOT(ISNUMBER('Price History'!P100)),'Price History'!P100=0),"",'Price History'!P101/'Price History'!P100-1),"")</f>
        <v/>
      </c>
      <c r="Q100" s="82">
        <f>IFERROR(IF(OR(NOT(ISNUMBER('Price History'!Q101)),NOT(ISNUMBER('Price History'!Q100)),'Price History'!Q100=0),"",'Price History'!Q101/'Price History'!Q100-1),"")</f>
        <v>7.4050732629589167E-3</v>
      </c>
      <c r="R100" s="82">
        <f>IFERROR(IF(OR(NOT(ISNUMBER('Price History'!R101)),NOT(ISNUMBER('Price History'!R100)),'Price History'!R100=0),"",'Price History'!R101/'Price History'!R100-1),"")</f>
        <v>2.8815165876777238E-2</v>
      </c>
      <c r="S100" s="82">
        <f>IFERROR(IF(OR(NOT(ISNUMBER('Price History'!S101)),NOT(ISNUMBER('Price History'!S100)),'Price History'!S100=0),"",'Price History'!S101/'Price History'!S100-1),"")</f>
        <v>4.6113553456178069E-2</v>
      </c>
      <c r="T100" s="82">
        <f>IFERROR(IF(OR(NOT(ISNUMBER('Price History'!T101)),NOT(ISNUMBER('Price History'!T100)),'Price History'!T100=0),"",'Price History'!T101/'Price History'!T100-1),"")</f>
        <v>8.5640879246360324E-3</v>
      </c>
      <c r="U100" s="82" t="str">
        <f>IFERROR(IF(OR(NOT(ISNUMBER('Price History'!U101)),NOT(ISNUMBER('Price History'!U100)),'Price History'!U100=0),"",'Price History'!U101/'Price History'!U100-1),"")</f>
        <v/>
      </c>
      <c r="V100" s="83">
        <f>IFERROR(IF(OR(NOT(ISNUMBER('Price History'!V101)),NOT(ISNUMBER('Price History'!V100)),'Price History'!V100=0),"",'Price History'!V101/'Price History'!V100-1),"")</f>
        <v>2.9675803036177673E-2</v>
      </c>
      <c r="W100" s="84" t="str">
        <f>IFERROR('Price History'!B3+(INDEX('Price History'!B:B,MATCH(9.99E+307,'Price History'!$A:$A))-'Price History'!B3)*(ROW()-3)/(MATCH(9.99E+307,'Returns (Calc)'!$A:$A)-3),"")</f>
        <v/>
      </c>
      <c r="X100" s="84">
        <f>IFERROR('Price History'!C3+(INDEX('Price History'!C:C,MATCH(9.99E+307,'Price History'!$A:$A))-'Price History'!C3)*(ROW()-3)/(MATCH(9.99E+307,'Returns (Calc)'!$A:$A)-3),"")</f>
        <v>17.055849056603776</v>
      </c>
      <c r="Y100" s="84">
        <f>IFERROR('Price History'!D3+(INDEX('Price History'!D:D,MATCH(9.99E+307,'Price History'!$A:$A))-'Price History'!D3)*(ROW()-3)/(MATCH(9.99E+307,'Returns (Calc)'!$A:$A)-3),"")</f>
        <v>258.05257861635221</v>
      </c>
      <c r="Z100" s="84">
        <f>IFERROR('Price History'!E3+(INDEX('Price History'!E:E,MATCH(9.99E+307,'Price History'!$A:$A))-'Price History'!E3)*(ROW()-3)/(MATCH(9.99E+307,'Returns (Calc)'!$A:$A)-3),"")</f>
        <v>32.356981132075475</v>
      </c>
      <c r="AA100" s="84">
        <f>IFERROR('Price History'!F3+(INDEX('Price History'!F:F,MATCH(9.99E+307,'Price History'!$A:$A))-'Price History'!F3)*(ROW()-3)/(MATCH(9.99E+307,'Returns (Calc)'!$A:$A)-3),"")</f>
        <v>14.45106918238994</v>
      </c>
      <c r="AB100" s="84">
        <f>IFERROR('Price History'!G3+(INDEX('Price History'!G:G,MATCH(9.99E+307,'Price History'!$A:$A))-'Price History'!G3)*(ROW()-3)/(MATCH(9.99E+307,'Returns (Calc)'!$A:$A)-3),"")</f>
        <v>18.677987421383644</v>
      </c>
      <c r="AC100" s="84">
        <f>IFERROR('Price History'!H3+(INDEX('Price History'!H:H,MATCH(9.99E+307,'Price History'!$A:$A))-'Price History'!H3)*(ROW()-3)/(MATCH(9.99E+307,'Returns (Calc)'!$A:$A)-3),"")</f>
        <v>25.100251572327046</v>
      </c>
      <c r="AD100" s="84">
        <f>IFERROR('Price History'!I3+(INDEX('Price History'!I:I,MATCH(9.99E+307,'Price History'!$A:$A))-'Price History'!I3)*(ROW()-3)/(MATCH(9.99E+307,'Returns (Calc)'!$A:$A)-3),"")</f>
        <v>15.928930817610063</v>
      </c>
      <c r="AE100" s="84">
        <f>IFERROR('Price History'!J3+(INDEX('Price History'!J:J,MATCH(9.99E+307,'Price History'!$A:$A))-'Price History'!J3)*(ROW()-3)/(MATCH(9.99E+307,'Returns (Calc)'!$A:$A)-3),"")</f>
        <v>48.161132075471698</v>
      </c>
      <c r="AF100" s="84">
        <f>IFERROR('Price History'!K3+(INDEX('Price History'!K:K,MATCH(9.99E+307,'Price History'!$A:$A))-'Price History'!K3)*(ROW()-3)/(MATCH(9.99E+307,'Returns (Calc)'!$A:$A)-3),"")</f>
        <v>6.0089308176100626</v>
      </c>
      <c r="AG100" s="84">
        <f>IFERROR('Price History'!L3+(INDEX('Price History'!L:L,MATCH(9.99E+307,'Price History'!$A:$A))-'Price History'!L3)*(ROW()-3)/(MATCH(9.99E+307,'Returns (Calc)'!$A:$A)-3),"")</f>
        <v>35.870314465408811</v>
      </c>
      <c r="AH100" s="84">
        <f>IFERROR('Price History'!M3+(INDEX('Price History'!M:M,MATCH(9.99E+307,'Price History'!$A:$A))-'Price History'!M3)*(ROW()-3)/(MATCH(9.99E+307,'Returns (Calc)'!$A:$A)-3),"")</f>
        <v>13.066792452830189</v>
      </c>
      <c r="AI100" s="84">
        <f>IFERROR('Price History'!N3+(INDEX('Price History'!N:N,MATCH(9.99E+307,'Price History'!$A:$A))-'Price History'!N3)*(ROW()-3)/(MATCH(9.99E+307,'Returns (Calc)'!$A:$A)-3),"")</f>
        <v>136.42339622641512</v>
      </c>
      <c r="AJ100" s="84">
        <f>IFERROR('Price History'!O3+(INDEX('Price History'!O:O,MATCH(9.99E+307,'Price History'!$A:$A))-'Price History'!O3)*(ROW()-3)/(MATCH(9.99E+307,'Returns (Calc)'!$A:$A)-3),"")</f>
        <v>32.306289308176098</v>
      </c>
      <c r="AK100" s="84">
        <f>IFERROR('Price History'!Q3+(INDEX('Price History'!Q:Q,MATCH(9.99E+307,'Price History'!$A:$A))-'Price History'!Q3)*(ROW()-3)/(MATCH(9.99E+307,'Returns (Calc)'!$A:$A)-3),"")</f>
        <v>19.434465408805032</v>
      </c>
      <c r="AL100" s="84">
        <f>IFERROR('Price History'!R3+(INDEX('Price History'!R:R,MATCH(9.99E+307,'Price History'!$A:$A))-'Price History'!R3)*(ROW()-3)/(MATCH(9.99E+307,'Returns (Calc)'!$A:$A)-3),"")</f>
        <v>18.646792452830191</v>
      </c>
      <c r="AM100" s="84">
        <f>IFERROR('Price History'!S3+(INDEX('Price History'!S:S,MATCH(9.99E+307,'Price History'!$A:$A))-'Price History'!S3)*(ROW()-3)/(MATCH(9.99E+307,'Returns (Calc)'!$A:$A)-3),"")</f>
        <v>22.826918238993706</v>
      </c>
      <c r="AN100" s="84">
        <f>IFERROR('Price History'!T3+(INDEX('Price History'!T:T,MATCH(9.99E+307,'Price History'!$A:$A))-'Price History'!T3)*(ROW()-3)/(MATCH(9.99E+307,'Returns (Calc)'!$A:$A)-3),"")</f>
        <v>10.49320754716981</v>
      </c>
      <c r="AO100" s="85">
        <f>IFERROR('Price History'!V3+(INDEX('Price History'!V:V,MATCH(9.99E+307,'Price History'!$A:$A))-'Price History'!V3)*(ROW()-3)/(MATCH(9.99E+307,'Returns (Calc)'!$A:$A)-3),"")</f>
        <v>0</v>
      </c>
    </row>
    <row r="101" spans="1:41" ht="15" customHeight="1" x14ac:dyDescent="0.3">
      <c r="A101" s="81">
        <f>IF('Price History'!A102="","",'Price History'!A102)</f>
        <v>45841</v>
      </c>
      <c r="B101" s="82">
        <f>IFERROR(IF(OR(NOT(ISNUMBER('Price History'!B102)),NOT(ISNUMBER('Price History'!B101)),'Price History'!B101=0),"",'Price History'!B102/'Price History'!B101-1),"")</f>
        <v>-1.6898634113469591E-2</v>
      </c>
      <c r="C101" s="82">
        <f>IFERROR(IF(OR(NOT(ISNUMBER('Price History'!C102)),NOT(ISNUMBER('Price History'!C101)),'Price History'!C101=0),"",'Price History'!C102/'Price History'!C101-1),"")</f>
        <v>3.1492101821108731E-2</v>
      </c>
      <c r="D101" s="82">
        <f>IFERROR(IF(OR(NOT(ISNUMBER('Price History'!D102)),NOT(ISNUMBER('Price History'!D101)),'Price History'!D101=0),"",'Price History'!D102/'Price History'!D101-1),"")</f>
        <v>-1.8217224700044499E-3</v>
      </c>
      <c r="E101" s="82">
        <f>IFERROR(IF(OR(NOT(ISNUMBER('Price History'!E102)),NOT(ISNUMBER('Price History'!E101)),'Price History'!E101=0),"",'Price History'!E102/'Price History'!E101-1),"")</f>
        <v>2.1644700204195289E-2</v>
      </c>
      <c r="F101" s="82">
        <f>IFERROR(IF(OR(NOT(ISNUMBER('Price History'!F102)),NOT(ISNUMBER('Price History'!F101)),'Price History'!F101=0),"",'Price History'!F102/'Price History'!F101-1),"")</f>
        <v>2.9640310822719007E-2</v>
      </c>
      <c r="G101" s="82">
        <f>IFERROR(IF(OR(NOT(ISNUMBER('Price History'!G102)),NOT(ISNUMBER('Price History'!G101)),'Price History'!G101=0),"",'Price History'!G102/'Price History'!G101-1),"")</f>
        <v>3.8993145297224308E-2</v>
      </c>
      <c r="H101" s="82">
        <f>IFERROR(IF(OR(NOT(ISNUMBER('Price History'!H102)),NOT(ISNUMBER('Price History'!H101)),'Price History'!H101=0),"",'Price History'!H102/'Price History'!H101-1),"")</f>
        <v>-1.9798012183392055E-2</v>
      </c>
      <c r="I101" s="82">
        <f>IFERROR(IF(OR(NOT(ISNUMBER('Price History'!I102)),NOT(ISNUMBER('Price History'!I101)),'Price History'!I101=0),"",'Price History'!I102/'Price History'!I101-1),"")</f>
        <v>1.0079239302694054E-2</v>
      </c>
      <c r="J101" s="82">
        <f>IFERROR(IF(OR(NOT(ISNUMBER('Price History'!J102)),NOT(ISNUMBER('Price History'!J101)),'Price History'!J101=0),"",'Price History'!J102/'Price History'!J101-1),"")</f>
        <v>2.2722969134633564E-2</v>
      </c>
      <c r="K101" s="82">
        <f>IFERROR(IF(OR(NOT(ISNUMBER('Price History'!K102)),NOT(ISNUMBER('Price History'!K101)),'Price History'!K101=0),"",'Price History'!K102/'Price History'!K101-1),"")</f>
        <v>2.7688542144714834E-2</v>
      </c>
      <c r="L101" s="82">
        <f>IFERROR(IF(OR(NOT(ISNUMBER('Price History'!L102)),NOT(ISNUMBER('Price History'!L101)),'Price History'!L101=0),"",'Price History'!L102/'Price History'!L101-1),"")</f>
        <v>2.725642035262732E-2</v>
      </c>
      <c r="M101" s="82">
        <f>IFERROR(IF(OR(NOT(ISNUMBER('Price History'!M102)),NOT(ISNUMBER('Price History'!M101)),'Price History'!M101=0),"",'Price History'!M102/'Price History'!M101-1),"")</f>
        <v>5.3475935828877219E-3</v>
      </c>
      <c r="N101" s="82">
        <f>IFERROR(IF(OR(NOT(ISNUMBER('Price History'!N102)),NOT(ISNUMBER('Price History'!N101)),'Price History'!N101=0),"",'Price History'!N102/'Price History'!N101-1),"")</f>
        <v>4.15137094946747E-2</v>
      </c>
      <c r="O101" s="82">
        <f>IFERROR(IF(OR(NOT(ISNUMBER('Price History'!O102)),NOT(ISNUMBER('Price History'!O101)),'Price History'!O101=0),"",'Price History'!O102/'Price History'!O101-1),"")</f>
        <v>4.1662098454116947E-2</v>
      </c>
      <c r="P101" s="82" t="str">
        <f>IFERROR(IF(OR(NOT(ISNUMBER('Price History'!P102)),NOT(ISNUMBER('Price History'!P101)),'Price History'!P101=0),"",'Price History'!P102/'Price History'!P101-1),"")</f>
        <v/>
      </c>
      <c r="Q101" s="82">
        <f>IFERROR(IF(OR(NOT(ISNUMBER('Price History'!Q102)),NOT(ISNUMBER('Price History'!Q101)),'Price History'!Q101=0),"",'Price History'!Q102/'Price History'!Q101-1),"")</f>
        <v>3.597122302158251E-3</v>
      </c>
      <c r="R101" s="82">
        <f>IFERROR(IF(OR(NOT(ISNUMBER('Price History'!R102)),NOT(ISNUMBER('Price History'!R101)),'Price History'!R101=0),"",'Price History'!R102/'Price History'!R101-1),"")</f>
        <v>-2.026902524415064E-3</v>
      </c>
      <c r="S101" s="82">
        <f>IFERROR(IF(OR(NOT(ISNUMBER('Price History'!S102)),NOT(ISNUMBER('Price History'!S101)),'Price History'!S101=0),"",'Price History'!S102/'Price History'!S101-1),"")</f>
        <v>5.9907010014306206E-3</v>
      </c>
      <c r="T101" s="82">
        <f>IFERROR(IF(OR(NOT(ISNUMBER('Price History'!T102)),NOT(ISNUMBER('Price History'!T101)),'Price History'!T101=0),"",'Price History'!T102/'Price History'!T101-1),"")</f>
        <v>1.2454005094820308E-2</v>
      </c>
      <c r="U101" s="82" t="str">
        <f>IFERROR(IF(OR(NOT(ISNUMBER('Price History'!U102)),NOT(ISNUMBER('Price History'!U101)),'Price History'!U101=0),"",'Price History'!U102/'Price History'!U101-1),"")</f>
        <v/>
      </c>
      <c r="V101" s="83" t="str">
        <f>IFERROR(IF(OR(NOT(ISNUMBER('Price History'!V102)),NOT(ISNUMBER('Price History'!V101)),'Price History'!V101=0),"",'Price History'!V102/'Price History'!V101-1),"")</f>
        <v/>
      </c>
      <c r="W101" s="84" t="str">
        <f>IFERROR('Price History'!B3+(INDEX('Price History'!B:B,MATCH(9.99E+307,'Price History'!$A:$A))-'Price History'!B3)*(ROW()-3)/(MATCH(9.99E+307,'Returns (Calc)'!$A:$A)-3),"")</f>
        <v/>
      </c>
      <c r="X101" s="84">
        <f>IFERROR('Price History'!C3+(INDEX('Price History'!C:C,MATCH(9.99E+307,'Price History'!$A:$A))-'Price History'!C3)*(ROW()-3)/(MATCH(9.99E+307,'Returns (Calc)'!$A:$A)-3),"")</f>
        <v>16.780754716981132</v>
      </c>
      <c r="Y101" s="84">
        <f>IFERROR('Price History'!D3+(INDEX('Price History'!D:D,MATCH(9.99E+307,'Price History'!$A:$A))-'Price History'!D3)*(ROW()-3)/(MATCH(9.99E+307,'Returns (Calc)'!$A:$A)-3),"")</f>
        <v>253.89044025157233</v>
      </c>
      <c r="Z101" s="84">
        <f>IFERROR('Price History'!E3+(INDEX('Price History'!E:E,MATCH(9.99E+307,'Price History'!$A:$A))-'Price History'!E3)*(ROW()-3)/(MATCH(9.99E+307,'Returns (Calc)'!$A:$A)-3),"")</f>
        <v>31.835094339622643</v>
      </c>
      <c r="AA101" s="84">
        <f>IFERROR('Price History'!F3+(INDEX('Price History'!F:F,MATCH(9.99E+307,'Price History'!$A:$A))-'Price History'!F3)*(ROW()-3)/(MATCH(9.99E+307,'Returns (Calc)'!$A:$A)-3),"")</f>
        <v>14.217987421383651</v>
      </c>
      <c r="AB101" s="84">
        <f>IFERROR('Price History'!G3+(INDEX('Price History'!G:G,MATCH(9.99E+307,'Price History'!$A:$A))-'Price History'!G3)*(ROW()-3)/(MATCH(9.99E+307,'Returns (Calc)'!$A:$A)-3),"")</f>
        <v>18.376729559748426</v>
      </c>
      <c r="AC101" s="84">
        <f>IFERROR('Price History'!H3+(INDEX('Price History'!H:H,MATCH(9.99E+307,'Price History'!$A:$A))-'Price History'!H3)*(ROW()-3)/(MATCH(9.99E+307,'Returns (Calc)'!$A:$A)-3),"")</f>
        <v>24.695408805031448</v>
      </c>
      <c r="AD101" s="84">
        <f>IFERROR('Price History'!I3+(INDEX('Price History'!I:I,MATCH(9.99E+307,'Price History'!$A:$A))-'Price History'!I3)*(ROW()-3)/(MATCH(9.99E+307,'Returns (Calc)'!$A:$A)-3),"")</f>
        <v>15.672012578616354</v>
      </c>
      <c r="AE101" s="84">
        <f>IFERROR('Price History'!J3+(INDEX('Price History'!J:J,MATCH(9.99E+307,'Price History'!$A:$A))-'Price History'!J3)*(ROW()-3)/(MATCH(9.99E+307,'Returns (Calc)'!$A:$A)-3),"")</f>
        <v>47.384339622641505</v>
      </c>
      <c r="AF101" s="84">
        <f>IFERROR('Price History'!K3+(INDEX('Price History'!K:K,MATCH(9.99E+307,'Price History'!$A:$A))-'Price History'!K3)*(ROW()-3)/(MATCH(9.99E+307,'Returns (Calc)'!$A:$A)-3),"")</f>
        <v>5.912012578616352</v>
      </c>
      <c r="AG101" s="84">
        <f>IFERROR('Price History'!L3+(INDEX('Price History'!L:L,MATCH(9.99E+307,'Price History'!$A:$A))-'Price History'!L3)*(ROW()-3)/(MATCH(9.99E+307,'Returns (Calc)'!$A:$A)-3),"")</f>
        <v>35.291761006289313</v>
      </c>
      <c r="AH101" s="84">
        <f>IFERROR('Price History'!M3+(INDEX('Price History'!M:M,MATCH(9.99E+307,'Price History'!$A:$A))-'Price History'!M3)*(ROW()-3)/(MATCH(9.99E+307,'Returns (Calc)'!$A:$A)-3),"")</f>
        <v>12.856037735849053</v>
      </c>
      <c r="AI101" s="84">
        <f>IFERROR('Price History'!N3+(INDEX('Price History'!N:N,MATCH(9.99E+307,'Price History'!$A:$A))-'Price History'!N3)*(ROW()-3)/(MATCH(9.99E+307,'Returns (Calc)'!$A:$A)-3),"")</f>
        <v>134.22301886792454</v>
      </c>
      <c r="AJ101" s="84">
        <f>IFERROR('Price History'!O3+(INDEX('Price History'!O:O,MATCH(9.99E+307,'Price History'!$A:$A))-'Price History'!O3)*(ROW()-3)/(MATCH(9.99E+307,'Returns (Calc)'!$A:$A)-3),"")</f>
        <v>31.785220125786161</v>
      </c>
      <c r="AK101" s="84">
        <f>IFERROR('Price History'!Q3+(INDEX('Price History'!Q:Q,MATCH(9.99E+307,'Price History'!$A:$A))-'Price History'!Q3)*(ROW()-3)/(MATCH(9.99E+307,'Returns (Calc)'!$A:$A)-3),"")</f>
        <v>19.121006289308177</v>
      </c>
      <c r="AL101" s="84">
        <f>IFERROR('Price History'!R3+(INDEX('Price History'!R:R,MATCH(9.99E+307,'Price History'!$A:$A))-'Price History'!R3)*(ROW()-3)/(MATCH(9.99E+307,'Returns (Calc)'!$A:$A)-3),"")</f>
        <v>18.346037735849059</v>
      </c>
      <c r="AM101" s="84">
        <f>IFERROR('Price History'!S3+(INDEX('Price History'!S:S,MATCH(9.99E+307,'Price History'!$A:$A))-'Price History'!S3)*(ROW()-3)/(MATCH(9.99E+307,'Returns (Calc)'!$A:$A)-3),"")</f>
        <v>22.458742138364777</v>
      </c>
      <c r="AN101" s="84">
        <f>IFERROR('Price History'!T3+(INDEX('Price History'!T:T,MATCH(9.99E+307,'Price History'!$A:$A))-'Price History'!T3)*(ROW()-3)/(MATCH(9.99E+307,'Returns (Calc)'!$A:$A)-3),"")</f>
        <v>10.323962264150946</v>
      </c>
      <c r="AO101" s="85">
        <f>IFERROR('Price History'!V3+(INDEX('Price History'!V:V,MATCH(9.99E+307,'Price History'!$A:$A))-'Price History'!V3)*(ROW()-3)/(MATCH(9.99E+307,'Returns (Calc)'!$A:$A)-3),"")</f>
        <v>0</v>
      </c>
    </row>
    <row r="102" spans="1:41" ht="15" customHeight="1" x14ac:dyDescent="0.3">
      <c r="A102" s="81">
        <f>IF('Price History'!A103="","",'Price History'!A103)</f>
        <v>45849</v>
      </c>
      <c r="B102" s="82">
        <f>IFERROR(IF(OR(NOT(ISNUMBER('Price History'!B103)),NOT(ISNUMBER('Price History'!B102)),'Price History'!B102=0),"",'Price History'!B103/'Price History'!B102-1),"")</f>
        <v>-4.207640188763806E-2</v>
      </c>
      <c r="C102" s="82">
        <f>IFERROR(IF(OR(NOT(ISNUMBER('Price History'!C103)),NOT(ISNUMBER('Price History'!C102)),'Price History'!C102=0),"",'Price History'!C103/'Price History'!C102-1),"")</f>
        <v>5.9012875536480713E-2</v>
      </c>
      <c r="D102" s="82">
        <f>IFERROR(IF(OR(NOT(ISNUMBER('Price History'!D103)),NOT(ISNUMBER('Price History'!D102)),'Price History'!D102=0),"",'Price History'!D103/'Price History'!D102-1),"")</f>
        <v>9.3517935808684616E-3</v>
      </c>
      <c r="E102" s="82">
        <f>IFERROR(IF(OR(NOT(ISNUMBER('Price History'!E103)),NOT(ISNUMBER('Price History'!E102)),'Price History'!E102=0),"",'Price History'!E103/'Price History'!E102-1),"")</f>
        <v>-2.9071880223854318E-3</v>
      </c>
      <c r="F102" s="82">
        <f>IFERROR(IF(OR(NOT(ISNUMBER('Price History'!F103)),NOT(ISNUMBER('Price History'!F102)),'Price History'!F102=0),"",'Price History'!F103/'Price History'!F102-1),"")</f>
        <v>-6.9400140045125625E-2</v>
      </c>
      <c r="G102" s="82">
        <f>IFERROR(IF(OR(NOT(ISNUMBER('Price History'!G103)),NOT(ISNUMBER('Price History'!G102)),'Price History'!G102=0),"",'Price History'!G103/'Price History'!G102-1),"")</f>
        <v>0</v>
      </c>
      <c r="H102" s="82">
        <f>IFERROR(IF(OR(NOT(ISNUMBER('Price History'!H103)),NOT(ISNUMBER('Price History'!H102)),'Price History'!H102=0),"",'Price History'!H103/'Price History'!H102-1),"")</f>
        <v>1.831711505437883E-2</v>
      </c>
      <c r="I102" s="82">
        <f>IFERROR(IF(OR(NOT(ISNUMBER('Price History'!I103)),NOT(ISNUMBER('Price History'!I102)),'Price History'!I102=0),"",'Price History'!I103/'Price History'!I102-1),"")</f>
        <v>3.5019455252918164E-2</v>
      </c>
      <c r="J102" s="82">
        <f>IFERROR(IF(OR(NOT(ISNUMBER('Price History'!J103)),NOT(ISNUMBER('Price History'!J102)),'Price History'!J102=0),"",'Price History'!J103/'Price History'!J102-1),"")</f>
        <v>1.0646176633956728E-2</v>
      </c>
      <c r="K102" s="82">
        <f>IFERROR(IF(OR(NOT(ISNUMBER('Price History'!K103)),NOT(ISNUMBER('Price History'!K102)),'Price History'!K102=0),"",'Price History'!K103/'Price History'!K102-1),"")</f>
        <v>5.760643048526326E-2</v>
      </c>
      <c r="L102" s="82">
        <f>IFERROR(IF(OR(NOT(ISNUMBER('Price History'!L103)),NOT(ISNUMBER('Price History'!L102)),'Price History'!L102=0),"",'Price History'!L103/'Price History'!L102-1),"")</f>
        <v>-1.8739352640545159E-2</v>
      </c>
      <c r="M102" s="82">
        <f>IFERROR(IF(OR(NOT(ISNUMBER('Price History'!M103)),NOT(ISNUMBER('Price History'!M102)),'Price History'!M102=0),"",'Price History'!M103/'Price History'!M102-1),"")</f>
        <v>-3.5513141426783523E-2</v>
      </c>
      <c r="N102" s="82">
        <f>IFERROR(IF(OR(NOT(ISNUMBER('Price History'!N103)),NOT(ISNUMBER('Price History'!N102)),'Price History'!N102=0),"",'Price History'!N103/'Price History'!N102-1),"")</f>
        <v>2.0081806709890904E-2</v>
      </c>
      <c r="O102" s="82">
        <f>IFERROR(IF(OR(NOT(ISNUMBER('Price History'!O103)),NOT(ISNUMBER('Price History'!O102)),'Price History'!O102=0),"",'Price History'!O103/'Price History'!O102-1),"")</f>
        <v>-1.3682770234713093E-3</v>
      </c>
      <c r="P102" s="82" t="str">
        <f>IFERROR(IF(OR(NOT(ISNUMBER('Price History'!P103)),NOT(ISNUMBER('Price History'!P102)),'Price History'!P102=0),"",'Price History'!P103/'Price History'!P102-1),"")</f>
        <v/>
      </c>
      <c r="Q102" s="82">
        <f>IFERROR(IF(OR(NOT(ISNUMBER('Price History'!Q103)),NOT(ISNUMBER('Price History'!Q102)),'Price History'!Q102=0),"",'Price History'!Q103/'Price History'!Q102-1),"")</f>
        <v>1.5583606046454257E-4</v>
      </c>
      <c r="R102" s="82">
        <f>IFERROR(IF(OR(NOT(ISNUMBER('Price History'!R103)),NOT(ISNUMBER('Price History'!R102)),'Price History'!R102=0),"",'Price History'!R103/'Price History'!R102-1),"")</f>
        <v>3.6927621861153614E-3</v>
      </c>
      <c r="S102" s="82">
        <f>IFERROR(IF(OR(NOT(ISNUMBER('Price History'!S103)),NOT(ISNUMBER('Price History'!S102)),'Price History'!S102=0),"",'Price History'!S103/'Price History'!S102-1),"")</f>
        <v>-3.0219536041241613E-3</v>
      </c>
      <c r="T102" s="82">
        <f>IFERROR(IF(OR(NOT(ISNUMBER('Price History'!T103)),NOT(ISNUMBER('Price History'!T102)),'Price History'!T102=0),"",'Price History'!T103/'Price History'!T102-1),"")</f>
        <v>1.9569471624265589E-3</v>
      </c>
      <c r="U102" s="82" t="str">
        <f>IFERROR(IF(OR(NOT(ISNUMBER('Price History'!U103)),NOT(ISNUMBER('Price History'!U102)),'Price History'!U102=0),"",'Price History'!U103/'Price History'!U102-1),"")</f>
        <v/>
      </c>
      <c r="V102" s="83" t="str">
        <f>IFERROR(IF(OR(NOT(ISNUMBER('Price History'!V103)),NOT(ISNUMBER('Price History'!V102)),'Price History'!V102=0),"",'Price History'!V103/'Price History'!V102-1),"")</f>
        <v/>
      </c>
      <c r="W102" s="84" t="str">
        <f>IFERROR('Price History'!B3+(INDEX('Price History'!B:B,MATCH(9.99E+307,'Price History'!$A:$A))-'Price History'!B3)*(ROW()-3)/(MATCH(9.99E+307,'Returns (Calc)'!$A:$A)-3),"")</f>
        <v/>
      </c>
      <c r="X102" s="84">
        <f>IFERROR('Price History'!C3+(INDEX('Price History'!C:C,MATCH(9.99E+307,'Price History'!$A:$A))-'Price History'!C3)*(ROW()-3)/(MATCH(9.99E+307,'Returns (Calc)'!$A:$A)-3),"")</f>
        <v>16.505660377358492</v>
      </c>
      <c r="Y102" s="84">
        <f>IFERROR('Price History'!D3+(INDEX('Price History'!D:D,MATCH(9.99E+307,'Price History'!$A:$A))-'Price History'!D3)*(ROW()-3)/(MATCH(9.99E+307,'Returns (Calc)'!$A:$A)-3),"")</f>
        <v>249.72830188679245</v>
      </c>
      <c r="Z102" s="84">
        <f>IFERROR('Price History'!E3+(INDEX('Price History'!E:E,MATCH(9.99E+307,'Price History'!$A:$A))-'Price History'!E3)*(ROW()-3)/(MATCH(9.99E+307,'Returns (Calc)'!$A:$A)-3),"")</f>
        <v>31.31320754716981</v>
      </c>
      <c r="AA102" s="84">
        <f>IFERROR('Price History'!F3+(INDEX('Price History'!F:F,MATCH(9.99E+307,'Price History'!$A:$A))-'Price History'!F3)*(ROW()-3)/(MATCH(9.99E+307,'Returns (Calc)'!$A:$A)-3),"")</f>
        <v>13.984905660377361</v>
      </c>
      <c r="AB102" s="84">
        <f>IFERROR('Price History'!G3+(INDEX('Price History'!G:G,MATCH(9.99E+307,'Price History'!$A:$A))-'Price History'!G3)*(ROW()-3)/(MATCH(9.99E+307,'Returns (Calc)'!$A:$A)-3),"")</f>
        <v>18.075471698113208</v>
      </c>
      <c r="AC102" s="84">
        <f>IFERROR('Price History'!H3+(INDEX('Price History'!H:H,MATCH(9.99E+307,'Price History'!$A:$A))-'Price History'!H3)*(ROW()-3)/(MATCH(9.99E+307,'Returns (Calc)'!$A:$A)-3),"")</f>
        <v>24.29056603773585</v>
      </c>
      <c r="AD102" s="84">
        <f>IFERROR('Price History'!I3+(INDEX('Price History'!I:I,MATCH(9.99E+307,'Price History'!$A:$A))-'Price History'!I3)*(ROW()-3)/(MATCH(9.99E+307,'Returns (Calc)'!$A:$A)-3),"")</f>
        <v>15.415094339622641</v>
      </c>
      <c r="AE102" s="84">
        <f>IFERROR('Price History'!J3+(INDEX('Price History'!J:J,MATCH(9.99E+307,'Price History'!$A:$A))-'Price History'!J3)*(ROW()-3)/(MATCH(9.99E+307,'Returns (Calc)'!$A:$A)-3),"")</f>
        <v>46.607547169811326</v>
      </c>
      <c r="AF102" s="84">
        <f>IFERROR('Price History'!K3+(INDEX('Price History'!K:K,MATCH(9.99E+307,'Price History'!$A:$A))-'Price History'!K3)*(ROW()-3)/(MATCH(9.99E+307,'Returns (Calc)'!$A:$A)-3),"")</f>
        <v>5.8150943396226413</v>
      </c>
      <c r="AG102" s="84">
        <f>IFERROR('Price History'!L3+(INDEX('Price History'!L:L,MATCH(9.99E+307,'Price History'!$A:$A))-'Price History'!L3)*(ROW()-3)/(MATCH(9.99E+307,'Returns (Calc)'!$A:$A)-3),"")</f>
        <v>34.713207547169802</v>
      </c>
      <c r="AH102" s="84">
        <f>IFERROR('Price History'!M3+(INDEX('Price History'!M:M,MATCH(9.99E+307,'Price History'!$A:$A))-'Price History'!M3)*(ROW()-3)/(MATCH(9.99E+307,'Returns (Calc)'!$A:$A)-3),"")</f>
        <v>12.645283018867925</v>
      </c>
      <c r="AI102" s="84">
        <f>IFERROR('Price History'!N3+(INDEX('Price History'!N:N,MATCH(9.99E+307,'Price History'!$A:$A))-'Price History'!N3)*(ROW()-3)/(MATCH(9.99E+307,'Returns (Calc)'!$A:$A)-3),"")</f>
        <v>132.02264150943398</v>
      </c>
      <c r="AJ102" s="84">
        <f>IFERROR('Price History'!O3+(INDEX('Price History'!O:O,MATCH(9.99E+307,'Price History'!$A:$A))-'Price History'!O3)*(ROW()-3)/(MATCH(9.99E+307,'Returns (Calc)'!$A:$A)-3),"")</f>
        <v>31.264150943396224</v>
      </c>
      <c r="AK102" s="84">
        <f>IFERROR('Price History'!Q3+(INDEX('Price History'!Q:Q,MATCH(9.99E+307,'Price History'!$A:$A))-'Price History'!Q3)*(ROW()-3)/(MATCH(9.99E+307,'Returns (Calc)'!$A:$A)-3),"")</f>
        <v>18.807547169811318</v>
      </c>
      <c r="AL102" s="84">
        <f>IFERROR('Price History'!R3+(INDEX('Price History'!R:R,MATCH(9.99E+307,'Price History'!$A:$A))-'Price History'!R3)*(ROW()-3)/(MATCH(9.99E+307,'Returns (Calc)'!$A:$A)-3),"")</f>
        <v>18.045283018867924</v>
      </c>
      <c r="AM102" s="84">
        <f>IFERROR('Price History'!S3+(INDEX('Price History'!S:S,MATCH(9.99E+307,'Price History'!$A:$A))-'Price History'!S3)*(ROW()-3)/(MATCH(9.99E+307,'Returns (Calc)'!$A:$A)-3),"")</f>
        <v>22.090566037735847</v>
      </c>
      <c r="AN102" s="84">
        <f>IFERROR('Price History'!T3+(INDEX('Price History'!T:T,MATCH(9.99E+307,'Price History'!$A:$A))-'Price History'!T3)*(ROW()-3)/(MATCH(9.99E+307,'Returns (Calc)'!$A:$A)-3),"")</f>
        <v>10.154716981132076</v>
      </c>
      <c r="AO102" s="85">
        <f>IFERROR('Price History'!V3+(INDEX('Price History'!V:V,MATCH(9.99E+307,'Price History'!$A:$A))-'Price History'!V3)*(ROW()-3)/(MATCH(9.99E+307,'Returns (Calc)'!$A:$A)-3),"")</f>
        <v>0</v>
      </c>
    </row>
    <row r="103" spans="1:41" ht="15" customHeight="1" x14ac:dyDescent="0.3">
      <c r="A103" s="81">
        <f>IF('Price History'!A104="","",'Price History'!A104)</f>
        <v>45856</v>
      </c>
      <c r="B103" s="82">
        <f>IFERROR(IF(OR(NOT(ISNUMBER('Price History'!B104)),NOT(ISNUMBER('Price History'!B103)),'Price History'!B103=0),"",'Price History'!B104/'Price History'!B103-1),"")</f>
        <v>6.7152882895280541E-3</v>
      </c>
      <c r="C103" s="82">
        <f>IFERROR(IF(OR(NOT(ISNUMBER('Price History'!C104)),NOT(ISNUMBER('Price History'!C103)),'Price History'!C103=0),"",'Price History'!C104/'Price History'!C103-1),"")</f>
        <v>2.9566178502348883E-2</v>
      </c>
      <c r="D103" s="82">
        <f>IFERROR(IF(OR(NOT(ISNUMBER('Price History'!D104)),NOT(ISNUMBER('Price History'!D103)),'Price History'!D103=0),"",'Price History'!D104/'Price History'!D103-1),"")</f>
        <v>-8.3984886461411778E-2</v>
      </c>
      <c r="E103" s="82">
        <f>IFERROR(IF(OR(NOT(ISNUMBER('Price History'!E104)),NOT(ISNUMBER('Price History'!E103)),'Price History'!E103=0),"",'Price History'!E104/'Price History'!E103-1),"")</f>
        <v>3.2655441358699466E-2</v>
      </c>
      <c r="F103" s="82">
        <f>IFERROR(IF(OR(NOT(ISNUMBER('Price History'!F104)),NOT(ISNUMBER('Price History'!F103)),'Price History'!F103=0),"",'Price History'!F104/'Price History'!F103-1),"")</f>
        <v>-5.1835130841902943E-3</v>
      </c>
      <c r="G103" s="82">
        <f>IFERROR(IF(OR(NOT(ISNUMBER('Price History'!G104)),NOT(ISNUMBER('Price History'!G103)),'Price History'!G103=0),"",'Price History'!G104/'Price History'!G103-1),"")</f>
        <v>7.0300670560243805E-3</v>
      </c>
      <c r="H103" s="82">
        <f>IFERROR(IF(OR(NOT(ISNUMBER('Price History'!H104)),NOT(ISNUMBER('Price History'!H103)),'Price History'!H103=0),"",'Price History'!H104/'Price History'!H103-1),"")</f>
        <v>-8.1426162370513144E-2</v>
      </c>
      <c r="I103" s="82">
        <f>IFERROR(IF(OR(NOT(ISNUMBER('Price History'!I104)),NOT(ISNUMBER('Price History'!I103)),'Price History'!I103=0),"",'Price History'!I104/'Price History'!I103-1),"")</f>
        <v>4.5415959252971261E-2</v>
      </c>
      <c r="J103" s="82">
        <f>IFERROR(IF(OR(NOT(ISNUMBER('Price History'!J104)),NOT(ISNUMBER('Price History'!J103)),'Price History'!J103=0),"",'Price History'!J104/'Price History'!J103-1),"")</f>
        <v>-2.1892461298891663E-2</v>
      </c>
      <c r="K103" s="82">
        <f>IFERROR(IF(OR(NOT(ISNUMBER('Price History'!K104)),NOT(ISNUMBER('Price History'!K103)),'Price History'!K103=0),"",'Price History'!K104/'Price History'!K103-1),"")</f>
        <v>8.0365939479239978E-2</v>
      </c>
      <c r="L103" s="82">
        <f>IFERROR(IF(OR(NOT(ISNUMBER('Price History'!L104)),NOT(ISNUMBER('Price History'!L103)),'Price History'!L103=0),"",'Price History'!L104/'Price History'!L103-1),"")</f>
        <v>4.3402777777777679E-2</v>
      </c>
      <c r="M103" s="82">
        <f>IFERROR(IF(OR(NOT(ISNUMBER('Price History'!M104)),NOT(ISNUMBER('Price History'!M103)),'Price History'!M103=0),"",'Price History'!M104/'Price History'!M103-1),"")</f>
        <v>4.6715328467153316E-2</v>
      </c>
      <c r="N103" s="82">
        <f>IFERROR(IF(OR(NOT(ISNUMBER('Price History'!N104)),NOT(ISNUMBER('Price History'!N103)),'Price History'!N103=0),"",'Price History'!N104/'Price History'!N103-1),"")</f>
        <v>-1.9281220006398647E-2</v>
      </c>
      <c r="O103" s="82">
        <f>IFERROR(IF(OR(NOT(ISNUMBER('Price History'!O104)),NOT(ISNUMBER('Price History'!O103)),'Price History'!O103=0),"",'Price History'!O104/'Price History'!O103-1),"")</f>
        <v>-1.1698988195615545E-2</v>
      </c>
      <c r="P103" s="82" t="str">
        <f>IFERROR(IF(OR(NOT(ISNUMBER('Price History'!P104)),NOT(ISNUMBER('Price History'!P103)),'Price History'!P103=0),"",'Price History'!P104/'Price History'!P103-1),"")</f>
        <v/>
      </c>
      <c r="Q103" s="82">
        <f>IFERROR(IF(OR(NOT(ISNUMBER('Price History'!Q104)),NOT(ISNUMBER('Price History'!Q103)),'Price History'!Q103=0),"",'Price History'!Q104/'Price History'!Q103-1),"")</f>
        <v>2.1813649111870337E-3</v>
      </c>
      <c r="R103" s="82">
        <f>IFERROR(IF(OR(NOT(ISNUMBER('Price History'!R104)),NOT(ISNUMBER('Price History'!R103)),'Price History'!R103=0),"",'Price History'!R104/'Price History'!R103-1),"")</f>
        <v>6.070640176600417E-3</v>
      </c>
      <c r="S103" s="82">
        <f>IFERROR(IF(OR(NOT(ISNUMBER('Price History'!S104)),NOT(ISNUMBER('Price History'!S103)),'Price History'!S103=0),"",'Price History'!S104/'Price History'!S103-1),"")</f>
        <v>1.4798965855397972E-2</v>
      </c>
      <c r="T103" s="82">
        <f>IFERROR(IF(OR(NOT(ISNUMBER('Price History'!T104)),NOT(ISNUMBER('Price History'!T103)),'Price History'!T103=0),"",'Price History'!T104/'Price History'!T103-1),"")</f>
        <v>-2.1205357142857317E-2</v>
      </c>
      <c r="U103" s="82" t="str">
        <f>IFERROR(IF(OR(NOT(ISNUMBER('Price History'!U104)),NOT(ISNUMBER('Price History'!U103)),'Price History'!U103=0),"",'Price History'!U104/'Price History'!U103-1),"")</f>
        <v/>
      </c>
      <c r="V103" s="83">
        <f>IFERROR(IF(OR(NOT(ISNUMBER('Price History'!V104)),NOT(ISNUMBER('Price History'!V103)),'Price History'!V103=0),"",'Price History'!V104/'Price History'!V103-1),"")</f>
        <v>3.2214998839099618E-3</v>
      </c>
      <c r="W103" s="84" t="str">
        <f>IFERROR('Price History'!B3+(INDEX('Price History'!B:B,MATCH(9.99E+307,'Price History'!$A:$A))-'Price History'!B3)*(ROW()-3)/(MATCH(9.99E+307,'Returns (Calc)'!$A:$A)-3),"")</f>
        <v/>
      </c>
      <c r="X103" s="84">
        <f>IFERROR('Price History'!C3+(INDEX('Price History'!C:C,MATCH(9.99E+307,'Price History'!$A:$A))-'Price History'!C3)*(ROW()-3)/(MATCH(9.99E+307,'Returns (Calc)'!$A:$A)-3),"")</f>
        <v>16.230566037735851</v>
      </c>
      <c r="Y103" s="84">
        <f>IFERROR('Price History'!D3+(INDEX('Price History'!D:D,MATCH(9.99E+307,'Price History'!$A:$A))-'Price History'!D3)*(ROW()-3)/(MATCH(9.99E+307,'Returns (Calc)'!$A:$A)-3),"")</f>
        <v>245.56616352201257</v>
      </c>
      <c r="Z103" s="84">
        <f>IFERROR('Price History'!E3+(INDEX('Price History'!E:E,MATCH(9.99E+307,'Price History'!$A:$A))-'Price History'!E3)*(ROW()-3)/(MATCH(9.99E+307,'Returns (Calc)'!$A:$A)-3),"")</f>
        <v>30.791320754716985</v>
      </c>
      <c r="AA103" s="84">
        <f>IFERROR('Price History'!F3+(INDEX('Price History'!F:F,MATCH(9.99E+307,'Price History'!$A:$A))-'Price History'!F3)*(ROW()-3)/(MATCH(9.99E+307,'Returns (Calc)'!$A:$A)-3),"")</f>
        <v>13.751823899371072</v>
      </c>
      <c r="AB103" s="84">
        <f>IFERROR('Price History'!G3+(INDEX('Price History'!G:G,MATCH(9.99E+307,'Price History'!$A:$A))-'Price History'!G3)*(ROW()-3)/(MATCH(9.99E+307,'Returns (Calc)'!$A:$A)-3),"")</f>
        <v>17.774213836477987</v>
      </c>
      <c r="AC103" s="84">
        <f>IFERROR('Price History'!H3+(INDEX('Price History'!H:H,MATCH(9.99E+307,'Price History'!$A:$A))-'Price History'!H3)*(ROW()-3)/(MATCH(9.99E+307,'Returns (Calc)'!$A:$A)-3),"")</f>
        <v>23.885723270440259</v>
      </c>
      <c r="AD103" s="84">
        <f>IFERROR('Price History'!I3+(INDEX('Price History'!I:I,MATCH(9.99E+307,'Price History'!$A:$A))-'Price History'!I3)*(ROW()-3)/(MATCH(9.99E+307,'Returns (Calc)'!$A:$A)-3),"")</f>
        <v>15.158176100628932</v>
      </c>
      <c r="AE103" s="84">
        <f>IFERROR('Price History'!J3+(INDEX('Price History'!J:J,MATCH(9.99E+307,'Price History'!$A:$A))-'Price History'!J3)*(ROW()-3)/(MATCH(9.99E+307,'Returns (Calc)'!$A:$A)-3),"")</f>
        <v>45.830754716981133</v>
      </c>
      <c r="AF103" s="84">
        <f>IFERROR('Price History'!K3+(INDEX('Price History'!K:K,MATCH(9.99E+307,'Price History'!$A:$A))-'Price History'!K3)*(ROW()-3)/(MATCH(9.99E+307,'Returns (Calc)'!$A:$A)-3),"")</f>
        <v>5.7181761006289307</v>
      </c>
      <c r="AG103" s="84">
        <f>IFERROR('Price History'!L3+(INDEX('Price History'!L:L,MATCH(9.99E+307,'Price History'!$A:$A))-'Price History'!L3)*(ROW()-3)/(MATCH(9.99E+307,'Returns (Calc)'!$A:$A)-3),"")</f>
        <v>34.134654088050311</v>
      </c>
      <c r="AH103" s="84">
        <f>IFERROR('Price History'!M3+(INDEX('Price History'!M:M,MATCH(9.99E+307,'Price History'!$A:$A))-'Price History'!M3)*(ROW()-3)/(MATCH(9.99E+307,'Returns (Calc)'!$A:$A)-3),"")</f>
        <v>12.43452830188679</v>
      </c>
      <c r="AI103" s="84">
        <f>IFERROR('Price History'!N3+(INDEX('Price History'!N:N,MATCH(9.99E+307,'Price History'!$A:$A))-'Price History'!N3)*(ROW()-3)/(MATCH(9.99E+307,'Returns (Calc)'!$A:$A)-3),"")</f>
        <v>129.8222641509434</v>
      </c>
      <c r="AJ103" s="84">
        <f>IFERROR('Price History'!O3+(INDEX('Price History'!O:O,MATCH(9.99E+307,'Price History'!$A:$A))-'Price History'!O3)*(ROW()-3)/(MATCH(9.99E+307,'Returns (Calc)'!$A:$A)-3),"")</f>
        <v>30.74308176100628</v>
      </c>
      <c r="AK103" s="84">
        <f>IFERROR('Price History'!Q3+(INDEX('Price History'!Q:Q,MATCH(9.99E+307,'Price History'!$A:$A))-'Price History'!Q3)*(ROW()-3)/(MATCH(9.99E+307,'Returns (Calc)'!$A:$A)-3),"")</f>
        <v>18.49408805031447</v>
      </c>
      <c r="AL103" s="84">
        <f>IFERROR('Price History'!R3+(INDEX('Price History'!R:R,MATCH(9.99E+307,'Price History'!$A:$A))-'Price History'!R3)*(ROW()-3)/(MATCH(9.99E+307,'Returns (Calc)'!$A:$A)-3),"")</f>
        <v>17.744528301886792</v>
      </c>
      <c r="AM103" s="84">
        <f>IFERROR('Price History'!S3+(INDEX('Price History'!S:S,MATCH(9.99E+307,'Price History'!$A:$A))-'Price History'!S3)*(ROW()-3)/(MATCH(9.99E+307,'Returns (Calc)'!$A:$A)-3),"")</f>
        <v>21.722389937106918</v>
      </c>
      <c r="AN103" s="84">
        <f>IFERROR('Price History'!T3+(INDEX('Price History'!T:T,MATCH(9.99E+307,'Price History'!$A:$A))-'Price History'!T3)*(ROW()-3)/(MATCH(9.99E+307,'Returns (Calc)'!$A:$A)-3),"")</f>
        <v>9.9854716981132086</v>
      </c>
      <c r="AO103" s="85">
        <f>IFERROR('Price History'!V3+(INDEX('Price History'!V:V,MATCH(9.99E+307,'Price History'!$A:$A))-'Price History'!V3)*(ROW()-3)/(MATCH(9.99E+307,'Returns (Calc)'!$A:$A)-3),"")</f>
        <v>0</v>
      </c>
    </row>
    <row r="104" spans="1:41" ht="15" customHeight="1" x14ac:dyDescent="0.3">
      <c r="A104" s="81">
        <f>IF('Price History'!A105="","",'Price History'!A105)</f>
        <v>45863</v>
      </c>
      <c r="B104" s="82">
        <f>IFERROR(IF(OR(NOT(ISNUMBER('Price History'!B105)),NOT(ISNUMBER('Price History'!B104)),'Price History'!B104=0),"",'Price History'!B105/'Price History'!B104-1),"")</f>
        <v>1.3532354629705479E-2</v>
      </c>
      <c r="C104" s="82">
        <f>IFERROR(IF(OR(NOT(ISNUMBER('Price History'!C105)),NOT(ISNUMBER('Price History'!C104)),'Price History'!C104=0),"",'Price History'!C105/'Price History'!C104-1),"")</f>
        <v>2.2365360529611689E-2</v>
      </c>
      <c r="D104" s="82">
        <f>IFERROR(IF(OR(NOT(ISNUMBER('Price History'!D105)),NOT(ISNUMBER('Price History'!D104)),'Price History'!D104=0),"",'Price History'!D105/'Price History'!D104-1),"")</f>
        <v>-3.1759644967192191E-2</v>
      </c>
      <c r="E104" s="82">
        <f>IFERROR(IF(OR(NOT(ISNUMBER('Price History'!E105)),NOT(ISNUMBER('Price History'!E104)),'Price History'!E104=0),"",'Price History'!E105/'Price History'!E104-1),"")</f>
        <v>2.4140608456271639E-2</v>
      </c>
      <c r="F104" s="82">
        <f>IFERROR(IF(OR(NOT(ISNUMBER('Price History'!F105)),NOT(ISNUMBER('Price History'!F104)),'Price History'!F104=0),"",'Price History'!F105/'Price History'!F104-1),"")</f>
        <v>-1.6892175813093435E-2</v>
      </c>
      <c r="G104" s="82">
        <f>IFERROR(IF(OR(NOT(ISNUMBER('Price History'!G105)),NOT(ISNUMBER('Price History'!G104)),'Price History'!G104=0),"",'Price History'!G105/'Price History'!G104-1),"")</f>
        <v>-3.114595639566109E-2</v>
      </c>
      <c r="H104" s="82">
        <f>IFERROR(IF(OR(NOT(ISNUMBER('Price History'!H105)),NOT(ISNUMBER('Price History'!H104)),'Price History'!H104=0),"",'Price History'!H105/'Price History'!H104-1),"")</f>
        <v>-2.7362531689832936E-2</v>
      </c>
      <c r="I104" s="82">
        <f>IFERROR(IF(OR(NOT(ISNUMBER('Price History'!I105)),NOT(ISNUMBER('Price History'!I104)),'Price History'!I104=0),"",'Price History'!I105/'Price History'!I104-1),"")</f>
        <v>6.3221390870600302E-3</v>
      </c>
      <c r="J104" s="82">
        <f>IFERROR(IF(OR(NOT(ISNUMBER('Price History'!J105)),NOT(ISNUMBER('Price History'!J104)),'Price History'!J104=0),"",'Price History'!J105/'Price History'!J104-1),"")</f>
        <v>3.2871324218018305E-2</v>
      </c>
      <c r="K104" s="82">
        <f>IFERROR(IF(OR(NOT(ISNUMBER('Price History'!K105)),NOT(ISNUMBER('Price History'!K104)),'Price History'!K104=0),"",'Price History'!K105/'Price History'!K104-1),"")</f>
        <v>3.4392912975508061E-2</v>
      </c>
      <c r="L104" s="82">
        <f>IFERROR(IF(OR(NOT(ISNUMBER('Price History'!L105)),NOT(ISNUMBER('Price History'!L104)),'Price History'!L104=0),"",'Price History'!L105/'Price History'!L104-1),"")</f>
        <v>2.1630615640598982E-2</v>
      </c>
      <c r="M104" s="82">
        <f>IFERROR(IF(OR(NOT(ISNUMBER('Price History'!M105)),NOT(ISNUMBER('Price History'!M104)),'Price History'!M104=0),"",'Price History'!M105/'Price History'!M104-1),"")</f>
        <v>6.5163489849682232E-2</v>
      </c>
      <c r="N104" s="82">
        <f>IFERROR(IF(OR(NOT(ISNUMBER('Price History'!N105)),NOT(ISNUMBER('Price History'!N104)),'Price History'!N104=0),"",'Price History'!N105/'Price History'!N104-1),"")</f>
        <v>2.1400143537548155E-2</v>
      </c>
      <c r="O104" s="82">
        <f>IFERROR(IF(OR(NOT(ISNUMBER('Price History'!O105)),NOT(ISNUMBER('Price History'!O104)),'Price History'!O104=0),"",'Price History'!O105/'Price History'!O104-1),"")</f>
        <v>1.471686040311404E-2</v>
      </c>
      <c r="P104" s="82" t="str">
        <f>IFERROR(IF(OR(NOT(ISNUMBER('Price History'!P105)),NOT(ISNUMBER('Price History'!P104)),'Price History'!P104=0),"",'Price History'!P105/'Price History'!P104-1),"")</f>
        <v/>
      </c>
      <c r="Q104" s="82">
        <f>IFERROR(IF(OR(NOT(ISNUMBER('Price History'!Q105)),NOT(ISNUMBER('Price History'!Q104)),'Price History'!Q104=0),"",'Price History'!Q105/'Price History'!Q104-1),"")</f>
        <v>8.5509950248758848E-3</v>
      </c>
      <c r="R104" s="82">
        <f>IFERROR(IF(OR(NOT(ISNUMBER('Price History'!R105)),NOT(ISNUMBER('Price History'!R104)),'Price History'!R104=0),"",'Price History'!R105/'Price History'!R104-1),"")</f>
        <v>7.1311025781679582E-3</v>
      </c>
      <c r="S104" s="82">
        <f>IFERROR(IF(OR(NOT(ISNUMBER('Price History'!S105)),NOT(ISNUMBER('Price History'!S104)),'Price History'!S104=0),"",'Price History'!S105/'Price History'!S104-1),"")</f>
        <v>1.0542036370025487E-2</v>
      </c>
      <c r="T104" s="82">
        <f>IFERROR(IF(OR(NOT(ISNUMBER('Price History'!T105)),NOT(ISNUMBER('Price History'!T104)),'Price History'!T104=0),"",'Price History'!T105/'Price History'!T104-1),"")</f>
        <v>2.1949828962371853E-2</v>
      </c>
      <c r="U104" s="82" t="str">
        <f>IFERROR(IF(OR(NOT(ISNUMBER('Price History'!U105)),NOT(ISNUMBER('Price History'!U104)),'Price History'!U104=0),"",'Price History'!U105/'Price History'!U104-1),"")</f>
        <v/>
      </c>
      <c r="V104" s="83">
        <f>IFERROR(IF(OR(NOT(ISNUMBER('Price History'!V105)),NOT(ISNUMBER('Price History'!V104)),'Price History'!V104=0),"",'Price History'!V105/'Price History'!V104-1),"")</f>
        <v>2.2912025920675649E-2</v>
      </c>
      <c r="W104" s="84" t="str">
        <f>IFERROR('Price History'!B3+(INDEX('Price History'!B:B,MATCH(9.99E+307,'Price History'!$A:$A))-'Price History'!B3)*(ROW()-3)/(MATCH(9.99E+307,'Returns (Calc)'!$A:$A)-3),"")</f>
        <v/>
      </c>
      <c r="X104" s="84">
        <f>IFERROR('Price History'!C3+(INDEX('Price History'!C:C,MATCH(9.99E+307,'Price History'!$A:$A))-'Price History'!C3)*(ROW()-3)/(MATCH(9.99E+307,'Returns (Calc)'!$A:$A)-3),"")</f>
        <v>15.955471698113211</v>
      </c>
      <c r="Y104" s="84">
        <f>IFERROR('Price History'!D3+(INDEX('Price History'!D:D,MATCH(9.99E+307,'Price History'!$A:$A))-'Price History'!D3)*(ROW()-3)/(MATCH(9.99E+307,'Returns (Calc)'!$A:$A)-3),"")</f>
        <v>241.4040251572327</v>
      </c>
      <c r="Z104" s="84">
        <f>IFERROR('Price History'!E3+(INDEX('Price History'!E:E,MATCH(9.99E+307,'Price History'!$A:$A))-'Price History'!E3)*(ROW()-3)/(MATCH(9.99E+307,'Returns (Calc)'!$A:$A)-3),"")</f>
        <v>30.269433962264159</v>
      </c>
      <c r="AA104" s="84">
        <f>IFERROR('Price History'!F3+(INDEX('Price History'!F:F,MATCH(9.99E+307,'Price History'!$A:$A))-'Price History'!F3)*(ROW()-3)/(MATCH(9.99E+307,'Returns (Calc)'!$A:$A)-3),"")</f>
        <v>13.518742138364779</v>
      </c>
      <c r="AB104" s="84">
        <f>IFERROR('Price History'!G3+(INDEX('Price History'!G:G,MATCH(9.99E+307,'Price History'!$A:$A))-'Price History'!G3)*(ROW()-3)/(MATCH(9.99E+307,'Returns (Calc)'!$A:$A)-3),"")</f>
        <v>17.472955974842769</v>
      </c>
      <c r="AC104" s="84">
        <f>IFERROR('Price History'!H3+(INDEX('Price History'!H:H,MATCH(9.99E+307,'Price History'!$A:$A))-'Price History'!H3)*(ROW()-3)/(MATCH(9.99E+307,'Returns (Calc)'!$A:$A)-3),"")</f>
        <v>23.480880503144654</v>
      </c>
      <c r="AD104" s="84">
        <f>IFERROR('Price History'!I3+(INDEX('Price History'!I:I,MATCH(9.99E+307,'Price History'!$A:$A))-'Price History'!I3)*(ROW()-3)/(MATCH(9.99E+307,'Returns (Calc)'!$A:$A)-3),"")</f>
        <v>14.901257861635219</v>
      </c>
      <c r="AE104" s="84">
        <f>IFERROR('Price History'!J3+(INDEX('Price History'!J:J,MATCH(9.99E+307,'Price History'!$A:$A))-'Price History'!J3)*(ROW()-3)/(MATCH(9.99E+307,'Returns (Calc)'!$A:$A)-3),"")</f>
        <v>45.053962264150954</v>
      </c>
      <c r="AF104" s="84">
        <f>IFERROR('Price History'!K3+(INDEX('Price History'!K:K,MATCH(9.99E+307,'Price History'!$A:$A))-'Price History'!K3)*(ROW()-3)/(MATCH(9.99E+307,'Returns (Calc)'!$A:$A)-3),"")</f>
        <v>5.62125786163522</v>
      </c>
      <c r="AG104" s="84">
        <f>IFERROR('Price History'!L3+(INDEX('Price History'!L:L,MATCH(9.99E+307,'Price History'!$A:$A))-'Price History'!L3)*(ROW()-3)/(MATCH(9.99E+307,'Returns (Calc)'!$A:$A)-3),"")</f>
        <v>33.556100628930814</v>
      </c>
      <c r="AH104" s="84">
        <f>IFERROR('Price History'!M3+(INDEX('Price History'!M:M,MATCH(9.99E+307,'Price History'!$A:$A))-'Price History'!M3)*(ROW()-3)/(MATCH(9.99E+307,'Returns (Calc)'!$A:$A)-3),"")</f>
        <v>12.223773584905661</v>
      </c>
      <c r="AI104" s="84">
        <f>IFERROR('Price History'!N3+(INDEX('Price History'!N:N,MATCH(9.99E+307,'Price History'!$A:$A))-'Price History'!N3)*(ROW()-3)/(MATCH(9.99E+307,'Returns (Calc)'!$A:$A)-3),"")</f>
        <v>127.62188679245284</v>
      </c>
      <c r="AJ104" s="84">
        <f>IFERROR('Price History'!O3+(INDEX('Price History'!O:O,MATCH(9.99E+307,'Price History'!$A:$A))-'Price History'!O3)*(ROW()-3)/(MATCH(9.99E+307,'Returns (Calc)'!$A:$A)-3),"")</f>
        <v>30.222012578616358</v>
      </c>
      <c r="AK104" s="84">
        <f>IFERROR('Price History'!Q3+(INDEX('Price History'!Q:Q,MATCH(9.99E+307,'Price History'!$A:$A))-'Price History'!Q3)*(ROW()-3)/(MATCH(9.99E+307,'Returns (Calc)'!$A:$A)-3),"")</f>
        <v>18.180628930817612</v>
      </c>
      <c r="AL104" s="84">
        <f>IFERROR('Price History'!R3+(INDEX('Price History'!R:R,MATCH(9.99E+307,'Price History'!$A:$A))-'Price History'!R3)*(ROW()-3)/(MATCH(9.99E+307,'Returns (Calc)'!$A:$A)-3),"")</f>
        <v>17.443773584905664</v>
      </c>
      <c r="AM104" s="84">
        <f>IFERROR('Price History'!S3+(INDEX('Price History'!S:S,MATCH(9.99E+307,'Price History'!$A:$A))-'Price History'!S3)*(ROW()-3)/(MATCH(9.99E+307,'Returns (Calc)'!$A:$A)-3),"")</f>
        <v>21.354213836477989</v>
      </c>
      <c r="AN104" s="84">
        <f>IFERROR('Price History'!T3+(INDEX('Price History'!T:T,MATCH(9.99E+307,'Price History'!$A:$A))-'Price History'!T3)*(ROW()-3)/(MATCH(9.99E+307,'Returns (Calc)'!$A:$A)-3),"")</f>
        <v>9.8162264150943415</v>
      </c>
      <c r="AO104" s="85">
        <f>IFERROR('Price History'!V3+(INDEX('Price History'!V:V,MATCH(9.99E+307,'Price History'!$A:$A))-'Price History'!V3)*(ROW()-3)/(MATCH(9.99E+307,'Returns (Calc)'!$A:$A)-3),"")</f>
        <v>0</v>
      </c>
    </row>
    <row r="105" spans="1:41" ht="15" customHeight="1" x14ac:dyDescent="0.3">
      <c r="A105" s="81">
        <f>IF('Price History'!A106="","",'Price History'!A106)</f>
        <v>45870</v>
      </c>
      <c r="B105" s="82">
        <f>IFERROR(IF(OR(NOT(ISNUMBER('Price History'!B106)),NOT(ISNUMBER('Price History'!B105)),'Price History'!B105=0),"",'Price History'!B106/'Price History'!B105-1),"")</f>
        <v>-6.187624750498999E-2</v>
      </c>
      <c r="C105" s="82">
        <f>IFERROR(IF(OR(NOT(ISNUMBER('Price History'!C106)),NOT(ISNUMBER('Price History'!C105)),'Price History'!C105=0),"",'Price History'!C106/'Price History'!C105-1),"")</f>
        <v>2.878893944697225E-2</v>
      </c>
      <c r="D105" s="82">
        <f>IFERROR(IF(OR(NOT(ISNUMBER('Price History'!D106)),NOT(ISNUMBER('Price History'!D105)),'Price History'!D105=0),"",'Price History'!D106/'Price History'!D105-1),"")</f>
        <v>-3.0130052724077205E-2</v>
      </c>
      <c r="E105" s="82">
        <f>IFERROR(IF(OR(NOT(ISNUMBER('Price History'!E106)),NOT(ISNUMBER('Price History'!E105)),'Price History'!E105=0),"",'Price History'!E106/'Price History'!E105-1),"")</f>
        <v>-5.3070507960576441E-3</v>
      </c>
      <c r="F105" s="82">
        <f>IFERROR(IF(OR(NOT(ISNUMBER('Price History'!F106)),NOT(ISNUMBER('Price History'!F105)),'Price History'!F105=0),"",'Price History'!F106/'Price History'!F105-1),"")</f>
        <v>-4.5392374764917087E-2</v>
      </c>
      <c r="G105" s="82">
        <f>IFERROR(IF(OR(NOT(ISNUMBER('Price History'!G106)),NOT(ISNUMBER('Price History'!G105)),'Price History'!G105=0),"",'Price History'!G106/'Price History'!G105-1),"")</f>
        <v>-1.7182130584192379E-2</v>
      </c>
      <c r="H105" s="82">
        <f>IFERROR(IF(OR(NOT(ISNUMBER('Price History'!H106)),NOT(ISNUMBER('Price History'!H105)),'Price History'!H105=0),"",'Price History'!H106/'Price History'!H105-1),"")</f>
        <v>-5.7343160165378437E-2</v>
      </c>
      <c r="I105" s="82">
        <f>IFERROR(IF(OR(NOT(ISNUMBER('Price History'!I106)),NOT(ISNUMBER('Price History'!I105)),'Price History'!I105=0),"",'Price History'!I106/'Price History'!I105-1),"")</f>
        <v>1.2680115273775439E-3</v>
      </c>
      <c r="J105" s="82">
        <f>IFERROR(IF(OR(NOT(ISNUMBER('Price History'!J106)),NOT(ISNUMBER('Price History'!J105)),'Price History'!J105=0),"",'Price History'!J106/'Price History'!J105-1),"")</f>
        <v>-4.8780487804878092E-2</v>
      </c>
      <c r="K105" s="82">
        <f>IFERROR(IF(OR(NOT(ISNUMBER('Price History'!K106)),NOT(ISNUMBER('Price History'!K105)),'Price History'!K105=0),"",'Price History'!K106/'Price History'!K105-1),"")</f>
        <v>-2.8526448362720447E-2</v>
      </c>
      <c r="L105" s="82">
        <f>IFERROR(IF(OR(NOT(ISNUMBER('Price History'!L106)),NOT(ISNUMBER('Price History'!L105)),'Price History'!L105=0),"",'Price History'!L106/'Price History'!L105-1),"")</f>
        <v>-4.2304560260586266E-2</v>
      </c>
      <c r="M105" s="82">
        <f>IFERROR(IF(OR(NOT(ISNUMBER('Price History'!M106)),NOT(ISNUMBER('Price History'!M105)),'Price History'!M105=0),"",'Price History'!M106/'Price History'!M105-1),"")</f>
        <v>2.9970175310976899E-2</v>
      </c>
      <c r="N105" s="82">
        <f>IFERROR(IF(OR(NOT(ISNUMBER('Price History'!N106)),NOT(ISNUMBER('Price History'!N105)),'Price History'!N105=0),"",'Price History'!N106/'Price History'!N105-1),"")</f>
        <v>-1.6011923773022407E-2</v>
      </c>
      <c r="O105" s="82">
        <f>IFERROR(IF(OR(NOT(ISNUMBER('Price History'!O106)),NOT(ISNUMBER('Price History'!O105)),'Price History'!O105=0),"",'Price History'!O106/'Price History'!O105-1),"")</f>
        <v>-5.0236468733578565E-2</v>
      </c>
      <c r="P105" s="82" t="str">
        <f>IFERROR(IF(OR(NOT(ISNUMBER('Price History'!P106)),NOT(ISNUMBER('Price History'!P105)),'Price History'!P105=0),"",'Price History'!P106/'Price History'!P105-1),"")</f>
        <v/>
      </c>
      <c r="Q105" s="82">
        <f>IFERROR(IF(OR(NOT(ISNUMBER('Price History'!Q106)),NOT(ISNUMBER('Price History'!Q105)),'Price History'!Q105=0),"",'Price History'!Q106/'Price History'!Q105-1),"")</f>
        <v>2.0040080160319551E-3</v>
      </c>
      <c r="R105" s="82">
        <f>IFERROR(IF(OR(NOT(ISNUMBER('Price History'!R106)),NOT(ISNUMBER('Price History'!R105)),'Price History'!R105=0),"",'Price History'!R106/'Price History'!R105-1),"")</f>
        <v>-2.3057371096586676E-2</v>
      </c>
      <c r="S105" s="82">
        <f>IFERROR(IF(OR(NOT(ISNUMBER('Price History'!S106)),NOT(ISNUMBER('Price History'!S105)),'Price History'!S105=0),"",'Price History'!S106/'Price History'!S105-1),"")</f>
        <v>-1.5648091802138553E-2</v>
      </c>
      <c r="T105" s="82">
        <f>IFERROR(IF(OR(NOT(ISNUMBER('Price History'!T106)),NOT(ISNUMBER('Price History'!T105)),'Price History'!T105=0),"",'Price History'!T106/'Price History'!T105-1),"")</f>
        <v>-4.1841004184100417E-2</v>
      </c>
      <c r="U105" s="82" t="str">
        <f>IFERROR(IF(OR(NOT(ISNUMBER('Price History'!U106)),NOT(ISNUMBER('Price History'!U105)),'Price History'!U105=0),"",'Price History'!U106/'Price History'!U105-1),"")</f>
        <v/>
      </c>
      <c r="V105" s="83">
        <f>IFERROR(IF(OR(NOT(ISNUMBER('Price History'!V106)),NOT(ISNUMBER('Price History'!V105)),'Price History'!V105=0),"",'Price History'!V106/'Price History'!V105-1),"")</f>
        <v>-4.9548912582369375E-2</v>
      </c>
      <c r="W105" s="84" t="str">
        <f>IFERROR('Price History'!B3+(INDEX('Price History'!B:B,MATCH(9.99E+307,'Price History'!$A:$A))-'Price History'!B3)*(ROW()-3)/(MATCH(9.99E+307,'Returns (Calc)'!$A:$A)-3),"")</f>
        <v/>
      </c>
      <c r="X105" s="84">
        <f>IFERROR('Price History'!C3+(INDEX('Price History'!C:C,MATCH(9.99E+307,'Price History'!$A:$A))-'Price History'!C3)*(ROW()-3)/(MATCH(9.99E+307,'Returns (Calc)'!$A:$A)-3),"")</f>
        <v>15.680377358490563</v>
      </c>
      <c r="Y105" s="84">
        <f>IFERROR('Price History'!D3+(INDEX('Price History'!D:D,MATCH(9.99E+307,'Price History'!$A:$A))-'Price History'!D3)*(ROW()-3)/(MATCH(9.99E+307,'Returns (Calc)'!$A:$A)-3),"")</f>
        <v>237.24188679245282</v>
      </c>
      <c r="Z105" s="84">
        <f>IFERROR('Price History'!E3+(INDEX('Price History'!E:E,MATCH(9.99E+307,'Price History'!$A:$A))-'Price History'!E3)*(ROW()-3)/(MATCH(9.99E+307,'Returns (Calc)'!$A:$A)-3),"")</f>
        <v>29.74754716981132</v>
      </c>
      <c r="AA105" s="84">
        <f>IFERROR('Price History'!F3+(INDEX('Price History'!F:F,MATCH(9.99E+307,'Price History'!$A:$A))-'Price History'!F3)*(ROW()-3)/(MATCH(9.99E+307,'Returns (Calc)'!$A:$A)-3),"")</f>
        <v>13.285660377358489</v>
      </c>
      <c r="AB105" s="84">
        <f>IFERROR('Price History'!G3+(INDEX('Price History'!G:G,MATCH(9.99E+307,'Price History'!$A:$A))-'Price History'!G3)*(ROW()-3)/(MATCH(9.99E+307,'Returns (Calc)'!$A:$A)-3),"")</f>
        <v>17.171698113207544</v>
      </c>
      <c r="AC105" s="84">
        <f>IFERROR('Price History'!H3+(INDEX('Price History'!H:H,MATCH(9.99E+307,'Price History'!$A:$A))-'Price History'!H3)*(ROW()-3)/(MATCH(9.99E+307,'Returns (Calc)'!$A:$A)-3),"")</f>
        <v>23.076037735849056</v>
      </c>
      <c r="AD105" s="84">
        <f>IFERROR('Price History'!I3+(INDEX('Price History'!I:I,MATCH(9.99E+307,'Price History'!$A:$A))-'Price History'!I3)*(ROW()-3)/(MATCH(9.99E+307,'Returns (Calc)'!$A:$A)-3),"")</f>
        <v>14.64433962264151</v>
      </c>
      <c r="AE105" s="84">
        <f>IFERROR('Price History'!J3+(INDEX('Price History'!J:J,MATCH(9.99E+307,'Price History'!$A:$A))-'Price History'!J3)*(ROW()-3)/(MATCH(9.99E+307,'Returns (Calc)'!$A:$A)-3),"")</f>
        <v>44.277169811320761</v>
      </c>
      <c r="AF105" s="84">
        <f>IFERROR('Price History'!K3+(INDEX('Price History'!K:K,MATCH(9.99E+307,'Price History'!$A:$A))-'Price History'!K3)*(ROW()-3)/(MATCH(9.99E+307,'Returns (Calc)'!$A:$A)-3),"")</f>
        <v>5.5243396226415094</v>
      </c>
      <c r="AG105" s="84">
        <f>IFERROR('Price History'!L3+(INDEX('Price History'!L:L,MATCH(9.99E+307,'Price History'!$A:$A))-'Price History'!L3)*(ROW()-3)/(MATCH(9.99E+307,'Returns (Calc)'!$A:$A)-3),"")</f>
        <v>32.977547169811317</v>
      </c>
      <c r="AH105" s="84">
        <f>IFERROR('Price History'!M3+(INDEX('Price History'!M:M,MATCH(9.99E+307,'Price History'!$A:$A))-'Price History'!M3)*(ROW()-3)/(MATCH(9.99E+307,'Returns (Calc)'!$A:$A)-3),"")</f>
        <v>12.013018867924526</v>
      </c>
      <c r="AI105" s="84">
        <f>IFERROR('Price History'!N3+(INDEX('Price History'!N:N,MATCH(9.99E+307,'Price History'!$A:$A))-'Price History'!N3)*(ROW()-3)/(MATCH(9.99E+307,'Returns (Calc)'!$A:$A)-3),"")</f>
        <v>125.42150943396226</v>
      </c>
      <c r="AJ105" s="84">
        <f>IFERROR('Price History'!O3+(INDEX('Price History'!O:O,MATCH(9.99E+307,'Price History'!$A:$A))-'Price History'!O3)*(ROW()-3)/(MATCH(9.99E+307,'Returns (Calc)'!$A:$A)-3),"")</f>
        <v>29.700943396226414</v>
      </c>
      <c r="AK105" s="84">
        <f>IFERROR('Price History'!Q3+(INDEX('Price History'!Q:Q,MATCH(9.99E+307,'Price History'!$A:$A))-'Price History'!Q3)*(ROW()-3)/(MATCH(9.99E+307,'Returns (Calc)'!$A:$A)-3),"")</f>
        <v>17.867169811320757</v>
      </c>
      <c r="AL105" s="84">
        <f>IFERROR('Price History'!R3+(INDEX('Price History'!R:R,MATCH(9.99E+307,'Price History'!$A:$A))-'Price History'!R3)*(ROW()-3)/(MATCH(9.99E+307,'Returns (Calc)'!$A:$A)-3),"")</f>
        <v>17.143018867924525</v>
      </c>
      <c r="AM105" s="84">
        <f>IFERROR('Price History'!S3+(INDEX('Price History'!S:S,MATCH(9.99E+307,'Price History'!$A:$A))-'Price History'!S3)*(ROW()-3)/(MATCH(9.99E+307,'Returns (Calc)'!$A:$A)-3),"")</f>
        <v>20.98603773584906</v>
      </c>
      <c r="AN105" s="84">
        <f>IFERROR('Price History'!T3+(INDEX('Price History'!T:T,MATCH(9.99E+307,'Price History'!$A:$A))-'Price History'!T3)*(ROW()-3)/(MATCH(9.99E+307,'Returns (Calc)'!$A:$A)-3),"")</f>
        <v>9.6469811320754708</v>
      </c>
      <c r="AO105" s="85">
        <f>IFERROR('Price History'!V3+(INDEX('Price History'!V:V,MATCH(9.99E+307,'Price History'!$A:$A))-'Price History'!V3)*(ROW()-3)/(MATCH(9.99E+307,'Returns (Calc)'!$A:$A)-3),"")</f>
        <v>0</v>
      </c>
    </row>
    <row r="106" spans="1:41" ht="15" customHeight="1" x14ac:dyDescent="0.3">
      <c r="A106" s="81">
        <f>IF('Price History'!A107="","",'Price History'!A107)</f>
        <v>45877</v>
      </c>
      <c r="B106" s="82">
        <f>IFERROR(IF(OR(NOT(ISNUMBER('Price History'!B107)),NOT(ISNUMBER('Price History'!B106)),'Price History'!B106=0),"",'Price History'!B107/'Price History'!B106-1),"")</f>
        <v>-1.9407705577918377E-2</v>
      </c>
      <c r="C106" s="82">
        <f>IFERROR(IF(OR(NOT(ISNUMBER('Price History'!C107)),NOT(ISNUMBER('Price History'!C106)),'Price History'!C106=0),"",'Price History'!C107/'Price History'!C106-1),"")</f>
        <v>0.18380539253210859</v>
      </c>
      <c r="D106" s="82">
        <f>IFERROR(IF(OR(NOT(ISNUMBER('Price History'!D107)),NOT(ISNUMBER('Price History'!D106)),'Price History'!D106=0),"",'Price History'!D107/'Price History'!D106-1),"")</f>
        <v>4.7113739816183831E-2</v>
      </c>
      <c r="E106" s="82">
        <f>IFERROR(IF(OR(NOT(ISNUMBER('Price History'!E107)),NOT(ISNUMBER('Price History'!E106)),'Price History'!E106=0),"",'Price History'!E107/'Price History'!E106-1),"")</f>
        <v>5.6575665188470126E-2</v>
      </c>
      <c r="F106" s="82">
        <f>IFERROR(IF(OR(NOT(ISNUMBER('Price History'!F107)),NOT(ISNUMBER('Price History'!F106)),'Price History'!F106=0),"",'Price History'!F107/'Price History'!F106-1),"")</f>
        <v>-4.970000895495652E-2</v>
      </c>
      <c r="G106" s="82">
        <f>IFERROR(IF(OR(NOT(ISNUMBER('Price History'!G107)),NOT(ISNUMBER('Price History'!G106)),'Price History'!G106=0),"",'Price History'!G107/'Price History'!G106-1),"")</f>
        <v>3.1806902774644819E-2</v>
      </c>
      <c r="H106" s="82">
        <f>IFERROR(IF(OR(NOT(ISNUMBER('Price History'!H107)),NOT(ISNUMBER('Price History'!H106)),'Price History'!H106=0),"",'Price History'!H107/'Price History'!H106-1),"")</f>
        <v>0.13358123569794045</v>
      </c>
      <c r="I106" s="82">
        <f>IFERROR(IF(OR(NOT(ISNUMBER('Price History'!I107)),NOT(ISNUMBER('Price History'!I106)),'Price History'!I106=0),"",'Price History'!I107/'Price History'!I106-1),"")</f>
        <v>5.1692378540179496E-2</v>
      </c>
      <c r="J106" s="82">
        <f>IFERROR(IF(OR(NOT(ISNUMBER('Price History'!J107)),NOT(ISNUMBER('Price History'!J106)),'Price History'!J106=0),"",'Price History'!J107/'Price History'!J106-1),"")</f>
        <v>7.3396244399963617E-3</v>
      </c>
      <c r="K106" s="82">
        <f>IFERROR(IF(OR(NOT(ISNUMBER('Price History'!K107)),NOT(ISNUMBER('Price History'!K106)),'Price History'!K106=0),"",'Price History'!K107/'Price History'!K106-1),"")</f>
        <v>0.21190121216049773</v>
      </c>
      <c r="L106" s="82">
        <f>IFERROR(IF(OR(NOT(ISNUMBER('Price History'!L107)),NOT(ISNUMBER('Price History'!L106)),'Price History'!L106=0),"",'Price History'!L107/'Price History'!L106-1),"")</f>
        <v>2.8145061859614851E-2</v>
      </c>
      <c r="M106" s="82">
        <f>IFERROR(IF(OR(NOT(ISNUMBER('Price History'!M107)),NOT(ISNUMBER('Price History'!M106)),'Price History'!M106=0),"",'Price History'!M107/'Price History'!M106-1),"")</f>
        <v>-1.1723991807330969E-2</v>
      </c>
      <c r="N106" s="82">
        <f>IFERROR(IF(OR(NOT(ISNUMBER('Price History'!N107)),NOT(ISNUMBER('Price History'!N106)),'Price History'!N106=0),"",'Price History'!N107/'Price History'!N106-1),"")</f>
        <v>-0.20684655832774324</v>
      </c>
      <c r="O106" s="82">
        <f>IFERROR(IF(OR(NOT(ISNUMBER('Price History'!O107)),NOT(ISNUMBER('Price History'!O106)),'Price History'!O106=0),"",'Price History'!O107/'Price History'!O106-1),"")</f>
        <v>2.3237800154918498E-2</v>
      </c>
      <c r="P106" s="82" t="str">
        <f>IFERROR(IF(OR(NOT(ISNUMBER('Price History'!P107)),NOT(ISNUMBER('Price History'!P106)),'Price History'!P106=0),"",'Price History'!P107/'Price History'!P106-1),"")</f>
        <v/>
      </c>
      <c r="Q106" s="82">
        <f>IFERROR(IF(OR(NOT(ISNUMBER('Price History'!Q107)),NOT(ISNUMBER('Price History'!Q106)),'Price History'!Q106=0),"",'Price History'!Q107/'Price History'!Q106-1),"")</f>
        <v>-1.6923076923076597E-3</v>
      </c>
      <c r="R106" s="82">
        <f>IFERROR(IF(OR(NOT(ISNUMBER('Price History'!R107)),NOT(ISNUMBER('Price History'!R106)),'Price History'!R106=0),"",'Price History'!R107/'Price History'!R106-1),"")</f>
        <v>2.8061698569039173E-2</v>
      </c>
      <c r="S106" s="82">
        <f>IFERROR(IF(OR(NOT(ISNUMBER('Price History'!S107)),NOT(ISNUMBER('Price History'!S106)),'Price History'!S106=0),"",'Price History'!S107/'Price History'!S106-1),"")</f>
        <v>3.4973063675704186E-2</v>
      </c>
      <c r="T106" s="82">
        <f>IFERROR(IF(OR(NOT(ISNUMBER('Price History'!T107)),NOT(ISNUMBER('Price History'!T106)),'Price History'!T106=0),"",'Price History'!T107/'Price History'!T106-1),"")</f>
        <v>9.898107714701565E-3</v>
      </c>
      <c r="U106" s="82" t="str">
        <f>IFERROR(IF(OR(NOT(ISNUMBER('Price History'!U107)),NOT(ISNUMBER('Price History'!U106)),'Price History'!U106=0),"",'Price History'!U107/'Price History'!U106-1),"")</f>
        <v/>
      </c>
      <c r="V106" s="83">
        <f>IFERROR(IF(OR(NOT(ISNUMBER('Price History'!V107)),NOT(ISNUMBER('Price History'!V106)),'Price History'!V106=0),"",'Price History'!V107/'Price History'!V106-1),"")</f>
        <v>-7.5877049424227794E-3</v>
      </c>
      <c r="W106" s="84" t="str">
        <f>IFERROR('Price History'!B3+(INDEX('Price History'!B:B,MATCH(9.99E+307,'Price History'!$A:$A))-'Price History'!B3)*(ROW()-3)/(MATCH(9.99E+307,'Returns (Calc)'!$A:$A)-3),"")</f>
        <v/>
      </c>
      <c r="X106" s="84">
        <f>IFERROR('Price History'!C3+(INDEX('Price History'!C:C,MATCH(9.99E+307,'Price History'!$A:$A))-'Price History'!C3)*(ROW()-3)/(MATCH(9.99E+307,'Returns (Calc)'!$A:$A)-3),"")</f>
        <v>15.405283018867927</v>
      </c>
      <c r="Y106" s="84">
        <f>IFERROR('Price History'!D3+(INDEX('Price History'!D:D,MATCH(9.99E+307,'Price History'!$A:$A))-'Price History'!D3)*(ROW()-3)/(MATCH(9.99E+307,'Returns (Calc)'!$A:$A)-3),"")</f>
        <v>233.07974842767294</v>
      </c>
      <c r="Z106" s="84">
        <f>IFERROR('Price History'!E3+(INDEX('Price History'!E:E,MATCH(9.99E+307,'Price History'!$A:$A))-'Price History'!E3)*(ROW()-3)/(MATCH(9.99E+307,'Returns (Calc)'!$A:$A)-3),"")</f>
        <v>29.225660377358494</v>
      </c>
      <c r="AA106" s="84">
        <f>IFERROR('Price History'!F3+(INDEX('Price History'!F:F,MATCH(9.99E+307,'Price History'!$A:$A))-'Price History'!F3)*(ROW()-3)/(MATCH(9.99E+307,'Returns (Calc)'!$A:$A)-3),"")</f>
        <v>13.0525786163522</v>
      </c>
      <c r="AB106" s="84">
        <f>IFERROR('Price History'!G3+(INDEX('Price History'!G:G,MATCH(9.99E+307,'Price History'!$A:$A))-'Price History'!G3)*(ROW()-3)/(MATCH(9.99E+307,'Returns (Calc)'!$A:$A)-3),"")</f>
        <v>16.870440251572326</v>
      </c>
      <c r="AC106" s="84">
        <f>IFERROR('Price History'!H3+(INDEX('Price History'!H:H,MATCH(9.99E+307,'Price History'!$A:$A))-'Price History'!H3)*(ROW()-3)/(MATCH(9.99E+307,'Returns (Calc)'!$A:$A)-3),"")</f>
        <v>22.671194968553458</v>
      </c>
      <c r="AD106" s="84">
        <f>IFERROR('Price History'!I3+(INDEX('Price History'!I:I,MATCH(9.99E+307,'Price History'!$A:$A))-'Price History'!I3)*(ROW()-3)/(MATCH(9.99E+307,'Returns (Calc)'!$A:$A)-3),"")</f>
        <v>14.387421383647798</v>
      </c>
      <c r="AE106" s="84">
        <f>IFERROR('Price History'!J3+(INDEX('Price History'!J:J,MATCH(9.99E+307,'Price History'!$A:$A))-'Price History'!J3)*(ROW()-3)/(MATCH(9.99E+307,'Returns (Calc)'!$A:$A)-3),"")</f>
        <v>43.500377358490567</v>
      </c>
      <c r="AF106" s="84">
        <f>IFERROR('Price History'!K3+(INDEX('Price History'!K:K,MATCH(9.99E+307,'Price History'!$A:$A))-'Price History'!K3)*(ROW()-3)/(MATCH(9.99E+307,'Returns (Calc)'!$A:$A)-3),"")</f>
        <v>5.4274213836477987</v>
      </c>
      <c r="AG106" s="84">
        <f>IFERROR('Price History'!L3+(INDEX('Price History'!L:L,MATCH(9.99E+307,'Price History'!$A:$A))-'Price History'!L3)*(ROW()-3)/(MATCH(9.99E+307,'Returns (Calc)'!$A:$A)-3),"")</f>
        <v>32.398993710691826</v>
      </c>
      <c r="AH106" s="84">
        <f>IFERROR('Price History'!M3+(INDEX('Price History'!M:M,MATCH(9.99E+307,'Price History'!$A:$A))-'Price History'!M3)*(ROW()-3)/(MATCH(9.99E+307,'Returns (Calc)'!$A:$A)-3),"")</f>
        <v>11.802264150943397</v>
      </c>
      <c r="AI106" s="84">
        <f>IFERROR('Price History'!N3+(INDEX('Price History'!N:N,MATCH(9.99E+307,'Price History'!$A:$A))-'Price History'!N3)*(ROW()-3)/(MATCH(9.99E+307,'Returns (Calc)'!$A:$A)-3),"")</f>
        <v>123.2211320754717</v>
      </c>
      <c r="AJ106" s="84">
        <f>IFERROR('Price History'!O3+(INDEX('Price History'!O:O,MATCH(9.99E+307,'Price History'!$A:$A))-'Price History'!O3)*(ROW()-3)/(MATCH(9.99E+307,'Returns (Calc)'!$A:$A)-3),"")</f>
        <v>29.179874213836477</v>
      </c>
      <c r="AK106" s="84">
        <f>IFERROR('Price History'!Q3+(INDEX('Price History'!Q:Q,MATCH(9.99E+307,'Price History'!$A:$A))-'Price History'!Q3)*(ROW()-3)/(MATCH(9.99E+307,'Returns (Calc)'!$A:$A)-3),"")</f>
        <v>17.553710691823902</v>
      </c>
      <c r="AL106" s="84">
        <f>IFERROR('Price History'!R3+(INDEX('Price History'!R:R,MATCH(9.99E+307,'Price History'!$A:$A))-'Price History'!R3)*(ROW()-3)/(MATCH(9.99E+307,'Returns (Calc)'!$A:$A)-3),"")</f>
        <v>16.842264150943397</v>
      </c>
      <c r="AM106" s="84">
        <f>IFERROR('Price History'!S3+(INDEX('Price History'!S:S,MATCH(9.99E+307,'Price History'!$A:$A))-'Price History'!S3)*(ROW()-3)/(MATCH(9.99E+307,'Returns (Calc)'!$A:$A)-3),"")</f>
        <v>20.617861635220123</v>
      </c>
      <c r="AN106" s="84">
        <f>IFERROR('Price History'!T3+(INDEX('Price History'!T:T,MATCH(9.99E+307,'Price History'!$A:$A))-'Price History'!T3)*(ROW()-3)/(MATCH(9.99E+307,'Returns (Calc)'!$A:$A)-3),"")</f>
        <v>9.4777358490566037</v>
      </c>
      <c r="AO106" s="85">
        <f>IFERROR('Price History'!V3+(INDEX('Price History'!V:V,MATCH(9.99E+307,'Price History'!$A:$A))-'Price History'!V3)*(ROW()-3)/(MATCH(9.99E+307,'Returns (Calc)'!$A:$A)-3),"")</f>
        <v>0</v>
      </c>
    </row>
    <row r="107" spans="1:41" ht="15" customHeight="1" x14ac:dyDescent="0.3">
      <c r="A107" s="81">
        <f>IF('Price History'!A108="","",'Price History'!A108)</f>
        <v>45884</v>
      </c>
      <c r="B107" s="82">
        <f>IFERROR(IF(OR(NOT(ISNUMBER('Price History'!B108)),NOT(ISNUMBER('Price History'!B107)),'Price History'!B107=0),"",'Price History'!B108/'Price History'!B107-1),"")</f>
        <v>4.0463275179592362E-2</v>
      </c>
      <c r="C107" s="82">
        <f>IFERROR(IF(OR(NOT(ISNUMBER('Price History'!C108)),NOT(ISNUMBER('Price History'!C107)),'Price History'!C107=0),"",'Price History'!C108/'Price History'!C107-1),"")</f>
        <v>-1.35076878861905E-2</v>
      </c>
      <c r="D107" s="82">
        <f>IFERROR(IF(OR(NOT(ISNUMBER('Price History'!D108)),NOT(ISNUMBER('Price History'!D107)),'Price History'!D107=0),"",'Price History'!D108/'Price History'!D107-1),"")</f>
        <v>2.7467050614685906E-2</v>
      </c>
      <c r="E107" s="82">
        <f>IFERROR(IF(OR(NOT(ISNUMBER('Price History'!E108)),NOT(ISNUMBER('Price History'!E107)),'Price History'!E107=0),"",'Price History'!E108/'Price History'!E107-1),"")</f>
        <v>4.4922451388660356E-3</v>
      </c>
      <c r="F107" s="82">
        <f>IFERROR(IF(OR(NOT(ISNUMBER('Price History'!F108)),NOT(ISNUMBER('Price History'!F107)),'Price History'!F107=0),"",'Price History'!F108/'Price History'!F107-1),"")</f>
        <v>8.1040331699961943E-3</v>
      </c>
      <c r="G107" s="82">
        <f>IFERROR(IF(OR(NOT(ISNUMBER('Price History'!G108)),NOT(ISNUMBER('Price History'!G107)),'Price History'!G107=0),"",'Price History'!G108/'Price History'!G107-1),"")</f>
        <v>-4.3616090948841335E-2</v>
      </c>
      <c r="H107" s="82">
        <f>IFERROR(IF(OR(NOT(ISNUMBER('Price History'!H108)),NOT(ISNUMBER('Price History'!H107)),'Price History'!H107=0),"",'Price History'!H108/'Price History'!H107-1),"")</f>
        <v>1.6654049962149919E-2</v>
      </c>
      <c r="I107" s="82">
        <f>IFERROR(IF(OR(NOT(ISNUMBER('Price History'!I108)),NOT(ISNUMBER('Price History'!I107)),'Price History'!I107=0),"",'Price History'!I108/'Price History'!I107-1),"")</f>
        <v>-1.2315270935960632E-2</v>
      </c>
      <c r="J107" s="82">
        <f>IFERROR(IF(OR(NOT(ISNUMBER('Price History'!J108)),NOT(ISNUMBER('Price History'!J107)),'Price History'!J107=0),"",'Price History'!J108/'Price History'!J107-1),"")</f>
        <v>8.6109008327024394E-3</v>
      </c>
      <c r="K107" s="82">
        <f>IFERROR(IF(OR(NOT(ISNUMBER('Price History'!K108)),NOT(ISNUMBER('Price History'!K107)),'Price History'!K107=0),"",'Price History'!K108/'Price History'!K107-1),"")</f>
        <v>-5.2364142062473418E-2</v>
      </c>
      <c r="L107" s="82">
        <f>IFERROR(IF(OR(NOT(ISNUMBER('Price History'!L108)),NOT(ISNUMBER('Price History'!L107)),'Price History'!L107=0),"",'Price History'!L108/'Price History'!L107-1),"")</f>
        <v>-1.2198651945581673E-2</v>
      </c>
      <c r="M107" s="82">
        <f>IFERROR(IF(OR(NOT(ISNUMBER('Price History'!M108)),NOT(ISNUMBER('Price History'!M107)),'Price History'!M107=0),"",'Price History'!M108/'Price History'!M107-1),"")</f>
        <v>-4.9024512256128139E-2</v>
      </c>
      <c r="N107" s="82">
        <f>IFERROR(IF(OR(NOT(ISNUMBER('Price History'!N108)),NOT(ISNUMBER('Price History'!N107)),'Price History'!N107=0),"",'Price History'!N108/'Price History'!N107-1),"")</f>
        <v>7.1615649042396479E-2</v>
      </c>
      <c r="O107" s="82">
        <f>IFERROR(IF(OR(NOT(ISNUMBER('Price History'!O108)),NOT(ISNUMBER('Price History'!O107)),'Price History'!O107=0),"",'Price History'!O108/'Price History'!O107-1),"")</f>
        <v>2.9847518113983007E-2</v>
      </c>
      <c r="P107" s="82" t="str">
        <f>IFERROR(IF(OR(NOT(ISNUMBER('Price History'!P108)),NOT(ISNUMBER('Price History'!P107)),'Price History'!P107=0),"",'Price History'!P108/'Price History'!P107-1),"")</f>
        <v/>
      </c>
      <c r="Q107" s="82">
        <f>IFERROR(IF(OR(NOT(ISNUMBER('Price History'!Q108)),NOT(ISNUMBER('Price History'!Q107)),'Price History'!Q107=0),"",'Price History'!Q108/'Price History'!Q107-1),"")</f>
        <v>3.2362459546924072E-3</v>
      </c>
      <c r="R107" s="82">
        <f>IFERROR(IF(OR(NOT(ISNUMBER('Price History'!R108)),NOT(ISNUMBER('Price History'!R107)),'Price History'!R107=0),"",'Price History'!R108/'Price History'!R107-1),"")</f>
        <v>8.6767895878523404E-3</v>
      </c>
      <c r="S107" s="82">
        <f>IFERROR(IF(OR(NOT(ISNUMBER('Price History'!S108)),NOT(ISNUMBER('Price History'!S107)),'Price History'!S107=0),"",'Price History'!S108/'Price History'!S107-1),"")</f>
        <v>1.0239781551326654E-3</v>
      </c>
      <c r="T107" s="82">
        <f>IFERROR(IF(OR(NOT(ISNUMBER('Price History'!T108)),NOT(ISNUMBER('Price History'!T107)),'Price History'!T107=0),"",'Price History'!T108/'Price History'!T107-1),"")</f>
        <v>3.9492649178437755E-2</v>
      </c>
      <c r="U107" s="82" t="str">
        <f>IFERROR(IF(OR(NOT(ISNUMBER('Price History'!U108)),NOT(ISNUMBER('Price History'!U107)),'Price History'!U107=0),"",'Price History'!U108/'Price History'!U107-1),"")</f>
        <v/>
      </c>
      <c r="V107" s="83">
        <f>IFERROR(IF(OR(NOT(ISNUMBER('Price History'!V108)),NOT(ISNUMBER('Price History'!V107)),'Price History'!V107=0),"",'Price History'!V108/'Price History'!V107-1),"")</f>
        <v>2.4646198129047781E-2</v>
      </c>
      <c r="W107" s="84" t="str">
        <f>IFERROR('Price History'!B3+(INDEX('Price History'!B:B,MATCH(9.99E+307,'Price History'!$A:$A))-'Price History'!B3)*(ROW()-3)/(MATCH(9.99E+307,'Returns (Calc)'!$A:$A)-3),"")</f>
        <v/>
      </c>
      <c r="X107" s="84">
        <f>IFERROR('Price History'!C3+(INDEX('Price History'!C:C,MATCH(9.99E+307,'Price History'!$A:$A))-'Price History'!C3)*(ROW()-3)/(MATCH(9.99E+307,'Returns (Calc)'!$A:$A)-3),"")</f>
        <v>15.130188679245286</v>
      </c>
      <c r="Y107" s="84">
        <f>IFERROR('Price History'!D3+(INDEX('Price History'!D:D,MATCH(9.99E+307,'Price History'!$A:$A))-'Price History'!D3)*(ROW()-3)/(MATCH(9.99E+307,'Returns (Calc)'!$A:$A)-3),"")</f>
        <v>228.91761006289306</v>
      </c>
      <c r="Z107" s="84">
        <f>IFERROR('Price History'!E3+(INDEX('Price History'!E:E,MATCH(9.99E+307,'Price History'!$A:$A))-'Price History'!E3)*(ROW()-3)/(MATCH(9.99E+307,'Returns (Calc)'!$A:$A)-3),"")</f>
        <v>28.703773584905662</v>
      </c>
      <c r="AA107" s="84">
        <f>IFERROR('Price History'!F3+(INDEX('Price History'!F:F,MATCH(9.99E+307,'Price History'!$A:$A))-'Price History'!F3)*(ROW()-3)/(MATCH(9.99E+307,'Returns (Calc)'!$A:$A)-3),"")</f>
        <v>12.819496855345914</v>
      </c>
      <c r="AB107" s="84">
        <f>IFERROR('Price History'!G3+(INDEX('Price History'!G:G,MATCH(9.99E+307,'Price History'!$A:$A))-'Price History'!G3)*(ROW()-3)/(MATCH(9.99E+307,'Returns (Calc)'!$A:$A)-3),"")</f>
        <v>16.569182389937108</v>
      </c>
      <c r="AC107" s="84">
        <f>IFERROR('Price History'!H3+(INDEX('Price History'!H:H,MATCH(9.99E+307,'Price History'!$A:$A))-'Price History'!H3)*(ROW()-3)/(MATCH(9.99E+307,'Returns (Calc)'!$A:$A)-3),"")</f>
        <v>22.266352201257867</v>
      </c>
      <c r="AD107" s="84">
        <f>IFERROR('Price History'!I3+(INDEX('Price History'!I:I,MATCH(9.99E+307,'Price History'!$A:$A))-'Price History'!I3)*(ROW()-3)/(MATCH(9.99E+307,'Returns (Calc)'!$A:$A)-3),"")</f>
        <v>14.130503144654085</v>
      </c>
      <c r="AE107" s="84">
        <f>IFERROR('Price History'!J3+(INDEX('Price History'!J:J,MATCH(9.99E+307,'Price History'!$A:$A))-'Price History'!J3)*(ROW()-3)/(MATCH(9.99E+307,'Returns (Calc)'!$A:$A)-3),"")</f>
        <v>42.723584905660374</v>
      </c>
      <c r="AF107" s="84">
        <f>IFERROR('Price History'!K3+(INDEX('Price History'!K:K,MATCH(9.99E+307,'Price History'!$A:$A))-'Price History'!K3)*(ROW()-3)/(MATCH(9.99E+307,'Returns (Calc)'!$A:$A)-3),"")</f>
        <v>5.330503144654088</v>
      </c>
      <c r="AG107" s="84">
        <f>IFERROR('Price History'!L3+(INDEX('Price History'!L:L,MATCH(9.99E+307,'Price History'!$A:$A))-'Price History'!L3)*(ROW()-3)/(MATCH(9.99E+307,'Returns (Calc)'!$A:$A)-3),"")</f>
        <v>31.820440251572329</v>
      </c>
      <c r="AH107" s="84">
        <f>IFERROR('Price History'!M3+(INDEX('Price History'!M:M,MATCH(9.99E+307,'Price History'!$A:$A))-'Price History'!M3)*(ROW()-3)/(MATCH(9.99E+307,'Returns (Calc)'!$A:$A)-3),"")</f>
        <v>11.591509433962262</v>
      </c>
      <c r="AI107" s="84">
        <f>IFERROR('Price History'!N3+(INDEX('Price History'!N:N,MATCH(9.99E+307,'Price History'!$A:$A))-'Price History'!N3)*(ROW()-3)/(MATCH(9.99E+307,'Returns (Calc)'!$A:$A)-3),"")</f>
        <v>121.02075471698114</v>
      </c>
      <c r="AJ107" s="84">
        <f>IFERROR('Price History'!O3+(INDEX('Price History'!O:O,MATCH(9.99E+307,'Price History'!$A:$A))-'Price History'!O3)*(ROW()-3)/(MATCH(9.99E+307,'Returns (Calc)'!$A:$A)-3),"")</f>
        <v>28.658805031446541</v>
      </c>
      <c r="AK107" s="84">
        <f>IFERROR('Price History'!Q3+(INDEX('Price History'!Q:Q,MATCH(9.99E+307,'Price History'!$A:$A))-'Price History'!Q3)*(ROW()-3)/(MATCH(9.99E+307,'Returns (Calc)'!$A:$A)-3),"")</f>
        <v>17.240251572327047</v>
      </c>
      <c r="AL107" s="84">
        <f>IFERROR('Price History'!R3+(INDEX('Price History'!R:R,MATCH(9.99E+307,'Price History'!$A:$A))-'Price History'!R3)*(ROW()-3)/(MATCH(9.99E+307,'Returns (Calc)'!$A:$A)-3),"")</f>
        <v>16.541509433962265</v>
      </c>
      <c r="AM107" s="84">
        <f>IFERROR('Price History'!S3+(INDEX('Price History'!S:S,MATCH(9.99E+307,'Price History'!$A:$A))-'Price History'!S3)*(ROW()-3)/(MATCH(9.99E+307,'Returns (Calc)'!$A:$A)-3),"")</f>
        <v>20.249685534591194</v>
      </c>
      <c r="AN107" s="84">
        <f>IFERROR('Price History'!T3+(INDEX('Price History'!T:T,MATCH(9.99E+307,'Price History'!$A:$A))-'Price History'!T3)*(ROW()-3)/(MATCH(9.99E+307,'Returns (Calc)'!$A:$A)-3),"")</f>
        <v>9.3084905660377366</v>
      </c>
      <c r="AO107" s="85">
        <f>IFERROR('Price History'!V3+(INDEX('Price History'!V:V,MATCH(9.99E+307,'Price History'!$A:$A))-'Price History'!V3)*(ROW()-3)/(MATCH(9.99E+307,'Returns (Calc)'!$A:$A)-3),"")</f>
        <v>0</v>
      </c>
    </row>
    <row r="108" spans="1:41" ht="15" customHeight="1" x14ac:dyDescent="0.3">
      <c r="A108" s="81">
        <f>IF('Price History'!A109="","",'Price History'!A109)</f>
        <v>45891</v>
      </c>
      <c r="B108" s="82">
        <f>IFERROR(IF(OR(NOT(ISNUMBER('Price History'!B109)),NOT(ISNUMBER('Price History'!B108)),'Price History'!B108=0),"",'Price History'!B109/'Price History'!B108-1),"")</f>
        <v>2.0402987177680521E-2</v>
      </c>
      <c r="C108" s="82">
        <f>IFERROR(IF(OR(NOT(ISNUMBER('Price History'!C109)),NOT(ISNUMBER('Price History'!C108)),'Price History'!C108=0),"",'Price History'!C109/'Price History'!C108-1),"")</f>
        <v>-2.949745083758204E-2</v>
      </c>
      <c r="D108" s="82">
        <f>IFERROR(IF(OR(NOT(ISNUMBER('Price History'!D109)),NOT(ISNUMBER('Price History'!D108)),'Price History'!D108=0),"",'Price History'!D109/'Price History'!D108-1),"")</f>
        <v>1.7152635550285789E-2</v>
      </c>
      <c r="E108" s="82">
        <f>IFERROR(IF(OR(NOT(ISNUMBER('Price History'!E109)),NOT(ISNUMBER('Price History'!E108)),'Price History'!E108=0),"",'Price History'!E109/'Price History'!E108-1),"")</f>
        <v>-4.028203956388321E-2</v>
      </c>
      <c r="F108" s="82">
        <f>IFERROR(IF(OR(NOT(ISNUMBER('Price History'!F109)),NOT(ISNUMBER('Price History'!F108)),'Price History'!F108=0),"",'Price History'!F109/'Price History'!F108-1),"")</f>
        <v>-1.7199476537670622E-2</v>
      </c>
      <c r="G108" s="82">
        <f>IFERROR(IF(OR(NOT(ISNUMBER('Price History'!G109)),NOT(ISNUMBER('Price History'!G108)),'Price History'!G108=0),"",'Price History'!G109/'Price History'!G108-1),"")</f>
        <v>-5.2577437421419404E-3</v>
      </c>
      <c r="H108" s="82">
        <f>IFERROR(IF(OR(NOT(ISNUMBER('Price History'!H109)),NOT(ISNUMBER('Price History'!H108)),'Price History'!H108=0),"",'Price History'!H109/'Price History'!H108-1),"")</f>
        <v>-2.6391991395714354E-2</v>
      </c>
      <c r="I108" s="82">
        <f>IFERROR(IF(OR(NOT(ISNUMBER('Price History'!I109)),NOT(ISNUMBER('Price History'!I108)),'Price History'!I108=0),"",'Price History'!I109/'Price History'!I108-1),"")</f>
        <v>-1.3632585203657399E-2</v>
      </c>
      <c r="J108" s="82">
        <f>IFERROR(IF(OR(NOT(ISNUMBER('Price History'!J109)),NOT(ISNUMBER('Price History'!J108)),'Price History'!J108=0),"",'Price History'!J109/'Price History'!J108-1),"")</f>
        <v>5.3382118397598211E-2</v>
      </c>
      <c r="K108" s="82">
        <f>IFERROR(IF(OR(NOT(ISNUMBER('Price History'!K109)),NOT(ISNUMBER('Price History'!K108)),'Price History'!K108=0),"",'Price History'!K109/'Price History'!K108-1),"")</f>
        <v>-0.10402438336061404</v>
      </c>
      <c r="L108" s="82">
        <f>IFERROR(IF(OR(NOT(ISNUMBER('Price History'!L109)),NOT(ISNUMBER('Price History'!L108)),'Price History'!L108=0),"",'Price History'!L109/'Price History'!L108-1),"")</f>
        <v>-2.4656731413261856E-2</v>
      </c>
      <c r="M108" s="82">
        <f>IFERROR(IF(OR(NOT(ISNUMBER('Price History'!M109)),NOT(ISNUMBER('Price History'!M108)),'Price History'!M108=0),"",'Price History'!M109/'Price History'!M108-1),"")</f>
        <v>-5.3355376869316906E-2</v>
      </c>
      <c r="N108" s="82">
        <f>IFERROR(IF(OR(NOT(ISNUMBER('Price History'!N109)),NOT(ISNUMBER('Price History'!N108)),'Price History'!N108=0),"",'Price History'!N109/'Price History'!N108-1),"")</f>
        <v>5.9319229104610738E-3</v>
      </c>
      <c r="O108" s="82">
        <f>IFERROR(IF(OR(NOT(ISNUMBER('Price History'!O109)),NOT(ISNUMBER('Price History'!O108)),'Price History'!O108=0),"",'Price History'!O109/'Price History'!O108-1),"")</f>
        <v>3.9798382862543225E-2</v>
      </c>
      <c r="P108" s="82" t="str">
        <f>IFERROR(IF(OR(NOT(ISNUMBER('Price History'!P109)),NOT(ISNUMBER('Price History'!P108)),'Price History'!P108=0),"",'Price History'!P109/'Price History'!P108-1),"")</f>
        <v/>
      </c>
      <c r="Q108" s="82">
        <f>IFERROR(IF(OR(NOT(ISNUMBER('Price History'!Q109)),NOT(ISNUMBER('Price History'!Q108)),'Price History'!Q108=0),"",'Price History'!Q109/'Price History'!Q108-1),"")</f>
        <v>-1.2596006144393157E-2</v>
      </c>
      <c r="R108" s="82">
        <f>IFERROR(IF(OR(NOT(ISNUMBER('Price History'!R109)),NOT(ISNUMBER('Price History'!R108)),'Price History'!R108=0),"",'Price History'!R109/'Price History'!R108-1),"")</f>
        <v>-2.3297491039425688E-3</v>
      </c>
      <c r="S108" s="82">
        <f>IFERROR(IF(OR(NOT(ISNUMBER('Price History'!S109)),NOT(ISNUMBER('Price History'!S108)),'Price History'!S108=0),"",'Price History'!S109/'Price History'!S108-1),"")</f>
        <v>-6.8195379763020814E-3</v>
      </c>
      <c r="T108" s="82">
        <f>IFERROR(IF(OR(NOT(ISNUMBER('Price History'!T109)),NOT(ISNUMBER('Price History'!T108)),'Price History'!T108=0),"",'Price History'!T109/'Price History'!T108-1),"")</f>
        <v>2.5790349417637248E-2</v>
      </c>
      <c r="U108" s="82" t="str">
        <f>IFERROR(IF(OR(NOT(ISNUMBER('Price History'!U109)),NOT(ISNUMBER('Price History'!U108)),'Price History'!U108=0),"",'Price History'!U109/'Price History'!U108-1),"")</f>
        <v/>
      </c>
      <c r="V108" s="83">
        <f>IFERROR(IF(OR(NOT(ISNUMBER('Price History'!V109)),NOT(ISNUMBER('Price History'!V108)),'Price History'!V108=0),"",'Price History'!V109/'Price History'!V108-1),"")</f>
        <v>1.6152630654883815E-2</v>
      </c>
      <c r="W108" s="84" t="str">
        <f>IFERROR('Price History'!B3+(INDEX('Price History'!B:B,MATCH(9.99E+307,'Price History'!$A:$A))-'Price History'!B3)*(ROW()-3)/(MATCH(9.99E+307,'Returns (Calc)'!$A:$A)-3),"")</f>
        <v/>
      </c>
      <c r="X108" s="84">
        <f>IFERROR('Price History'!C3+(INDEX('Price History'!C:C,MATCH(9.99E+307,'Price History'!$A:$A))-'Price History'!C3)*(ROW()-3)/(MATCH(9.99E+307,'Returns (Calc)'!$A:$A)-3),"")</f>
        <v>14.855094339622646</v>
      </c>
      <c r="Y108" s="84">
        <f>IFERROR('Price History'!D3+(INDEX('Price History'!D:D,MATCH(9.99E+307,'Price History'!$A:$A))-'Price History'!D3)*(ROW()-3)/(MATCH(9.99E+307,'Returns (Calc)'!$A:$A)-3),"")</f>
        <v>224.75547169811324</v>
      </c>
      <c r="Z108" s="84">
        <f>IFERROR('Price History'!E3+(INDEX('Price History'!E:E,MATCH(9.99E+307,'Price History'!$A:$A))-'Price History'!E3)*(ROW()-3)/(MATCH(9.99E+307,'Returns (Calc)'!$A:$A)-3),"")</f>
        <v>28.181886792452836</v>
      </c>
      <c r="AA108" s="84">
        <f>IFERROR('Price History'!F3+(INDEX('Price History'!F:F,MATCH(9.99E+307,'Price History'!$A:$A))-'Price History'!F3)*(ROW()-3)/(MATCH(9.99E+307,'Returns (Calc)'!$A:$A)-3),"")</f>
        <v>12.586415094339625</v>
      </c>
      <c r="AB108" s="84">
        <f>IFERROR('Price History'!G3+(INDEX('Price History'!G:G,MATCH(9.99E+307,'Price History'!$A:$A))-'Price History'!G3)*(ROW()-3)/(MATCH(9.99E+307,'Returns (Calc)'!$A:$A)-3),"")</f>
        <v>16.267924528301887</v>
      </c>
      <c r="AC108" s="84">
        <f>IFERROR('Price History'!H3+(INDEX('Price History'!H:H,MATCH(9.99E+307,'Price History'!$A:$A))-'Price History'!H3)*(ROW()-3)/(MATCH(9.99E+307,'Returns (Calc)'!$A:$A)-3),"")</f>
        <v>21.861509433962269</v>
      </c>
      <c r="AD108" s="84">
        <f>IFERROR('Price History'!I3+(INDEX('Price History'!I:I,MATCH(9.99E+307,'Price History'!$A:$A))-'Price History'!I3)*(ROW()-3)/(MATCH(9.99E+307,'Returns (Calc)'!$A:$A)-3),"")</f>
        <v>13.87358490566038</v>
      </c>
      <c r="AE108" s="84">
        <f>IFERROR('Price History'!J3+(INDEX('Price History'!J:J,MATCH(9.99E+307,'Price History'!$A:$A))-'Price History'!J3)*(ROW()-3)/(MATCH(9.99E+307,'Returns (Calc)'!$A:$A)-3),"")</f>
        <v>41.946792452830181</v>
      </c>
      <c r="AF108" s="84">
        <f>IFERROR('Price History'!K3+(INDEX('Price History'!K:K,MATCH(9.99E+307,'Price History'!$A:$A))-'Price History'!K3)*(ROW()-3)/(MATCH(9.99E+307,'Returns (Calc)'!$A:$A)-3),"")</f>
        <v>5.2335849056603774</v>
      </c>
      <c r="AG108" s="84">
        <f>IFERROR('Price History'!L3+(INDEX('Price History'!L:L,MATCH(9.99E+307,'Price History'!$A:$A))-'Price History'!L3)*(ROW()-3)/(MATCH(9.99E+307,'Returns (Calc)'!$A:$A)-3),"")</f>
        <v>31.241886792452831</v>
      </c>
      <c r="AH108" s="84">
        <f>IFERROR('Price History'!M3+(INDEX('Price History'!M:M,MATCH(9.99E+307,'Price History'!$A:$A))-'Price History'!M3)*(ROW()-3)/(MATCH(9.99E+307,'Returns (Calc)'!$A:$A)-3),"")</f>
        <v>11.38075471698113</v>
      </c>
      <c r="AI108" s="84">
        <f>IFERROR('Price History'!N3+(INDEX('Price History'!N:N,MATCH(9.99E+307,'Price History'!$A:$A))-'Price History'!N3)*(ROW()-3)/(MATCH(9.99E+307,'Returns (Calc)'!$A:$A)-3),"")</f>
        <v>118.82037735849056</v>
      </c>
      <c r="AJ108" s="84">
        <f>IFERROR('Price History'!O3+(INDEX('Price History'!O:O,MATCH(9.99E+307,'Price History'!$A:$A))-'Price History'!O3)*(ROW()-3)/(MATCH(9.99E+307,'Returns (Calc)'!$A:$A)-3),"")</f>
        <v>28.137735849056597</v>
      </c>
      <c r="AK108" s="84">
        <f>IFERROR('Price History'!Q3+(INDEX('Price History'!Q:Q,MATCH(9.99E+307,'Price History'!$A:$A))-'Price History'!Q3)*(ROW()-3)/(MATCH(9.99E+307,'Returns (Calc)'!$A:$A)-3),"")</f>
        <v>16.926792452830185</v>
      </c>
      <c r="AL108" s="84">
        <f>IFERROR('Price History'!R3+(INDEX('Price History'!R:R,MATCH(9.99E+307,'Price History'!$A:$A))-'Price History'!R3)*(ROW()-3)/(MATCH(9.99E+307,'Returns (Calc)'!$A:$A)-3),"")</f>
        <v>16.240754716981129</v>
      </c>
      <c r="AM108" s="84">
        <f>IFERROR('Price History'!S3+(INDEX('Price History'!S:S,MATCH(9.99E+307,'Price History'!$A:$A))-'Price History'!S3)*(ROW()-3)/(MATCH(9.99E+307,'Returns (Calc)'!$A:$A)-3),"")</f>
        <v>19.881509433962265</v>
      </c>
      <c r="AN108" s="84">
        <f>IFERROR('Price History'!T3+(INDEX('Price History'!T:T,MATCH(9.99E+307,'Price History'!$A:$A))-'Price History'!T3)*(ROW()-3)/(MATCH(9.99E+307,'Returns (Calc)'!$A:$A)-3),"")</f>
        <v>9.139245283018866</v>
      </c>
      <c r="AO108" s="85">
        <f>IFERROR('Price History'!V3+(INDEX('Price History'!V:V,MATCH(9.99E+307,'Price History'!$A:$A))-'Price History'!V3)*(ROW()-3)/(MATCH(9.99E+307,'Returns (Calc)'!$A:$A)-3),"")</f>
        <v>0</v>
      </c>
    </row>
    <row r="109" spans="1:41" ht="15" customHeight="1" x14ac:dyDescent="0.3">
      <c r="A109" s="81">
        <f>IF('Price History'!A110="","",'Price History'!A110)</f>
        <v>45898</v>
      </c>
      <c r="B109" s="82">
        <f>IFERROR(IF(OR(NOT(ISNUMBER('Price History'!B110)),NOT(ISNUMBER('Price History'!B109)),'Price History'!B109=0),"",'Price History'!B110/'Price History'!B109-1),"")</f>
        <v>-1.4885801872462578E-2</v>
      </c>
      <c r="C109" s="82">
        <f>IFERROR(IF(OR(NOT(ISNUMBER('Price History'!C110)),NOT(ISNUMBER('Price History'!C109)),'Price History'!C109=0),"",'Price History'!C110/'Price History'!C109-1),"")</f>
        <v>2.4765478424014997E-2</v>
      </c>
      <c r="D109" s="82">
        <f>IFERROR(IF(OR(NOT(ISNUMBER('Price History'!D110)),NOT(ISNUMBER('Price History'!D109)),'Price History'!D109=0),"",'Price History'!D110/'Price History'!D109-1),"")</f>
        <v>-1.6254023765051806E-2</v>
      </c>
      <c r="E109" s="82">
        <f>IFERROR(IF(OR(NOT(ISNUMBER('Price History'!E110)),NOT(ISNUMBER('Price History'!E109)),'Price History'!E109=0),"",'Price History'!E110/'Price History'!E109-1),"")</f>
        <v>1.1530612244897931E-2</v>
      </c>
      <c r="F109" s="82">
        <f>IFERROR(IF(OR(NOT(ISNUMBER('Price History'!F110)),NOT(ISNUMBER('Price History'!F109)),'Price History'!F109=0),"",'Price History'!F110/'Price History'!F109-1),"")</f>
        <v>7.5137911356286669E-3</v>
      </c>
      <c r="G109" s="82">
        <f>IFERROR(IF(OR(NOT(ISNUMBER('Price History'!G110)),NOT(ISNUMBER('Price History'!G109)),'Price History'!G109=0),"",'Price History'!G110/'Price History'!G109-1),"")</f>
        <v>1.9533494197403467E-3</v>
      </c>
      <c r="H109" s="82">
        <f>IFERROR(IF(OR(NOT(ISNUMBER('Price History'!H110)),NOT(ISNUMBER('Price History'!H109)),'Price History'!H109=0),"",'Price History'!H110/'Price History'!H109-1),"")</f>
        <v>1.1301835486063894E-2</v>
      </c>
      <c r="I109" s="82">
        <f>IFERROR(IF(OR(NOT(ISNUMBER('Price History'!I110)),NOT(ISNUMBER('Price History'!I109)),'Price History'!I109=0),"",'Price History'!I110/'Price History'!I109-1),"")</f>
        <v>-2.1405696949266861E-2</v>
      </c>
      <c r="J109" s="82">
        <f>IFERROR(IF(OR(NOT(ISNUMBER('Price History'!J110)),NOT(ISNUMBER('Price History'!J109)),'Price History'!J109=0),"",'Price History'!J110/'Price History'!J109-1),"")</f>
        <v>1.3359458496615684E-2</v>
      </c>
      <c r="K109" s="82">
        <f>IFERROR(IF(OR(NOT(ISNUMBER('Price History'!K110)),NOT(ISNUMBER('Price History'!K109)),'Price History'!K109=0),"",'Price History'!K110/'Price History'!K109-1),"")</f>
        <v>-1.2788207131157914E-2</v>
      </c>
      <c r="L109" s="82">
        <f>IFERROR(IF(OR(NOT(ISNUMBER('Price History'!L110)),NOT(ISNUMBER('Price History'!L109)),'Price History'!L109=0),"",'Price History'!L110/'Price History'!L109-1),"")</f>
        <v>-9.0991029657925271E-3</v>
      </c>
      <c r="M109" s="82">
        <f>IFERROR(IF(OR(NOT(ISNUMBER('Price History'!M110)),NOT(ISNUMBER('Price History'!M109)),'Price History'!M109=0),"",'Price History'!M110/'Price History'!M109-1),"")</f>
        <v>1.2542668889418129E-2</v>
      </c>
      <c r="N109" s="82">
        <f>IFERROR(IF(OR(NOT(ISNUMBER('Price History'!N110)),NOT(ISNUMBER('Price History'!N109)),'Price History'!N109=0),"",'Price History'!N110/'Price History'!N109-1),"")</f>
        <v>-1.0376594452318311E-2</v>
      </c>
      <c r="O109" s="82">
        <f>IFERROR(IF(OR(NOT(ISNUMBER('Price History'!O110)),NOT(ISNUMBER('Price History'!O109)),'Price History'!O109=0),"",'Price History'!O110/'Price History'!O109-1),"")</f>
        <v>8.3821450212078208E-3</v>
      </c>
      <c r="P109" s="82" t="str">
        <f>IFERROR(IF(OR(NOT(ISNUMBER('Price History'!P110)),NOT(ISNUMBER('Price History'!P109)),'Price History'!P109=0),"",'Price History'!P110/'Price History'!P109-1),"")</f>
        <v/>
      </c>
      <c r="Q109" s="82">
        <f>IFERROR(IF(OR(NOT(ISNUMBER('Price History'!Q110)),NOT(ISNUMBER('Price History'!Q109)),'Price History'!Q109=0),"",'Price History'!Q110/'Price History'!Q109-1),"")</f>
        <v>9.8008711885499977E-3</v>
      </c>
      <c r="R109" s="82">
        <f>IFERROR(IF(OR(NOT(ISNUMBER('Price History'!R110)),NOT(ISNUMBER('Price History'!R109)),'Price History'!R109=0),"",'Price History'!R110/'Price History'!R109-1),"")</f>
        <v>1.7962996227760542E-4</v>
      </c>
      <c r="S109" s="82">
        <f>IFERROR(IF(OR(NOT(ISNUMBER('Price History'!S110)),NOT(ISNUMBER('Price History'!S109)),'Price History'!S109=0),"",'Price History'!S110/'Price History'!S109-1),"")</f>
        <v>-2.5748862758567803E-4</v>
      </c>
      <c r="T109" s="82">
        <f>IFERROR(IF(OR(NOT(ISNUMBER('Price History'!T110)),NOT(ISNUMBER('Price History'!T109)),'Price History'!T109=0),"",'Price History'!T110/'Price History'!T109-1),"")</f>
        <v>9.1916734252499577E-3</v>
      </c>
      <c r="U109" s="82" t="str">
        <f>IFERROR(IF(OR(NOT(ISNUMBER('Price History'!U110)),NOT(ISNUMBER('Price History'!U109)),'Price History'!U109=0),"",'Price History'!U110/'Price History'!U109-1),"")</f>
        <v/>
      </c>
      <c r="V109" s="83">
        <f>IFERROR(IF(OR(NOT(ISNUMBER('Price History'!V110)),NOT(ISNUMBER('Price History'!V109)),'Price History'!V109=0),"",'Price History'!V110/'Price History'!V109-1),"")</f>
        <v>4.9818579738525326E-3</v>
      </c>
      <c r="W109" s="84" t="str">
        <f>IFERROR('Price History'!B3+(INDEX('Price History'!B:B,MATCH(9.99E+307,'Price History'!$A:$A))-'Price History'!B3)*(ROW()-3)/(MATCH(9.99E+307,'Returns (Calc)'!$A:$A)-3),"")</f>
        <v/>
      </c>
      <c r="X109" s="84">
        <f>IFERROR('Price History'!C3+(INDEX('Price History'!C:C,MATCH(9.99E+307,'Price History'!$A:$A))-'Price History'!C3)*(ROW()-3)/(MATCH(9.99E+307,'Returns (Calc)'!$A:$A)-3),"")</f>
        <v>14.579999999999998</v>
      </c>
      <c r="Y109" s="84">
        <f>IFERROR('Price History'!D3+(INDEX('Price History'!D:D,MATCH(9.99E+307,'Price History'!$A:$A))-'Price History'!D3)*(ROW()-3)/(MATCH(9.99E+307,'Returns (Calc)'!$A:$A)-3),"")</f>
        <v>220.59333333333336</v>
      </c>
      <c r="Z109" s="84">
        <f>IFERROR('Price History'!E3+(INDEX('Price History'!E:E,MATCH(9.99E+307,'Price History'!$A:$A))-'Price History'!E3)*(ROW()-3)/(MATCH(9.99E+307,'Returns (Calc)'!$A:$A)-3),"")</f>
        <v>27.659999999999997</v>
      </c>
      <c r="AA109" s="84">
        <f>IFERROR('Price History'!F3+(INDEX('Price History'!F:F,MATCH(9.99E+307,'Price History'!$A:$A))-'Price History'!F3)*(ROW()-3)/(MATCH(9.99E+307,'Returns (Calc)'!$A:$A)-3),"")</f>
        <v>12.353333333333335</v>
      </c>
      <c r="AB109" s="84">
        <f>IFERROR('Price History'!G3+(INDEX('Price History'!G:G,MATCH(9.99E+307,'Price History'!$A:$A))-'Price History'!G3)*(ROW()-3)/(MATCH(9.99E+307,'Returns (Calc)'!$A:$A)-3),"")</f>
        <v>15.966666666666669</v>
      </c>
      <c r="AC109" s="84">
        <f>IFERROR('Price History'!H3+(INDEX('Price History'!H:H,MATCH(9.99E+307,'Price History'!$A:$A))-'Price History'!H3)*(ROW()-3)/(MATCH(9.99E+307,'Returns (Calc)'!$A:$A)-3),"")</f>
        <v>21.456666666666671</v>
      </c>
      <c r="AD109" s="84">
        <f>IFERROR('Price History'!I3+(INDEX('Price History'!I:I,MATCH(9.99E+307,'Price History'!$A:$A))-'Price History'!I3)*(ROW()-3)/(MATCH(9.99E+307,'Returns (Calc)'!$A:$A)-3),"")</f>
        <v>13.616666666666667</v>
      </c>
      <c r="AE109" s="84">
        <f>IFERROR('Price History'!J3+(INDEX('Price History'!J:J,MATCH(9.99E+307,'Price History'!$A:$A))-'Price History'!J3)*(ROW()-3)/(MATCH(9.99E+307,'Returns (Calc)'!$A:$A)-3),"")</f>
        <v>41.17</v>
      </c>
      <c r="AF109" s="84">
        <f>IFERROR('Price History'!K3+(INDEX('Price History'!K:K,MATCH(9.99E+307,'Price History'!$A:$A))-'Price History'!K3)*(ROW()-3)/(MATCH(9.99E+307,'Returns (Calc)'!$A:$A)-3),"")</f>
        <v>5.1366666666666667</v>
      </c>
      <c r="AG109" s="84">
        <f>IFERROR('Price History'!L3+(INDEX('Price History'!L:L,MATCH(9.99E+307,'Price History'!$A:$A))-'Price History'!L3)*(ROW()-3)/(MATCH(9.99E+307,'Returns (Calc)'!$A:$A)-3),"")</f>
        <v>30.663333333333334</v>
      </c>
      <c r="AH109" s="84">
        <f>IFERROR('Price History'!M3+(INDEX('Price History'!M:M,MATCH(9.99E+307,'Price History'!$A:$A))-'Price History'!M3)*(ROW()-3)/(MATCH(9.99E+307,'Returns (Calc)'!$A:$A)-3),"")</f>
        <v>11.169999999999998</v>
      </c>
      <c r="AI109" s="84">
        <f>IFERROR('Price History'!N3+(INDEX('Price History'!N:N,MATCH(9.99E+307,'Price History'!$A:$A))-'Price History'!N3)*(ROW()-3)/(MATCH(9.99E+307,'Returns (Calc)'!$A:$A)-3),"")</f>
        <v>116.62</v>
      </c>
      <c r="AJ109" s="84">
        <f>IFERROR('Price History'!O3+(INDEX('Price History'!O:O,MATCH(9.99E+307,'Price History'!$A:$A))-'Price History'!O3)*(ROW()-3)/(MATCH(9.99E+307,'Returns (Calc)'!$A:$A)-3),"")</f>
        <v>27.616666666666667</v>
      </c>
      <c r="AK109" s="84">
        <f>IFERROR('Price History'!Q3+(INDEX('Price History'!Q:Q,MATCH(9.99E+307,'Price History'!$A:$A))-'Price History'!Q3)*(ROW()-3)/(MATCH(9.99E+307,'Returns (Calc)'!$A:$A)-3),"")</f>
        <v>16.613333333333337</v>
      </c>
      <c r="AL109" s="84">
        <f>IFERROR('Price History'!R3+(INDEX('Price History'!R:R,MATCH(9.99E+307,'Price History'!$A:$A))-'Price History'!R3)*(ROW()-3)/(MATCH(9.99E+307,'Returns (Calc)'!$A:$A)-3),"")</f>
        <v>15.940000000000001</v>
      </c>
      <c r="AM109" s="84">
        <f>IFERROR('Price History'!S3+(INDEX('Price History'!S:S,MATCH(9.99E+307,'Price History'!$A:$A))-'Price History'!S3)*(ROW()-3)/(MATCH(9.99E+307,'Returns (Calc)'!$A:$A)-3),"")</f>
        <v>19.513333333333335</v>
      </c>
      <c r="AN109" s="84">
        <f>IFERROR('Price History'!T3+(INDEX('Price History'!T:T,MATCH(9.99E+307,'Price History'!$A:$A))-'Price History'!T3)*(ROW()-3)/(MATCH(9.99E+307,'Returns (Calc)'!$A:$A)-3),"")</f>
        <v>8.9699999999999989</v>
      </c>
      <c r="AO109" s="85">
        <f>IFERROR('Price History'!V3+(INDEX('Price History'!V:V,MATCH(9.99E+307,'Price History'!$A:$A))-'Price History'!V3)*(ROW()-3)/(MATCH(9.99E+307,'Returns (Calc)'!$A:$A)-3),"")</f>
        <v>0</v>
      </c>
    </row>
    <row r="110" spans="1:41" ht="15" customHeight="1" x14ac:dyDescent="0.3">
      <c r="A110" s="81">
        <f>IF('Price History'!A111="","",'Price History'!A111)</f>
        <v>45905</v>
      </c>
      <c r="B110" s="82">
        <f>IFERROR(IF(OR(NOT(ISNUMBER('Price History'!B111)),NOT(ISNUMBER('Price History'!B110)),'Price History'!B110=0),"",'Price History'!B111/'Price History'!B110-1),"")</f>
        <v>-2.1670871881132481E-2</v>
      </c>
      <c r="C110" s="82">
        <f>IFERROR(IF(OR(NOT(ISNUMBER('Price History'!C111)),NOT(ISNUMBER('Price History'!C110)),'Price History'!C110=0),"",'Price History'!C111/'Price History'!C110-1),"")</f>
        <v>4.6136946173562565E-2</v>
      </c>
      <c r="D110" s="82">
        <f>IFERROR(IF(OR(NOT(ISNUMBER('Price History'!D111)),NOT(ISNUMBER('Price History'!D110)),'Price History'!D110=0),"",'Price History'!D111/'Price History'!D110-1),"")</f>
        <v>5.2624491664646778E-2</v>
      </c>
      <c r="E110" s="82">
        <f>IFERROR(IF(OR(NOT(ISNUMBER('Price History'!E111)),NOT(ISNUMBER('Price History'!E110)),'Price History'!E110=0),"",'Price History'!E111/'Price History'!E110-1),"")</f>
        <v>0.12609704428528201</v>
      </c>
      <c r="F110" s="82">
        <f>IFERROR(IF(OR(NOT(ISNUMBER('Price History'!F111)),NOT(ISNUMBER('Price History'!F110)),'Price History'!F110=0),"",'Price History'!F111/'Price History'!F110-1),"")</f>
        <v>-1.43490984612481E-2</v>
      </c>
      <c r="G110" s="82">
        <f>IFERROR(IF(OR(NOT(ISNUMBER('Price History'!G111)),NOT(ISNUMBER('Price History'!G110)),'Price History'!G110=0),"",'Price History'!G111/'Price History'!G110-1),"")</f>
        <v>3.795871559633035E-2</v>
      </c>
      <c r="H110" s="82">
        <f>IFERROR(IF(OR(NOT(ISNUMBER('Price History'!H111)),NOT(ISNUMBER('Price History'!H110)),'Price History'!H110=0),"",'Price History'!H111/'Price History'!H110-1),"")</f>
        <v>0.10385681875472641</v>
      </c>
      <c r="I110" s="82">
        <f>IFERROR(IF(OR(NOT(ISNUMBER('Price History'!I111)),NOT(ISNUMBER('Price History'!I110)),'Price History'!I110=0),"",'Price History'!I111/'Price History'!I110-1),"")</f>
        <v>-4.1106900907107558E-2</v>
      </c>
      <c r="J110" s="82">
        <f>IFERROR(IF(OR(NOT(ISNUMBER('Price History'!J111)),NOT(ISNUMBER('Price History'!J110)),'Price History'!J110=0),"",'Price History'!J111/'Price History'!J110-1),"")</f>
        <v>-1.1425558094567689E-3</v>
      </c>
      <c r="K110" s="82">
        <f>IFERROR(IF(OR(NOT(ISNUMBER('Price History'!K111)),NOT(ISNUMBER('Price History'!K110)),'Price History'!K110=0),"",'Price History'!K111/'Price History'!K110-1),"")</f>
        <v>-2.2972369344649302E-2</v>
      </c>
      <c r="L110" s="82">
        <f>IFERROR(IF(OR(NOT(ISNUMBER('Price History'!L111)),NOT(ISNUMBER('Price History'!L110)),'Price History'!L110=0),"",'Price History'!L111/'Price History'!L110-1),"")</f>
        <v>5.431628189024118E-2</v>
      </c>
      <c r="M110" s="82">
        <f>IFERROR(IF(OR(NOT(ISNUMBER('Price History'!M111)),NOT(ISNUMBER('Price History'!M110)),'Price History'!M110=0),"",'Price History'!M111/'Price History'!M110-1),"")</f>
        <v>-2.7832222657781291E-2</v>
      </c>
      <c r="N110" s="82">
        <f>IFERROR(IF(OR(NOT(ISNUMBER('Price History'!N111)),NOT(ISNUMBER('Price History'!N110)),'Price History'!N110=0),"",'Price History'!N111/'Price History'!N110-1),"")</f>
        <v>1.3042811109406305E-2</v>
      </c>
      <c r="O110" s="82">
        <f>IFERROR(IF(OR(NOT(ISNUMBER('Price History'!O111)),NOT(ISNUMBER('Price History'!O110)),'Price History'!O110=0),"",'Price History'!O111/'Price History'!O110-1),"")</f>
        <v>1.0916374561842801E-2</v>
      </c>
      <c r="P110" s="82" t="str">
        <f>IFERROR(IF(OR(NOT(ISNUMBER('Price History'!P111)),NOT(ISNUMBER('Price History'!P110)),'Price History'!P110=0),"",'Price History'!P111/'Price History'!P110-1),"")</f>
        <v/>
      </c>
      <c r="Q110" s="82">
        <f>IFERROR(IF(OR(NOT(ISNUMBER('Price History'!Q111)),NOT(ISNUMBER('Price History'!Q110)),'Price History'!Q110=0),"",'Price History'!Q111/'Price History'!Q110-1),"")</f>
        <v>1.0013865352025864E-2</v>
      </c>
      <c r="R110" s="82">
        <f>IFERROR(IF(OR(NOT(ISNUMBER('Price History'!R111)),NOT(ISNUMBER('Price History'!R110)),'Price History'!R110=0),"",'Price History'!R111/'Price History'!R110-1),"")</f>
        <v>1.7959770114943652E-3</v>
      </c>
      <c r="S110" s="82">
        <f>IFERROR(IF(OR(NOT(ISNUMBER('Price History'!S111)),NOT(ISNUMBER('Price History'!S110)),'Price History'!S110=0),"",'Price History'!S111/'Price History'!S110-1),"")</f>
        <v>4.8935439560437999E-3</v>
      </c>
      <c r="T110" s="82">
        <f>IFERROR(IF(OR(NOT(ISNUMBER('Price History'!T111)),NOT(ISNUMBER('Price History'!T110)),'Price History'!T110=0),"",'Price History'!T111/'Price History'!T110-1),"")</f>
        <v>7.500669702652063E-3</v>
      </c>
      <c r="U110" s="82" t="str">
        <f>IFERROR(IF(OR(NOT(ISNUMBER('Price History'!U111)),NOT(ISNUMBER('Price History'!U110)),'Price History'!U110=0),"",'Price History'!U111/'Price History'!U110-1),"")</f>
        <v/>
      </c>
      <c r="V110" s="83">
        <f>IFERROR(IF(OR(NOT(ISNUMBER('Price History'!V111)),NOT(ISNUMBER('Price History'!V110)),'Price History'!V110=0),"",'Price History'!V111/'Price History'!V110-1),"")</f>
        <v>-2.432734462305508E-2</v>
      </c>
      <c r="W110" s="84" t="str">
        <f>IFERROR('Price History'!B3+(INDEX('Price History'!B:B,MATCH(9.99E+307,'Price History'!$A:$A))-'Price History'!B3)*(ROW()-3)/(MATCH(9.99E+307,'Returns (Calc)'!$A:$A)-3),"")</f>
        <v/>
      </c>
      <c r="X110" s="84">
        <f>IFERROR('Price History'!C3+(INDEX('Price History'!C:C,MATCH(9.99E+307,'Price History'!$A:$A))-'Price History'!C3)*(ROW()-3)/(MATCH(9.99E+307,'Returns (Calc)'!$A:$A)-3),"")</f>
        <v>14.304905660377358</v>
      </c>
      <c r="Y110" s="84">
        <f>IFERROR('Price History'!D3+(INDEX('Price History'!D:D,MATCH(9.99E+307,'Price History'!$A:$A))-'Price History'!D3)*(ROW()-3)/(MATCH(9.99E+307,'Returns (Calc)'!$A:$A)-3),"")</f>
        <v>216.43119496855348</v>
      </c>
      <c r="Z110" s="84">
        <f>IFERROR('Price History'!E3+(INDEX('Price History'!E:E,MATCH(9.99E+307,'Price History'!$A:$A))-'Price History'!E3)*(ROW()-3)/(MATCH(9.99E+307,'Returns (Calc)'!$A:$A)-3),"")</f>
        <v>27.138113207547171</v>
      </c>
      <c r="AA110" s="84">
        <f>IFERROR('Price History'!F3+(INDEX('Price History'!F:F,MATCH(9.99E+307,'Price History'!$A:$A))-'Price History'!F3)*(ROW()-3)/(MATCH(9.99E+307,'Returns (Calc)'!$A:$A)-3),"")</f>
        <v>12.120251572327046</v>
      </c>
      <c r="AB110" s="84">
        <f>IFERROR('Price History'!G3+(INDEX('Price History'!G:G,MATCH(9.99E+307,'Price History'!$A:$A))-'Price History'!G3)*(ROW()-3)/(MATCH(9.99E+307,'Returns (Calc)'!$A:$A)-3),"")</f>
        <v>15.665408805031447</v>
      </c>
      <c r="AC110" s="84">
        <f>IFERROR('Price History'!H3+(INDEX('Price History'!H:H,MATCH(9.99E+307,'Price History'!$A:$A))-'Price History'!H3)*(ROW()-3)/(MATCH(9.99E+307,'Returns (Calc)'!$A:$A)-3),"")</f>
        <v>21.051823899371072</v>
      </c>
      <c r="AD110" s="84">
        <f>IFERROR('Price History'!I3+(INDEX('Price History'!I:I,MATCH(9.99E+307,'Price History'!$A:$A))-'Price History'!I3)*(ROW()-3)/(MATCH(9.99E+307,'Returns (Calc)'!$A:$A)-3),"")</f>
        <v>13.359748427672958</v>
      </c>
      <c r="AE110" s="84">
        <f>IFERROR('Price History'!J3+(INDEX('Price History'!J:J,MATCH(9.99E+307,'Price History'!$A:$A))-'Price History'!J3)*(ROW()-3)/(MATCH(9.99E+307,'Returns (Calc)'!$A:$A)-3),"")</f>
        <v>40.393207547169823</v>
      </c>
      <c r="AF110" s="84">
        <f>IFERROR('Price History'!K3+(INDEX('Price History'!K:K,MATCH(9.99E+307,'Price History'!$A:$A))-'Price History'!K3)*(ROW()-3)/(MATCH(9.99E+307,'Returns (Calc)'!$A:$A)-3),"")</f>
        <v>5.0397484276729561</v>
      </c>
      <c r="AG110" s="84">
        <f>IFERROR('Price History'!L3+(INDEX('Price History'!L:L,MATCH(9.99E+307,'Price History'!$A:$A))-'Price History'!L3)*(ROW()-3)/(MATCH(9.99E+307,'Returns (Calc)'!$A:$A)-3),"")</f>
        <v>30.084779874213829</v>
      </c>
      <c r="AH110" s="84">
        <f>IFERROR('Price History'!M3+(INDEX('Price History'!M:M,MATCH(9.99E+307,'Price History'!$A:$A))-'Price History'!M3)*(ROW()-3)/(MATCH(9.99E+307,'Returns (Calc)'!$A:$A)-3),"")</f>
        <v>10.959245283018866</v>
      </c>
      <c r="AI110" s="84">
        <f>IFERROR('Price History'!N3+(INDEX('Price History'!N:N,MATCH(9.99E+307,'Price History'!$A:$A))-'Price History'!N3)*(ROW()-3)/(MATCH(9.99E+307,'Returns (Calc)'!$A:$A)-3),"")</f>
        <v>114.41962264150942</v>
      </c>
      <c r="AJ110" s="84">
        <f>IFERROR('Price History'!O3+(INDEX('Price History'!O:O,MATCH(9.99E+307,'Price History'!$A:$A))-'Price History'!O3)*(ROW()-3)/(MATCH(9.99E+307,'Returns (Calc)'!$A:$A)-3),"")</f>
        <v>27.09559748427673</v>
      </c>
      <c r="AK110" s="84">
        <f>IFERROR('Price History'!Q3+(INDEX('Price History'!Q:Q,MATCH(9.99E+307,'Price History'!$A:$A))-'Price History'!Q3)*(ROW()-3)/(MATCH(9.99E+307,'Returns (Calc)'!$A:$A)-3),"")</f>
        <v>16.299874213836482</v>
      </c>
      <c r="AL110" s="84">
        <f>IFERROR('Price History'!R3+(INDEX('Price History'!R:R,MATCH(9.99E+307,'Price History'!$A:$A))-'Price History'!R3)*(ROW()-3)/(MATCH(9.99E+307,'Returns (Calc)'!$A:$A)-3),"")</f>
        <v>15.639245283018873</v>
      </c>
      <c r="AM110" s="84">
        <f>IFERROR('Price History'!S3+(INDEX('Price History'!S:S,MATCH(9.99E+307,'Price History'!$A:$A))-'Price History'!S3)*(ROW()-3)/(MATCH(9.99E+307,'Returns (Calc)'!$A:$A)-3),"")</f>
        <v>19.145157232704406</v>
      </c>
      <c r="AN110" s="84">
        <f>IFERROR('Price History'!T3+(INDEX('Price History'!T:T,MATCH(9.99E+307,'Price History'!$A:$A))-'Price History'!T3)*(ROW()-3)/(MATCH(9.99E+307,'Returns (Calc)'!$A:$A)-3),"")</f>
        <v>8.8007547169811318</v>
      </c>
      <c r="AO110" s="85">
        <f>IFERROR('Price History'!V3+(INDEX('Price History'!V:V,MATCH(9.99E+307,'Price History'!$A:$A))-'Price History'!V3)*(ROW()-3)/(MATCH(9.99E+307,'Returns (Calc)'!$A:$A)-3),"")</f>
        <v>0</v>
      </c>
    </row>
    <row r="111" spans="1:41" ht="15" customHeight="1" x14ac:dyDescent="0.3">
      <c r="A111" s="81">
        <f>IF('Price History'!A112="","",'Price History'!A112)</f>
        <v>45912</v>
      </c>
      <c r="B111" s="82">
        <f>IFERROR(IF(OR(NOT(ISNUMBER('Price History'!B112)),NOT(ISNUMBER('Price History'!B111)),'Price History'!B111=0),"",'Price History'!B112/'Price History'!B111-1),"")</f>
        <v>1.1175745766112133E-3</v>
      </c>
      <c r="C111" s="82">
        <f>IFERROR(IF(OR(NOT(ISNUMBER('Price History'!C112)),NOT(ISNUMBER('Price History'!C111)),'Price History'!C111=0),"",'Price History'!C112/'Price History'!C111-1),"")</f>
        <v>-2.4221211060553083E-2</v>
      </c>
      <c r="D111" s="82">
        <f>IFERROR(IF(OR(NOT(ISNUMBER('Price History'!D112)),NOT(ISNUMBER('Price History'!D111)),'Price History'!D111=0),"",'Price History'!D112/'Price History'!D111-1),"")</f>
        <v>4.1153895356274672E-2</v>
      </c>
      <c r="E111" s="82">
        <f>IFERROR(IF(OR(NOT(ISNUMBER('Price History'!E112)),NOT(ISNUMBER('Price History'!E111)),'Price History'!E111=0),"",'Price History'!E112/'Price History'!E111-1),"")</f>
        <v>7.4591656961987551E-2</v>
      </c>
      <c r="F111" s="82">
        <f>IFERROR(IF(OR(NOT(ISNUMBER('Price History'!F112)),NOT(ISNUMBER('Price History'!F111)),'Price History'!F111=0),"",'Price History'!F112/'Price History'!F111-1),"")</f>
        <v>4.4248635188200325E-2</v>
      </c>
      <c r="G111" s="82">
        <f>IFERROR(IF(OR(NOT(ISNUMBER('Price History'!G112)),NOT(ISNUMBER('Price History'!G111)),'Price History'!G111=0),"",'Price History'!G112/'Price History'!G111-1),"")</f>
        <v>6.5075682245055777E-2</v>
      </c>
      <c r="H111" s="82">
        <f>IFERROR(IF(OR(NOT(ISNUMBER('Price History'!H112)),NOT(ISNUMBER('Price History'!H111)),'Price History'!H111=0),"",'Price History'!H112/'Price History'!H111-1),"")</f>
        <v>0.19684859556976475</v>
      </c>
      <c r="I111" s="82">
        <f>IFERROR(IF(OR(NOT(ISNUMBER('Price History'!I112)),NOT(ISNUMBER('Price History'!I111)),'Price History'!I111=0),"",'Price History'!I112/'Price History'!I111-1),"")</f>
        <v>6.4662914621003376E-2</v>
      </c>
      <c r="J111" s="82">
        <f>IFERROR(IF(OR(NOT(ISNUMBER('Price History'!J112)),NOT(ISNUMBER('Price History'!J111)),'Price History'!J111=0),"",'Price History'!J112/'Price History'!J111-1),"")</f>
        <v>1.4958205015398018E-2</v>
      </c>
      <c r="K111" s="82">
        <f>IFERROR(IF(OR(NOT(ISNUMBER('Price History'!K112)),NOT(ISNUMBER('Price History'!K111)),'Price History'!K111=0),"",'Price History'!K112/'Price History'!K111-1),"")</f>
        <v>0.1196525373914179</v>
      </c>
      <c r="L111" s="82">
        <f>IFERROR(IF(OR(NOT(ISNUMBER('Price History'!L112)),NOT(ISNUMBER('Price History'!L111)),'Price History'!L111=0),"",'Price History'!L112/'Price History'!L111-1),"")</f>
        <v>6.5404050778521849E-2</v>
      </c>
      <c r="M111" s="82">
        <f>IFERROR(IF(OR(NOT(ISNUMBER('Price History'!M112)),NOT(ISNUMBER('Price History'!M111)),'Price History'!M111=0),"",'Price History'!M112/'Price History'!M111-1),"")</f>
        <v>8.7419354838709662E-2</v>
      </c>
      <c r="N111" s="82">
        <f>IFERROR(IF(OR(NOT(ISNUMBER('Price History'!N112)),NOT(ISNUMBER('Price History'!N111)),'Price History'!N111=0),"",'Price History'!N112/'Price History'!N111-1),"")</f>
        <v>-4.0139351711603322E-3</v>
      </c>
      <c r="O111" s="82">
        <f>IFERROR(IF(OR(NOT(ISNUMBER('Price History'!O112)),NOT(ISNUMBER('Price History'!O111)),'Price History'!O111=0),"",'Price History'!O112/'Price History'!O111-1),"")</f>
        <v>-7.9255002972061783E-3</v>
      </c>
      <c r="P111" s="82" t="str">
        <f>IFERROR(IF(OR(NOT(ISNUMBER('Price History'!P112)),NOT(ISNUMBER('Price History'!P111)),'Price History'!P111=0),"",'Price History'!P112/'Price History'!P111-1),"")</f>
        <v/>
      </c>
      <c r="Q111" s="82">
        <f>IFERROR(IF(OR(NOT(ISNUMBER('Price History'!Q112)),NOT(ISNUMBER('Price History'!Q111)),'Price History'!Q111=0),"",'Price History'!Q112/'Price History'!Q111-1),"")</f>
        <v>6.1012812690663942E-4</v>
      </c>
      <c r="R111" s="82">
        <f>IFERROR(IF(OR(NOT(ISNUMBER('Price History'!R112)),NOT(ISNUMBER('Price History'!R111)),'Price History'!R111=0),"",'Price History'!R112/'Price History'!R111-1),"")</f>
        <v>1.3624955181068543E-2</v>
      </c>
      <c r="S111" s="82">
        <f>IFERROR(IF(OR(NOT(ISNUMBER('Price History'!S112)),NOT(ISNUMBER('Price History'!S111)),'Price History'!S111=0),"",'Price History'!S112/'Price History'!S111-1),"")</f>
        <v>2.9303716360529641E-2</v>
      </c>
      <c r="T111" s="82">
        <f>IFERROR(IF(OR(NOT(ISNUMBER('Price History'!T112)),NOT(ISNUMBER('Price History'!T111)),'Price History'!T111=0),"",'Price History'!T112/'Price History'!T111-1),"")</f>
        <v>-2.9247540547726603E-3</v>
      </c>
      <c r="U111" s="82" t="str">
        <f>IFERROR(IF(OR(NOT(ISNUMBER('Price History'!U112)),NOT(ISNUMBER('Price History'!U111)),'Price History'!U111=0),"",'Price History'!U112/'Price History'!U111-1),"")</f>
        <v/>
      </c>
      <c r="V111" s="83">
        <f>IFERROR(IF(OR(NOT(ISNUMBER('Price History'!V112)),NOT(ISNUMBER('Price History'!V111)),'Price History'!V111=0),"",'Price History'!V112/'Price History'!V111-1),"")</f>
        <v>-1.104258443465489E-2</v>
      </c>
      <c r="W111" s="84" t="str">
        <f>IFERROR('Price History'!B3+(INDEX('Price History'!B:B,MATCH(9.99E+307,'Price History'!$A:$A))-'Price History'!B3)*(ROW()-3)/(MATCH(9.99E+307,'Returns (Calc)'!$A:$A)-3),"")</f>
        <v/>
      </c>
      <c r="X111" s="84">
        <f>IFERROR('Price History'!C3+(INDEX('Price History'!C:C,MATCH(9.99E+307,'Price History'!$A:$A))-'Price History'!C3)*(ROW()-3)/(MATCH(9.99E+307,'Returns (Calc)'!$A:$A)-3),"")</f>
        <v>14.029811320754717</v>
      </c>
      <c r="Y111" s="84">
        <f>IFERROR('Price History'!D3+(INDEX('Price History'!D:D,MATCH(9.99E+307,'Price History'!$A:$A))-'Price History'!D3)*(ROW()-3)/(MATCH(9.99E+307,'Returns (Calc)'!$A:$A)-3),"")</f>
        <v>212.26905660377361</v>
      </c>
      <c r="Z111" s="84">
        <f>IFERROR('Price History'!E3+(INDEX('Price History'!E:E,MATCH(9.99E+307,'Price History'!$A:$A))-'Price History'!E3)*(ROW()-3)/(MATCH(9.99E+307,'Returns (Calc)'!$A:$A)-3),"")</f>
        <v>26.616226415094346</v>
      </c>
      <c r="AA111" s="84">
        <f>IFERROR('Price History'!F3+(INDEX('Price History'!F:F,MATCH(9.99E+307,'Price History'!$A:$A))-'Price History'!F3)*(ROW()-3)/(MATCH(9.99E+307,'Returns (Calc)'!$A:$A)-3),"")</f>
        <v>11.887169811320753</v>
      </c>
      <c r="AB111" s="84">
        <f>IFERROR('Price History'!G3+(INDEX('Price History'!G:G,MATCH(9.99E+307,'Price History'!$A:$A))-'Price History'!G3)*(ROW()-3)/(MATCH(9.99E+307,'Returns (Calc)'!$A:$A)-3),"")</f>
        <v>15.364150943396226</v>
      </c>
      <c r="AC111" s="84">
        <f>IFERROR('Price History'!H3+(INDEX('Price History'!H:H,MATCH(9.99E+307,'Price History'!$A:$A))-'Price History'!H3)*(ROW()-3)/(MATCH(9.99E+307,'Returns (Calc)'!$A:$A)-3),"")</f>
        <v>20.646981132075467</v>
      </c>
      <c r="AD111" s="84">
        <f>IFERROR('Price History'!I3+(INDEX('Price History'!I:I,MATCH(9.99E+307,'Price History'!$A:$A))-'Price History'!I3)*(ROW()-3)/(MATCH(9.99E+307,'Returns (Calc)'!$A:$A)-3),"")</f>
        <v>13.102830188679246</v>
      </c>
      <c r="AE111" s="84">
        <f>IFERROR('Price History'!J3+(INDEX('Price History'!J:J,MATCH(9.99E+307,'Price History'!$A:$A))-'Price History'!J3)*(ROW()-3)/(MATCH(9.99E+307,'Returns (Calc)'!$A:$A)-3),"")</f>
        <v>39.616415094339629</v>
      </c>
      <c r="AF111" s="84">
        <f>IFERROR('Price History'!K3+(INDEX('Price History'!K:K,MATCH(9.99E+307,'Price History'!$A:$A))-'Price History'!K3)*(ROW()-3)/(MATCH(9.99E+307,'Returns (Calc)'!$A:$A)-3),"")</f>
        <v>4.9428301886792454</v>
      </c>
      <c r="AG111" s="84">
        <f>IFERROR('Price History'!L3+(INDEX('Price History'!L:L,MATCH(9.99E+307,'Price History'!$A:$A))-'Price History'!L3)*(ROW()-3)/(MATCH(9.99E+307,'Returns (Calc)'!$A:$A)-3),"")</f>
        <v>29.506226415094332</v>
      </c>
      <c r="AH111" s="84">
        <f>IFERROR('Price History'!M3+(INDEX('Price History'!M:M,MATCH(9.99E+307,'Price History'!$A:$A))-'Price History'!M3)*(ROW()-3)/(MATCH(9.99E+307,'Returns (Calc)'!$A:$A)-3),"")</f>
        <v>10.748490566037734</v>
      </c>
      <c r="AI111" s="84">
        <f>IFERROR('Price History'!N3+(INDEX('Price History'!N:N,MATCH(9.99E+307,'Price History'!$A:$A))-'Price History'!N3)*(ROW()-3)/(MATCH(9.99E+307,'Returns (Calc)'!$A:$A)-3),"")</f>
        <v>112.21924528301886</v>
      </c>
      <c r="AJ111" s="84">
        <f>IFERROR('Price History'!O3+(INDEX('Price History'!O:O,MATCH(9.99E+307,'Price History'!$A:$A))-'Price History'!O3)*(ROW()-3)/(MATCH(9.99E+307,'Returns (Calc)'!$A:$A)-3),"")</f>
        <v>26.574528301886794</v>
      </c>
      <c r="AK111" s="84">
        <f>IFERROR('Price History'!Q3+(INDEX('Price History'!Q:Q,MATCH(9.99E+307,'Price History'!$A:$A))-'Price History'!Q3)*(ROW()-3)/(MATCH(9.99E+307,'Returns (Calc)'!$A:$A)-3),"")</f>
        <v>15.986415094339627</v>
      </c>
      <c r="AL111" s="84">
        <f>IFERROR('Price History'!R3+(INDEX('Price History'!R:R,MATCH(9.99E+307,'Price History'!$A:$A))-'Price History'!R3)*(ROW()-3)/(MATCH(9.99E+307,'Returns (Calc)'!$A:$A)-3),"")</f>
        <v>15.338490566037734</v>
      </c>
      <c r="AM111" s="84">
        <f>IFERROR('Price History'!S3+(INDEX('Price History'!S:S,MATCH(9.99E+307,'Price History'!$A:$A))-'Price History'!S3)*(ROW()-3)/(MATCH(9.99E+307,'Returns (Calc)'!$A:$A)-3),"")</f>
        <v>18.77698113207547</v>
      </c>
      <c r="AN111" s="84">
        <f>IFERROR('Price History'!T3+(INDEX('Price History'!T:T,MATCH(9.99E+307,'Price History'!$A:$A))-'Price History'!T3)*(ROW()-3)/(MATCH(9.99E+307,'Returns (Calc)'!$A:$A)-3),"")</f>
        <v>8.6315094339622647</v>
      </c>
      <c r="AO111" s="85">
        <f>IFERROR('Price History'!V3+(INDEX('Price History'!V:V,MATCH(9.99E+307,'Price History'!$A:$A))-'Price History'!V3)*(ROW()-3)/(MATCH(9.99E+307,'Returns (Calc)'!$A:$A)-3),"")</f>
        <v>0</v>
      </c>
    </row>
    <row r="112" spans="1:41" ht="15" customHeight="1" x14ac:dyDescent="0.3">
      <c r="A112" s="81">
        <f>IF('Price History'!A113="","",'Price History'!A113)</f>
        <v>45919</v>
      </c>
      <c r="B112" s="82">
        <f>IFERROR(IF(OR(NOT(ISNUMBER('Price History'!B113)),NOT(ISNUMBER('Price History'!B112)),'Price History'!B112=0),"",'Price History'!B113/'Price History'!B112-1),"")</f>
        <v>4.734371422028838E-2</v>
      </c>
      <c r="C112" s="82">
        <f>IFERROR(IF(OR(NOT(ISNUMBER('Price History'!C113)),NOT(ISNUMBER('Price History'!C112)),'Price History'!C112=0),"",'Price History'!C113/'Price History'!C112-1),"")</f>
        <v>7.3319463376139149E-2</v>
      </c>
      <c r="D112" s="82">
        <f>IFERROR(IF(OR(NOT(ISNUMBER('Price History'!D113)),NOT(ISNUMBER('Price History'!D112)),'Price History'!D112=0),"",'Price History'!D113/'Price History'!D112-1),"")</f>
        <v>0.14533033531153627</v>
      </c>
      <c r="E112" s="82">
        <f>IFERROR(IF(OR(NOT(ISNUMBER('Price History'!E113)),NOT(ISNUMBER('Price History'!E112)),'Price History'!E112=0),"",'Price History'!E113/'Price History'!E112-1),"")</f>
        <v>-4.1487203712451737E-2</v>
      </c>
      <c r="F112" s="82">
        <f>IFERROR(IF(OR(NOT(ISNUMBER('Price History'!F113)),NOT(ISNUMBER('Price History'!F112)),'Price History'!F112=0),"",'Price History'!F113/'Price History'!F112-1),"")</f>
        <v>0.15234339172704758</v>
      </c>
      <c r="G112" s="82">
        <f>IFERROR(IF(OR(NOT(ISNUMBER('Price History'!G113)),NOT(ISNUMBER('Price History'!G112)),'Price History'!G112=0),"",'Price History'!G113/'Price History'!G112-1),"")</f>
        <v>8.381742738589204E-2</v>
      </c>
      <c r="H112" s="82">
        <f>IFERROR(IF(OR(NOT(ISNUMBER('Price History'!H113)),NOT(ISNUMBER('Price History'!H112)),'Price History'!H112=0),"",'Price History'!H113/'Price History'!H112-1),"")</f>
        <v>3.4980601666348754E-2</v>
      </c>
      <c r="I112" s="82">
        <f>IFERROR(IF(OR(NOT(ISNUMBER('Price History'!I113)),NOT(ISNUMBER('Price History'!I112)),'Price History'!I112=0),"",'Price History'!I113/'Price History'!I112-1),"")</f>
        <v>-6.46721403666628E-3</v>
      </c>
      <c r="J112" s="82">
        <f>IFERROR(IF(OR(NOT(ISNUMBER('Price History'!J113)),NOT(ISNUMBER('Price History'!J112)),'Price History'!J112=0),"",'Price History'!J113/'Price History'!J112-1),"")</f>
        <v>-1.5951452102297314E-2</v>
      </c>
      <c r="K112" s="82">
        <f>IFERROR(IF(OR(NOT(ISNUMBER('Price History'!K113)),NOT(ISNUMBER('Price History'!K112)),'Price History'!K112=0),"",'Price History'!K113/'Price History'!K112-1),"")</f>
        <v>6.3932800559995284E-2</v>
      </c>
      <c r="L112" s="82">
        <f>IFERROR(IF(OR(NOT(ISNUMBER('Price History'!L113)),NOT(ISNUMBER('Price History'!L112)),'Price History'!L112=0),"",'Price History'!L113/'Price History'!L112-1),"")</f>
        <v>2.1362742451702443E-2</v>
      </c>
      <c r="M112" s="82">
        <f>IFERROR(IF(OR(NOT(ISNUMBER('Price History'!M113)),NOT(ISNUMBER('Price History'!M112)),'Price History'!M112=0),"",'Price History'!M113/'Price History'!M112-1),"")</f>
        <v>6.4965885493918574E-2</v>
      </c>
      <c r="N112" s="82">
        <f>IFERROR(IF(OR(NOT(ISNUMBER('Price History'!N113)),NOT(ISNUMBER('Price History'!N112)),'Price History'!N112=0),"",'Price History'!N113/'Price History'!N112-1),"")</f>
        <v>-2.8920487668871786E-2</v>
      </c>
      <c r="O112" s="82">
        <f>IFERROR(IF(OR(NOT(ISNUMBER('Price History'!O113)),NOT(ISNUMBER('Price History'!O112)),'Price History'!O112=0),"",'Price History'!O113/'Price History'!O112-1),"")</f>
        <v>5.6920311563810611E-3</v>
      </c>
      <c r="P112" s="82" t="str">
        <f>IFERROR(IF(OR(NOT(ISNUMBER('Price History'!P113)),NOT(ISNUMBER('Price History'!P112)),'Price History'!P112=0),"",'Price History'!P113/'Price History'!P112-1),"")</f>
        <v/>
      </c>
      <c r="Q112" s="82">
        <f>IFERROR(IF(OR(NOT(ISNUMBER('Price History'!Q113)),NOT(ISNUMBER('Price History'!Q112)),'Price History'!Q112=0),"",'Price History'!Q113/'Price History'!Q112-1),"")</f>
        <v>-5.0304878048780255E-3</v>
      </c>
      <c r="R112" s="82">
        <f>IFERROR(IF(OR(NOT(ISNUMBER('Price History'!R113)),NOT(ISNUMBER('Price History'!R112)),'Price History'!R112=0),"",'Price History'!R113/'Price History'!R112-1),"")</f>
        <v>1.0965688008489627E-2</v>
      </c>
      <c r="S112" s="82">
        <f>IFERROR(IF(OR(NOT(ISNUMBER('Price History'!S113)),NOT(ISNUMBER('Price History'!S112)),'Price History'!S112=0),"",'Price History'!S113/'Price History'!S112-1),"")</f>
        <v>1.2035192563081054E-2</v>
      </c>
      <c r="T112" s="82">
        <f>IFERROR(IF(OR(NOT(ISNUMBER('Price History'!T113)),NOT(ISNUMBER('Price History'!T112)),'Price History'!T112=0),"",'Price History'!T113/'Price History'!T112-1),"")</f>
        <v>-1.3333333333332975E-3</v>
      </c>
      <c r="U112" s="82" t="str">
        <f>IFERROR(IF(OR(NOT(ISNUMBER('Price History'!U113)),NOT(ISNUMBER('Price History'!U112)),'Price History'!U112=0),"",'Price History'!U113/'Price History'!U112-1),"")</f>
        <v/>
      </c>
      <c r="V112" s="83">
        <f>IFERROR(IF(OR(NOT(ISNUMBER('Price History'!V113)),NOT(ISNUMBER('Price History'!V112)),'Price History'!V112=0),"",'Price History'!V113/'Price History'!V112-1),"")</f>
        <v>6.4144443784521776E-3</v>
      </c>
      <c r="W112" s="84" t="str">
        <f>IFERROR('Price History'!B3+(INDEX('Price History'!B:B,MATCH(9.99E+307,'Price History'!$A:$A))-'Price History'!B3)*(ROW()-3)/(MATCH(9.99E+307,'Returns (Calc)'!$A:$A)-3),"")</f>
        <v/>
      </c>
      <c r="X112" s="84">
        <f>IFERROR('Price History'!C3+(INDEX('Price History'!C:C,MATCH(9.99E+307,'Price History'!$A:$A))-'Price History'!C3)*(ROW()-3)/(MATCH(9.99E+307,'Returns (Calc)'!$A:$A)-3),"")</f>
        <v>13.754716981132077</v>
      </c>
      <c r="Y112" s="84">
        <f>IFERROR('Price History'!D3+(INDEX('Price History'!D:D,MATCH(9.99E+307,'Price History'!$A:$A))-'Price History'!D3)*(ROW()-3)/(MATCH(9.99E+307,'Returns (Calc)'!$A:$A)-3),"")</f>
        <v>208.10691823899367</v>
      </c>
      <c r="Z112" s="84">
        <f>IFERROR('Price History'!E3+(INDEX('Price History'!E:E,MATCH(9.99E+307,'Price History'!$A:$A))-'Price History'!E3)*(ROW()-3)/(MATCH(9.99E+307,'Returns (Calc)'!$A:$A)-3),"")</f>
        <v>26.094339622641513</v>
      </c>
      <c r="AA112" s="84">
        <f>IFERROR('Price History'!F3+(INDEX('Price History'!F:F,MATCH(9.99E+307,'Price History'!$A:$A))-'Price History'!F3)*(ROW()-3)/(MATCH(9.99E+307,'Returns (Calc)'!$A:$A)-3),"")</f>
        <v>11.654088050314463</v>
      </c>
      <c r="AB112" s="84">
        <f>IFERROR('Price History'!G3+(INDEX('Price History'!G:G,MATCH(9.99E+307,'Price History'!$A:$A))-'Price History'!G3)*(ROW()-3)/(MATCH(9.99E+307,'Returns (Calc)'!$A:$A)-3),"")</f>
        <v>15.062893081761011</v>
      </c>
      <c r="AC112" s="84">
        <f>IFERROR('Price History'!H3+(INDEX('Price History'!H:H,MATCH(9.99E+307,'Price History'!$A:$A))-'Price History'!H3)*(ROW()-3)/(MATCH(9.99E+307,'Returns (Calc)'!$A:$A)-3),"")</f>
        <v>20.242138364779876</v>
      </c>
      <c r="AD112" s="84">
        <f>IFERROR('Price History'!I3+(INDEX('Price History'!I:I,MATCH(9.99E+307,'Price History'!$A:$A))-'Price History'!I3)*(ROW()-3)/(MATCH(9.99E+307,'Returns (Calc)'!$A:$A)-3),"")</f>
        <v>12.845911949685533</v>
      </c>
      <c r="AE112" s="84">
        <f>IFERROR('Price History'!J3+(INDEX('Price History'!J:J,MATCH(9.99E+307,'Price History'!$A:$A))-'Price History'!J3)*(ROW()-3)/(MATCH(9.99E+307,'Returns (Calc)'!$A:$A)-3),"")</f>
        <v>38.839622641509436</v>
      </c>
      <c r="AF112" s="84">
        <f>IFERROR('Price History'!K3+(INDEX('Price History'!K:K,MATCH(9.99E+307,'Price History'!$A:$A))-'Price History'!K3)*(ROW()-3)/(MATCH(9.99E+307,'Returns (Calc)'!$A:$A)-3),"")</f>
        <v>4.8459119496855347</v>
      </c>
      <c r="AG112" s="84">
        <f>IFERROR('Price History'!L3+(INDEX('Price History'!L:L,MATCH(9.99E+307,'Price History'!$A:$A))-'Price History'!L3)*(ROW()-3)/(MATCH(9.99E+307,'Returns (Calc)'!$A:$A)-3),"")</f>
        <v>28.927672955974842</v>
      </c>
      <c r="AH112" s="84">
        <f>IFERROR('Price History'!M3+(INDEX('Price History'!M:M,MATCH(9.99E+307,'Price History'!$A:$A))-'Price History'!M3)*(ROW()-3)/(MATCH(9.99E+307,'Returns (Calc)'!$A:$A)-3),"")</f>
        <v>10.537735849056602</v>
      </c>
      <c r="AI112" s="84">
        <f>IFERROR('Price History'!N3+(INDEX('Price History'!N:N,MATCH(9.99E+307,'Price History'!$A:$A))-'Price History'!N3)*(ROW()-3)/(MATCH(9.99E+307,'Returns (Calc)'!$A:$A)-3),"")</f>
        <v>110.01886792452834</v>
      </c>
      <c r="AJ112" s="84">
        <f>IFERROR('Price History'!O3+(INDEX('Price History'!O:O,MATCH(9.99E+307,'Price History'!$A:$A))-'Price History'!O3)*(ROW()-3)/(MATCH(9.99E+307,'Returns (Calc)'!$A:$A)-3),"")</f>
        <v>26.05345911949685</v>
      </c>
      <c r="AK112" s="84">
        <f>IFERROR('Price History'!Q3+(INDEX('Price History'!Q:Q,MATCH(9.99E+307,'Price History'!$A:$A))-'Price History'!Q3)*(ROW()-3)/(MATCH(9.99E+307,'Returns (Calc)'!$A:$A)-3),"")</f>
        <v>15.672955974842765</v>
      </c>
      <c r="AL112" s="84">
        <f>IFERROR('Price History'!R3+(INDEX('Price History'!R:R,MATCH(9.99E+307,'Price History'!$A:$A))-'Price History'!R3)*(ROW()-3)/(MATCH(9.99E+307,'Returns (Calc)'!$A:$A)-3),"")</f>
        <v>15.037735849056602</v>
      </c>
      <c r="AM112" s="84">
        <f>IFERROR('Price History'!S3+(INDEX('Price History'!S:S,MATCH(9.99E+307,'Price History'!$A:$A))-'Price History'!S3)*(ROW()-3)/(MATCH(9.99E+307,'Returns (Calc)'!$A:$A)-3),"")</f>
        <v>18.408805031446541</v>
      </c>
      <c r="AN112" s="84">
        <f>IFERROR('Price History'!T3+(INDEX('Price History'!T:T,MATCH(9.99E+307,'Price History'!$A:$A))-'Price History'!T3)*(ROW()-3)/(MATCH(9.99E+307,'Returns (Calc)'!$A:$A)-3),"")</f>
        <v>8.4622641509433976</v>
      </c>
      <c r="AO112" s="85">
        <f>IFERROR('Price History'!V3+(INDEX('Price History'!V:V,MATCH(9.99E+307,'Price History'!$A:$A))-'Price History'!V3)*(ROW()-3)/(MATCH(9.99E+307,'Returns (Calc)'!$A:$A)-3),"")</f>
        <v>0</v>
      </c>
    </row>
    <row r="113" spans="1:41" ht="15" customHeight="1" x14ac:dyDescent="0.3">
      <c r="A113" s="81">
        <f>IF('Price History'!A114="","",'Price History'!A114)</f>
        <v>45926</v>
      </c>
      <c r="B113" s="82">
        <f>IFERROR(IF(OR(NOT(ISNUMBER('Price History'!B114)),NOT(ISNUMBER('Price History'!B113)),'Price History'!B113=0),"",'Price History'!B114/'Price History'!B113-1),"")</f>
        <v>-1.5113418966930747E-2</v>
      </c>
      <c r="C113" s="82">
        <f>IFERROR(IF(OR(NOT(ISNUMBER('Price History'!C114)),NOT(ISNUMBER('Price History'!C113)),'Price History'!C113=0),"",'Price History'!C114/'Price History'!C113-1),"")</f>
        <v>-4.752356125927415E-2</v>
      </c>
      <c r="D113" s="82">
        <f>IFERROR(IF(OR(NOT(ISNUMBER('Price History'!D114)),NOT(ISNUMBER('Price History'!D113)),'Price History'!D113=0),"",'Price History'!D114/'Price History'!D113-1),"")</f>
        <v>2.0779917395268965E-2</v>
      </c>
      <c r="E113" s="82">
        <f>IFERROR(IF(OR(NOT(ISNUMBER('Price History'!E114)),NOT(ISNUMBER('Price History'!E113)),'Price History'!E113=0),"",'Price History'!E114/'Price History'!E113-1),"")</f>
        <v>-3.017916159332068E-2</v>
      </c>
      <c r="F113" s="82">
        <f>IFERROR(IF(OR(NOT(ISNUMBER('Price History'!F114)),NOT(ISNUMBER('Price History'!F113)),'Price History'!F113=0),"",'Price History'!F114/'Price History'!F113-1),"")</f>
        <v>-4.2024832855778405E-2</v>
      </c>
      <c r="G113" s="82">
        <f>IFERROR(IF(OR(NOT(ISNUMBER('Price History'!G114)),NOT(ISNUMBER('Price History'!G113)),'Price History'!G113=0),"",'Price History'!G114/'Price History'!G113-1),"")</f>
        <v>1.8663859111791803E-2</v>
      </c>
      <c r="H113" s="82">
        <f>IFERROR(IF(OR(NOT(ISNUMBER('Price History'!H114)),NOT(ISNUMBER('Price History'!H113)),'Price History'!H113=0),"",'Price History'!H114/'Price History'!H113-1),"")</f>
        <v>-3.355251029312345E-2</v>
      </c>
      <c r="I113" s="82">
        <f>IFERROR(IF(OR(NOT(ISNUMBER('Price History'!I114)),NOT(ISNUMBER('Price History'!I113)),'Price History'!I113=0),"",'Price History'!I114/'Price History'!I113-1),"")</f>
        <v>8.6036112526179931E-3</v>
      </c>
      <c r="J113" s="82">
        <f>IFERROR(IF(OR(NOT(ISNUMBER('Price History'!J114)),NOT(ISNUMBER('Price History'!J113)),'Price History'!J113=0),"",'Price History'!J114/'Price History'!J113-1),"")</f>
        <v>5.9906616157165971E-3</v>
      </c>
      <c r="K113" s="82">
        <f>IFERROR(IF(OR(NOT(ISNUMBER('Price History'!K114)),NOT(ISNUMBER('Price History'!K113)),'Price History'!K113=0),"",'Price History'!K114/'Price History'!K113-1),"")</f>
        <v>-2.6426887439004343E-2</v>
      </c>
      <c r="L113" s="82">
        <f>IFERROR(IF(OR(NOT(ISNUMBER('Price History'!L114)),NOT(ISNUMBER('Price History'!L113)),'Price History'!L113=0),"",'Price History'!L114/'Price History'!L113-1),"")</f>
        <v>3.2053460188016691E-2</v>
      </c>
      <c r="M113" s="82">
        <f>IFERROR(IF(OR(NOT(ISNUMBER('Price History'!M114)),NOT(ISNUMBER('Price History'!M113)),'Price History'!M113=0),"",'Price History'!M114/'Price History'!M113-1),"")</f>
        <v>-3.4679665738161503E-2</v>
      </c>
      <c r="N113" s="82">
        <f>IFERROR(IF(OR(NOT(ISNUMBER('Price History'!N114)),NOT(ISNUMBER('Price History'!N113)),'Price History'!N113=0),"",'Price History'!N114/'Price History'!N113-1),"")</f>
        <v>6.8385884318229451E-3</v>
      </c>
      <c r="O113" s="82">
        <f>IFERROR(IF(OR(NOT(ISNUMBER('Price History'!O114)),NOT(ISNUMBER('Price History'!O113)),'Price History'!O113=0),"",'Price History'!O114/'Price History'!O113-1),"")</f>
        <v>-1.588720087379536E-3</v>
      </c>
      <c r="P113" s="82" t="str">
        <f>IFERROR(IF(OR(NOT(ISNUMBER('Price History'!P114)),NOT(ISNUMBER('Price History'!P113)),'Price History'!P113=0),"",'Price History'!P114/'Price History'!P113-1),"")</f>
        <v/>
      </c>
      <c r="Q113" s="82">
        <f>IFERROR(IF(OR(NOT(ISNUMBER('Price History'!Q114)),NOT(ISNUMBER('Price History'!Q113)),'Price History'!Q113=0),"",'Price History'!Q114/'Price History'!Q113-1),"")</f>
        <v>1.5320974413974842E-3</v>
      </c>
      <c r="R113" s="82">
        <f>IFERROR(IF(OR(NOT(ISNUMBER('Price History'!R114)),NOT(ISNUMBER('Price History'!R113)),'Price History'!R113=0),"",'Price History'!R114/'Price History'!R113-1),"")</f>
        <v>1.5745276417076237E-3</v>
      </c>
      <c r="S113" s="82">
        <f>IFERROR(IF(OR(NOT(ISNUMBER('Price History'!S114)),NOT(ISNUMBER('Price History'!S113)),'Price History'!S113=0),"",'Price History'!S114/'Price History'!S113-1),"")</f>
        <v>-1.1071926515213715E-2</v>
      </c>
      <c r="T113" s="82">
        <f>IFERROR(IF(OR(NOT(ISNUMBER('Price History'!T114)),NOT(ISNUMBER('Price History'!T113)),'Price History'!T113=0),"",'Price History'!T114/'Price History'!T113-1),"")</f>
        <v>7.7436582109478014E-3</v>
      </c>
      <c r="U113" s="82" t="str">
        <f>IFERROR(IF(OR(NOT(ISNUMBER('Price History'!U114)),NOT(ISNUMBER('Price History'!U113)),'Price History'!U113=0),"",'Price History'!U114/'Price History'!U113-1),"")</f>
        <v/>
      </c>
      <c r="V113" s="83">
        <f>IFERROR(IF(OR(NOT(ISNUMBER('Price History'!V114)),NOT(ISNUMBER('Price History'!V113)),'Price History'!V113=0),"",'Price History'!V114/'Price History'!V113-1),"")</f>
        <v>-1.2422543523163077E-2</v>
      </c>
      <c r="W113" s="84" t="str">
        <f>IFERROR('Price History'!B3+(INDEX('Price History'!B:B,MATCH(9.99E+307,'Price History'!$A:$A))-'Price History'!B3)*(ROW()-3)/(MATCH(9.99E+307,'Returns (Calc)'!$A:$A)-3),"")</f>
        <v/>
      </c>
      <c r="X113" s="84">
        <f>IFERROR('Price History'!C3+(INDEX('Price History'!C:C,MATCH(9.99E+307,'Price History'!$A:$A))-'Price History'!C3)*(ROW()-3)/(MATCH(9.99E+307,'Returns (Calc)'!$A:$A)-3),"")</f>
        <v>13.479622641509433</v>
      </c>
      <c r="Y113" s="84">
        <f>IFERROR('Price History'!D3+(INDEX('Price History'!D:D,MATCH(9.99E+307,'Price History'!$A:$A))-'Price History'!D3)*(ROW()-3)/(MATCH(9.99E+307,'Returns (Calc)'!$A:$A)-3),"")</f>
        <v>203.94477987421379</v>
      </c>
      <c r="Z113" s="84">
        <f>IFERROR('Price History'!E3+(INDEX('Price History'!E:E,MATCH(9.99E+307,'Price History'!$A:$A))-'Price History'!E3)*(ROW()-3)/(MATCH(9.99E+307,'Returns (Calc)'!$A:$A)-3),"")</f>
        <v>25.572452830188674</v>
      </c>
      <c r="AA113" s="84">
        <f>IFERROR('Price History'!F3+(INDEX('Price History'!F:F,MATCH(9.99E+307,'Price History'!$A:$A))-'Price History'!F3)*(ROW()-3)/(MATCH(9.99E+307,'Returns (Calc)'!$A:$A)-3),"")</f>
        <v>11.421006289308178</v>
      </c>
      <c r="AB113" s="84">
        <f>IFERROR('Price History'!G3+(INDEX('Price History'!G:G,MATCH(9.99E+307,'Price History'!$A:$A))-'Price History'!G3)*(ROW()-3)/(MATCH(9.99E+307,'Returns (Calc)'!$A:$A)-3),"")</f>
        <v>14.761635220125783</v>
      </c>
      <c r="AC113" s="84">
        <f>IFERROR('Price History'!H3+(INDEX('Price History'!H:H,MATCH(9.99E+307,'Price History'!$A:$A))-'Price History'!H3)*(ROW()-3)/(MATCH(9.99E+307,'Returns (Calc)'!$A:$A)-3),"")</f>
        <v>19.837295597484278</v>
      </c>
      <c r="AD113" s="84">
        <f>IFERROR('Price History'!I3+(INDEX('Price History'!I:I,MATCH(9.99E+307,'Price History'!$A:$A))-'Price History'!I3)*(ROW()-3)/(MATCH(9.99E+307,'Returns (Calc)'!$A:$A)-3),"")</f>
        <v>12.588993710691824</v>
      </c>
      <c r="AE113" s="84">
        <f>IFERROR('Price History'!J3+(INDEX('Price History'!J:J,MATCH(9.99E+307,'Price History'!$A:$A))-'Price History'!J3)*(ROW()-3)/(MATCH(9.99E+307,'Returns (Calc)'!$A:$A)-3),"")</f>
        <v>38.062830188679243</v>
      </c>
      <c r="AF113" s="84">
        <f>IFERROR('Price History'!K3+(INDEX('Price History'!K:K,MATCH(9.99E+307,'Price History'!$A:$A))-'Price History'!K3)*(ROW()-3)/(MATCH(9.99E+307,'Returns (Calc)'!$A:$A)-3),"")</f>
        <v>4.7489937106918241</v>
      </c>
      <c r="AG113" s="84">
        <f>IFERROR('Price History'!L3+(INDEX('Price History'!L:L,MATCH(9.99E+307,'Price History'!$A:$A))-'Price History'!L3)*(ROW()-3)/(MATCH(9.99E+307,'Returns (Calc)'!$A:$A)-3),"")</f>
        <v>28.349119496855344</v>
      </c>
      <c r="AH113" s="84">
        <f>IFERROR('Price History'!M3+(INDEX('Price History'!M:M,MATCH(9.99E+307,'Price History'!$A:$A))-'Price History'!M3)*(ROW()-3)/(MATCH(9.99E+307,'Returns (Calc)'!$A:$A)-3),"")</f>
        <v>10.326981132075471</v>
      </c>
      <c r="AI113" s="84">
        <f>IFERROR('Price History'!N3+(INDEX('Price History'!N:N,MATCH(9.99E+307,'Price History'!$A:$A))-'Price History'!N3)*(ROW()-3)/(MATCH(9.99E+307,'Returns (Calc)'!$A:$A)-3),"")</f>
        <v>107.81849056603775</v>
      </c>
      <c r="AJ113" s="84">
        <f>IFERROR('Price History'!O3+(INDEX('Price History'!O:O,MATCH(9.99E+307,'Price History'!$A:$A))-'Price History'!O3)*(ROW()-3)/(MATCH(9.99E+307,'Returns (Calc)'!$A:$A)-3),"")</f>
        <v>25.532389937106913</v>
      </c>
      <c r="AK113" s="84">
        <f>IFERROR('Price History'!Q3+(INDEX('Price History'!Q:Q,MATCH(9.99E+307,'Price History'!$A:$A))-'Price History'!Q3)*(ROW()-3)/(MATCH(9.99E+307,'Returns (Calc)'!$A:$A)-3),"")</f>
        <v>15.35949685534591</v>
      </c>
      <c r="AL113" s="84">
        <f>IFERROR('Price History'!R3+(INDEX('Price History'!R:R,MATCH(9.99E+307,'Price History'!$A:$A))-'Price History'!R3)*(ROW()-3)/(MATCH(9.99E+307,'Returns (Calc)'!$A:$A)-3),"")</f>
        <v>14.736981132075471</v>
      </c>
      <c r="AM113" s="84">
        <f>IFERROR('Price History'!S3+(INDEX('Price History'!S:S,MATCH(9.99E+307,'Price History'!$A:$A))-'Price History'!S3)*(ROW()-3)/(MATCH(9.99E+307,'Returns (Calc)'!$A:$A)-3),"")</f>
        <v>18.040628930817611</v>
      </c>
      <c r="AN113" s="84">
        <f>IFERROR('Price History'!T3+(INDEX('Price History'!T:T,MATCH(9.99E+307,'Price History'!$A:$A))-'Price History'!T3)*(ROW()-3)/(MATCH(9.99E+307,'Returns (Calc)'!$A:$A)-3),"")</f>
        <v>8.2930188679245305</v>
      </c>
      <c r="AO113" s="85">
        <f>IFERROR('Price History'!V3+(INDEX('Price History'!V:V,MATCH(9.99E+307,'Price History'!$A:$A))-'Price History'!V3)*(ROW()-3)/(MATCH(9.99E+307,'Returns (Calc)'!$A:$A)-3),"")</f>
        <v>0</v>
      </c>
    </row>
    <row r="114" spans="1:41" ht="15" customHeight="1" x14ac:dyDescent="0.3">
      <c r="A114" s="81">
        <f>IF('Price History'!A115="","",'Price History'!A115)</f>
        <v>45933</v>
      </c>
      <c r="B114" s="82">
        <f>IFERROR(IF(OR(NOT(ISNUMBER('Price History'!B115)),NOT(ISNUMBER('Price History'!B114)),'Price History'!B114=0),"",'Price History'!B115/'Price History'!B114-1),"")</f>
        <v>-3.782223825512665E-2</v>
      </c>
      <c r="C114" s="82">
        <f>IFERROR(IF(OR(NOT(ISNUMBER('Price History'!C115)),NOT(ISNUMBER('Price History'!C114)),'Price History'!C114=0),"",'Price History'!C115/'Price History'!C114-1),"")</f>
        <v>2.1052631578947434E-2</v>
      </c>
      <c r="D114" s="82">
        <f>IFERROR(IF(OR(NOT(ISNUMBER('Price History'!D115)),NOT(ISNUMBER('Price History'!D114)),'Price History'!D114=0),"",'Price History'!D115/'Price History'!D114-1),"")</f>
        <v>8.4811669749453644E-2</v>
      </c>
      <c r="E114" s="82">
        <f>IFERROR(IF(OR(NOT(ISNUMBER('Price History'!E115)),NOT(ISNUMBER('Price History'!E114)),'Price History'!E114=0),"",'Price History'!E115/'Price History'!E114-1),"")</f>
        <v>1.1478791139808209E-2</v>
      </c>
      <c r="F114" s="82">
        <f>IFERROR(IF(OR(NOT(ISNUMBER('Price History'!F115)),NOT(ISNUMBER('Price History'!F114)),'Price History'!F114=0),"",'Price History'!F115/'Price History'!F114-1),"")</f>
        <v>1.7530741110003412E-2</v>
      </c>
      <c r="G114" s="82">
        <f>IFERROR(IF(OR(NOT(ISNUMBER('Price History'!G115)),NOT(ISNUMBER('Price History'!G114)),'Price History'!G114=0),"",'Price History'!G115/'Price History'!G114-1),"")</f>
        <v>3.5046509442826279E-2</v>
      </c>
      <c r="H114" s="82">
        <f>IFERROR(IF(OR(NOT(ISNUMBER('Price History'!H115)),NOT(ISNUMBER('Price History'!H114)),'Price History'!H114=0),"",'Price History'!H115/'Price History'!H114-1),"")</f>
        <v>0.19431550836141676</v>
      </c>
      <c r="I114" s="82">
        <f>IFERROR(IF(OR(NOT(ISNUMBER('Price History'!I115)),NOT(ISNUMBER('Price History'!I114)),'Price History'!I114=0),"",'Price History'!I115/'Price History'!I114-1),"")</f>
        <v>5.292103934003034E-2</v>
      </c>
      <c r="J114" s="82">
        <f>IFERROR(IF(OR(NOT(ISNUMBER('Price History'!J115)),NOT(ISNUMBER('Price History'!J114)),'Price History'!J114=0),"",'Price History'!J115/'Price History'!J114-1),"")</f>
        <v>2.513354934757861E-2</v>
      </c>
      <c r="K114" s="82">
        <f>IFERROR(IF(OR(NOT(ISNUMBER('Price History'!K115)),NOT(ISNUMBER('Price History'!K114)),'Price History'!K114=0),"",'Price History'!K115/'Price History'!K114-1),"")</f>
        <v>-2.5342118601115016E-2</v>
      </c>
      <c r="L114" s="82">
        <f>IFERROR(IF(OR(NOT(ISNUMBER('Price History'!L115)),NOT(ISNUMBER('Price History'!L114)),'Price History'!L114=0),"",'Price History'!L115/'Price History'!L114-1),"")</f>
        <v>6.8883523558677107E-2</v>
      </c>
      <c r="M114" s="82">
        <f>IFERROR(IF(OR(NOT(ISNUMBER('Price History'!M115)),NOT(ISNUMBER('Price History'!M114)),'Price History'!M114=0),"",'Price History'!M115/'Price History'!M114-1),"")</f>
        <v>0.15567739142980797</v>
      </c>
      <c r="N114" s="82">
        <f>IFERROR(IF(OR(NOT(ISNUMBER('Price History'!N115)),NOT(ISNUMBER('Price History'!N114)),'Price History'!N114=0),"",'Price History'!N115/'Price History'!N114-1),"")</f>
        <v>4.552289106652152E-2</v>
      </c>
      <c r="O114" s="82">
        <f>IFERROR(IF(OR(NOT(ISNUMBER('Price History'!O115)),NOT(ISNUMBER('Price History'!O114)),'Price History'!O114=0),"",'Price History'!O115/'Price History'!O114-1),"")</f>
        <v>1.0939830929885819E-3</v>
      </c>
      <c r="P114" s="82" t="str">
        <f>IFERROR(IF(OR(NOT(ISNUMBER('Price History'!P115)),NOT(ISNUMBER('Price History'!P114)),'Price History'!P114=0),"",'Price History'!P115/'Price History'!P114-1),"")</f>
        <v/>
      </c>
      <c r="Q114" s="82">
        <f>IFERROR(IF(OR(NOT(ISNUMBER('Price History'!Q115)),NOT(ISNUMBER('Price History'!Q114)),'Price History'!Q114=0),"",'Price History'!Q115/'Price History'!Q114-1),"")</f>
        <v>-8.8725715159858609E-3</v>
      </c>
      <c r="R114" s="82">
        <f>IFERROR(IF(OR(NOT(ISNUMBER('Price History'!R115)),NOT(ISNUMBER('Price History'!R114)),'Price History'!R114=0),"",'Price History'!R115/'Price History'!R114-1),"")</f>
        <v>5.2401746724894949E-4</v>
      </c>
      <c r="S114" s="82">
        <f>IFERROR(IF(OR(NOT(ISNUMBER('Price History'!S115)),NOT(ISNUMBER('Price History'!S114)),'Price History'!S114=0),"",'Price History'!S115/'Price History'!S114-1),"")</f>
        <v>-4.0636921545861293E-3</v>
      </c>
      <c r="T114" s="82">
        <f>IFERROR(IF(OR(NOT(ISNUMBER('Price History'!T115)),NOT(ISNUMBER('Price History'!T114)),'Price History'!T114=0),"",'Price History'!T115/'Price History'!T114-1),"")</f>
        <v>3.444621091679867E-3</v>
      </c>
      <c r="U114" s="82" t="str">
        <f>IFERROR(IF(OR(NOT(ISNUMBER('Price History'!U115)),NOT(ISNUMBER('Price History'!U114)),'Price History'!U114=0),"",'Price History'!U115/'Price History'!U114-1),"")</f>
        <v/>
      </c>
      <c r="V114" s="83">
        <f>IFERROR(IF(OR(NOT(ISNUMBER('Price History'!V115)),NOT(ISNUMBER('Price History'!V114)),'Price History'!V114=0),"",'Price History'!V115/'Price History'!V114-1),"")</f>
        <v>3.6959574531656214E-2</v>
      </c>
      <c r="W114" s="84" t="str">
        <f>IFERROR('Price History'!B3+(INDEX('Price History'!B:B,MATCH(9.99E+307,'Price History'!$A:$A))-'Price History'!B3)*(ROW()-3)/(MATCH(9.99E+307,'Returns (Calc)'!$A:$A)-3),"")</f>
        <v/>
      </c>
      <c r="X114" s="84">
        <f>IFERROR('Price History'!C3+(INDEX('Price History'!C:C,MATCH(9.99E+307,'Price History'!$A:$A))-'Price History'!C3)*(ROW()-3)/(MATCH(9.99E+307,'Returns (Calc)'!$A:$A)-3),"")</f>
        <v>13.204528301886793</v>
      </c>
      <c r="Y114" s="84">
        <f>IFERROR('Price History'!D3+(INDEX('Price History'!D:D,MATCH(9.99E+307,'Price History'!$A:$A))-'Price History'!D3)*(ROW()-3)/(MATCH(9.99E+307,'Returns (Calc)'!$A:$A)-3),"")</f>
        <v>199.78264150943392</v>
      </c>
      <c r="Z114" s="84">
        <f>IFERROR('Price History'!E3+(INDEX('Price History'!E:E,MATCH(9.99E+307,'Price History'!$A:$A))-'Price History'!E3)*(ROW()-3)/(MATCH(9.99E+307,'Returns (Calc)'!$A:$A)-3),"")</f>
        <v>25.050566037735848</v>
      </c>
      <c r="AA114" s="84">
        <f>IFERROR('Price History'!F3+(INDEX('Price History'!F:F,MATCH(9.99E+307,'Price History'!$A:$A))-'Price History'!F3)*(ROW()-3)/(MATCH(9.99E+307,'Returns (Calc)'!$A:$A)-3),"")</f>
        <v>11.187924528301888</v>
      </c>
      <c r="AB114" s="84">
        <f>IFERROR('Price History'!G3+(INDEX('Price History'!G:G,MATCH(9.99E+307,'Price History'!$A:$A))-'Price History'!G3)*(ROW()-3)/(MATCH(9.99E+307,'Returns (Calc)'!$A:$A)-3),"")</f>
        <v>14.460377358490568</v>
      </c>
      <c r="AC114" s="84">
        <f>IFERROR('Price History'!H3+(INDEX('Price History'!H:H,MATCH(9.99E+307,'Price History'!$A:$A))-'Price History'!H3)*(ROW()-3)/(MATCH(9.99E+307,'Returns (Calc)'!$A:$A)-3),"")</f>
        <v>19.43245283018868</v>
      </c>
      <c r="AD114" s="84">
        <f>IFERROR('Price History'!I3+(INDEX('Price History'!I:I,MATCH(9.99E+307,'Price History'!$A:$A))-'Price History'!I3)*(ROW()-3)/(MATCH(9.99E+307,'Returns (Calc)'!$A:$A)-3),"")</f>
        <v>12.332075471698111</v>
      </c>
      <c r="AE114" s="84">
        <f>IFERROR('Price History'!J3+(INDEX('Price History'!J:J,MATCH(9.99E+307,'Price History'!$A:$A))-'Price History'!J3)*(ROW()-3)/(MATCH(9.99E+307,'Returns (Calc)'!$A:$A)-3),"")</f>
        <v>37.286037735849064</v>
      </c>
      <c r="AF114" s="84">
        <f>IFERROR('Price History'!K3+(INDEX('Price History'!K:K,MATCH(9.99E+307,'Price History'!$A:$A))-'Price History'!K3)*(ROW()-3)/(MATCH(9.99E+307,'Returns (Calc)'!$A:$A)-3),"")</f>
        <v>4.6520754716981134</v>
      </c>
      <c r="AG114" s="84">
        <f>IFERROR('Price History'!L3+(INDEX('Price History'!L:L,MATCH(9.99E+307,'Price History'!$A:$A))-'Price History'!L3)*(ROW()-3)/(MATCH(9.99E+307,'Returns (Calc)'!$A:$A)-3),"")</f>
        <v>27.770566037735847</v>
      </c>
      <c r="AH114" s="84">
        <f>IFERROR('Price History'!M3+(INDEX('Price History'!M:M,MATCH(9.99E+307,'Price History'!$A:$A))-'Price History'!M3)*(ROW()-3)/(MATCH(9.99E+307,'Returns (Calc)'!$A:$A)-3),"")</f>
        <v>10.116226415094339</v>
      </c>
      <c r="AI114" s="84">
        <f>IFERROR('Price History'!N3+(INDEX('Price History'!N:N,MATCH(9.99E+307,'Price History'!$A:$A))-'Price History'!N3)*(ROW()-3)/(MATCH(9.99E+307,'Returns (Calc)'!$A:$A)-3),"")</f>
        <v>105.6181132075472</v>
      </c>
      <c r="AJ114" s="84">
        <f>IFERROR('Price History'!O3+(INDEX('Price History'!O:O,MATCH(9.99E+307,'Price History'!$A:$A))-'Price History'!O3)*(ROW()-3)/(MATCH(9.99E+307,'Returns (Calc)'!$A:$A)-3),"")</f>
        <v>25.011320754716984</v>
      </c>
      <c r="AK114" s="84">
        <f>IFERROR('Price History'!Q3+(INDEX('Price History'!Q:Q,MATCH(9.99E+307,'Price History'!$A:$A))-'Price History'!Q3)*(ROW()-3)/(MATCH(9.99E+307,'Returns (Calc)'!$A:$A)-3),"")</f>
        <v>15.046037735849055</v>
      </c>
      <c r="AL114" s="84">
        <f>IFERROR('Price History'!R3+(INDEX('Price History'!R:R,MATCH(9.99E+307,'Price History'!$A:$A))-'Price History'!R3)*(ROW()-3)/(MATCH(9.99E+307,'Returns (Calc)'!$A:$A)-3),"")</f>
        <v>14.436226415094339</v>
      </c>
      <c r="AM114" s="84">
        <f>IFERROR('Price History'!S3+(INDEX('Price History'!S:S,MATCH(9.99E+307,'Price History'!$A:$A))-'Price History'!S3)*(ROW()-3)/(MATCH(9.99E+307,'Returns (Calc)'!$A:$A)-3),"")</f>
        <v>17.672452830188682</v>
      </c>
      <c r="AN114" s="84">
        <f>IFERROR('Price History'!T3+(INDEX('Price History'!T:T,MATCH(9.99E+307,'Price History'!$A:$A))-'Price History'!T3)*(ROW()-3)/(MATCH(9.99E+307,'Returns (Calc)'!$A:$A)-3),"")</f>
        <v>8.1237735849056598</v>
      </c>
      <c r="AO114" s="85">
        <f>IFERROR('Price History'!V3+(INDEX('Price History'!V:V,MATCH(9.99E+307,'Price History'!$A:$A))-'Price History'!V3)*(ROW()-3)/(MATCH(9.99E+307,'Returns (Calc)'!$A:$A)-3),"")</f>
        <v>0</v>
      </c>
    </row>
    <row r="115" spans="1:41" ht="15" customHeight="1" x14ac:dyDescent="0.3">
      <c r="A115" s="81">
        <f>IF('Price History'!A116="","",'Price History'!A116)</f>
        <v>45940</v>
      </c>
      <c r="B115" s="82">
        <f>IFERROR(IF(OR(NOT(ISNUMBER('Price History'!B116)),NOT(ISNUMBER('Price History'!B115)),'Price History'!B115=0),"",'Price History'!B116/'Price History'!B115-1),"")</f>
        <v>-2.6619368979639013E-2</v>
      </c>
      <c r="C115" s="82">
        <f>IFERROR(IF(OR(NOT(ISNUMBER('Price History'!C116)),NOT(ISNUMBER('Price History'!C115)),'Price History'!C115=0),"",'Price History'!C116/'Price History'!C115-1),"")</f>
        <v>5.9106529209622005E-2</v>
      </c>
      <c r="D115" s="82">
        <f>IFERROR(IF(OR(NOT(ISNUMBER('Price History'!D116)),NOT(ISNUMBER('Price History'!D115)),'Price History'!D115=0),"",'Price History'!D116/'Price History'!D115-1),"")</f>
        <v>-9.3032493073182065E-2</v>
      </c>
      <c r="E115" s="82">
        <f>IFERROR(IF(OR(NOT(ISNUMBER('Price History'!E116)),NOT(ISNUMBER('Price History'!E115)),'Price History'!E115=0),"",'Price History'!E116/'Price History'!E115-1),"")</f>
        <v>-4.0606436740845853E-2</v>
      </c>
      <c r="F115" s="82">
        <f>IFERROR(IF(OR(NOT(ISNUMBER('Price History'!F116)),NOT(ISNUMBER('Price History'!F115)),'Price History'!F115=0),"",'Price History'!F116/'Price History'!F115-1),"")</f>
        <v>7.7570017147057246E-3</v>
      </c>
      <c r="G115" s="82">
        <f>IFERROR(IF(OR(NOT(ISNUMBER('Price History'!G116)),NOT(ISNUMBER('Price History'!G115)),'Price History'!G115=0),"",'Price History'!G116/'Price History'!G115-1),"")</f>
        <v>-0.10784313725490191</v>
      </c>
      <c r="H115" s="82">
        <f>IFERROR(IF(OR(NOT(ISNUMBER('Price History'!H116)),NOT(ISNUMBER('Price History'!H115)),'Price History'!H115=0),"",'Price History'!H116/'Price History'!H115-1),"")</f>
        <v>-3.3168290475430018E-2</v>
      </c>
      <c r="I115" s="82">
        <f>IFERROR(IF(OR(NOT(ISNUMBER('Price History'!I116)),NOT(ISNUMBER('Price History'!I115)),'Price History'!I115=0),"",'Price History'!I116/'Price History'!I115-1),"")</f>
        <v>-2.3771452936787174E-2</v>
      </c>
      <c r="J115" s="82">
        <f>IFERROR(IF(OR(NOT(ISNUMBER('Price History'!J116)),NOT(ISNUMBER('Price History'!J115)),'Price History'!J115=0),"",'Price History'!J116/'Price History'!J115-1),"")</f>
        <v>-4.9803519562617415E-2</v>
      </c>
      <c r="K115" s="82">
        <f>IFERROR(IF(OR(NOT(ISNUMBER('Price History'!K116)),NOT(ISNUMBER('Price History'!K115)),'Price History'!K115=0),"",'Price History'!K116/'Price History'!K115-1),"")</f>
        <v>1.3693881088576942E-2</v>
      </c>
      <c r="L115" s="82">
        <f>IFERROR(IF(OR(NOT(ISNUMBER('Price History'!L116)),NOT(ISNUMBER('Price History'!L115)),'Price History'!L115=0),"",'Price History'!L116/'Price History'!L115-1),"")</f>
        <v>-3.9460624935829358E-2</v>
      </c>
      <c r="M115" s="82">
        <f>IFERROR(IF(OR(NOT(ISNUMBER('Price History'!M116)),NOT(ISNUMBER('Price History'!M115)),'Price History'!M115=0),"",'Price History'!M116/'Price History'!M115-1),"")</f>
        <v>5.4993757802746623E-2</v>
      </c>
      <c r="N115" s="82">
        <f>IFERROR(IF(OR(NOT(ISNUMBER('Price History'!N116)),NOT(ISNUMBER('Price History'!N115)),'Price History'!N115=0),"",'Price History'!N116/'Price History'!N115-1),"")</f>
        <v>1.1133151500124061E-2</v>
      </c>
      <c r="O115" s="82">
        <f>IFERROR(IF(OR(NOT(ISNUMBER('Price History'!O116)),NOT(ISNUMBER('Price History'!O115)),'Price History'!O115=0),"",'Price History'!O116/'Price History'!O115-1),"")</f>
        <v>-5.4341347109080007E-2</v>
      </c>
      <c r="P115" s="82" t="str">
        <f>IFERROR(IF(OR(NOT(ISNUMBER('Price History'!P116)),NOT(ISNUMBER('Price History'!P115)),'Price History'!P115=0),"",'Price History'!P116/'Price History'!P115-1),"")</f>
        <v/>
      </c>
      <c r="Q115" s="82">
        <f>IFERROR(IF(OR(NOT(ISNUMBER('Price History'!Q116)),NOT(ISNUMBER('Price History'!Q115)),'Price History'!Q115=0),"",'Price History'!Q116/'Price History'!Q115-1),"")</f>
        <v>2.1762617687914654E-2</v>
      </c>
      <c r="R115" s="82">
        <f>IFERROR(IF(OR(NOT(ISNUMBER('Price History'!R116)),NOT(ISNUMBER('Price History'!R115)),'Price History'!R115=0),"",'Price History'!R116/'Price History'!R115-1),"")</f>
        <v>-1.6585195530726349E-2</v>
      </c>
      <c r="S115" s="82">
        <f>IFERROR(IF(OR(NOT(ISNUMBER('Price History'!S116)),NOT(ISNUMBER('Price History'!S115)),'Price History'!S115=0),"",'Price History'!S116/'Price History'!S115-1),"")</f>
        <v>-1.3240069947539346E-2</v>
      </c>
      <c r="T115" s="82">
        <f>IFERROR(IF(OR(NOT(ISNUMBER('Price History'!T116)),NOT(ISNUMBER('Price History'!T115)),'Price History'!T115=0),"",'Price History'!T116/'Price History'!T115-1),"")</f>
        <v>-3.4063902825455461E-2</v>
      </c>
      <c r="U115" s="82" t="str">
        <f>IFERROR(IF(OR(NOT(ISNUMBER('Price History'!U116)),NOT(ISNUMBER('Price History'!U115)),'Price History'!U115=0),"",'Price History'!U116/'Price History'!U115-1),"")</f>
        <v/>
      </c>
      <c r="V115" s="83">
        <f>IFERROR(IF(OR(NOT(ISNUMBER('Price History'!V116)),NOT(ISNUMBER('Price History'!V115)),'Price History'!V115=0),"",'Price History'!V116/'Price History'!V115-1),"")</f>
        <v>-1.7691465452659427E-2</v>
      </c>
      <c r="W115" s="84" t="str">
        <f>IFERROR('Price History'!B3+(INDEX('Price History'!B:B,MATCH(9.99E+307,'Price History'!$A:$A))-'Price History'!B3)*(ROW()-3)/(MATCH(9.99E+307,'Returns (Calc)'!$A:$A)-3),"")</f>
        <v/>
      </c>
      <c r="X115" s="84">
        <f>IFERROR('Price History'!C3+(INDEX('Price History'!C:C,MATCH(9.99E+307,'Price History'!$A:$A))-'Price History'!C3)*(ROW()-3)/(MATCH(9.99E+307,'Returns (Calc)'!$A:$A)-3),"")</f>
        <v>12.929433962264152</v>
      </c>
      <c r="Y115" s="84">
        <f>IFERROR('Price History'!D3+(INDEX('Price History'!D:D,MATCH(9.99E+307,'Price History'!$A:$A))-'Price History'!D3)*(ROW()-3)/(MATCH(9.99E+307,'Returns (Calc)'!$A:$A)-3),"")</f>
        <v>195.62050314465404</v>
      </c>
      <c r="Z115" s="84">
        <f>IFERROR('Price History'!E3+(INDEX('Price History'!E:E,MATCH(9.99E+307,'Price History'!$A:$A))-'Price History'!E3)*(ROW()-3)/(MATCH(9.99E+307,'Returns (Calc)'!$A:$A)-3),"")</f>
        <v>24.528679245283023</v>
      </c>
      <c r="AA115" s="84">
        <f>IFERROR('Price History'!F3+(INDEX('Price History'!F:F,MATCH(9.99E+307,'Price History'!$A:$A))-'Price History'!F3)*(ROW()-3)/(MATCH(9.99E+307,'Returns (Calc)'!$A:$A)-3),"")</f>
        <v>10.954842767295599</v>
      </c>
      <c r="AB115" s="84">
        <f>IFERROR('Price History'!G3+(INDEX('Price History'!G:G,MATCH(9.99E+307,'Price History'!$A:$A))-'Price History'!G3)*(ROW()-3)/(MATCH(9.99E+307,'Returns (Calc)'!$A:$A)-3),"")</f>
        <v>14.159119496855347</v>
      </c>
      <c r="AC115" s="84">
        <f>IFERROR('Price History'!H3+(INDEX('Price History'!H:H,MATCH(9.99E+307,'Price History'!$A:$A))-'Price History'!H3)*(ROW()-3)/(MATCH(9.99E+307,'Returns (Calc)'!$A:$A)-3),"")</f>
        <v>19.027610062893082</v>
      </c>
      <c r="AD115" s="84">
        <f>IFERROR('Price History'!I3+(INDEX('Price History'!I:I,MATCH(9.99E+307,'Price History'!$A:$A))-'Price History'!I3)*(ROW()-3)/(MATCH(9.99E+307,'Returns (Calc)'!$A:$A)-3),"")</f>
        <v>12.075157232704406</v>
      </c>
      <c r="AE115" s="84">
        <f>IFERROR('Price History'!J3+(INDEX('Price History'!J:J,MATCH(9.99E+307,'Price History'!$A:$A))-'Price History'!J3)*(ROW()-3)/(MATCH(9.99E+307,'Returns (Calc)'!$A:$A)-3),"")</f>
        <v>36.509245283018871</v>
      </c>
      <c r="AF115" s="84">
        <f>IFERROR('Price History'!K3+(INDEX('Price History'!K:K,MATCH(9.99E+307,'Price History'!$A:$A))-'Price History'!K3)*(ROW()-3)/(MATCH(9.99E+307,'Returns (Calc)'!$A:$A)-3),"")</f>
        <v>4.5551572327044028</v>
      </c>
      <c r="AG115" s="84">
        <f>IFERROR('Price History'!L3+(INDEX('Price History'!L:L,MATCH(9.99E+307,'Price History'!$A:$A))-'Price History'!L3)*(ROW()-3)/(MATCH(9.99E+307,'Returns (Calc)'!$A:$A)-3),"")</f>
        <v>27.192012578616357</v>
      </c>
      <c r="AH115" s="84">
        <f>IFERROR('Price History'!M3+(INDEX('Price History'!M:M,MATCH(9.99E+307,'Price History'!$A:$A))-'Price History'!M3)*(ROW()-3)/(MATCH(9.99E+307,'Returns (Calc)'!$A:$A)-3),"")</f>
        <v>9.9054716981132067</v>
      </c>
      <c r="AI115" s="84">
        <f>IFERROR('Price History'!N3+(INDEX('Price History'!N:N,MATCH(9.99E+307,'Price History'!$A:$A))-'Price History'!N3)*(ROW()-3)/(MATCH(9.99E+307,'Returns (Calc)'!$A:$A)-3),"")</f>
        <v>103.41773584905661</v>
      </c>
      <c r="AJ115" s="84">
        <f>IFERROR('Price History'!O3+(INDEX('Price History'!O:O,MATCH(9.99E+307,'Price History'!$A:$A))-'Price History'!O3)*(ROW()-3)/(MATCH(9.99E+307,'Returns (Calc)'!$A:$A)-3),"")</f>
        <v>24.490251572327047</v>
      </c>
      <c r="AK115" s="84">
        <f>IFERROR('Price History'!Q3+(INDEX('Price History'!Q:Q,MATCH(9.99E+307,'Price History'!$A:$A))-'Price History'!Q3)*(ROW()-3)/(MATCH(9.99E+307,'Returns (Calc)'!$A:$A)-3),"")</f>
        <v>14.732578616352207</v>
      </c>
      <c r="AL115" s="84">
        <f>IFERROR('Price History'!R3+(INDEX('Price History'!R:R,MATCH(9.99E+307,'Price History'!$A:$A))-'Price History'!R3)*(ROW()-3)/(MATCH(9.99E+307,'Returns (Calc)'!$A:$A)-3),"")</f>
        <v>14.135471698113207</v>
      </c>
      <c r="AM115" s="84">
        <f>IFERROR('Price History'!S3+(INDEX('Price History'!S:S,MATCH(9.99E+307,'Price History'!$A:$A))-'Price History'!S3)*(ROW()-3)/(MATCH(9.99E+307,'Returns (Calc)'!$A:$A)-3),"")</f>
        <v>17.304276729559753</v>
      </c>
      <c r="AN115" s="84">
        <f>IFERROR('Price History'!T3+(INDEX('Price History'!T:T,MATCH(9.99E+307,'Price History'!$A:$A))-'Price History'!T3)*(ROW()-3)/(MATCH(9.99E+307,'Returns (Calc)'!$A:$A)-3),"")</f>
        <v>7.9545283018867927</v>
      </c>
      <c r="AO115" s="85">
        <f>IFERROR('Price History'!V3+(INDEX('Price History'!V:V,MATCH(9.99E+307,'Price History'!$A:$A))-'Price History'!V3)*(ROW()-3)/(MATCH(9.99E+307,'Returns (Calc)'!$A:$A)-3),"")</f>
        <v>0</v>
      </c>
    </row>
    <row r="116" spans="1:41" ht="15" customHeight="1" x14ac:dyDescent="0.3">
      <c r="A116" s="81">
        <f>IF('Price History'!A117="","",'Price History'!A117)</f>
        <v>45947</v>
      </c>
      <c r="B116" s="82">
        <f>IFERROR(IF(OR(NOT(ISNUMBER('Price History'!B117)),NOT(ISNUMBER('Price History'!B116)),'Price History'!B116=0),"",'Price History'!B117/'Price History'!B116-1),"")</f>
        <v>-1.2592219489792944E-2</v>
      </c>
      <c r="C116" s="82">
        <f>IFERROR(IF(OR(NOT(ISNUMBER('Price History'!C117)),NOT(ISNUMBER('Price History'!C116)),'Price History'!C116=0),"",'Price History'!C117/'Price History'!C116-1),"")</f>
        <v>-7.138221933809219E-2</v>
      </c>
      <c r="D116" s="82">
        <f>IFERROR(IF(OR(NOT(ISNUMBER('Price History'!D117)),NOT(ISNUMBER('Price History'!D116)),'Price History'!D116=0),"",'Price History'!D117/'Price History'!D116-1),"")</f>
        <v>9.9424262169004018E-2</v>
      </c>
      <c r="E116" s="82">
        <f>IFERROR(IF(OR(NOT(ISNUMBER('Price History'!E117)),NOT(ISNUMBER('Price History'!E116)),'Price History'!E116=0),"",'Price History'!E117/'Price History'!E116-1),"")</f>
        <v>7.6086621692388334E-2</v>
      </c>
      <c r="F116" s="82">
        <f>IFERROR(IF(OR(NOT(ISNUMBER('Price History'!F117)),NOT(ISNUMBER('Price History'!F116)),'Price History'!F116=0),"",'Price History'!F117/'Price History'!F116-1),"")</f>
        <v>-1.83114568141306E-2</v>
      </c>
      <c r="G116" s="82">
        <f>IFERROR(IF(OR(NOT(ISNUMBER('Price History'!G117)),NOT(ISNUMBER('Price History'!G116)),'Price History'!G116=0),"",'Price History'!G117/'Price History'!G116-1),"")</f>
        <v>0.12606837606837606</v>
      </c>
      <c r="H116" s="82">
        <f>IFERROR(IF(OR(NOT(ISNUMBER('Price History'!H117)),NOT(ISNUMBER('Price History'!H116)),'Price History'!H116=0),"",'Price History'!H117/'Price History'!H116-1),"")</f>
        <v>0.11442731277533036</v>
      </c>
      <c r="I116" s="82">
        <f>IFERROR(IF(OR(NOT(ISNUMBER('Price History'!I117)),NOT(ISNUMBER('Price History'!I116)),'Price History'!I116=0),"",'Price History'!I117/'Price History'!I116-1),"")</f>
        <v>3.2758244158115346E-4</v>
      </c>
      <c r="J116" s="82">
        <f>IFERROR(IF(OR(NOT(ISNUMBER('Price History'!J117)),NOT(ISNUMBER('Price History'!J116)),'Price History'!J116=0),"",'Price History'!J117/'Price History'!J116-1),"")</f>
        <v>0.11552638676616023</v>
      </c>
      <c r="K116" s="82">
        <f>IFERROR(IF(OR(NOT(ISNUMBER('Price History'!K117)),NOT(ISNUMBER('Price History'!K116)),'Price History'!K116=0),"",'Price History'!K117/'Price History'!K116-1),"")</f>
        <v>1.5446876424988654E-2</v>
      </c>
      <c r="L116" s="82">
        <f>IFERROR(IF(OR(NOT(ISNUMBER('Price History'!L117)),NOT(ISNUMBER('Price History'!L116)),'Price History'!L116=0),"",'Price History'!L117/'Price History'!L116-1),"")</f>
        <v>5.1378892610275617E-2</v>
      </c>
      <c r="M116" s="82">
        <f>IFERROR(IF(OR(NOT(ISNUMBER('Price History'!M117)),NOT(ISNUMBER('Price History'!M116)),'Price History'!M116=0),"",'Price History'!M117/'Price History'!M116-1),"")</f>
        <v>2.9524880184604418E-2</v>
      </c>
      <c r="N116" s="82">
        <f>IFERROR(IF(OR(NOT(ISNUMBER('Price History'!N117)),NOT(ISNUMBER('Price History'!N116)),'Price History'!N116=0),"",'Price History'!N117/'Price History'!N116-1),"")</f>
        <v>2.2119228034036986E-2</v>
      </c>
      <c r="O116" s="82">
        <f>IFERROR(IF(OR(NOT(ISNUMBER('Price History'!O117)),NOT(ISNUMBER('Price History'!O116)),'Price History'!O116=0),"",'Price History'!O117/'Price History'!O116-1),"")</f>
        <v>1.9644920684946054E-2</v>
      </c>
      <c r="P116" s="82" t="str">
        <f>IFERROR(IF(OR(NOT(ISNUMBER('Price History'!P117)),NOT(ISNUMBER('Price History'!P116)),'Price History'!P116=0),"",'Price History'!P117/'Price History'!P116-1),"")</f>
        <v/>
      </c>
      <c r="Q116" s="82">
        <f>IFERROR(IF(OR(NOT(ISNUMBER('Price History'!Q117)),NOT(ISNUMBER('Price History'!Q116)),'Price History'!Q116=0),"",'Price History'!Q117/'Price History'!Q116-1),"")</f>
        <v>2.2658610271901747E-3</v>
      </c>
      <c r="R116" s="82">
        <f>IFERROR(IF(OR(NOT(ISNUMBER('Price History'!R117)),NOT(ISNUMBER('Price History'!R116)),'Price History'!R116=0),"",'Price History'!R117/'Price History'!R116-1),"")</f>
        <v>2.0415409195810419E-2</v>
      </c>
      <c r="S116" s="82">
        <f>IFERROR(IF(OR(NOT(ISNUMBER('Price History'!S117)),NOT(ISNUMBER('Price History'!S116)),'Price History'!S116=0),"",'Price History'!S117/'Price History'!S116-1),"")</f>
        <v>1.6202531645569618E-2</v>
      </c>
      <c r="T116" s="82">
        <f>IFERROR(IF(OR(NOT(ISNUMBER('Price History'!T117)),NOT(ISNUMBER('Price History'!T116)),'Price History'!T116=0),"",'Price History'!T117/'Price History'!T116-1),"")</f>
        <v>1.3942044833242351E-2</v>
      </c>
      <c r="U116" s="82" t="str">
        <f>IFERROR(IF(OR(NOT(ISNUMBER('Price History'!U117)),NOT(ISNUMBER('Price History'!U116)),'Price History'!U116=0),"",'Price History'!U117/'Price History'!U116-1),"")</f>
        <v/>
      </c>
      <c r="V116" s="83">
        <f>IFERROR(IF(OR(NOT(ISNUMBER('Price History'!V117)),NOT(ISNUMBER('Price History'!V116)),'Price History'!V116=0),"",'Price History'!V117/'Price History'!V116-1),"")</f>
        <v>-5.1038366772263588E-3</v>
      </c>
      <c r="W116" s="84" t="str">
        <f>IFERROR('Price History'!B3+(INDEX('Price History'!B:B,MATCH(9.99E+307,'Price History'!$A:$A))-'Price History'!B3)*(ROW()-3)/(MATCH(9.99E+307,'Returns (Calc)'!$A:$A)-3),"")</f>
        <v/>
      </c>
      <c r="X116" s="84">
        <f>IFERROR('Price History'!C3+(INDEX('Price History'!C:C,MATCH(9.99E+307,'Price History'!$A:$A))-'Price History'!C3)*(ROW()-3)/(MATCH(9.99E+307,'Returns (Calc)'!$A:$A)-3),"")</f>
        <v>12.654339622641512</v>
      </c>
      <c r="Y116" s="84">
        <f>IFERROR('Price History'!D3+(INDEX('Price History'!D:D,MATCH(9.99E+307,'Price History'!$A:$A))-'Price History'!D3)*(ROW()-3)/(MATCH(9.99E+307,'Returns (Calc)'!$A:$A)-3),"")</f>
        <v>191.45836477987422</v>
      </c>
      <c r="Z116" s="84">
        <f>IFERROR('Price History'!E3+(INDEX('Price History'!E:E,MATCH(9.99E+307,'Price History'!$A:$A))-'Price History'!E3)*(ROW()-3)/(MATCH(9.99E+307,'Returns (Calc)'!$A:$A)-3),"")</f>
        <v>24.006792452830197</v>
      </c>
      <c r="AA116" s="84">
        <f>IFERROR('Price History'!F3+(INDEX('Price History'!F:F,MATCH(9.99E+307,'Price History'!$A:$A))-'Price History'!F3)*(ROW()-3)/(MATCH(9.99E+307,'Returns (Calc)'!$A:$A)-3),"")</f>
        <v>10.721761006289306</v>
      </c>
      <c r="AB116" s="84">
        <f>IFERROR('Price History'!G3+(INDEX('Price History'!G:G,MATCH(9.99E+307,'Price History'!$A:$A))-'Price History'!G3)*(ROW()-3)/(MATCH(9.99E+307,'Returns (Calc)'!$A:$A)-3),"")</f>
        <v>13.857861635220125</v>
      </c>
      <c r="AC116" s="84">
        <f>IFERROR('Price History'!H3+(INDEX('Price History'!H:H,MATCH(9.99E+307,'Price History'!$A:$A))-'Price History'!H3)*(ROW()-3)/(MATCH(9.99E+307,'Returns (Calc)'!$A:$A)-3),"")</f>
        <v>18.622767295597484</v>
      </c>
      <c r="AD116" s="84">
        <f>IFERROR('Price History'!I3+(INDEX('Price History'!I:I,MATCH(9.99E+307,'Price History'!$A:$A))-'Price History'!I3)*(ROW()-3)/(MATCH(9.99E+307,'Returns (Calc)'!$A:$A)-3),"")</f>
        <v>11.818238993710693</v>
      </c>
      <c r="AE116" s="84">
        <f>IFERROR('Price History'!J3+(INDEX('Price History'!J:J,MATCH(9.99E+307,'Price History'!$A:$A))-'Price History'!J3)*(ROW()-3)/(MATCH(9.99E+307,'Returns (Calc)'!$A:$A)-3),"")</f>
        <v>35.732452830188677</v>
      </c>
      <c r="AF116" s="84">
        <f>IFERROR('Price History'!K3+(INDEX('Price History'!K:K,MATCH(9.99E+307,'Price History'!$A:$A))-'Price History'!K3)*(ROW()-3)/(MATCH(9.99E+307,'Returns (Calc)'!$A:$A)-3),"")</f>
        <v>4.4582389937106921</v>
      </c>
      <c r="AG116" s="84">
        <f>IFERROR('Price History'!L3+(INDEX('Price History'!L:L,MATCH(9.99E+307,'Price History'!$A:$A))-'Price History'!L3)*(ROW()-3)/(MATCH(9.99E+307,'Returns (Calc)'!$A:$A)-3),"")</f>
        <v>26.613459119496852</v>
      </c>
      <c r="AH116" s="84">
        <f>IFERROR('Price History'!M3+(INDEX('Price History'!M:M,MATCH(9.99E+307,'Price History'!$A:$A))-'Price History'!M3)*(ROW()-3)/(MATCH(9.99E+307,'Returns (Calc)'!$A:$A)-3),"")</f>
        <v>9.6947169811320748</v>
      </c>
      <c r="AI116" s="84">
        <f>IFERROR('Price History'!N3+(INDEX('Price History'!N:N,MATCH(9.99E+307,'Price History'!$A:$A))-'Price History'!N3)*(ROW()-3)/(MATCH(9.99E+307,'Returns (Calc)'!$A:$A)-3),"")</f>
        <v>101.21735849056606</v>
      </c>
      <c r="AJ116" s="84">
        <f>IFERROR('Price History'!O3+(INDEX('Price History'!O:O,MATCH(9.99E+307,'Price History'!$A:$A))-'Price History'!O3)*(ROW()-3)/(MATCH(9.99E+307,'Returns (Calc)'!$A:$A)-3),"")</f>
        <v>23.969182389937103</v>
      </c>
      <c r="AK116" s="84">
        <f>IFERROR('Price History'!Q3+(INDEX('Price History'!Q:Q,MATCH(9.99E+307,'Price History'!$A:$A))-'Price History'!Q3)*(ROW()-3)/(MATCH(9.99E+307,'Returns (Calc)'!$A:$A)-3),"")</f>
        <v>14.419119496855352</v>
      </c>
      <c r="AL116" s="84">
        <f>IFERROR('Price History'!R3+(INDEX('Price History'!R:R,MATCH(9.99E+307,'Price History'!$A:$A))-'Price History'!R3)*(ROW()-3)/(MATCH(9.99E+307,'Returns (Calc)'!$A:$A)-3),"")</f>
        <v>13.834716981132075</v>
      </c>
      <c r="AM116" s="84">
        <f>IFERROR('Price History'!S3+(INDEX('Price History'!S:S,MATCH(9.99E+307,'Price History'!$A:$A))-'Price History'!S3)*(ROW()-3)/(MATCH(9.99E+307,'Returns (Calc)'!$A:$A)-3),"")</f>
        <v>16.936100628930816</v>
      </c>
      <c r="AN116" s="84">
        <f>IFERROR('Price History'!T3+(INDEX('Price History'!T:T,MATCH(9.99E+307,'Price History'!$A:$A))-'Price History'!T3)*(ROW()-3)/(MATCH(9.99E+307,'Returns (Calc)'!$A:$A)-3),"")</f>
        <v>7.7852830188679256</v>
      </c>
      <c r="AO116" s="85">
        <f>IFERROR('Price History'!V3+(INDEX('Price History'!V:V,MATCH(9.99E+307,'Price History'!$A:$A))-'Price History'!V3)*(ROW()-3)/(MATCH(9.99E+307,'Returns (Calc)'!$A:$A)-3),"")</f>
        <v>0</v>
      </c>
    </row>
    <row r="117" spans="1:41" ht="15" customHeight="1" x14ac:dyDescent="0.3">
      <c r="A117" s="81">
        <f>IF('Price History'!A118="","",'Price History'!A118)</f>
        <v>45954</v>
      </c>
      <c r="B117" s="82">
        <f>IFERROR(IF(OR(NOT(ISNUMBER('Price History'!B118)),NOT(ISNUMBER('Price History'!B117)),'Price History'!B117=0),"",'Price History'!B118/'Price History'!B117-1),"")</f>
        <v>6.0793374542399192E-2</v>
      </c>
      <c r="C117" s="82">
        <f>IFERROR(IF(OR(NOT(ISNUMBER('Price History'!C118)),NOT(ISNUMBER('Price History'!C117)),'Price History'!C117=0),"",'Price History'!C118/'Price History'!C117-1),"")</f>
        <v>7.4912648497554191E-2</v>
      </c>
      <c r="D117" s="82">
        <f>IFERROR(IF(OR(NOT(ISNUMBER('Price History'!D118)),NOT(ISNUMBER('Price History'!D117)),'Price History'!D117=0),"",'Price History'!D118/'Price History'!D117-1),"")</f>
        <v>3.7210838749792696E-3</v>
      </c>
      <c r="E117" s="82">
        <f>IFERROR(IF(OR(NOT(ISNUMBER('Price History'!E118)),NOT(ISNUMBER('Price History'!E117)),'Price History'!E117=0),"",'Price History'!E118/'Price History'!E117-1),"")</f>
        <v>1.3740589127758884E-2</v>
      </c>
      <c r="F117" s="82">
        <f>IFERROR(IF(OR(NOT(ISNUMBER('Price History'!F118)),NOT(ISNUMBER('Price History'!F117)),'Price History'!F117=0),"",'Price History'!F118/'Price History'!F117-1),"")</f>
        <v>8.8065368108286801E-2</v>
      </c>
      <c r="G117" s="82">
        <f>IFERROR(IF(OR(NOT(ISNUMBER('Price History'!G118)),NOT(ISNUMBER('Price History'!G117)),'Price History'!G117=0),"",'Price History'!G118/'Price History'!G117-1),"")</f>
        <v>6.8762989066594393E-2</v>
      </c>
      <c r="H117" s="82">
        <f>IFERROR(IF(OR(NOT(ISNUMBER('Price History'!H118)),NOT(ISNUMBER('Price History'!H117)),'Price History'!H117=0),"",'Price History'!H118/'Price History'!H117-1),"")</f>
        <v>8.2221563395592501E-2</v>
      </c>
      <c r="I117" s="82">
        <f>IFERROR(IF(OR(NOT(ISNUMBER('Price History'!I118)),NOT(ISNUMBER('Price History'!I117)),'Price History'!I117=0),"",'Price History'!I118/'Price History'!I117-1),"")</f>
        <v>1.6592075100971382E-2</v>
      </c>
      <c r="J117" s="82">
        <f>IFERROR(IF(OR(NOT(ISNUMBER('Price History'!J118)),NOT(ISNUMBER('Price History'!J117)),'Price History'!J117=0),"",'Price History'!J118/'Price History'!J117-1),"")</f>
        <v>1.8939393939394034E-2</v>
      </c>
      <c r="K117" s="82">
        <f>IFERROR(IF(OR(NOT(ISNUMBER('Price History'!K118)),NOT(ISNUMBER('Price History'!K117)),'Price History'!K117=0),"",'Price History'!K118/'Price History'!K117-1),"")</f>
        <v>3.6373842267751755E-2</v>
      </c>
      <c r="L117" s="82">
        <f>IFERROR(IF(OR(NOT(ISNUMBER('Price History'!L118)),NOT(ISNUMBER('Price History'!L117)),'Price History'!L117=0),"",'Price History'!L118/'Price History'!L117-1),"")</f>
        <v>-4.0666937779587631E-4</v>
      </c>
      <c r="M117" s="82">
        <f>IFERROR(IF(OR(NOT(ISNUMBER('Price History'!M118)),NOT(ISNUMBER('Price History'!M117)),'Price History'!M117=0),"",'Price History'!M118/'Price History'!M117-1),"")</f>
        <v>6.9310344827586245E-2</v>
      </c>
      <c r="N117" s="82">
        <f>IFERROR(IF(OR(NOT(ISNUMBER('Price History'!N118)),NOT(ISNUMBER('Price History'!N117)),'Price History'!N117=0),"",'Price History'!N118/'Price History'!N117-1),"")</f>
        <v>1.0988220052301934E-2</v>
      </c>
      <c r="O117" s="82">
        <f>IFERROR(IF(OR(NOT(ISNUMBER('Price History'!O118)),NOT(ISNUMBER('Price History'!O117)),'Price History'!O117=0),"",'Price History'!O118/'Price History'!O117-1),"")</f>
        <v>2.9363280445085405E-2</v>
      </c>
      <c r="P117" s="82" t="str">
        <f>IFERROR(IF(OR(NOT(ISNUMBER('Price History'!P118)),NOT(ISNUMBER('Price History'!P117)),'Price History'!P117=0),"",'Price History'!P118/'Price History'!P117-1),"")</f>
        <v/>
      </c>
      <c r="Q117" s="82">
        <f>IFERROR(IF(OR(NOT(ISNUMBER('Price History'!Q118)),NOT(ISNUMBER('Price History'!Q117)),'Price History'!Q117=0),"",'Price History'!Q118/'Price History'!Q117-1),"")</f>
        <v>-1.2057272042200751E-3</v>
      </c>
      <c r="R117" s="82">
        <f>IFERROR(IF(OR(NOT(ISNUMBER('Price History'!R118)),NOT(ISNUMBER('Price History'!R117)),'Price History'!R117=0),"",'Price History'!R118/'Price History'!R117-1),"")</f>
        <v>1.8615170494084898E-2</v>
      </c>
      <c r="S117" s="82">
        <f>IFERROR(IF(OR(NOT(ISNUMBER('Price History'!S118)),NOT(ISNUMBER('Price History'!S117)),'Price History'!S117=0),"",'Price History'!S118/'Price History'!S117-1),"")</f>
        <v>1.0712506228201191E-2</v>
      </c>
      <c r="T117" s="82">
        <f>IFERROR(IF(OR(NOT(ISNUMBER('Price History'!T118)),NOT(ISNUMBER('Price History'!T117)),'Price History'!T117=0),"",'Price History'!T118/'Price History'!T117-1),"")</f>
        <v>2.6152601779455331E-2</v>
      </c>
      <c r="U117" s="82" t="str">
        <f>IFERROR(IF(OR(NOT(ISNUMBER('Price History'!U118)),NOT(ISNUMBER('Price History'!U117)),'Price History'!U117=0),"",'Price History'!U118/'Price History'!U117-1),"")</f>
        <v/>
      </c>
      <c r="V117" s="83">
        <f>IFERROR(IF(OR(NOT(ISNUMBER('Price History'!V118)),NOT(ISNUMBER('Price History'!V117)),'Price History'!V117=0),"",'Price History'!V118/'Price History'!V117-1),"")</f>
        <v>1.6038681526033383E-2</v>
      </c>
      <c r="W117" s="84" t="str">
        <f>IFERROR('Price History'!B3+(INDEX('Price History'!B:B,MATCH(9.99E+307,'Price History'!$A:$A))-'Price History'!B3)*(ROW()-3)/(MATCH(9.99E+307,'Returns (Calc)'!$A:$A)-3),"")</f>
        <v/>
      </c>
      <c r="X117" s="84">
        <f>IFERROR('Price History'!C3+(INDEX('Price History'!C:C,MATCH(9.99E+307,'Price History'!$A:$A))-'Price History'!C3)*(ROW()-3)/(MATCH(9.99E+307,'Returns (Calc)'!$A:$A)-3),"")</f>
        <v>12.379245283018868</v>
      </c>
      <c r="Y117" s="84">
        <f>IFERROR('Price History'!D3+(INDEX('Price History'!D:D,MATCH(9.99E+307,'Price History'!$A:$A))-'Price History'!D3)*(ROW()-3)/(MATCH(9.99E+307,'Returns (Calc)'!$A:$A)-3),"")</f>
        <v>187.29622641509434</v>
      </c>
      <c r="Z117" s="84">
        <f>IFERROR('Price History'!E3+(INDEX('Price History'!E:E,MATCH(9.99E+307,'Price History'!$A:$A))-'Price History'!E3)*(ROW()-3)/(MATCH(9.99E+307,'Returns (Calc)'!$A:$A)-3),"")</f>
        <v>23.484905660377358</v>
      </c>
      <c r="AA117" s="84">
        <f>IFERROR('Price History'!F3+(INDEX('Price History'!F:F,MATCH(9.99E+307,'Price History'!$A:$A))-'Price History'!F3)*(ROW()-3)/(MATCH(9.99E+307,'Returns (Calc)'!$A:$A)-3),"")</f>
        <v>10.48867924528302</v>
      </c>
      <c r="AB117" s="84">
        <f>IFERROR('Price History'!G3+(INDEX('Price History'!G:G,MATCH(9.99E+307,'Price History'!$A:$A))-'Price History'!G3)*(ROW()-3)/(MATCH(9.99E+307,'Returns (Calc)'!$A:$A)-3),"")</f>
        <v>13.556603773584911</v>
      </c>
      <c r="AC117" s="84">
        <f>IFERROR('Price History'!H3+(INDEX('Price History'!H:H,MATCH(9.99E+307,'Price History'!$A:$A))-'Price History'!H3)*(ROW()-3)/(MATCH(9.99E+307,'Returns (Calc)'!$A:$A)-3),"")</f>
        <v>18.217924528301893</v>
      </c>
      <c r="AD117" s="84">
        <f>IFERROR('Price History'!I3+(INDEX('Price History'!I:I,MATCH(9.99E+307,'Price History'!$A:$A))-'Price History'!I3)*(ROW()-3)/(MATCH(9.99E+307,'Returns (Calc)'!$A:$A)-3),"")</f>
        <v>11.561320754716981</v>
      </c>
      <c r="AE117" s="84">
        <f>IFERROR('Price History'!J3+(INDEX('Price History'!J:J,MATCH(9.99E+307,'Price History'!$A:$A))-'Price History'!J3)*(ROW()-3)/(MATCH(9.99E+307,'Returns (Calc)'!$A:$A)-3),"")</f>
        <v>34.955660377358484</v>
      </c>
      <c r="AF117" s="84">
        <f>IFERROR('Price History'!K3+(INDEX('Price History'!K:K,MATCH(9.99E+307,'Price History'!$A:$A))-'Price History'!K3)*(ROW()-3)/(MATCH(9.99E+307,'Returns (Calc)'!$A:$A)-3),"")</f>
        <v>4.3613207547169814</v>
      </c>
      <c r="AG117" s="84">
        <f>IFERROR('Price History'!L3+(INDEX('Price History'!L:L,MATCH(9.99E+307,'Price History'!$A:$A))-'Price History'!L3)*(ROW()-3)/(MATCH(9.99E+307,'Returns (Calc)'!$A:$A)-3),"")</f>
        <v>26.034905660377362</v>
      </c>
      <c r="AH117" s="84">
        <f>IFERROR('Price History'!M3+(INDEX('Price History'!M:M,MATCH(9.99E+307,'Price History'!$A:$A))-'Price History'!M3)*(ROW()-3)/(MATCH(9.99E+307,'Returns (Calc)'!$A:$A)-3),"")</f>
        <v>9.4839622641509429</v>
      </c>
      <c r="AI117" s="84">
        <f>IFERROR('Price History'!N3+(INDEX('Price History'!N:N,MATCH(9.99E+307,'Price History'!$A:$A))-'Price History'!N3)*(ROW()-3)/(MATCH(9.99E+307,'Returns (Calc)'!$A:$A)-3),"")</f>
        <v>99.016981132075472</v>
      </c>
      <c r="AJ117" s="84">
        <f>IFERROR('Price History'!O3+(INDEX('Price History'!O:O,MATCH(9.99E+307,'Price History'!$A:$A))-'Price History'!O3)*(ROW()-3)/(MATCH(9.99E+307,'Returns (Calc)'!$A:$A)-3),"")</f>
        <v>23.448113207547166</v>
      </c>
      <c r="AK117" s="84">
        <f>IFERROR('Price History'!Q3+(INDEX('Price History'!Q:Q,MATCH(9.99E+307,'Price History'!$A:$A))-'Price History'!Q3)*(ROW()-3)/(MATCH(9.99E+307,'Returns (Calc)'!$A:$A)-3),"")</f>
        <v>14.10566037735849</v>
      </c>
      <c r="AL117" s="84">
        <f>IFERROR('Price History'!R3+(INDEX('Price History'!R:R,MATCH(9.99E+307,'Price History'!$A:$A))-'Price History'!R3)*(ROW()-3)/(MATCH(9.99E+307,'Returns (Calc)'!$A:$A)-3),"")</f>
        <v>13.533962264150944</v>
      </c>
      <c r="AM117" s="84">
        <f>IFERROR('Price History'!S3+(INDEX('Price History'!S:S,MATCH(9.99E+307,'Price History'!$A:$A))-'Price History'!S3)*(ROW()-3)/(MATCH(9.99E+307,'Returns (Calc)'!$A:$A)-3),"")</f>
        <v>16.567924528301887</v>
      </c>
      <c r="AN117" s="84">
        <f>IFERROR('Price History'!T3+(INDEX('Price History'!T:T,MATCH(9.99E+307,'Price History'!$A:$A))-'Price History'!T3)*(ROW()-3)/(MATCH(9.99E+307,'Returns (Calc)'!$A:$A)-3),"")</f>
        <v>7.616037735849055</v>
      </c>
      <c r="AO117" s="85">
        <f>IFERROR('Price History'!V3+(INDEX('Price History'!V:V,MATCH(9.99E+307,'Price History'!$A:$A))-'Price History'!V3)*(ROW()-3)/(MATCH(9.99E+307,'Returns (Calc)'!$A:$A)-3),"")</f>
        <v>0</v>
      </c>
    </row>
    <row r="118" spans="1:41" ht="15" customHeight="1" x14ac:dyDescent="0.3">
      <c r="A118" s="81">
        <f>IF('Price History'!A119="","",'Price History'!A119)</f>
        <v>45961</v>
      </c>
      <c r="B118" s="82">
        <f>IFERROR(IF(OR(NOT(ISNUMBER('Price History'!B119)),NOT(ISNUMBER('Price History'!B118)),'Price History'!B118=0),"",'Price History'!B119/'Price History'!B118-1),"")</f>
        <v>-3.7367051369088022E-2</v>
      </c>
      <c r="C118" s="82">
        <f>IFERROR(IF(OR(NOT(ISNUMBER('Price History'!C119)),NOT(ISNUMBER('Price History'!C118)),'Price History'!C118=0),"",'Price History'!C119/'Price History'!C118-1),"")</f>
        <v>2.5159277077103193E-2</v>
      </c>
      <c r="D118" s="82">
        <f>IFERROR(IF(OR(NOT(ISNUMBER('Price History'!D119)),NOT(ISNUMBER('Price History'!D118)),'Price History'!D118=0),"",'Price History'!D119/'Price History'!D118-1),"")</f>
        <v>2.5292808053431592E-2</v>
      </c>
      <c r="E118" s="82">
        <f>IFERROR(IF(OR(NOT(ISNUMBER('Price History'!E119)),NOT(ISNUMBER('Price History'!E118)),'Price History'!E118=0),"",'Price History'!E119/'Price History'!E118-1),"")</f>
        <v>4.3769237285742557E-2</v>
      </c>
      <c r="F118" s="82">
        <f>IFERROR(IF(OR(NOT(ISNUMBER('Price History'!F119)),NOT(ISNUMBER('Price History'!F118)),'Price History'!F118=0),"",'Price History'!F119/'Price History'!F118-1),"")</f>
        <v>2.9735265114162024E-2</v>
      </c>
      <c r="G118" s="82">
        <f>IFERROR(IF(OR(NOT(ISNUMBER('Price History'!G119)),NOT(ISNUMBER('Price History'!G118)),'Price History'!G118=0),"",'Price History'!G119/'Price History'!G118-1),"")</f>
        <v>2.1897193101116041E-2</v>
      </c>
      <c r="H118" s="82">
        <f>IFERROR(IF(OR(NOT(ISNUMBER('Price History'!H119)),NOT(ISNUMBER('Price History'!H118)),'Price History'!H118=0),"",'Price History'!H119/'Price History'!H118-1),"")</f>
        <v>2.168751712172412E-2</v>
      </c>
      <c r="I118" s="82">
        <f>IFERROR(IF(OR(NOT(ISNUMBER('Price History'!I119)),NOT(ISNUMBER('Price History'!I118)),'Price History'!I118=0),"",'Price History'!I119/'Price History'!I118-1),"")</f>
        <v>8.7136261140341453E-2</v>
      </c>
      <c r="J118" s="82">
        <f>IFERROR(IF(OR(NOT(ISNUMBER('Price History'!J119)),NOT(ISNUMBER('Price History'!J118)),'Price History'!J118=0),"",'Price History'!J119/'Price History'!J118-1),"")</f>
        <v>-1.8508265443328398E-2</v>
      </c>
      <c r="K118" s="82">
        <f>IFERROR(IF(OR(NOT(ISNUMBER('Price History'!K119)),NOT(ISNUMBER('Price History'!K118)),'Price History'!K118=0),"",'Price History'!K119/'Price History'!K118-1),"")</f>
        <v>8.5793208037697077E-2</v>
      </c>
      <c r="L118" s="82">
        <f>IFERROR(IF(OR(NOT(ISNUMBER('Price History'!L119)),NOT(ISNUMBER('Price History'!L118)),'Price History'!L118=0),"",'Price History'!L119/'Price History'!L118-1),"")</f>
        <v>1.8544887442365265E-2</v>
      </c>
      <c r="M118" s="82">
        <f>IFERROR(IF(OR(NOT(ISNUMBER('Price History'!M119)),NOT(ISNUMBER('Price History'!M118)),'Price History'!M118=0),"",'Price History'!M119/'Price History'!M118-1),"")</f>
        <v>3.6547350317102101E-2</v>
      </c>
      <c r="N118" s="82">
        <f>IFERROR(IF(OR(NOT(ISNUMBER('Price History'!N119)),NOT(ISNUMBER('Price History'!N118)),'Price History'!N118=0),"",'Price History'!N119/'Price History'!N118-1),"")</f>
        <v>9.919551958992967E-3</v>
      </c>
      <c r="O118" s="82">
        <f>IFERROR(IF(OR(NOT(ISNUMBER('Price History'!O119)),NOT(ISNUMBER('Price History'!O118)),'Price History'!O118=0),"",'Price History'!O119/'Price History'!O118-1),"")</f>
        <v>-2.1119007106395804E-2</v>
      </c>
      <c r="P118" s="82" t="str">
        <f>IFERROR(IF(OR(NOT(ISNUMBER('Price History'!P119)),NOT(ISNUMBER('Price History'!P118)),'Price History'!P118=0),"",'Price History'!P119/'Price History'!P118-1),"")</f>
        <v/>
      </c>
      <c r="Q118" s="82">
        <f>IFERROR(IF(OR(NOT(ISNUMBER('Price History'!Q119)),NOT(ISNUMBER('Price History'!Q118)),'Price History'!Q118=0),"",'Price History'!Q119/'Price History'!Q118-1),"")</f>
        <v>3.0179568432187054E-4</v>
      </c>
      <c r="R118" s="82">
        <f>IFERROR(IF(OR(NOT(ISNUMBER('Price History'!R119)),NOT(ISNUMBER('Price History'!R118)),'Price History'!R118=0),"",'Price History'!R119/'Price History'!R118-1),"")</f>
        <v>9.3936806148591234E-3</v>
      </c>
      <c r="S118" s="82">
        <f>IFERROR(IF(OR(NOT(ISNUMBER('Price History'!S119)),NOT(ISNUMBER('Price History'!S118)),'Price History'!S118=0),"",'Price History'!S119/'Price History'!S118-1),"")</f>
        <v>-8.2162517459405393E-5</v>
      </c>
      <c r="T118" s="82">
        <f>IFERROR(IF(OR(NOT(ISNUMBER('Price History'!T119)),NOT(ISNUMBER('Price History'!T118)),'Price History'!T118=0),"",'Price History'!T119/'Price History'!T118-1),"")</f>
        <v>-6.3058328954282983E-3</v>
      </c>
      <c r="U118" s="82" t="str">
        <f>IFERROR(IF(OR(NOT(ISNUMBER('Price History'!U119)),NOT(ISNUMBER('Price History'!U118)),'Price History'!U118=0),"",'Price History'!U119/'Price History'!U118-1),"")</f>
        <v/>
      </c>
      <c r="V118" s="83">
        <f>IFERROR(IF(OR(NOT(ISNUMBER('Price History'!V119)),NOT(ISNUMBER('Price History'!V118)),'Price History'!V118=0),"",'Price History'!V119/'Price History'!V118-1),"")</f>
        <v>-1.9093494283558665E-2</v>
      </c>
      <c r="W118" s="84" t="str">
        <f>IFERROR('Price History'!B3+(INDEX('Price History'!B:B,MATCH(9.99E+307,'Price History'!$A:$A))-'Price History'!B3)*(ROW()-3)/(MATCH(9.99E+307,'Returns (Calc)'!$A:$A)-3),"")</f>
        <v/>
      </c>
      <c r="X118" s="84">
        <f>IFERROR('Price History'!C3+(INDEX('Price History'!C:C,MATCH(9.99E+307,'Price History'!$A:$A))-'Price History'!C3)*(ROW()-3)/(MATCH(9.99E+307,'Returns (Calc)'!$A:$A)-3),"")</f>
        <v>12.104150943396228</v>
      </c>
      <c r="Y118" s="84">
        <f>IFERROR('Price History'!D3+(INDEX('Price History'!D:D,MATCH(9.99E+307,'Price History'!$A:$A))-'Price History'!D3)*(ROW()-3)/(MATCH(9.99E+307,'Returns (Calc)'!$A:$A)-3),"")</f>
        <v>183.13408805031446</v>
      </c>
      <c r="Z118" s="84">
        <f>IFERROR('Price History'!E3+(INDEX('Price History'!E:E,MATCH(9.99E+307,'Price History'!$A:$A))-'Price History'!E3)*(ROW()-3)/(MATCH(9.99E+307,'Returns (Calc)'!$A:$A)-3),"")</f>
        <v>22.963018867924525</v>
      </c>
      <c r="AA118" s="84">
        <f>IFERROR('Price History'!F3+(INDEX('Price History'!F:F,MATCH(9.99E+307,'Price History'!$A:$A))-'Price History'!F3)*(ROW()-3)/(MATCH(9.99E+307,'Returns (Calc)'!$A:$A)-3),"")</f>
        <v>10.255597484276727</v>
      </c>
      <c r="AB118" s="84">
        <f>IFERROR('Price History'!G3+(INDEX('Price History'!G:G,MATCH(9.99E+307,'Price History'!$A:$A))-'Price History'!G3)*(ROW()-3)/(MATCH(9.99E+307,'Returns (Calc)'!$A:$A)-3),"")</f>
        <v>13.255345911949682</v>
      </c>
      <c r="AC118" s="84">
        <f>IFERROR('Price History'!H3+(INDEX('Price History'!H:H,MATCH(9.99E+307,'Price History'!$A:$A))-'Price History'!H3)*(ROW()-3)/(MATCH(9.99E+307,'Returns (Calc)'!$A:$A)-3),"")</f>
        <v>17.813081761006295</v>
      </c>
      <c r="AD118" s="84">
        <f>IFERROR('Price History'!I3+(INDEX('Price History'!I:I,MATCH(9.99E+307,'Price History'!$A:$A))-'Price History'!I3)*(ROW()-3)/(MATCH(9.99E+307,'Returns (Calc)'!$A:$A)-3),"")</f>
        <v>11.304402515723272</v>
      </c>
      <c r="AE118" s="84">
        <f>IFERROR('Price History'!J3+(INDEX('Price History'!J:J,MATCH(9.99E+307,'Price History'!$A:$A))-'Price History'!J3)*(ROW()-3)/(MATCH(9.99E+307,'Returns (Calc)'!$A:$A)-3),"")</f>
        <v>34.178867924528305</v>
      </c>
      <c r="AF118" s="84">
        <f>IFERROR('Price History'!K3+(INDEX('Price History'!K:K,MATCH(9.99E+307,'Price History'!$A:$A))-'Price History'!K3)*(ROW()-3)/(MATCH(9.99E+307,'Returns (Calc)'!$A:$A)-3),"")</f>
        <v>4.2644025157232708</v>
      </c>
      <c r="AG118" s="84">
        <f>IFERROR('Price History'!L3+(INDEX('Price History'!L:L,MATCH(9.99E+307,'Price History'!$A:$A))-'Price History'!L3)*(ROW()-3)/(MATCH(9.99E+307,'Returns (Calc)'!$A:$A)-3),"")</f>
        <v>25.456352201257872</v>
      </c>
      <c r="AH118" s="84">
        <f>IFERROR('Price History'!M3+(INDEX('Price History'!M:M,MATCH(9.99E+307,'Price History'!$A:$A))-'Price History'!M3)*(ROW()-3)/(MATCH(9.99E+307,'Returns (Calc)'!$A:$A)-3),"")</f>
        <v>9.273207547169811</v>
      </c>
      <c r="AI118" s="84">
        <f>IFERROR('Price History'!N3+(INDEX('Price History'!N:N,MATCH(9.99E+307,'Price History'!$A:$A))-'Price History'!N3)*(ROW()-3)/(MATCH(9.99E+307,'Returns (Calc)'!$A:$A)-3),"")</f>
        <v>96.816603773584916</v>
      </c>
      <c r="AJ118" s="84">
        <f>IFERROR('Price History'!O3+(INDEX('Price History'!O:O,MATCH(9.99E+307,'Price History'!$A:$A))-'Price History'!O3)*(ROW()-3)/(MATCH(9.99E+307,'Returns (Calc)'!$A:$A)-3),"")</f>
        <v>22.92704402515723</v>
      </c>
      <c r="AK118" s="84">
        <f>IFERROR('Price History'!Q3+(INDEX('Price History'!Q:Q,MATCH(9.99E+307,'Price History'!$A:$A))-'Price History'!Q3)*(ROW()-3)/(MATCH(9.99E+307,'Returns (Calc)'!$A:$A)-3),"")</f>
        <v>13.792201257861635</v>
      </c>
      <c r="AL118" s="84">
        <f>IFERROR('Price History'!R3+(INDEX('Price History'!R:R,MATCH(9.99E+307,'Price History'!$A:$A))-'Price History'!R3)*(ROW()-3)/(MATCH(9.99E+307,'Returns (Calc)'!$A:$A)-3),"")</f>
        <v>13.233207547169812</v>
      </c>
      <c r="AM118" s="84">
        <f>IFERROR('Price History'!S3+(INDEX('Price History'!S:S,MATCH(9.99E+307,'Price History'!$A:$A))-'Price History'!S3)*(ROW()-3)/(MATCH(9.99E+307,'Returns (Calc)'!$A:$A)-3),"")</f>
        <v>16.199748427672958</v>
      </c>
      <c r="AN118" s="84">
        <f>IFERROR('Price History'!T3+(INDEX('Price History'!T:T,MATCH(9.99E+307,'Price History'!$A:$A))-'Price History'!T3)*(ROW()-3)/(MATCH(9.99E+307,'Returns (Calc)'!$A:$A)-3),"")</f>
        <v>7.4467924528301879</v>
      </c>
      <c r="AO118" s="85">
        <f>IFERROR('Price History'!V3+(INDEX('Price History'!V:V,MATCH(9.99E+307,'Price History'!$A:$A))-'Price History'!V3)*(ROW()-3)/(MATCH(9.99E+307,'Returns (Calc)'!$A:$A)-3),"")</f>
        <v>0</v>
      </c>
    </row>
    <row r="119" spans="1:41" ht="15" customHeight="1" x14ac:dyDescent="0.3">
      <c r="A119" s="81">
        <f>IF('Price History'!A120="","",'Price History'!A120)</f>
        <v>45968</v>
      </c>
      <c r="B119" s="82">
        <f>IFERROR(IF(OR(NOT(ISNUMBER('Price History'!B120)),NOT(ISNUMBER('Price History'!B119)),'Price History'!B119=0),"",'Price History'!B120/'Price History'!B119-1),"")</f>
        <v>-3.9258323293467789E-2</v>
      </c>
      <c r="C119" s="82">
        <f>IFERROR(IF(OR(NOT(ISNUMBER('Price History'!C120)),NOT(ISNUMBER('Price History'!C119)),'Price History'!C119=0),"",'Price History'!C120/'Price History'!C119-1),"")</f>
        <v>-0.14610945526032082</v>
      </c>
      <c r="D119" s="82">
        <f>IFERROR(IF(OR(NOT(ISNUMBER('Price History'!D120)),NOT(ISNUMBER('Price History'!D119)),'Price History'!D119=0),"",'Price History'!D120/'Price History'!D119-1),"")</f>
        <v>-3.9906347063432879E-2</v>
      </c>
      <c r="E119" s="82">
        <f>IFERROR(IF(OR(NOT(ISNUMBER('Price History'!E120)),NOT(ISNUMBER('Price History'!E119)),'Price History'!E119=0),"",'Price History'!E120/'Price History'!E119-1),"")</f>
        <v>-5.4649243838432948E-2</v>
      </c>
      <c r="F119" s="82">
        <f>IFERROR(IF(OR(NOT(ISNUMBER('Price History'!F120)),NOT(ISNUMBER('Price History'!F119)),'Price History'!F119=0),"",'Price History'!F120/'Price History'!F119-1),"")</f>
        <v>-5.8931860036832706E-3</v>
      </c>
      <c r="G119" s="82">
        <f>IFERROR(IF(OR(NOT(ISNUMBER('Price History'!G120)),NOT(ISNUMBER('Price History'!G119)),'Price History'!G119=0),"",'Price History'!G120/'Price History'!G119-1),"")</f>
        <v>-1.2658227848101222E-2</v>
      </c>
      <c r="H119" s="82">
        <f>IFERROR(IF(OR(NOT(ISNUMBER('Price History'!H120)),NOT(ISNUMBER('Price History'!H119)),'Price History'!H119=0),"",'Price History'!H120/'Price History'!H119-1),"")</f>
        <v>6.3234571211511659E-2</v>
      </c>
      <c r="I119" s="82">
        <f>IFERROR(IF(OR(NOT(ISNUMBER('Price History'!I120)),NOT(ISNUMBER('Price History'!I119)),'Price History'!I119=0),"",'Price History'!I120/'Price History'!I119-1),"")</f>
        <v>-7.0818312015408225E-2</v>
      </c>
      <c r="J119" s="82">
        <f>IFERROR(IF(OR(NOT(ISNUMBER('Price History'!J120)),NOT(ISNUMBER('Price History'!J119)),'Price History'!J119=0),"",'Price History'!J120/'Price History'!J119-1),"")</f>
        <v>1.2168587315657842E-2</v>
      </c>
      <c r="K119" s="82">
        <f>IFERROR(IF(OR(NOT(ISNUMBER('Price History'!K120)),NOT(ISNUMBER('Price History'!K119)),'Price History'!K119=0),"",'Price History'!K120/'Price History'!K119-1),"")</f>
        <v>-0.1124357759265725</v>
      </c>
      <c r="L119" s="82">
        <f>IFERROR(IF(OR(NOT(ISNUMBER('Price History'!L120)),NOT(ISNUMBER('Price History'!L119)),'Price History'!L119=0),"",'Price History'!L120/'Price History'!L119-1),"")</f>
        <v>-4.636687414705587E-2</v>
      </c>
      <c r="M119" s="82">
        <f>IFERROR(IF(OR(NOT(ISNUMBER('Price History'!M120)),NOT(ISNUMBER('Price History'!M119)),'Price History'!M119=0),"",'Price History'!M120/'Price History'!M119-1),"")</f>
        <v>-6.771751529606973E-2</v>
      </c>
      <c r="N119" s="82">
        <f>IFERROR(IF(OR(NOT(ISNUMBER('Price History'!N120)),NOT(ISNUMBER('Price History'!N119)),'Price History'!N119=0),"",'Price History'!N120/'Price History'!N119-1),"")</f>
        <v>-3.7831614070540587E-2</v>
      </c>
      <c r="O119" s="82">
        <f>IFERROR(IF(OR(NOT(ISNUMBER('Price History'!O120)),NOT(ISNUMBER('Price History'!O119)),'Price History'!O119=0),"",'Price History'!O120/'Price History'!O119-1),"")</f>
        <v>-6.1349693251533388E-4</v>
      </c>
      <c r="P119" s="82" t="str">
        <f>IFERROR(IF(OR(NOT(ISNUMBER('Price History'!P120)),NOT(ISNUMBER('Price History'!P119)),'Price History'!P119=0),"",'Price History'!P120/'Price History'!P119-1),"")</f>
        <v/>
      </c>
      <c r="Q119" s="82">
        <f>IFERROR(IF(OR(NOT(ISNUMBER('Price History'!Q120)),NOT(ISNUMBER('Price History'!Q119)),'Price History'!Q119=0),"",'Price History'!Q120/'Price History'!Q119-1),"")</f>
        <v>1.0710514406396143E-2</v>
      </c>
      <c r="R119" s="82">
        <f>IFERROR(IF(OR(NOT(ISNUMBER('Price History'!R120)),NOT(ISNUMBER('Price History'!R119)),'Price History'!R119=0),"",'Price History'!R120/'Price History'!R119-1),"")</f>
        <v>-2.3519458544839278E-2</v>
      </c>
      <c r="S119" s="82">
        <f>IFERROR(IF(OR(NOT(ISNUMBER('Price History'!S120)),NOT(ISNUMBER('Price History'!S119)),'Price History'!S119=0),"",'Price History'!S120/'Price History'!S119-1),"")</f>
        <v>-2.6047658175842203E-2</v>
      </c>
      <c r="T119" s="82">
        <f>IFERROR(IF(OR(NOT(ISNUMBER('Price History'!T120)),NOT(ISNUMBER('Price History'!T119)),'Price History'!T119=0),"",'Price History'!T120/'Price History'!T119-1),"")</f>
        <v>1.5864621893177944E-3</v>
      </c>
      <c r="U119" s="82" t="str">
        <f>IFERROR(IF(OR(NOT(ISNUMBER('Price History'!U120)),NOT(ISNUMBER('Price History'!U119)),'Price History'!U119=0),"",'Price History'!U120/'Price History'!U119-1),"")</f>
        <v/>
      </c>
      <c r="V119" s="83">
        <f>IFERROR(IF(OR(NOT(ISNUMBER('Price History'!V120)),NOT(ISNUMBER('Price History'!V119)),'Price History'!V119=0),"",'Price History'!V120/'Price History'!V119-1),"")</f>
        <v>-1.3874097739912439E-2</v>
      </c>
      <c r="W119" s="84" t="str">
        <f>IFERROR('Price History'!B3+(INDEX('Price History'!B:B,MATCH(9.99E+307,'Price History'!$A:$A))-'Price History'!B3)*(ROW()-3)/(MATCH(9.99E+307,'Returns (Calc)'!$A:$A)-3),"")</f>
        <v/>
      </c>
      <c r="X119" s="84">
        <f>IFERROR('Price History'!C3+(INDEX('Price History'!C:C,MATCH(9.99E+307,'Price History'!$A:$A))-'Price History'!C3)*(ROW()-3)/(MATCH(9.99E+307,'Returns (Calc)'!$A:$A)-3),"")</f>
        <v>11.829056603773587</v>
      </c>
      <c r="Y119" s="84">
        <f>IFERROR('Price History'!D3+(INDEX('Price History'!D:D,MATCH(9.99E+307,'Price History'!$A:$A))-'Price History'!D3)*(ROW()-3)/(MATCH(9.99E+307,'Returns (Calc)'!$A:$A)-3),"")</f>
        <v>178.97194968553458</v>
      </c>
      <c r="Z119" s="84">
        <f>IFERROR('Price History'!E3+(INDEX('Price History'!E:E,MATCH(9.99E+307,'Price History'!$A:$A))-'Price History'!E3)*(ROW()-3)/(MATCH(9.99E+307,'Returns (Calc)'!$A:$A)-3),"")</f>
        <v>22.4411320754717</v>
      </c>
      <c r="AA119" s="84">
        <f>IFERROR('Price History'!F3+(INDEX('Price History'!F:F,MATCH(9.99E+307,'Price History'!$A:$A))-'Price History'!F3)*(ROW()-3)/(MATCH(9.99E+307,'Returns (Calc)'!$A:$A)-3),"")</f>
        <v>10.022515723270441</v>
      </c>
      <c r="AB119" s="84">
        <f>IFERROR('Price History'!G3+(INDEX('Price History'!G:G,MATCH(9.99E+307,'Price History'!$A:$A))-'Price History'!G3)*(ROW()-3)/(MATCH(9.99E+307,'Returns (Calc)'!$A:$A)-3),"")</f>
        <v>12.954088050314468</v>
      </c>
      <c r="AC119" s="84">
        <f>IFERROR('Price History'!H3+(INDEX('Price History'!H:H,MATCH(9.99E+307,'Price History'!$A:$A))-'Price History'!H3)*(ROW()-3)/(MATCH(9.99E+307,'Returns (Calc)'!$A:$A)-3),"")</f>
        <v>17.408238993710697</v>
      </c>
      <c r="AD119" s="84">
        <f>IFERROR('Price History'!I3+(INDEX('Price History'!I:I,MATCH(9.99E+307,'Price History'!$A:$A))-'Price History'!I3)*(ROW()-3)/(MATCH(9.99E+307,'Returns (Calc)'!$A:$A)-3),"")</f>
        <v>11.047484276729559</v>
      </c>
      <c r="AE119" s="84">
        <f>IFERROR('Price History'!J3+(INDEX('Price History'!J:J,MATCH(9.99E+307,'Price History'!$A:$A))-'Price History'!J3)*(ROW()-3)/(MATCH(9.99E+307,'Returns (Calc)'!$A:$A)-3),"")</f>
        <v>33.402075471698126</v>
      </c>
      <c r="AF119" s="84">
        <f>IFERROR('Price History'!K3+(INDEX('Price History'!K:K,MATCH(9.99E+307,'Price History'!$A:$A))-'Price History'!K3)*(ROW()-3)/(MATCH(9.99E+307,'Returns (Calc)'!$A:$A)-3),"")</f>
        <v>4.1674842767295601</v>
      </c>
      <c r="AG119" s="84">
        <f>IFERROR('Price History'!L3+(INDEX('Price History'!L:L,MATCH(9.99E+307,'Price History'!$A:$A))-'Price History'!L3)*(ROW()-3)/(MATCH(9.99E+307,'Returns (Calc)'!$A:$A)-3),"")</f>
        <v>24.877798742138353</v>
      </c>
      <c r="AH119" s="84">
        <f>IFERROR('Price History'!M3+(INDEX('Price History'!M:M,MATCH(9.99E+307,'Price History'!$A:$A))-'Price History'!M3)*(ROW()-3)/(MATCH(9.99E+307,'Returns (Calc)'!$A:$A)-3),"")</f>
        <v>9.0624528301886791</v>
      </c>
      <c r="AI119" s="84">
        <f>IFERROR('Price History'!N3+(INDEX('Price History'!N:N,MATCH(9.99E+307,'Price History'!$A:$A))-'Price History'!N3)*(ROW()-3)/(MATCH(9.99E+307,'Returns (Calc)'!$A:$A)-3),"")</f>
        <v>94.616226415094332</v>
      </c>
      <c r="AJ119" s="84">
        <f>IFERROR('Price History'!O3+(INDEX('Price History'!O:O,MATCH(9.99E+307,'Price History'!$A:$A))-'Price History'!O3)*(ROW()-3)/(MATCH(9.99E+307,'Returns (Calc)'!$A:$A)-3),"")</f>
        <v>22.4059748427673</v>
      </c>
      <c r="AK119" s="84">
        <f>IFERROR('Price History'!Q3+(INDEX('Price History'!Q:Q,MATCH(9.99E+307,'Price History'!$A:$A))-'Price History'!Q3)*(ROW()-3)/(MATCH(9.99E+307,'Returns (Calc)'!$A:$A)-3),"")</f>
        <v>13.47874213836478</v>
      </c>
      <c r="AL119" s="84">
        <f>IFERROR('Price History'!R3+(INDEX('Price History'!R:R,MATCH(9.99E+307,'Price History'!$A:$A))-'Price History'!R3)*(ROW()-3)/(MATCH(9.99E+307,'Returns (Calc)'!$A:$A)-3),"")</f>
        <v>12.93245283018868</v>
      </c>
      <c r="AM119" s="84">
        <f>IFERROR('Price History'!S3+(INDEX('Price History'!S:S,MATCH(9.99E+307,'Price History'!$A:$A))-'Price History'!S3)*(ROW()-3)/(MATCH(9.99E+307,'Returns (Calc)'!$A:$A)-3),"")</f>
        <v>15.831572327044022</v>
      </c>
      <c r="AN119" s="84">
        <f>IFERROR('Price History'!T3+(INDEX('Price History'!T:T,MATCH(9.99E+307,'Price History'!$A:$A))-'Price History'!T3)*(ROW()-3)/(MATCH(9.99E+307,'Returns (Calc)'!$A:$A)-3),"")</f>
        <v>7.2775471698113208</v>
      </c>
      <c r="AO119" s="85">
        <f>IFERROR('Price History'!V3+(INDEX('Price History'!V:V,MATCH(9.99E+307,'Price History'!$A:$A))-'Price History'!V3)*(ROW()-3)/(MATCH(9.99E+307,'Returns (Calc)'!$A:$A)-3),"")</f>
        <v>0</v>
      </c>
    </row>
    <row r="120" spans="1:41" ht="15" customHeight="1" x14ac:dyDescent="0.3">
      <c r="A120" s="81">
        <f>IF('Price History'!A121="","",'Price History'!A121)</f>
        <v>45975</v>
      </c>
      <c r="B120" s="82">
        <f>IFERROR(IF(OR(NOT(ISNUMBER('Price History'!B121)),NOT(ISNUMBER('Price History'!B120)),'Price History'!B120=0),"",'Price History'!B121/'Price History'!B120-1),"")</f>
        <v>1.2723658051689846E-2</v>
      </c>
      <c r="C120" s="82">
        <f>IFERROR(IF(OR(NOT(ISNUMBER('Price History'!C121)),NOT(ISNUMBER('Price History'!C120)),'Price History'!C120=0),"",'Price History'!C121/'Price History'!C120-1),"")</f>
        <v>-2.4359450427033025E-2</v>
      </c>
      <c r="D120" s="82">
        <f>IFERROR(IF(OR(NOT(ISNUMBER('Price History'!D121)),NOT(ISNUMBER('Price History'!D120)),'Price History'!D120=0),"",'Price History'!D121/'Price History'!D120-1),"")</f>
        <v>-9.8135619886721148E-3</v>
      </c>
      <c r="E120" s="82">
        <f>IFERROR(IF(OR(NOT(ISNUMBER('Price History'!E121)),NOT(ISNUMBER('Price History'!E120)),'Price History'!E120=0),"",'Price History'!E121/'Price History'!E120-1),"")</f>
        <v>-1.9946770454740692E-2</v>
      </c>
      <c r="F120" s="82">
        <f>IFERROR(IF(OR(NOT(ISNUMBER('Price History'!F121)),NOT(ISNUMBER('Price History'!F120)),'Price History'!F120=0),"",'Price History'!F121/'Price History'!F120-1),"")</f>
        <v>-4.1496850685439624E-3</v>
      </c>
      <c r="G120" s="82">
        <f>IFERROR(IF(OR(NOT(ISNUMBER('Price History'!G121)),NOT(ISNUMBER('Price History'!G120)),'Price History'!G120=0),"",'Price History'!G121/'Price History'!G120-1),"")</f>
        <v>-4.9522373051784752E-2</v>
      </c>
      <c r="H120" s="82">
        <f>IFERROR(IF(OR(NOT(ISNUMBER('Price History'!H121)),NOT(ISNUMBER('Price History'!H120)),'Price History'!H120=0),"",'Price History'!H121/'Price History'!H120-1),"")</f>
        <v>3.7449562878278497E-2</v>
      </c>
      <c r="I120" s="82">
        <f>IFERROR(IF(OR(NOT(ISNUMBER('Price History'!I121)),NOT(ISNUMBER('Price History'!I120)),'Price History'!I120=0),"",'Price History'!I121/'Price History'!I120-1),"")</f>
        <v>1.0736114802019525E-2</v>
      </c>
      <c r="J120" s="82">
        <f>IFERROR(IF(OR(NOT(ISNUMBER('Price History'!J121)),NOT(ISNUMBER('Price History'!J120)),'Price History'!J120=0),"",'Price History'!J121/'Price History'!J120-1),"")</f>
        <v>-2.2054140127388489E-2</v>
      </c>
      <c r="K120" s="82">
        <f>IFERROR(IF(OR(NOT(ISNUMBER('Price History'!K121)),NOT(ISNUMBER('Price History'!K120)),'Price History'!K120=0),"",'Price History'!K121/'Price History'!K120-1),"")</f>
        <v>-2.2031135839937099E-2</v>
      </c>
      <c r="L120" s="82">
        <f>IFERROR(IF(OR(NOT(ISNUMBER('Price History'!L121)),NOT(ISNUMBER('Price History'!L120)),'Price History'!L120=0),"",'Price History'!L121/'Price History'!L120-1),"")</f>
        <v>-5.8638743455498021E-3</v>
      </c>
      <c r="M120" s="82">
        <f>IFERROR(IF(OR(NOT(ISNUMBER('Price History'!M121)),NOT(ISNUMBER('Price History'!M120)),'Price History'!M120=0),"",'Price History'!M121/'Price History'!M120-1),"")</f>
        <v>-4.9110122358175801E-2</v>
      </c>
      <c r="N120" s="82">
        <f>IFERROR(IF(OR(NOT(ISNUMBER('Price History'!N121)),NOT(ISNUMBER('Price History'!N120)),'Price History'!N120=0),"",'Price History'!N121/'Price History'!N120-1),"")</f>
        <v>6.7599579944806587E-2</v>
      </c>
      <c r="O120" s="82">
        <f>IFERROR(IF(OR(NOT(ISNUMBER('Price History'!O121)),NOT(ISNUMBER('Price History'!O120)),'Price History'!O120=0),"",'Price History'!O121/'Price History'!O120-1),"")</f>
        <v>-1.5346838551257846E-3</v>
      </c>
      <c r="P120" s="82" t="str">
        <f>IFERROR(IF(OR(NOT(ISNUMBER('Price History'!P121)),NOT(ISNUMBER('Price History'!P120)),'Price History'!P120=0),"",'Price History'!P121/'Price History'!P120-1),"")</f>
        <v/>
      </c>
      <c r="Q120" s="82">
        <f>IFERROR(IF(OR(NOT(ISNUMBER('Price History'!Q121)),NOT(ISNUMBER('Price History'!Q120)),'Price History'!Q120=0),"",'Price History'!Q121/'Price History'!Q120-1),"")</f>
        <v>-8.3582089552238781E-3</v>
      </c>
      <c r="R120" s="82">
        <f>IFERROR(IF(OR(NOT(ISNUMBER('Price History'!R121)),NOT(ISNUMBER('Price History'!R120)),'Price History'!R120=0),"",'Price History'!R121/'Price History'!R120-1),"")</f>
        <v>1.906082134812026E-3</v>
      </c>
      <c r="S120" s="82">
        <f>IFERROR(IF(OR(NOT(ISNUMBER('Price History'!S121)),NOT(ISNUMBER('Price History'!S120)),'Price History'!S120=0),"",'Price History'!S121/'Price History'!S120-1),"")</f>
        <v>-5.9056778874546634E-3</v>
      </c>
      <c r="T120" s="82">
        <f>IFERROR(IF(OR(NOT(ISNUMBER('Price History'!T121)),NOT(ISNUMBER('Price History'!T120)),'Price History'!T120=0),"",'Price History'!T121/'Price History'!T120-1),"")</f>
        <v>1.1087645195353657E-2</v>
      </c>
      <c r="U120" s="82" t="str">
        <f>IFERROR(IF(OR(NOT(ISNUMBER('Price History'!U121)),NOT(ISNUMBER('Price History'!U120)),'Price History'!U120=0),"",'Price History'!U121/'Price History'!U120-1),"")</f>
        <v/>
      </c>
      <c r="V120" s="83">
        <f>IFERROR(IF(OR(NOT(ISNUMBER('Price History'!V121)),NOT(ISNUMBER('Price History'!V120)),'Price History'!V120=0),"",'Price History'!V121/'Price History'!V120-1),"")</f>
        <v>-1.5899205039748066E-2</v>
      </c>
      <c r="W120" s="84" t="str">
        <f>IFERROR('Price History'!B3+(INDEX('Price History'!B:B,MATCH(9.99E+307,'Price History'!$A:$A))-'Price History'!B3)*(ROW()-3)/(MATCH(9.99E+307,'Returns (Calc)'!$A:$A)-3),"")</f>
        <v/>
      </c>
      <c r="X120" s="84">
        <f>IFERROR('Price History'!C3+(INDEX('Price History'!C:C,MATCH(9.99E+307,'Price History'!$A:$A))-'Price History'!C3)*(ROW()-3)/(MATCH(9.99E+307,'Returns (Calc)'!$A:$A)-3),"")</f>
        <v>11.553962264150947</v>
      </c>
      <c r="Y120" s="84">
        <f>IFERROR('Price History'!D3+(INDEX('Price History'!D:D,MATCH(9.99E+307,'Price History'!$A:$A))-'Price History'!D3)*(ROW()-3)/(MATCH(9.99E+307,'Returns (Calc)'!$A:$A)-3),"")</f>
        <v>174.8098113207547</v>
      </c>
      <c r="Z120" s="84">
        <f>IFERROR('Price History'!E3+(INDEX('Price History'!E:E,MATCH(9.99E+307,'Price History'!$A:$A))-'Price History'!E3)*(ROW()-3)/(MATCH(9.99E+307,'Returns (Calc)'!$A:$A)-3),"")</f>
        <v>21.919245283018874</v>
      </c>
      <c r="AA120" s="84">
        <f>IFERROR('Price History'!F3+(INDEX('Price History'!F:F,MATCH(9.99E+307,'Price History'!$A:$A))-'Price History'!F3)*(ROW()-3)/(MATCH(9.99E+307,'Returns (Calc)'!$A:$A)-3),"")</f>
        <v>9.7894339622641517</v>
      </c>
      <c r="AB120" s="84">
        <f>IFERROR('Price History'!G3+(INDEX('Price History'!G:G,MATCH(9.99E+307,'Price History'!$A:$A))-'Price History'!G3)*(ROW()-3)/(MATCH(9.99E+307,'Returns (Calc)'!$A:$A)-3),"")</f>
        <v>12.652830188679246</v>
      </c>
      <c r="AC120" s="84">
        <f>IFERROR('Price History'!H3+(INDEX('Price History'!H:H,MATCH(9.99E+307,'Price History'!$A:$A))-'Price History'!H3)*(ROW()-3)/(MATCH(9.99E+307,'Returns (Calc)'!$A:$A)-3),"")</f>
        <v>17.003396226415092</v>
      </c>
      <c r="AD120" s="84">
        <f>IFERROR('Price History'!I3+(INDEX('Price History'!I:I,MATCH(9.99E+307,'Price History'!$A:$A))-'Price History'!I3)*(ROW()-3)/(MATCH(9.99E+307,'Returns (Calc)'!$A:$A)-3),"")</f>
        <v>10.79056603773585</v>
      </c>
      <c r="AE120" s="84">
        <f>IFERROR('Price History'!J3+(INDEX('Price History'!J:J,MATCH(9.99E+307,'Price History'!$A:$A))-'Price History'!J3)*(ROW()-3)/(MATCH(9.99E+307,'Returns (Calc)'!$A:$A)-3),"")</f>
        <v>32.625283018867933</v>
      </c>
      <c r="AF120" s="84">
        <f>IFERROR('Price History'!K3+(INDEX('Price History'!K:K,MATCH(9.99E+307,'Price History'!$A:$A))-'Price History'!K3)*(ROW()-3)/(MATCH(9.99E+307,'Returns (Calc)'!$A:$A)-3),"")</f>
        <v>4.0705660377358495</v>
      </c>
      <c r="AG120" s="84">
        <f>IFERROR('Price History'!L3+(INDEX('Price History'!L:L,MATCH(9.99E+307,'Price History'!$A:$A))-'Price History'!L3)*(ROW()-3)/(MATCH(9.99E+307,'Returns (Calc)'!$A:$A)-3),"")</f>
        <v>24.299245283018863</v>
      </c>
      <c r="AH120" s="84">
        <f>IFERROR('Price History'!M3+(INDEX('Price History'!M:M,MATCH(9.99E+307,'Price History'!$A:$A))-'Price History'!M3)*(ROW()-3)/(MATCH(9.99E+307,'Returns (Calc)'!$A:$A)-3),"")</f>
        <v>8.8516981132075472</v>
      </c>
      <c r="AI120" s="84">
        <f>IFERROR('Price History'!N3+(INDEX('Price History'!N:N,MATCH(9.99E+307,'Price History'!$A:$A))-'Price History'!N3)*(ROW()-3)/(MATCH(9.99E+307,'Returns (Calc)'!$A:$A)-3),"")</f>
        <v>92.415849056603747</v>
      </c>
      <c r="AJ120" s="84">
        <f>IFERROR('Price History'!O3+(INDEX('Price History'!O:O,MATCH(9.99E+307,'Price History'!$A:$A))-'Price History'!O3)*(ROW()-3)/(MATCH(9.99E+307,'Returns (Calc)'!$A:$A)-3),"")</f>
        <v>21.884905660377356</v>
      </c>
      <c r="AK120" s="84">
        <f>IFERROR('Price History'!Q3+(INDEX('Price History'!Q:Q,MATCH(9.99E+307,'Price History'!$A:$A))-'Price History'!Q3)*(ROW()-3)/(MATCH(9.99E+307,'Returns (Calc)'!$A:$A)-3),"")</f>
        <v>13.165283018867925</v>
      </c>
      <c r="AL120" s="84">
        <f>IFERROR('Price History'!R3+(INDEX('Price History'!R:R,MATCH(9.99E+307,'Price History'!$A:$A))-'Price History'!R3)*(ROW()-3)/(MATCH(9.99E+307,'Returns (Calc)'!$A:$A)-3),"")</f>
        <v>12.631698113207548</v>
      </c>
      <c r="AM120" s="84">
        <f>IFERROR('Price History'!S3+(INDEX('Price History'!S:S,MATCH(9.99E+307,'Price History'!$A:$A))-'Price History'!S3)*(ROW()-3)/(MATCH(9.99E+307,'Returns (Calc)'!$A:$A)-3),"")</f>
        <v>15.463396226415092</v>
      </c>
      <c r="AN120" s="84">
        <f>IFERROR('Price History'!T3+(INDEX('Price History'!T:T,MATCH(9.99E+307,'Price History'!$A:$A))-'Price History'!T3)*(ROW()-3)/(MATCH(9.99E+307,'Returns (Calc)'!$A:$A)-3),"")</f>
        <v>7.1083018867924537</v>
      </c>
      <c r="AO120" s="85">
        <f>IFERROR('Price History'!V3+(INDEX('Price History'!V:V,MATCH(9.99E+307,'Price History'!$A:$A))-'Price History'!V3)*(ROW()-3)/(MATCH(9.99E+307,'Returns (Calc)'!$A:$A)-3),"")</f>
        <v>0</v>
      </c>
    </row>
    <row r="121" spans="1:41" ht="15" customHeight="1" x14ac:dyDescent="0.3">
      <c r="A121" s="81">
        <f>IF('Price History'!A122="","",'Price History'!A122)</f>
        <v>45982</v>
      </c>
      <c r="B121" s="82">
        <f>IFERROR(IF(OR(NOT(ISNUMBER('Price History'!B122)),NOT(ISNUMBER('Price History'!B121)),'Price History'!B121=0),"",'Price History'!B122/'Price History'!B121-1),"")</f>
        <v>-2.08993989912718E-2</v>
      </c>
      <c r="C121" s="82">
        <f>IFERROR(IF(OR(NOT(ISNUMBER('Price History'!C122)),NOT(ISNUMBER('Price History'!C121)),'Price History'!C121=0),"",'Price History'!C122/'Price History'!C121-1),"")</f>
        <v>-0.10611250666057692</v>
      </c>
      <c r="D121" s="82">
        <f>IFERROR(IF(OR(NOT(ISNUMBER('Price History'!D122)),NOT(ISNUMBER('Price History'!D121)),'Price History'!D121=0),"",'Price History'!D122/'Price History'!D121-1),"")</f>
        <v>-4.0129893344455714E-2</v>
      </c>
      <c r="E121" s="82">
        <f>IFERROR(IF(OR(NOT(ISNUMBER('Price History'!E122)),NOT(ISNUMBER('Price History'!E121)),'Price History'!E121=0),"",'Price History'!E122/'Price History'!E121-1),"")</f>
        <v>-6.599310868422581E-3</v>
      </c>
      <c r="F121" s="82">
        <f>IFERROR(IF(OR(NOT(ISNUMBER('Price History'!F122)),NOT(ISNUMBER('Price History'!F121)),'Price History'!F121=0),"",'Price History'!F122/'Price History'!F121-1),"")</f>
        <v>-8.7208869707567471E-2</v>
      </c>
      <c r="G121" s="82">
        <f>IFERROR(IF(OR(NOT(ISNUMBER('Price History'!G122)),NOT(ISNUMBER('Price History'!G121)),'Price History'!G121=0),"",'Price History'!G122/'Price History'!G121-1),"")</f>
        <v>-3.2795556731023634E-2</v>
      </c>
      <c r="H121" s="82">
        <f>IFERROR(IF(OR(NOT(ISNUMBER('Price History'!H122)),NOT(ISNUMBER('Price History'!H121)),'Price History'!H121=0),"",'Price History'!H122/'Price History'!H121-1),"")</f>
        <v>-0.15986711501843376</v>
      </c>
      <c r="I121" s="82">
        <f>IFERROR(IF(OR(NOT(ISNUMBER('Price History'!I122)),NOT(ISNUMBER('Price History'!I121)),'Price History'!I121=0),"",'Price History'!I122/'Price History'!I121-1),"")</f>
        <v>-5.9367933953830776E-2</v>
      </c>
      <c r="J121" s="82">
        <f>IFERROR(IF(OR(NOT(ISNUMBER('Price History'!J122)),NOT(ISNUMBER('Price History'!J121)),'Price History'!J121=0),"",'Price History'!J122/'Price History'!J121-1),"")</f>
        <v>2.4098347309289281E-2</v>
      </c>
      <c r="K121" s="82">
        <f>IFERROR(IF(OR(NOT(ISNUMBER('Price History'!K122)),NOT(ISNUMBER('Price History'!K121)),'Price History'!K121=0),"",'Price History'!K122/'Price History'!K121-1),"")</f>
        <v>-0.11010861444744557</v>
      </c>
      <c r="L121" s="82">
        <f>IFERROR(IF(OR(NOT(ISNUMBER('Price History'!L122)),NOT(ISNUMBER('Price History'!L121)),'Price History'!L121=0),"",'Price History'!L122/'Price History'!L121-1),"")</f>
        <v>-3.4267256512885313E-2</v>
      </c>
      <c r="M121" s="82">
        <f>IFERROR(IF(OR(NOT(ISNUMBER('Price History'!M122)),NOT(ISNUMBER('Price History'!M121)),'Price History'!M121=0),"",'Price History'!M122/'Price History'!M121-1),"")</f>
        <v>-6.5157629993566002E-2</v>
      </c>
      <c r="N121" s="82">
        <f>IFERROR(IF(OR(NOT(ISNUMBER('Price History'!N122)),NOT(ISNUMBER('Price History'!N121)),'Price History'!N121=0),"",'Price History'!N122/'Price History'!N121-1),"")</f>
        <v>-2.3767585496969001E-2</v>
      </c>
      <c r="O121" s="82">
        <f>IFERROR(IF(OR(NOT(ISNUMBER('Price History'!O122)),NOT(ISNUMBER('Price History'!O121)),'Price History'!O121=0),"",'Price History'!O122/'Price History'!O121-1),"")</f>
        <v>-7.7876831642587074E-3</v>
      </c>
      <c r="P121" s="82" t="str">
        <f>IFERROR(IF(OR(NOT(ISNUMBER('Price History'!P122)),NOT(ISNUMBER('Price History'!P121)),'Price History'!P121=0),"",'Price History'!P122/'Price History'!P121-1),"")</f>
        <v/>
      </c>
      <c r="Q121" s="82">
        <f>IFERROR(IF(OR(NOT(ISNUMBER('Price History'!Q122)),NOT(ISNUMBER('Price History'!Q121)),'Price History'!Q121=0),"",'Price History'!Q122/'Price History'!Q121-1),"")</f>
        <v>9.1812161348585608E-3</v>
      </c>
      <c r="R121" s="82">
        <f>IFERROR(IF(OR(NOT(ISNUMBER('Price History'!R122)),NOT(ISNUMBER('Price History'!R121)),'Price History'!R121=0),"",'Price History'!R122/'Price History'!R121-1),"")</f>
        <v>-2.7326184711172541E-2</v>
      </c>
      <c r="S121" s="82">
        <f>IFERROR(IF(OR(NOT(ISNUMBER('Price History'!S122)),NOT(ISNUMBER('Price History'!S121)),'Price History'!S121=0),"",'Price History'!S122/'Price History'!S121-1),"")</f>
        <v>-2.9958414665195665E-2</v>
      </c>
      <c r="T121" s="82">
        <f>IFERROR(IF(OR(NOT(ISNUMBER('Price History'!T122)),NOT(ISNUMBER('Price History'!T121)),'Price History'!T121=0),"",'Price History'!T122/'Price History'!T121-1),"")</f>
        <v>-2.0104438642297495E-2</v>
      </c>
      <c r="U121" s="82" t="str">
        <f>IFERROR(IF(OR(NOT(ISNUMBER('Price History'!U122)),NOT(ISNUMBER('Price History'!U121)),'Price History'!U121=0),"",'Price History'!U122/'Price History'!U121-1),"")</f>
        <v/>
      </c>
      <c r="V121" s="83">
        <f>IFERROR(IF(OR(NOT(ISNUMBER('Price History'!V122)),NOT(ISNUMBER('Price History'!V121)),'Price History'!V121=0),"",'Price History'!V122/'Price History'!V121-1),"")</f>
        <v>-6.1880810852005252E-3</v>
      </c>
      <c r="W121" s="84" t="str">
        <f>IFERROR('Price History'!B3+(INDEX('Price History'!B:B,MATCH(9.99E+307,'Price History'!$A:$A))-'Price History'!B3)*(ROW()-3)/(MATCH(9.99E+307,'Returns (Calc)'!$A:$A)-3),"")</f>
        <v/>
      </c>
      <c r="X121" s="84">
        <f>IFERROR('Price History'!C3+(INDEX('Price History'!C:C,MATCH(9.99E+307,'Price History'!$A:$A))-'Price History'!C3)*(ROW()-3)/(MATCH(9.99E+307,'Returns (Calc)'!$A:$A)-3),"")</f>
        <v>11.278867924528299</v>
      </c>
      <c r="Y121" s="84">
        <f>IFERROR('Price History'!D3+(INDEX('Price History'!D:D,MATCH(9.99E+307,'Price History'!$A:$A))-'Price History'!D3)*(ROW()-3)/(MATCH(9.99E+307,'Returns (Calc)'!$A:$A)-3),"")</f>
        <v>170.64767295597488</v>
      </c>
      <c r="Z121" s="84">
        <f>IFERROR('Price History'!E3+(INDEX('Price History'!E:E,MATCH(9.99E+307,'Price History'!$A:$A))-'Price History'!E3)*(ROW()-3)/(MATCH(9.99E+307,'Returns (Calc)'!$A:$A)-3),"")</f>
        <v>21.397358490566035</v>
      </c>
      <c r="AA121" s="84">
        <f>IFERROR('Price History'!F3+(INDEX('Price History'!F:F,MATCH(9.99E+307,'Price History'!$A:$A))-'Price History'!F3)*(ROW()-3)/(MATCH(9.99E+307,'Returns (Calc)'!$A:$A)-3),"")</f>
        <v>9.5563522012578659</v>
      </c>
      <c r="AB121" s="84">
        <f>IFERROR('Price History'!G3+(INDEX('Price History'!G:G,MATCH(9.99E+307,'Price History'!$A:$A))-'Price History'!G3)*(ROW()-3)/(MATCH(9.99E+307,'Returns (Calc)'!$A:$A)-3),"")</f>
        <v>12.351572327044025</v>
      </c>
      <c r="AC121" s="84">
        <f>IFERROR('Price History'!H3+(INDEX('Price History'!H:H,MATCH(9.99E+307,'Price History'!$A:$A))-'Price History'!H3)*(ROW()-3)/(MATCH(9.99E+307,'Returns (Calc)'!$A:$A)-3),"")</f>
        <v>16.598553459119493</v>
      </c>
      <c r="AD121" s="84">
        <f>IFERROR('Price History'!I3+(INDEX('Price History'!I:I,MATCH(9.99E+307,'Price History'!$A:$A))-'Price History'!I3)*(ROW()-3)/(MATCH(9.99E+307,'Returns (Calc)'!$A:$A)-3),"")</f>
        <v>10.533647798742138</v>
      </c>
      <c r="AE121" s="84">
        <f>IFERROR('Price History'!J3+(INDEX('Price History'!J:J,MATCH(9.99E+307,'Price History'!$A:$A))-'Price History'!J3)*(ROW()-3)/(MATCH(9.99E+307,'Returns (Calc)'!$A:$A)-3),"")</f>
        <v>31.848490566037739</v>
      </c>
      <c r="AF121" s="84">
        <f>IFERROR('Price History'!K3+(INDEX('Price History'!K:K,MATCH(9.99E+307,'Price History'!$A:$A))-'Price History'!K3)*(ROW()-3)/(MATCH(9.99E+307,'Returns (Calc)'!$A:$A)-3),"")</f>
        <v>3.973647798742137</v>
      </c>
      <c r="AG121" s="84">
        <f>IFERROR('Price History'!L3+(INDEX('Price History'!L:L,MATCH(9.99E+307,'Price History'!$A:$A))-'Price History'!L3)*(ROW()-3)/(MATCH(9.99E+307,'Returns (Calc)'!$A:$A)-3),"")</f>
        <v>23.720691823899372</v>
      </c>
      <c r="AH121" s="84">
        <f>IFERROR('Price History'!M3+(INDEX('Price History'!M:M,MATCH(9.99E+307,'Price History'!$A:$A))-'Price History'!M3)*(ROW()-3)/(MATCH(9.99E+307,'Returns (Calc)'!$A:$A)-3),"")</f>
        <v>8.6409433962264153</v>
      </c>
      <c r="AI121" s="84">
        <f>IFERROR('Price History'!N3+(INDEX('Price History'!N:N,MATCH(9.99E+307,'Price History'!$A:$A))-'Price History'!N3)*(ROW()-3)/(MATCH(9.99E+307,'Returns (Calc)'!$A:$A)-3),"")</f>
        <v>90.21547169811322</v>
      </c>
      <c r="AJ121" s="84">
        <f>IFERROR('Price History'!O3+(INDEX('Price History'!O:O,MATCH(9.99E+307,'Price History'!$A:$A))-'Price History'!O3)*(ROW()-3)/(MATCH(9.99E+307,'Returns (Calc)'!$A:$A)-3),"")</f>
        <v>21.363836477987419</v>
      </c>
      <c r="AK121" s="84">
        <f>IFERROR('Price History'!Q3+(INDEX('Price History'!Q:Q,MATCH(9.99E+307,'Price History'!$A:$A))-'Price History'!Q3)*(ROW()-3)/(MATCH(9.99E+307,'Returns (Calc)'!$A:$A)-3),"")</f>
        <v>12.85182389937107</v>
      </c>
      <c r="AL121" s="84">
        <f>IFERROR('Price History'!R3+(INDEX('Price History'!R:R,MATCH(9.99E+307,'Price History'!$A:$A))-'Price History'!R3)*(ROW()-3)/(MATCH(9.99E+307,'Returns (Calc)'!$A:$A)-3),"")</f>
        <v>12.330943396226417</v>
      </c>
      <c r="AM121" s="84">
        <f>IFERROR('Price History'!S3+(INDEX('Price History'!S:S,MATCH(9.99E+307,'Price History'!$A:$A))-'Price History'!S3)*(ROW()-3)/(MATCH(9.99E+307,'Returns (Calc)'!$A:$A)-3),"")</f>
        <v>15.095220125786163</v>
      </c>
      <c r="AN121" s="84">
        <f>IFERROR('Price History'!T3+(INDEX('Price History'!T:T,MATCH(9.99E+307,'Price History'!$A:$A))-'Price History'!T3)*(ROW()-3)/(MATCH(9.99E+307,'Returns (Calc)'!$A:$A)-3),"")</f>
        <v>6.939056603773583</v>
      </c>
      <c r="AO121" s="85">
        <f>IFERROR('Price History'!V3+(INDEX('Price History'!V:V,MATCH(9.99E+307,'Price History'!$A:$A))-'Price History'!V3)*(ROW()-3)/(MATCH(9.99E+307,'Returns (Calc)'!$A:$A)-3),"")</f>
        <v>0</v>
      </c>
    </row>
    <row r="122" spans="1:41" ht="15" customHeight="1" x14ac:dyDescent="0.3">
      <c r="A122" s="81">
        <f>IF('Price History'!A123="","",'Price History'!A123)</f>
        <v>45989</v>
      </c>
      <c r="B122" s="82">
        <f>IFERROR(IF(OR(NOT(ISNUMBER('Price History'!B123)),NOT(ISNUMBER('Price History'!B122)),'Price History'!B122=0),"",'Price History'!B123/'Price History'!B122-1),"")</f>
        <v>-1.2523520157932122E-2</v>
      </c>
      <c r="C122" s="82">
        <f>IFERROR(IF(OR(NOT(ISNUMBER('Price History'!C123)),NOT(ISNUMBER('Price History'!C122)),'Price History'!C122=0),"",'Price History'!C123/'Price History'!C122-1),"")</f>
        <v>0.11283317721195596</v>
      </c>
      <c r="D122" s="82">
        <f>IFERROR(IF(OR(NOT(ISNUMBER('Price History'!D123)),NOT(ISNUMBER('Price History'!D122)),'Price History'!D122=0),"",'Price History'!D123/'Price History'!D122-1),"")</f>
        <v>9.6661390276958636E-2</v>
      </c>
      <c r="E122" s="82">
        <f>IFERROR(IF(OR(NOT(ISNUMBER('Price History'!E123)),NOT(ISNUMBER('Price History'!E122)),'Price History'!E122=0),"",'Price History'!E123/'Price History'!E122-1),"")</f>
        <v>0.18447971781305106</v>
      </c>
      <c r="F122" s="82">
        <f>IFERROR(IF(OR(NOT(ISNUMBER('Price History'!F123)),NOT(ISNUMBER('Price History'!F122)),'Price History'!F122=0),"",'Price History'!F123/'Price History'!F122-1),"")</f>
        <v>3.7662020053802925E-2</v>
      </c>
      <c r="G122" s="82">
        <f>IFERROR(IF(OR(NOT(ISNUMBER('Price History'!G123)),NOT(ISNUMBER('Price History'!G122)),'Price History'!G122=0),"",'Price History'!G123/'Price History'!G122-1),"")</f>
        <v>7.146112478352018E-2</v>
      </c>
      <c r="H122" s="82">
        <f>IFERROR(IF(OR(NOT(ISNUMBER('Price History'!H123)),NOT(ISNUMBER('Price History'!H122)),'Price History'!H122=0),"",'Price History'!H123/'Price History'!H122-1),"")</f>
        <v>0.14037710372763645</v>
      </c>
      <c r="I122" s="82">
        <f>IFERROR(IF(OR(NOT(ISNUMBER('Price History'!I123)),NOT(ISNUMBER('Price History'!I122)),'Price History'!I122=0),"",'Price History'!I123/'Price History'!I122-1),"")</f>
        <v>-1.0509838998211118E-2</v>
      </c>
      <c r="J122" s="82">
        <f>IFERROR(IF(OR(NOT(ISNUMBER('Price History'!J123)),NOT(ISNUMBER('Price History'!J122)),'Price History'!J122=0),"",'Price History'!J123/'Price History'!J122-1),"")</f>
        <v>2.1782335638762973E-2</v>
      </c>
      <c r="K122" s="82">
        <f>IFERROR(IF(OR(NOT(ISNUMBER('Price History'!K123)),NOT(ISNUMBER('Price History'!K122)),'Price History'!K122=0),"",'Price History'!K123/'Price History'!K122-1),"")</f>
        <v>8.782692928640623E-2</v>
      </c>
      <c r="L122" s="82">
        <f>IFERROR(IF(OR(NOT(ISNUMBER('Price History'!L123)),NOT(ISNUMBER('Price History'!L122)),'Price History'!L122=0),"",'Price History'!L123/'Price History'!L122-1),"")</f>
        <v>5.9805133425434365E-2</v>
      </c>
      <c r="M122" s="82">
        <f>IFERROR(IF(OR(NOT(ISNUMBER('Price History'!M123)),NOT(ISNUMBER('Price History'!M122)),'Price History'!M122=0),"",'Price History'!M123/'Price History'!M122-1),"")</f>
        <v>0.12450728899455665</v>
      </c>
      <c r="N122" s="82">
        <f>IFERROR(IF(OR(NOT(ISNUMBER('Price History'!N123)),NOT(ISNUMBER('Price History'!N122)),'Price History'!N122=0),"",'Price History'!N123/'Price History'!N122-1),"")</f>
        <v>1.6051176305183379E-2</v>
      </c>
      <c r="O122" s="82">
        <f>IFERROR(IF(OR(NOT(ISNUMBER('Price History'!O123)),NOT(ISNUMBER('Price History'!O122)),'Price History'!O122=0),"",'Price History'!O123/'Price History'!O122-1),"")</f>
        <v>4.4407724878653188E-2</v>
      </c>
      <c r="P122" s="82" t="str">
        <f>IFERROR(IF(OR(NOT(ISNUMBER('Price History'!P123)),NOT(ISNUMBER('Price History'!P122)),'Price History'!P122=0),"",'Price History'!P123/'Price History'!P122-1),"")</f>
        <v/>
      </c>
      <c r="Q122" s="82">
        <f>IFERROR(IF(OR(NOT(ISNUMBER('Price History'!Q123)),NOT(ISNUMBER('Price History'!Q122)),'Price History'!Q122=0),"",'Price History'!Q123/'Price History'!Q122-1),"")</f>
        <v>-4.6234153616704354E-3</v>
      </c>
      <c r="R122" s="82">
        <f>IFERROR(IF(OR(NOT(ISNUMBER('Price History'!R123)),NOT(ISNUMBER('Price History'!R122)),'Price History'!R122=0),"",'Price History'!R123/'Price History'!R122-1),"")</f>
        <v>4.5697012802276005E-2</v>
      </c>
      <c r="S122" s="82">
        <f>IFERROR(IF(OR(NOT(ISNUMBER('Price History'!S123)),NOT(ISNUMBER('Price History'!S122)),'Price History'!S122=0),"",'Price History'!S123/'Price History'!S122-1),"")</f>
        <v>5.0918635170603688E-2</v>
      </c>
      <c r="T122" s="82">
        <f>IFERROR(IF(OR(NOT(ISNUMBER('Price History'!T123)),NOT(ISNUMBER('Price History'!T122)),'Price History'!T122=0),"",'Price History'!T123/'Price History'!T122-1),"")</f>
        <v>3.4372501998401361E-2</v>
      </c>
      <c r="U122" s="82" t="str">
        <f>IFERROR(IF(OR(NOT(ISNUMBER('Price History'!U123)),NOT(ISNUMBER('Price History'!U122)),'Price History'!U122=0),"",'Price History'!U123/'Price History'!U122-1),"")</f>
        <v/>
      </c>
      <c r="V122" s="83">
        <f>IFERROR(IF(OR(NOT(ISNUMBER('Price History'!V123)),NOT(ISNUMBER('Price History'!V122)),'Price History'!V122=0),"",'Price History'!V123/'Price History'!V122-1),"")</f>
        <v>1.9692043432918194E-2</v>
      </c>
      <c r="W122" s="84" t="str">
        <f>IFERROR('Price History'!B3+(INDEX('Price History'!B:B,MATCH(9.99E+307,'Price History'!$A:$A))-'Price History'!B3)*(ROW()-3)/(MATCH(9.99E+307,'Returns (Calc)'!$A:$A)-3),"")</f>
        <v/>
      </c>
      <c r="X122" s="84">
        <f>IFERROR('Price History'!C3+(INDEX('Price History'!C:C,MATCH(9.99E+307,'Price History'!$A:$A))-'Price History'!C3)*(ROW()-3)/(MATCH(9.99E+307,'Returns (Calc)'!$A:$A)-3),"")</f>
        <v>11.003773584905659</v>
      </c>
      <c r="Y122" s="84">
        <f>IFERROR('Price History'!D3+(INDEX('Price History'!D:D,MATCH(9.99E+307,'Price History'!$A:$A))-'Price History'!D3)*(ROW()-3)/(MATCH(9.99E+307,'Returns (Calc)'!$A:$A)-3),"")</f>
        <v>166.48553459119501</v>
      </c>
      <c r="Z122" s="84">
        <f>IFERROR('Price History'!E3+(INDEX('Price History'!E:E,MATCH(9.99E+307,'Price History'!$A:$A))-'Price History'!E3)*(ROW()-3)/(MATCH(9.99E+307,'Returns (Calc)'!$A:$A)-3),"")</f>
        <v>20.875471698113209</v>
      </c>
      <c r="AA122" s="84">
        <f>IFERROR('Price History'!F3+(INDEX('Price History'!F:F,MATCH(9.99E+307,'Price History'!$A:$A))-'Price History'!F3)*(ROW()-3)/(MATCH(9.99E+307,'Returns (Calc)'!$A:$A)-3),"")</f>
        <v>9.3232704402515729</v>
      </c>
      <c r="AB122" s="84">
        <f>IFERROR('Price History'!G3+(INDEX('Price History'!G:G,MATCH(9.99E+307,'Price History'!$A:$A))-'Price History'!G3)*(ROW()-3)/(MATCH(9.99E+307,'Returns (Calc)'!$A:$A)-3),"")</f>
        <v>12.05031446540881</v>
      </c>
      <c r="AC122" s="84">
        <f>IFERROR('Price History'!H3+(INDEX('Price History'!H:H,MATCH(9.99E+307,'Price History'!$A:$A))-'Price History'!H3)*(ROW()-3)/(MATCH(9.99E+307,'Returns (Calc)'!$A:$A)-3),"")</f>
        <v>16.193710691823902</v>
      </c>
      <c r="AD122" s="84">
        <f>IFERROR('Price History'!I3+(INDEX('Price History'!I:I,MATCH(9.99E+307,'Price History'!$A:$A))-'Price History'!I3)*(ROW()-3)/(MATCH(9.99E+307,'Returns (Calc)'!$A:$A)-3),"")</f>
        <v>10.276729559748425</v>
      </c>
      <c r="AE122" s="84">
        <f>IFERROR('Price History'!J3+(INDEX('Price History'!J:J,MATCH(9.99E+307,'Price History'!$A:$A))-'Price History'!J3)*(ROW()-3)/(MATCH(9.99E+307,'Returns (Calc)'!$A:$A)-3),"")</f>
        <v>31.071698113207546</v>
      </c>
      <c r="AF122" s="84">
        <f>IFERROR('Price History'!K3+(INDEX('Price History'!K:K,MATCH(9.99E+307,'Price History'!$A:$A))-'Price History'!K3)*(ROW()-3)/(MATCH(9.99E+307,'Returns (Calc)'!$A:$A)-3),"")</f>
        <v>3.8767295597484281</v>
      </c>
      <c r="AG122" s="84">
        <f>IFERROR('Price History'!L3+(INDEX('Price History'!L:L,MATCH(9.99E+307,'Price History'!$A:$A))-'Price History'!L3)*(ROW()-3)/(MATCH(9.99E+307,'Returns (Calc)'!$A:$A)-3),"")</f>
        <v>23.142138364779868</v>
      </c>
      <c r="AH122" s="84">
        <f>IFERROR('Price History'!M3+(INDEX('Price History'!M:M,MATCH(9.99E+307,'Price History'!$A:$A))-'Price History'!M3)*(ROW()-3)/(MATCH(9.99E+307,'Returns (Calc)'!$A:$A)-3),"")</f>
        <v>8.4301886792452834</v>
      </c>
      <c r="AI122" s="84">
        <f>IFERROR('Price History'!N3+(INDEX('Price History'!N:N,MATCH(9.99E+307,'Price History'!$A:$A))-'Price History'!N3)*(ROW()-3)/(MATCH(9.99E+307,'Returns (Calc)'!$A:$A)-3),"")</f>
        <v>88.015094339622635</v>
      </c>
      <c r="AJ122" s="84">
        <f>IFERROR('Price History'!O3+(INDEX('Price History'!O:O,MATCH(9.99E+307,'Price History'!$A:$A))-'Price History'!O3)*(ROW()-3)/(MATCH(9.99E+307,'Returns (Calc)'!$A:$A)-3),"")</f>
        <v>20.842767295597483</v>
      </c>
      <c r="AK122" s="84">
        <f>IFERROR('Price History'!Q3+(INDEX('Price History'!Q:Q,MATCH(9.99E+307,'Price History'!$A:$A))-'Price History'!Q3)*(ROW()-3)/(MATCH(9.99E+307,'Returns (Calc)'!$A:$A)-3),"")</f>
        <v>12.538364779874215</v>
      </c>
      <c r="AL122" s="84">
        <f>IFERROR('Price History'!R3+(INDEX('Price History'!R:R,MATCH(9.99E+307,'Price History'!$A:$A))-'Price History'!R3)*(ROW()-3)/(MATCH(9.99E+307,'Returns (Calc)'!$A:$A)-3),"")</f>
        <v>12.030188679245285</v>
      </c>
      <c r="AM122" s="84">
        <f>IFERROR('Price History'!S3+(INDEX('Price History'!S:S,MATCH(9.99E+307,'Price History'!$A:$A))-'Price History'!S3)*(ROW()-3)/(MATCH(9.99E+307,'Returns (Calc)'!$A:$A)-3),"")</f>
        <v>14.727044025157234</v>
      </c>
      <c r="AN122" s="84">
        <f>IFERROR('Price History'!T3+(INDEX('Price History'!T:T,MATCH(9.99E+307,'Price History'!$A:$A))-'Price History'!T3)*(ROW()-3)/(MATCH(9.99E+307,'Returns (Calc)'!$A:$A)-3),"")</f>
        <v>6.7698113207547159</v>
      </c>
      <c r="AO122" s="85">
        <f>IFERROR('Price History'!V3+(INDEX('Price History'!V:V,MATCH(9.99E+307,'Price History'!$A:$A))-'Price History'!V3)*(ROW()-3)/(MATCH(9.99E+307,'Returns (Calc)'!$A:$A)-3),"")</f>
        <v>0</v>
      </c>
    </row>
    <row r="123" spans="1:41" ht="15" customHeight="1" x14ac:dyDescent="0.3">
      <c r="A123" s="81">
        <f>IF('Price History'!A124="","",'Price History'!A124)</f>
        <v>45996</v>
      </c>
      <c r="B123" s="82">
        <f>IFERROR(IF(OR(NOT(ISNUMBER('Price History'!B124)),NOT(ISNUMBER('Price History'!B123)),'Price History'!B123=0),"",'Price History'!B124/'Price History'!B123-1),"")</f>
        <v>8.1623090619435734E-2</v>
      </c>
      <c r="C123" s="82">
        <f>IFERROR(IF(OR(NOT(ISNUMBER('Price History'!C124)),NOT(ISNUMBER('Price History'!C123)),'Price History'!C123=0),"",'Price History'!C124/'Price History'!C123-1),"")</f>
        <v>-1.5993265993266004E-2</v>
      </c>
      <c r="D123" s="82">
        <f>IFERROR(IF(OR(NOT(ISNUMBER('Price History'!D124)),NOT(ISNUMBER('Price History'!D123)),'Price History'!D123=0),"",'Price History'!D124/'Price History'!D123-1),"")</f>
        <v>3.723584905660382E-2</v>
      </c>
      <c r="E123" s="82">
        <f>IFERROR(IF(OR(NOT(ISNUMBER('Price History'!E124)),NOT(ISNUMBER('Price History'!E123)),'Price History'!E123=0),"",'Price History'!E124/'Price History'!E123-1),"")</f>
        <v>-3.1566408576533589E-2</v>
      </c>
      <c r="F123" s="82">
        <f>IFERROR(IF(OR(NOT(ISNUMBER('Price History'!F124)),NOT(ISNUMBER('Price History'!F123)),'Price History'!F123=0),"",'Price History'!F124/'Price History'!F123-1),"")</f>
        <v>5.6563752062219752E-3</v>
      </c>
      <c r="G123" s="82">
        <f>IFERROR(IF(OR(NOT(ISNUMBER('Price History'!G124)),NOT(ISNUMBER('Price History'!G123)),'Price History'!G123=0),"",'Price History'!G124/'Price History'!G123-1),"")</f>
        <v>3.3177371331348349E-2</v>
      </c>
      <c r="H123" s="82">
        <f>IFERROR(IF(OR(NOT(ISNUMBER('Price History'!H124)),NOT(ISNUMBER('Price History'!H123)),'Price History'!H123=0),"",'Price History'!H124/'Price History'!H123-1),"")</f>
        <v>3.1292286874153863E-3</v>
      </c>
      <c r="I123" s="82">
        <f>IFERROR(IF(OR(NOT(ISNUMBER('Price History'!I124)),NOT(ISNUMBER('Price History'!I123)),'Price History'!I123=0),"",'Price History'!I124/'Price History'!I123-1),"")</f>
        <v>3.0564971751412484E-2</v>
      </c>
      <c r="J123" s="82">
        <f>IFERROR(IF(OR(NOT(ISNUMBER('Price History'!J124)),NOT(ISNUMBER('Price History'!J123)),'Price History'!J123=0),"",'Price History'!J124/'Price History'!J123-1),"")</f>
        <v>-4.2791566171321849E-3</v>
      </c>
      <c r="K123" s="82">
        <f>IFERROR(IF(OR(NOT(ISNUMBER('Price History'!K124)),NOT(ISNUMBER('Price History'!K123)),'Price History'!K123=0),"",'Price History'!K124/'Price History'!K123-1),"")</f>
        <v>7.9014544375185514E-2</v>
      </c>
      <c r="L123" s="82">
        <f>IFERROR(IF(OR(NOT(ISNUMBER('Price History'!L124)),NOT(ISNUMBER('Price History'!L123)),'Price History'!L123=0),"",'Price History'!L124/'Price History'!L123-1),"")</f>
        <v>1.1011629103632847E-2</v>
      </c>
      <c r="M123" s="82">
        <f>IFERROR(IF(OR(NOT(ISNUMBER('Price History'!M124)),NOT(ISNUMBER('Price History'!M123)),'Price History'!M123=0),"",'Price History'!M124/'Price History'!M123-1),"")</f>
        <v>5.1688644077227064E-2</v>
      </c>
      <c r="N123" s="82">
        <f>IFERROR(IF(OR(NOT(ISNUMBER('Price History'!N124)),NOT(ISNUMBER('Price History'!N123)),'Price History'!N123=0),"",'Price History'!N124/'Price History'!N123-1),"")</f>
        <v>5.0437028666313166E-2</v>
      </c>
      <c r="O123" s="82">
        <f>IFERROR(IF(OR(NOT(ISNUMBER('Price History'!O124)),NOT(ISNUMBER('Price History'!O123)),'Price History'!O123=0),"",'Price History'!O124/'Price History'!O123-1),"")</f>
        <v>1.7502224859092363E-2</v>
      </c>
      <c r="P123" s="82" t="str">
        <f>IFERROR(IF(OR(NOT(ISNUMBER('Price History'!P124)),NOT(ISNUMBER('Price History'!P123)),'Price History'!P123=0),"",'Price History'!P124/'Price History'!P123-1),"")</f>
        <v/>
      </c>
      <c r="Q123" s="82">
        <f>IFERROR(IF(OR(NOT(ISNUMBER('Price History'!Q124)),NOT(ISNUMBER('Price History'!Q123)),'Price History'!Q123=0),"",'Price History'!Q124/'Price History'!Q123-1),"")</f>
        <v>-2.9967036260103441E-4</v>
      </c>
      <c r="R123" s="82">
        <f>IFERROR(IF(OR(NOT(ISNUMBER('Price History'!R124)),NOT(ISNUMBER('Price History'!R123)),'Price History'!R123=0),"",'Price History'!R124/'Price History'!R123-1),"")</f>
        <v>1.7003910899493491E-4</v>
      </c>
      <c r="S123" s="82">
        <f>IFERROR(IF(OR(NOT(ISNUMBER('Price History'!S124)),NOT(ISNUMBER('Price History'!S123)),'Price History'!S123=0),"",'Price History'!S124/'Price History'!S123-1),"")</f>
        <v>6.0772560772559547E-3</v>
      </c>
      <c r="T123" s="82">
        <f>IFERROR(IF(OR(NOT(ISNUMBER('Price History'!T124)),NOT(ISNUMBER('Price History'!T123)),'Price History'!T123=0),"",'Price History'!T124/'Price History'!T123-1),"")</f>
        <v>1.5455950540958385E-2</v>
      </c>
      <c r="U123" s="82" t="str">
        <f>IFERROR(IF(OR(NOT(ISNUMBER('Price History'!U124)),NOT(ISNUMBER('Price History'!U123)),'Price History'!U123=0),"",'Price History'!U124/'Price History'!U123-1),"")</f>
        <v/>
      </c>
      <c r="V123" s="83">
        <f>IFERROR(IF(OR(NOT(ISNUMBER('Price History'!V124)),NOT(ISNUMBER('Price History'!V123)),'Price History'!V123=0),"",'Price History'!V124/'Price History'!V123-1),"")</f>
        <v>-9.5656359042233241E-3</v>
      </c>
      <c r="W123" s="84" t="str">
        <f>IFERROR('Price History'!B3+(INDEX('Price History'!B:B,MATCH(9.99E+307,'Price History'!$A:$A))-'Price History'!B3)*(ROW()-3)/(MATCH(9.99E+307,'Returns (Calc)'!$A:$A)-3),"")</f>
        <v/>
      </c>
      <c r="X123" s="84">
        <f>IFERROR('Price History'!C3+(INDEX('Price History'!C:C,MATCH(9.99E+307,'Price History'!$A:$A))-'Price History'!C3)*(ROW()-3)/(MATCH(9.99E+307,'Returns (Calc)'!$A:$A)-3),"")</f>
        <v>10.728679245283018</v>
      </c>
      <c r="Y123" s="84">
        <f>IFERROR('Price History'!D3+(INDEX('Price History'!D:D,MATCH(9.99E+307,'Price History'!$A:$A))-'Price History'!D3)*(ROW()-3)/(MATCH(9.99E+307,'Returns (Calc)'!$A:$A)-3),"")</f>
        <v>162.32339622641513</v>
      </c>
      <c r="Z123" s="84">
        <f>IFERROR('Price History'!E3+(INDEX('Price History'!E:E,MATCH(9.99E+307,'Price History'!$A:$A))-'Price History'!E3)*(ROW()-3)/(MATCH(9.99E+307,'Returns (Calc)'!$A:$A)-3),"")</f>
        <v>20.353584905660377</v>
      </c>
      <c r="AA123" s="84">
        <f>IFERROR('Price History'!F3+(INDEX('Price History'!F:F,MATCH(9.99E+307,'Price History'!$A:$A))-'Price History'!F3)*(ROW()-3)/(MATCH(9.99E+307,'Returns (Calc)'!$A:$A)-3),"")</f>
        <v>9.09018867924528</v>
      </c>
      <c r="AB123" s="84">
        <f>IFERROR('Price History'!G3+(INDEX('Price History'!G:G,MATCH(9.99E+307,'Price History'!$A:$A))-'Price History'!G3)*(ROW()-3)/(MATCH(9.99E+307,'Returns (Calc)'!$A:$A)-3),"")</f>
        <v>11.749056603773582</v>
      </c>
      <c r="AC123" s="84">
        <f>IFERROR('Price History'!H3+(INDEX('Price History'!H:H,MATCH(9.99E+307,'Price History'!$A:$A))-'Price History'!H3)*(ROW()-3)/(MATCH(9.99E+307,'Returns (Calc)'!$A:$A)-3),"")</f>
        <v>15.788867924528304</v>
      </c>
      <c r="AD123" s="84">
        <f>IFERROR('Price History'!I3+(INDEX('Price History'!I:I,MATCH(9.99E+307,'Price History'!$A:$A))-'Price History'!I3)*(ROW()-3)/(MATCH(9.99E+307,'Returns (Calc)'!$A:$A)-3),"")</f>
        <v>10.019811320754719</v>
      </c>
      <c r="AE123" s="84">
        <f>IFERROR('Price History'!J3+(INDEX('Price History'!J:J,MATCH(9.99E+307,'Price History'!$A:$A))-'Price History'!J3)*(ROW()-3)/(MATCH(9.99E+307,'Returns (Calc)'!$A:$A)-3),"")</f>
        <v>30.294905660377353</v>
      </c>
      <c r="AF123" s="84">
        <f>IFERROR('Price History'!K3+(INDEX('Price History'!K:K,MATCH(9.99E+307,'Price History'!$A:$A))-'Price History'!K3)*(ROW()-3)/(MATCH(9.99E+307,'Returns (Calc)'!$A:$A)-3),"")</f>
        <v>3.7798113207547175</v>
      </c>
      <c r="AG123" s="84">
        <f>IFERROR('Price History'!L3+(INDEX('Price History'!L:L,MATCH(9.99E+307,'Price History'!$A:$A))-'Price History'!L3)*(ROW()-3)/(MATCH(9.99E+307,'Returns (Calc)'!$A:$A)-3),"")</f>
        <v>22.563584905660377</v>
      </c>
      <c r="AH123" s="84">
        <f>IFERROR('Price History'!M3+(INDEX('Price History'!M:M,MATCH(9.99E+307,'Price History'!$A:$A))-'Price History'!M3)*(ROW()-3)/(MATCH(9.99E+307,'Returns (Calc)'!$A:$A)-3),"")</f>
        <v>8.2194339622641515</v>
      </c>
      <c r="AI123" s="84">
        <f>IFERROR('Price History'!N3+(INDEX('Price History'!N:N,MATCH(9.99E+307,'Price History'!$A:$A))-'Price History'!N3)*(ROW()-3)/(MATCH(9.99E+307,'Returns (Calc)'!$A:$A)-3),"")</f>
        <v>85.814716981132051</v>
      </c>
      <c r="AJ123" s="84">
        <f>IFERROR('Price History'!O3+(INDEX('Price History'!O:O,MATCH(9.99E+307,'Price History'!$A:$A))-'Price History'!O3)*(ROW()-3)/(MATCH(9.99E+307,'Returns (Calc)'!$A:$A)-3),"")</f>
        <v>20.321698113207539</v>
      </c>
      <c r="AK123" s="84">
        <f>IFERROR('Price History'!Q3+(INDEX('Price History'!Q:Q,MATCH(9.99E+307,'Price History'!$A:$A))-'Price History'!Q3)*(ROW()-3)/(MATCH(9.99E+307,'Returns (Calc)'!$A:$A)-3),"")</f>
        <v>12.22490566037736</v>
      </c>
      <c r="AL123" s="84">
        <f>IFERROR('Price History'!R3+(INDEX('Price History'!R:R,MATCH(9.99E+307,'Price History'!$A:$A))-'Price History'!R3)*(ROW()-3)/(MATCH(9.99E+307,'Returns (Calc)'!$A:$A)-3),"")</f>
        <v>11.729433962264153</v>
      </c>
      <c r="AM123" s="84">
        <f>IFERROR('Price History'!S3+(INDEX('Price History'!S:S,MATCH(9.99E+307,'Price History'!$A:$A))-'Price History'!S3)*(ROW()-3)/(MATCH(9.99E+307,'Returns (Calc)'!$A:$A)-3),"")</f>
        <v>14.358867924528298</v>
      </c>
      <c r="AN123" s="84">
        <f>IFERROR('Price History'!T3+(INDEX('Price History'!T:T,MATCH(9.99E+307,'Price History'!$A:$A))-'Price History'!T3)*(ROW()-3)/(MATCH(9.99E+307,'Returns (Calc)'!$A:$A)-3),"")</f>
        <v>6.6005660377358488</v>
      </c>
      <c r="AO123" s="85">
        <f>IFERROR('Price History'!V3+(INDEX('Price History'!V:V,MATCH(9.99E+307,'Price History'!$A:$A))-'Price History'!V3)*(ROW()-3)/(MATCH(9.99E+307,'Returns (Calc)'!$A:$A)-3),"")</f>
        <v>0</v>
      </c>
    </row>
    <row r="124" spans="1:41" ht="15" customHeight="1" x14ac:dyDescent="0.3">
      <c r="A124" s="81">
        <f>IF('Price History'!A125="","",'Price History'!A125)</f>
        <v>46003</v>
      </c>
      <c r="B124" s="82">
        <f>IFERROR(IF(OR(NOT(ISNUMBER('Price History'!B125)),NOT(ISNUMBER('Price History'!B124)),'Price History'!B124=0),"",'Price History'!B125/'Price History'!B124-1),"")</f>
        <v>2.9370992895512149E-2</v>
      </c>
      <c r="C124" s="82">
        <f>IFERROR(IF(OR(NOT(ISNUMBER('Price History'!C125)),NOT(ISNUMBER('Price History'!C124)),'Price History'!C124=0),"",'Price History'!C125/'Price History'!C124-1),"")</f>
        <v>-2.9784586670814184E-2</v>
      </c>
      <c r="D124" s="82">
        <f>IFERROR(IF(OR(NOT(ISNUMBER('Price History'!D125)),NOT(ISNUMBER('Price History'!D124)),'Price History'!D124=0),"",'Price History'!D125/'Price History'!D124-1),"")</f>
        <v>-1.693543252658114E-2</v>
      </c>
      <c r="E124" s="82">
        <f>IFERROR(IF(OR(NOT(ISNUMBER('Price History'!E125)),NOT(ISNUMBER('Price History'!E124)),'Price History'!E124=0),"",'Price History'!E125/'Price History'!E124-1),"")</f>
        <v>-7.7670151701517032E-2</v>
      </c>
      <c r="F124" s="82">
        <f>IFERROR(IF(OR(NOT(ISNUMBER('Price History'!F125)),NOT(ISNUMBER('Price History'!F124)),'Price History'!F124=0),"",'Price History'!F125/'Price History'!F124-1),"")</f>
        <v>-1.4139520349972567E-2</v>
      </c>
      <c r="G124" s="82">
        <f>IFERROR(IF(OR(NOT(ISNUMBER('Price History'!G125)),NOT(ISNUMBER('Price History'!G124)),'Price History'!G124=0),"",'Price History'!G125/'Price History'!G124-1),"")</f>
        <v>-1.696171263894608E-2</v>
      </c>
      <c r="H124" s="82">
        <f>IFERROR(IF(OR(NOT(ISNUMBER('Price History'!H125)),NOT(ISNUMBER('Price History'!H124)),'Price History'!H124=0),"",'Price History'!H125/'Price History'!H124-1),"")</f>
        <v>1.652474496248213E-2</v>
      </c>
      <c r="I124" s="82">
        <f>IFERROR(IF(OR(NOT(ISNUMBER('Price History'!I125)),NOT(ISNUMBER('Price History'!I124)),'Price History'!I124=0),"",'Price History'!I125/'Price History'!I124-1),"")</f>
        <v>-4.0513129762622557E-2</v>
      </c>
      <c r="J124" s="82">
        <f>IFERROR(IF(OR(NOT(ISNUMBER('Price History'!J125)),NOT(ISNUMBER('Price History'!J124)),'Price History'!J124=0),"",'Price History'!J125/'Price History'!J124-1),"")</f>
        <v>1.7190185966557303E-2</v>
      </c>
      <c r="K124" s="82">
        <f>IFERROR(IF(OR(NOT(ISNUMBER('Price History'!K125)),NOT(ISNUMBER('Price History'!K124)),'Price History'!K124=0),"",'Price History'!K125/'Price History'!K124-1),"")</f>
        <v>9.9581866197182567E-3</v>
      </c>
      <c r="L124" s="82">
        <f>IFERROR(IF(OR(NOT(ISNUMBER('Price History'!L125)),NOT(ISNUMBER('Price History'!L124)),'Price History'!L124=0),"",'Price History'!L125/'Price History'!L124-1),"")</f>
        <v>-9.0933767643865959E-3</v>
      </c>
      <c r="M124" s="82">
        <f>IFERROR(IF(OR(NOT(ISNUMBER('Price History'!M125)),NOT(ISNUMBER('Price History'!M124)),'Price History'!M124=0),"",'Price History'!M125/'Price History'!M124-1),"")</f>
        <v>-0.14680986139032903</v>
      </c>
      <c r="N124" s="82">
        <f>IFERROR(IF(OR(NOT(ISNUMBER('Price History'!N125)),NOT(ISNUMBER('Price History'!N124)),'Price History'!N124=0),"",'Price History'!N125/'Price History'!N124-1),"")</f>
        <v>-7.5524721173267917E-3</v>
      </c>
      <c r="O124" s="82">
        <f>IFERROR(IF(OR(NOT(ISNUMBER('Price History'!O125)),NOT(ISNUMBER('Price History'!O124)),'Price History'!O124=0),"",'Price History'!O125/'Price History'!O124-1),"")</f>
        <v>2.1477162293488838E-2</v>
      </c>
      <c r="P124" s="82" t="str">
        <f>IFERROR(IF(OR(NOT(ISNUMBER('Price History'!P125)),NOT(ISNUMBER('Price History'!P124)),'Price History'!P124=0),"",'Price History'!P125/'Price History'!P124-1),"")</f>
        <v/>
      </c>
      <c r="Q124" s="82">
        <f>IFERROR(IF(OR(NOT(ISNUMBER('Price History'!Q125)),NOT(ISNUMBER('Price History'!Q124)),'Price History'!Q124=0),"",'Price History'!Q125/'Price History'!Q124-1),"")</f>
        <v>3.747002398081456E-3</v>
      </c>
      <c r="R124" s="82">
        <f>IFERROR(IF(OR(NOT(ISNUMBER('Price History'!R125)),NOT(ISNUMBER('Price History'!R124)),'Price History'!R124=0),"",'Price History'!R125/'Price History'!R124-1),"")</f>
        <v>-1.0880652839170391E-2</v>
      </c>
      <c r="S124" s="82">
        <f>IFERROR(IF(OR(NOT(ISNUMBER('Price History'!S125)),NOT(ISNUMBER('Price History'!S124)),'Price History'!S124=0),"",'Price History'!S125/'Price History'!S124-1),"")</f>
        <v>-1.4480761274306975E-2</v>
      </c>
      <c r="T124" s="82">
        <f>IFERROR(IF(OR(NOT(ISNUMBER('Price History'!T125)),NOT(ISNUMBER('Price History'!T124)),'Price History'!T124=0),"",'Price History'!T125/'Price History'!T124-1),"")</f>
        <v>7.102993404363378E-3</v>
      </c>
      <c r="U124" s="82" t="str">
        <f>IFERROR(IF(OR(NOT(ISNUMBER('Price History'!U125)),NOT(ISNUMBER('Price History'!U124)),'Price History'!U124=0),"",'Price History'!U125/'Price History'!U124-1),"")</f>
        <v/>
      </c>
      <c r="V124" s="83">
        <f>IFERROR(IF(OR(NOT(ISNUMBER('Price History'!V125)),NOT(ISNUMBER('Price History'!V124)),'Price History'!V124=0),"",'Price History'!V125/'Price History'!V124-1),"")</f>
        <v>5.0082002065237274E-2</v>
      </c>
      <c r="W124" s="84" t="str">
        <f>IFERROR('Price History'!B3+(INDEX('Price History'!B:B,MATCH(9.99E+307,'Price History'!$A:$A))-'Price History'!B3)*(ROW()-3)/(MATCH(9.99E+307,'Returns (Calc)'!$A:$A)-3),"")</f>
        <v/>
      </c>
      <c r="X124" s="84">
        <f>IFERROR('Price History'!C3+(INDEX('Price History'!C:C,MATCH(9.99E+307,'Price History'!$A:$A))-'Price History'!C3)*(ROW()-3)/(MATCH(9.99E+307,'Returns (Calc)'!$A:$A)-3),"")</f>
        <v>10.453584905660378</v>
      </c>
      <c r="Y124" s="84">
        <f>IFERROR('Price History'!D3+(INDEX('Price History'!D:D,MATCH(9.99E+307,'Price History'!$A:$A))-'Price History'!D3)*(ROW()-3)/(MATCH(9.99E+307,'Returns (Calc)'!$A:$A)-3),"")</f>
        <v>158.16125786163525</v>
      </c>
      <c r="Z124" s="84">
        <f>IFERROR('Price History'!E3+(INDEX('Price History'!E:E,MATCH(9.99E+307,'Price History'!$A:$A))-'Price History'!E3)*(ROW()-3)/(MATCH(9.99E+307,'Returns (Calc)'!$A:$A)-3),"")</f>
        <v>19.831698113207551</v>
      </c>
      <c r="AA124" s="84">
        <f>IFERROR('Price History'!F3+(INDEX('Price History'!F:F,MATCH(9.99E+307,'Price History'!$A:$A))-'Price History'!F3)*(ROW()-3)/(MATCH(9.99E+307,'Returns (Calc)'!$A:$A)-3),"")</f>
        <v>8.8571069182389941</v>
      </c>
      <c r="AB124" s="84">
        <f>IFERROR('Price History'!G3+(INDEX('Price History'!G:G,MATCH(9.99E+307,'Price History'!$A:$A))-'Price History'!G3)*(ROW()-3)/(MATCH(9.99E+307,'Returns (Calc)'!$A:$A)-3),"")</f>
        <v>11.447798742138367</v>
      </c>
      <c r="AC124" s="84">
        <f>IFERROR('Price History'!H3+(INDEX('Price History'!H:H,MATCH(9.99E+307,'Price History'!$A:$A))-'Price History'!H3)*(ROW()-3)/(MATCH(9.99E+307,'Returns (Calc)'!$A:$A)-3),"")</f>
        <v>15.384025157232706</v>
      </c>
      <c r="AD124" s="84">
        <f>IFERROR('Price History'!I3+(INDEX('Price History'!I:I,MATCH(9.99E+307,'Price History'!$A:$A))-'Price History'!I3)*(ROW()-3)/(MATCH(9.99E+307,'Returns (Calc)'!$A:$A)-3),"")</f>
        <v>9.7628930817610069</v>
      </c>
      <c r="AE124" s="84">
        <f>IFERROR('Price History'!J3+(INDEX('Price History'!J:J,MATCH(9.99E+307,'Price History'!$A:$A))-'Price History'!J3)*(ROW()-3)/(MATCH(9.99E+307,'Returns (Calc)'!$A:$A)-3),"")</f>
        <v>29.518113207547174</v>
      </c>
      <c r="AF124" s="84">
        <f>IFERROR('Price History'!K3+(INDEX('Price History'!K:K,MATCH(9.99E+307,'Price History'!$A:$A))-'Price History'!K3)*(ROW()-3)/(MATCH(9.99E+307,'Returns (Calc)'!$A:$A)-3),"")</f>
        <v>3.682893081761005</v>
      </c>
      <c r="AG124" s="84">
        <f>IFERROR('Price History'!L3+(INDEX('Price History'!L:L,MATCH(9.99E+307,'Price History'!$A:$A))-'Price History'!L3)*(ROW()-3)/(MATCH(9.99E+307,'Returns (Calc)'!$A:$A)-3),"")</f>
        <v>21.985031446540887</v>
      </c>
      <c r="AH124" s="84">
        <f>IFERROR('Price History'!M3+(INDEX('Price History'!M:M,MATCH(9.99E+307,'Price History'!$A:$A))-'Price History'!M3)*(ROW()-3)/(MATCH(9.99E+307,'Returns (Calc)'!$A:$A)-3),"")</f>
        <v>8.0086792452830196</v>
      </c>
      <c r="AI124" s="84">
        <f>IFERROR('Price History'!N3+(INDEX('Price History'!N:N,MATCH(9.99E+307,'Price History'!$A:$A))-'Price History'!N3)*(ROW()-3)/(MATCH(9.99E+307,'Returns (Calc)'!$A:$A)-3),"")</f>
        <v>83.614339622641467</v>
      </c>
      <c r="AJ124" s="84">
        <f>IFERROR('Price History'!O3+(INDEX('Price History'!O:O,MATCH(9.99E+307,'Price History'!$A:$A))-'Price History'!O3)*(ROW()-3)/(MATCH(9.99E+307,'Returns (Calc)'!$A:$A)-3),"")</f>
        <v>19.800628930817616</v>
      </c>
      <c r="AK124" s="84">
        <f>IFERROR('Price History'!Q3+(INDEX('Price History'!Q:Q,MATCH(9.99E+307,'Price History'!$A:$A))-'Price History'!Q3)*(ROW()-3)/(MATCH(9.99E+307,'Returns (Calc)'!$A:$A)-3),"")</f>
        <v>11.911446540880505</v>
      </c>
      <c r="AL124" s="84">
        <f>IFERROR('Price History'!R3+(INDEX('Price History'!R:R,MATCH(9.99E+307,'Price History'!$A:$A))-'Price History'!R3)*(ROW()-3)/(MATCH(9.99E+307,'Returns (Calc)'!$A:$A)-3),"")</f>
        <v>11.428679245283014</v>
      </c>
      <c r="AM124" s="84">
        <f>IFERROR('Price History'!S3+(INDEX('Price History'!S:S,MATCH(9.99E+307,'Price History'!$A:$A))-'Price History'!S3)*(ROW()-3)/(MATCH(9.99E+307,'Returns (Calc)'!$A:$A)-3),"")</f>
        <v>13.990691823899368</v>
      </c>
      <c r="AN124" s="84">
        <f>IFERROR('Price History'!T3+(INDEX('Price History'!T:T,MATCH(9.99E+307,'Price History'!$A:$A))-'Price History'!T3)*(ROW()-3)/(MATCH(9.99E+307,'Returns (Calc)'!$A:$A)-3),"")</f>
        <v>6.4313207547169817</v>
      </c>
      <c r="AO124" s="85">
        <f>IFERROR('Price History'!V3+(INDEX('Price History'!V:V,MATCH(9.99E+307,'Price History'!$A:$A))-'Price History'!V3)*(ROW()-3)/(MATCH(9.99E+307,'Returns (Calc)'!$A:$A)-3),"")</f>
        <v>0</v>
      </c>
    </row>
    <row r="125" spans="1:41" ht="15" customHeight="1" x14ac:dyDescent="0.3">
      <c r="A125" s="81">
        <f>IF('Price History'!A126="","",'Price History'!A126)</f>
        <v>46010</v>
      </c>
      <c r="B125" s="82">
        <f>IFERROR(IF(OR(NOT(ISNUMBER('Price History'!B126)),NOT(ISNUMBER('Price History'!B125)),'Price History'!B125=0),"",'Price History'!B126/'Price History'!B125-1),"")</f>
        <v>-1.599191987206483E-3</v>
      </c>
      <c r="C125" s="82">
        <f>IFERROR(IF(OR(NOT(ISNUMBER('Price History'!C126)),NOT(ISNUMBER('Price History'!C125)),'Price History'!C125=0),"",'Price History'!C126/'Price History'!C125-1),"")</f>
        <v>5.0977877524847726E-2</v>
      </c>
      <c r="D125" s="82">
        <f>IFERROR(IF(OR(NOT(ISNUMBER('Price History'!D126)),NOT(ISNUMBER('Price History'!D125)),'Price History'!D125=0),"",'Price History'!D126/'Price History'!D125-1),"")</f>
        <v>-2.2972660406161749E-2</v>
      </c>
      <c r="E125" s="82">
        <f>IFERROR(IF(OR(NOT(ISNUMBER('Price History'!E126)),NOT(ISNUMBER('Price History'!E125)),'Price History'!E125=0),"",'Price History'!E126/'Price History'!E125-1),"")</f>
        <v>-5.4371683382880009E-2</v>
      </c>
      <c r="F125" s="82">
        <f>IFERROR(IF(OR(NOT(ISNUMBER('Price History'!F126)),NOT(ISNUMBER('Price History'!F125)),'Price History'!F125=0),"",'Price History'!F126/'Price History'!F125-1),"")</f>
        <v>-4.6592709984152214E-2</v>
      </c>
      <c r="G125" s="82">
        <f>IFERROR(IF(OR(NOT(ISNUMBER('Price History'!G126)),NOT(ISNUMBER('Price History'!G125)),'Price History'!G125=0),"",'Price History'!G126/'Price History'!G125-1),"")</f>
        <v>4.3387218359996593E-2</v>
      </c>
      <c r="H125" s="82">
        <f>IFERROR(IF(OR(NOT(ISNUMBER('Price History'!H126)),NOT(ISNUMBER('Price History'!H125)),'Price History'!H125=0),"",'Price History'!H126/'Price History'!H125-1),"")</f>
        <v>0.10276188106494155</v>
      </c>
      <c r="I125" s="82">
        <f>IFERROR(IF(OR(NOT(ISNUMBER('Price History'!I126)),NOT(ISNUMBER('Price History'!I125)),'Price History'!I125=0),"",'Price History'!I126/'Price History'!I125-1),"")</f>
        <v>3.4110387384298946E-2</v>
      </c>
      <c r="J125" s="82">
        <f>IFERROR(IF(OR(NOT(ISNUMBER('Price History'!J126)),NOT(ISNUMBER('Price History'!J125)),'Price History'!J125=0),"",'Price History'!J126/'Price History'!J125-1),"")</f>
        <v>-2.2660931018589681E-2</v>
      </c>
      <c r="K125" s="82">
        <f>IFERROR(IF(OR(NOT(ISNUMBER('Price History'!K126)),NOT(ISNUMBER('Price History'!K125)),'Price History'!K125=0),"",'Price History'!K126/'Price History'!K125-1),"")</f>
        <v>5.3440104592253679E-2</v>
      </c>
      <c r="L125" s="82">
        <f>IFERROR(IF(OR(NOT(ISNUMBER('Price History'!L126)),NOT(ISNUMBER('Price History'!L125)),'Price History'!L125=0),"",'Price History'!L126/'Price History'!L125-1),"")</f>
        <v>-1.0580742364059814E-2</v>
      </c>
      <c r="M125" s="82">
        <f>IFERROR(IF(OR(NOT(ISNUMBER('Price History'!M126)),NOT(ISNUMBER('Price History'!M125)),'Price History'!M125=0),"",'Price History'!M126/'Price History'!M125-1),"")</f>
        <v>-8.9911328827433357E-3</v>
      </c>
      <c r="N125" s="82">
        <f>IFERROR(IF(OR(NOT(ISNUMBER('Price History'!N126)),NOT(ISNUMBER('Price History'!N125)),'Price History'!N125=0),"",'Price History'!N126/'Price History'!N125-1),"")</f>
        <v>9.2027254225288679E-3</v>
      </c>
      <c r="O125" s="82">
        <f>IFERROR(IF(OR(NOT(ISNUMBER('Price History'!O126)),NOT(ISNUMBER('Price History'!O125)),'Price History'!O125=0),"",'Price History'!O126/'Price History'!O125-1),"")</f>
        <v>-1.2653410712586743E-2</v>
      </c>
      <c r="P125" s="82" t="str">
        <f>IFERROR(IF(OR(NOT(ISNUMBER('Price History'!P126)),NOT(ISNUMBER('Price History'!P125)),'Price History'!P125=0),"",'Price History'!P126/'Price History'!P125-1),"")</f>
        <v/>
      </c>
      <c r="Q125" s="82">
        <f>IFERROR(IF(OR(NOT(ISNUMBER('Price History'!Q126)),NOT(ISNUMBER('Price History'!Q125)),'Price History'!Q125=0),"",'Price History'!Q126/'Price History'!Q125-1),"")</f>
        <v>2.8370912348811839E-3</v>
      </c>
      <c r="R125" s="82">
        <f>IFERROR(IF(OR(NOT(ISNUMBER('Price History'!R126)),NOT(ISNUMBER('Price History'!R125)),'Price History'!R125=0),"",'Price History'!R126/'Price History'!R125-1),"")</f>
        <v>7.5627363355104116E-3</v>
      </c>
      <c r="S125" s="82">
        <f>IFERROR(IF(OR(NOT(ISNUMBER('Price History'!S126)),NOT(ISNUMBER('Price History'!S125)),'Price History'!S125=0),"",'Price History'!S126/'Price History'!S125-1),"")</f>
        <v>3.6104114189756675E-3</v>
      </c>
      <c r="T125" s="82">
        <f>IFERROR(IF(OR(NOT(ISNUMBER('Price History'!T126)),NOT(ISNUMBER('Price History'!T125)),'Price History'!T125=0),"",'Price History'!T126/'Price History'!T125-1),"")</f>
        <v>-4.2821158690177219E-3</v>
      </c>
      <c r="U125" s="82" t="str">
        <f>IFERROR(IF(OR(NOT(ISNUMBER('Price History'!U126)),NOT(ISNUMBER('Price History'!U125)),'Price History'!U125=0),"",'Price History'!U126/'Price History'!U125-1),"")</f>
        <v/>
      </c>
      <c r="V125" s="83">
        <f>IFERROR(IF(OR(NOT(ISNUMBER('Price History'!V126)),NOT(ISNUMBER('Price History'!V125)),'Price History'!V125=0),"",'Price History'!V126/'Price History'!V125-1),"")</f>
        <v>4.1070137382501759E-3</v>
      </c>
      <c r="W125" s="84" t="str">
        <f>IFERROR('Price History'!B3+(INDEX('Price History'!B:B,MATCH(9.99E+307,'Price History'!$A:$A))-'Price History'!B3)*(ROW()-3)/(MATCH(9.99E+307,'Returns (Calc)'!$A:$A)-3),"")</f>
        <v/>
      </c>
      <c r="X125" s="84">
        <f>IFERROR('Price History'!C3+(INDEX('Price History'!C:C,MATCH(9.99E+307,'Price History'!$A:$A))-'Price History'!C3)*(ROW()-3)/(MATCH(9.99E+307,'Returns (Calc)'!$A:$A)-3),"")</f>
        <v>10.178490566037731</v>
      </c>
      <c r="Y125" s="84">
        <f>IFERROR('Price History'!D3+(INDEX('Price History'!D:D,MATCH(9.99E+307,'Price History'!$A:$A))-'Price History'!D3)*(ROW()-3)/(MATCH(9.99E+307,'Returns (Calc)'!$A:$A)-3),"")</f>
        <v>153.99911949685531</v>
      </c>
      <c r="Z125" s="84">
        <f>IFERROR('Price History'!E3+(INDEX('Price History'!E:E,MATCH(9.99E+307,'Price History'!$A:$A))-'Price History'!E3)*(ROW()-3)/(MATCH(9.99E+307,'Returns (Calc)'!$A:$A)-3),"")</f>
        <v>19.309811320754712</v>
      </c>
      <c r="AA125" s="84">
        <f>IFERROR('Price History'!F3+(INDEX('Price History'!F:F,MATCH(9.99E+307,'Price History'!$A:$A))-'Price History'!F3)*(ROW()-3)/(MATCH(9.99E+307,'Returns (Calc)'!$A:$A)-3),"")</f>
        <v>8.6240251572327011</v>
      </c>
      <c r="AB125" s="84">
        <f>IFERROR('Price History'!G3+(INDEX('Price History'!G:G,MATCH(9.99E+307,'Price History'!$A:$A))-'Price History'!G3)*(ROW()-3)/(MATCH(9.99E+307,'Returns (Calc)'!$A:$A)-3),"")</f>
        <v>11.146540880503139</v>
      </c>
      <c r="AC125" s="84">
        <f>IFERROR('Price History'!H3+(INDEX('Price History'!H:H,MATCH(9.99E+307,'Price History'!$A:$A))-'Price History'!H3)*(ROW()-3)/(MATCH(9.99E+307,'Returns (Calc)'!$A:$A)-3),"")</f>
        <v>14.979182389937108</v>
      </c>
      <c r="AD125" s="84">
        <f>IFERROR('Price History'!I3+(INDEX('Price History'!I:I,MATCH(9.99E+307,'Price History'!$A:$A))-'Price History'!I3)*(ROW()-3)/(MATCH(9.99E+307,'Returns (Calc)'!$A:$A)-3),"")</f>
        <v>9.5059748427672979</v>
      </c>
      <c r="AE125" s="84">
        <f>IFERROR('Price History'!J3+(INDEX('Price History'!J:J,MATCH(9.99E+307,'Price History'!$A:$A))-'Price History'!J3)*(ROW()-3)/(MATCH(9.99E+307,'Returns (Calc)'!$A:$A)-3),"")</f>
        <v>28.74132075471698</v>
      </c>
      <c r="AF125" s="84">
        <f>IFERROR('Price History'!K3+(INDEX('Price History'!K:K,MATCH(9.99E+307,'Price History'!$A:$A))-'Price History'!K3)*(ROW()-3)/(MATCH(9.99E+307,'Returns (Calc)'!$A:$A)-3),"")</f>
        <v>3.5859748427672962</v>
      </c>
      <c r="AG125" s="84">
        <f>IFERROR('Price History'!L3+(INDEX('Price History'!L:L,MATCH(9.99E+307,'Price History'!$A:$A))-'Price History'!L3)*(ROW()-3)/(MATCH(9.99E+307,'Returns (Calc)'!$A:$A)-3),"")</f>
        <v>21.406477987421383</v>
      </c>
      <c r="AH125" s="84">
        <f>IFERROR('Price History'!M3+(INDEX('Price History'!M:M,MATCH(9.99E+307,'Price History'!$A:$A))-'Price History'!M3)*(ROW()-3)/(MATCH(9.99E+307,'Returns (Calc)'!$A:$A)-3),"")</f>
        <v>7.7979245283018876</v>
      </c>
      <c r="AI125" s="84">
        <f>IFERROR('Price History'!N3+(INDEX('Price History'!N:N,MATCH(9.99E+307,'Price History'!$A:$A))-'Price History'!N3)*(ROW()-3)/(MATCH(9.99E+307,'Returns (Calc)'!$A:$A)-3),"")</f>
        <v>81.413962264150996</v>
      </c>
      <c r="AJ125" s="84">
        <f>IFERROR('Price History'!O3+(INDEX('Price History'!O:O,MATCH(9.99E+307,'Price History'!$A:$A))-'Price History'!O3)*(ROW()-3)/(MATCH(9.99E+307,'Returns (Calc)'!$A:$A)-3),"")</f>
        <v>19.279559748427673</v>
      </c>
      <c r="AK125" s="84">
        <f>IFERROR('Price History'!Q3+(INDEX('Price History'!Q:Q,MATCH(9.99E+307,'Price History'!$A:$A))-'Price History'!Q3)*(ROW()-3)/(MATCH(9.99E+307,'Returns (Calc)'!$A:$A)-3),"")</f>
        <v>11.59798742138365</v>
      </c>
      <c r="AL125" s="84">
        <f>IFERROR('Price History'!R3+(INDEX('Price History'!R:R,MATCH(9.99E+307,'Price History'!$A:$A))-'Price History'!R3)*(ROW()-3)/(MATCH(9.99E+307,'Returns (Calc)'!$A:$A)-3),"")</f>
        <v>11.127924528301889</v>
      </c>
      <c r="AM125" s="84">
        <f>IFERROR('Price History'!S3+(INDEX('Price History'!S:S,MATCH(9.99E+307,'Price History'!$A:$A))-'Price History'!S3)*(ROW()-3)/(MATCH(9.99E+307,'Returns (Calc)'!$A:$A)-3),"")</f>
        <v>13.622515723270439</v>
      </c>
      <c r="AN125" s="84">
        <f>IFERROR('Price History'!T3+(INDEX('Price History'!T:T,MATCH(9.99E+307,'Price History'!$A:$A))-'Price History'!T3)*(ROW()-3)/(MATCH(9.99E+307,'Returns (Calc)'!$A:$A)-3),"")</f>
        <v>6.2620754716981146</v>
      </c>
      <c r="AO125" s="85">
        <f>IFERROR('Price History'!V3+(INDEX('Price History'!V:V,MATCH(9.99E+307,'Price History'!$A:$A))-'Price History'!V3)*(ROW()-3)/(MATCH(9.99E+307,'Returns (Calc)'!$A:$A)-3),"")</f>
        <v>0</v>
      </c>
    </row>
    <row r="126" spans="1:41" ht="15" customHeight="1" x14ac:dyDescent="0.3">
      <c r="A126" s="81">
        <f>IF('Price History'!A127="","",'Price History'!A127)</f>
        <v>46017</v>
      </c>
      <c r="B126" s="82">
        <f>IFERROR(IF(OR(NOT(ISNUMBER('Price History'!B127)),NOT(ISNUMBER('Price History'!B126)),'Price History'!B126=0),"",'Price History'!B127/'Price History'!B126-1),"")</f>
        <v>-5.788793345697707E-3</v>
      </c>
      <c r="C126" s="82">
        <f>IFERROR(IF(OR(NOT(ISNUMBER('Price History'!C127)),NOT(ISNUMBER('Price History'!C126)),'Price History'!C126=0),"",'Price History'!C127/'Price History'!C126-1),"")</f>
        <v>5.4911531421597548E-3</v>
      </c>
      <c r="D126" s="82">
        <f>IFERROR(IF(OR(NOT(ISNUMBER('Price History'!D127)),NOT(ISNUMBER('Price History'!D126)),'Price History'!D126=0),"",'Price History'!D127/'Price History'!D126-1),"")</f>
        <v>1.5842502982898132E-2</v>
      </c>
      <c r="E126" s="82">
        <f>IFERROR(IF(OR(NOT(ISNUMBER('Price History'!E127)),NOT(ISNUMBER('Price History'!E126)),'Price History'!E126=0),"",'Price History'!E127/'Price History'!E126-1),"")</f>
        <v>3.4581031848630817E-2</v>
      </c>
      <c r="F126" s="82">
        <f>IFERROR(IF(OR(NOT(ISNUMBER('Price History'!F127)),NOT(ISNUMBER('Price History'!F126)),'Price History'!F126=0),"",'Price History'!F127/'Price History'!F126-1),"")</f>
        <v>-1.6622340425531679E-4</v>
      </c>
      <c r="G126" s="82">
        <f>IFERROR(IF(OR(NOT(ISNUMBER('Price History'!G127)),NOT(ISNUMBER('Price History'!G126)),'Price History'!G126=0),"",'Price History'!G127/'Price History'!G126-1),"")</f>
        <v>2.7213614835032596E-2</v>
      </c>
      <c r="H126" s="82">
        <f>IFERROR(IF(OR(NOT(ISNUMBER('Price History'!H127)),NOT(ISNUMBER('Price History'!H126)),'Price History'!H126=0),"",'Price History'!H127/'Price History'!H126-1),"")</f>
        <v>7.0961191335740192E-2</v>
      </c>
      <c r="I126" s="82">
        <f>IFERROR(IF(OR(NOT(ISNUMBER('Price History'!I127)),NOT(ISNUMBER('Price History'!I126)),'Price History'!I126=0),"",'Price History'!I127/'Price History'!I126-1),"")</f>
        <v>5.2710094480358016E-2</v>
      </c>
      <c r="J126" s="82">
        <f>IFERROR(IF(OR(NOT(ISNUMBER('Price History'!J127)),NOT(ISNUMBER('Price History'!J126)),'Price History'!J126=0),"",'Price History'!J127/'Price History'!J126-1),"")</f>
        <v>1.1632476617150056E-2</v>
      </c>
      <c r="K126" s="82">
        <f>IFERROR(IF(OR(NOT(ISNUMBER('Price History'!K127)),NOT(ISNUMBER('Price History'!K126)),'Price History'!K126=0),"",'Price History'!K127/'Price History'!K126-1),"")</f>
        <v>-2.4149343261971157E-2</v>
      </c>
      <c r="L126" s="82">
        <f>IFERROR(IF(OR(NOT(ISNUMBER('Price History'!L127)),NOT(ISNUMBER('Price History'!L126)),'Price History'!L126=0),"",'Price History'!L127/'Price History'!L126-1),"")</f>
        <v>4.8070600449904743E-2</v>
      </c>
      <c r="M126" s="82">
        <f>IFERROR(IF(OR(NOT(ISNUMBER('Price History'!M127)),NOT(ISNUMBER('Price History'!M126)),'Price History'!M126=0),"",'Price History'!M127/'Price History'!M126-1),"")</f>
        <v>4.8554623951946096E-2</v>
      </c>
      <c r="N126" s="82">
        <f>IFERROR(IF(OR(NOT(ISNUMBER('Price History'!N127)),NOT(ISNUMBER('Price History'!N126)),'Price History'!N126=0),"",'Price History'!N127/'Price History'!N126-1),"")</f>
        <v>1.4686540990793473E-2</v>
      </c>
      <c r="O126" s="82">
        <f>IFERROR(IF(OR(NOT(ISNUMBER('Price History'!O127)),NOT(ISNUMBER('Price History'!O126)),'Price History'!O126=0),"",'Price History'!O127/'Price History'!O126-1),"")</f>
        <v>-8.6721911736364898E-4</v>
      </c>
      <c r="P126" s="82" t="str">
        <f>IFERROR(IF(OR(NOT(ISNUMBER('Price History'!P127)),NOT(ISNUMBER('Price History'!P126)),'Price History'!P126=0),"",'Price History'!P127/'Price History'!P126-1),"")</f>
        <v/>
      </c>
      <c r="Q126" s="82">
        <f>IFERROR(IF(OR(NOT(ISNUMBER('Price History'!Q127)),NOT(ISNUMBER('Price History'!Q126)),'Price History'!Q126=0),"",'Price History'!Q127/'Price History'!Q126-1),"")</f>
        <v>-8.7849910661108588E-3</v>
      </c>
      <c r="R126" s="82">
        <f>IFERROR(IF(OR(NOT(ISNUMBER('Price History'!R127)),NOT(ISNUMBER('Price History'!R126)),'Price History'!R126=0),"",'Price History'!R127/'Price History'!R126-1),"")</f>
        <v>1.2282497441146401E-2</v>
      </c>
      <c r="S126" s="82">
        <f>IFERROR(IF(OR(NOT(ISNUMBER('Price History'!S127)),NOT(ISNUMBER('Price History'!S126)),'Price History'!S126=0),"",'Price History'!S127/'Price History'!S126-1),"")</f>
        <v>1.5477286036978066E-2</v>
      </c>
      <c r="T126" s="82">
        <f>IFERROR(IF(OR(NOT(ISNUMBER('Price History'!T127)),NOT(ISNUMBER('Price History'!T126)),'Price History'!T126=0),"",'Price History'!T127/'Price History'!T126-1),"")</f>
        <v>6.57728307614458E-3</v>
      </c>
      <c r="U126" s="82" t="str">
        <f>IFERROR(IF(OR(NOT(ISNUMBER('Price History'!U127)),NOT(ISNUMBER('Price History'!U126)),'Price History'!U126=0),"",'Price History'!U127/'Price History'!U126-1),"")</f>
        <v/>
      </c>
      <c r="V126" s="83">
        <f>IFERROR(IF(OR(NOT(ISNUMBER('Price History'!V127)),NOT(ISNUMBER('Price History'!V126)),'Price History'!V126=0),"",'Price History'!V127/'Price History'!V126-1),"")</f>
        <v>1.6447273669959905E-2</v>
      </c>
      <c r="W126" s="84" t="str">
        <f>IFERROR('Price History'!B3+(INDEX('Price History'!B:B,MATCH(9.99E+307,'Price History'!$A:$A))-'Price History'!B3)*(ROW()-3)/(MATCH(9.99E+307,'Returns (Calc)'!$A:$A)-3),"")</f>
        <v/>
      </c>
      <c r="X126" s="84">
        <f>IFERROR('Price History'!C3+(INDEX('Price History'!C:C,MATCH(9.99E+307,'Price History'!$A:$A))-'Price History'!C3)*(ROW()-3)/(MATCH(9.99E+307,'Returns (Calc)'!$A:$A)-3),"")</f>
        <v>9.9033962264150901</v>
      </c>
      <c r="Y126" s="84">
        <f>IFERROR('Price History'!D3+(INDEX('Price History'!D:D,MATCH(9.99E+307,'Price History'!$A:$A))-'Price History'!D3)*(ROW()-3)/(MATCH(9.99E+307,'Returns (Calc)'!$A:$A)-3),"")</f>
        <v>149.83698113207544</v>
      </c>
      <c r="Z126" s="84">
        <f>IFERROR('Price History'!E3+(INDEX('Price History'!E:E,MATCH(9.99E+307,'Price History'!$A:$A))-'Price History'!E3)*(ROW()-3)/(MATCH(9.99E+307,'Returns (Calc)'!$A:$A)-3),"")</f>
        <v>18.787924528301886</v>
      </c>
      <c r="AA126" s="84">
        <f>IFERROR('Price History'!F3+(INDEX('Price History'!F:F,MATCH(9.99E+307,'Price History'!$A:$A))-'Price History'!F3)*(ROW()-3)/(MATCH(9.99E+307,'Returns (Calc)'!$A:$A)-3),"")</f>
        <v>8.3909433962264153</v>
      </c>
      <c r="AB126" s="84">
        <f>IFERROR('Price History'!G3+(INDEX('Price History'!G:G,MATCH(9.99E+307,'Price History'!$A:$A))-'Price History'!G3)*(ROW()-3)/(MATCH(9.99E+307,'Returns (Calc)'!$A:$A)-3),"")</f>
        <v>10.845283018867924</v>
      </c>
      <c r="AC126" s="84">
        <f>IFERROR('Price History'!H3+(INDEX('Price History'!H:H,MATCH(9.99E+307,'Price History'!$A:$A))-'Price History'!H3)*(ROW()-3)/(MATCH(9.99E+307,'Returns (Calc)'!$A:$A)-3),"")</f>
        <v>14.57433962264151</v>
      </c>
      <c r="AD126" s="84">
        <f>IFERROR('Price History'!I3+(INDEX('Price History'!I:I,MATCH(9.99E+307,'Price History'!$A:$A))-'Price History'!I3)*(ROW()-3)/(MATCH(9.99E+307,'Returns (Calc)'!$A:$A)-3),"")</f>
        <v>9.2490566037735853</v>
      </c>
      <c r="AE126" s="84">
        <f>IFERROR('Price History'!J3+(INDEX('Price History'!J:J,MATCH(9.99E+307,'Price History'!$A:$A))-'Price History'!J3)*(ROW()-3)/(MATCH(9.99E+307,'Returns (Calc)'!$A:$A)-3),"")</f>
        <v>27.964528301886787</v>
      </c>
      <c r="AF126" s="84">
        <f>IFERROR('Price History'!K3+(INDEX('Price History'!K:K,MATCH(9.99E+307,'Price History'!$A:$A))-'Price History'!K3)*(ROW()-3)/(MATCH(9.99E+307,'Returns (Calc)'!$A:$A)-3),"")</f>
        <v>3.4890566037735855</v>
      </c>
      <c r="AG126" s="84">
        <f>IFERROR('Price History'!L3+(INDEX('Price History'!L:L,MATCH(9.99E+307,'Price History'!$A:$A))-'Price History'!L3)*(ROW()-3)/(MATCH(9.99E+307,'Returns (Calc)'!$A:$A)-3),"")</f>
        <v>20.827924528301892</v>
      </c>
      <c r="AH126" s="84">
        <f>IFERROR('Price History'!M3+(INDEX('Price History'!M:M,MATCH(9.99E+307,'Price History'!$A:$A))-'Price History'!M3)*(ROW()-3)/(MATCH(9.99E+307,'Returns (Calc)'!$A:$A)-3),"")</f>
        <v>7.5871698113207557</v>
      </c>
      <c r="AI126" s="84">
        <f>IFERROR('Price History'!N3+(INDEX('Price History'!N:N,MATCH(9.99E+307,'Price History'!$A:$A))-'Price History'!N3)*(ROW()-3)/(MATCH(9.99E+307,'Returns (Calc)'!$A:$A)-3),"")</f>
        <v>79.213584905660412</v>
      </c>
      <c r="AJ126" s="84">
        <f>IFERROR('Price History'!O3+(INDEX('Price History'!O:O,MATCH(9.99E+307,'Price History'!$A:$A))-'Price History'!O3)*(ROW()-3)/(MATCH(9.99E+307,'Returns (Calc)'!$A:$A)-3),"")</f>
        <v>18.758490566037736</v>
      </c>
      <c r="AK126" s="84">
        <f>IFERROR('Price History'!Q3+(INDEX('Price History'!Q:Q,MATCH(9.99E+307,'Price History'!$A:$A))-'Price History'!Q3)*(ROW()-3)/(MATCH(9.99E+307,'Returns (Calc)'!$A:$A)-3),"")</f>
        <v>11.284528301886795</v>
      </c>
      <c r="AL126" s="84">
        <f>IFERROR('Price History'!R3+(INDEX('Price History'!R:R,MATCH(9.99E+307,'Price History'!$A:$A))-'Price History'!R3)*(ROW()-3)/(MATCH(9.99E+307,'Returns (Calc)'!$A:$A)-3),"")</f>
        <v>10.827169811320758</v>
      </c>
      <c r="AM126" s="84">
        <f>IFERROR('Price History'!S3+(INDEX('Price History'!S:S,MATCH(9.99E+307,'Price History'!$A:$A))-'Price History'!S3)*(ROW()-3)/(MATCH(9.99E+307,'Returns (Calc)'!$A:$A)-3),"")</f>
        <v>13.25433962264151</v>
      </c>
      <c r="AN126" s="84">
        <f>IFERROR('Price History'!T3+(INDEX('Price History'!T:T,MATCH(9.99E+307,'Price History'!$A:$A))-'Price History'!T3)*(ROW()-3)/(MATCH(9.99E+307,'Returns (Calc)'!$A:$A)-3),"")</f>
        <v>6.0928301886792475</v>
      </c>
      <c r="AO126" s="85">
        <f>IFERROR('Price History'!V3+(INDEX('Price History'!V:V,MATCH(9.99E+307,'Price History'!$A:$A))-'Price History'!V3)*(ROW()-3)/(MATCH(9.99E+307,'Returns (Calc)'!$A:$A)-3),"")</f>
        <v>0</v>
      </c>
    </row>
    <row r="127" spans="1:41" ht="15" customHeight="1" x14ac:dyDescent="0.3">
      <c r="A127" s="81">
        <f>IF('Price History'!A128="","",'Price History'!A128)</f>
        <v>46024</v>
      </c>
      <c r="B127" s="82">
        <f>IFERROR(IF(OR(NOT(ISNUMBER('Price History'!B128)),NOT(ISNUMBER('Price History'!B127)),'Price History'!B127=0),"",'Price History'!B128/'Price History'!B127-1),"")</f>
        <v>-5.7942340305257245E-2</v>
      </c>
      <c r="C127" s="82">
        <f>IFERROR(IF(OR(NOT(ISNUMBER('Price History'!C128)),NOT(ISNUMBER('Price History'!C127)),'Price History'!C127=0),"",'Price History'!C128/'Price History'!C127-1),"")</f>
        <v>1.3349514563106624E-2</v>
      </c>
      <c r="D127" s="82">
        <f>IFERROR(IF(OR(NOT(ISNUMBER('Price History'!D128)),NOT(ISNUMBER('Price History'!D127)),'Price History'!D127=0),"",'Price History'!D128/'Price History'!D127-1),"")</f>
        <v>8.4856676765322714E-2</v>
      </c>
      <c r="E127" s="82">
        <f>IFERROR(IF(OR(NOT(ISNUMBER('Price History'!E128)),NOT(ISNUMBER('Price History'!E127)),'Price History'!E127=0),"",'Price History'!E128/'Price History'!E127-1),"")</f>
        <v>-1.2807769857723028E-2</v>
      </c>
      <c r="F127" s="82">
        <f>IFERROR(IF(OR(NOT(ISNUMBER('Price History'!F128)),NOT(ISNUMBER('Price History'!F127)),'Price History'!F127=0),"",'Price History'!F128/'Price History'!F127-1),"")</f>
        <v>-5.7356608478802973E-2</v>
      </c>
      <c r="G127" s="82">
        <f>IFERROR(IF(OR(NOT(ISNUMBER('Price History'!G128)),NOT(ISNUMBER('Price History'!G127)),'Price History'!G127=0),"",'Price History'!G128/'Price History'!G127-1),"")</f>
        <v>-3.9856205064081607E-3</v>
      </c>
      <c r="H127" s="82">
        <f>IFERROR(IF(OR(NOT(ISNUMBER('Price History'!H128)),NOT(ISNUMBER('Price History'!H127)),'Price History'!H127=0),"",'Price History'!H128/'Price History'!H127-1),"")</f>
        <v>0.10755293374065089</v>
      </c>
      <c r="I127" s="82">
        <f>IFERROR(IF(OR(NOT(ISNUMBER('Price History'!I128)),NOT(ISNUMBER('Price History'!I127)),'Price History'!I127=0),"",'Price History'!I128/'Price History'!I127-1),"")</f>
        <v>-8.817509053692385E-3</v>
      </c>
      <c r="J127" s="82">
        <f>IFERROR(IF(OR(NOT(ISNUMBER('Price History'!J128)),NOT(ISNUMBER('Price History'!J127)),'Price History'!J127=0),"",'Price History'!J128/'Price History'!J127-1),"")</f>
        <v>2.6415973894802214E-3</v>
      </c>
      <c r="K127" s="82">
        <f>IFERROR(IF(OR(NOT(ISNUMBER('Price History'!K128)),NOT(ISNUMBER('Price History'!K127)),'Price History'!K127=0),"",'Price History'!K128/'Price History'!K127-1),"")</f>
        <v>-0.1104869906205288</v>
      </c>
      <c r="L127" s="82">
        <f>IFERROR(IF(OR(NOT(ISNUMBER('Price History'!L128)),NOT(ISNUMBER('Price History'!L127)),'Price History'!L127=0),"",'Price History'!L128/'Price History'!L127-1),"")</f>
        <v>5.5375775987320131E-2</v>
      </c>
      <c r="M127" s="82">
        <f>IFERROR(IF(OR(NOT(ISNUMBER('Price History'!M128)),NOT(ISNUMBER('Price History'!M127)),'Price History'!M127=0),"",'Price History'!M128/'Price History'!M127-1),"")</f>
        <v>4.7917412579066676E-2</v>
      </c>
      <c r="N127" s="82">
        <f>IFERROR(IF(OR(NOT(ISNUMBER('Price History'!N128)),NOT(ISNUMBER('Price History'!N127)),'Price History'!N127=0),"",'Price History'!N128/'Price History'!N127-1),"")</f>
        <v>-2.326636422553463E-2</v>
      </c>
      <c r="O127" s="82">
        <f>IFERROR(IF(OR(NOT(ISNUMBER('Price History'!O128)),NOT(ISNUMBER('Price History'!O127)),'Price History'!O127=0),"",'Price History'!O128/'Price History'!O127-1),"")</f>
        <v>-5.4971549811938525E-3</v>
      </c>
      <c r="P127" s="82" t="str">
        <f>IFERROR(IF(OR(NOT(ISNUMBER('Price History'!P128)),NOT(ISNUMBER('Price History'!P127)),'Price History'!P127=0),"",'Price History'!P128/'Price History'!P127-1),"")</f>
        <v/>
      </c>
      <c r="Q127" s="82">
        <f>IFERROR(IF(OR(NOT(ISNUMBER('Price History'!Q128)),NOT(ISNUMBER('Price History'!Q127)),'Price History'!Q127=0),"",'Price History'!Q128/'Price History'!Q127-1),"")</f>
        <v>6.9100195283162691E-3</v>
      </c>
      <c r="R127" s="82">
        <f>IFERROR(IF(OR(NOT(ISNUMBER('Price History'!R128)),NOT(ISNUMBER('Price History'!R127)),'Price History'!R127=0),"",'Price History'!R128/'Price History'!R127-1),"")</f>
        <v>-2.1065048870913428E-2</v>
      </c>
      <c r="S127" s="82">
        <f>IFERROR(IF(OR(NOT(ISNUMBER('Price History'!S128)),NOT(ISNUMBER('Price History'!S127)),'Price History'!S127=0),"",'Price History'!S128/'Price History'!S127-1),"")</f>
        <v>-1.4087988136430973E-2</v>
      </c>
      <c r="T127" s="82">
        <f>IFERROR(IF(OR(NOT(ISNUMBER('Price History'!T128)),NOT(ISNUMBER('Price History'!T127)),'Price History'!T127=0),"",'Price History'!T128/'Price History'!T127-1),"")</f>
        <v>-9.2988187986930981E-3</v>
      </c>
      <c r="U127" s="82" t="str">
        <f>IFERROR(IF(OR(NOT(ISNUMBER('Price History'!U128)),NOT(ISNUMBER('Price History'!U127)),'Price History'!U127=0),"",'Price History'!U128/'Price History'!U127-1),"")</f>
        <v/>
      </c>
      <c r="V127" s="83">
        <f>IFERROR(IF(OR(NOT(ISNUMBER('Price History'!V128)),NOT(ISNUMBER('Price History'!V127)),'Price History'!V127=0),"",'Price History'!V128/'Price History'!V127-1),"")</f>
        <v>-2.4002493765585942E-2</v>
      </c>
      <c r="W127" s="84" t="str">
        <f>IFERROR('Price History'!B3+(INDEX('Price History'!B:B,MATCH(9.99E+307,'Price History'!$A:$A))-'Price History'!B3)*(ROW()-3)/(MATCH(9.99E+307,'Returns (Calc)'!$A:$A)-3),"")</f>
        <v/>
      </c>
      <c r="X127" s="84">
        <f>IFERROR('Price History'!C3+(INDEX('Price History'!C:C,MATCH(9.99E+307,'Price History'!$A:$A))-'Price History'!C3)*(ROW()-3)/(MATCH(9.99E+307,'Returns (Calc)'!$A:$A)-3),"")</f>
        <v>9.6283018867924568</v>
      </c>
      <c r="Y127" s="84">
        <f>IFERROR('Price History'!D3+(INDEX('Price History'!D:D,MATCH(9.99E+307,'Price History'!$A:$A))-'Price History'!D3)*(ROW()-3)/(MATCH(9.99E+307,'Returns (Calc)'!$A:$A)-3),"")</f>
        <v>145.67484276729556</v>
      </c>
      <c r="Z127" s="84">
        <f>IFERROR('Price History'!E3+(INDEX('Price History'!E:E,MATCH(9.99E+307,'Price History'!$A:$A))-'Price History'!E3)*(ROW()-3)/(MATCH(9.99E+307,'Returns (Calc)'!$A:$A)-3),"")</f>
        <v>18.266037735849054</v>
      </c>
      <c r="AA127" s="84">
        <f>IFERROR('Price History'!F3+(INDEX('Price History'!F:F,MATCH(9.99E+307,'Price History'!$A:$A))-'Price History'!F3)*(ROW()-3)/(MATCH(9.99E+307,'Returns (Calc)'!$A:$A)-3),"")</f>
        <v>8.1578616352201259</v>
      </c>
      <c r="AB127" s="84">
        <f>IFERROR('Price History'!G3+(INDEX('Price History'!G:G,MATCH(9.99E+307,'Price History'!$A:$A))-'Price History'!G3)*(ROW()-3)/(MATCH(9.99E+307,'Returns (Calc)'!$A:$A)-3),"")</f>
        <v>10.54402515723271</v>
      </c>
      <c r="AC127" s="84">
        <f>IFERROR('Price History'!H3+(INDEX('Price History'!H:H,MATCH(9.99E+307,'Price History'!$A:$A))-'Price History'!H3)*(ROW()-3)/(MATCH(9.99E+307,'Returns (Calc)'!$A:$A)-3),"")</f>
        <v>14.169496855345912</v>
      </c>
      <c r="AD127" s="84">
        <f>IFERROR('Price History'!I3+(INDEX('Price History'!I:I,MATCH(9.99E+307,'Price History'!$A:$A))-'Price History'!I3)*(ROW()-3)/(MATCH(9.99E+307,'Returns (Calc)'!$A:$A)-3),"")</f>
        <v>8.9921383647798727</v>
      </c>
      <c r="AE127" s="84">
        <f>IFERROR('Price History'!J3+(INDEX('Price History'!J:J,MATCH(9.99E+307,'Price History'!$A:$A))-'Price History'!J3)*(ROW()-3)/(MATCH(9.99E+307,'Returns (Calc)'!$A:$A)-3),"")</f>
        <v>27.187735849056608</v>
      </c>
      <c r="AF127" s="84">
        <f>IFERROR('Price History'!K3+(INDEX('Price History'!K:K,MATCH(9.99E+307,'Price History'!$A:$A))-'Price History'!K3)*(ROW()-3)/(MATCH(9.99E+307,'Returns (Calc)'!$A:$A)-3),"")</f>
        <v>3.3921383647798748</v>
      </c>
      <c r="AG127" s="84">
        <f>IFERROR('Price History'!L3+(INDEX('Price History'!L:L,MATCH(9.99E+307,'Price History'!$A:$A))-'Price History'!L3)*(ROW()-3)/(MATCH(9.99E+307,'Returns (Calc)'!$A:$A)-3),"")</f>
        <v>20.249371069182388</v>
      </c>
      <c r="AH127" s="84">
        <f>IFERROR('Price History'!M3+(INDEX('Price History'!M:M,MATCH(9.99E+307,'Price History'!$A:$A))-'Price History'!M3)*(ROW()-3)/(MATCH(9.99E+307,'Returns (Calc)'!$A:$A)-3),"")</f>
        <v>7.3764150943396203</v>
      </c>
      <c r="AI127" s="84">
        <f>IFERROR('Price History'!N3+(INDEX('Price History'!N:N,MATCH(9.99E+307,'Price History'!$A:$A))-'Price History'!N3)*(ROW()-3)/(MATCH(9.99E+307,'Returns (Calc)'!$A:$A)-3),"")</f>
        <v>77.013207547169827</v>
      </c>
      <c r="AJ127" s="84">
        <f>IFERROR('Price History'!O3+(INDEX('Price History'!O:O,MATCH(9.99E+307,'Price History'!$A:$A))-'Price History'!O3)*(ROW()-3)/(MATCH(9.99E+307,'Returns (Calc)'!$A:$A)-3),"")</f>
        <v>18.237421383647799</v>
      </c>
      <c r="AK127" s="84">
        <f>IFERROR('Price History'!Q3+(INDEX('Price History'!Q:Q,MATCH(9.99E+307,'Price History'!$A:$A))-'Price History'!Q3)*(ROW()-3)/(MATCH(9.99E+307,'Returns (Calc)'!$A:$A)-3),"")</f>
        <v>10.971069182389932</v>
      </c>
      <c r="AL127" s="84">
        <f>IFERROR('Price History'!R3+(INDEX('Price History'!R:R,MATCH(9.99E+307,'Price History'!$A:$A))-'Price History'!R3)*(ROW()-3)/(MATCH(9.99E+307,'Returns (Calc)'!$A:$A)-3),"")</f>
        <v>10.526415094339619</v>
      </c>
      <c r="AM127" s="84">
        <f>IFERROR('Price History'!S3+(INDEX('Price History'!S:S,MATCH(9.99E+307,'Price History'!$A:$A))-'Price History'!S3)*(ROW()-3)/(MATCH(9.99E+307,'Returns (Calc)'!$A:$A)-3),"")</f>
        <v>12.886163522012581</v>
      </c>
      <c r="AN127" s="84">
        <f>IFERROR('Price History'!T3+(INDEX('Price History'!T:T,MATCH(9.99E+307,'Price History'!$A:$A))-'Price History'!T3)*(ROW()-3)/(MATCH(9.99E+307,'Returns (Calc)'!$A:$A)-3),"")</f>
        <v>5.9235849056603769</v>
      </c>
      <c r="AO127" s="85">
        <f>IFERROR('Price History'!V3+(INDEX('Price History'!V:V,MATCH(9.99E+307,'Price History'!$A:$A))-'Price History'!V3)*(ROW()-3)/(MATCH(9.99E+307,'Returns (Calc)'!$A:$A)-3),"")</f>
        <v>0</v>
      </c>
    </row>
    <row r="128" spans="1:41" ht="15" customHeight="1" x14ac:dyDescent="0.3">
      <c r="A128" s="81">
        <f>IF('Price History'!A129="","",'Price History'!A129)</f>
        <v>46031</v>
      </c>
      <c r="B128" s="82">
        <f>IFERROR(IF(OR(NOT(ISNUMBER('Price History'!B129)),NOT(ISNUMBER('Price History'!B128)),'Price History'!B128=0),"",'Price History'!B129/'Price History'!B128-1),"")</f>
        <v>1.950195019501777E-3</v>
      </c>
      <c r="C128" s="82">
        <f>IFERROR(IF(OR(NOT(ISNUMBER('Price History'!C129)),NOT(ISNUMBER('Price History'!C128)),'Price History'!C128=0),"",'Price History'!C129/'Price History'!C128-1),"")</f>
        <v>-8.0164670658682602E-2</v>
      </c>
      <c r="D128" s="82">
        <f>IFERROR(IF(OR(NOT(ISNUMBER('Price History'!D129)),NOT(ISNUMBER('Price History'!D128)),'Price History'!D128=0),"",'Price History'!D129/'Price History'!D128-1),"")</f>
        <v>9.4605509632404772E-2</v>
      </c>
      <c r="E128" s="82">
        <f>IFERROR(IF(OR(NOT(ISNUMBER('Price History'!E129)),NOT(ISNUMBER('Price History'!E128)),'Price History'!E128=0),"",'Price History'!E129/'Price History'!E128-1),"")</f>
        <v>-7.6232667855703484E-3</v>
      </c>
      <c r="F128" s="82">
        <f>IFERROR(IF(OR(NOT(ISNUMBER('Price History'!F129)),NOT(ISNUMBER('Price History'!F128)),'Price History'!F128=0),"",'Price History'!F129/'Price History'!F128-1),"")</f>
        <v>3.7477954144620851E-2</v>
      </c>
      <c r="G128" s="82">
        <f>IFERROR(IF(OR(NOT(ISNUMBER('Price History'!G129)),NOT(ISNUMBER('Price History'!G128)),'Price History'!G128=0),"",'Price History'!G129/'Price History'!G128-1),"")</f>
        <v>9.8469988230678762E-2</v>
      </c>
      <c r="H128" s="82">
        <f>IFERROR(IF(OR(NOT(ISNUMBER('Price History'!H129)),NOT(ISNUMBER('Price History'!H128)),'Price History'!H128=0),"",'Price History'!H129/'Price History'!H128-1),"")</f>
        <v>9.4065056115655077E-2</v>
      </c>
      <c r="I128" s="82">
        <f>IFERROR(IF(OR(NOT(ISNUMBER('Price History'!I129)),NOT(ISNUMBER('Price History'!I128)),'Price History'!I128=0),"",'Price History'!I129/'Price History'!I128-1),"")</f>
        <v>-2.1127879269261185E-2</v>
      </c>
      <c r="J128" s="82">
        <f>IFERROR(IF(OR(NOT(ISNUMBER('Price History'!J129)),NOT(ISNUMBER('Price History'!J128)),'Price History'!J128=0),"",'Price History'!J129/'Price History'!J128-1),"")</f>
        <v>2.7121270825261057E-3</v>
      </c>
      <c r="K128" s="82">
        <f>IFERROR(IF(OR(NOT(ISNUMBER('Price History'!K129)),NOT(ISNUMBER('Price History'!K128)),'Price History'!K128=0),"",'Price History'!K129/'Price History'!K128-1),"")</f>
        <v>5.7369236268318913E-2</v>
      </c>
      <c r="L128" s="82">
        <f>IFERROR(IF(OR(NOT(ISNUMBER('Price History'!L129)),NOT(ISNUMBER('Price History'!L128)),'Price History'!L128=0),"",'Price History'!L129/'Price History'!L128-1),"")</f>
        <v>1.2577829229373227E-2</v>
      </c>
      <c r="M128" s="82">
        <f>IFERROR(IF(OR(NOT(ISNUMBER('Price History'!M129)),NOT(ISNUMBER('Price History'!M128)),'Price History'!M128=0),"",'Price History'!M129/'Price History'!M128-1),"")</f>
        <v>-6.85040715221229E-2</v>
      </c>
      <c r="N128" s="82">
        <f>IFERROR(IF(OR(NOT(ISNUMBER('Price History'!N129)),NOT(ISNUMBER('Price History'!N128)),'Price History'!N128=0),"",'Price History'!N129/'Price History'!N128-1),"")</f>
        <v>2.5943865702342306E-2</v>
      </c>
      <c r="O128" s="82">
        <f>IFERROR(IF(OR(NOT(ISNUMBER('Price History'!O129)),NOT(ISNUMBER('Price History'!O128)),'Price History'!O128=0),"",'Price History'!O129/'Price History'!O128-1),"")</f>
        <v>4.082622187742424E-2</v>
      </c>
      <c r="P128" s="82" t="str">
        <f>IFERROR(IF(OR(NOT(ISNUMBER('Price History'!P129)),NOT(ISNUMBER('Price History'!P128)),'Price History'!P128=0),"",'Price History'!P129/'Price History'!P128-1),"")</f>
        <v/>
      </c>
      <c r="Q128" s="82">
        <f>IFERROR(IF(OR(NOT(ISNUMBER('Price History'!Q129)),NOT(ISNUMBER('Price History'!Q128)),'Price History'!Q128=0),"",'Price History'!Q129/'Price History'!Q128-1),"")</f>
        <v>-5.8182903177681489E-3</v>
      </c>
      <c r="R128" s="82">
        <f>IFERROR(IF(OR(NOT(ISNUMBER('Price History'!R129)),NOT(ISNUMBER('Price History'!R128)),'Price History'!R128=0),"",'Price History'!R129/'Price History'!R128-1),"")</f>
        <v>1.8419693578929142E-2</v>
      </c>
      <c r="S128" s="82">
        <f>IFERROR(IF(OR(NOT(ISNUMBER('Price History'!S129)),NOT(ISNUMBER('Price History'!S128)),'Price History'!S128=0),"",'Price History'!S129/'Price History'!S128-1),"")</f>
        <v>3.0082727500626572E-3</v>
      </c>
      <c r="T128" s="82">
        <f>IFERROR(IF(OR(NOT(ISNUMBER('Price History'!T129)),NOT(ISNUMBER('Price History'!T128)),'Price History'!T128=0),"",'Price History'!T129/'Price History'!T128-1),"")</f>
        <v>2.5621511922881757E-2</v>
      </c>
      <c r="U128" s="82" t="str">
        <f>IFERROR(IF(OR(NOT(ISNUMBER('Price History'!U129)),NOT(ISNUMBER('Price History'!U128)),'Price History'!U128=0),"",'Price History'!U129/'Price History'!U128-1),"")</f>
        <v/>
      </c>
      <c r="V128" s="83">
        <f>IFERROR(IF(OR(NOT(ISNUMBER('Price History'!V129)),NOT(ISNUMBER('Price History'!V128)),'Price History'!V128=0),"",'Price History'!V129/'Price History'!V128-1),"")</f>
        <v>9.4944978368805E-3</v>
      </c>
      <c r="W128" s="84" t="str">
        <f>IFERROR('Price History'!B3+(INDEX('Price History'!B:B,MATCH(9.99E+307,'Price History'!$A:$A))-'Price History'!B3)*(ROW()-3)/(MATCH(9.99E+307,'Returns (Calc)'!$A:$A)-3),"")</f>
        <v/>
      </c>
      <c r="X128" s="84">
        <f>IFERROR('Price History'!C3+(INDEX('Price History'!C:C,MATCH(9.99E+307,'Price History'!$A:$A))-'Price History'!C3)*(ROW()-3)/(MATCH(9.99E+307,'Returns (Calc)'!$A:$A)-3),"")</f>
        <v>9.3532075471698164</v>
      </c>
      <c r="Y128" s="84">
        <f>IFERROR('Price History'!D3+(INDEX('Price History'!D:D,MATCH(9.99E+307,'Price History'!$A:$A))-'Price History'!D3)*(ROW()-3)/(MATCH(9.99E+307,'Returns (Calc)'!$A:$A)-3),"")</f>
        <v>141.51270440251574</v>
      </c>
      <c r="Z128" s="84">
        <f>IFERROR('Price History'!E3+(INDEX('Price History'!E:E,MATCH(9.99E+307,'Price History'!$A:$A))-'Price History'!E3)*(ROW()-3)/(MATCH(9.99E+307,'Returns (Calc)'!$A:$A)-3),"")</f>
        <v>17.744150943396235</v>
      </c>
      <c r="AA128" s="84">
        <f>IFERROR('Price History'!F3+(INDEX('Price History'!F:F,MATCH(9.99E+307,'Price History'!$A:$A))-'Price History'!F3)*(ROW()-3)/(MATCH(9.99E+307,'Returns (Calc)'!$A:$A)-3),"")</f>
        <v>7.92477987421384</v>
      </c>
      <c r="AB128" s="84">
        <f>IFERROR('Price History'!G3+(INDEX('Price History'!G:G,MATCH(9.99E+307,'Price History'!$A:$A))-'Price History'!G3)*(ROW()-3)/(MATCH(9.99E+307,'Returns (Calc)'!$A:$A)-3),"")</f>
        <v>10.242767295597481</v>
      </c>
      <c r="AC128" s="84">
        <f>IFERROR('Price History'!H3+(INDEX('Price History'!H:H,MATCH(9.99E+307,'Price History'!$A:$A))-'Price History'!H3)*(ROW()-3)/(MATCH(9.99E+307,'Returns (Calc)'!$A:$A)-3),"")</f>
        <v>13.764654088050314</v>
      </c>
      <c r="AD128" s="84">
        <f>IFERROR('Price History'!I3+(INDEX('Price History'!I:I,MATCH(9.99E+307,'Price History'!$A:$A))-'Price History'!I3)*(ROW()-3)/(MATCH(9.99E+307,'Returns (Calc)'!$A:$A)-3),"")</f>
        <v>8.7352201257861637</v>
      </c>
      <c r="AE128" s="84">
        <f>IFERROR('Price History'!J3+(INDEX('Price History'!J:J,MATCH(9.99E+307,'Price History'!$A:$A))-'Price History'!J3)*(ROW()-3)/(MATCH(9.99E+307,'Returns (Calc)'!$A:$A)-3),"")</f>
        <v>26.410943396226415</v>
      </c>
      <c r="AF128" s="84">
        <f>IFERROR('Price History'!K3+(INDEX('Price History'!K:K,MATCH(9.99E+307,'Price History'!$A:$A))-'Price History'!K3)*(ROW()-3)/(MATCH(9.99E+307,'Returns (Calc)'!$A:$A)-3),"")</f>
        <v>3.2952201257861642</v>
      </c>
      <c r="AG128" s="84">
        <f>IFERROR('Price History'!L3+(INDEX('Price History'!L:L,MATCH(9.99E+307,'Price History'!$A:$A))-'Price History'!L3)*(ROW()-3)/(MATCH(9.99E+307,'Returns (Calc)'!$A:$A)-3),"")</f>
        <v>19.670817610062883</v>
      </c>
      <c r="AH128" s="84">
        <f>IFERROR('Price History'!M3+(INDEX('Price History'!M:M,MATCH(9.99E+307,'Price History'!$A:$A))-'Price History'!M3)*(ROW()-3)/(MATCH(9.99E+307,'Returns (Calc)'!$A:$A)-3),"")</f>
        <v>7.1656603773584884</v>
      </c>
      <c r="AI128" s="84">
        <f>IFERROR('Price History'!N3+(INDEX('Price History'!N:N,MATCH(9.99E+307,'Price History'!$A:$A))-'Price History'!N3)*(ROW()-3)/(MATCH(9.99E+307,'Returns (Calc)'!$A:$A)-3),"")</f>
        <v>74.812830188679243</v>
      </c>
      <c r="AJ128" s="84">
        <f>IFERROR('Price History'!O3+(INDEX('Price History'!O:O,MATCH(9.99E+307,'Price History'!$A:$A))-'Price History'!O3)*(ROW()-3)/(MATCH(9.99E+307,'Returns (Calc)'!$A:$A)-3),"")</f>
        <v>17.716352201257862</v>
      </c>
      <c r="AK128" s="84">
        <f>IFERROR('Price History'!Q3+(INDEX('Price History'!Q:Q,MATCH(9.99E+307,'Price History'!$A:$A))-'Price History'!Q3)*(ROW()-3)/(MATCH(9.99E+307,'Returns (Calc)'!$A:$A)-3),"")</f>
        <v>10.657610062893085</v>
      </c>
      <c r="AL128" s="84">
        <f>IFERROR('Price History'!R3+(INDEX('Price History'!R:R,MATCH(9.99E+307,'Price History'!$A:$A))-'Price History'!R3)*(ROW()-3)/(MATCH(9.99E+307,'Returns (Calc)'!$A:$A)-3),"")</f>
        <v>10.225660377358494</v>
      </c>
      <c r="AM128" s="84">
        <f>IFERROR('Price History'!S3+(INDEX('Price History'!S:S,MATCH(9.99E+307,'Price History'!$A:$A))-'Price History'!S3)*(ROW()-3)/(MATCH(9.99E+307,'Returns (Calc)'!$A:$A)-3),"")</f>
        <v>12.517987421383644</v>
      </c>
      <c r="AN128" s="84">
        <f>IFERROR('Price History'!T3+(INDEX('Price History'!T:T,MATCH(9.99E+307,'Price History'!$A:$A))-'Price History'!T3)*(ROW()-3)/(MATCH(9.99E+307,'Returns (Calc)'!$A:$A)-3),"")</f>
        <v>5.7543396226415098</v>
      </c>
      <c r="AO128" s="85">
        <f>IFERROR('Price History'!V3+(INDEX('Price History'!V:V,MATCH(9.99E+307,'Price History'!$A:$A))-'Price History'!V3)*(ROW()-3)/(MATCH(9.99E+307,'Returns (Calc)'!$A:$A)-3),"")</f>
        <v>0</v>
      </c>
    </row>
    <row r="129" spans="1:41" ht="15" customHeight="1" x14ac:dyDescent="0.3">
      <c r="A129" s="81">
        <f>IF('Price History'!A130="","",'Price History'!A130)</f>
        <v>46038</v>
      </c>
      <c r="B129" s="82">
        <f>IFERROR(IF(OR(NOT(ISNUMBER('Price History'!B130)),NOT(ISNUMBER('Price History'!B129)),'Price History'!B129=0),"",'Price History'!B130/'Price History'!B129-1),"")</f>
        <v>-0.11328043120227571</v>
      </c>
      <c r="C129" s="82">
        <f>IFERROR(IF(OR(NOT(ISNUMBER('Price History'!C130)),NOT(ISNUMBER('Price History'!C129)),'Price History'!C129=0),"",'Price History'!C130/'Price History'!C129-1),"")</f>
        <v>5.6473268776955132E-2</v>
      </c>
      <c r="D129" s="82">
        <f>IFERROR(IF(OR(NOT(ISNUMBER('Price History'!D130)),NOT(ISNUMBER('Price History'!D129)),'Price History'!D129=0),"",'Price History'!D130/'Price History'!D129-1),"")</f>
        <v>6.6481929224102565E-2</v>
      </c>
      <c r="E129" s="82">
        <f>IFERROR(IF(OR(NOT(ISNUMBER('Price History'!E130)),NOT(ISNUMBER('Price History'!E129)),'Price History'!E129=0),"",'Price History'!E130/'Price History'!E129-1),"")</f>
        <v>1.953793083456512E-2</v>
      </c>
      <c r="F129" s="82">
        <f>IFERROR(IF(OR(NOT(ISNUMBER('Price History'!F130)),NOT(ISNUMBER('Price History'!F129)),'Price History'!F129=0),"",'Price History'!F130/'Price History'!F129-1),"")</f>
        <v>-3.5529111772205746E-2</v>
      </c>
      <c r="G129" s="82">
        <f>IFERROR(IF(OR(NOT(ISNUMBER('Price History'!G130)),NOT(ISNUMBER('Price History'!G129)),'Price History'!G129=0),"",'Price History'!G130/'Price History'!G129-1),"")</f>
        <v>0.11985714285714288</v>
      </c>
      <c r="H129" s="82">
        <f>IFERROR(IF(OR(NOT(ISNUMBER('Price History'!H130)),NOT(ISNUMBER('Price History'!H129)),'Price History'!H129=0),"",'Price History'!H130/'Price History'!H129-1),"")</f>
        <v>5.1175055782549661E-2</v>
      </c>
      <c r="I129" s="82">
        <f>IFERROR(IF(OR(NOT(ISNUMBER('Price History'!I130)),NOT(ISNUMBER('Price History'!I129)),'Price History'!I129=0),"",'Price History'!I130/'Price History'!I129-1),"")</f>
        <v>7.4110137401275367E-3</v>
      </c>
      <c r="J129" s="82">
        <f>IFERROR(IF(OR(NOT(ISNUMBER('Price History'!J130)),NOT(ISNUMBER('Price History'!J129)),'Price History'!J129=0),"",'Price History'!J130/'Price History'!J129-1),"")</f>
        <v>2.9443585780525527E-2</v>
      </c>
      <c r="K129" s="82">
        <f>IFERROR(IF(OR(NOT(ISNUMBER('Price History'!K130)),NOT(ISNUMBER('Price History'!K129)),'Price History'!K129=0),"",'Price History'!K130/'Price History'!K129-1),"")</f>
        <v>-3.6790805115781144E-2</v>
      </c>
      <c r="L129" s="82">
        <f>IFERROR(IF(OR(NOT(ISNUMBER('Price History'!L130)),NOT(ISNUMBER('Price History'!L129)),'Price History'!L129=0),"",'Price History'!L130/'Price History'!L129-1),"")</f>
        <v>5.7998331427865146E-2</v>
      </c>
      <c r="M129" s="82">
        <f>IFERROR(IF(OR(NOT(ISNUMBER('Price History'!M130)),NOT(ISNUMBER('Price History'!M129)),'Price History'!M129=0),"",'Price History'!M130/'Price History'!M129-1),"")</f>
        <v>8.1611443941802086E-2</v>
      </c>
      <c r="N129" s="82">
        <f>IFERROR(IF(OR(NOT(ISNUMBER('Price History'!N130)),NOT(ISNUMBER('Price History'!N129)),'Price History'!N129=0),"",'Price History'!N130/'Price History'!N129-1),"")</f>
        <v>-4.8506014745828496E-2</v>
      </c>
      <c r="O129" s="82">
        <f>IFERROR(IF(OR(NOT(ISNUMBER('Price History'!O130)),NOT(ISNUMBER('Price History'!O129)),'Price History'!O129=0),"",'Price History'!O130/'Price History'!O129-1),"")</f>
        <v>1.0994130252492296E-2</v>
      </c>
      <c r="P129" s="82" t="str">
        <f>IFERROR(IF(OR(NOT(ISNUMBER('Price History'!P130)),NOT(ISNUMBER('Price History'!P129)),'Price History'!P129=0),"",'Price History'!P130/'Price History'!P129-1),"")</f>
        <v/>
      </c>
      <c r="Q129" s="82">
        <f>IFERROR(IF(OR(NOT(ISNUMBER('Price History'!Q130)),NOT(ISNUMBER('Price History'!Q129)),'Price History'!Q129=0),"",'Price History'!Q130/'Price History'!Q129-1),"")</f>
        <v>-1.1254501800720296E-2</v>
      </c>
      <c r="R129" s="82">
        <f>IFERROR(IF(OR(NOT(ISNUMBER('Price History'!R130)),NOT(ISNUMBER('Price History'!R129)),'Price History'!R129=0),"",'Price History'!R130/'Price History'!R129-1),"")</f>
        <v>-4.0567951318457585E-3</v>
      </c>
      <c r="S129" s="82">
        <f>IFERROR(IF(OR(NOT(ISNUMBER('Price History'!S130)),NOT(ISNUMBER('Price History'!S129)),'Price History'!S129=0),"",'Price History'!S130/'Price History'!S129-1),"")</f>
        <v>-2.4993751562107924E-4</v>
      </c>
      <c r="T129" s="82">
        <f>IFERROR(IF(OR(NOT(ISNUMBER('Price History'!T130)),NOT(ISNUMBER('Price History'!T129)),'Price History'!T129=0),"",'Price History'!T130/'Price History'!T129-1),"")</f>
        <v>-2.0281968835023534E-2</v>
      </c>
      <c r="U129" s="82" t="str">
        <f>IFERROR(IF(OR(NOT(ISNUMBER('Price History'!U130)),NOT(ISNUMBER('Price History'!U129)),'Price History'!U129=0),"",'Price History'!U130/'Price History'!U129-1),"")</f>
        <v/>
      </c>
      <c r="V129" s="83">
        <f>IFERROR(IF(OR(NOT(ISNUMBER('Price History'!V130)),NOT(ISNUMBER('Price History'!V129)),'Price History'!V129=0),"",'Price History'!V130/'Price History'!V129-1),"")</f>
        <v>-6.1378278877128434E-2</v>
      </c>
      <c r="W129" s="84" t="str">
        <f>IFERROR('Price History'!B3+(INDEX('Price History'!B:B,MATCH(9.99E+307,'Price History'!$A:$A))-'Price History'!B3)*(ROW()-3)/(MATCH(9.99E+307,'Returns (Calc)'!$A:$A)-3),"")</f>
        <v/>
      </c>
      <c r="X129" s="84">
        <f>IFERROR('Price History'!C3+(INDEX('Price History'!C:C,MATCH(9.99E+307,'Price History'!$A:$A))-'Price History'!C3)*(ROW()-3)/(MATCH(9.99E+307,'Returns (Calc)'!$A:$A)-3),"")</f>
        <v>9.0781132075471689</v>
      </c>
      <c r="Y129" s="84">
        <f>IFERROR('Price History'!D3+(INDEX('Price History'!D:D,MATCH(9.99E+307,'Price History'!$A:$A))-'Price History'!D3)*(ROW()-3)/(MATCH(9.99E+307,'Returns (Calc)'!$A:$A)-3),"")</f>
        <v>137.3505660377358</v>
      </c>
      <c r="Z129" s="84">
        <f>IFERROR('Price History'!E3+(INDEX('Price History'!E:E,MATCH(9.99E+307,'Price History'!$A:$A))-'Price History'!E3)*(ROW()-3)/(MATCH(9.99E+307,'Returns (Calc)'!$A:$A)-3),"")</f>
        <v>17.222264150943388</v>
      </c>
      <c r="AA129" s="84">
        <f>IFERROR('Price History'!F3+(INDEX('Price History'!F:F,MATCH(9.99E+307,'Price History'!$A:$A))-'Price History'!F3)*(ROW()-3)/(MATCH(9.99E+307,'Returns (Calc)'!$A:$A)-3),"")</f>
        <v>7.691698113207547</v>
      </c>
      <c r="AB129" s="84">
        <f>IFERROR('Price History'!G3+(INDEX('Price History'!G:G,MATCH(9.99E+307,'Price History'!$A:$A))-'Price History'!G3)*(ROW()-3)/(MATCH(9.99E+307,'Returns (Calc)'!$A:$A)-3),"")</f>
        <v>9.9415094339622669</v>
      </c>
      <c r="AC129" s="84">
        <f>IFERROR('Price History'!H3+(INDEX('Price History'!H:H,MATCH(9.99E+307,'Price History'!$A:$A))-'Price History'!H3)*(ROW()-3)/(MATCH(9.99E+307,'Returns (Calc)'!$A:$A)-3),"")</f>
        <v>13.359811320754716</v>
      </c>
      <c r="AD129" s="84">
        <f>IFERROR('Price History'!I3+(INDEX('Price History'!I:I,MATCH(9.99E+307,'Price History'!$A:$A))-'Price History'!I3)*(ROW()-3)/(MATCH(9.99E+307,'Returns (Calc)'!$A:$A)-3),"")</f>
        <v>8.4783018867924511</v>
      </c>
      <c r="AE129" s="84">
        <f>IFERROR('Price History'!J3+(INDEX('Price History'!J:J,MATCH(9.99E+307,'Price History'!$A:$A))-'Price History'!J3)*(ROW()-3)/(MATCH(9.99E+307,'Returns (Calc)'!$A:$A)-3),"")</f>
        <v>25.634150943396236</v>
      </c>
      <c r="AF129" s="84">
        <f>IFERROR('Price History'!K3+(INDEX('Price History'!K:K,MATCH(9.99E+307,'Price History'!$A:$A))-'Price History'!K3)*(ROW()-3)/(MATCH(9.99E+307,'Returns (Calc)'!$A:$A)-3),"")</f>
        <v>3.1983018867924518</v>
      </c>
      <c r="AG129" s="84">
        <f>IFERROR('Price History'!L3+(INDEX('Price History'!L:L,MATCH(9.99E+307,'Price History'!$A:$A))-'Price History'!L3)*(ROW()-3)/(MATCH(9.99E+307,'Returns (Calc)'!$A:$A)-3),"")</f>
        <v>19.092264150943393</v>
      </c>
      <c r="AH129" s="84">
        <f>IFERROR('Price History'!M3+(INDEX('Price History'!M:M,MATCH(9.99E+307,'Price History'!$A:$A))-'Price History'!M3)*(ROW()-3)/(MATCH(9.99E+307,'Returns (Calc)'!$A:$A)-3),"")</f>
        <v>6.95490566037736</v>
      </c>
      <c r="AI129" s="84">
        <f>IFERROR('Price History'!N3+(INDEX('Price History'!N:N,MATCH(9.99E+307,'Price History'!$A:$A))-'Price History'!N3)*(ROW()-3)/(MATCH(9.99E+307,'Returns (Calc)'!$A:$A)-3),"")</f>
        <v>72.612452830188715</v>
      </c>
      <c r="AJ129" s="84">
        <f>IFERROR('Price History'!O3+(INDEX('Price History'!O:O,MATCH(9.99E+307,'Price History'!$A:$A))-'Price History'!O3)*(ROW()-3)/(MATCH(9.99E+307,'Returns (Calc)'!$A:$A)-3),"")</f>
        <v>17.195283018867926</v>
      </c>
      <c r="AK129" s="84">
        <f>IFERROR('Price History'!Q3+(INDEX('Price History'!Q:Q,MATCH(9.99E+307,'Price History'!$A:$A))-'Price History'!Q3)*(ROW()-3)/(MATCH(9.99E+307,'Returns (Calc)'!$A:$A)-3),"")</f>
        <v>10.34415094339623</v>
      </c>
      <c r="AL129" s="84">
        <f>IFERROR('Price History'!R3+(INDEX('Price History'!R:R,MATCH(9.99E+307,'Price History'!$A:$A))-'Price History'!R3)*(ROW()-3)/(MATCH(9.99E+307,'Returns (Calc)'!$A:$A)-3),"")</f>
        <v>9.9249056603773624</v>
      </c>
      <c r="AM129" s="84">
        <f>IFERROR('Price History'!S3+(INDEX('Price History'!S:S,MATCH(9.99E+307,'Price History'!$A:$A))-'Price History'!S3)*(ROW()-3)/(MATCH(9.99E+307,'Returns (Calc)'!$A:$A)-3),"")</f>
        <v>12.149811320754715</v>
      </c>
      <c r="AN129" s="84">
        <f>IFERROR('Price History'!T3+(INDEX('Price History'!T:T,MATCH(9.99E+307,'Price History'!$A:$A))-'Price History'!T3)*(ROW()-3)/(MATCH(9.99E+307,'Returns (Calc)'!$A:$A)-3),"")</f>
        <v>5.5850943396226427</v>
      </c>
      <c r="AO129" s="85">
        <f>IFERROR('Price History'!V3+(INDEX('Price History'!V:V,MATCH(9.99E+307,'Price History'!$A:$A))-'Price History'!V3)*(ROW()-3)/(MATCH(9.99E+307,'Returns (Calc)'!$A:$A)-3),"")</f>
        <v>0</v>
      </c>
    </row>
    <row r="130" spans="1:41" ht="15" customHeight="1" x14ac:dyDescent="0.3">
      <c r="A130" s="81">
        <f>IF('Price History'!A131="","",'Price History'!A131)</f>
        <v>46045</v>
      </c>
      <c r="B130" s="82">
        <f>IFERROR(IF(OR(NOT(ISNUMBER('Price History'!B131)),NOT(ISNUMBER('Price History'!B130)),'Price History'!B130=0),"",'Price History'!B131/'Price History'!B130-1),"")</f>
        <v>1.6716196136701278E-2</v>
      </c>
      <c r="C130" s="82">
        <f>IFERROR(IF(OR(NOT(ISNUMBER('Price History'!C131)),NOT(ISNUMBER('Price History'!C130)),'Price History'!C130=0),"",'Price History'!C131/'Price History'!C130-1),"")</f>
        <v>5.0142494030655405E-2</v>
      </c>
      <c r="D130" s="82">
        <f>IFERROR(IF(OR(NOT(ISNUMBER('Price History'!D131)),NOT(ISNUMBER('Price History'!D130)),'Price History'!D130=0),"",'Price History'!D131/'Price History'!D130-1),"")</f>
        <v>2.2427994140898244E-2</v>
      </c>
      <c r="E130" s="82">
        <f>IFERROR(IF(OR(NOT(ISNUMBER('Price History'!E131)),NOT(ISNUMBER('Price History'!E130)),'Price History'!E130=0),"",'Price History'!E131/'Price History'!E130-1),"")</f>
        <v>-9.0017343834408958E-2</v>
      </c>
      <c r="F130" s="82">
        <f>IFERROR(IF(OR(NOT(ISNUMBER('Price History'!F131)),NOT(ISNUMBER('Price History'!F130)),'Price History'!F130=0),"",'Price History'!F131/'Price History'!F130-1),"")</f>
        <v>-3.0845157310301907E-3</v>
      </c>
      <c r="G130" s="82">
        <f>IFERROR(IF(OR(NOT(ISNUMBER('Price History'!G131)),NOT(ISNUMBER('Price History'!G130)),'Price History'!G130=0),"",'Price History'!G131/'Price History'!G130-1),"")</f>
        <v>-3.5081005230258921E-2</v>
      </c>
      <c r="H130" s="82">
        <f>IFERROR(IF(OR(NOT(ISNUMBER('Price History'!H131)),NOT(ISNUMBER('Price History'!H130)),'Price History'!H130=0),"",'Price History'!H131/'Price History'!H130-1),"")</f>
        <v>0.10172294968986906</v>
      </c>
      <c r="I130" s="82">
        <f>IFERROR(IF(OR(NOT(ISNUMBER('Price History'!I131)),NOT(ISNUMBER('Price History'!I130)),'Price History'!I130=0),"",'Price History'!I131/'Price History'!I130-1),"")</f>
        <v>7.7323739461956364E-3</v>
      </c>
      <c r="J130" s="82">
        <f>IFERROR(IF(OR(NOT(ISNUMBER('Price History'!J131)),NOT(ISNUMBER('Price History'!J130)),'Price History'!J130=0),"",'Price History'!J131/'Price History'!J130-1),"")</f>
        <v>-4.5492080174161065E-2</v>
      </c>
      <c r="K130" s="82">
        <f>IFERROR(IF(OR(NOT(ISNUMBER('Price History'!K131)),NOT(ISNUMBER('Price History'!K130)),'Price History'!K130=0),"",'Price History'!K131/'Price History'!K130-1),"")</f>
        <v>-7.9550772110436041E-3</v>
      </c>
      <c r="L130" s="82">
        <f>IFERROR(IF(OR(NOT(ISNUMBER('Price History'!L131)),NOT(ISNUMBER('Price History'!L130)),'Price History'!L130=0),"",'Price History'!L131/'Price History'!L130-1),"")</f>
        <v>-2.1991822429906493E-2</v>
      </c>
      <c r="M130" s="82">
        <f>IFERROR(IF(OR(NOT(ISNUMBER('Price History'!M131)),NOT(ISNUMBER('Price History'!M130)),'Price History'!M130=0),"",'Price History'!M131/'Price History'!M130-1),"")</f>
        <v>3.1424857288192998E-2</v>
      </c>
      <c r="N130" s="82">
        <f>IFERROR(IF(OR(NOT(ISNUMBER('Price History'!N131)),NOT(ISNUMBER('Price History'!N130)),'Price History'!N130=0),"",'Price History'!N131/'Price History'!N130-1),"")</f>
        <v>6.1287837592894689E-2</v>
      </c>
      <c r="O130" s="82">
        <f>IFERROR(IF(OR(NOT(ISNUMBER('Price History'!O131)),NOT(ISNUMBER('Price History'!O130)),'Price History'!O130=0),"",'Price History'!O131/'Price History'!O130-1),"")</f>
        <v>-1.8431480969505198E-4</v>
      </c>
      <c r="P130" s="82" t="str">
        <f>IFERROR(IF(OR(NOT(ISNUMBER('Price History'!P131)),NOT(ISNUMBER('Price History'!P130)),'Price History'!P130=0),"",'Price History'!P131/'Price History'!P130-1),"")</f>
        <v/>
      </c>
      <c r="Q130" s="82">
        <f>IFERROR(IF(OR(NOT(ISNUMBER('Price History'!Q131)),NOT(ISNUMBER('Price History'!Q130)),'Price History'!Q130=0),"",'Price History'!Q131/'Price History'!Q130-1),"")</f>
        <v>-1.3355592654423987E-2</v>
      </c>
      <c r="R130" s="82">
        <f>IFERROR(IF(OR(NOT(ISNUMBER('Price History'!R131)),NOT(ISNUMBER('Price History'!R130)),'Price History'!R130=0),"",'Price History'!R131/'Price History'!R130-1),"")</f>
        <v>5.0916496945010437E-3</v>
      </c>
      <c r="S130" s="82">
        <f>IFERROR(IF(OR(NOT(ISNUMBER('Price History'!S131)),NOT(ISNUMBER('Price History'!S130)),'Price History'!S130=0),"",'Price History'!S131/'Price History'!S130-1),"")</f>
        <v>-1.7333333333333312E-2</v>
      </c>
      <c r="T130" s="82">
        <f>IFERROR(IF(OR(NOT(ISNUMBER('Price History'!T131)),NOT(ISNUMBER('Price History'!T130)),'Price History'!T130=0),"",'Price History'!T131/'Price History'!T130-1),"")</f>
        <v>6.3115374905327037E-3</v>
      </c>
      <c r="U130" s="82" t="str">
        <f>IFERROR(IF(OR(NOT(ISNUMBER('Price History'!U131)),NOT(ISNUMBER('Price History'!U130)),'Price History'!U130=0),"",'Price History'!U131/'Price History'!U130-1),"")</f>
        <v/>
      </c>
      <c r="V130" s="83">
        <f>IFERROR(IF(OR(NOT(ISNUMBER('Price History'!V131)),NOT(ISNUMBER('Price History'!V130)),'Price History'!V130=0),"",'Price History'!V131/'Price History'!V130-1),"")</f>
        <v>-6.4656493227920331E-3</v>
      </c>
      <c r="W130" s="84" t="str">
        <f>IFERROR('Price History'!B3+(INDEX('Price History'!B:B,MATCH(9.99E+307,'Price History'!$A:$A))-'Price History'!B3)*(ROW()-3)/(MATCH(9.99E+307,'Returns (Calc)'!$A:$A)-3),"")</f>
        <v/>
      </c>
      <c r="X130" s="84">
        <f>IFERROR('Price History'!C3+(INDEX('Price History'!C:C,MATCH(9.99E+307,'Price History'!$A:$A))-'Price History'!C3)*(ROW()-3)/(MATCH(9.99E+307,'Returns (Calc)'!$A:$A)-3),"")</f>
        <v>8.8030188679245285</v>
      </c>
      <c r="Y130" s="84">
        <f>IFERROR('Price History'!D3+(INDEX('Price History'!D:D,MATCH(9.99E+307,'Price History'!$A:$A))-'Price History'!D3)*(ROW()-3)/(MATCH(9.99E+307,'Returns (Calc)'!$A:$A)-3),"")</f>
        <v>133.18842767295598</v>
      </c>
      <c r="Z130" s="84">
        <f>IFERROR('Price History'!E3+(INDEX('Price History'!E:E,MATCH(9.99E+307,'Price History'!$A:$A))-'Price History'!E3)*(ROW()-3)/(MATCH(9.99E+307,'Returns (Calc)'!$A:$A)-3),"")</f>
        <v>16.70037735849057</v>
      </c>
      <c r="AA130" s="84">
        <f>IFERROR('Price History'!F3+(INDEX('Price History'!F:F,MATCH(9.99E+307,'Price History'!$A:$A))-'Price History'!F3)*(ROW()-3)/(MATCH(9.99E+307,'Returns (Calc)'!$A:$A)-3),"")</f>
        <v>7.4586163522012612</v>
      </c>
      <c r="AB130" s="84">
        <f>IFERROR('Price History'!G3+(INDEX('Price History'!G:G,MATCH(9.99E+307,'Price History'!$A:$A))-'Price History'!G3)*(ROW()-3)/(MATCH(9.99E+307,'Returns (Calc)'!$A:$A)-3),"")</f>
        <v>9.6402515723270383</v>
      </c>
      <c r="AC130" s="84">
        <f>IFERROR('Price History'!H3+(INDEX('Price History'!H:H,MATCH(9.99E+307,'Price History'!$A:$A))-'Price History'!H3)*(ROW()-3)/(MATCH(9.99E+307,'Returns (Calc)'!$A:$A)-3),"")</f>
        <v>12.954968553459118</v>
      </c>
      <c r="AD130" s="84">
        <f>IFERROR('Price History'!I3+(INDEX('Price History'!I:I,MATCH(9.99E+307,'Price History'!$A:$A))-'Price History'!I3)*(ROW()-3)/(MATCH(9.99E+307,'Returns (Calc)'!$A:$A)-3),"")</f>
        <v>8.2213836477987456</v>
      </c>
      <c r="AE130" s="84">
        <f>IFERROR('Price History'!J3+(INDEX('Price History'!J:J,MATCH(9.99E+307,'Price History'!$A:$A))-'Price History'!J3)*(ROW()-3)/(MATCH(9.99E+307,'Returns (Calc)'!$A:$A)-3),"")</f>
        <v>24.857358490566043</v>
      </c>
      <c r="AF130" s="84">
        <f>IFERROR('Price History'!K3+(INDEX('Price History'!K:K,MATCH(9.99E+307,'Price History'!$A:$A))-'Price History'!K3)*(ROW()-3)/(MATCH(9.99E+307,'Returns (Calc)'!$A:$A)-3),"")</f>
        <v>3.1013836477987429</v>
      </c>
      <c r="AG130" s="84">
        <f>IFERROR('Price History'!L3+(INDEX('Price History'!L:L,MATCH(9.99E+307,'Price History'!$A:$A))-'Price History'!L3)*(ROW()-3)/(MATCH(9.99E+307,'Returns (Calc)'!$A:$A)-3),"")</f>
        <v>18.513710691823903</v>
      </c>
      <c r="AH130" s="84">
        <f>IFERROR('Price History'!M3+(INDEX('Price History'!M:M,MATCH(9.99E+307,'Price History'!$A:$A))-'Price History'!M3)*(ROW()-3)/(MATCH(9.99E+307,'Returns (Calc)'!$A:$A)-3),"")</f>
        <v>6.7441509433962281</v>
      </c>
      <c r="AI130" s="84">
        <f>IFERROR('Price History'!N3+(INDEX('Price History'!N:N,MATCH(9.99E+307,'Price History'!$A:$A))-'Price History'!N3)*(ROW()-3)/(MATCH(9.99E+307,'Returns (Calc)'!$A:$A)-3),"")</f>
        <v>70.412075471698131</v>
      </c>
      <c r="AJ130" s="84">
        <f>IFERROR('Price History'!O3+(INDEX('Price History'!O:O,MATCH(9.99E+307,'Price History'!$A:$A))-'Price History'!O3)*(ROW()-3)/(MATCH(9.99E+307,'Returns (Calc)'!$A:$A)-3),"")</f>
        <v>16.674213836477989</v>
      </c>
      <c r="AK130" s="84">
        <f>IFERROR('Price History'!Q3+(INDEX('Price History'!Q:Q,MATCH(9.99E+307,'Price History'!$A:$A))-'Price History'!Q3)*(ROW()-3)/(MATCH(9.99E+307,'Returns (Calc)'!$A:$A)-3),"")</f>
        <v>10.030691823899375</v>
      </c>
      <c r="AL130" s="84">
        <f>IFERROR('Price History'!R3+(INDEX('Price History'!R:R,MATCH(9.99E+307,'Price History'!$A:$A))-'Price History'!R3)*(ROW()-3)/(MATCH(9.99E+307,'Returns (Calc)'!$A:$A)-3),"")</f>
        <v>9.6241509433962236</v>
      </c>
      <c r="AM130" s="84">
        <f>IFERROR('Price History'!S3+(INDEX('Price History'!S:S,MATCH(9.99E+307,'Price History'!$A:$A))-'Price History'!S3)*(ROW()-3)/(MATCH(9.99E+307,'Returns (Calc)'!$A:$A)-3),"")</f>
        <v>11.781635220125786</v>
      </c>
      <c r="AN130" s="84">
        <f>IFERROR('Price History'!T3+(INDEX('Price History'!T:T,MATCH(9.99E+307,'Price History'!$A:$A))-'Price History'!T3)*(ROW()-3)/(MATCH(9.99E+307,'Returns (Calc)'!$A:$A)-3),"")</f>
        <v>5.415849056603772</v>
      </c>
      <c r="AO130" s="85">
        <f>IFERROR('Price History'!V3+(INDEX('Price History'!V:V,MATCH(9.99E+307,'Price History'!$A:$A))-'Price History'!V3)*(ROW()-3)/(MATCH(9.99E+307,'Returns (Calc)'!$A:$A)-3),"")</f>
        <v>0</v>
      </c>
    </row>
    <row r="131" spans="1:41" ht="15" customHeight="1" x14ac:dyDescent="0.3">
      <c r="A131" s="81">
        <f>IF('Price History'!A132="","",'Price History'!A132)</f>
        <v>46052</v>
      </c>
      <c r="B131" s="82">
        <f>IFERROR(IF(OR(NOT(ISNUMBER('Price History'!B132)),NOT(ISNUMBER('Price History'!B131)),'Price History'!B131=0),"",'Price History'!B132/'Price History'!B131-1),"")</f>
        <v>-2.5974025974025983E-2</v>
      </c>
      <c r="C131" s="82">
        <f>IFERROR(IF(OR(NOT(ISNUMBER('Price History'!C132)),NOT(ISNUMBER('Price History'!C131)),'Price History'!C131=0),"",'Price History'!C132/'Price History'!C131-1),"")</f>
        <v>3.9606865189966367E-2</v>
      </c>
      <c r="D131" s="82">
        <f>IFERROR(IF(OR(NOT(ISNUMBER('Price History'!D132)),NOT(ISNUMBER('Price History'!D131)),'Price History'!D131=0),"",'Price History'!D132/'Price History'!D131-1),"")</f>
        <v>2.4448539998848107E-2</v>
      </c>
      <c r="E131" s="82">
        <f>IFERROR(IF(OR(NOT(ISNUMBER('Price History'!E132)),NOT(ISNUMBER('Price History'!E131)),'Price History'!E131=0),"",'Price History'!E132/'Price History'!E131-1),"")</f>
        <v>3.5150757694110357E-2</v>
      </c>
      <c r="F131" s="82">
        <f>IFERROR(IF(OR(NOT(ISNUMBER('Price History'!F132)),NOT(ISNUMBER('Price History'!F131)),'Price History'!F131=0),"",'Price History'!F132/'Price History'!F131-1),"")</f>
        <v>-2.4487270155587049E-2</v>
      </c>
      <c r="G131" s="82">
        <f>IFERROR(IF(OR(NOT(ISNUMBER('Price History'!G132)),NOT(ISNUMBER('Price History'!G131)),'Price History'!G131=0),"",'Price History'!G132/'Price History'!G131-1),"")</f>
        <v>-5.6121099947118003E-2</v>
      </c>
      <c r="H131" s="82">
        <f>IFERROR(IF(OR(NOT(ISNUMBER('Price History'!H132)),NOT(ISNUMBER('Price History'!H131)),'Price History'!H131=0),"",'Price History'!H132/'Price History'!H131-1),"")</f>
        <v>3.8108344801701444E-2</v>
      </c>
      <c r="I131" s="82">
        <f>IFERROR(IF(OR(NOT(ISNUMBER('Price History'!I132)),NOT(ISNUMBER('Price History'!I131)),'Price History'!I131=0),"",'Price History'!I132/'Price History'!I131-1),"")</f>
        <v>1.8436617466830008E-2</v>
      </c>
      <c r="J131" s="82">
        <f>IFERROR(IF(OR(NOT(ISNUMBER('Price History'!J132)),NOT(ISNUMBER('Price History'!J131)),'Price History'!J131=0),"",'Price History'!J132/'Price History'!J131-1),"")</f>
        <v>2.6818718049547829E-2</v>
      </c>
      <c r="K131" s="82">
        <f>IFERROR(IF(OR(NOT(ISNUMBER('Price History'!K132)),NOT(ISNUMBER('Price History'!K131)),'Price History'!K131=0),"",'Price History'!K132/'Price History'!K131-1),"")</f>
        <v>-0.13567216981132069</v>
      </c>
      <c r="L131" s="82">
        <f>IFERROR(IF(OR(NOT(ISNUMBER('Price History'!L132)),NOT(ISNUMBER('Price History'!L131)),'Price History'!L131=0),"",'Price History'!L132/'Price History'!L131-1),"")</f>
        <v>-1.2870666228685712E-2</v>
      </c>
      <c r="M131" s="82">
        <f>IFERROR(IF(OR(NOT(ISNUMBER('Price History'!M132)),NOT(ISNUMBER('Price History'!M131)),'Price History'!M131=0),"",'Price History'!M132/'Price History'!M131-1),"")</f>
        <v>2.0220286043070912E-2</v>
      </c>
      <c r="N131" s="82">
        <f>IFERROR(IF(OR(NOT(ISNUMBER('Price History'!N132)),NOT(ISNUMBER('Price History'!N131)),'Price History'!N131=0),"",'Price History'!N132/'Price History'!N131-1),"")</f>
        <v>3.1809739330928011E-3</v>
      </c>
      <c r="O131" s="82">
        <f>IFERROR(IF(OR(NOT(ISNUMBER('Price History'!O132)),NOT(ISNUMBER('Price History'!O131)),'Price History'!O131=0),"",'Price History'!O132/'Price History'!O131-1),"")</f>
        <v>7.189602728361999E-3</v>
      </c>
      <c r="P131" s="82" t="str">
        <f>IFERROR(IF(OR(NOT(ISNUMBER('Price History'!P132)),NOT(ISNUMBER('Price History'!P131)),'Price History'!P131=0),"",'Price History'!P132/'Price History'!P131-1),"")</f>
        <v/>
      </c>
      <c r="Q131" s="82">
        <f>IFERROR(IF(OR(NOT(ISNUMBER('Price History'!Q132)),NOT(ISNUMBER('Price History'!Q131)),'Price History'!Q131=0),"",'Price History'!Q132/'Price History'!Q131-1),"")</f>
        <v>-1.1229041685894559E-2</v>
      </c>
      <c r="R131" s="82">
        <f>IFERROR(IF(OR(NOT(ISNUMBER('Price History'!R132)),NOT(ISNUMBER('Price History'!R131)),'Price History'!R131=0),"",'Price History'!R132/'Price History'!R131-1),"")</f>
        <v>3.5460992907800915E-3</v>
      </c>
      <c r="S131" s="82">
        <f>IFERROR(IF(OR(NOT(ISNUMBER('Price History'!S132)),NOT(ISNUMBER('Price History'!S131)),'Price History'!S131=0),"",'Price History'!S132/'Price History'!S131-1),"")</f>
        <v>1.6536635006784373E-2</v>
      </c>
      <c r="T131" s="82">
        <f>IFERROR(IF(OR(NOT(ISNUMBER('Price History'!T132)),NOT(ISNUMBER('Price History'!T131)),'Price History'!T131=0),"",'Price History'!T132/'Price History'!T131-1),"")</f>
        <v>-9.7842448569994689E-3</v>
      </c>
      <c r="U131" s="82" t="str">
        <f>IFERROR(IF(OR(NOT(ISNUMBER('Price History'!U132)),NOT(ISNUMBER('Price History'!U131)),'Price History'!U131=0),"",'Price History'!U132/'Price History'!U131-1),"")</f>
        <v/>
      </c>
      <c r="V131" s="83">
        <f>IFERROR(IF(OR(NOT(ISNUMBER('Price History'!V132)),NOT(ISNUMBER('Price History'!V131)),'Price History'!V131=0),"",'Price History'!V132/'Price History'!V131-1),"")</f>
        <v>-1.3323875026986953E-2</v>
      </c>
      <c r="W131" s="84" t="str">
        <f>IFERROR('Price History'!B3+(INDEX('Price History'!B:B,MATCH(9.99E+307,'Price History'!$A:$A))-'Price History'!B3)*(ROW()-3)/(MATCH(9.99E+307,'Returns (Calc)'!$A:$A)-3),"")</f>
        <v/>
      </c>
      <c r="X131" s="84">
        <f>IFERROR('Price History'!C3+(INDEX('Price History'!C:C,MATCH(9.99E+307,'Price History'!$A:$A))-'Price History'!C3)*(ROW()-3)/(MATCH(9.99E+307,'Returns (Calc)'!$A:$A)-3),"")</f>
        <v>8.5279245283018881</v>
      </c>
      <c r="Y131" s="84">
        <f>IFERROR('Price History'!D3+(INDEX('Price History'!D:D,MATCH(9.99E+307,'Price History'!$A:$A))-'Price History'!D3)*(ROW()-3)/(MATCH(9.99E+307,'Returns (Calc)'!$A:$A)-3),"")</f>
        <v>129.02628930817605</v>
      </c>
      <c r="Z131" s="84">
        <f>IFERROR('Price History'!E3+(INDEX('Price History'!E:E,MATCH(9.99E+307,'Price History'!$A:$A))-'Price History'!E3)*(ROW()-3)/(MATCH(9.99E+307,'Returns (Calc)'!$A:$A)-3),"")</f>
        <v>16.178490566037738</v>
      </c>
      <c r="AA131" s="84">
        <f>IFERROR('Price History'!F3+(INDEX('Price History'!F:F,MATCH(9.99E+307,'Price History'!$A:$A))-'Price History'!F3)*(ROW()-3)/(MATCH(9.99E+307,'Returns (Calc)'!$A:$A)-3),"")</f>
        <v>7.2255345911949682</v>
      </c>
      <c r="AB131" s="84">
        <f>IFERROR('Price History'!G3+(INDEX('Price History'!G:G,MATCH(9.99E+307,'Price History'!$A:$A))-'Price History'!G3)*(ROW()-3)/(MATCH(9.99E+307,'Returns (Calc)'!$A:$A)-3),"")</f>
        <v>9.3389937106918239</v>
      </c>
      <c r="AC131" s="84">
        <f>IFERROR('Price History'!H3+(INDEX('Price History'!H:H,MATCH(9.99E+307,'Price History'!$A:$A))-'Price History'!H3)*(ROW()-3)/(MATCH(9.99E+307,'Returns (Calc)'!$A:$A)-3),"")</f>
        <v>12.55012578616352</v>
      </c>
      <c r="AD131" s="84">
        <f>IFERROR('Price History'!I3+(INDEX('Price History'!I:I,MATCH(9.99E+307,'Price History'!$A:$A))-'Price History'!I3)*(ROW()-3)/(MATCH(9.99E+307,'Returns (Calc)'!$A:$A)-3),"")</f>
        <v>7.9644654088050331</v>
      </c>
      <c r="AE131" s="84">
        <f>IFERROR('Price History'!J3+(INDEX('Price History'!J:J,MATCH(9.99E+307,'Price History'!$A:$A))-'Price History'!J3)*(ROW()-3)/(MATCH(9.99E+307,'Returns (Calc)'!$A:$A)-3),"")</f>
        <v>24.080566037735849</v>
      </c>
      <c r="AF131" s="84">
        <f>IFERROR('Price History'!K3+(INDEX('Price History'!K:K,MATCH(9.99E+307,'Price History'!$A:$A))-'Price History'!K3)*(ROW()-3)/(MATCH(9.99E+307,'Returns (Calc)'!$A:$A)-3),"")</f>
        <v>3.0044654088050322</v>
      </c>
      <c r="AG131" s="84">
        <f>IFERROR('Price History'!L3+(INDEX('Price History'!L:L,MATCH(9.99E+307,'Price History'!$A:$A))-'Price History'!L3)*(ROW()-3)/(MATCH(9.99E+307,'Returns (Calc)'!$A:$A)-3),"")</f>
        <v>17.935157232704398</v>
      </c>
      <c r="AH131" s="84">
        <f>IFERROR('Price History'!M3+(INDEX('Price History'!M:M,MATCH(9.99E+307,'Price History'!$A:$A))-'Price History'!M3)*(ROW()-3)/(MATCH(9.99E+307,'Returns (Calc)'!$A:$A)-3),"")</f>
        <v>6.5333962264150927</v>
      </c>
      <c r="AI131" s="84">
        <f>IFERROR('Price History'!N3+(INDEX('Price History'!N:N,MATCH(9.99E+307,'Price History'!$A:$A))-'Price History'!N3)*(ROW()-3)/(MATCH(9.99E+307,'Returns (Calc)'!$A:$A)-3),"")</f>
        <v>68.211698113207547</v>
      </c>
      <c r="AJ131" s="84">
        <f>IFERROR('Price History'!O3+(INDEX('Price History'!O:O,MATCH(9.99E+307,'Price History'!$A:$A))-'Price History'!O3)*(ROW()-3)/(MATCH(9.99E+307,'Returns (Calc)'!$A:$A)-3),"")</f>
        <v>16.153144654088052</v>
      </c>
      <c r="AK131" s="84">
        <f>IFERROR('Price History'!Q3+(INDEX('Price History'!Q:Q,MATCH(9.99E+307,'Price History'!$A:$A))-'Price History'!Q3)*(ROW()-3)/(MATCH(9.99E+307,'Returns (Calc)'!$A:$A)-3),"")</f>
        <v>9.7172327044025195</v>
      </c>
      <c r="AL131" s="84">
        <f>IFERROR('Price History'!R3+(INDEX('Price History'!R:R,MATCH(9.99E+307,'Price History'!$A:$A))-'Price History'!R3)*(ROW()-3)/(MATCH(9.99E+307,'Returns (Calc)'!$A:$A)-3),"")</f>
        <v>9.3233962264150918</v>
      </c>
      <c r="AM131" s="84">
        <f>IFERROR('Price History'!S3+(INDEX('Price History'!S:S,MATCH(9.99E+307,'Price History'!$A:$A))-'Price History'!S3)*(ROW()-3)/(MATCH(9.99E+307,'Returns (Calc)'!$A:$A)-3),"")</f>
        <v>11.413459119496856</v>
      </c>
      <c r="AN131" s="84">
        <f>IFERROR('Price History'!T3+(INDEX('Price History'!T:T,MATCH(9.99E+307,'Price History'!$A:$A))-'Price History'!T3)*(ROW()-3)/(MATCH(9.99E+307,'Returns (Calc)'!$A:$A)-3),"")</f>
        <v>5.2466037735849049</v>
      </c>
      <c r="AO131" s="85">
        <f>IFERROR('Price History'!V3+(INDEX('Price History'!V:V,MATCH(9.99E+307,'Price History'!$A:$A))-'Price History'!V3)*(ROW()-3)/(MATCH(9.99E+307,'Returns (Calc)'!$A:$A)-3),"")</f>
        <v>0</v>
      </c>
    </row>
    <row r="132" spans="1:41" ht="15" customHeight="1" x14ac:dyDescent="0.3">
      <c r="A132" s="81">
        <f>IF('Price History'!A133="","",'Price History'!A133)</f>
        <v>46059</v>
      </c>
      <c r="B132" s="82">
        <f>IFERROR(IF(OR(NOT(ISNUMBER('Price History'!B133)),NOT(ISNUMBER('Price History'!B132)),'Price History'!B132=0),"",'Price History'!B133/'Price History'!B132-1),"")</f>
        <v>-8.4808184143222554E-2</v>
      </c>
      <c r="C132" s="82">
        <f>IFERROR(IF(OR(NOT(ISNUMBER('Price History'!C133)),NOT(ISNUMBER('Price History'!C132)),'Price History'!C132=0),"",'Price History'!C133/'Price History'!C132-1),"")</f>
        <v>-2.998447862283049E-2</v>
      </c>
      <c r="D132" s="82">
        <f>IFERROR(IF(OR(NOT(ISNUMBER('Price History'!D133)),NOT(ISNUMBER('Price History'!D132)),'Price History'!D132=0),"",'Price History'!D133/'Price History'!D132-1),"")</f>
        <v>-7.0203794799719166E-3</v>
      </c>
      <c r="E132" s="82">
        <f>IFERROR(IF(OR(NOT(ISNUMBER('Price History'!E133)),NOT(ISNUMBER('Price History'!E132)),'Price History'!E132=0),"",'Price History'!E133/'Price History'!E132-1),"")</f>
        <v>4.8898279504980824E-3</v>
      </c>
      <c r="F132" s="82">
        <f>IFERROR(IF(OR(NOT(ISNUMBER('Price History'!F133)),NOT(ISNUMBER('Price History'!F132)),'Price History'!F132=0),"",'Price History'!F133/'Price History'!F132-1),"")</f>
        <v>-0.10394200271862253</v>
      </c>
      <c r="G132" s="82">
        <f>IFERROR(IF(OR(NOT(ISNUMBER('Price History'!G133)),NOT(ISNUMBER('Price History'!G132)),'Price History'!G132=0),"",'Price History'!G133/'Price History'!G132-1),"")</f>
        <v>1.0504937320540586E-2</v>
      </c>
      <c r="H132" s="82">
        <f>IFERROR(IF(OR(NOT(ISNUMBER('Price History'!H133)),NOT(ISNUMBER('Price History'!H132)),'Price History'!H132=0),"",'Price History'!H133/'Price History'!H132-1),"")</f>
        <v>-4.8664674122637863E-2</v>
      </c>
      <c r="I132" s="82">
        <f>IFERROR(IF(OR(NOT(ISNUMBER('Price History'!I133)),NOT(ISNUMBER('Price History'!I132)),'Price History'!I132=0),"",'Price History'!I133/'Price History'!I132-1),"")</f>
        <v>-2.9927274629833134E-2</v>
      </c>
      <c r="J132" s="82">
        <f>IFERROR(IF(OR(NOT(ISNUMBER('Price History'!J133)),NOT(ISNUMBER('Price History'!J132)),'Price History'!J132=0),"",'Price History'!J133/'Price History'!J132-1),"")</f>
        <v>4.8943014705882248E-2</v>
      </c>
      <c r="K132" s="82">
        <f>IFERROR(IF(OR(NOT(ISNUMBER('Price History'!K133)),NOT(ISNUMBER('Price History'!K132)),'Price History'!K132=0),"",'Price History'!K133/'Price History'!K132-1),"")</f>
        <v>-7.2924483252609251E-2</v>
      </c>
      <c r="L132" s="82">
        <f>IFERROR(IF(OR(NOT(ISNUMBER('Price History'!L133)),NOT(ISNUMBER('Price History'!L132)),'Price History'!L132=0),"",'Price History'!L133/'Price History'!L132-1),"")</f>
        <v>5.5330348499516013E-2</v>
      </c>
      <c r="M132" s="82">
        <f>IFERROR(IF(OR(NOT(ISNUMBER('Price History'!M133)),NOT(ISNUMBER('Price History'!M132)),'Price History'!M132=0),"",'Price History'!M133/'Price History'!M132-1),"")</f>
        <v>5.0488774304436657E-2</v>
      </c>
      <c r="N132" s="82">
        <f>IFERROR(IF(OR(NOT(ISNUMBER('Price History'!N133)),NOT(ISNUMBER('Price History'!N132)),'Price History'!N132=0),"",'Price History'!N133/'Price History'!N132-1),"")</f>
        <v>1.706746116194946E-2</v>
      </c>
      <c r="O132" s="82">
        <f>IFERROR(IF(OR(NOT(ISNUMBER('Price History'!O133)),NOT(ISNUMBER('Price History'!O132)),'Price History'!O132=0),"",'Price History'!O133/'Price History'!O132-1),"")</f>
        <v>5.4177724901619762E-2</v>
      </c>
      <c r="P132" s="82" t="str">
        <f>IFERROR(IF(OR(NOT(ISNUMBER('Price History'!P133)),NOT(ISNUMBER('Price History'!P132)),'Price History'!P132=0),"",'Price History'!P133/'Price History'!P132-1),"")</f>
        <v/>
      </c>
      <c r="Q132" s="82">
        <f>IFERROR(IF(OR(NOT(ISNUMBER('Price History'!Q133)),NOT(ISNUMBER('Price History'!Q132)),'Price History'!Q132=0),"",'Price History'!Q133/'Price History'!Q132-1),"")</f>
        <v>-1.3845675171126337E-2</v>
      </c>
      <c r="R132" s="82">
        <f>IFERROR(IF(OR(NOT(ISNUMBER('Price History'!R133)),NOT(ISNUMBER('Price History'!R132)),'Price History'!R132=0),"",'Price History'!R133/'Price History'!R132-1),"")</f>
        <v>-2.3220595658758225E-2</v>
      </c>
      <c r="S132" s="82">
        <f>IFERROR(IF(OR(NOT(ISNUMBER('Price History'!S133)),NOT(ISNUMBER('Price History'!S132)),'Price History'!S132=0),"",'Price History'!S133/'Price History'!S132-1),"")</f>
        <v>-2.5027112705433563E-4</v>
      </c>
      <c r="T132" s="82">
        <f>IFERROR(IF(OR(NOT(ISNUMBER('Price History'!T133)),NOT(ISNUMBER('Price History'!T132)),'Price History'!T132=0),"",'Price History'!T133/'Price History'!T132-1),"")</f>
        <v>2.4322270078540598E-2</v>
      </c>
      <c r="U132" s="82" t="str">
        <f>IFERROR(IF(OR(NOT(ISNUMBER('Price History'!U133)),NOT(ISNUMBER('Price History'!U132)),'Price History'!U132=0),"",'Price History'!U133/'Price History'!U132-1),"")</f>
        <v/>
      </c>
      <c r="V132" s="83">
        <f>IFERROR(IF(OR(NOT(ISNUMBER('Price History'!V133)),NOT(ISNUMBER('Price History'!V132)),'Price History'!V132=0),"",'Price History'!V133/'Price History'!V132-1),"")</f>
        <v>3.0289768997530553E-2</v>
      </c>
      <c r="W132" s="84" t="str">
        <f>IFERROR('Price History'!B3+(INDEX('Price History'!B:B,MATCH(9.99E+307,'Price History'!$A:$A))-'Price History'!B3)*(ROW()-3)/(MATCH(9.99E+307,'Returns (Calc)'!$A:$A)-3),"")</f>
        <v/>
      </c>
      <c r="X132" s="84">
        <f>IFERROR('Price History'!C3+(INDEX('Price History'!C:C,MATCH(9.99E+307,'Price History'!$A:$A))-'Price History'!C3)*(ROW()-3)/(MATCH(9.99E+307,'Returns (Calc)'!$A:$A)-3),"")</f>
        <v>8.2528301886792477</v>
      </c>
      <c r="Y132" s="84">
        <f>IFERROR('Price History'!D3+(INDEX('Price History'!D:D,MATCH(9.99E+307,'Price History'!$A:$A))-'Price History'!D3)*(ROW()-3)/(MATCH(9.99E+307,'Returns (Calc)'!$A:$A)-3),"")</f>
        <v>124.86415094339623</v>
      </c>
      <c r="Z132" s="84">
        <f>IFERROR('Price History'!E3+(INDEX('Price History'!E:E,MATCH(9.99E+307,'Price History'!$A:$A))-'Price History'!E3)*(ROW()-3)/(MATCH(9.99E+307,'Returns (Calc)'!$A:$A)-3),"")</f>
        <v>15.656603773584905</v>
      </c>
      <c r="AA132" s="84">
        <f>IFERROR('Price History'!F3+(INDEX('Price History'!F:F,MATCH(9.99E+307,'Price History'!$A:$A))-'Price History'!F3)*(ROW()-3)/(MATCH(9.99E+307,'Returns (Calc)'!$A:$A)-3),"")</f>
        <v>6.9924528301886788</v>
      </c>
      <c r="AB132" s="84">
        <f>IFERROR('Price History'!G3+(INDEX('Price History'!G:G,MATCH(9.99E+307,'Price History'!$A:$A))-'Price History'!G3)*(ROW()-3)/(MATCH(9.99E+307,'Returns (Calc)'!$A:$A)-3),"")</f>
        <v>9.0377358490566024</v>
      </c>
      <c r="AC132" s="84">
        <f>IFERROR('Price History'!H3+(INDEX('Price History'!H:H,MATCH(9.99E+307,'Price History'!$A:$A))-'Price History'!H3)*(ROW()-3)/(MATCH(9.99E+307,'Returns (Calc)'!$A:$A)-3),"")</f>
        <v>12.145283018867921</v>
      </c>
      <c r="AD132" s="84">
        <f>IFERROR('Price History'!I3+(INDEX('Price History'!I:I,MATCH(9.99E+307,'Price History'!$A:$A))-'Price History'!I3)*(ROW()-3)/(MATCH(9.99E+307,'Returns (Calc)'!$A:$A)-3),"")</f>
        <v>7.7075471698113205</v>
      </c>
      <c r="AE132" s="84">
        <f>IFERROR('Price History'!J3+(INDEX('Price History'!J:J,MATCH(9.99E+307,'Price History'!$A:$A))-'Price History'!J3)*(ROW()-3)/(MATCH(9.99E+307,'Returns (Calc)'!$A:$A)-3),"")</f>
        <v>23.303773584905656</v>
      </c>
      <c r="AF132" s="84">
        <f>IFERROR('Price History'!K3+(INDEX('Price History'!K:K,MATCH(9.99E+307,'Price History'!$A:$A))-'Price History'!K3)*(ROW()-3)/(MATCH(9.99E+307,'Returns (Calc)'!$A:$A)-3),"")</f>
        <v>2.9075471698113198</v>
      </c>
      <c r="AG132" s="84">
        <f>IFERROR('Price History'!L3+(INDEX('Price History'!L:L,MATCH(9.99E+307,'Price History'!$A:$A))-'Price History'!L3)*(ROW()-3)/(MATCH(9.99E+307,'Returns (Calc)'!$A:$A)-3),"")</f>
        <v>17.356603773584908</v>
      </c>
      <c r="AH132" s="84">
        <f>IFERROR('Price History'!M3+(INDEX('Price History'!M:M,MATCH(9.99E+307,'Price History'!$A:$A))-'Price History'!M3)*(ROW()-3)/(MATCH(9.99E+307,'Returns (Calc)'!$A:$A)-3),"")</f>
        <v>6.3226415094339607</v>
      </c>
      <c r="AI132" s="84">
        <f>IFERROR('Price History'!N3+(INDEX('Price History'!N:N,MATCH(9.99E+307,'Price History'!$A:$A))-'Price History'!N3)*(ROW()-3)/(MATCH(9.99E+307,'Returns (Calc)'!$A:$A)-3),"")</f>
        <v>66.011320754716962</v>
      </c>
      <c r="AJ132" s="84">
        <f>IFERROR('Price History'!O3+(INDEX('Price History'!O:O,MATCH(9.99E+307,'Price History'!$A:$A))-'Price History'!O3)*(ROW()-3)/(MATCH(9.99E+307,'Returns (Calc)'!$A:$A)-3),"")</f>
        <v>15.632075471698116</v>
      </c>
      <c r="AK132" s="84">
        <f>IFERROR('Price History'!Q3+(INDEX('Price History'!Q:Q,MATCH(9.99E+307,'Price History'!$A:$A))-'Price History'!Q3)*(ROW()-3)/(MATCH(9.99E+307,'Returns (Calc)'!$A:$A)-3),"")</f>
        <v>9.4037735849056574</v>
      </c>
      <c r="AL132" s="84">
        <f>IFERROR('Price History'!R3+(INDEX('Price History'!R:R,MATCH(9.99E+307,'Price History'!$A:$A))-'Price History'!R3)*(ROW()-3)/(MATCH(9.99E+307,'Returns (Calc)'!$A:$A)-3),"")</f>
        <v>9.0226415094339671</v>
      </c>
      <c r="AM132" s="84">
        <f>IFERROR('Price History'!S3+(INDEX('Price History'!S:S,MATCH(9.99E+307,'Price History'!$A:$A))-'Price History'!S3)*(ROW()-3)/(MATCH(9.99E+307,'Returns (Calc)'!$A:$A)-3),"")</f>
        <v>11.045283018867927</v>
      </c>
      <c r="AN132" s="84">
        <f>IFERROR('Price History'!T3+(INDEX('Price History'!T:T,MATCH(9.99E+307,'Price History'!$A:$A))-'Price History'!T3)*(ROW()-3)/(MATCH(9.99E+307,'Returns (Calc)'!$A:$A)-3),"")</f>
        <v>5.0773584905660378</v>
      </c>
      <c r="AO132" s="85">
        <f>IFERROR('Price History'!V3+(INDEX('Price History'!V:V,MATCH(9.99E+307,'Price History'!$A:$A))-'Price History'!V3)*(ROW()-3)/(MATCH(9.99E+307,'Returns (Calc)'!$A:$A)-3),"")</f>
        <v>0</v>
      </c>
    </row>
    <row r="133" spans="1:41" ht="15" customHeight="1" x14ac:dyDescent="0.3">
      <c r="A133" s="81">
        <f>IF('Price History'!A134="","",'Price History'!A134)</f>
        <v>46066</v>
      </c>
      <c r="B133" s="82">
        <f>IFERROR(IF(OR(NOT(ISNUMBER('Price History'!B134)),NOT(ISNUMBER('Price History'!B133)),'Price History'!B133=0),"",'Price History'!B134/'Price History'!B133-1),"")</f>
        <v>-1.6431924882629012E-2</v>
      </c>
      <c r="C133" s="82">
        <f>IFERROR(IF(OR(NOT(ISNUMBER('Price History'!C134)),NOT(ISNUMBER('Price History'!C133)),'Price History'!C133=0),"",'Price History'!C134/'Price History'!C133-1),"")</f>
        <v>2.9820350570950671E-2</v>
      </c>
      <c r="D133" s="82">
        <f>IFERROR(IF(OR(NOT(ISNUMBER('Price History'!D134)),NOT(ISNUMBER('Price History'!D133)),'Price History'!D133=0),"",'Price History'!D134/'Price History'!D133-1),"")</f>
        <v>-4.5293380797022387E-3</v>
      </c>
      <c r="E133" s="82">
        <f>IFERROR(IF(OR(NOT(ISNUMBER('Price History'!E134)),NOT(ISNUMBER('Price History'!E133)),'Price History'!E133=0),"",'Price History'!E134/'Price History'!E133-1),"")</f>
        <v>-2.3278865793584069E-2</v>
      </c>
      <c r="F133" s="82">
        <f>IFERROR(IF(OR(NOT(ISNUMBER('Price History'!F134)),NOT(ISNUMBER('Price History'!F133)),'Price History'!F133=0),"",'Price History'!F134/'Price History'!F133-1),"")</f>
        <v>8.6266181229773586E-2</v>
      </c>
      <c r="G133" s="82">
        <f>IFERROR(IF(OR(NOT(ISNUMBER('Price History'!G134)),NOT(ISNUMBER('Price History'!G133)),'Price History'!G133=0),"",'Price History'!G134/'Price History'!G133-1),"")</f>
        <v>1.4692632892092439E-2</v>
      </c>
      <c r="H133" s="82">
        <f>IFERROR(IF(OR(NOT(ISNUMBER('Price History'!H134)),NOT(ISNUMBER('Price History'!H133)),'Price History'!H133=0),"",'Price History'!H134/'Price History'!H133-1),"")</f>
        <v>4.2995768831234793E-2</v>
      </c>
      <c r="I133" s="82">
        <f>IFERROR(IF(OR(NOT(ISNUMBER('Price History'!I134)),NOT(ISNUMBER('Price History'!I133)),'Price History'!I133=0),"",'Price History'!I134/'Price History'!I133-1),"")</f>
        <v>-1.4022976107006091E-2</v>
      </c>
      <c r="J133" s="82">
        <f>IFERROR(IF(OR(NOT(ISNUMBER('Price History'!J134)),NOT(ISNUMBER('Price History'!J133)),'Price History'!J133=0),"",'Price History'!J134/'Price History'!J133-1),"")</f>
        <v>1.4749908725812499E-2</v>
      </c>
      <c r="K133" s="82">
        <f>IFERROR(IF(OR(NOT(ISNUMBER('Price History'!K134)),NOT(ISNUMBER('Price History'!K133)),'Price History'!K133=0),"",'Price History'!K134/'Price History'!K133-1),"")</f>
        <v>-3.303899926416487E-2</v>
      </c>
      <c r="L133" s="82">
        <f>IFERROR(IF(OR(NOT(ISNUMBER('Price History'!L134)),NOT(ISNUMBER('Price History'!L133)),'Price History'!L133=0),"",'Price History'!L134/'Price History'!L133-1),"")</f>
        <v>5.0193492905260095E-2</v>
      </c>
      <c r="M133" s="82">
        <f>IFERROR(IF(OR(NOT(ISNUMBER('Price History'!M134)),NOT(ISNUMBER('Price History'!M133)),'Price History'!M133=0),"",'Price History'!M134/'Price History'!M133-1),"")</f>
        <v>0.19915124245832905</v>
      </c>
      <c r="N133" s="82">
        <f>IFERROR(IF(OR(NOT(ISNUMBER('Price History'!N134)),NOT(ISNUMBER('Price History'!N133)),'Price History'!N133=0),"",'Price History'!N134/'Price History'!N133-1),"")</f>
        <v>2.8352025443588946E-2</v>
      </c>
      <c r="O133" s="82">
        <f>IFERROR(IF(OR(NOT(ISNUMBER('Price History'!O134)),NOT(ISNUMBER('Price History'!O133)),'Price History'!O133=0),"",'Price History'!O134/'Price History'!O133-1),"")</f>
        <v>-2.5175796510112924E-3</v>
      </c>
      <c r="P133" s="82" t="str">
        <f>IFERROR(IF(OR(NOT(ISNUMBER('Price History'!P134)),NOT(ISNUMBER('Price History'!P133)),'Price History'!P133=0),"",'Price History'!P134/'Price History'!P133-1),"")</f>
        <v/>
      </c>
      <c r="Q133" s="82">
        <f>IFERROR(IF(OR(NOT(ISNUMBER('Price History'!Q134)),NOT(ISNUMBER('Price History'!Q133)),'Price History'!Q133=0),"",'Price History'!Q134/'Price History'!Q133-1),"")</f>
        <v>1.1673765578166906E-2</v>
      </c>
      <c r="R133" s="82">
        <f>IFERROR(IF(OR(NOT(ISNUMBER('Price History'!R134)),NOT(ISNUMBER('Price History'!R133)),'Price History'!R133=0),"",'Price History'!R134/'Price History'!R133-1),"")</f>
        <v>-9.302325581395321E-3</v>
      </c>
      <c r="S133" s="82">
        <f>IFERROR(IF(OR(NOT(ISNUMBER('Price History'!S134)),NOT(ISNUMBER('Price History'!S133)),'Price History'!S133=0),"",'Price History'!S134/'Price History'!S133-1),"")</f>
        <v>-1.3267690253671582E-2</v>
      </c>
      <c r="T133" s="82">
        <f>IFERROR(IF(OR(NOT(ISNUMBER('Price History'!T134)),NOT(ISNUMBER('Price History'!T133)),'Price History'!T133=0),"",'Price History'!T134/'Price History'!T133-1),"")</f>
        <v>-4.2047984170171526E-3</v>
      </c>
      <c r="U133" s="82" t="str">
        <f>IFERROR(IF(OR(NOT(ISNUMBER('Price History'!U134)),NOT(ISNUMBER('Price History'!U133)),'Price History'!U133=0),"",'Price History'!U134/'Price History'!U133-1),"")</f>
        <v/>
      </c>
      <c r="V133" s="83">
        <f>IFERROR(IF(OR(NOT(ISNUMBER('Price History'!V134)),NOT(ISNUMBER('Price History'!V133)),'Price History'!V133=0),"",'Price History'!V134/'Price History'!V133-1),"")</f>
        <v>-5.0819174757281593E-2</v>
      </c>
      <c r="W133" s="84" t="str">
        <f>IFERROR('Price History'!B3+(INDEX('Price History'!B:B,MATCH(9.99E+307,'Price History'!$A:$A))-'Price History'!B3)*(ROW()-3)/(MATCH(9.99E+307,'Returns (Calc)'!$A:$A)-3),"")</f>
        <v/>
      </c>
      <c r="X133" s="84">
        <f>IFERROR('Price History'!C3+(INDEX('Price History'!C:C,MATCH(9.99E+307,'Price History'!$A:$A))-'Price History'!C3)*(ROW()-3)/(MATCH(9.99E+307,'Returns (Calc)'!$A:$A)-3),"")</f>
        <v>7.9777358490566073</v>
      </c>
      <c r="Y133" s="84">
        <f>IFERROR('Price History'!D3+(INDEX('Price History'!D:D,MATCH(9.99E+307,'Price History'!$A:$A))-'Price History'!D3)*(ROW()-3)/(MATCH(9.99E+307,'Returns (Calc)'!$A:$A)-3),"")</f>
        <v>120.7020125786164</v>
      </c>
      <c r="Z133" s="84">
        <f>IFERROR('Price History'!E3+(INDEX('Price History'!E:E,MATCH(9.99E+307,'Price History'!$A:$A))-'Price History'!E3)*(ROW()-3)/(MATCH(9.99E+307,'Returns (Calc)'!$A:$A)-3),"")</f>
        <v>15.134716981132087</v>
      </c>
      <c r="AA133" s="84">
        <f>IFERROR('Price History'!F3+(INDEX('Price History'!F:F,MATCH(9.99E+307,'Price History'!$A:$A))-'Price History'!F3)*(ROW()-3)/(MATCH(9.99E+307,'Returns (Calc)'!$A:$A)-3),"")</f>
        <v>6.7593710691823894</v>
      </c>
      <c r="AB133" s="84">
        <f>IFERROR('Price History'!G3+(INDEX('Price History'!G:G,MATCH(9.99E+307,'Price History'!$A:$A))-'Price History'!G3)*(ROW()-3)/(MATCH(9.99E+307,'Returns (Calc)'!$A:$A)-3),"")</f>
        <v>8.7364779874213809</v>
      </c>
      <c r="AC133" s="84">
        <f>IFERROR('Price History'!H3+(INDEX('Price History'!H:H,MATCH(9.99E+307,'Price History'!$A:$A))-'Price History'!H3)*(ROW()-3)/(MATCH(9.99E+307,'Returns (Calc)'!$A:$A)-3),"")</f>
        <v>11.740440251572331</v>
      </c>
      <c r="AD133" s="84">
        <f>IFERROR('Price History'!I3+(INDEX('Price History'!I:I,MATCH(9.99E+307,'Price History'!$A:$A))-'Price History'!I3)*(ROW()-3)/(MATCH(9.99E+307,'Returns (Calc)'!$A:$A)-3),"")</f>
        <v>7.450628930817615</v>
      </c>
      <c r="AE133" s="84">
        <f>IFERROR('Price History'!J3+(INDEX('Price History'!J:J,MATCH(9.99E+307,'Price History'!$A:$A))-'Price History'!J3)*(ROW()-3)/(MATCH(9.99E+307,'Returns (Calc)'!$A:$A)-3),"")</f>
        <v>22.526981132075477</v>
      </c>
      <c r="AF133" s="84">
        <f>IFERROR('Price History'!K3+(INDEX('Price History'!K:K,MATCH(9.99E+307,'Price History'!$A:$A))-'Price History'!K3)*(ROW()-3)/(MATCH(9.99E+307,'Returns (Calc)'!$A:$A)-3),"")</f>
        <v>2.8106289308176109</v>
      </c>
      <c r="AG133" s="84">
        <f>IFERROR('Price History'!L3+(INDEX('Price History'!L:L,MATCH(9.99E+307,'Price History'!$A:$A))-'Price History'!L3)*(ROW()-3)/(MATCH(9.99E+307,'Returns (Calc)'!$A:$A)-3),"")</f>
        <v>16.778050314465418</v>
      </c>
      <c r="AH133" s="84">
        <f>IFERROR('Price History'!M3+(INDEX('Price History'!M:M,MATCH(9.99E+307,'Price History'!$A:$A))-'Price History'!M3)*(ROW()-3)/(MATCH(9.99E+307,'Returns (Calc)'!$A:$A)-3),"")</f>
        <v>6.1118867924528253</v>
      </c>
      <c r="AI133" s="84">
        <f>IFERROR('Price History'!N3+(INDEX('Price History'!N:N,MATCH(9.99E+307,'Price History'!$A:$A))-'Price History'!N3)*(ROW()-3)/(MATCH(9.99E+307,'Returns (Calc)'!$A:$A)-3),"")</f>
        <v>63.810943396226435</v>
      </c>
      <c r="AJ133" s="84">
        <f>IFERROR('Price History'!O3+(INDEX('Price History'!O:O,MATCH(9.99E+307,'Price History'!$A:$A))-'Price History'!O3)*(ROW()-3)/(MATCH(9.99E+307,'Returns (Calc)'!$A:$A)-3),"")</f>
        <v>15.111006289308165</v>
      </c>
      <c r="AK133" s="84">
        <f>IFERROR('Price History'!Q3+(INDEX('Price History'!Q:Q,MATCH(9.99E+307,'Price History'!$A:$A))-'Price History'!Q3)*(ROW()-3)/(MATCH(9.99E+307,'Returns (Calc)'!$A:$A)-3),"")</f>
        <v>9.0903144654088024</v>
      </c>
      <c r="AL133" s="84">
        <f>IFERROR('Price History'!R3+(INDEX('Price History'!R:R,MATCH(9.99E+307,'Price History'!$A:$A))-'Price History'!R3)*(ROW()-3)/(MATCH(9.99E+307,'Returns (Calc)'!$A:$A)-3),"")</f>
        <v>8.7218867924528283</v>
      </c>
      <c r="AM133" s="84">
        <f>IFERROR('Price History'!S3+(INDEX('Price History'!S:S,MATCH(9.99E+307,'Price History'!$A:$A))-'Price History'!S3)*(ROW()-3)/(MATCH(9.99E+307,'Returns (Calc)'!$A:$A)-3),"")</f>
        <v>10.677106918238991</v>
      </c>
      <c r="AN133" s="84">
        <f>IFERROR('Price History'!T3+(INDEX('Price History'!T:T,MATCH(9.99E+307,'Price History'!$A:$A))-'Price History'!T3)*(ROW()-3)/(MATCH(9.99E+307,'Returns (Calc)'!$A:$A)-3),"")</f>
        <v>4.9081132075471672</v>
      </c>
      <c r="AO133" s="85">
        <f>IFERROR('Price History'!V3+(INDEX('Price History'!V:V,MATCH(9.99E+307,'Price History'!$A:$A))-'Price History'!V3)*(ROW()-3)/(MATCH(9.99E+307,'Returns (Calc)'!$A:$A)-3),"")</f>
        <v>0</v>
      </c>
    </row>
    <row r="134" spans="1:41" ht="15" customHeight="1" x14ac:dyDescent="0.3">
      <c r="A134" s="81">
        <f>IF('Price History'!A135="","",'Price History'!A135)</f>
        <v>46073</v>
      </c>
      <c r="B134" s="82">
        <f>IFERROR(IF(OR(NOT(ISNUMBER('Price History'!B135)),NOT(ISNUMBER('Price History'!B134)),'Price History'!B134=0),"",'Price History'!B135/'Price History'!B134-1),"")</f>
        <v>-2.0305337727772099E-2</v>
      </c>
      <c r="C134" s="82">
        <f>IFERROR(IF(OR(NOT(ISNUMBER('Price History'!C135)),NOT(ISNUMBER('Price History'!C134)),'Price History'!C134=0),"",'Price History'!C135/'Price History'!C134-1),"")</f>
        <v>-6.2151281870188702E-2</v>
      </c>
      <c r="D134" s="82">
        <f>IFERROR(IF(OR(NOT(ISNUMBER('Price History'!D135)),NOT(ISNUMBER('Price History'!D134)),'Price History'!D134=0),"",'Price History'!D135/'Price History'!D134-1),"")</f>
        <v>4.4774315552996269E-2</v>
      </c>
      <c r="E134" s="82">
        <f>IFERROR(IF(OR(NOT(ISNUMBER('Price History'!E135)),NOT(ISNUMBER('Price History'!E134)),'Price History'!E134=0),"",'Price History'!E135/'Price History'!E134-1),"")</f>
        <v>2.3003352092751284E-2</v>
      </c>
      <c r="F134" s="82">
        <f>IFERROR(IF(OR(NOT(ISNUMBER('Price History'!F135)),NOT(ISNUMBER('Price History'!F134)),'Price History'!F134=0),"",'Price History'!F135/'Price History'!F134-1),"")</f>
        <v>-9.5521832231635684E-2</v>
      </c>
      <c r="G134" s="82">
        <f>IFERROR(IF(OR(NOT(ISNUMBER('Price History'!G135)),NOT(ISNUMBER('Price History'!G134)),'Price History'!G134=0),"",'Price History'!G135/'Price History'!G134-1),"")</f>
        <v>2.1788129226145703E-2</v>
      </c>
      <c r="H134" s="82">
        <f>IFERROR(IF(OR(NOT(ISNUMBER('Price History'!H135)),NOT(ISNUMBER('Price History'!H134)),'Price History'!H134=0),"",'Price History'!H135/'Price History'!H134-1),"")</f>
        <v>4.0105912646358544E-2</v>
      </c>
      <c r="I134" s="82">
        <f>IFERROR(IF(OR(NOT(ISNUMBER('Price History'!I135)),NOT(ISNUMBER('Price History'!I134)),'Price History'!I134=0),"",'Price History'!I135/'Price History'!I134-1),"")</f>
        <v>3.8345823532629497E-2</v>
      </c>
      <c r="J134" s="82">
        <f>IFERROR(IF(OR(NOT(ISNUMBER('Price History'!J135)),NOT(ISNUMBER('Price History'!J134)),'Price History'!J134=0),"",'Price History'!J135/'Price History'!J134-1),"")</f>
        <v>1.8277326041591602E-2</v>
      </c>
      <c r="K134" s="82">
        <f>IFERROR(IF(OR(NOT(ISNUMBER('Price History'!K135)),NOT(ISNUMBER('Price History'!K134)),'Price History'!K134=0),"",'Price History'!K135/'Price History'!K134-1),"")</f>
        <v>2.9145422722776093E-2</v>
      </c>
      <c r="L134" s="82">
        <f>IFERROR(IF(OR(NOT(ISNUMBER('Price History'!L135)),NOT(ISNUMBER('Price History'!L134)),'Price History'!L134=0),"",'Price History'!L135/'Price History'!L134-1),"")</f>
        <v>1.1409542526476635E-2</v>
      </c>
      <c r="M134" s="82">
        <f>IFERROR(IF(OR(NOT(ISNUMBER('Price History'!M135)),NOT(ISNUMBER('Price History'!M134)),'Price History'!M134=0),"",'Price History'!M135/'Price History'!M134-1),"")</f>
        <v>3.9312667888969477E-2</v>
      </c>
      <c r="N134" s="82">
        <f>IFERROR(IF(OR(NOT(ISNUMBER('Price History'!N135)),NOT(ISNUMBER('Price History'!N134)),'Price History'!N134=0),"",'Price History'!N135/'Price History'!N134-1),"")</f>
        <v>-2.9645756607727947E-2</v>
      </c>
      <c r="O134" s="82">
        <f>IFERROR(IF(OR(NOT(ISNUMBER('Price History'!O135)),NOT(ISNUMBER('Price History'!O134)),'Price History'!O134=0),"",'Price History'!O135/'Price History'!O134-1),"")</f>
        <v>5.5700609225413089E-3</v>
      </c>
      <c r="P134" s="82" t="str">
        <f>IFERROR(IF(OR(NOT(ISNUMBER('Price History'!P135)),NOT(ISNUMBER('Price History'!P134)),'Price History'!P134=0),"",'Price History'!P135/'Price History'!P134-1),"")</f>
        <v/>
      </c>
      <c r="Q134" s="82">
        <f>IFERROR(IF(OR(NOT(ISNUMBER('Price History'!Q135)),NOT(ISNUMBER('Price History'!Q134)),'Price History'!Q134=0),"",'Price History'!Q135/'Price History'!Q134-1),"")</f>
        <v>2.0427257133946775E-2</v>
      </c>
      <c r="R134" s="82">
        <f>IFERROR(IF(OR(NOT(ISNUMBER('Price History'!R135)),NOT(ISNUMBER('Price History'!R134)),'Price History'!R134=0),"",'Price History'!R135/'Price History'!R134-1),"")</f>
        <v>1.1128499391410251E-2</v>
      </c>
      <c r="S134" s="82">
        <f>IFERROR(IF(OR(NOT(ISNUMBER('Price History'!S135)),NOT(ISNUMBER('Price History'!S134)),'Price History'!S134=0),"",'Price History'!S135/'Price History'!S134-1),"")</f>
        <v>1.4460887949260037E-2</v>
      </c>
      <c r="T134" s="82">
        <f>IFERROR(IF(OR(NOT(ISNUMBER('Price History'!T135)),NOT(ISNUMBER('Price History'!T134)),'Price History'!T134=0),"",'Price History'!T135/'Price History'!T134-1),"")</f>
        <v>1.9870839542972529E-3</v>
      </c>
      <c r="U134" s="82" t="str">
        <f>IFERROR(IF(OR(NOT(ISNUMBER('Price History'!U135)),NOT(ISNUMBER('Price History'!U134)),'Price History'!U134=0),"",'Price History'!U135/'Price History'!U134-1),"")</f>
        <v/>
      </c>
      <c r="V134" s="83">
        <f>IFERROR(IF(OR(NOT(ISNUMBER('Price History'!V135)),NOT(ISNUMBER('Price History'!V134)),'Price History'!V134=0),"",'Price History'!V135/'Price History'!V134-1),"")</f>
        <v>2.1863512865590407E-2</v>
      </c>
      <c r="W134" s="84" t="str">
        <f>IFERROR('Price History'!B3+(INDEX('Price History'!B:B,MATCH(9.99E+307,'Price History'!$A:$A))-'Price History'!B3)*(ROW()-3)/(MATCH(9.99E+307,'Returns (Calc)'!$A:$A)-3),"")</f>
        <v/>
      </c>
      <c r="X134" s="84">
        <f>IFERROR('Price History'!C3+(INDEX('Price History'!C:C,MATCH(9.99E+307,'Price History'!$A:$A))-'Price History'!C3)*(ROW()-3)/(MATCH(9.99E+307,'Returns (Calc)'!$A:$A)-3),"")</f>
        <v>7.7026415094339598</v>
      </c>
      <c r="Y134" s="84">
        <f>IFERROR('Price History'!D3+(INDEX('Price History'!D:D,MATCH(9.99E+307,'Price History'!$A:$A))-'Price History'!D3)*(ROW()-3)/(MATCH(9.99E+307,'Returns (Calc)'!$A:$A)-3),"")</f>
        <v>116.53987421383647</v>
      </c>
      <c r="Z134" s="84">
        <f>IFERROR('Price History'!E3+(INDEX('Price History'!E:E,MATCH(9.99E+307,'Price History'!$A:$A))-'Price History'!E3)*(ROW()-3)/(MATCH(9.99E+307,'Returns (Calc)'!$A:$A)-3),"")</f>
        <v>14.61283018867924</v>
      </c>
      <c r="AA134" s="84">
        <f>IFERROR('Price History'!F3+(INDEX('Price History'!F:F,MATCH(9.99E+307,'Price History'!$A:$A))-'Price History'!F3)*(ROW()-3)/(MATCH(9.99E+307,'Returns (Calc)'!$A:$A)-3),"")</f>
        <v>6.5262893081761</v>
      </c>
      <c r="AB134" s="84">
        <f>IFERROR('Price History'!G3+(INDEX('Price History'!G:G,MATCH(9.99E+307,'Price History'!$A:$A))-'Price History'!G3)*(ROW()-3)/(MATCH(9.99E+307,'Returns (Calc)'!$A:$A)-3),"")</f>
        <v>8.4352201257861665</v>
      </c>
      <c r="AC134" s="84">
        <f>IFERROR('Price History'!H3+(INDEX('Price History'!H:H,MATCH(9.99E+307,'Price History'!$A:$A))-'Price History'!H3)*(ROW()-3)/(MATCH(9.99E+307,'Returns (Calc)'!$A:$A)-3),"")</f>
        <v>11.335597484276725</v>
      </c>
      <c r="AD134" s="84">
        <f>IFERROR('Price History'!I3+(INDEX('Price History'!I:I,MATCH(9.99E+307,'Price History'!$A:$A))-'Price History'!I3)*(ROW()-3)/(MATCH(9.99E+307,'Returns (Calc)'!$A:$A)-3),"")</f>
        <v>7.1937106918238953</v>
      </c>
      <c r="AE134" s="84">
        <f>IFERROR('Price History'!J3+(INDEX('Price History'!J:J,MATCH(9.99E+307,'Price History'!$A:$A))-'Price History'!J3)*(ROW()-3)/(MATCH(9.99E+307,'Returns (Calc)'!$A:$A)-3),"")</f>
        <v>21.750188679245284</v>
      </c>
      <c r="AF134" s="84">
        <f>IFERROR('Price History'!K3+(INDEX('Price History'!K:K,MATCH(9.99E+307,'Price History'!$A:$A))-'Price History'!K3)*(ROW()-3)/(MATCH(9.99E+307,'Returns (Calc)'!$A:$A)-3),"")</f>
        <v>2.7137106918238985</v>
      </c>
      <c r="AG134" s="84">
        <f>IFERROR('Price History'!L3+(INDEX('Price History'!L:L,MATCH(9.99E+307,'Price History'!$A:$A))-'Price History'!L3)*(ROW()-3)/(MATCH(9.99E+307,'Returns (Calc)'!$A:$A)-3),"")</f>
        <v>16.199496855345913</v>
      </c>
      <c r="AH134" s="84">
        <f>IFERROR('Price History'!M3+(INDEX('Price History'!M:M,MATCH(9.99E+307,'Price History'!$A:$A))-'Price History'!M3)*(ROW()-3)/(MATCH(9.99E+307,'Returns (Calc)'!$A:$A)-3),"")</f>
        <v>5.9011320754717005</v>
      </c>
      <c r="AI134" s="84">
        <f>IFERROR('Price History'!N3+(INDEX('Price History'!N:N,MATCH(9.99E+307,'Price History'!$A:$A))-'Price History'!N3)*(ROW()-3)/(MATCH(9.99E+307,'Returns (Calc)'!$A:$A)-3),"")</f>
        <v>61.61056603773585</v>
      </c>
      <c r="AJ134" s="84">
        <f>IFERROR('Price History'!O3+(INDEX('Price History'!O:O,MATCH(9.99E+307,'Price History'!$A:$A))-'Price History'!O3)*(ROW()-3)/(MATCH(9.99E+307,'Returns (Calc)'!$A:$A)-3),"")</f>
        <v>14.589937106918242</v>
      </c>
      <c r="AK134" s="84">
        <f>IFERROR('Price History'!Q3+(INDEX('Price History'!Q:Q,MATCH(9.99E+307,'Price History'!$A:$A))-'Price History'!Q3)*(ROW()-3)/(MATCH(9.99E+307,'Returns (Calc)'!$A:$A)-3),"")</f>
        <v>8.7768553459119474</v>
      </c>
      <c r="AL134" s="84">
        <f>IFERROR('Price History'!R3+(INDEX('Price History'!R:R,MATCH(9.99E+307,'Price History'!$A:$A))-'Price History'!R3)*(ROW()-3)/(MATCH(9.99E+307,'Returns (Calc)'!$A:$A)-3),"")</f>
        <v>8.4211320754716965</v>
      </c>
      <c r="AM134" s="84">
        <f>IFERROR('Price History'!S3+(INDEX('Price History'!S:S,MATCH(9.99E+307,'Price History'!$A:$A))-'Price History'!S3)*(ROW()-3)/(MATCH(9.99E+307,'Returns (Calc)'!$A:$A)-3),"")</f>
        <v>10.308930817610062</v>
      </c>
      <c r="AN134" s="84">
        <f>IFERROR('Price History'!T3+(INDEX('Price History'!T:T,MATCH(9.99E+307,'Price History'!$A:$A))-'Price History'!T3)*(ROW()-3)/(MATCH(9.99E+307,'Returns (Calc)'!$A:$A)-3),"")</f>
        <v>4.7388679245283001</v>
      </c>
      <c r="AO134" s="85">
        <f>IFERROR('Price History'!V3+(INDEX('Price History'!V:V,MATCH(9.99E+307,'Price History'!$A:$A))-'Price History'!V3)*(ROW()-3)/(MATCH(9.99E+307,'Returns (Calc)'!$A:$A)-3),"")</f>
        <v>0</v>
      </c>
    </row>
    <row r="135" spans="1:41" ht="15" customHeight="1" x14ac:dyDescent="0.3">
      <c r="A135" s="81">
        <f>IF('Price History'!A136="","",'Price History'!A136)</f>
        <v>46080</v>
      </c>
      <c r="B135" s="82">
        <f>IFERROR(IF(OR(NOT(ISNUMBER('Price History'!B136)),NOT(ISNUMBER('Price History'!B135)),'Price History'!B135=0),"",'Price History'!B136/'Price History'!B135-1),"")</f>
        <v>1.4693940682881657E-2</v>
      </c>
      <c r="C135" s="82">
        <f>IFERROR(IF(OR(NOT(ISNUMBER('Price History'!C136)),NOT(ISNUMBER('Price History'!C135)),'Price History'!C135=0),"",'Price History'!C136/'Price History'!C135-1),"")</f>
        <v>5.3467881617592639E-3</v>
      </c>
      <c r="D135" s="82">
        <f>IFERROR(IF(OR(NOT(ISNUMBER('Price History'!D136)),NOT(ISNUMBER('Price History'!D135)),'Price History'!D135=0),"",'Price History'!D136/'Price History'!D135-1),"")</f>
        <v>-1.2949189910110959E-2</v>
      </c>
      <c r="E135" s="82">
        <f>IFERROR(IF(OR(NOT(ISNUMBER('Price History'!E136)),NOT(ISNUMBER('Price History'!E135)),'Price History'!E135=0),"",'Price History'!E136/'Price History'!E135-1),"")</f>
        <v>-3.9380730497519778E-2</v>
      </c>
      <c r="F135" s="82">
        <f>IFERROR(IF(OR(NOT(ISNUMBER('Price History'!F136)),NOT(ISNUMBER('Price History'!F135)),'Price History'!F135=0),"",'Price History'!F136/'Price History'!F135-1),"")</f>
        <v>-4.2717447246526041E-2</v>
      </c>
      <c r="G135" s="82">
        <f>IFERROR(IF(OR(NOT(ISNUMBER('Price History'!G136)),NOT(ISNUMBER('Price History'!G135)),'Price History'!G135=0),"",'Price History'!G136/'Price History'!G135-1),"")</f>
        <v>1.9117647058823684E-2</v>
      </c>
      <c r="H135" s="82">
        <f>IFERROR(IF(OR(NOT(ISNUMBER('Price History'!H136)),NOT(ISNUMBER('Price History'!H135)),'Price History'!H135=0),"",'Price History'!H136/'Price History'!H135-1),"")</f>
        <v>-3.6901230819534336E-2</v>
      </c>
      <c r="I135" s="82">
        <f>IFERROR(IF(OR(NOT(ISNUMBER('Price History'!I136)),NOT(ISNUMBER('Price History'!I135)),'Price History'!I135=0),"",'Price History'!I136/'Price History'!I135-1),"")</f>
        <v>-6.6536718996944466E-2</v>
      </c>
      <c r="J135" s="82">
        <f>IFERROR(IF(OR(NOT(ISNUMBER('Price History'!J136)),NOT(ISNUMBER('Price History'!J135)),'Price History'!J135=0),"",'Price History'!J136/'Price History'!J135-1),"")</f>
        <v>7.4906367041198685E-3</v>
      </c>
      <c r="K135" s="82">
        <f>IFERROR(IF(OR(NOT(ISNUMBER('Price History'!K136)),NOT(ISNUMBER('Price History'!K135)),'Price History'!K135=0),"",'Price History'!K136/'Price History'!K135-1),"")</f>
        <v>1.4418811002661958E-2</v>
      </c>
      <c r="L135" s="82">
        <f>IFERROR(IF(OR(NOT(ISNUMBER('Price History'!L136)),NOT(ISNUMBER('Price History'!L135)),'Price History'!L135=0),"",'Price History'!L136/'Price History'!L135-1),"")</f>
        <v>1.0903006423058192E-2</v>
      </c>
      <c r="M135" s="82">
        <f>IFERROR(IF(OR(NOT(ISNUMBER('Price History'!M136)),NOT(ISNUMBER('Price History'!M135)),'Price History'!M135=0),"",'Price History'!M136/'Price History'!M135-1),"")</f>
        <v>4.5702564102564125E-2</v>
      </c>
      <c r="N135" s="82">
        <f>IFERROR(IF(OR(NOT(ISNUMBER('Price History'!N136)),NOT(ISNUMBER('Price History'!N135)),'Price History'!N135=0),"",'Price History'!N136/'Price History'!N135-1),"")</f>
        <v>4.1790731809603798E-2</v>
      </c>
      <c r="O135" s="82">
        <f>IFERROR(IF(OR(NOT(ISNUMBER('Price History'!O136)),NOT(ISNUMBER('Price History'!O135)),'Price History'!O135=0),"",'Price History'!O136/'Price History'!O135-1),"")</f>
        <v>-2.2156828803877482E-2</v>
      </c>
      <c r="P135" s="82" t="str">
        <f>IFERROR(IF(OR(NOT(ISNUMBER('Price History'!P136)),NOT(ISNUMBER('Price History'!P135)),'Price History'!P135=0),"",'Price History'!P136/'Price History'!P135-1),"")</f>
        <v/>
      </c>
      <c r="Q135" s="82">
        <f>IFERROR(IF(OR(NOT(ISNUMBER('Price History'!Q136)),NOT(ISNUMBER('Price History'!Q135)),'Price History'!Q135=0),"",'Price History'!Q136/'Price History'!Q135-1),"")</f>
        <v>2.5672371638141955E-2</v>
      </c>
      <c r="R135" s="82">
        <f>IFERROR(IF(OR(NOT(ISNUMBER('Price History'!R136)),NOT(ISNUMBER('Price History'!R135)),'Price History'!R135=0),"",'Price History'!R136/'Price History'!R135-1),"")</f>
        <v>-1.8916595012897774E-3</v>
      </c>
      <c r="S135" s="82">
        <f>IFERROR(IF(OR(NOT(ISNUMBER('Price History'!S136)),NOT(ISNUMBER('Price History'!S135)),'Price History'!S135=0),"",'Price History'!S136/'Price History'!S135-1),"")</f>
        <v>-4.0846948982994347E-3</v>
      </c>
      <c r="T135" s="82">
        <f>IFERROR(IF(OR(NOT(ISNUMBER('Price History'!T136)),NOT(ISNUMBER('Price History'!T135)),'Price History'!T135=0),"",'Price History'!T136/'Price History'!T135-1),"")</f>
        <v>3.4705007436786062E-3</v>
      </c>
      <c r="U135" s="82" t="str">
        <f>IFERROR(IF(OR(NOT(ISNUMBER('Price History'!U136)),NOT(ISNUMBER('Price History'!U135)),'Price History'!U135=0),"",'Price History'!U136/'Price History'!U135-1),"")</f>
        <v/>
      </c>
      <c r="V135" s="83">
        <f>IFERROR(IF(OR(NOT(ISNUMBER('Price History'!V136)),NOT(ISNUMBER('Price History'!V135)),'Price History'!V135=0),"",'Price History'!V136/'Price History'!V135-1),"")</f>
        <v>-2.5024242234664706E-3</v>
      </c>
      <c r="W135" s="84" t="str">
        <f>IFERROR('Price History'!B3+(INDEX('Price History'!B:B,MATCH(9.99E+307,'Price History'!$A:$A))-'Price History'!B3)*(ROW()-3)/(MATCH(9.99E+307,'Returns (Calc)'!$A:$A)-3),"")</f>
        <v/>
      </c>
      <c r="X135" s="84">
        <f>IFERROR('Price History'!C3+(INDEX('Price History'!C:C,MATCH(9.99E+307,'Price History'!$A:$A))-'Price History'!C3)*(ROW()-3)/(MATCH(9.99E+307,'Returns (Calc)'!$A:$A)-3),"")</f>
        <v>7.4275471698113193</v>
      </c>
      <c r="Y135" s="84">
        <f>IFERROR('Price History'!D3+(INDEX('Price History'!D:D,MATCH(9.99E+307,'Price History'!$A:$A))-'Price History'!D3)*(ROW()-3)/(MATCH(9.99E+307,'Returns (Calc)'!$A:$A)-3),"")</f>
        <v>112.37773584905665</v>
      </c>
      <c r="Z135" s="84">
        <f>IFERROR('Price History'!E3+(INDEX('Price History'!E:E,MATCH(9.99E+307,'Price History'!$A:$A))-'Price History'!E3)*(ROW()-3)/(MATCH(9.99E+307,'Returns (Calc)'!$A:$A)-3),"")</f>
        <v>14.090943396226422</v>
      </c>
      <c r="AA135" s="84">
        <f>IFERROR('Price History'!F3+(INDEX('Price History'!F:F,MATCH(9.99E+307,'Price History'!$A:$A))-'Price History'!F3)*(ROW()-3)/(MATCH(9.99E+307,'Returns (Calc)'!$A:$A)-3),"")</f>
        <v>6.2932075471698141</v>
      </c>
      <c r="AB135" s="84">
        <f>IFERROR('Price History'!G3+(INDEX('Price History'!G:G,MATCH(9.99E+307,'Price History'!$A:$A))-'Price History'!G3)*(ROW()-3)/(MATCH(9.99E+307,'Returns (Calc)'!$A:$A)-3),"")</f>
        <v>8.1339622641509379</v>
      </c>
      <c r="AC135" s="84">
        <f>IFERROR('Price History'!H3+(INDEX('Price History'!H:H,MATCH(9.99E+307,'Price History'!$A:$A))-'Price History'!H3)*(ROW()-3)/(MATCH(9.99E+307,'Returns (Calc)'!$A:$A)-3),"")</f>
        <v>10.930754716981134</v>
      </c>
      <c r="AD135" s="84">
        <f>IFERROR('Price History'!I3+(INDEX('Price History'!I:I,MATCH(9.99E+307,'Price History'!$A:$A))-'Price History'!I3)*(ROW()-3)/(MATCH(9.99E+307,'Returns (Calc)'!$A:$A)-3),"")</f>
        <v>6.9367924528301899</v>
      </c>
      <c r="AE135" s="84">
        <f>IFERROR('Price History'!J3+(INDEX('Price History'!J:J,MATCH(9.99E+307,'Price History'!$A:$A))-'Price History'!J3)*(ROW()-3)/(MATCH(9.99E+307,'Returns (Calc)'!$A:$A)-3),"")</f>
        <v>20.97339622641509</v>
      </c>
      <c r="AF135" s="84">
        <f>IFERROR('Price History'!K3+(INDEX('Price History'!K:K,MATCH(9.99E+307,'Price History'!$A:$A))-'Price History'!K3)*(ROW()-3)/(MATCH(9.99E+307,'Returns (Calc)'!$A:$A)-3),"")</f>
        <v>2.6167924528301878</v>
      </c>
      <c r="AG135" s="84">
        <f>IFERROR('Price History'!L3+(INDEX('Price History'!L:L,MATCH(9.99E+307,'Price History'!$A:$A))-'Price History'!L3)*(ROW()-3)/(MATCH(9.99E+307,'Returns (Calc)'!$A:$A)-3),"")</f>
        <v>15.620943396226423</v>
      </c>
      <c r="AH135" s="84">
        <f>IFERROR('Price History'!M3+(INDEX('Price History'!M:M,MATCH(9.99E+307,'Price History'!$A:$A))-'Price History'!M3)*(ROW()-3)/(MATCH(9.99E+307,'Returns (Calc)'!$A:$A)-3),"")</f>
        <v>5.690377358490565</v>
      </c>
      <c r="AI135" s="84">
        <f>IFERROR('Price History'!N3+(INDEX('Price History'!N:N,MATCH(9.99E+307,'Price History'!$A:$A))-'Price History'!N3)*(ROW()-3)/(MATCH(9.99E+307,'Returns (Calc)'!$A:$A)-3),"")</f>
        <v>59.410188679245266</v>
      </c>
      <c r="AJ135" s="84">
        <f>IFERROR('Price History'!O3+(INDEX('Price History'!O:O,MATCH(9.99E+307,'Price History'!$A:$A))-'Price History'!O3)*(ROW()-3)/(MATCH(9.99E+307,'Returns (Calc)'!$A:$A)-3),"")</f>
        <v>14.068867924528305</v>
      </c>
      <c r="AK135" s="84">
        <f>IFERROR('Price History'!Q3+(INDEX('Price History'!Q:Q,MATCH(9.99E+307,'Price History'!$A:$A))-'Price History'!Q3)*(ROW()-3)/(MATCH(9.99E+307,'Returns (Calc)'!$A:$A)-3),"")</f>
        <v>8.4633962264150995</v>
      </c>
      <c r="AL135" s="84">
        <f>IFERROR('Price History'!R3+(INDEX('Price History'!R:R,MATCH(9.99E+307,'Price History'!$A:$A))-'Price History'!R3)*(ROW()-3)/(MATCH(9.99E+307,'Returns (Calc)'!$A:$A)-3),"")</f>
        <v>8.1203773584905647</v>
      </c>
      <c r="AM135" s="84">
        <f>IFERROR('Price History'!S3+(INDEX('Price History'!S:S,MATCH(9.99E+307,'Price History'!$A:$A))-'Price History'!S3)*(ROW()-3)/(MATCH(9.99E+307,'Returns (Calc)'!$A:$A)-3),"")</f>
        <v>9.9407547169811323</v>
      </c>
      <c r="AN135" s="84">
        <f>IFERROR('Price History'!T3+(INDEX('Price History'!T:T,MATCH(9.99E+307,'Price History'!$A:$A))-'Price History'!T3)*(ROW()-3)/(MATCH(9.99E+307,'Returns (Calc)'!$A:$A)-3),"")</f>
        <v>4.5696226415094365</v>
      </c>
      <c r="AO135" s="85">
        <f>IFERROR('Price History'!V3+(INDEX('Price History'!V:V,MATCH(9.99E+307,'Price History'!$A:$A))-'Price History'!V3)*(ROW()-3)/(MATCH(9.99E+307,'Returns (Calc)'!$A:$A)-3),"")</f>
        <v>0</v>
      </c>
    </row>
    <row r="136" spans="1:41" ht="15" customHeight="1" x14ac:dyDescent="0.3">
      <c r="A136" s="81">
        <f>IF('Price History'!A137="","",'Price History'!A137)</f>
        <v>46087</v>
      </c>
      <c r="B136" s="82">
        <f>IFERROR(IF(OR(NOT(ISNUMBER('Price History'!B137)),NOT(ISNUMBER('Price History'!B136)),'Price History'!B136=0),"",'Price History'!B137/'Price History'!B136-1),"")</f>
        <v>8.0827712358522819E-2</v>
      </c>
      <c r="C136" s="82">
        <f>IFERROR(IF(OR(NOT(ISNUMBER('Price History'!C137)),NOT(ISNUMBER('Price History'!C136)),'Price History'!C136=0),"",'Price History'!C137/'Price History'!C136-1),"")</f>
        <v>-4.5692883895132042E-3</v>
      </c>
      <c r="D136" s="82">
        <f>IFERROR(IF(OR(NOT(ISNUMBER('Price History'!D137)),NOT(ISNUMBER('Price History'!D136)),'Price History'!D136=0),"",'Price History'!D137/'Price History'!D136-1),"")</f>
        <v>-0.10875799691153765</v>
      </c>
      <c r="E136" s="82">
        <f>IFERROR(IF(OR(NOT(ISNUMBER('Price History'!E137)),NOT(ISNUMBER('Price History'!E136)),'Price History'!E136=0),"",'Price History'!E137/'Price History'!E136-1),"")</f>
        <v>3.4204349867000383E-2</v>
      </c>
      <c r="F136" s="82">
        <f>IFERROR(IF(OR(NOT(ISNUMBER('Price History'!F137)),NOT(ISNUMBER('Price History'!F136)),'Price History'!F136=0),"",'Price History'!F137/'Price History'!F136-1),"")</f>
        <v>0.15322580645161299</v>
      </c>
      <c r="G136" s="82">
        <f>IFERROR(IF(OR(NOT(ISNUMBER('Price History'!G137)),NOT(ISNUMBER('Price History'!G136)),'Price History'!G136=0),"",'Price History'!G137/'Price History'!G136-1),"")</f>
        <v>-0.11806375442739081</v>
      </c>
      <c r="H136" s="82">
        <f>IFERROR(IF(OR(NOT(ISNUMBER('Price History'!H137)),NOT(ISNUMBER('Price History'!H136)),'Price History'!H136=0),"",'Price History'!H137/'Price History'!H136-1),"")</f>
        <v>-0.10202003055508402</v>
      </c>
      <c r="I136" s="82">
        <f>IFERROR(IF(OR(NOT(ISNUMBER('Price History'!I137)),NOT(ISNUMBER('Price History'!I136)),'Price History'!I136=0),"",'Price History'!I137/'Price History'!I136-1),"")</f>
        <v>3.5555053896947353E-3</v>
      </c>
      <c r="J136" s="82">
        <f>IFERROR(IF(OR(NOT(ISNUMBER('Price History'!J137)),NOT(ISNUMBER('Price History'!J136)),'Price History'!J136=0),"",'Price History'!J137/'Price History'!J136-1),"")</f>
        <v>-5.6323209651399364E-2</v>
      </c>
      <c r="K136" s="82">
        <f>IFERROR(IF(OR(NOT(ISNUMBER('Price History'!K137)),NOT(ISNUMBER('Price History'!K136)),'Price History'!K136=0),"",'Price History'!K137/'Price History'!K136-1),"")</f>
        <v>0.14556454552081055</v>
      </c>
      <c r="L136" s="82">
        <f>IFERROR(IF(OR(NOT(ISNUMBER('Price History'!L137)),NOT(ISNUMBER('Price History'!L136)),'Price History'!L136=0),"",'Price History'!L137/'Price History'!L136-1),"")</f>
        <v>-9.52800469859576E-2</v>
      </c>
      <c r="M136" s="82">
        <f>IFERROR(IF(OR(NOT(ISNUMBER('Price History'!M137)),NOT(ISNUMBER('Price History'!M136)),'Price History'!M136=0),"",'Price History'!M137/'Price History'!M136-1),"")</f>
        <v>-5.1433951900819896E-2</v>
      </c>
      <c r="N136" s="82">
        <f>IFERROR(IF(OR(NOT(ISNUMBER('Price History'!N137)),NOT(ISNUMBER('Price History'!N136)),'Price History'!N136=0),"",'Price History'!N137/'Price History'!N136-1),"")</f>
        <v>-8.0792222691866367E-2</v>
      </c>
      <c r="O136" s="82">
        <f>IFERROR(IF(OR(NOT(ISNUMBER('Price History'!O137)),NOT(ISNUMBER('Price History'!O136)),'Price History'!O136=0),"",'Price History'!O137/'Price History'!O136-1),"")</f>
        <v>-3.8325367321649817E-2</v>
      </c>
      <c r="P136" s="82" t="str">
        <f>IFERROR(IF(OR(NOT(ISNUMBER('Price History'!P137)),NOT(ISNUMBER('Price History'!P136)),'Price History'!P136=0),"",'Price History'!P137/'Price History'!P136-1),"")</f>
        <v/>
      </c>
      <c r="Q136" s="82">
        <f>IFERROR(IF(OR(NOT(ISNUMBER('Price History'!Q137)),NOT(ISNUMBER('Price History'!Q136)),'Price History'!Q136=0),"",'Price History'!Q137/'Price History'!Q136-1),"")</f>
        <v>2.2348033373060794E-3</v>
      </c>
      <c r="R136" s="82">
        <f>IFERROR(IF(OR(NOT(ISNUMBER('Price History'!R137)),NOT(ISNUMBER('Price History'!R136)),'Price History'!R136=0),"",'Price History'!R137/'Price History'!R136-1),"")</f>
        <v>-2.0503101309441774E-2</v>
      </c>
      <c r="S136" s="82">
        <f>IFERROR(IF(OR(NOT(ISNUMBER('Price History'!S137)),NOT(ISNUMBER('Price History'!S136)),'Price History'!S136=0),"",'Price History'!S137/'Price History'!S136-1),"")</f>
        <v>-1.0295471666527223E-2</v>
      </c>
      <c r="T136" s="82">
        <f>IFERROR(IF(OR(NOT(ISNUMBER('Price History'!T137)),NOT(ISNUMBER('Price History'!T136)),'Price History'!T136=0),"",'Price History'!T137/'Price History'!T136-1),"")</f>
        <v>-9.1403162055335718E-3</v>
      </c>
      <c r="U136" s="82" t="str">
        <f>IFERROR(IF(OR(NOT(ISNUMBER('Price History'!U137)),NOT(ISNUMBER('Price History'!U136)),'Price History'!U136=0),"",'Price History'!U137/'Price History'!U136-1),"")</f>
        <v/>
      </c>
      <c r="V136" s="83">
        <f>IFERROR(IF(OR(NOT(ISNUMBER('Price History'!V137)),NOT(ISNUMBER('Price History'!V136)),'Price History'!V136=0),"",'Price History'!V137/'Price History'!V136-1),"")</f>
        <v>-8.6863808836902257E-3</v>
      </c>
      <c r="W136" s="84" t="str">
        <f>IFERROR('Price History'!B3+(INDEX('Price History'!B:B,MATCH(9.99E+307,'Price History'!$A:$A))-'Price History'!B3)*(ROW()-3)/(MATCH(9.99E+307,'Returns (Calc)'!$A:$A)-3),"")</f>
        <v/>
      </c>
      <c r="X136" s="84">
        <f>IFERROR('Price History'!C3+(INDEX('Price History'!C:C,MATCH(9.99E+307,'Price History'!$A:$A))-'Price History'!C3)*(ROW()-3)/(MATCH(9.99E+307,'Returns (Calc)'!$A:$A)-3),"")</f>
        <v>7.1524528301886789</v>
      </c>
      <c r="Y136" s="84">
        <f>IFERROR('Price History'!D3+(INDEX('Price History'!D:D,MATCH(9.99E+307,'Price History'!$A:$A))-'Price History'!D3)*(ROW()-3)/(MATCH(9.99E+307,'Returns (Calc)'!$A:$A)-3),"")</f>
        <v>108.21559748427671</v>
      </c>
      <c r="Z136" s="84">
        <f>IFERROR('Price History'!E3+(INDEX('Price History'!E:E,MATCH(9.99E+307,'Price History'!$A:$A))-'Price History'!E3)*(ROW()-3)/(MATCH(9.99E+307,'Returns (Calc)'!$A:$A)-3),"")</f>
        <v>13.569056603773589</v>
      </c>
      <c r="AA136" s="84">
        <f>IFERROR('Price History'!F3+(INDEX('Price History'!F:F,MATCH(9.99E+307,'Price History'!$A:$A))-'Price History'!F3)*(ROW()-3)/(MATCH(9.99E+307,'Returns (Calc)'!$A:$A)-3),"")</f>
        <v>6.0601257861635212</v>
      </c>
      <c r="AB136" s="84">
        <f>IFERROR('Price History'!G3+(INDEX('Price History'!G:G,MATCH(9.99E+307,'Price History'!$A:$A))-'Price History'!G3)*(ROW()-3)/(MATCH(9.99E+307,'Returns (Calc)'!$A:$A)-3),"")</f>
        <v>7.8327044025157235</v>
      </c>
      <c r="AC136" s="84">
        <f>IFERROR('Price History'!H3+(INDEX('Price History'!H:H,MATCH(9.99E+307,'Price History'!$A:$A))-'Price History'!H3)*(ROW()-3)/(MATCH(9.99E+307,'Returns (Calc)'!$A:$A)-3),"")</f>
        <v>10.525911949685536</v>
      </c>
      <c r="AD136" s="84">
        <f>IFERROR('Price History'!I3+(INDEX('Price History'!I:I,MATCH(9.99E+307,'Price History'!$A:$A))-'Price History'!I3)*(ROW()-3)/(MATCH(9.99E+307,'Returns (Calc)'!$A:$A)-3),"")</f>
        <v>6.6798742138364773</v>
      </c>
      <c r="AE136" s="84">
        <f>IFERROR('Price History'!J3+(INDEX('Price History'!J:J,MATCH(9.99E+307,'Price History'!$A:$A))-'Price History'!J3)*(ROW()-3)/(MATCH(9.99E+307,'Returns (Calc)'!$A:$A)-3),"")</f>
        <v>20.196603773584897</v>
      </c>
      <c r="AF136" s="84">
        <f>IFERROR('Price History'!K3+(INDEX('Price History'!K:K,MATCH(9.99E+307,'Price History'!$A:$A))-'Price History'!K3)*(ROW()-3)/(MATCH(9.99E+307,'Returns (Calc)'!$A:$A)-3),"")</f>
        <v>2.5198742138364771</v>
      </c>
      <c r="AG136" s="84">
        <f>IFERROR('Price History'!L3+(INDEX('Price History'!L:L,MATCH(9.99E+307,'Price History'!$A:$A))-'Price History'!L3)*(ROW()-3)/(MATCH(9.99E+307,'Returns (Calc)'!$A:$A)-3),"")</f>
        <v>15.042389937106918</v>
      </c>
      <c r="AH136" s="84">
        <f>IFERROR('Price History'!M3+(INDEX('Price History'!M:M,MATCH(9.99E+307,'Price History'!$A:$A))-'Price History'!M3)*(ROW()-3)/(MATCH(9.99E+307,'Returns (Calc)'!$A:$A)-3),"")</f>
        <v>5.4796226415094331</v>
      </c>
      <c r="AI136" s="84">
        <f>IFERROR('Price History'!N3+(INDEX('Price History'!N:N,MATCH(9.99E+307,'Price History'!$A:$A))-'Price History'!N3)*(ROW()-3)/(MATCH(9.99E+307,'Returns (Calc)'!$A:$A)-3),"")</f>
        <v>57.209811320754682</v>
      </c>
      <c r="AJ136" s="84">
        <f>IFERROR('Price History'!O3+(INDEX('Price History'!O:O,MATCH(9.99E+307,'Price History'!$A:$A))-'Price History'!O3)*(ROW()-3)/(MATCH(9.99E+307,'Returns (Calc)'!$A:$A)-3),"")</f>
        <v>13.547798742138369</v>
      </c>
      <c r="AK136" s="84">
        <f>IFERROR('Price History'!Q3+(INDEX('Price History'!Q:Q,MATCH(9.99E+307,'Price History'!$A:$A))-'Price History'!Q3)*(ROW()-3)/(MATCH(9.99E+307,'Returns (Calc)'!$A:$A)-3),"")</f>
        <v>8.1499371069182374</v>
      </c>
      <c r="AL136" s="84">
        <f>IFERROR('Price History'!R3+(INDEX('Price History'!R:R,MATCH(9.99E+307,'Price History'!$A:$A))-'Price History'!R3)*(ROW()-3)/(MATCH(9.99E+307,'Returns (Calc)'!$A:$A)-3),"")</f>
        <v>7.819622641509433</v>
      </c>
      <c r="AM136" s="84">
        <f>IFERROR('Price History'!S3+(INDEX('Price History'!S:S,MATCH(9.99E+307,'Price History'!$A:$A))-'Price History'!S3)*(ROW()-3)/(MATCH(9.99E+307,'Returns (Calc)'!$A:$A)-3),"")</f>
        <v>9.5725786163522031</v>
      </c>
      <c r="AN136" s="84">
        <f>IFERROR('Price History'!T3+(INDEX('Price History'!T:T,MATCH(9.99E+307,'Price History'!$A:$A))-'Price History'!T3)*(ROW()-3)/(MATCH(9.99E+307,'Returns (Calc)'!$A:$A)-3),"")</f>
        <v>4.4003773584905659</v>
      </c>
      <c r="AO136" s="85">
        <f>IFERROR('Price History'!V3+(INDEX('Price History'!V:V,MATCH(9.99E+307,'Price History'!$A:$A))-'Price History'!V3)*(ROW()-3)/(MATCH(9.99E+307,'Returns (Calc)'!$A:$A)-3),"")</f>
        <v>0</v>
      </c>
    </row>
    <row r="137" spans="1:41" ht="15" customHeight="1" x14ac:dyDescent="0.3">
      <c r="A137" s="81">
        <f>IF('Price History'!A138="","",'Price History'!A138)</f>
        <v>46094</v>
      </c>
      <c r="B137" s="82">
        <f>IFERROR(IF(OR(NOT(ISNUMBER('Price History'!B138)),NOT(ISNUMBER('Price History'!B137)),'Price History'!B137=0),"",'Price History'!B138/'Price History'!B137-1),"")</f>
        <v>-0.12093646428319582</v>
      </c>
      <c r="C137" s="82">
        <f>IFERROR(IF(OR(NOT(ISNUMBER('Price History'!C138)),NOT(ISNUMBER('Price History'!C137)),'Price History'!C137=0),"",'Price History'!C138/'Price History'!C137-1),"")</f>
        <v>5.1170140717886614E-3</v>
      </c>
      <c r="D137" s="82">
        <f>IFERROR(IF(OR(NOT(ISNUMBER('Price History'!D138)),NOT(ISNUMBER('Price History'!D137)),'Price History'!D137=0),"",'Price History'!D138/'Price History'!D137-1),"")</f>
        <v>4.0911200495049593E-2</v>
      </c>
      <c r="E137" s="82">
        <f>IFERROR(IF(OR(NOT(ISNUMBER('Price History'!E138)),NOT(ISNUMBER('Price History'!E137)),'Price History'!E137=0),"",'Price History'!E138/'Price History'!E137-1),"")</f>
        <v>-2.5175502299685237E-2</v>
      </c>
      <c r="F137" s="82">
        <f>IFERROR(IF(OR(NOT(ISNUMBER('Price History'!F138)),NOT(ISNUMBER('Price History'!F137)),'Price History'!F137=0),"",'Price History'!F138/'Price History'!F137-1),"")</f>
        <v>2.9836829836829892E-2</v>
      </c>
      <c r="G137" s="82">
        <f>IFERROR(IF(OR(NOT(ISNUMBER('Price History'!G138)),NOT(ISNUMBER('Price History'!G137)),'Price History'!G137=0),"",'Price History'!G138/'Price History'!G137-1),"")</f>
        <v>5.5034954633348177E-2</v>
      </c>
      <c r="H137" s="82">
        <f>IFERROR(IF(OR(NOT(ISNUMBER('Price History'!H138)),NOT(ISNUMBER('Price History'!H137)),'Price History'!H137=0),"",'Price History'!H138/'Price History'!H137-1),"")</f>
        <v>0.1507696462327841</v>
      </c>
      <c r="I137" s="82">
        <f>IFERROR(IF(OR(NOT(ISNUMBER('Price History'!I138)),NOT(ISNUMBER('Price History'!I137)),'Price History'!I137=0),"",'Price History'!I138/'Price History'!I137-1),"")</f>
        <v>1.3665504442694987E-2</v>
      </c>
      <c r="J137" s="82">
        <f>IFERROR(IF(OR(NOT(ISNUMBER('Price History'!J138)),NOT(ISNUMBER('Price History'!J137)),'Price History'!J137=0),"",'Price History'!J138/'Price History'!J137-1),"")</f>
        <v>-2.0737327188940058E-2</v>
      </c>
      <c r="K137" s="82">
        <f>IFERROR(IF(OR(NOT(ISNUMBER('Price History'!K138)),NOT(ISNUMBER('Price History'!K137)),'Price History'!K137=0),"",'Price History'!K138/'Price History'!K137-1),"")</f>
        <v>-3.9513871214049479E-2</v>
      </c>
      <c r="L137" s="82">
        <f>IFERROR(IF(OR(NOT(ISNUMBER('Price History'!L138)),NOT(ISNUMBER('Price History'!L137)),'Price History'!L137=0),"",'Price History'!L138/'Price History'!L137-1),"")</f>
        <v>-1.7114697984595972E-3</v>
      </c>
      <c r="M137" s="82">
        <f>IFERROR(IF(OR(NOT(ISNUMBER('Price History'!M138)),NOT(ISNUMBER('Price History'!M137)),'Price History'!M137=0),"",'Price History'!M138/'Price History'!M137-1),"")</f>
        <v>7.0725452891057916E-2</v>
      </c>
      <c r="N137" s="82">
        <f>IFERROR(IF(OR(NOT(ISNUMBER('Price History'!N138)),NOT(ISNUMBER('Price History'!N137)),'Price History'!N137=0),"",'Price History'!N138/'Price History'!N137-1),"")</f>
        <v>2.7699314633558902E-2</v>
      </c>
      <c r="O137" s="82">
        <f>IFERROR(IF(OR(NOT(ISNUMBER('Price History'!O138)),NOT(ISNUMBER('Price History'!O137)),'Price History'!O137=0),"",'Price History'!O138/'Price History'!O137-1),"")</f>
        <v>-2.1721122871606102E-2</v>
      </c>
      <c r="P137" s="82" t="str">
        <f>IFERROR(IF(OR(NOT(ISNUMBER('Price History'!P138)),NOT(ISNUMBER('Price History'!P137)),'Price History'!P137=0),"",'Price History'!P138/'Price History'!P137-1),"")</f>
        <v/>
      </c>
      <c r="Q137" s="82">
        <f>IFERROR(IF(OR(NOT(ISNUMBER('Price History'!Q138)),NOT(ISNUMBER('Price History'!Q137)),'Price History'!Q137=0),"",'Price History'!Q138/'Price History'!Q137-1),"")</f>
        <v>4.0136762301175022E-3</v>
      </c>
      <c r="R137" s="82">
        <f>IFERROR(IF(OR(NOT(ISNUMBER('Price History'!R138)),NOT(ISNUMBER('Price History'!R137)),'Price History'!R137=0),"",'Price History'!R138/'Price History'!R137-1),"")</f>
        <v>-5.1011433597185629E-3</v>
      </c>
      <c r="S137" s="82">
        <f>IFERROR(IF(OR(NOT(ISNUMBER('Price History'!S138)),NOT(ISNUMBER('Price History'!S137)),'Price History'!S137=0),"",'Price History'!S138/'Price History'!S137-1),"")</f>
        <v>-1.7422192151556049E-2</v>
      </c>
      <c r="T137" s="82">
        <f>IFERROR(IF(OR(NOT(ISNUMBER('Price History'!T138)),NOT(ISNUMBER('Price History'!T137)),'Price History'!T137=0),"",'Price History'!T138/'Price History'!T137-1),"")</f>
        <v>-2.2687609075043524E-2</v>
      </c>
      <c r="U137" s="82" t="str">
        <f>IFERROR(IF(OR(NOT(ISNUMBER('Price History'!U138)),NOT(ISNUMBER('Price History'!U137)),'Price History'!U137=0),"",'Price History'!U138/'Price History'!U137-1),"")</f>
        <v/>
      </c>
      <c r="V137" s="83">
        <f>IFERROR(IF(OR(NOT(ISNUMBER('Price History'!V138)),NOT(ISNUMBER('Price History'!V137)),'Price History'!V137=0),"",'Price History'!V138/'Price History'!V137-1),"")</f>
        <v>-3.2202960900923672E-2</v>
      </c>
      <c r="W137" s="84" t="str">
        <f>IFERROR('Price History'!B3+(INDEX('Price History'!B:B,MATCH(9.99E+307,'Price History'!$A:$A))-'Price History'!B3)*(ROW()-3)/(MATCH(9.99E+307,'Returns (Calc)'!$A:$A)-3),"")</f>
        <v/>
      </c>
      <c r="X137" s="84">
        <f>IFERROR('Price History'!C3+(INDEX('Price History'!C:C,MATCH(9.99E+307,'Price History'!$A:$A))-'Price History'!C3)*(ROW()-3)/(MATCH(9.99E+307,'Returns (Calc)'!$A:$A)-3),"")</f>
        <v>6.8773584905660385</v>
      </c>
      <c r="Y137" s="84">
        <f>IFERROR('Price History'!D3+(INDEX('Price History'!D:D,MATCH(9.99E+307,'Price History'!$A:$A))-'Price History'!D3)*(ROW()-3)/(MATCH(9.99E+307,'Returns (Calc)'!$A:$A)-3),"")</f>
        <v>104.05345911949689</v>
      </c>
      <c r="Z137" s="84">
        <f>IFERROR('Price History'!E3+(INDEX('Price History'!E:E,MATCH(9.99E+307,'Price History'!$A:$A))-'Price History'!E3)*(ROW()-3)/(MATCH(9.99E+307,'Returns (Calc)'!$A:$A)-3),"")</f>
        <v>13.047169811320757</v>
      </c>
      <c r="AA137" s="84">
        <f>IFERROR('Price History'!F3+(INDEX('Price History'!F:F,MATCH(9.99E+307,'Price History'!$A:$A))-'Price History'!F3)*(ROW()-3)/(MATCH(9.99E+307,'Returns (Calc)'!$A:$A)-3),"")</f>
        <v>5.8270440251572353</v>
      </c>
      <c r="AB137" s="84">
        <f>IFERROR('Price History'!G3+(INDEX('Price History'!G:G,MATCH(9.99E+307,'Price History'!$A:$A))-'Price History'!G3)*(ROW()-3)/(MATCH(9.99E+307,'Returns (Calc)'!$A:$A)-3),"")</f>
        <v>7.531446540880502</v>
      </c>
      <c r="AC137" s="84">
        <f>IFERROR('Price History'!H3+(INDEX('Price History'!H:H,MATCH(9.99E+307,'Price History'!$A:$A))-'Price History'!H3)*(ROW()-3)/(MATCH(9.99E+307,'Returns (Calc)'!$A:$A)-3),"")</f>
        <v>10.121069182389945</v>
      </c>
      <c r="AD137" s="84">
        <f>IFERROR('Price History'!I3+(INDEX('Price History'!I:I,MATCH(9.99E+307,'Price History'!$A:$A))-'Price History'!I3)*(ROW()-3)/(MATCH(9.99E+307,'Returns (Calc)'!$A:$A)-3),"")</f>
        <v>6.4229559748427647</v>
      </c>
      <c r="AE137" s="84">
        <f>IFERROR('Price History'!J3+(INDEX('Price History'!J:J,MATCH(9.99E+307,'Price History'!$A:$A))-'Price History'!J3)*(ROW()-3)/(MATCH(9.99E+307,'Returns (Calc)'!$A:$A)-3),"")</f>
        <v>19.419811320754718</v>
      </c>
      <c r="AF137" s="84">
        <f>IFERROR('Price History'!K3+(INDEX('Price History'!K:K,MATCH(9.99E+307,'Price History'!$A:$A))-'Price History'!K3)*(ROW()-3)/(MATCH(9.99E+307,'Returns (Calc)'!$A:$A)-3),"")</f>
        <v>2.4229559748427665</v>
      </c>
      <c r="AG137" s="84">
        <f>IFERROR('Price History'!L3+(INDEX('Price History'!L:L,MATCH(9.99E+307,'Price History'!$A:$A))-'Price History'!L3)*(ROW()-3)/(MATCH(9.99E+307,'Returns (Calc)'!$A:$A)-3),"")</f>
        <v>14.463836477987414</v>
      </c>
      <c r="AH137" s="84">
        <f>IFERROR('Price History'!M3+(INDEX('Price History'!M:M,MATCH(9.99E+307,'Price History'!$A:$A))-'Price History'!M3)*(ROW()-3)/(MATCH(9.99E+307,'Returns (Calc)'!$A:$A)-3),"")</f>
        <v>5.2688679245282977</v>
      </c>
      <c r="AI137" s="84">
        <f>IFERROR('Price History'!N3+(INDEX('Price History'!N:N,MATCH(9.99E+307,'Price History'!$A:$A))-'Price History'!N3)*(ROW()-3)/(MATCH(9.99E+307,'Returns (Calc)'!$A:$A)-3),"")</f>
        <v>55.009433962264154</v>
      </c>
      <c r="AJ137" s="84">
        <f>IFERROR('Price History'!O3+(INDEX('Price History'!O:O,MATCH(9.99E+307,'Price History'!$A:$A))-'Price History'!O3)*(ROW()-3)/(MATCH(9.99E+307,'Returns (Calc)'!$A:$A)-3),"")</f>
        <v>13.026729559748418</v>
      </c>
      <c r="AK137" s="84">
        <f>IFERROR('Price History'!Q3+(INDEX('Price History'!Q:Q,MATCH(9.99E+307,'Price History'!$A:$A))-'Price History'!Q3)*(ROW()-3)/(MATCH(9.99E+307,'Returns (Calc)'!$A:$A)-3),"")</f>
        <v>7.8364779874213824</v>
      </c>
      <c r="AL137" s="84">
        <f>IFERROR('Price History'!R3+(INDEX('Price History'!R:R,MATCH(9.99E+307,'Price History'!$A:$A))-'Price History'!R3)*(ROW()-3)/(MATCH(9.99E+307,'Returns (Calc)'!$A:$A)-3),"")</f>
        <v>7.5188679245283012</v>
      </c>
      <c r="AM137" s="84">
        <f>IFERROR('Price History'!S3+(INDEX('Price History'!S:S,MATCH(9.99E+307,'Price History'!$A:$A))-'Price History'!S3)*(ROW()-3)/(MATCH(9.99E+307,'Returns (Calc)'!$A:$A)-3),"")</f>
        <v>9.2044025157232738</v>
      </c>
      <c r="AN137" s="84">
        <f>IFERROR('Price History'!T3+(INDEX('Price History'!T:T,MATCH(9.99E+307,'Price History'!$A:$A))-'Price History'!T3)*(ROW()-3)/(MATCH(9.99E+307,'Returns (Calc)'!$A:$A)-3),"")</f>
        <v>4.2311320754716988</v>
      </c>
      <c r="AO137" s="85">
        <f>IFERROR('Price History'!V3+(INDEX('Price History'!V:V,MATCH(9.99E+307,'Price History'!$A:$A))-'Price History'!V3)*(ROW()-3)/(MATCH(9.99E+307,'Returns (Calc)'!$A:$A)-3),"")</f>
        <v>0</v>
      </c>
    </row>
    <row r="138" spans="1:41" ht="15" customHeight="1" x14ac:dyDescent="0.3">
      <c r="A138" s="81">
        <f>IF('Price History'!A139="","",'Price History'!A139)</f>
        <v>46101</v>
      </c>
      <c r="B138" s="82">
        <f>IFERROR(IF(OR(NOT(ISNUMBER('Price History'!B139)),NOT(ISNUMBER('Price History'!B138)),'Price History'!B138=0),"",'Price History'!B139/'Price History'!B138-1),"")</f>
        <v>-4.6927643189474955E-3</v>
      </c>
      <c r="C138" s="82">
        <f>IFERROR(IF(OR(NOT(ISNUMBER('Price History'!C139)),NOT(ISNUMBER('Price History'!C138)),'Price History'!C138=0),"",'Price History'!C139/'Price History'!C138-1),"")</f>
        <v>-1.7593771056374941E-2</v>
      </c>
      <c r="D138" s="82">
        <f>IFERROR(IF(OR(NOT(ISNUMBER('Price History'!D139)),NOT(ISNUMBER('Price History'!D138)),'Price History'!D138=0),"",'Price History'!D139/'Price History'!D138-1),"")</f>
        <v>-2.1134139363449322E-2</v>
      </c>
      <c r="E138" s="82">
        <f>IFERROR(IF(OR(NOT(ISNUMBER('Price History'!E139)),NOT(ISNUMBER('Price History'!E138)),'Price History'!E138=0),"",'Price History'!E139/'Price History'!E138-1),"")</f>
        <v>-3.6162155450707778E-2</v>
      </c>
      <c r="F138" s="82">
        <f>IFERROR(IF(OR(NOT(ISNUMBER('Price History'!F139)),NOT(ISNUMBER('Price History'!F138)),'Price History'!F138=0),"",'Price History'!F139/'Price History'!F138-1),"")</f>
        <v>-7.4241738343141739E-2</v>
      </c>
      <c r="G138" s="82">
        <f>IFERROR(IF(OR(NOT(ISNUMBER('Price History'!G139)),NOT(ISNUMBER('Price History'!G138)),'Price History'!G138=0),"",'Price History'!G139/'Price History'!G138-1),"")</f>
        <v>5.6464119554490377E-2</v>
      </c>
      <c r="H138" s="82">
        <f>IFERROR(IF(OR(NOT(ISNUMBER('Price History'!H139)),NOT(ISNUMBER('Price History'!H138)),'Price History'!H138=0),"",'Price History'!H139/'Price History'!H138-1),"")</f>
        <v>-7.5798465257082004E-3</v>
      </c>
      <c r="I138" s="82">
        <f>IFERROR(IF(OR(NOT(ISNUMBER('Price History'!I139)),NOT(ISNUMBER('Price History'!I138)),'Price History'!I138=0),"",'Price History'!I139/'Price History'!I138-1),"")</f>
        <v>-4.1886269070735116E-2</v>
      </c>
      <c r="J138" s="82">
        <f>IFERROR(IF(OR(NOT(ISNUMBER('Price History'!J139)),NOT(ISNUMBER('Price History'!J138)),'Price History'!J138=0),"",'Price History'!J139/'Price History'!J138-1),"")</f>
        <v>-2.8387096774193599E-2</v>
      </c>
      <c r="K138" s="82">
        <f>IFERROR(IF(OR(NOT(ISNUMBER('Price History'!K139)),NOT(ISNUMBER('Price History'!K138)),'Price History'!K138=0),"",'Price History'!K139/'Price History'!K138-1),"")</f>
        <v>-1.7886717456110368E-3</v>
      </c>
      <c r="L138" s="82">
        <f>IFERROR(IF(OR(NOT(ISNUMBER('Price History'!L139)),NOT(ISNUMBER('Price History'!L138)),'Price History'!L138=0),"",'Price History'!L139/'Price History'!L138-1),"")</f>
        <v>-2.6809730720345204E-2</v>
      </c>
      <c r="M138" s="82">
        <f>IFERROR(IF(OR(NOT(ISNUMBER('Price History'!M139)),NOT(ISNUMBER('Price History'!M138)),'Price History'!M138=0),"",'Price History'!M139/'Price History'!M138-1),"")</f>
        <v>-1.1588380716934465E-2</v>
      </c>
      <c r="N138" s="82">
        <f>IFERROR(IF(OR(NOT(ISNUMBER('Price History'!N139)),NOT(ISNUMBER('Price History'!N138)),'Price History'!N138=0),"",'Price History'!N139/'Price History'!N138-1),"")</f>
        <v>-3.2684194826777979E-2</v>
      </c>
      <c r="O138" s="82">
        <f>IFERROR(IF(OR(NOT(ISNUMBER('Price History'!O139)),NOT(ISNUMBER('Price History'!O138)),'Price History'!O138=0),"",'Price History'!O139/'Price History'!O138-1),"")</f>
        <v>-1.9757267852102967E-3</v>
      </c>
      <c r="P138" s="82" t="str">
        <f>IFERROR(IF(OR(NOT(ISNUMBER('Price History'!P139)),NOT(ISNUMBER('Price History'!P138)),'Price History'!P138=0),"",'Price History'!P139/'Price History'!P138-1),"")</f>
        <v/>
      </c>
      <c r="Q138" s="82">
        <f>IFERROR(IF(OR(NOT(ISNUMBER('Price History'!Q139)),NOT(ISNUMBER('Price History'!Q138)),'Price History'!Q138=0),"",'Price History'!Q139/'Price History'!Q138-1),"")</f>
        <v>2.0728457210541507E-3</v>
      </c>
      <c r="R138" s="82">
        <f>IFERROR(IF(OR(NOT(ISNUMBER('Price History'!R139)),NOT(ISNUMBER('Price History'!R138)),'Price History'!R138=0),"",'Price History'!R139/'Price History'!R138-1),"")</f>
        <v>-1.4144271570014189E-2</v>
      </c>
      <c r="S138" s="82">
        <f>IFERROR(IF(OR(NOT(ISNUMBER('Price History'!S139)),NOT(ISNUMBER('Price History'!S138)),'Price History'!S138=0),"",'Price History'!S139/'Price History'!S138-1),"")</f>
        <v>-2.0657600275434729E-2</v>
      </c>
      <c r="T138" s="82">
        <f>IFERROR(IF(OR(NOT(ISNUMBER('Price History'!T139)),NOT(ISNUMBER('Price History'!T138)),'Price History'!T138=0),"",'Price History'!T139/'Price History'!T138-1),"")</f>
        <v>1.0204081632652073E-3</v>
      </c>
      <c r="U138" s="82" t="str">
        <f>IFERROR(IF(OR(NOT(ISNUMBER('Price History'!U139)),NOT(ISNUMBER('Price History'!U138)),'Price History'!U138=0),"",'Price History'!U139/'Price History'!U138-1),"")</f>
        <v/>
      </c>
      <c r="V138" s="83">
        <f>IFERROR(IF(OR(NOT(ISNUMBER('Price History'!V139)),NOT(ISNUMBER('Price History'!V138)),'Price History'!V138=0),"",'Price History'!V139/'Price History'!V138-1),"")</f>
        <v>-1.7977381185853458E-2</v>
      </c>
      <c r="W138" s="84" t="str">
        <f>IFERROR('Price History'!B3+(INDEX('Price History'!B:B,MATCH(9.99E+307,'Price History'!$A:$A))-'Price History'!B3)*(ROW()-3)/(MATCH(9.99E+307,'Returns (Calc)'!$A:$A)-3),"")</f>
        <v/>
      </c>
      <c r="X138" s="84">
        <f>IFERROR('Price History'!C3+(INDEX('Price History'!C:C,MATCH(9.99E+307,'Price History'!$A:$A))-'Price History'!C3)*(ROW()-3)/(MATCH(9.99E+307,'Returns (Calc)'!$A:$A)-3),"")</f>
        <v>6.6022641509433981</v>
      </c>
      <c r="Y138" s="84">
        <f>IFERROR('Price History'!D3+(INDEX('Price History'!D:D,MATCH(9.99E+307,'Price History'!$A:$A))-'Price History'!D3)*(ROW()-3)/(MATCH(9.99E+307,'Returns (Calc)'!$A:$A)-3),"")</f>
        <v>99.891320754716958</v>
      </c>
      <c r="Z138" s="84">
        <f>IFERROR('Price History'!E3+(INDEX('Price History'!E:E,MATCH(9.99E+307,'Price History'!$A:$A))-'Price History'!E3)*(ROW()-3)/(MATCH(9.99E+307,'Returns (Calc)'!$A:$A)-3),"")</f>
        <v>12.525283018867924</v>
      </c>
      <c r="AA138" s="84">
        <f>IFERROR('Price History'!F3+(INDEX('Price History'!F:F,MATCH(9.99E+307,'Price History'!$A:$A))-'Price History'!F3)*(ROW()-3)/(MATCH(9.99E+307,'Returns (Calc)'!$A:$A)-3),"")</f>
        <v>5.5939622641509423</v>
      </c>
      <c r="AB138" s="84">
        <f>IFERROR('Price History'!G3+(INDEX('Price History'!G:G,MATCH(9.99E+307,'Price History'!$A:$A))-'Price History'!G3)*(ROW()-3)/(MATCH(9.99E+307,'Returns (Calc)'!$A:$A)-3),"")</f>
        <v>7.2301886792452805</v>
      </c>
      <c r="AC138" s="84">
        <f>IFERROR('Price History'!H3+(INDEX('Price History'!H:H,MATCH(9.99E+307,'Price History'!$A:$A))-'Price History'!H3)*(ROW()-3)/(MATCH(9.99E+307,'Returns (Calc)'!$A:$A)-3),"")</f>
        <v>9.71622641509434</v>
      </c>
      <c r="AD138" s="84">
        <f>IFERROR('Price History'!I3+(INDEX('Price History'!I:I,MATCH(9.99E+307,'Price History'!$A:$A))-'Price History'!I3)*(ROW()-3)/(MATCH(9.99E+307,'Returns (Calc)'!$A:$A)-3),"")</f>
        <v>6.1660377358490592</v>
      </c>
      <c r="AE138" s="84">
        <f>IFERROR('Price History'!J3+(INDEX('Price History'!J:J,MATCH(9.99E+307,'Price History'!$A:$A))-'Price History'!J3)*(ROW()-3)/(MATCH(9.99E+307,'Returns (Calc)'!$A:$A)-3),"")</f>
        <v>18.643018867924525</v>
      </c>
      <c r="AF138" s="84">
        <f>IFERROR('Price History'!K3+(INDEX('Price History'!K:K,MATCH(9.99E+307,'Price History'!$A:$A))-'Price History'!K3)*(ROW()-3)/(MATCH(9.99E+307,'Returns (Calc)'!$A:$A)-3),"")</f>
        <v>2.3260377358490576</v>
      </c>
      <c r="AG138" s="84">
        <f>IFERROR('Price History'!L3+(INDEX('Price History'!L:L,MATCH(9.99E+307,'Price History'!$A:$A))-'Price History'!L3)*(ROW()-3)/(MATCH(9.99E+307,'Returns (Calc)'!$A:$A)-3),"")</f>
        <v>13.885283018867923</v>
      </c>
      <c r="AH138" s="84">
        <f>IFERROR('Price History'!M3+(INDEX('Price History'!M:M,MATCH(9.99E+307,'Price History'!$A:$A))-'Price History'!M3)*(ROW()-3)/(MATCH(9.99E+307,'Returns (Calc)'!$A:$A)-3),"")</f>
        <v>5.0581132075471729</v>
      </c>
      <c r="AI138" s="84">
        <f>IFERROR('Price History'!N3+(INDEX('Price History'!N:N,MATCH(9.99E+307,'Price History'!$A:$A))-'Price History'!N3)*(ROW()-3)/(MATCH(9.99E+307,'Returns (Calc)'!$A:$A)-3),"")</f>
        <v>52.809056603773627</v>
      </c>
      <c r="AJ138" s="84">
        <f>IFERROR('Price History'!O3+(INDEX('Price History'!O:O,MATCH(9.99E+307,'Price History'!$A:$A))-'Price History'!O3)*(ROW()-3)/(MATCH(9.99E+307,'Returns (Calc)'!$A:$A)-3),"")</f>
        <v>12.505660377358481</v>
      </c>
      <c r="AK138" s="84">
        <f>IFERROR('Price History'!Q3+(INDEX('Price History'!Q:Q,MATCH(9.99E+307,'Price History'!$A:$A))-'Price History'!Q3)*(ROW()-3)/(MATCH(9.99E+307,'Returns (Calc)'!$A:$A)-3),"")</f>
        <v>7.5230188679245273</v>
      </c>
      <c r="AL138" s="84">
        <f>IFERROR('Price History'!R3+(INDEX('Price History'!R:R,MATCH(9.99E+307,'Price History'!$A:$A))-'Price History'!R3)*(ROW()-3)/(MATCH(9.99E+307,'Returns (Calc)'!$A:$A)-3),"")</f>
        <v>7.2181132075471695</v>
      </c>
      <c r="AM138" s="84">
        <f>IFERROR('Price History'!S3+(INDEX('Price History'!S:S,MATCH(9.99E+307,'Price History'!$A:$A))-'Price History'!S3)*(ROW()-3)/(MATCH(9.99E+307,'Returns (Calc)'!$A:$A)-3),"")</f>
        <v>8.8362264150943446</v>
      </c>
      <c r="AN138" s="84">
        <f>IFERROR('Price History'!T3+(INDEX('Price History'!T:T,MATCH(9.99E+307,'Price History'!$A:$A))-'Price History'!T3)*(ROW()-3)/(MATCH(9.99E+307,'Returns (Calc)'!$A:$A)-3),"")</f>
        <v>4.0618867924528317</v>
      </c>
      <c r="AO138" s="85">
        <f>IFERROR('Price History'!V3+(INDEX('Price History'!V:V,MATCH(9.99E+307,'Price History'!$A:$A))-'Price History'!V3)*(ROW()-3)/(MATCH(9.99E+307,'Returns (Calc)'!$A:$A)-3),"")</f>
        <v>0</v>
      </c>
    </row>
    <row r="139" spans="1:41" ht="15" customHeight="1" x14ac:dyDescent="0.3">
      <c r="A139" s="81">
        <f>IF('Price History'!A140="","",'Price History'!A140)</f>
        <v>46108</v>
      </c>
      <c r="B139" s="82">
        <f>IFERROR(IF(OR(NOT(ISNUMBER('Price History'!B140)),NOT(ISNUMBER('Price History'!B139)),'Price History'!B139=0),"",'Price History'!B140/'Price History'!B139-1),"")</f>
        <v>-5.3636913157364519E-2</v>
      </c>
      <c r="C139" s="82">
        <f>IFERROR(IF(OR(NOT(ISNUMBER('Price History'!C140)),NOT(ISNUMBER('Price History'!C139)),'Price History'!C139=0),"",'Price History'!C140/'Price History'!C139-1),"")</f>
        <v>-7.963725041914349E-2</v>
      </c>
      <c r="D139" s="82">
        <f>IFERROR(IF(OR(NOT(ISNUMBER('Price History'!D140)),NOT(ISNUMBER('Price History'!D139)),'Price History'!D139=0),"",'Price History'!D140/'Price History'!D139-1),"")</f>
        <v>-1.1220345416587563E-2</v>
      </c>
      <c r="E139" s="82">
        <f>IFERROR(IF(OR(NOT(ISNUMBER('Price History'!E140)),NOT(ISNUMBER('Price History'!E139)),'Price History'!E139=0),"",'Price History'!E140/'Price History'!E139-1),"")</f>
        <v>-3.1657595568580721E-2</v>
      </c>
      <c r="F139" s="82">
        <f>IFERROR(IF(OR(NOT(ISNUMBER('Price History'!F140)),NOT(ISNUMBER('Price History'!F139)),'Price History'!F139=0),"",'Price History'!F140/'Price History'!F139-1),"")</f>
        <v>-9.6332518337408302E-2</v>
      </c>
      <c r="G139" s="82">
        <f>IFERROR(IF(OR(NOT(ISNUMBER('Price History'!G140)),NOT(ISNUMBER('Price History'!G139)),'Price History'!G139=0),"",'Price History'!G140/'Price History'!G139-1),"")</f>
        <v>-3.7032094481884381E-2</v>
      </c>
      <c r="H139" s="82">
        <f>IFERROR(IF(OR(NOT(ISNUMBER('Price History'!H140)),NOT(ISNUMBER('Price History'!H139)),'Price History'!H139=0),"",'Price History'!H140/'Price History'!H139-1),"")</f>
        <v>-0.15530858358950095</v>
      </c>
      <c r="I139" s="82">
        <f>IFERROR(IF(OR(NOT(ISNUMBER('Price History'!I140)),NOT(ISNUMBER('Price History'!I139)),'Price History'!I139=0),"",'Price History'!I140/'Price History'!I139-1),"")</f>
        <v>-2.9994209612043909E-2</v>
      </c>
      <c r="J139" s="82">
        <f>IFERROR(IF(OR(NOT(ISNUMBER('Price History'!J140)),NOT(ISNUMBER('Price History'!J139)),'Price History'!J139=0),"",'Price History'!J140/'Price History'!J139-1),"")</f>
        <v>6.9525818295446129E-3</v>
      </c>
      <c r="K139" s="82">
        <f>IFERROR(IF(OR(NOT(ISNUMBER('Price History'!K140)),NOT(ISNUMBER('Price History'!K139)),'Price History'!K139=0),"",'Price History'!K140/'Price History'!K139-1),"")</f>
        <v>-5.0570745951685758E-2</v>
      </c>
      <c r="L139" s="82">
        <f>IFERROR(IF(OR(NOT(ISNUMBER('Price History'!L140)),NOT(ISNUMBER('Price History'!L139)),'Price History'!L139=0),"",'Price History'!L140/'Price History'!L139-1),"")</f>
        <v>-7.5932450492042225E-3</v>
      </c>
      <c r="M139" s="82">
        <f>IFERROR(IF(OR(NOT(ISNUMBER('Price History'!M140)),NOT(ISNUMBER('Price History'!M139)),'Price History'!M139=0),"",'Price History'!M140/'Price History'!M139-1),"")</f>
        <v>-1.879787400343913E-2</v>
      </c>
      <c r="N139" s="82">
        <f>IFERROR(IF(OR(NOT(ISNUMBER('Price History'!N140)),NOT(ISNUMBER('Price History'!N139)),'Price History'!N139=0),"",'Price History'!N140/'Price History'!N139-1),"")</f>
        <v>-4.6101321585903077E-2</v>
      </c>
      <c r="O139" s="82">
        <f>IFERROR(IF(OR(NOT(ISNUMBER('Price History'!O140)),NOT(ISNUMBER('Price History'!O139)),'Price History'!O139=0),"",'Price History'!O140/'Price History'!O139-1),"")</f>
        <v>2.9694570135746723E-2</v>
      </c>
      <c r="P139" s="82" t="str">
        <f>IFERROR(IF(OR(NOT(ISNUMBER('Price History'!P140)),NOT(ISNUMBER('Price History'!P139)),'Price History'!P139=0),"",'Price History'!P140/'Price History'!P139-1),"")</f>
        <v/>
      </c>
      <c r="Q139" s="82">
        <f>IFERROR(IF(OR(NOT(ISNUMBER('Price History'!Q140)),NOT(ISNUMBER('Price History'!Q139)),'Price History'!Q139=0),"",'Price History'!Q140/'Price History'!Q139-1),"")</f>
        <v>2.9550827423152626E-4</v>
      </c>
      <c r="R139" s="82">
        <f>IFERROR(IF(OR(NOT(ISNUMBER('Price History'!R140)),NOT(ISNUMBER('Price History'!R139)),'Price History'!R139=0),"",'Price History'!R140/'Price History'!R139-1),"")</f>
        <v>-2.9232424677187896E-2</v>
      </c>
      <c r="S139" s="82">
        <f>IFERROR(IF(OR(NOT(ISNUMBER('Price History'!S140)),NOT(ISNUMBER('Price History'!S139)),'Price History'!S139=0),"",'Price History'!S140/'Price History'!S139-1),"")</f>
        <v>-3.0497451221655814E-2</v>
      </c>
      <c r="T139" s="82">
        <f>IFERROR(IF(OR(NOT(ISNUMBER('Price History'!T140)),NOT(ISNUMBER('Price History'!T139)),'Price History'!T139=0),"",'Price History'!T140/'Price History'!T139-1),"")</f>
        <v>-1.2487257900101967E-2</v>
      </c>
      <c r="U139" s="82" t="str">
        <f>IFERROR(IF(OR(NOT(ISNUMBER('Price History'!U140)),NOT(ISNUMBER('Price History'!U139)),'Price History'!U139=0),"",'Price History'!U140/'Price History'!U139-1),"")</f>
        <v/>
      </c>
      <c r="V139" s="83">
        <f>IFERROR(IF(OR(NOT(ISNUMBER('Price History'!V140)),NOT(ISNUMBER('Price History'!V139)),'Price History'!V139=0),"",'Price History'!V140/'Price History'!V139-1),"")</f>
        <v>-2.0236985754227055E-2</v>
      </c>
      <c r="W139" s="84" t="str">
        <f>IFERROR('Price History'!B3+(INDEX('Price History'!B:B,MATCH(9.99E+307,'Price History'!$A:$A))-'Price History'!B3)*(ROW()-3)/(MATCH(9.99E+307,'Returns (Calc)'!$A:$A)-3),"")</f>
        <v/>
      </c>
      <c r="X139" s="84">
        <f>IFERROR('Price History'!C3+(INDEX('Price History'!C:C,MATCH(9.99E+307,'Price History'!$A:$A))-'Price History'!C3)*(ROW()-3)/(MATCH(9.99E+307,'Returns (Calc)'!$A:$A)-3),"")</f>
        <v>6.3271698113207577</v>
      </c>
      <c r="Y139" s="84">
        <f>IFERROR('Price History'!D3+(INDEX('Price History'!D:D,MATCH(9.99E+307,'Price History'!$A:$A))-'Price History'!D3)*(ROW()-3)/(MATCH(9.99E+307,'Returns (Calc)'!$A:$A)-3),"")</f>
        <v>95.729182389937023</v>
      </c>
      <c r="Z139" s="84">
        <f>IFERROR('Price History'!E3+(INDEX('Price History'!E:E,MATCH(9.99E+307,'Price History'!$A:$A))-'Price History'!E3)*(ROW()-3)/(MATCH(9.99E+307,'Returns (Calc)'!$A:$A)-3),"")</f>
        <v>12.003396226415092</v>
      </c>
      <c r="AA139" s="84">
        <f>IFERROR('Price History'!F3+(INDEX('Price History'!F:F,MATCH(9.99E+307,'Price History'!$A:$A))-'Price History'!F3)*(ROW()-3)/(MATCH(9.99E+307,'Returns (Calc)'!$A:$A)-3),"")</f>
        <v>5.3608805031446565</v>
      </c>
      <c r="AB139" s="84">
        <f>IFERROR('Price History'!G3+(INDEX('Price History'!G:G,MATCH(9.99E+307,'Price History'!$A:$A))-'Price History'!G3)*(ROW()-3)/(MATCH(9.99E+307,'Returns (Calc)'!$A:$A)-3),"")</f>
        <v>6.9289308176100661</v>
      </c>
      <c r="AC139" s="84">
        <f>IFERROR('Price History'!H3+(INDEX('Price History'!H:H,MATCH(9.99E+307,'Price History'!$A:$A))-'Price History'!H3)*(ROW()-3)/(MATCH(9.99E+307,'Returns (Calc)'!$A:$A)-3),"")</f>
        <v>9.3113836477987491</v>
      </c>
      <c r="AD139" s="84">
        <f>IFERROR('Price History'!I3+(INDEX('Price History'!I:I,MATCH(9.99E+307,'Price History'!$A:$A))-'Price History'!I3)*(ROW()-3)/(MATCH(9.99E+307,'Returns (Calc)'!$A:$A)-3),"")</f>
        <v>5.9091194968553467</v>
      </c>
      <c r="AE139" s="84">
        <f>IFERROR('Price History'!J3+(INDEX('Price History'!J:J,MATCH(9.99E+307,'Price History'!$A:$A))-'Price History'!J3)*(ROW()-3)/(MATCH(9.99E+307,'Returns (Calc)'!$A:$A)-3),"")</f>
        <v>17.866226415094346</v>
      </c>
      <c r="AF139" s="84">
        <f>IFERROR('Price History'!K3+(INDEX('Price History'!K:K,MATCH(9.99E+307,'Price History'!$A:$A))-'Price History'!K3)*(ROW()-3)/(MATCH(9.99E+307,'Returns (Calc)'!$A:$A)-3),"")</f>
        <v>2.2291194968553452</v>
      </c>
      <c r="AG139" s="84">
        <f>IFERROR('Price History'!L3+(INDEX('Price History'!L:L,MATCH(9.99E+307,'Price History'!$A:$A))-'Price History'!L3)*(ROW()-3)/(MATCH(9.99E+307,'Returns (Calc)'!$A:$A)-3),"")</f>
        <v>13.306729559748433</v>
      </c>
      <c r="AH139" s="84">
        <f>IFERROR('Price History'!M3+(INDEX('Price History'!M:M,MATCH(9.99E+307,'Price History'!$A:$A))-'Price History'!M3)*(ROW()-3)/(MATCH(9.99E+307,'Returns (Calc)'!$A:$A)-3),"")</f>
        <v>4.8473584905660374</v>
      </c>
      <c r="AI139" s="84">
        <f>IFERROR('Price History'!N3+(INDEX('Price History'!N:N,MATCH(9.99E+307,'Price History'!$A:$A))-'Price History'!N3)*(ROW()-3)/(MATCH(9.99E+307,'Returns (Calc)'!$A:$A)-3),"")</f>
        <v>50.608679245283042</v>
      </c>
      <c r="AJ139" s="84">
        <f>IFERROR('Price History'!O3+(INDEX('Price History'!O:O,MATCH(9.99E+307,'Price History'!$A:$A))-'Price History'!O3)*(ROW()-3)/(MATCH(9.99E+307,'Returns (Calc)'!$A:$A)-3),"")</f>
        <v>11.984591194968559</v>
      </c>
      <c r="AK139" s="84">
        <f>IFERROR('Price History'!Q3+(INDEX('Price History'!Q:Q,MATCH(9.99E+307,'Price History'!$A:$A))-'Price History'!Q3)*(ROW()-3)/(MATCH(9.99E+307,'Returns (Calc)'!$A:$A)-3),"")</f>
        <v>7.2095597484276723</v>
      </c>
      <c r="AL139" s="84">
        <f>IFERROR('Price History'!R3+(INDEX('Price History'!R:R,MATCH(9.99E+307,'Price History'!$A:$A))-'Price History'!R3)*(ROW()-3)/(MATCH(9.99E+307,'Returns (Calc)'!$A:$A)-3),"")</f>
        <v>6.9173584905660377</v>
      </c>
      <c r="AM139" s="84">
        <f>IFERROR('Price History'!S3+(INDEX('Price History'!S:S,MATCH(9.99E+307,'Price History'!$A:$A))-'Price History'!S3)*(ROW()-3)/(MATCH(9.99E+307,'Returns (Calc)'!$A:$A)-3),"")</f>
        <v>8.4680503144654082</v>
      </c>
      <c r="AN139" s="84">
        <f>IFERROR('Price History'!T3+(INDEX('Price History'!T:T,MATCH(9.99E+307,'Price History'!$A:$A))-'Price History'!T3)*(ROW()-3)/(MATCH(9.99E+307,'Returns (Calc)'!$A:$A)-3),"")</f>
        <v>3.892641509433961</v>
      </c>
      <c r="AO139" s="85">
        <f>IFERROR('Price History'!V3+(INDEX('Price History'!V:V,MATCH(9.99E+307,'Price History'!$A:$A))-'Price History'!V3)*(ROW()-3)/(MATCH(9.99E+307,'Returns (Calc)'!$A:$A)-3),"")</f>
        <v>0</v>
      </c>
    </row>
    <row r="140" spans="1:41" ht="15" customHeight="1" x14ac:dyDescent="0.3">
      <c r="A140" s="81">
        <f>IF('Price History'!A141="","",'Price History'!A141)</f>
        <v>46114</v>
      </c>
      <c r="B140" s="82">
        <f>IFERROR(IF(OR(NOT(ISNUMBER('Price History'!B141)),NOT(ISNUMBER('Price History'!B140)),'Price History'!B140=0),"",'Price History'!B141/'Price History'!B140-1),"")</f>
        <v>3.4406404360415532E-2</v>
      </c>
      <c r="C140" s="82">
        <f>IFERROR(IF(OR(NOT(ISNUMBER('Price History'!C141)),NOT(ISNUMBER('Price History'!C140)),'Price History'!C140=0),"",'Price History'!C141/'Price History'!C140-1),"")</f>
        <v>4.8935994038254549E-2</v>
      </c>
      <c r="D140" s="82">
        <f>IFERROR(IF(OR(NOT(ISNUMBER('Price History'!D141)),NOT(ISNUMBER('Price History'!D140)),'Price History'!D140=0),"",'Price History'!D141/'Price History'!D140-1),"")</f>
        <v>1.1332314755810202E-2</v>
      </c>
      <c r="E140" s="82">
        <f>IFERROR(IF(OR(NOT(ISNUMBER('Price History'!E141)),NOT(ISNUMBER('Price History'!E140)),'Price History'!E140=0),"",'Price History'!E141/'Price History'!E140-1),"")</f>
        <v>4.6128774777171699E-2</v>
      </c>
      <c r="F140" s="82">
        <f>IFERROR(IF(OR(NOT(ISNUMBER('Price History'!F141)),NOT(ISNUMBER('Price History'!F140)),'Price History'!F140=0),"",'Price History'!F141/'Price History'!F140-1),"")</f>
        <v>7.9870129870129869E-2</v>
      </c>
      <c r="G140" s="82">
        <f>IFERROR(IF(OR(NOT(ISNUMBER('Price History'!G141)),NOT(ISNUMBER('Price History'!G140)),'Price History'!G140=0),"",'Price History'!G141/'Price History'!G140-1),"")</f>
        <v>5.0997782705099803E-2</v>
      </c>
      <c r="H140" s="82">
        <f>IFERROR(IF(OR(NOT(ISNUMBER('Price History'!H141)),NOT(ISNUMBER('Price History'!H140)),'Price History'!H140=0),"",'Price History'!H141/'Price History'!H140-1),"")</f>
        <v>2.5250545882089526E-2</v>
      </c>
      <c r="I140" s="82">
        <f>IFERROR(IF(OR(NOT(ISNUMBER('Price History'!I141)),NOT(ISNUMBER('Price History'!I140)),'Price History'!I140=0),"",'Price History'!I141/'Price History'!I140-1),"")</f>
        <v>5.8918338108882473E-2</v>
      </c>
      <c r="J140" s="82">
        <f>IFERROR(IF(OR(NOT(ISNUMBER('Price History'!J141)),NOT(ISNUMBER('Price History'!J140)),'Price History'!J140=0),"",'Price History'!J141/'Price History'!J140-1),"")</f>
        <v>3.7781225756400305E-2</v>
      </c>
      <c r="K140" s="82">
        <f>IFERROR(IF(OR(NOT(ISNUMBER('Price History'!K141)),NOT(ISNUMBER('Price History'!K140)),'Price History'!K140=0),"",'Price History'!K141/'Price History'!K140-1),"")</f>
        <v>3.7746400111841272E-2</v>
      </c>
      <c r="L140" s="82">
        <f>IFERROR(IF(OR(NOT(ISNUMBER('Price History'!L141)),NOT(ISNUMBER('Price History'!L140)),'Price History'!L140=0),"",'Price History'!L141/'Price History'!L140-1),"")</f>
        <v>3.7644610393585243E-2</v>
      </c>
      <c r="M140" s="82">
        <f>IFERROR(IF(OR(NOT(ISNUMBER('Price History'!M141)),NOT(ISNUMBER('Price History'!M140)),'Price History'!M140=0),"",'Price History'!M141/'Price History'!M140-1),"")</f>
        <v>4.0705779264746944E-2</v>
      </c>
      <c r="N140" s="82">
        <f>IFERROR(IF(OR(NOT(ISNUMBER('Price History'!N141)),NOT(ISNUMBER('Price History'!N140)),'Price History'!N140=0),"",'Price History'!N141/'Price History'!N140-1),"")</f>
        <v>1.3023298773870318E-2</v>
      </c>
      <c r="O140" s="82">
        <f>IFERROR(IF(OR(NOT(ISNUMBER('Price History'!O141)),NOT(ISNUMBER('Price History'!O140)),'Price History'!O140=0),"",'Price History'!O141/'Price History'!O140-1),"")</f>
        <v>2.0049436967865875E-2</v>
      </c>
      <c r="P140" s="82" t="str">
        <f>IFERROR(IF(OR(NOT(ISNUMBER('Price History'!P141)),NOT(ISNUMBER('Price History'!P140)),'Price History'!P140=0),"",'Price History'!P141/'Price History'!P140-1),"")</f>
        <v/>
      </c>
      <c r="Q140" s="82">
        <f>IFERROR(IF(OR(NOT(ISNUMBER('Price History'!Q141)),NOT(ISNUMBER('Price History'!Q140)),'Price History'!Q140=0),"",'Price History'!Q141/'Price History'!Q140-1),"")</f>
        <v>7.3855243722298347E-4</v>
      </c>
      <c r="R140" s="82">
        <f>IFERROR(IF(OR(NOT(ISNUMBER('Price History'!R141)),NOT(ISNUMBER('Price History'!R140)),'Price History'!R140=0),"",'Price History'!R141/'Price History'!R140-1),"")</f>
        <v>2.697210419360796E-2</v>
      </c>
      <c r="S140" s="82">
        <f>IFERROR(IF(OR(NOT(ISNUMBER('Price History'!S141)),NOT(ISNUMBER('Price History'!S140)),'Price History'!S140=0),"",'Price History'!S141/'Price History'!S140-1),"")</f>
        <v>4.0159550358081608E-2</v>
      </c>
      <c r="T140" s="82">
        <f>IFERROR(IF(OR(NOT(ISNUMBER('Price History'!T141)),NOT(ISNUMBER('Price History'!T140)),'Price History'!T140=0),"",'Price History'!T141/'Price History'!T140-1),"")</f>
        <v>2.8129032258064512E-2</v>
      </c>
      <c r="U140" s="82" t="str">
        <f>IFERROR(IF(OR(NOT(ISNUMBER('Price History'!U141)),NOT(ISNUMBER('Price History'!U140)),'Price History'!U140=0),"",'Price History'!U141/'Price History'!U140-1),"")</f>
        <v/>
      </c>
      <c r="V140" s="83" t="str">
        <f>IFERROR(IF(OR(NOT(ISNUMBER('Price History'!V141)),NOT(ISNUMBER('Price History'!V140)),'Price History'!V140=0),"",'Price History'!V141/'Price History'!V140-1),"")</f>
        <v/>
      </c>
      <c r="W140" s="84" t="str">
        <f>IFERROR('Price History'!B3+(INDEX('Price History'!B:B,MATCH(9.99E+307,'Price History'!$A:$A))-'Price History'!B3)*(ROW()-3)/(MATCH(9.99E+307,'Returns (Calc)'!$A:$A)-3),"")</f>
        <v/>
      </c>
      <c r="X140" s="84">
        <f>IFERROR('Price History'!C3+(INDEX('Price History'!C:C,MATCH(9.99E+307,'Price History'!$A:$A))-'Price History'!C3)*(ROW()-3)/(MATCH(9.99E+307,'Returns (Calc)'!$A:$A)-3),"")</f>
        <v>6.0520754716981173</v>
      </c>
      <c r="Y140" s="84">
        <f>IFERROR('Price History'!D3+(INDEX('Price History'!D:D,MATCH(9.99E+307,'Price History'!$A:$A))-'Price History'!D3)*(ROW()-3)/(MATCH(9.99E+307,'Returns (Calc)'!$A:$A)-3),"")</f>
        <v>91.567044025157202</v>
      </c>
      <c r="Z140" s="84">
        <f>IFERROR('Price History'!E3+(INDEX('Price History'!E:E,MATCH(9.99E+307,'Price History'!$A:$A))-'Price History'!E3)*(ROW()-3)/(MATCH(9.99E+307,'Returns (Calc)'!$A:$A)-3),"")</f>
        <v>11.481509433962273</v>
      </c>
      <c r="AA140" s="84">
        <f>IFERROR('Price History'!F3+(INDEX('Price History'!F:F,MATCH(9.99E+307,'Price History'!$A:$A))-'Price History'!F3)*(ROW()-3)/(MATCH(9.99E+307,'Returns (Calc)'!$A:$A)-3),"")</f>
        <v>5.1277987421383671</v>
      </c>
      <c r="AB140" s="84">
        <f>IFERROR('Price History'!G3+(INDEX('Price History'!G:G,MATCH(9.99E+307,'Price History'!$A:$A))-'Price History'!G3)*(ROW()-3)/(MATCH(9.99E+307,'Returns (Calc)'!$A:$A)-3),"")</f>
        <v>6.6276729559748375</v>
      </c>
      <c r="AC140" s="84">
        <f>IFERROR('Price History'!H3+(INDEX('Price History'!H:H,MATCH(9.99E+307,'Price History'!$A:$A))-'Price History'!H3)*(ROW()-3)/(MATCH(9.99E+307,'Returns (Calc)'!$A:$A)-3),"")</f>
        <v>8.9065408805031439</v>
      </c>
      <c r="AD140" s="84">
        <f>IFERROR('Price History'!I3+(INDEX('Price History'!I:I,MATCH(9.99E+307,'Price History'!$A:$A))-'Price History'!I3)*(ROW()-3)/(MATCH(9.99E+307,'Returns (Calc)'!$A:$A)-3),"")</f>
        <v>5.6522012578616412</v>
      </c>
      <c r="AE140" s="84">
        <f>IFERROR('Price History'!J3+(INDEX('Price History'!J:J,MATCH(9.99E+307,'Price History'!$A:$A))-'Price History'!J3)*(ROW()-3)/(MATCH(9.99E+307,'Returns (Calc)'!$A:$A)-3),"")</f>
        <v>17.089433962264167</v>
      </c>
      <c r="AF140" s="84">
        <f>IFERROR('Price History'!K3+(INDEX('Price History'!K:K,MATCH(9.99E+307,'Price History'!$A:$A))-'Price History'!K3)*(ROW()-3)/(MATCH(9.99E+307,'Returns (Calc)'!$A:$A)-3),"")</f>
        <v>2.1322012578616345</v>
      </c>
      <c r="AG140" s="84">
        <f>IFERROR('Price History'!L3+(INDEX('Price History'!L:L,MATCH(9.99E+307,'Price History'!$A:$A))-'Price History'!L3)*(ROW()-3)/(MATCH(9.99E+307,'Returns (Calc)'!$A:$A)-3),"")</f>
        <v>12.728176100628929</v>
      </c>
      <c r="AH140" s="84">
        <f>IFERROR('Price History'!M3+(INDEX('Price History'!M:M,MATCH(9.99E+307,'Price History'!$A:$A))-'Price History'!M3)*(ROW()-3)/(MATCH(9.99E+307,'Returns (Calc)'!$A:$A)-3),"")</f>
        <v>4.6366037735849055</v>
      </c>
      <c r="AI140" s="84">
        <f>IFERROR('Price History'!N3+(INDEX('Price History'!N:N,MATCH(9.99E+307,'Price History'!$A:$A))-'Price History'!N3)*(ROW()-3)/(MATCH(9.99E+307,'Returns (Calc)'!$A:$A)-3),"")</f>
        <v>48.408301886792458</v>
      </c>
      <c r="AJ140" s="84">
        <f>IFERROR('Price History'!O3+(INDEX('Price History'!O:O,MATCH(9.99E+307,'Price History'!$A:$A))-'Price History'!O3)*(ROW()-3)/(MATCH(9.99E+307,'Returns (Calc)'!$A:$A)-3),"")</f>
        <v>11.463522012578622</v>
      </c>
      <c r="AK140" s="84">
        <f>IFERROR('Price History'!Q3+(INDEX('Price History'!Q:Q,MATCH(9.99E+307,'Price History'!$A:$A))-'Price History'!Q3)*(ROW()-3)/(MATCH(9.99E+307,'Returns (Calc)'!$A:$A)-3),"")</f>
        <v>6.8961006289308173</v>
      </c>
      <c r="AL140" s="84">
        <f>IFERROR('Price History'!R3+(INDEX('Price History'!R:R,MATCH(9.99E+307,'Price History'!$A:$A))-'Price History'!R3)*(ROW()-3)/(MATCH(9.99E+307,'Returns (Calc)'!$A:$A)-3),"")</f>
        <v>6.6166037735849059</v>
      </c>
      <c r="AM140" s="84">
        <f>IFERROR('Price History'!S3+(INDEX('Price History'!S:S,MATCH(9.99E+307,'Price History'!$A:$A))-'Price History'!S3)*(ROW()-3)/(MATCH(9.99E+307,'Returns (Calc)'!$A:$A)-3),"")</f>
        <v>8.099874213836479</v>
      </c>
      <c r="AN140" s="84">
        <f>IFERROR('Price History'!T3+(INDEX('Price History'!T:T,MATCH(9.99E+307,'Price History'!$A:$A))-'Price History'!T3)*(ROW()-3)/(MATCH(9.99E+307,'Returns (Calc)'!$A:$A)-3),"")</f>
        <v>3.7233962264150939</v>
      </c>
      <c r="AO140" s="85">
        <f>IFERROR('Price History'!V3+(INDEX('Price History'!V:V,MATCH(9.99E+307,'Price History'!$A:$A))-'Price History'!V3)*(ROW()-3)/(MATCH(9.99E+307,'Returns (Calc)'!$A:$A)-3),"")</f>
        <v>0</v>
      </c>
    </row>
    <row r="141" spans="1:41" ht="15" customHeight="1" x14ac:dyDescent="0.3">
      <c r="A141" s="81">
        <f>IF('Price History'!A142="","",'Price History'!A142)</f>
        <v>46122</v>
      </c>
      <c r="B141" s="82">
        <f>IFERROR(IF(OR(NOT(ISNUMBER('Price History'!B142)),NOT(ISNUMBER('Price History'!B141)),'Price History'!B141=0),"",'Price History'!B142/'Price History'!B141-1),"")</f>
        <v>-7.2328338547669957E-2</v>
      </c>
      <c r="C141" s="82">
        <f>IFERROR(IF(OR(NOT(ISNUMBER('Price History'!C142)),NOT(ISNUMBER('Price History'!C141)),'Price History'!C141=0),"",'Price History'!C142/'Price History'!C141-1),"")</f>
        <v>0.16316703504894203</v>
      </c>
      <c r="D141" s="82">
        <f>IFERROR(IF(OR(NOT(ISNUMBER('Price History'!D142)),NOT(ISNUMBER('Price History'!D141)),'Price History'!D141=0),"",'Price History'!D142/'Price History'!D141-1),"")</f>
        <v>0.12226414521381979</v>
      </c>
      <c r="E141" s="82">
        <f>IFERROR(IF(OR(NOT(ISNUMBER('Price History'!E142)),NOT(ISNUMBER('Price History'!E141)),'Price History'!E141=0),"",'Price History'!E142/'Price History'!E141-1),"")</f>
        <v>0.18121125417262762</v>
      </c>
      <c r="F141" s="82">
        <f>IFERROR(IF(OR(NOT(ISNUMBER('Price History'!F142)),NOT(ISNUMBER('Price History'!F141)),'Price History'!F141=0),"",'Price History'!F142/'Price History'!F141-1),"")</f>
        <v>-5.0310683503708153E-2</v>
      </c>
      <c r="G141" s="82">
        <f>IFERROR(IF(OR(NOT(ISNUMBER('Price History'!G142)),NOT(ISNUMBER('Price History'!G141)),'Price History'!G141=0),"",'Price History'!G142/'Price History'!G141-1),"")</f>
        <v>0.14537183544303778</v>
      </c>
      <c r="H141" s="82">
        <f>IFERROR(IF(OR(NOT(ISNUMBER('Price History'!H142)),NOT(ISNUMBER('Price History'!H141)),'Price History'!H141=0),"",'Price History'!H142/'Price History'!H141-1),"")</f>
        <v>0.14839995631280023</v>
      </c>
      <c r="I141" s="82">
        <f>IFERROR(IF(OR(NOT(ISNUMBER('Price History'!I142)),NOT(ISNUMBER('Price History'!I141)),'Price History'!I141=0),"",'Price History'!I142/'Price History'!I141-1),"")</f>
        <v>6.3363211004002551E-2</v>
      </c>
      <c r="J141" s="82">
        <f>IFERROR(IF(OR(NOT(ISNUMBER('Price History'!J142)),NOT(ISNUMBER('Price History'!J141)),'Price History'!J141=0),"",'Price History'!J142/'Price History'!J141-1),"")</f>
        <v>2.5566270464229657E-2</v>
      </c>
      <c r="K141" s="82">
        <f>IFERROR(IF(OR(NOT(ISNUMBER('Price History'!K142)),NOT(ISNUMBER('Price History'!K141)),'Price History'!K141=0),"",'Price History'!K142/'Price History'!K141-1),"")</f>
        <v>-0.13741075037047024</v>
      </c>
      <c r="L141" s="82">
        <f>IFERROR(IF(OR(NOT(ISNUMBER('Price History'!L142)),NOT(ISNUMBER('Price History'!L141)),'Price History'!L141=0),"",'Price History'!L142/'Price History'!L141-1),"")</f>
        <v>9.3086361491269365E-2</v>
      </c>
      <c r="M141" s="82">
        <f>IFERROR(IF(OR(NOT(ISNUMBER('Price History'!M142)),NOT(ISNUMBER('Price History'!M141)),'Price History'!M141=0),"",'Price History'!M142/'Price History'!M141-1),"")</f>
        <v>0.12943472769719455</v>
      </c>
      <c r="N141" s="82">
        <f>IFERROR(IF(OR(NOT(ISNUMBER('Price History'!N142)),NOT(ISNUMBER('Price History'!N141)),'Price History'!N141=0),"",'Price History'!N142/'Price History'!N141-1),"")</f>
        <v>-5.5617606163524957E-3</v>
      </c>
      <c r="O141" s="82">
        <f>IFERROR(IF(OR(NOT(ISNUMBER('Price History'!O142)),NOT(ISNUMBER('Price History'!O141)),'Price History'!O141=0),"",'Price History'!O142/'Price History'!O141-1),"")</f>
        <v>2.9707413390773763E-2</v>
      </c>
      <c r="P141" s="82" t="str">
        <f>IFERROR(IF(OR(NOT(ISNUMBER('Price History'!P142)),NOT(ISNUMBER('Price History'!P141)),'Price History'!P141=0),"",'Price History'!P142/'Price History'!P141-1),"")</f>
        <v/>
      </c>
      <c r="Q141" s="82">
        <f>IFERROR(IF(OR(NOT(ISNUMBER('Price History'!Q142)),NOT(ISNUMBER('Price History'!Q141)),'Price History'!Q141=0),"",'Price History'!Q142/'Price History'!Q141-1),"")</f>
        <v>4.2804428044280751E-3</v>
      </c>
      <c r="R141" s="82">
        <f>IFERROR(IF(OR(NOT(ISNUMBER('Price History'!R142)),NOT(ISNUMBER('Price History'!R141)),'Price History'!R141=0),"",'Price History'!R142/'Price History'!R141-1),"")</f>
        <v>3.6517359237272728E-2</v>
      </c>
      <c r="S141" s="82">
        <f>IFERROR(IF(OR(NOT(ISNUMBER('Price History'!S142)),NOT(ISNUMBER('Price History'!S141)),'Price History'!S141=0),"",'Price History'!S142/'Price History'!S141-1),"")</f>
        <v>7.4952065539480639E-2</v>
      </c>
      <c r="T141" s="82">
        <f>IFERROR(IF(OR(NOT(ISNUMBER('Price History'!T142)),NOT(ISNUMBER('Price History'!T141)),'Price History'!T141=0),"",'Price History'!T142/'Price History'!T141-1),"")</f>
        <v>-5.020080321285203E-3</v>
      </c>
      <c r="U141" s="82" t="str">
        <f>IFERROR(IF(OR(NOT(ISNUMBER('Price History'!U142)),NOT(ISNUMBER('Price History'!U141)),'Price History'!U141=0),"",'Price History'!U142/'Price History'!U141-1),"")</f>
        <v/>
      </c>
      <c r="V141" s="83" t="str">
        <f>IFERROR(IF(OR(NOT(ISNUMBER('Price History'!V142)),NOT(ISNUMBER('Price History'!V141)),'Price History'!V141=0),"",'Price History'!V142/'Price History'!V141-1),"")</f>
        <v/>
      </c>
      <c r="W141" s="84" t="str">
        <f>IFERROR('Price History'!B3+(INDEX('Price History'!B:B,MATCH(9.99E+307,'Price History'!$A:$A))-'Price History'!B3)*(ROW()-3)/(MATCH(9.99E+307,'Returns (Calc)'!$A:$A)-3),"")</f>
        <v/>
      </c>
      <c r="X141" s="84">
        <f>IFERROR('Price History'!C3+(INDEX('Price History'!C:C,MATCH(9.99E+307,'Price History'!$A:$A))-'Price History'!C3)*(ROW()-3)/(MATCH(9.99E+307,'Returns (Calc)'!$A:$A)-3),"")</f>
        <v>5.7769811320754769</v>
      </c>
      <c r="Y141" s="84">
        <f>IFERROR('Price History'!D3+(INDEX('Price History'!D:D,MATCH(9.99E+307,'Price History'!$A:$A))-'Price History'!D3)*(ROW()-3)/(MATCH(9.99E+307,'Returns (Calc)'!$A:$A)-3),"")</f>
        <v>87.404905660377381</v>
      </c>
      <c r="Z141" s="84">
        <f>IFERROR('Price History'!E3+(INDEX('Price History'!E:E,MATCH(9.99E+307,'Price History'!$A:$A))-'Price History'!E3)*(ROW()-3)/(MATCH(9.99E+307,'Returns (Calc)'!$A:$A)-3),"")</f>
        <v>10.959622641509441</v>
      </c>
      <c r="AA141" s="84">
        <f>IFERROR('Price History'!F3+(INDEX('Price History'!F:F,MATCH(9.99E+307,'Price History'!$A:$A))-'Price History'!F3)*(ROW()-3)/(MATCH(9.99E+307,'Returns (Calc)'!$A:$A)-3),"")</f>
        <v>4.8947169811320705</v>
      </c>
      <c r="AB141" s="84">
        <f>IFERROR('Price History'!G3+(INDEX('Price History'!G:G,MATCH(9.99E+307,'Price History'!$A:$A))-'Price History'!G3)*(ROW()-3)/(MATCH(9.99E+307,'Returns (Calc)'!$A:$A)-3),"")</f>
        <v>6.3264150943396231</v>
      </c>
      <c r="AC141" s="84">
        <f>IFERROR('Price History'!H3+(INDEX('Price History'!H:H,MATCH(9.99E+307,'Price History'!$A:$A))-'Price History'!H3)*(ROW()-3)/(MATCH(9.99E+307,'Returns (Calc)'!$A:$A)-3),"")</f>
        <v>8.5016981132075458</v>
      </c>
      <c r="AD141" s="84">
        <f>IFERROR('Price History'!I3+(INDEX('Price History'!I:I,MATCH(9.99E+307,'Price History'!$A:$A))-'Price History'!I3)*(ROW()-3)/(MATCH(9.99E+307,'Returns (Calc)'!$A:$A)-3),"")</f>
        <v>5.3952830188679215</v>
      </c>
      <c r="AE141" s="84">
        <f>IFERROR('Price History'!J3+(INDEX('Price History'!J:J,MATCH(9.99E+307,'Price History'!$A:$A))-'Price History'!J3)*(ROW()-3)/(MATCH(9.99E+307,'Returns (Calc)'!$A:$A)-3),"")</f>
        <v>16.312641509433959</v>
      </c>
      <c r="AF141" s="84">
        <f>IFERROR('Price History'!K3+(INDEX('Price History'!K:K,MATCH(9.99E+307,'Price History'!$A:$A))-'Price History'!K3)*(ROW()-3)/(MATCH(9.99E+307,'Returns (Calc)'!$A:$A)-3),"")</f>
        <v>2.0352830188679256</v>
      </c>
      <c r="AG141" s="84">
        <f>IFERROR('Price History'!L3+(INDEX('Price History'!L:L,MATCH(9.99E+307,'Price History'!$A:$A))-'Price History'!L3)*(ROW()-3)/(MATCH(9.99E+307,'Returns (Calc)'!$A:$A)-3),"")</f>
        <v>12.149622641509438</v>
      </c>
      <c r="AH141" s="84">
        <f>IFERROR('Price History'!M3+(INDEX('Price History'!M:M,MATCH(9.99E+307,'Price History'!$A:$A))-'Price History'!M3)*(ROW()-3)/(MATCH(9.99E+307,'Returns (Calc)'!$A:$A)-3),"")</f>
        <v>4.42584905660377</v>
      </c>
      <c r="AI141" s="84">
        <f>IFERROR('Price History'!N3+(INDEX('Price History'!N:N,MATCH(9.99E+307,'Price History'!$A:$A))-'Price History'!N3)*(ROW()-3)/(MATCH(9.99E+307,'Returns (Calc)'!$A:$A)-3),"")</f>
        <v>46.207924528301874</v>
      </c>
      <c r="AJ141" s="84">
        <f>IFERROR('Price History'!O3+(INDEX('Price History'!O:O,MATCH(9.99E+307,'Price History'!$A:$A))-'Price History'!O3)*(ROW()-3)/(MATCH(9.99E+307,'Returns (Calc)'!$A:$A)-3),"")</f>
        <v>10.942452830188685</v>
      </c>
      <c r="AK141" s="84">
        <f>IFERROR('Price History'!Q3+(INDEX('Price History'!Q:Q,MATCH(9.99E+307,'Price History'!$A:$A))-'Price History'!Q3)*(ROW()-3)/(MATCH(9.99E+307,'Returns (Calc)'!$A:$A)-3),"")</f>
        <v>6.5826415094339623</v>
      </c>
      <c r="AL141" s="84">
        <f>IFERROR('Price History'!R3+(INDEX('Price History'!R:R,MATCH(9.99E+307,'Price History'!$A:$A))-'Price History'!R3)*(ROW()-3)/(MATCH(9.99E+307,'Returns (Calc)'!$A:$A)-3),"")</f>
        <v>6.3158490566037742</v>
      </c>
      <c r="AM141" s="84">
        <f>IFERROR('Price History'!S3+(INDEX('Price History'!S:S,MATCH(9.99E+307,'Price History'!$A:$A))-'Price History'!S3)*(ROW()-3)/(MATCH(9.99E+307,'Returns (Calc)'!$A:$A)-3),"")</f>
        <v>7.7316981132075497</v>
      </c>
      <c r="AN141" s="84">
        <f>IFERROR('Price History'!T3+(INDEX('Price History'!T:T,MATCH(9.99E+307,'Price History'!$A:$A))-'Price History'!T3)*(ROW()-3)/(MATCH(9.99E+307,'Returns (Calc)'!$A:$A)-3),"")</f>
        <v>3.5541509433962268</v>
      </c>
      <c r="AO141" s="85">
        <f>IFERROR('Price History'!V3+(INDEX('Price History'!V:V,MATCH(9.99E+307,'Price History'!$A:$A))-'Price History'!V3)*(ROW()-3)/(MATCH(9.99E+307,'Returns (Calc)'!$A:$A)-3),"")</f>
        <v>0</v>
      </c>
    </row>
    <row r="142" spans="1:41" ht="15" customHeight="1" x14ac:dyDescent="0.3">
      <c r="A142" s="81">
        <f>IF('Price History'!A143="","",'Price History'!A143)</f>
        <v>46129</v>
      </c>
      <c r="B142" s="82">
        <f>IFERROR(IF(OR(NOT(ISNUMBER('Price History'!B143)),NOT(ISNUMBER('Price History'!B142)),'Price History'!B142=0),"",'Price History'!B143/'Price History'!B142-1),"")</f>
        <v>8.4757044597293163E-2</v>
      </c>
      <c r="C142" s="82">
        <f>IFERROR(IF(OR(NOT(ISNUMBER('Price History'!C143)),NOT(ISNUMBER('Price History'!C142)),'Price History'!C142=0),"",'Price History'!C143/'Price History'!C142-1),"")</f>
        <v>0.11455717678995581</v>
      </c>
      <c r="D142" s="82">
        <f>IFERROR(IF(OR(NOT(ISNUMBER('Price History'!D143)),NOT(ISNUMBER('Price History'!D142)),'Price History'!D142=0),"",'Price History'!D143/'Price History'!D142-1),"")</f>
        <v>-1.2501014692751E-2</v>
      </c>
      <c r="E142" s="82">
        <f>IFERROR(IF(OR(NOT(ISNUMBER('Price History'!E143)),NOT(ISNUMBER('Price History'!E142)),'Price History'!E142=0),"",'Price History'!E143/'Price History'!E142-1),"")</f>
        <v>9.4173058807697441E-2</v>
      </c>
      <c r="F142" s="82">
        <f>IFERROR(IF(OR(NOT(ISNUMBER('Price History'!F143)),NOT(ISNUMBER('Price History'!F142)),'Price History'!F142=0),"",'Price History'!F143/'Price History'!F142-1),"")</f>
        <v>0.11850991979738268</v>
      </c>
      <c r="G142" s="82">
        <f>IFERROR(IF(OR(NOT(ISNUMBER('Price History'!G143)),NOT(ISNUMBER('Price History'!G142)),'Price History'!G142=0),"",'Price History'!G143/'Price History'!G142-1),"")</f>
        <v>3.1140275139584395E-2</v>
      </c>
      <c r="H142" s="82">
        <f>IFERROR(IF(OR(NOT(ISNUMBER('Price History'!H143)),NOT(ISNUMBER('Price History'!H142)),'Price History'!H142=0),"",'Price History'!H143/'Price History'!H142-1),"")</f>
        <v>8.198007560807441E-2</v>
      </c>
      <c r="I142" s="82">
        <f>IFERROR(IF(OR(NOT(ISNUMBER('Price History'!I143)),NOT(ISNUMBER('Price History'!I142)),'Price History'!I142=0),"",'Price History'!I143/'Price History'!I142-1),"")</f>
        <v>6.9183056777819107E-2</v>
      </c>
      <c r="J142" s="82">
        <f>IFERROR(IF(OR(NOT(ISNUMBER('Price History'!J143)),NOT(ISNUMBER('Price History'!J142)),'Price History'!J142=0),"",'Price History'!J143/'Price History'!J142-1),"")</f>
        <v>5.7657263648954071E-2</v>
      </c>
      <c r="K142" s="82">
        <f>IFERROR(IF(OR(NOT(ISNUMBER('Price History'!K143)),NOT(ISNUMBER('Price History'!K142)),'Price History'!K142=0),"",'Price History'!K143/'Price History'!K142-1),"")</f>
        <v>0.14313602998594388</v>
      </c>
      <c r="L142" s="82">
        <f>IFERROR(IF(OR(NOT(ISNUMBER('Price History'!L143)),NOT(ISNUMBER('Price History'!L142)),'Price History'!L142=0),"",'Price History'!L143/'Price History'!L142-1),"")</f>
        <v>-2.6983270372371582E-4</v>
      </c>
      <c r="M142" s="82">
        <f>IFERROR(IF(OR(NOT(ISNUMBER('Price History'!M143)),NOT(ISNUMBER('Price History'!M142)),'Price History'!M142=0),"",'Price History'!M143/'Price History'!M142-1),"")</f>
        <v>4.1442174104570961E-2</v>
      </c>
      <c r="N142" s="82">
        <f>IFERROR(IF(OR(NOT(ISNUMBER('Price History'!N143)),NOT(ISNUMBER('Price History'!N142)),'Price History'!N142=0),"",'Price History'!N143/'Price History'!N142-1),"")</f>
        <v>1.1300341531620406E-2</v>
      </c>
      <c r="O142" s="82">
        <f>IFERROR(IF(OR(NOT(ISNUMBER('Price History'!O143)),NOT(ISNUMBER('Price History'!O142)),'Price History'!O142=0),"",'Price History'!O143/'Price History'!O142-1),"")</f>
        <v>2.4317963915279295E-2</v>
      </c>
      <c r="P142" s="82" t="str">
        <f>IFERROR(IF(OR(NOT(ISNUMBER('Price History'!P143)),NOT(ISNUMBER('Price History'!P142)),'Price History'!P142=0),"",'Price History'!P143/'Price History'!P142-1),"")</f>
        <v/>
      </c>
      <c r="Q142" s="82">
        <f>IFERROR(IF(OR(NOT(ISNUMBER('Price History'!Q143)),NOT(ISNUMBER('Price History'!Q142)),'Price History'!Q142=0),"",'Price History'!Q143/'Price History'!Q142-1),"")</f>
        <v>-1.0582010582010803E-2</v>
      </c>
      <c r="R142" s="82">
        <f>IFERROR(IF(OR(NOT(ISNUMBER('Price History'!R143)),NOT(ISNUMBER('Price History'!R142)),'Price History'!R142=0),"",'Price History'!R143/'Price History'!R142-1),"")</f>
        <v>1.8049288441513323E-2</v>
      </c>
      <c r="S142" s="82">
        <f>IFERROR(IF(OR(NOT(ISNUMBER('Price History'!S143)),NOT(ISNUMBER('Price History'!S142)),'Price History'!S142=0),"",'Price History'!S143/'Price History'!S142-1),"")</f>
        <v>4.0214042484190138E-2</v>
      </c>
      <c r="T142" s="82">
        <f>IFERROR(IF(OR(NOT(ISNUMBER('Price History'!T143)),NOT(ISNUMBER('Price History'!T142)),'Price History'!T142=0),"",'Price History'!T143/'Price History'!T142-1),"")</f>
        <v>5.3481331987890846E-2</v>
      </c>
      <c r="U142" s="82" t="str">
        <f>IFERROR(IF(OR(NOT(ISNUMBER('Price History'!U143)),NOT(ISNUMBER('Price History'!U142)),'Price History'!U142=0),"",'Price History'!U143/'Price History'!U142-1),"")</f>
        <v/>
      </c>
      <c r="V142" s="83">
        <f>IFERROR(IF(OR(NOT(ISNUMBER('Price History'!V143)),NOT(ISNUMBER('Price History'!V142)),'Price History'!V142=0),"",'Price History'!V143/'Price History'!V142-1),"")</f>
        <v>4.15938252465613E-2</v>
      </c>
      <c r="W142" s="84" t="str">
        <f>IFERROR('Price History'!B3+(INDEX('Price History'!B:B,MATCH(9.99E+307,'Price History'!$A:$A))-'Price History'!B3)*(ROW()-3)/(MATCH(9.99E+307,'Returns (Calc)'!$A:$A)-3),"")</f>
        <v/>
      </c>
      <c r="X142" s="84">
        <f>IFERROR('Price History'!C3+(INDEX('Price History'!C:C,MATCH(9.99E+307,'Price History'!$A:$A))-'Price History'!C3)*(ROW()-3)/(MATCH(9.99E+307,'Returns (Calc)'!$A:$A)-3),"")</f>
        <v>5.5018867924528294</v>
      </c>
      <c r="Y142" s="84">
        <f>IFERROR('Price History'!D3+(INDEX('Price History'!D:D,MATCH(9.99E+307,'Price History'!$A:$A))-'Price History'!D3)*(ROW()-3)/(MATCH(9.99E+307,'Returns (Calc)'!$A:$A)-3),"")</f>
        <v>83.242767295597446</v>
      </c>
      <c r="Z142" s="84">
        <f>IFERROR('Price History'!E3+(INDEX('Price History'!E:E,MATCH(9.99E+307,'Price History'!$A:$A))-'Price History'!E3)*(ROW()-3)/(MATCH(9.99E+307,'Returns (Calc)'!$A:$A)-3),"")</f>
        <v>10.437735849056594</v>
      </c>
      <c r="AA142" s="84">
        <f>IFERROR('Price History'!F3+(INDEX('Price History'!F:F,MATCH(9.99E+307,'Price History'!$A:$A))-'Price History'!F3)*(ROW()-3)/(MATCH(9.99E+307,'Returns (Calc)'!$A:$A)-3),"")</f>
        <v>4.6616352201257882</v>
      </c>
      <c r="AB142" s="84">
        <f>IFERROR('Price History'!G3+(INDEX('Price History'!G:G,MATCH(9.99E+307,'Price History'!$A:$A))-'Price History'!G3)*(ROW()-3)/(MATCH(9.99E+307,'Returns (Calc)'!$A:$A)-3),"")</f>
        <v>6.0251572327044016</v>
      </c>
      <c r="AC142" s="84">
        <f>IFERROR('Price History'!H3+(INDEX('Price History'!H:H,MATCH(9.99E+307,'Price History'!$A:$A))-'Price History'!H3)*(ROW()-3)/(MATCH(9.99E+307,'Returns (Calc)'!$A:$A)-3),"")</f>
        <v>8.0968553459119548</v>
      </c>
      <c r="AD142" s="84">
        <f>IFERROR('Price History'!I3+(INDEX('Price History'!I:I,MATCH(9.99E+307,'Price History'!$A:$A))-'Price History'!I3)*(ROW()-3)/(MATCH(9.99E+307,'Returns (Calc)'!$A:$A)-3),"")</f>
        <v>5.1383647798742089</v>
      </c>
      <c r="AE142" s="84">
        <f>IFERROR('Price History'!J3+(INDEX('Price History'!J:J,MATCH(9.99E+307,'Price History'!$A:$A))-'Price History'!J3)*(ROW()-3)/(MATCH(9.99E+307,'Returns (Calc)'!$A:$A)-3),"")</f>
        <v>15.53584905660378</v>
      </c>
      <c r="AF142" s="84">
        <f>IFERROR('Price History'!K3+(INDEX('Price History'!K:K,MATCH(9.99E+307,'Price History'!$A:$A))-'Price History'!K3)*(ROW()-3)/(MATCH(9.99E+307,'Returns (Calc)'!$A:$A)-3),"")</f>
        <v>1.9383647798742132</v>
      </c>
      <c r="AG142" s="84">
        <f>IFERROR('Price History'!L3+(INDEX('Price History'!L:L,MATCH(9.99E+307,'Price History'!$A:$A))-'Price History'!L3)*(ROW()-3)/(MATCH(9.99E+307,'Returns (Calc)'!$A:$A)-3),"")</f>
        <v>11.571069182389934</v>
      </c>
      <c r="AH142" s="84">
        <f>IFERROR('Price History'!M3+(INDEX('Price History'!M:M,MATCH(9.99E+307,'Price History'!$A:$A))-'Price History'!M3)*(ROW()-3)/(MATCH(9.99E+307,'Returns (Calc)'!$A:$A)-3),"")</f>
        <v>4.2150943396226417</v>
      </c>
      <c r="AI142" s="84">
        <f>IFERROR('Price History'!N3+(INDEX('Price History'!N:N,MATCH(9.99E+307,'Price History'!$A:$A))-'Price History'!N3)*(ROW()-3)/(MATCH(9.99E+307,'Returns (Calc)'!$A:$A)-3),"")</f>
        <v>44.007547169811346</v>
      </c>
      <c r="AJ142" s="84">
        <f>IFERROR('Price History'!O3+(INDEX('Price History'!O:O,MATCH(9.99E+307,'Price History'!$A:$A))-'Price History'!O3)*(ROW()-3)/(MATCH(9.99E+307,'Returns (Calc)'!$A:$A)-3),"")</f>
        <v>10.421383647798734</v>
      </c>
      <c r="AK142" s="84">
        <f>IFERROR('Price History'!Q3+(INDEX('Price History'!Q:Q,MATCH(9.99E+307,'Price History'!$A:$A))-'Price History'!Q3)*(ROW()-3)/(MATCH(9.99E+307,'Returns (Calc)'!$A:$A)-3),"")</f>
        <v>6.2691823899371073</v>
      </c>
      <c r="AL142" s="84">
        <f>IFERROR('Price History'!R3+(INDEX('Price History'!R:R,MATCH(9.99E+307,'Price History'!$A:$A))-'Price History'!R3)*(ROW()-3)/(MATCH(9.99E+307,'Returns (Calc)'!$A:$A)-3),"")</f>
        <v>6.0150943396226353</v>
      </c>
      <c r="AM142" s="84">
        <f>IFERROR('Price History'!S3+(INDEX('Price History'!S:S,MATCH(9.99E+307,'Price History'!$A:$A))-'Price History'!S3)*(ROW()-3)/(MATCH(9.99E+307,'Returns (Calc)'!$A:$A)-3),"")</f>
        <v>7.3635220125786205</v>
      </c>
      <c r="AN142" s="84">
        <f>IFERROR('Price History'!T3+(INDEX('Price History'!T:T,MATCH(9.99E+307,'Price History'!$A:$A))-'Price History'!T3)*(ROW()-3)/(MATCH(9.99E+307,'Returns (Calc)'!$A:$A)-3),"")</f>
        <v>3.3849056603773562</v>
      </c>
      <c r="AO142" s="85">
        <f>IFERROR('Price History'!V3+(INDEX('Price History'!V:V,MATCH(9.99E+307,'Price History'!$A:$A))-'Price History'!V3)*(ROW()-3)/(MATCH(9.99E+307,'Returns (Calc)'!$A:$A)-3),"")</f>
        <v>0</v>
      </c>
    </row>
    <row r="143" spans="1:41" ht="15" customHeight="1" x14ac:dyDescent="0.3">
      <c r="A143" s="81">
        <f>IF('Price History'!A144="","",'Price History'!A144)</f>
        <v>46136</v>
      </c>
      <c r="B143" s="82">
        <f>IFERROR(IF(OR(NOT(ISNUMBER('Price History'!B144)),NOT(ISNUMBER('Price History'!B143)),'Price History'!B143=0),"",'Price History'!B144/'Price History'!B143-1),"")</f>
        <v>4.0499079566373997E-3</v>
      </c>
      <c r="C143" s="82">
        <f>IFERROR(IF(OR(NOT(ISNUMBER('Price History'!C144)),NOT(ISNUMBER('Price History'!C143)),'Price History'!C143=0),"",'Price History'!C144/'Price History'!C143-1),"")</f>
        <v>7.7208792547037719E-2</v>
      </c>
      <c r="D143" s="82">
        <f>IFERROR(IF(OR(NOT(ISNUMBER('Price History'!D144)),NOT(ISNUMBER('Price History'!D143)),'Price History'!D143=0),"",'Price History'!D144/'Price History'!D143-1),"")</f>
        <v>-1.4385532264693524E-3</v>
      </c>
      <c r="E143" s="82">
        <f>IFERROR(IF(OR(NOT(ISNUMBER('Price History'!E144)),NOT(ISNUMBER('Price History'!E143)),'Price History'!E143=0),"",'Price History'!E144/'Price History'!E143-1),"")</f>
        <v>3.9897673045702575E-2</v>
      </c>
      <c r="F143" s="82">
        <f>IFERROR(IF(OR(NOT(ISNUMBER('Price History'!F144)),NOT(ISNUMBER('Price History'!F143)),'Price History'!F143=0),"",'Price History'!F144/'Price History'!F143-1),"")</f>
        <v>5.6986508161147365E-2</v>
      </c>
      <c r="G143" s="82">
        <f>IFERROR(IF(OR(NOT(ISNUMBER('Price History'!G144)),NOT(ISNUMBER('Price History'!G143)),'Price History'!G143=0),"",'Price History'!G144/'Price History'!G143-1),"")</f>
        <v>8.0160768114324155E-2</v>
      </c>
      <c r="H143" s="82">
        <f>IFERROR(IF(OR(NOT(ISNUMBER('Price History'!H144)),NOT(ISNUMBER('Price History'!H143)),'Price History'!H143=0),"",'Price History'!H144/'Price History'!H143-1),"")</f>
        <v>9.1524380864482557E-2</v>
      </c>
      <c r="I143" s="82">
        <f>IFERROR(IF(OR(NOT(ISNUMBER('Price History'!I144)),NOT(ISNUMBER('Price History'!I143)),'Price History'!I143=0),"",'Price History'!I144/'Price History'!I143-1),"")</f>
        <v>3.2675525585085241E-2</v>
      </c>
      <c r="J143" s="82">
        <f>IFERROR(IF(OR(NOT(ISNUMBER('Price History'!J144)),NOT(ISNUMBER('Price History'!J143)),'Price History'!J143=0),"",'Price History'!J144/'Price History'!J143-1),"")</f>
        <v>-2.0675396278428626E-2</v>
      </c>
      <c r="K143" s="82">
        <f>IFERROR(IF(OR(NOT(ISNUMBER('Price History'!K144)),NOT(ISNUMBER('Price History'!K143)),'Price History'!K143=0),"",'Price History'!K144/'Price History'!K143-1),"")</f>
        <v>-2.2542523396406722E-2</v>
      </c>
      <c r="L143" s="82">
        <f>IFERROR(IF(OR(NOT(ISNUMBER('Price History'!L144)),NOT(ISNUMBER('Price History'!L143)),'Price History'!L143=0),"",'Price History'!L144/'Price History'!L143-1),"")</f>
        <v>8.6261808367071424E-2</v>
      </c>
      <c r="M143" s="82">
        <f>IFERROR(IF(OR(NOT(ISNUMBER('Price History'!M144)),NOT(ISNUMBER('Price History'!M143)),'Price History'!M143=0),"",'Price History'!M144/'Price History'!M143-1),"")</f>
        <v>5.2450055313333799E-2</v>
      </c>
      <c r="N143" s="82">
        <f>IFERROR(IF(OR(NOT(ISNUMBER('Price History'!N144)),NOT(ISNUMBER('Price History'!N143)),'Price History'!N143=0),"",'Price History'!N144/'Price History'!N143-1),"")</f>
        <v>-2.4728014505892904E-2</v>
      </c>
      <c r="O143" s="82">
        <f>IFERROR(IF(OR(NOT(ISNUMBER('Price History'!O144)),NOT(ISNUMBER('Price History'!O143)),'Price History'!O143=0),"",'Price History'!O144/'Price History'!O143-1),"")</f>
        <v>1.2253233492171445E-2</v>
      </c>
      <c r="P143" s="82" t="str">
        <f>IFERROR(IF(OR(NOT(ISNUMBER('Price History'!P144)),NOT(ISNUMBER('Price History'!P143)),'Price History'!P143=0),"",'Price History'!P144/'Price History'!P143-1),"")</f>
        <v/>
      </c>
      <c r="Q143" s="82">
        <f>IFERROR(IF(OR(NOT(ISNUMBER('Price History'!Q144)),NOT(ISNUMBER('Price History'!Q143)),'Price History'!Q143=0),"",'Price History'!Q144/'Price History'!Q143-1),"")</f>
        <v>4.4563279857401383E-4</v>
      </c>
      <c r="R143" s="82">
        <f>IFERROR(IF(OR(NOT(ISNUMBER('Price History'!R144)),NOT(ISNUMBER('Price History'!R143)),'Price History'!R143=0),"",'Price History'!R144/'Price History'!R143-1),"")</f>
        <v>5.6256392771907304E-3</v>
      </c>
      <c r="S143" s="82">
        <f>IFERROR(IF(OR(NOT(ISNUMBER('Price History'!S144)),NOT(ISNUMBER('Price History'!S143)),'Price History'!S143=0),"",'Price History'!S144/'Price History'!S143-1),"")</f>
        <v>2.5097427903351566E-2</v>
      </c>
      <c r="T143" s="82">
        <f>IFERROR(IF(OR(NOT(ISNUMBER('Price History'!T144)),NOT(ISNUMBER('Price History'!T143)),'Price History'!T143=0),"",'Price History'!T144/'Price History'!T143-1),"")</f>
        <v>-5.7471264367814356E-3</v>
      </c>
      <c r="U143" s="82" t="str">
        <f>IFERROR(IF(OR(NOT(ISNUMBER('Price History'!U144)),NOT(ISNUMBER('Price History'!U143)),'Price History'!U143=0),"",'Price History'!U144/'Price History'!U143-1),"")</f>
        <v/>
      </c>
      <c r="V143" s="83">
        <f>IFERROR(IF(OR(NOT(ISNUMBER('Price History'!V144)),NOT(ISNUMBER('Price History'!V143)),'Price History'!V143=0),"",'Price History'!V144/'Price History'!V143-1),"")</f>
        <v>-2.3972385838241794E-2</v>
      </c>
      <c r="W143" s="84" t="str">
        <f>IFERROR('Price History'!B3+(INDEX('Price History'!B:B,MATCH(9.99E+307,'Price History'!$A:$A))-'Price History'!B3)*(ROW()-3)/(MATCH(9.99E+307,'Returns (Calc)'!$A:$A)-3),"")</f>
        <v/>
      </c>
      <c r="X143" s="84">
        <f>IFERROR('Price History'!C3+(INDEX('Price History'!C:C,MATCH(9.99E+307,'Price History'!$A:$A))-'Price History'!C3)*(ROW()-3)/(MATCH(9.99E+307,'Returns (Calc)'!$A:$A)-3),"")</f>
        <v>5.226792452830189</v>
      </c>
      <c r="Y143" s="84">
        <f>IFERROR('Price History'!D3+(INDEX('Price History'!D:D,MATCH(9.99E+307,'Price History'!$A:$A))-'Price History'!D3)*(ROW()-3)/(MATCH(9.99E+307,'Returns (Calc)'!$A:$A)-3),"")</f>
        <v>79.080628930817625</v>
      </c>
      <c r="Z143" s="84">
        <f>IFERROR('Price History'!E3+(INDEX('Price History'!E:E,MATCH(9.99E+307,'Price History'!$A:$A))-'Price History'!E3)*(ROW()-3)/(MATCH(9.99E+307,'Returns (Calc)'!$A:$A)-3),"")</f>
        <v>9.9158490566037756</v>
      </c>
      <c r="AA143" s="84">
        <f>IFERROR('Price History'!F3+(INDEX('Price History'!F:F,MATCH(9.99E+307,'Price History'!$A:$A))-'Price History'!F3)*(ROW()-3)/(MATCH(9.99E+307,'Returns (Calc)'!$A:$A)-3),"")</f>
        <v>4.4285534591194988</v>
      </c>
      <c r="AB143" s="84">
        <f>IFERROR('Price History'!G3+(INDEX('Price History'!G:G,MATCH(9.99E+307,'Price History'!$A:$A))-'Price History'!G3)*(ROW()-3)/(MATCH(9.99E+307,'Returns (Calc)'!$A:$A)-3),"")</f>
        <v>5.7238993710691801</v>
      </c>
      <c r="AC143" s="84">
        <f>IFERROR('Price History'!H3+(INDEX('Price History'!H:H,MATCH(9.99E+307,'Price History'!$A:$A))-'Price History'!H3)*(ROW()-3)/(MATCH(9.99E+307,'Returns (Calc)'!$A:$A)-3),"")</f>
        <v>7.6920125786163496</v>
      </c>
      <c r="AD143" s="84">
        <f>IFERROR('Price History'!I3+(INDEX('Price History'!I:I,MATCH(9.99E+307,'Price History'!$A:$A))-'Price History'!I3)*(ROW()-3)/(MATCH(9.99E+307,'Returns (Calc)'!$A:$A)-3),"")</f>
        <v>4.8814465408805034</v>
      </c>
      <c r="AE143" s="84">
        <f>IFERROR('Price History'!J3+(INDEX('Price History'!J:J,MATCH(9.99E+307,'Price History'!$A:$A))-'Price History'!J3)*(ROW()-3)/(MATCH(9.99E+307,'Returns (Calc)'!$A:$A)-3),"")</f>
        <v>14.759056603773587</v>
      </c>
      <c r="AF143" s="84">
        <f>IFERROR('Price History'!K3+(INDEX('Price History'!K:K,MATCH(9.99E+307,'Price History'!$A:$A))-'Price History'!K3)*(ROW()-3)/(MATCH(9.99E+307,'Returns (Calc)'!$A:$A)-3),"")</f>
        <v>1.8414465408805025</v>
      </c>
      <c r="AG143" s="84">
        <f>IFERROR('Price History'!L3+(INDEX('Price History'!L:L,MATCH(9.99E+307,'Price History'!$A:$A))-'Price History'!L3)*(ROW()-3)/(MATCH(9.99E+307,'Returns (Calc)'!$A:$A)-3),"")</f>
        <v>10.992515723270444</v>
      </c>
      <c r="AH143" s="84">
        <f>IFERROR('Price History'!M3+(INDEX('Price History'!M:M,MATCH(9.99E+307,'Price History'!$A:$A))-'Price History'!M3)*(ROW()-3)/(MATCH(9.99E+307,'Returns (Calc)'!$A:$A)-3),"")</f>
        <v>4.0043396226415098</v>
      </c>
      <c r="AI143" s="84">
        <f>IFERROR('Price History'!N3+(INDEX('Price History'!N:N,MATCH(9.99E+307,'Price History'!$A:$A))-'Price History'!N3)*(ROW()-3)/(MATCH(9.99E+307,'Returns (Calc)'!$A:$A)-3),"")</f>
        <v>41.807169811320762</v>
      </c>
      <c r="AJ143" s="84">
        <f>IFERROR('Price History'!O3+(INDEX('Price History'!O:O,MATCH(9.99E+307,'Price History'!$A:$A))-'Price History'!O3)*(ROW()-3)/(MATCH(9.99E+307,'Returns (Calc)'!$A:$A)-3),"")</f>
        <v>9.9003144654087976</v>
      </c>
      <c r="AK143" s="84">
        <f>IFERROR('Price History'!Q3+(INDEX('Price History'!Q:Q,MATCH(9.99E+307,'Price History'!$A:$A))-'Price History'!Q3)*(ROW()-3)/(MATCH(9.99E+307,'Returns (Calc)'!$A:$A)-3),"")</f>
        <v>5.9557232704402523</v>
      </c>
      <c r="AL143" s="84">
        <f>IFERROR('Price History'!R3+(INDEX('Price History'!R:R,MATCH(9.99E+307,'Price History'!$A:$A))-'Price History'!R3)*(ROW()-3)/(MATCH(9.99E+307,'Returns (Calc)'!$A:$A)-3),"")</f>
        <v>5.7143396226415106</v>
      </c>
      <c r="AM143" s="84">
        <f>IFERROR('Price History'!S3+(INDEX('Price History'!S:S,MATCH(9.99E+307,'Price History'!$A:$A))-'Price History'!S3)*(ROW()-3)/(MATCH(9.99E+307,'Returns (Calc)'!$A:$A)-3),"")</f>
        <v>6.9953459119496841</v>
      </c>
      <c r="AN143" s="84">
        <f>IFERROR('Price History'!T3+(INDEX('Price History'!T:T,MATCH(9.99E+307,'Price History'!$A:$A))-'Price History'!T3)*(ROW()-3)/(MATCH(9.99E+307,'Returns (Calc)'!$A:$A)-3),"")</f>
        <v>3.2156603773584891</v>
      </c>
      <c r="AO143" s="85">
        <f>IFERROR('Price History'!V3+(INDEX('Price History'!V:V,MATCH(9.99E+307,'Price History'!$A:$A))-'Price History'!V3)*(ROW()-3)/(MATCH(9.99E+307,'Returns (Calc)'!$A:$A)-3),"")</f>
        <v>0</v>
      </c>
    </row>
    <row r="144" spans="1:41" ht="15" customHeight="1" x14ac:dyDescent="0.3">
      <c r="A144" s="81">
        <f>IF('Price History'!A145="","",'Price History'!A145)</f>
        <v>46143</v>
      </c>
      <c r="B144" s="82">
        <f>IFERROR(IF(OR(NOT(ISNUMBER('Price History'!B145)),NOT(ISNUMBER('Price History'!B144)),'Price History'!B144=0),"",'Price History'!B145/'Price History'!B144-1),"")</f>
        <v>2.1471642764015586E-2</v>
      </c>
      <c r="C144" s="82">
        <f>IFERROR(IF(OR(NOT(ISNUMBER('Price History'!C145)),NOT(ISNUMBER('Price History'!C144)),'Price History'!C144=0),"",'Price History'!C145/'Price History'!C144-1),"")</f>
        <v>-2.3797411112995381E-2</v>
      </c>
      <c r="D144" s="82">
        <f>IFERROR(IF(OR(NOT(ISNUMBER('Price History'!D145)),NOT(ISNUMBER('Price History'!D144)),'Price History'!D144=0),"",'Price History'!D145/'Price History'!D144-1),"")</f>
        <v>-2.1046854634012568E-2</v>
      </c>
      <c r="E144" s="82">
        <f>IFERROR(IF(OR(NOT(ISNUMBER('Price History'!E145)),NOT(ISNUMBER('Price History'!E144)),'Price History'!E144=0),"",'Price History'!E145/'Price History'!E144-1),"")</f>
        <v>-3.5008042388117167E-3</v>
      </c>
      <c r="F144" s="82">
        <f>IFERROR(IF(OR(NOT(ISNUMBER('Price History'!F145)),NOT(ISNUMBER('Price History'!F144)),'Price History'!F144=0),"",'Price History'!F145/'Price History'!F144-1),"")</f>
        <v>1.6781219316254425E-2</v>
      </c>
      <c r="G144" s="82">
        <f>IFERROR(IF(OR(NOT(ISNUMBER('Price History'!G145)),NOT(ISNUMBER('Price History'!G144)),'Price History'!G144=0),"",'Price History'!G145/'Price History'!G144-1),"")</f>
        <v>-0.10785529715762276</v>
      </c>
      <c r="H144" s="82">
        <f>IFERROR(IF(OR(NOT(ISNUMBER('Price History'!H145)),NOT(ISNUMBER('Price History'!H144)),'Price History'!H144=0),"",'Price History'!H145/'Price History'!H144-1),"")</f>
        <v>9.1580769850217347E-2</v>
      </c>
      <c r="I144" s="82">
        <f>IFERROR(IF(OR(NOT(ISNUMBER('Price History'!I145)),NOT(ISNUMBER('Price History'!I144)),'Price History'!I144=0),"",'Price History'!I145/'Price History'!I144-1),"")</f>
        <v>-4.715033370144539E-2</v>
      </c>
      <c r="J144" s="82">
        <f>IFERROR(IF(OR(NOT(ISNUMBER('Price History'!J145)),NOT(ISNUMBER('Price History'!J144)),'Price History'!J144=0),"",'Price History'!J145/'Price History'!J144-1),"")</f>
        <v>-4.8557353976073081E-3</v>
      </c>
      <c r="K144" s="82">
        <f>IFERROR(IF(OR(NOT(ISNUMBER('Price History'!K145)),NOT(ISNUMBER('Price History'!K144)),'Price History'!K144=0),"",'Price History'!K145/'Price History'!K144-1),"")</f>
        <v>6.8488363966734411E-3</v>
      </c>
      <c r="L144" s="82">
        <f>IFERROR(IF(OR(NOT(ISNUMBER('Price History'!L145)),NOT(ISNUMBER('Price History'!L144)),'Price History'!L144=0),"",'Price History'!L145/'Price History'!L144-1),"")</f>
        <v>-1.190180390597817E-2</v>
      </c>
      <c r="M144" s="82">
        <f>IFERROR(IF(OR(NOT(ISNUMBER('Price History'!M145)),NOT(ISNUMBER('Price History'!M144)),'Price History'!M144=0),"",'Price History'!M145/'Price History'!M144-1),"")</f>
        <v>1.499412601248995E-2</v>
      </c>
      <c r="N144" s="82">
        <f>IFERROR(IF(OR(NOT(ISNUMBER('Price History'!N145)),NOT(ISNUMBER('Price History'!N144)),'Price History'!N144=0),"",'Price History'!N145/'Price History'!N144-1),"")</f>
        <v>-1.4803969415975282E-2</v>
      </c>
      <c r="O144" s="82">
        <f>IFERROR(IF(OR(NOT(ISNUMBER('Price History'!O145)),NOT(ISNUMBER('Price History'!O144)),'Price History'!O144=0),"",'Price History'!O145/'Price History'!O144-1),"")</f>
        <v>8.4061869535978495E-3</v>
      </c>
      <c r="P144" s="82" t="str">
        <f>IFERROR(IF(OR(NOT(ISNUMBER('Price History'!P145)),NOT(ISNUMBER('Price History'!P144)),'Price History'!P144=0),"",'Price History'!P145/'Price History'!P144-1),"")</f>
        <v/>
      </c>
      <c r="Q144" s="82">
        <f>IFERROR(IF(OR(NOT(ISNUMBER('Price History'!Q145)),NOT(ISNUMBER('Price History'!Q144)),'Price History'!Q144=0),"",'Price History'!Q145/'Price History'!Q144-1),"")</f>
        <v>8.4632516703786465E-3</v>
      </c>
      <c r="R144" s="82">
        <f>IFERROR(IF(OR(NOT(ISNUMBER('Price History'!R145)),NOT(ISNUMBER('Price History'!R144)),'Price History'!R144=0),"",'Price History'!R145/'Price History'!R144-1),"")</f>
        <v>-2.203763349720389E-3</v>
      </c>
      <c r="S144" s="82">
        <f>IFERROR(IF(OR(NOT(ISNUMBER('Price History'!S145)),NOT(ISNUMBER('Price History'!S144)),'Price History'!S144=0),"",'Price History'!S145/'Price History'!S144-1),"")</f>
        <v>2.2049878345498541E-2</v>
      </c>
      <c r="T144" s="82">
        <f>IFERROR(IF(OR(NOT(ISNUMBER('Price History'!T145)),NOT(ISNUMBER('Price History'!T144)),'Price History'!T144=0),"",'Price History'!T145/'Price History'!T144-1),"")</f>
        <v>2.5770712909441329E-2</v>
      </c>
      <c r="U144" s="82" t="str">
        <f>IFERROR(IF(OR(NOT(ISNUMBER('Price History'!U145)),NOT(ISNUMBER('Price History'!U144)),'Price History'!U144=0),"",'Price History'!U145/'Price History'!U144-1),"")</f>
        <v/>
      </c>
      <c r="V144" s="83">
        <f>IFERROR(IF(OR(NOT(ISNUMBER('Price History'!V145)),NOT(ISNUMBER('Price History'!V144)),'Price History'!V144=0),"",'Price History'!V145/'Price History'!V144-1),"")</f>
        <v>6.0121345835631557E-2</v>
      </c>
      <c r="W144" s="84" t="str">
        <f>IFERROR('Price History'!B3+(INDEX('Price History'!B:B,MATCH(9.99E+307,'Price History'!$A:$A))-'Price History'!B3)*(ROW()-3)/(MATCH(9.99E+307,'Returns (Calc)'!$A:$A)-3),"")</f>
        <v/>
      </c>
      <c r="X144" s="84">
        <f>IFERROR('Price History'!C3+(INDEX('Price History'!C:C,MATCH(9.99E+307,'Price History'!$A:$A))-'Price History'!C3)*(ROW()-3)/(MATCH(9.99E+307,'Returns (Calc)'!$A:$A)-3),"")</f>
        <v>4.9516981132075486</v>
      </c>
      <c r="Y144" s="84">
        <f>IFERROR('Price History'!D3+(INDEX('Price History'!D:D,MATCH(9.99E+307,'Price History'!$A:$A))-'Price History'!D3)*(ROW()-3)/(MATCH(9.99E+307,'Returns (Calc)'!$A:$A)-3),"")</f>
        <v>74.91849056603769</v>
      </c>
      <c r="Z144" s="84">
        <f>IFERROR('Price History'!E3+(INDEX('Price History'!E:E,MATCH(9.99E+307,'Price History'!$A:$A))-'Price History'!E3)*(ROW()-3)/(MATCH(9.99E+307,'Returns (Calc)'!$A:$A)-3),"")</f>
        <v>9.393962264150943</v>
      </c>
      <c r="AA144" s="84">
        <f>IFERROR('Price History'!F3+(INDEX('Price History'!F:F,MATCH(9.99E+307,'Price History'!$A:$A))-'Price History'!F3)*(ROW()-3)/(MATCH(9.99E+307,'Returns (Calc)'!$A:$A)-3),"")</f>
        <v>4.1954716981132094</v>
      </c>
      <c r="AB144" s="84">
        <f>IFERROR('Price History'!G3+(INDEX('Price History'!G:G,MATCH(9.99E+307,'Price History'!$A:$A))-'Price History'!G3)*(ROW()-3)/(MATCH(9.99E+307,'Returns (Calc)'!$A:$A)-3),"")</f>
        <v>5.4226415094339657</v>
      </c>
      <c r="AC144" s="84">
        <f>IFERROR('Price History'!H3+(INDEX('Price History'!H:H,MATCH(9.99E+307,'Price History'!$A:$A))-'Price History'!H3)*(ROW()-3)/(MATCH(9.99E+307,'Returns (Calc)'!$A:$A)-3),"")</f>
        <v>7.2871698113207586</v>
      </c>
      <c r="AD144" s="84">
        <f>IFERROR('Price History'!I3+(INDEX('Price History'!I:I,MATCH(9.99E+307,'Price History'!$A:$A))-'Price History'!I3)*(ROW()-3)/(MATCH(9.99E+307,'Returns (Calc)'!$A:$A)-3),"")</f>
        <v>4.6245283018867909</v>
      </c>
      <c r="AE144" s="84">
        <f>IFERROR('Price History'!J3+(INDEX('Price History'!J:J,MATCH(9.99E+307,'Price History'!$A:$A))-'Price History'!J3)*(ROW()-3)/(MATCH(9.99E+307,'Returns (Calc)'!$A:$A)-3),"")</f>
        <v>13.982264150943408</v>
      </c>
      <c r="AF144" s="84">
        <f>IFERROR('Price History'!K3+(INDEX('Price History'!K:K,MATCH(9.99E+307,'Price History'!$A:$A))-'Price History'!K3)*(ROW()-3)/(MATCH(9.99E+307,'Returns (Calc)'!$A:$A)-3),"")</f>
        <v>1.7445283018867936</v>
      </c>
      <c r="AG144" s="84">
        <f>IFERROR('Price History'!L3+(INDEX('Price History'!L:L,MATCH(9.99E+307,'Price History'!$A:$A))-'Price History'!L3)*(ROW()-3)/(MATCH(9.99E+307,'Returns (Calc)'!$A:$A)-3),"")</f>
        <v>10.413962264150939</v>
      </c>
      <c r="AH144" s="84">
        <f>IFERROR('Price History'!M3+(INDEX('Price History'!M:M,MATCH(9.99E+307,'Price History'!$A:$A))-'Price History'!M3)*(ROW()-3)/(MATCH(9.99E+307,'Returns (Calc)'!$A:$A)-3),"")</f>
        <v>3.7935849056603779</v>
      </c>
      <c r="AI144" s="84">
        <f>IFERROR('Price History'!N3+(INDEX('Price History'!N:N,MATCH(9.99E+307,'Price History'!$A:$A))-'Price History'!N3)*(ROW()-3)/(MATCH(9.99E+307,'Returns (Calc)'!$A:$A)-3),"")</f>
        <v>39.606792452830177</v>
      </c>
      <c r="AJ144" s="84">
        <f>IFERROR('Price History'!O3+(INDEX('Price History'!O:O,MATCH(9.99E+307,'Price History'!$A:$A))-'Price History'!O3)*(ROW()-3)/(MATCH(9.99E+307,'Returns (Calc)'!$A:$A)-3),"")</f>
        <v>9.3792452830188751</v>
      </c>
      <c r="AK144" s="84">
        <f>IFERROR('Price History'!Q3+(INDEX('Price History'!Q:Q,MATCH(9.99E+307,'Price History'!$A:$A))-'Price History'!Q3)*(ROW()-3)/(MATCH(9.99E+307,'Returns (Calc)'!$A:$A)-3),"")</f>
        <v>5.6422641509433973</v>
      </c>
      <c r="AL144" s="84">
        <f>IFERROR('Price History'!R3+(INDEX('Price History'!R:R,MATCH(9.99E+307,'Price History'!$A:$A))-'Price History'!R3)*(ROW()-3)/(MATCH(9.99E+307,'Returns (Calc)'!$A:$A)-3),"")</f>
        <v>5.4135849056603789</v>
      </c>
      <c r="AM144" s="84">
        <f>IFERROR('Price History'!S3+(INDEX('Price History'!S:S,MATCH(9.99E+307,'Price History'!$A:$A))-'Price History'!S3)*(ROW()-3)/(MATCH(9.99E+307,'Returns (Calc)'!$A:$A)-3),"")</f>
        <v>6.6271698113207549</v>
      </c>
      <c r="AN144" s="84">
        <f>IFERROR('Price History'!T3+(INDEX('Price History'!T:T,MATCH(9.99E+307,'Price History'!$A:$A))-'Price History'!T3)*(ROW()-3)/(MATCH(9.99E+307,'Returns (Calc)'!$A:$A)-3),"")</f>
        <v>3.046415094339622</v>
      </c>
      <c r="AO144" s="85">
        <f>IFERROR('Price History'!V3+(INDEX('Price History'!V:V,MATCH(9.99E+307,'Price History'!$A:$A))-'Price History'!V3)*(ROW()-3)/(MATCH(9.99E+307,'Returns (Calc)'!$A:$A)-3),"")</f>
        <v>0</v>
      </c>
    </row>
    <row r="145" spans="1:41" ht="15" customHeight="1" x14ac:dyDescent="0.3">
      <c r="A145" s="81">
        <f>IF('Price History'!A146="","",'Price History'!A146)</f>
        <v>46150</v>
      </c>
      <c r="B145" s="82">
        <f>IFERROR(IF(OR(NOT(ISNUMBER('Price History'!B146)),NOT(ISNUMBER('Price History'!B145)),'Price History'!B145=0),"",'Price History'!B146/'Price History'!B145-1),"")</f>
        <v>9.2936061585098262E-3</v>
      </c>
      <c r="C145" s="82">
        <f>IFERROR(IF(OR(NOT(ISNUMBER('Price History'!C146)),NOT(ISNUMBER('Price History'!C145)),'Price History'!C145=0),"",'Price History'!C146/'Price History'!C145-1),"")</f>
        <v>-0.17909669947886497</v>
      </c>
      <c r="D145" s="82">
        <f>IFERROR(IF(OR(NOT(ISNUMBER('Price History'!D146)),NOT(ISNUMBER('Price History'!D145)),'Price History'!D145=0),"",'Price History'!D146/'Price History'!D145-1),"")</f>
        <v>0.1156255693683339</v>
      </c>
      <c r="E145" s="82">
        <f>IFERROR(IF(OR(NOT(ISNUMBER('Price History'!E146)),NOT(ISNUMBER('Price History'!E145)),'Price History'!E145=0),"",'Price History'!E146/'Price History'!E145-1),"")</f>
        <v>2.0698822635776715E-2</v>
      </c>
      <c r="F145" s="82">
        <f>IFERROR(IF(OR(NOT(ISNUMBER('Price History'!F146)),NOT(ISNUMBER('Price History'!F145)),'Price History'!F145=0),"",'Price History'!F146/'Price History'!F145-1),"")</f>
        <v>0.15828285488543581</v>
      </c>
      <c r="G145" s="82">
        <f>IFERROR(IF(OR(NOT(ISNUMBER('Price History'!G146)),NOT(ISNUMBER('Price History'!G145)),'Price History'!G145=0),"",'Price History'!G146/'Price History'!G145-1),"")</f>
        <v>8.2778196142037741E-2</v>
      </c>
      <c r="H145" s="82">
        <f>IFERROR(IF(OR(NOT(ISNUMBER('Price History'!H146)),NOT(ISNUMBER('Price History'!H145)),'Price History'!H145=0),"",'Price History'!H146/'Price History'!H145-1),"")</f>
        <v>0.37734457129156573</v>
      </c>
      <c r="I145" s="82">
        <f>IFERROR(IF(OR(NOT(ISNUMBER('Price History'!I146)),NOT(ISNUMBER('Price History'!I145)),'Price History'!I145=0),"",'Price History'!I146/'Price History'!I145-1),"")</f>
        <v>8.4404132023179645E-2</v>
      </c>
      <c r="J145" s="82">
        <f>IFERROR(IF(OR(NOT(ISNUMBER('Price History'!J146)),NOT(ISNUMBER('Price History'!J145)),'Price History'!J145=0),"",'Price History'!J146/'Price History'!J145-1),"")</f>
        <v>1.8951983593805233E-2</v>
      </c>
      <c r="K145" s="82">
        <f>IFERROR(IF(OR(NOT(ISNUMBER('Price History'!K146)),NOT(ISNUMBER('Price History'!K145)),'Price History'!K145=0),"",'Price History'!K146/'Price History'!K145-1),"")</f>
        <v>-4.3520510862774864E-2</v>
      </c>
      <c r="L145" s="82">
        <f>IFERROR(IF(OR(NOT(ISNUMBER('Price History'!L146)),NOT(ISNUMBER('Price History'!L145)),'Price History'!L145=0),"",'Price History'!L146/'Price History'!L145-1),"")</f>
        <v>3.523021600824805E-2</v>
      </c>
      <c r="M145" s="82">
        <f>IFERROR(IF(OR(NOT(ISNUMBER('Price History'!M146)),NOT(ISNUMBER('Price History'!M145)),'Price History'!M145=0),"",'Price History'!M146/'Price History'!M145-1),"")</f>
        <v>3.5515214279187468E-2</v>
      </c>
      <c r="N145" s="82">
        <f>IFERROR(IF(OR(NOT(ISNUMBER('Price History'!N146)),NOT(ISNUMBER('Price History'!N145)),'Price History'!N145=0),"",'Price History'!N146/'Price History'!N145-1),"")</f>
        <v>1.3917720324589489E-2</v>
      </c>
      <c r="O145" s="82">
        <f>IFERROR(IF(OR(NOT(ISNUMBER('Price History'!O146)),NOT(ISNUMBER('Price History'!O145)),'Price History'!O145=0),"",'Price History'!O146/'Price History'!O145-1),"")</f>
        <v>-1.0003334444813605E-3</v>
      </c>
      <c r="P145" s="82" t="str">
        <f>IFERROR(IF(OR(NOT(ISNUMBER('Price History'!P146)),NOT(ISNUMBER('Price History'!P145)),'Price History'!P145=0),"",'Price History'!P146/'Price History'!P145-1),"")</f>
        <v/>
      </c>
      <c r="Q145" s="82">
        <f>IFERROR(IF(OR(NOT(ISNUMBER('Price History'!Q146)),NOT(ISNUMBER('Price History'!Q145)),'Price History'!Q145=0),"",'Price History'!Q146/'Price History'!Q145-1),"")</f>
        <v>-1.2367491166077826E-2</v>
      </c>
      <c r="R145" s="82">
        <f>IFERROR(IF(OR(NOT(ISNUMBER('Price History'!R146)),NOT(ISNUMBER('Price History'!R145)),'Price History'!R145=0),"",'Price History'!R146/'Price History'!R145-1),"")</f>
        <v>1.2742099898063186E-2</v>
      </c>
      <c r="S145" s="82">
        <f>IFERROR(IF(OR(NOT(ISNUMBER('Price History'!S146)),NOT(ISNUMBER('Price History'!S145)),'Price History'!S145=0),"",'Price History'!S146/'Price History'!S145-1),"")</f>
        <v>6.9855676238655073E-2</v>
      </c>
      <c r="T145" s="82">
        <f>IFERROR(IF(OR(NOT(ISNUMBER('Price History'!T146)),NOT(ISNUMBER('Price History'!T145)),'Price History'!T145=0),"",'Price History'!T146/'Price History'!T145-1),"")</f>
        <v>2.4184080770133676E-2</v>
      </c>
      <c r="U145" s="82" t="str">
        <f>IFERROR(IF(OR(NOT(ISNUMBER('Price History'!U146)),NOT(ISNUMBER('Price History'!U145)),'Price History'!U145=0),"",'Price History'!U146/'Price History'!U145-1),"")</f>
        <v/>
      </c>
      <c r="V145" s="83">
        <f>IFERROR(IF(OR(NOT(ISNUMBER('Price History'!V146)),NOT(ISNUMBER('Price History'!V145)),'Price History'!V145=0),"",'Price History'!V146/'Price History'!V145-1),"")</f>
        <v>-2.8156944359429503E-2</v>
      </c>
      <c r="W145" s="84" t="str">
        <f>IFERROR('Price History'!B3+(INDEX('Price History'!B:B,MATCH(9.99E+307,'Price History'!$A:$A))-'Price History'!B3)*(ROW()-3)/(MATCH(9.99E+307,'Returns (Calc)'!$A:$A)-3),"")</f>
        <v/>
      </c>
      <c r="X145" s="84">
        <f>IFERROR('Price History'!C3+(INDEX('Price History'!C:C,MATCH(9.99E+307,'Price History'!$A:$A))-'Price History'!C3)*(ROW()-3)/(MATCH(9.99E+307,'Returns (Calc)'!$A:$A)-3),"")</f>
        <v>4.6766037735849082</v>
      </c>
      <c r="Y145" s="84">
        <f>IFERROR('Price History'!D3+(INDEX('Price History'!D:D,MATCH(9.99E+307,'Price History'!$A:$A))-'Price History'!D3)*(ROW()-3)/(MATCH(9.99E+307,'Returns (Calc)'!$A:$A)-3),"")</f>
        <v>70.756352201257869</v>
      </c>
      <c r="Z145" s="84">
        <f>IFERROR('Price History'!E3+(INDEX('Price History'!E:E,MATCH(9.99E+307,'Price History'!$A:$A))-'Price History'!E3)*(ROW()-3)/(MATCH(9.99E+307,'Returns (Calc)'!$A:$A)-3),"")</f>
        <v>8.8720754716981247</v>
      </c>
      <c r="AA145" s="84">
        <f>IFERROR('Price History'!F3+(INDEX('Price History'!F:F,MATCH(9.99E+307,'Price History'!$A:$A))-'Price History'!F3)*(ROW()-3)/(MATCH(9.99E+307,'Returns (Calc)'!$A:$A)-3),"")</f>
        <v>3.96238993710692</v>
      </c>
      <c r="AB145" s="84">
        <f>IFERROR('Price History'!G3+(INDEX('Price History'!G:G,MATCH(9.99E+307,'Price History'!$A:$A))-'Price History'!G3)*(ROW()-3)/(MATCH(9.99E+307,'Returns (Calc)'!$A:$A)-3),"")</f>
        <v>5.1213836477987371</v>
      </c>
      <c r="AC145" s="84">
        <f>IFERROR('Price History'!H3+(INDEX('Price History'!H:H,MATCH(9.99E+307,'Price History'!$A:$A))-'Price History'!H3)*(ROW()-3)/(MATCH(9.99E+307,'Returns (Calc)'!$A:$A)-3),"")</f>
        <v>6.8823270440251534</v>
      </c>
      <c r="AD145" s="84">
        <f>IFERROR('Price History'!I3+(INDEX('Price History'!I:I,MATCH(9.99E+307,'Price History'!$A:$A))-'Price History'!I3)*(ROW()-3)/(MATCH(9.99E+307,'Returns (Calc)'!$A:$A)-3),"")</f>
        <v>4.3676100628930854</v>
      </c>
      <c r="AE145" s="84">
        <f>IFERROR('Price History'!J3+(INDEX('Price History'!J:J,MATCH(9.99E+307,'Price History'!$A:$A))-'Price History'!J3)*(ROW()-3)/(MATCH(9.99E+307,'Returns (Calc)'!$A:$A)-3),"")</f>
        <v>13.2054716981132</v>
      </c>
      <c r="AF145" s="84">
        <f>IFERROR('Price History'!K3+(INDEX('Price History'!K:K,MATCH(9.99E+307,'Price History'!$A:$A))-'Price History'!K3)*(ROW()-3)/(MATCH(9.99E+307,'Returns (Calc)'!$A:$A)-3),"")</f>
        <v>1.647610062893083</v>
      </c>
      <c r="AG145" s="84">
        <f>IFERROR('Price History'!L3+(INDEX('Price History'!L:L,MATCH(9.99E+307,'Price History'!$A:$A))-'Price History'!L3)*(ROW()-3)/(MATCH(9.99E+307,'Returns (Calc)'!$A:$A)-3),"")</f>
        <v>9.8354088050314488</v>
      </c>
      <c r="AH145" s="84">
        <f>IFERROR('Price History'!M3+(INDEX('Price History'!M:M,MATCH(9.99E+307,'Price History'!$A:$A))-'Price History'!M3)*(ROW()-3)/(MATCH(9.99E+307,'Returns (Calc)'!$A:$A)-3),"")</f>
        <v>3.5828301886792424</v>
      </c>
      <c r="AI145" s="84">
        <f>IFERROR('Price History'!N3+(INDEX('Price History'!N:N,MATCH(9.99E+307,'Price History'!$A:$A))-'Price History'!N3)*(ROW()-3)/(MATCH(9.99E+307,'Returns (Calc)'!$A:$A)-3),"")</f>
        <v>37.406415094339593</v>
      </c>
      <c r="AJ145" s="84">
        <f>IFERROR('Price History'!O3+(INDEX('Price History'!O:O,MATCH(9.99E+307,'Price History'!$A:$A))-'Price History'!O3)*(ROW()-3)/(MATCH(9.99E+307,'Returns (Calc)'!$A:$A)-3),"")</f>
        <v>8.8581761006289383</v>
      </c>
      <c r="AK145" s="84">
        <f>IFERROR('Price History'!Q3+(INDEX('Price History'!Q:Q,MATCH(9.99E+307,'Price History'!$A:$A))-'Price History'!Q3)*(ROW()-3)/(MATCH(9.99E+307,'Returns (Calc)'!$A:$A)-3),"")</f>
        <v>5.3288050314465423</v>
      </c>
      <c r="AL145" s="84">
        <f>IFERROR('Price History'!R3+(INDEX('Price History'!R:R,MATCH(9.99E+307,'Price History'!$A:$A))-'Price History'!R3)*(ROW()-3)/(MATCH(9.99E+307,'Returns (Calc)'!$A:$A)-3),"")</f>
        <v>5.1128301886792471</v>
      </c>
      <c r="AM145" s="84">
        <f>IFERROR('Price History'!S3+(INDEX('Price History'!S:S,MATCH(9.99E+307,'Price History'!$A:$A))-'Price History'!S3)*(ROW()-3)/(MATCH(9.99E+307,'Returns (Calc)'!$A:$A)-3),"")</f>
        <v>6.2589937106918185</v>
      </c>
      <c r="AN145" s="84">
        <f>IFERROR('Price History'!T3+(INDEX('Price History'!T:T,MATCH(9.99E+307,'Price History'!$A:$A))-'Price History'!T3)*(ROW()-3)/(MATCH(9.99E+307,'Returns (Calc)'!$A:$A)-3),"")</f>
        <v>2.8771698113207549</v>
      </c>
      <c r="AO145" s="85">
        <f>IFERROR('Price History'!V3+(INDEX('Price History'!V:V,MATCH(9.99E+307,'Price History'!$A:$A))-'Price History'!V3)*(ROW()-3)/(MATCH(9.99E+307,'Returns (Calc)'!$A:$A)-3),"")</f>
        <v>0</v>
      </c>
    </row>
    <row r="146" spans="1:41" ht="15" customHeight="1" x14ac:dyDescent="0.3">
      <c r="A146" s="81">
        <f>IF('Price History'!A147="","",'Price History'!A147)</f>
        <v>46157</v>
      </c>
      <c r="B146" s="82">
        <f>IFERROR(IF(OR(NOT(ISNUMBER('Price History'!B147)),NOT(ISNUMBER('Price History'!B146)),'Price History'!B146=0),"",'Price History'!B147/'Price History'!B146-1),"")</f>
        <v>-2.1498577300031574E-2</v>
      </c>
      <c r="C146" s="82">
        <f>IFERROR(IF(OR(NOT(ISNUMBER('Price History'!C147)),NOT(ISNUMBER('Price History'!C146)),'Price History'!C146=0),"",'Price History'!C147/'Price History'!C146-1),"")</f>
        <v>1.4107356986667874E-3</v>
      </c>
      <c r="D146" s="82">
        <f>IFERROR(IF(OR(NOT(ISNUMBER('Price History'!D147)),NOT(ISNUMBER('Price History'!D146)),'Price History'!D146=0),"",'Price History'!D147/'Price History'!D146-1),"")</f>
        <v>-5.6663861006771343E-2</v>
      </c>
      <c r="E146" s="82">
        <f>IFERROR(IF(OR(NOT(ISNUMBER('Price History'!E147)),NOT(ISNUMBER('Price History'!E146)),'Price History'!E146=0),"",'Price History'!E147/'Price History'!E146-1),"")</f>
        <v>-1.1186046511627912E-2</v>
      </c>
      <c r="F146" s="82">
        <f>IFERROR(IF(OR(NOT(ISNUMBER('Price History'!F147)),NOT(ISNUMBER('Price History'!F146)),'Price History'!F146=0),"",'Price History'!F147/'Price History'!F146-1),"")</f>
        <v>0.12566318023343959</v>
      </c>
      <c r="G146" s="82">
        <f>IFERROR(IF(OR(NOT(ISNUMBER('Price History'!G147)),NOT(ISNUMBER('Price History'!G146)),'Price History'!G146=0),"",'Price History'!G147/'Price History'!G146-1),"")</f>
        <v>-3.4720736143804776E-2</v>
      </c>
      <c r="H146" s="82">
        <f>IFERROR(IF(OR(NOT(ISNUMBER('Price History'!H147)),NOT(ISNUMBER('Price History'!H146)),'Price History'!H146=0),"",'Price History'!H147/'Price History'!H146-1),"")</f>
        <v>-2.9659485009574049E-2</v>
      </c>
      <c r="I146" s="82">
        <f>IFERROR(IF(OR(NOT(ISNUMBER('Price History'!I147)),NOT(ISNUMBER('Price History'!I146)),'Price History'!I146=0),"",'Price History'!I147/'Price History'!I146-1),"")</f>
        <v>4.702602230483266E-2</v>
      </c>
      <c r="J146" s="82">
        <f>IFERROR(IF(OR(NOT(ISNUMBER('Price History'!J147)),NOT(ISNUMBER('Price History'!J146)),'Price History'!J146=0),"",'Price History'!J147/'Price History'!J146-1),"")</f>
        <v>-2.4706780484419433E-2</v>
      </c>
      <c r="K146" s="82">
        <f>IFERROR(IF(OR(NOT(ISNUMBER('Price History'!K147)),NOT(ISNUMBER('Price History'!K146)),'Price History'!K146=0),"",'Price History'!K147/'Price History'!K146-1),"")</f>
        <v>-2.7648766328011609E-2</v>
      </c>
      <c r="L146" s="82">
        <f>IFERROR(IF(OR(NOT(ISNUMBER('Price History'!L147)),NOT(ISNUMBER('Price History'!L146)),'Price History'!L146=0),"",'Price History'!L147/'Price History'!L146-1),"")</f>
        <v>-1.7805091333074174E-2</v>
      </c>
      <c r="M146" s="82">
        <f>IFERROR(IF(OR(NOT(ISNUMBER('Price History'!M147)),NOT(ISNUMBER('Price History'!M146)),'Price History'!M146=0),"",'Price History'!M147/'Price History'!M146-1),"")</f>
        <v>9.109627320057645E-2</v>
      </c>
      <c r="N146" s="82">
        <f>IFERROR(IF(OR(NOT(ISNUMBER('Price History'!N147)),NOT(ISNUMBER('Price History'!N146)),'Price History'!N146=0),"",'Price History'!N147/'Price History'!N146-1),"")</f>
        <v>1.6588339304825173E-2</v>
      </c>
      <c r="O146" s="82">
        <f>IFERROR(IF(OR(NOT(ISNUMBER('Price History'!O147)),NOT(ISNUMBER('Price History'!O146)),'Price History'!O146=0),"",'Price History'!O147/'Price History'!O146-1),"")</f>
        <v>-2.161214953271029E-2</v>
      </c>
      <c r="P146" s="82" t="str">
        <f>IFERROR(IF(OR(NOT(ISNUMBER('Price History'!P147)),NOT(ISNUMBER('Price History'!P146)),'Price History'!P146=0),"",'Price History'!P147/'Price History'!P146-1),"")</f>
        <v/>
      </c>
      <c r="Q146" s="82">
        <f>IFERROR(IF(OR(NOT(ISNUMBER('Price History'!Q147)),NOT(ISNUMBER('Price History'!Q146)),'Price History'!Q146=0),"",'Price History'!Q147/'Price History'!Q146-1),"")</f>
        <v>7.6028622540251778E-3</v>
      </c>
      <c r="R146" s="82">
        <f>IFERROR(IF(OR(NOT(ISNUMBER('Price History'!R147)),NOT(ISNUMBER('Price History'!R146)),'Price History'!R146=0),"",'Price History'!R147/'Price History'!R146-1),"")</f>
        <v>2.6841134037913772E-3</v>
      </c>
      <c r="S146" s="82">
        <f>IFERROR(IF(OR(NOT(ISNUMBER('Price History'!S147)),NOT(ISNUMBER('Price History'!S146)),'Price History'!S146=0),"",'Price History'!S147/'Price History'!S146-1),"")</f>
        <v>-2.2946943884292192E-3</v>
      </c>
      <c r="T146" s="82">
        <f>IFERROR(IF(OR(NOT(ISNUMBER('Price History'!T147)),NOT(ISNUMBER('Price History'!T146)),'Price History'!T146=0),"",'Price History'!T147/'Price History'!T146-1),"")</f>
        <v>-2.5676295277395678E-2</v>
      </c>
      <c r="U146" s="82" t="str">
        <f>IFERROR(IF(OR(NOT(ISNUMBER('Price History'!U147)),NOT(ISNUMBER('Price History'!U146)),'Price History'!U146=0),"",'Price History'!U147/'Price History'!U146-1),"")</f>
        <v/>
      </c>
      <c r="V146" s="83">
        <f>IFERROR(IF(OR(NOT(ISNUMBER('Price History'!V147)),NOT(ISNUMBER('Price History'!V146)),'Price History'!V146=0),"",'Price History'!V147/'Price History'!V146-1),"")</f>
        <v>2.3965484663349468E-2</v>
      </c>
      <c r="W146" s="84" t="str">
        <f>IFERROR('Price History'!B3+(INDEX('Price History'!B:B,MATCH(9.99E+307,'Price History'!$A:$A))-'Price History'!B3)*(ROW()-3)/(MATCH(9.99E+307,'Returns (Calc)'!$A:$A)-3),"")</f>
        <v/>
      </c>
      <c r="X146" s="84">
        <f>IFERROR('Price History'!C3+(INDEX('Price History'!C:C,MATCH(9.99E+307,'Price History'!$A:$A))-'Price History'!C3)*(ROW()-3)/(MATCH(9.99E+307,'Returns (Calc)'!$A:$A)-3),"")</f>
        <v>4.4015094339622607</v>
      </c>
      <c r="Y146" s="84">
        <f>IFERROR('Price History'!D3+(INDEX('Price History'!D:D,MATCH(9.99E+307,'Price History'!$A:$A))-'Price History'!D3)*(ROW()-3)/(MATCH(9.99E+307,'Returns (Calc)'!$A:$A)-3),"")</f>
        <v>66.594213836478048</v>
      </c>
      <c r="Z146" s="84">
        <f>IFERROR('Price History'!E3+(INDEX('Price History'!E:E,MATCH(9.99E+307,'Price History'!$A:$A))-'Price History'!E3)*(ROW()-3)/(MATCH(9.99E+307,'Returns (Calc)'!$A:$A)-3),"")</f>
        <v>8.350188679245278</v>
      </c>
      <c r="AA146" s="84">
        <f>IFERROR('Price History'!F3+(INDEX('Price History'!F:F,MATCH(9.99E+307,'Price History'!$A:$A))-'Price History'!F3)*(ROW()-3)/(MATCH(9.99E+307,'Returns (Calc)'!$A:$A)-3),"")</f>
        <v>3.7293081761006306</v>
      </c>
      <c r="AB146" s="84">
        <f>IFERROR('Price History'!G3+(INDEX('Price History'!G:G,MATCH(9.99E+307,'Price History'!$A:$A))-'Price History'!G3)*(ROW()-3)/(MATCH(9.99E+307,'Returns (Calc)'!$A:$A)-3),"")</f>
        <v>4.8201257861635227</v>
      </c>
      <c r="AC146" s="84">
        <f>IFERROR('Price History'!H3+(INDEX('Price History'!H:H,MATCH(9.99E+307,'Price History'!$A:$A))-'Price History'!H3)*(ROW()-3)/(MATCH(9.99E+307,'Returns (Calc)'!$A:$A)-3),"")</f>
        <v>6.4774842767295624</v>
      </c>
      <c r="AD146" s="84">
        <f>IFERROR('Price History'!I3+(INDEX('Price History'!I:I,MATCH(9.99E+307,'Price History'!$A:$A))-'Price History'!I3)*(ROW()-3)/(MATCH(9.99E+307,'Returns (Calc)'!$A:$A)-3),"")</f>
        <v>4.1106918238993728</v>
      </c>
      <c r="AE146" s="84">
        <f>IFERROR('Price History'!J3+(INDEX('Price History'!J:J,MATCH(9.99E+307,'Price History'!$A:$A))-'Price History'!J3)*(ROW()-3)/(MATCH(9.99E+307,'Returns (Calc)'!$A:$A)-3),"")</f>
        <v>12.428679245283021</v>
      </c>
      <c r="AF146" s="84">
        <f>IFERROR('Price History'!K3+(INDEX('Price History'!K:K,MATCH(9.99E+307,'Price History'!$A:$A))-'Price History'!K3)*(ROW()-3)/(MATCH(9.99E+307,'Returns (Calc)'!$A:$A)-3),"")</f>
        <v>1.5506918238993705</v>
      </c>
      <c r="AG146" s="84">
        <f>IFERROR('Price History'!L3+(INDEX('Price History'!L:L,MATCH(9.99E+307,'Price History'!$A:$A))-'Price History'!L3)*(ROW()-3)/(MATCH(9.99E+307,'Returns (Calc)'!$A:$A)-3),"")</f>
        <v>9.2568553459119443</v>
      </c>
      <c r="AH146" s="84">
        <f>IFERROR('Price History'!M3+(INDEX('Price History'!M:M,MATCH(9.99E+307,'Price History'!$A:$A))-'Price History'!M3)*(ROW()-3)/(MATCH(9.99E+307,'Returns (Calc)'!$A:$A)-3),"")</f>
        <v>3.3720754716981141</v>
      </c>
      <c r="AI146" s="84">
        <f>IFERROR('Price History'!N3+(INDEX('Price History'!N:N,MATCH(9.99E+307,'Price History'!$A:$A))-'Price History'!N3)*(ROW()-3)/(MATCH(9.99E+307,'Returns (Calc)'!$A:$A)-3),"")</f>
        <v>35.206037735849065</v>
      </c>
      <c r="AJ146" s="84">
        <f>IFERROR('Price History'!O3+(INDEX('Price History'!O:O,MATCH(9.99E+307,'Price History'!$A:$A))-'Price History'!O3)*(ROW()-3)/(MATCH(9.99E+307,'Returns (Calc)'!$A:$A)-3),"")</f>
        <v>8.3371069182389874</v>
      </c>
      <c r="AK146" s="84">
        <f>IFERROR('Price History'!Q3+(INDEX('Price History'!Q:Q,MATCH(9.99E+307,'Price History'!$A:$A))-'Price History'!Q3)*(ROW()-3)/(MATCH(9.99E+307,'Returns (Calc)'!$A:$A)-3),"")</f>
        <v>5.0153459119496873</v>
      </c>
      <c r="AL146" s="84">
        <f>IFERROR('Price History'!R3+(INDEX('Price History'!R:R,MATCH(9.99E+307,'Price History'!$A:$A))-'Price History'!R3)*(ROW()-3)/(MATCH(9.99E+307,'Returns (Calc)'!$A:$A)-3),"")</f>
        <v>4.8120754716981153</v>
      </c>
      <c r="AM146" s="84">
        <f>IFERROR('Price History'!S3+(INDEX('Price History'!S:S,MATCH(9.99E+307,'Price History'!$A:$A))-'Price History'!S3)*(ROW()-3)/(MATCH(9.99E+307,'Returns (Calc)'!$A:$A)-3),"")</f>
        <v>5.8908176100628964</v>
      </c>
      <c r="AN146" s="84">
        <f>IFERROR('Price History'!T3+(INDEX('Price History'!T:T,MATCH(9.99E+307,'Price History'!$A:$A))-'Price History'!T3)*(ROW()-3)/(MATCH(9.99E+307,'Returns (Calc)'!$A:$A)-3),"")</f>
        <v>2.7079245283018878</v>
      </c>
      <c r="AO146" s="85">
        <f>IFERROR('Price History'!V3+(INDEX('Price History'!V:V,MATCH(9.99E+307,'Price History'!$A:$A))-'Price History'!V3)*(ROW()-3)/(MATCH(9.99E+307,'Returns (Calc)'!$A:$A)-3),"")</f>
        <v>0</v>
      </c>
    </row>
    <row r="147" spans="1:41" ht="15" customHeight="1" x14ac:dyDescent="0.3">
      <c r="A147" s="81">
        <f>IF('Price History'!A148="","",'Price History'!A148)</f>
        <v>46164</v>
      </c>
      <c r="B147" s="82">
        <f>IFERROR(IF(OR(NOT(ISNUMBER('Price History'!B148)),NOT(ISNUMBER('Price History'!B147)),'Price History'!B147=0),"",'Price History'!B148/'Price History'!B147-1),"")</f>
        <v>-1.1470113085621958E-2</v>
      </c>
      <c r="C147" s="82">
        <f>IFERROR(IF(OR(NOT(ISNUMBER('Price History'!C148)),NOT(ISNUMBER('Price History'!C147)),'Price History'!C147=0),"",'Price History'!C148/'Price History'!C147-1),"")</f>
        <v>8.494752412481521E-2</v>
      </c>
      <c r="D147" s="82">
        <f>IFERROR(IF(OR(NOT(ISNUMBER('Price History'!D148)),NOT(ISNUMBER('Price History'!D147)),'Price History'!D147=0),"",'Price History'!D148/'Price History'!D147-1),"")</f>
        <v>8.7288005806327229E-2</v>
      </c>
      <c r="E147" s="82">
        <f>IFERROR(IF(OR(NOT(ISNUMBER('Price History'!E148)),NOT(ISNUMBER('Price History'!E147)),'Price History'!E147=0),"",'Price History'!E148/'Price History'!E147-1),"")</f>
        <v>-2.5988381664667548E-2</v>
      </c>
      <c r="F147" s="82">
        <f>IFERROR(IF(OR(NOT(ISNUMBER('Price History'!F148)),NOT(ISNUMBER('Price History'!F147)),'Price History'!F147=0),"",'Price History'!F148/'Price History'!F147-1),"")</f>
        <v>0.11681928359816851</v>
      </c>
      <c r="G147" s="82">
        <f>IFERROR(IF(OR(NOT(ISNUMBER('Price History'!G148)),NOT(ISNUMBER('Price History'!G147)),'Price History'!G147=0),"",'Price History'!G148/'Price History'!G147-1),"")</f>
        <v>4.6610874023166771E-2</v>
      </c>
      <c r="H147" s="82">
        <f>IFERROR(IF(OR(NOT(ISNUMBER('Price History'!H148)),NOT(ISNUMBER('Price History'!H147)),'Price History'!H147=0),"",'Price History'!H148/'Price History'!H147-1),"")</f>
        <v>3.6348080479121192E-2</v>
      </c>
      <c r="I147" s="82">
        <f>IFERROR(IF(OR(NOT(ISNUMBER('Price History'!I148)),NOT(ISNUMBER('Price History'!I147)),'Price History'!I147=0),"",'Price History'!I148/'Price History'!I147-1),"")</f>
        <v>-4.4336943014379515E-2</v>
      </c>
      <c r="J147" s="82">
        <f>IFERROR(IF(OR(NOT(ISNUMBER('Price History'!J148)),NOT(ISNUMBER('Price History'!J147)),'Price History'!J147=0),"",'Price History'!J148/'Price History'!J147-1),"")</f>
        <v>3.8212481320714531E-2</v>
      </c>
      <c r="K147" s="82">
        <f>IFERROR(IF(OR(NOT(ISNUMBER('Price History'!K148)),NOT(ISNUMBER('Price History'!K147)),'Price History'!K147=0),"",'Price History'!K148/'Price History'!K147-1),"")</f>
        <v>2.1568773789088613E-2</v>
      </c>
      <c r="L147" s="82">
        <f>IFERROR(IF(OR(NOT(ISNUMBER('Price History'!L148)),NOT(ISNUMBER('Price History'!L147)),'Price History'!L147=0),"",'Price History'!L148/'Price History'!L147-1),"")</f>
        <v>4.2042784716200821E-4</v>
      </c>
      <c r="M147" s="82">
        <f>IFERROR(IF(OR(NOT(ISNUMBER('Price History'!M148)),NOT(ISNUMBER('Price History'!M147)),'Price History'!M147=0),"",'Price History'!M148/'Price History'!M147-1),"")</f>
        <v>-0.11721572221922683</v>
      </c>
      <c r="N147" s="82">
        <f>IFERROR(IF(OR(NOT(ISNUMBER('Price History'!N148)),NOT(ISNUMBER('Price History'!N147)),'Price History'!N147=0),"",'Price History'!N148/'Price History'!N147-1),"")</f>
        <v>-5.5612770339855677E-3</v>
      </c>
      <c r="O147" s="82">
        <f>IFERROR(IF(OR(NOT(ISNUMBER('Price History'!O148)),NOT(ISNUMBER('Price History'!O147)),'Price History'!O147=0),"",'Price History'!O148/'Price History'!O147-1),"")</f>
        <v>2.371002132196165E-2</v>
      </c>
      <c r="P147" s="82" t="str">
        <f>IFERROR(IF(OR(NOT(ISNUMBER('Price History'!P148)),NOT(ISNUMBER('Price History'!P147)),'Price History'!P147=0),"",'Price History'!P148/'Price History'!P147-1),"")</f>
        <v/>
      </c>
      <c r="Q147" s="82">
        <f>IFERROR(IF(OR(NOT(ISNUMBER('Price History'!Q148)),NOT(ISNUMBER('Price History'!Q147)),'Price History'!Q147=0),"",'Price History'!Q148/'Price History'!Q147-1),"")</f>
        <v>1.094836514277242E-2</v>
      </c>
      <c r="R147" s="82">
        <f>IFERROR(IF(OR(NOT(ISNUMBER('Price History'!R148)),NOT(ISNUMBER('Price History'!R147)),'Price History'!R147=0),"",'Price History'!R148/'Price History'!R147-1),"")</f>
        <v>7.3615526183703484E-3</v>
      </c>
      <c r="S147" s="82">
        <f>IFERROR(IF(OR(NOT(ISNUMBER('Price History'!S148)),NOT(ISNUMBER('Price History'!S147)),'Price History'!S147=0),"",'Price History'!S148/'Price History'!S147-1),"")</f>
        <v>1.0175634234736552E-2</v>
      </c>
      <c r="T147" s="82">
        <f>IFERROR(IF(OR(NOT(ISNUMBER('Price History'!T148)),NOT(ISNUMBER('Price History'!T147)),'Price History'!T147=0),"",'Price History'!T148/'Price History'!T147-1),"")</f>
        <v>3.9529411764705813E-2</v>
      </c>
      <c r="U147" s="82" t="str">
        <f>IFERROR(IF(OR(NOT(ISNUMBER('Price History'!U148)),NOT(ISNUMBER('Price History'!U147)),'Price History'!U147=0),"",'Price History'!U148/'Price History'!U147-1),"")</f>
        <v/>
      </c>
      <c r="V147" s="83">
        <f>IFERROR(IF(OR(NOT(ISNUMBER('Price History'!V148)),NOT(ISNUMBER('Price History'!V147)),'Price History'!V147=0),"",'Price History'!V148/'Price History'!V147-1),"")</f>
        <v>9.5955712747961552E-3</v>
      </c>
      <c r="W147" s="84" t="str">
        <f>IFERROR('Price History'!B3+(INDEX('Price History'!B:B,MATCH(9.99E+307,'Price History'!$A:$A))-'Price History'!B3)*(ROW()-3)/(MATCH(9.99E+307,'Returns (Calc)'!$A:$A)-3),"")</f>
        <v/>
      </c>
      <c r="X147" s="84">
        <f>IFERROR('Price History'!C3+(INDEX('Price History'!C:C,MATCH(9.99E+307,'Price History'!$A:$A))-'Price History'!C3)*(ROW()-3)/(MATCH(9.99E+307,'Returns (Calc)'!$A:$A)-3),"")</f>
        <v>4.1264150943396203</v>
      </c>
      <c r="Y147" s="84">
        <f>IFERROR('Price History'!D3+(INDEX('Price History'!D:D,MATCH(9.99E+307,'Price History'!$A:$A))-'Price History'!D3)*(ROW()-3)/(MATCH(9.99E+307,'Returns (Calc)'!$A:$A)-3),"")</f>
        <v>62.432075471698113</v>
      </c>
      <c r="Z147" s="84">
        <f>IFERROR('Price History'!E3+(INDEX('Price History'!E:E,MATCH(9.99E+307,'Price History'!$A:$A))-'Price History'!E3)*(ROW()-3)/(MATCH(9.99E+307,'Returns (Calc)'!$A:$A)-3),"")</f>
        <v>7.8283018867924454</v>
      </c>
      <c r="AA147" s="84">
        <f>IFERROR('Price History'!F3+(INDEX('Price History'!F:F,MATCH(9.99E+307,'Price History'!$A:$A))-'Price History'!F3)*(ROW()-3)/(MATCH(9.99E+307,'Returns (Calc)'!$A:$A)-3),"")</f>
        <v>3.4962264150943412</v>
      </c>
      <c r="AB147" s="84">
        <f>IFERROR('Price History'!G3+(INDEX('Price History'!G:G,MATCH(9.99E+307,'Price History'!$A:$A))-'Price History'!G3)*(ROW()-3)/(MATCH(9.99E+307,'Returns (Calc)'!$A:$A)-3),"")</f>
        <v>4.5188679245283012</v>
      </c>
      <c r="AC147" s="84">
        <f>IFERROR('Price History'!H3+(INDEX('Price History'!H:H,MATCH(9.99E+307,'Price History'!$A:$A))-'Price History'!H3)*(ROW()-3)/(MATCH(9.99E+307,'Returns (Calc)'!$A:$A)-3),"")</f>
        <v>6.0726415094339643</v>
      </c>
      <c r="AD147" s="84">
        <f>IFERROR('Price History'!I3+(INDEX('Price History'!I:I,MATCH(9.99E+307,'Price History'!$A:$A))-'Price History'!I3)*(ROW()-3)/(MATCH(9.99E+307,'Returns (Calc)'!$A:$A)-3),"")</f>
        <v>3.8537735849056602</v>
      </c>
      <c r="AE147" s="84">
        <f>IFERROR('Price History'!J3+(INDEX('Price History'!J:J,MATCH(9.99E+307,'Price History'!$A:$A))-'Price History'!J3)*(ROW()-3)/(MATCH(9.99E+307,'Returns (Calc)'!$A:$A)-3),"")</f>
        <v>11.651886792452814</v>
      </c>
      <c r="AF147" s="84">
        <f>IFERROR('Price History'!K3+(INDEX('Price History'!K:K,MATCH(9.99E+307,'Price History'!$A:$A))-'Price History'!K3)*(ROW()-3)/(MATCH(9.99E+307,'Returns (Calc)'!$A:$A)-3),"")</f>
        <v>1.4537735849056599</v>
      </c>
      <c r="AG147" s="84">
        <f>IFERROR('Price History'!L3+(INDEX('Price History'!L:L,MATCH(9.99E+307,'Price History'!$A:$A))-'Price History'!L3)*(ROW()-3)/(MATCH(9.99E+307,'Returns (Calc)'!$A:$A)-3),"")</f>
        <v>8.678301886792454</v>
      </c>
      <c r="AH147" s="84">
        <f>IFERROR('Price History'!M3+(INDEX('Price History'!M:M,MATCH(9.99E+307,'Price History'!$A:$A))-'Price History'!M3)*(ROW()-3)/(MATCH(9.99E+307,'Returns (Calc)'!$A:$A)-3),"")</f>
        <v>3.1613207547169822</v>
      </c>
      <c r="AI147" s="84">
        <f>IFERROR('Price History'!N3+(INDEX('Price History'!N:N,MATCH(9.99E+307,'Price History'!$A:$A))-'Price History'!N3)*(ROW()-3)/(MATCH(9.99E+307,'Returns (Calc)'!$A:$A)-3),"")</f>
        <v>33.005660377358481</v>
      </c>
      <c r="AJ147" s="84">
        <f>IFERROR('Price History'!O3+(INDEX('Price History'!O:O,MATCH(9.99E+307,'Price History'!$A:$A))-'Price History'!O3)*(ROW()-3)/(MATCH(9.99E+307,'Returns (Calc)'!$A:$A)-3),"")</f>
        <v>7.8160377358490507</v>
      </c>
      <c r="AK147" s="84">
        <f>IFERROR('Price History'!Q3+(INDEX('Price History'!Q:Q,MATCH(9.99E+307,'Price History'!$A:$A))-'Price History'!Q3)*(ROW()-3)/(MATCH(9.99E+307,'Returns (Calc)'!$A:$A)-3),"")</f>
        <v>4.7018867924528251</v>
      </c>
      <c r="AL147" s="84">
        <f>IFERROR('Price History'!R3+(INDEX('Price History'!R:R,MATCH(9.99E+307,'Price History'!$A:$A))-'Price History'!R3)*(ROW()-3)/(MATCH(9.99E+307,'Returns (Calc)'!$A:$A)-3),"")</f>
        <v>4.5113207547169836</v>
      </c>
      <c r="AM147" s="84">
        <f>IFERROR('Price History'!S3+(INDEX('Price History'!S:S,MATCH(9.99E+307,'Price History'!$A:$A))-'Price History'!S3)*(ROW()-3)/(MATCH(9.99E+307,'Returns (Calc)'!$A:$A)-3),"")</f>
        <v>5.52264150943396</v>
      </c>
      <c r="AN147" s="84">
        <f>IFERROR('Price History'!T3+(INDEX('Price History'!T:T,MATCH(9.99E+307,'Price History'!$A:$A))-'Price History'!T3)*(ROW()-3)/(MATCH(9.99E+307,'Returns (Calc)'!$A:$A)-3),"")</f>
        <v>2.5386792452830207</v>
      </c>
      <c r="AO147" s="85">
        <f>IFERROR('Price History'!V3+(INDEX('Price History'!V:V,MATCH(9.99E+307,'Price History'!$A:$A))-'Price History'!V3)*(ROW()-3)/(MATCH(9.99E+307,'Returns (Calc)'!$A:$A)-3),"")</f>
        <v>0</v>
      </c>
    </row>
    <row r="148" spans="1:41" ht="15" customHeight="1" x14ac:dyDescent="0.3">
      <c r="A148" s="81">
        <f>IF('Price History'!A149="","",'Price History'!A149)</f>
        <v>46171</v>
      </c>
      <c r="B148" s="82">
        <f>IFERROR(IF(OR(NOT(ISNUMBER('Price History'!B149)),NOT(ISNUMBER('Price History'!B148)),'Price History'!B148=0),"",'Price History'!B149/'Price History'!B148-1),"")</f>
        <v>5.9037424415754103E-2</v>
      </c>
      <c r="C148" s="82">
        <f>IFERROR(IF(OR(NOT(ISNUMBER('Price History'!C149)),NOT(ISNUMBER('Price History'!C148)),'Price History'!C148=0),"",'Price History'!C149/'Price History'!C148-1),"")</f>
        <v>3.5317795234694582E-2</v>
      </c>
      <c r="D148" s="82">
        <f>IFERROR(IF(OR(NOT(ISNUMBER('Price History'!D149)),NOT(ISNUMBER('Price History'!D148)),'Price History'!D148=0),"",'Price History'!D149/'Price History'!D148-1),"")</f>
        <v>-1.2333884499969416E-2</v>
      </c>
      <c r="E148" s="82">
        <f>IFERROR(IF(OR(NOT(ISNUMBER('Price History'!E149)),NOT(ISNUMBER('Price History'!E148)),'Price History'!E148=0),"",'Price History'!E149/'Price History'!E148-1),"")</f>
        <v>7.8789781233399303E-2</v>
      </c>
      <c r="F148" s="82">
        <f>IFERROR(IF(OR(NOT(ISNUMBER('Price History'!F149)),NOT(ISNUMBER('Price History'!F148)),'Price History'!F148=0),"",'Price History'!F149/'Price History'!F148-1),"")</f>
        <v>0.10176644360040998</v>
      </c>
      <c r="G148" s="82">
        <f>IFERROR(IF(OR(NOT(ISNUMBER('Price History'!G149)),NOT(ISNUMBER('Price History'!G148)),'Price History'!G148=0),"",'Price History'!G149/'Price History'!G148-1),"")</f>
        <v>1.7633975852573425E-2</v>
      </c>
      <c r="H148" s="82">
        <f>IFERROR(IF(OR(NOT(ISNUMBER('Price History'!H149)),NOT(ISNUMBER('Price History'!H148)),'Price History'!H148=0),"",'Price History'!H149/'Price History'!H148-1),"")</f>
        <v>0.29294274300932099</v>
      </c>
      <c r="I148" s="82">
        <f>IFERROR(IF(OR(NOT(ISNUMBER('Price History'!I149)),NOT(ISNUMBER('Price History'!I148)),'Price History'!I148=0),"",'Price History'!I149/'Price History'!I148-1),"")</f>
        <v>-1.9458505549621585E-2</v>
      </c>
      <c r="J148" s="82">
        <f>IFERROR(IF(OR(NOT(ISNUMBER('Price History'!J149)),NOT(ISNUMBER('Price History'!J148)),'Price History'!J148=0),"",'Price History'!J149/'Price History'!J148-1),"")</f>
        <v>-1.6655243317340696E-2</v>
      </c>
      <c r="K148" s="82">
        <f>IFERROR(IF(OR(NOT(ISNUMBER('Price History'!K149)),NOT(ISNUMBER('Price History'!K148)),'Price History'!K148=0),"",'Price History'!K149/'Price History'!K148-1),"")</f>
        <v>0.14362945645821146</v>
      </c>
      <c r="L148" s="82">
        <f>IFERROR(IF(OR(NOT(ISNUMBER('Price History'!L149)),NOT(ISNUMBER('Price History'!L148)),'Price History'!L148=0),"",'Price History'!L149/'Price History'!L148-1),"")</f>
        <v>3.4435874616829842E-2</v>
      </c>
      <c r="M148" s="82">
        <f>IFERROR(IF(OR(NOT(ISNUMBER('Price History'!M149)),NOT(ISNUMBER('Price History'!M148)),'Price History'!M148=0),"",'Price History'!M149/'Price History'!M148-1),"")</f>
        <v>-3.5882245159714166E-2</v>
      </c>
      <c r="N148" s="82">
        <f>IFERROR(IF(OR(NOT(ISNUMBER('Price History'!N149)),NOT(ISNUMBER('Price History'!N148)),'Price History'!N148=0),"",'Price History'!N149/'Price History'!N148-1),"")</f>
        <v>2.9964098315382603E-2</v>
      </c>
      <c r="O148" s="82">
        <f>IFERROR(IF(OR(NOT(ISNUMBER('Price History'!O149)),NOT(ISNUMBER('Price History'!O148)),'Price History'!O148=0),"",'Price History'!O149/'Price History'!O148-1),"")</f>
        <v>1.6662501041397881E-4</v>
      </c>
      <c r="P148" s="82" t="str">
        <f>IFERROR(IF(OR(NOT(ISNUMBER('Price History'!P149)),NOT(ISNUMBER('Price History'!P148)),'Price History'!P148=0),"",'Price History'!P149/'Price History'!P148-1),"")</f>
        <v/>
      </c>
      <c r="Q148" s="82">
        <f>IFERROR(IF(OR(NOT(ISNUMBER('Price History'!Q149)),NOT(ISNUMBER('Price History'!Q148)),'Price History'!Q148=0),"",'Price History'!Q149/'Price History'!Q148-1),"")</f>
        <v>-9.2199619493633644E-3</v>
      </c>
      <c r="R148" s="82">
        <f>IFERROR(IF(OR(NOT(ISNUMBER('Price History'!R149)),NOT(ISNUMBER('Price History'!R148)),'Price History'!R148=0),"",'Price History'!R149/'Price History'!R148-1),"")</f>
        <v>1.5612024580634376E-2</v>
      </c>
      <c r="S148" s="82">
        <f>IFERROR(IF(OR(NOT(ISNUMBER('Price History'!S149)),NOT(ISNUMBER('Price History'!S148)),'Price History'!S148=0),"",'Price History'!S149/'Price History'!S148-1),"")</f>
        <v>3.8981647578308243E-2</v>
      </c>
      <c r="T148" s="82">
        <f>IFERROR(IF(OR(NOT(ISNUMBER('Price History'!T149)),NOT(ISNUMBER('Price History'!T148)),'Price History'!T148=0),"",'Price History'!T149/'Price History'!T148-1),"")</f>
        <v>5.4096876414667205E-2</v>
      </c>
      <c r="U148" s="82" t="str">
        <f>IFERROR(IF(OR(NOT(ISNUMBER('Price History'!U149)),NOT(ISNUMBER('Price History'!U148)),'Price History'!U148=0),"",'Price History'!U149/'Price History'!U148-1),"")</f>
        <v/>
      </c>
      <c r="V148" s="83">
        <f>IFERROR(IF(OR(NOT(ISNUMBER('Price History'!V149)),NOT(ISNUMBER('Price History'!V148)),'Price History'!V148=0),"",'Price History'!V149/'Price History'!V148-1),"")</f>
        <v>-7.6766076705150343E-3</v>
      </c>
      <c r="W148" s="84" t="str">
        <f>IFERROR('Price History'!B3+(INDEX('Price History'!B:B,MATCH(9.99E+307,'Price History'!$A:$A))-'Price History'!B3)*(ROW()-3)/(MATCH(9.99E+307,'Returns (Calc)'!$A:$A)-3),"")</f>
        <v/>
      </c>
      <c r="X148" s="84">
        <f>IFERROR('Price History'!C3+(INDEX('Price History'!C:C,MATCH(9.99E+307,'Price History'!$A:$A))-'Price History'!C3)*(ROW()-3)/(MATCH(9.99E+307,'Returns (Calc)'!$A:$A)-3),"")</f>
        <v>3.8513207547169799</v>
      </c>
      <c r="Y148" s="84">
        <f>IFERROR('Price History'!D3+(INDEX('Price History'!D:D,MATCH(9.99E+307,'Price History'!$A:$A))-'Price History'!D3)*(ROW()-3)/(MATCH(9.99E+307,'Returns (Calc)'!$A:$A)-3),"")</f>
        <v>58.269937106918292</v>
      </c>
      <c r="Z148" s="84">
        <f>IFERROR('Price History'!E3+(INDEX('Price History'!E:E,MATCH(9.99E+307,'Price History'!$A:$A))-'Price History'!E3)*(ROW()-3)/(MATCH(9.99E+307,'Returns (Calc)'!$A:$A)-3),"")</f>
        <v>7.3064150943396271</v>
      </c>
      <c r="AA148" s="84">
        <f>IFERROR('Price History'!F3+(INDEX('Price History'!F:F,MATCH(9.99E+307,'Price History'!$A:$A))-'Price History'!F3)*(ROW()-3)/(MATCH(9.99E+307,'Returns (Calc)'!$A:$A)-3),"")</f>
        <v>3.2631446540880447</v>
      </c>
      <c r="AB148" s="84">
        <f>IFERROR('Price History'!G3+(INDEX('Price History'!G:G,MATCH(9.99E+307,'Price History'!$A:$A))-'Price History'!G3)*(ROW()-3)/(MATCH(9.99E+307,'Returns (Calc)'!$A:$A)-3),"")</f>
        <v>4.2176100628930797</v>
      </c>
      <c r="AC148" s="84">
        <f>IFERROR('Price History'!H3+(INDEX('Price History'!H:H,MATCH(9.99E+307,'Price History'!$A:$A))-'Price History'!H3)*(ROW()-3)/(MATCH(9.99E+307,'Returns (Calc)'!$A:$A)-3),"")</f>
        <v>5.6677987421383591</v>
      </c>
      <c r="AD148" s="84">
        <f>IFERROR('Price History'!I3+(INDEX('Price History'!I:I,MATCH(9.99E+307,'Price History'!$A:$A))-'Price History'!I3)*(ROW()-3)/(MATCH(9.99E+307,'Returns (Calc)'!$A:$A)-3),"")</f>
        <v>3.5968553459119477</v>
      </c>
      <c r="AE148" s="84">
        <f>IFERROR('Price History'!J3+(INDEX('Price History'!J:J,MATCH(9.99E+307,'Price History'!$A:$A))-'Price History'!J3)*(ROW()-3)/(MATCH(9.99E+307,'Returns (Calc)'!$A:$A)-3),"")</f>
        <v>10.875094339622649</v>
      </c>
      <c r="AF148" s="84">
        <f>IFERROR('Price History'!K3+(INDEX('Price History'!K:K,MATCH(9.99E+307,'Price History'!$A:$A))-'Price History'!K3)*(ROW()-3)/(MATCH(9.99E+307,'Returns (Calc)'!$A:$A)-3),"")</f>
        <v>1.356855345911951</v>
      </c>
      <c r="AG148" s="84">
        <f>IFERROR('Price History'!L3+(INDEX('Price History'!L:L,MATCH(9.99E+307,'Price History'!$A:$A))-'Price History'!L3)*(ROW()-3)/(MATCH(9.99E+307,'Returns (Calc)'!$A:$A)-3),"")</f>
        <v>8.0997484276729494</v>
      </c>
      <c r="AH148" s="84">
        <f>IFERROR('Price History'!M3+(INDEX('Price History'!M:M,MATCH(9.99E+307,'Price History'!$A:$A))-'Price History'!M3)*(ROW()-3)/(MATCH(9.99E+307,'Returns (Calc)'!$A:$A)-3),"")</f>
        <v>2.9505660377358467</v>
      </c>
      <c r="AI148" s="84">
        <f>IFERROR('Price History'!N3+(INDEX('Price History'!N:N,MATCH(9.99E+307,'Price History'!$A:$A))-'Price History'!N3)*(ROW()-3)/(MATCH(9.99E+307,'Returns (Calc)'!$A:$A)-3),"")</f>
        <v>30.805283018867897</v>
      </c>
      <c r="AJ148" s="84">
        <f>IFERROR('Price History'!O3+(INDEX('Price History'!O:O,MATCH(9.99E+307,'Price History'!$A:$A))-'Price History'!O3)*(ROW()-3)/(MATCH(9.99E+307,'Returns (Calc)'!$A:$A)-3),"")</f>
        <v>7.294968553459114</v>
      </c>
      <c r="AK148" s="84">
        <f>IFERROR('Price History'!Q3+(INDEX('Price History'!Q:Q,MATCH(9.99E+307,'Price History'!$A:$A))-'Price History'!Q3)*(ROW()-3)/(MATCH(9.99E+307,'Returns (Calc)'!$A:$A)-3),"")</f>
        <v>4.3884276729559772</v>
      </c>
      <c r="AL148" s="84">
        <f>IFERROR('Price History'!R3+(INDEX('Price History'!R:R,MATCH(9.99E+307,'Price History'!$A:$A))-'Price History'!R3)*(ROW()-3)/(MATCH(9.99E+307,'Returns (Calc)'!$A:$A)-3),"")</f>
        <v>4.2105660377358518</v>
      </c>
      <c r="AM148" s="84">
        <f>IFERROR('Price History'!S3+(INDEX('Price History'!S:S,MATCH(9.99E+307,'Price History'!$A:$A))-'Price History'!S3)*(ROW()-3)/(MATCH(9.99E+307,'Returns (Calc)'!$A:$A)-3),"")</f>
        <v>5.1544654088050379</v>
      </c>
      <c r="AN148" s="84">
        <f>IFERROR('Price History'!T3+(INDEX('Price History'!T:T,MATCH(9.99E+307,'Price History'!$A:$A))-'Price History'!T3)*(ROW()-3)/(MATCH(9.99E+307,'Returns (Calc)'!$A:$A)-3),"")</f>
        <v>2.3694339622641536</v>
      </c>
      <c r="AO148" s="85">
        <f>IFERROR('Price History'!V3+(INDEX('Price History'!V:V,MATCH(9.99E+307,'Price History'!$A:$A))-'Price History'!V3)*(ROW()-3)/(MATCH(9.99E+307,'Returns (Calc)'!$A:$A)-3),"")</f>
        <v>0</v>
      </c>
    </row>
    <row r="149" spans="1:41" ht="15" customHeight="1" x14ac:dyDescent="0.3">
      <c r="A149" s="81">
        <f>IF('Price History'!A150="","",'Price History'!A150)</f>
        <v>46178</v>
      </c>
      <c r="B149" s="82">
        <f>IFERROR(IF(OR(NOT(ISNUMBER('Price History'!B150)),NOT(ISNUMBER('Price History'!B149)),'Price History'!B149=0),"",'Price History'!B150/'Price History'!B149-1),"")</f>
        <v>-2.9975695382122525E-2</v>
      </c>
      <c r="C149" s="82">
        <f>IFERROR(IF(OR(NOT(ISNUMBER('Price History'!C150)),NOT(ISNUMBER('Price History'!C149)),'Price History'!C149=0),"",'Price History'!C150/'Price History'!C149-1),"")</f>
        <v>-3.2608014046529021E-2</v>
      </c>
      <c r="D149" s="82">
        <f>IFERROR(IF(OR(NOT(ISNUMBER('Price History'!D150)),NOT(ISNUMBER('Price History'!D149)),'Price History'!D149=0),"",'Price History'!D150/'Price History'!D149-1),"")</f>
        <v>1.7969195664575111E-2</v>
      </c>
      <c r="E149" s="82">
        <f>IFERROR(IF(OR(NOT(ISNUMBER('Price History'!E150)),NOT(ISNUMBER('Price History'!E149)),'Price History'!E149=0),"",'Price History'!E150/'Price History'!E149-1),"")</f>
        <v>-0.13662510911654757</v>
      </c>
      <c r="F149" s="82">
        <f>IFERROR(IF(OR(NOT(ISNUMBER('Price History'!F150)),NOT(ISNUMBER('Price History'!F149)),'Price History'!F149=0),"",'Price History'!F150/'Price History'!F149-1),"")</f>
        <v>-8.2024623803009677E-2</v>
      </c>
      <c r="G149" s="82">
        <f>IFERROR(IF(OR(NOT(ISNUMBER('Price History'!G150)),NOT(ISNUMBER('Price History'!G149)),'Price History'!G149=0),"",'Price History'!G150/'Price History'!G149-1),"")</f>
        <v>3.9027944007909987E-3</v>
      </c>
      <c r="H149" s="82">
        <f>IFERROR(IF(OR(NOT(ISNUMBER('Price History'!H150)),NOT(ISNUMBER('Price History'!H149)),'Price History'!H149=0),"",'Price History'!H150/'Price History'!H149-1),"")</f>
        <v>-0.11018537590113286</v>
      </c>
      <c r="I149" s="82">
        <f>IFERROR(IF(OR(NOT(ISNUMBER('Price History'!I150)),NOT(ISNUMBER('Price History'!I149)),'Price History'!I149=0),"",'Price History'!I150/'Price History'!I149-1),"")</f>
        <v>-2.8606611726816333E-2</v>
      </c>
      <c r="J149" s="82">
        <f>IFERROR(IF(OR(NOT(ISNUMBER('Price History'!J150)),NOT(ISNUMBER('Price History'!J149)),'Price History'!J149=0),"",'Price History'!J150/'Price History'!J149-1),"")</f>
        <v>7.4580051578727602E-3</v>
      </c>
      <c r="K149" s="82">
        <f>IFERROR(IF(OR(NOT(ISNUMBER('Price History'!K150)),NOT(ISNUMBER('Price History'!K149)),'Price History'!K149=0),"",'Price History'!K150/'Price History'!K149-1),"")</f>
        <v>-0.13421489715088786</v>
      </c>
      <c r="L149" s="82">
        <f>IFERROR(IF(OR(NOT(ISNUMBER('Price History'!L150)),NOT(ISNUMBER('Price History'!L149)),'Price History'!L149=0),"",'Price History'!L150/'Price History'!L149-1),"")</f>
        <v>-7.8384514278885264E-3</v>
      </c>
      <c r="M149" s="82">
        <f>IFERROR(IF(OR(NOT(ISNUMBER('Price History'!M150)),NOT(ISNUMBER('Price History'!M149)),'Price History'!M149=0),"",'Price History'!M150/'Price History'!M149-1),"")</f>
        <v>-4.8145449938234441E-2</v>
      </c>
      <c r="N149" s="82">
        <f>IFERROR(IF(OR(NOT(ISNUMBER('Price History'!N150)),NOT(ISNUMBER('Price History'!N149)),'Price History'!N149=0),"",'Price History'!N150/'Price History'!N149-1),"")</f>
        <v>-1.5864503731510826E-3</v>
      </c>
      <c r="O149" s="82">
        <f>IFERROR(IF(OR(NOT(ISNUMBER('Price History'!O150)),NOT(ISNUMBER('Price History'!O149)),'Price History'!O149=0),"",'Price History'!O150/'Price History'!O149-1),"")</f>
        <v>-2.9154518950437192E-3</v>
      </c>
      <c r="P149" s="82" t="str">
        <f>IFERROR(IF(OR(NOT(ISNUMBER('Price History'!P150)),NOT(ISNUMBER('Price History'!P149)),'Price History'!P149=0),"",'Price History'!P150/'Price History'!P149-1),"")</f>
        <v/>
      </c>
      <c r="Q149" s="82">
        <f>IFERROR(IF(OR(NOT(ISNUMBER('Price History'!Q150)),NOT(ISNUMBER('Price History'!Q149)),'Price History'!Q149=0),"",'Price History'!Q150/'Price History'!Q149-1),"")</f>
        <v>-1.7725258493354046E-3</v>
      </c>
      <c r="R149" s="82">
        <f>IFERROR(IF(OR(NOT(ISNUMBER('Price History'!R150)),NOT(ISNUMBER('Price History'!R149)),'Price History'!R149=0),"",'Price History'!R150/'Price History'!R149-1),"")</f>
        <v>-3.6794766966475878E-2</v>
      </c>
      <c r="S149" s="82">
        <f>IFERROR(IF(OR(NOT(ISNUMBER('Price History'!S150)),NOT(ISNUMBER('Price History'!S149)),'Price History'!S149=0),"",'Price History'!S150/'Price History'!S149-1),"")</f>
        <v>-4.1901852712663556E-2</v>
      </c>
      <c r="T149" s="82">
        <f>IFERROR(IF(OR(NOT(ISNUMBER('Price History'!T150)),NOT(ISNUMBER('Price History'!T149)),'Price History'!T149=0),"",'Price History'!T150/'Price History'!T149-1),"")</f>
        <v>-1.1165986686708207E-2</v>
      </c>
      <c r="U149" s="82" t="str">
        <f>IFERROR(IF(OR(NOT(ISNUMBER('Price History'!U150)),NOT(ISNUMBER('Price History'!U149)),'Price History'!U149=0),"",'Price History'!U150/'Price History'!U149-1),"")</f>
        <v/>
      </c>
      <c r="V149" s="83">
        <f>IFERROR(IF(OR(NOT(ISNUMBER('Price History'!V150)),NOT(ISNUMBER('Price History'!V149)),'Price History'!V149=0),"",'Price History'!V150/'Price History'!V149-1),"")</f>
        <v>-8.534151957022118E-3</v>
      </c>
      <c r="W149" s="84" t="str">
        <f>IFERROR('Price History'!B3+(INDEX('Price History'!B:B,MATCH(9.99E+307,'Price History'!$A:$A))-'Price History'!B3)*(ROW()-3)/(MATCH(9.99E+307,'Returns (Calc)'!$A:$A)-3),"")</f>
        <v/>
      </c>
      <c r="X149" s="84">
        <f>IFERROR('Price History'!C3+(INDEX('Price History'!C:C,MATCH(9.99E+307,'Price History'!$A:$A))-'Price History'!C3)*(ROW()-3)/(MATCH(9.99E+307,'Returns (Calc)'!$A:$A)-3),"")</f>
        <v>3.5762264150943395</v>
      </c>
      <c r="Y149" s="84">
        <f>IFERROR('Price History'!D3+(INDEX('Price History'!D:D,MATCH(9.99E+307,'Price History'!$A:$A))-'Price History'!D3)*(ROW()-3)/(MATCH(9.99E+307,'Returns (Calc)'!$A:$A)-3),"")</f>
        <v>54.107798742138357</v>
      </c>
      <c r="Z149" s="84">
        <f>IFERROR('Price History'!E3+(INDEX('Price History'!E:E,MATCH(9.99E+307,'Price History'!$A:$A))-'Price History'!E3)*(ROW()-3)/(MATCH(9.99E+307,'Returns (Calc)'!$A:$A)-3),"")</f>
        <v>6.7845283018867946</v>
      </c>
      <c r="AA149" s="84">
        <f>IFERROR('Price History'!F3+(INDEX('Price History'!F:F,MATCH(9.99E+307,'Price History'!$A:$A))-'Price History'!F3)*(ROW()-3)/(MATCH(9.99E+307,'Returns (Calc)'!$A:$A)-3),"")</f>
        <v>3.0300628930817624</v>
      </c>
      <c r="AB149" s="84">
        <f>IFERROR('Price History'!G3+(INDEX('Price History'!G:G,MATCH(9.99E+307,'Price History'!$A:$A))-'Price History'!G3)*(ROW()-3)/(MATCH(9.99E+307,'Returns (Calc)'!$A:$A)-3),"")</f>
        <v>3.9163522012578653</v>
      </c>
      <c r="AC149" s="84">
        <f>IFERROR('Price History'!H3+(INDEX('Price History'!H:H,MATCH(9.99E+307,'Price History'!$A:$A))-'Price History'!H3)*(ROW()-3)/(MATCH(9.99E+307,'Returns (Calc)'!$A:$A)-3),"")</f>
        <v>5.2629559748427681</v>
      </c>
      <c r="AD149" s="84">
        <f>IFERROR('Price History'!I3+(INDEX('Price History'!I:I,MATCH(9.99E+307,'Price History'!$A:$A))-'Price History'!I3)*(ROW()-3)/(MATCH(9.99E+307,'Returns (Calc)'!$A:$A)-3),"")</f>
        <v>3.3399371069182351</v>
      </c>
      <c r="AE149" s="84">
        <f>IFERROR('Price History'!J3+(INDEX('Price History'!J:J,MATCH(9.99E+307,'Price History'!$A:$A))-'Price History'!J3)*(ROW()-3)/(MATCH(9.99E+307,'Returns (Calc)'!$A:$A)-3),"")</f>
        <v>10.09830188679247</v>
      </c>
      <c r="AF149" s="84">
        <f>IFERROR('Price History'!K3+(INDEX('Price History'!K:K,MATCH(9.99E+307,'Price History'!$A:$A))-'Price History'!K3)*(ROW()-3)/(MATCH(9.99E+307,'Returns (Calc)'!$A:$A)-3),"")</f>
        <v>1.2599371069182386</v>
      </c>
      <c r="AG149" s="84">
        <f>IFERROR('Price History'!L3+(INDEX('Price History'!L:L,MATCH(9.99E+307,'Price History'!$A:$A))-'Price History'!L3)*(ROW()-3)/(MATCH(9.99E+307,'Returns (Calc)'!$A:$A)-3),"")</f>
        <v>7.5211949685534591</v>
      </c>
      <c r="AH149" s="84">
        <f>IFERROR('Price History'!M3+(INDEX('Price History'!M:M,MATCH(9.99E+307,'Price History'!$A:$A))-'Price History'!M3)*(ROW()-3)/(MATCH(9.99E+307,'Returns (Calc)'!$A:$A)-3),"")</f>
        <v>2.7398113207547148</v>
      </c>
      <c r="AI149" s="84">
        <f>IFERROR('Price History'!N3+(INDEX('Price History'!N:N,MATCH(9.99E+307,'Price History'!$A:$A))-'Price History'!N3)*(ROW()-3)/(MATCH(9.99E+307,'Returns (Calc)'!$A:$A)-3),"")</f>
        <v>28.604905660377369</v>
      </c>
      <c r="AJ149" s="84">
        <f>IFERROR('Price History'!O3+(INDEX('Price History'!O:O,MATCH(9.99E+307,'Price History'!$A:$A))-'Price History'!O3)*(ROW()-3)/(MATCH(9.99E+307,'Returns (Calc)'!$A:$A)-3),"")</f>
        <v>6.7738993710691915</v>
      </c>
      <c r="AK149" s="84">
        <f>IFERROR('Price History'!Q3+(INDEX('Price History'!Q:Q,MATCH(9.99E+307,'Price History'!$A:$A))-'Price History'!Q3)*(ROW()-3)/(MATCH(9.99E+307,'Returns (Calc)'!$A:$A)-3),"")</f>
        <v>4.0749685534591222</v>
      </c>
      <c r="AL149" s="84">
        <f>IFERROR('Price History'!R3+(INDEX('Price History'!R:R,MATCH(9.99E+307,'Price History'!$A:$A))-'Price History'!R3)*(ROW()-3)/(MATCH(9.99E+307,'Returns (Calc)'!$A:$A)-3),"")</f>
        <v>3.9098113207547129</v>
      </c>
      <c r="AM149" s="84">
        <f>IFERROR('Price History'!S3+(INDEX('Price History'!S:S,MATCH(9.99E+307,'Price History'!$A:$A))-'Price History'!S3)*(ROW()-3)/(MATCH(9.99E+307,'Returns (Calc)'!$A:$A)-3),"")</f>
        <v>4.7862893081761015</v>
      </c>
      <c r="AN149" s="84">
        <f>IFERROR('Price History'!T3+(INDEX('Price History'!T:T,MATCH(9.99E+307,'Price History'!$A:$A))-'Price History'!T3)*(ROW()-3)/(MATCH(9.99E+307,'Returns (Calc)'!$A:$A)-3),"")</f>
        <v>2.2001886792452829</v>
      </c>
      <c r="AO149" s="85">
        <f>IFERROR('Price History'!V3+(INDEX('Price History'!V:V,MATCH(9.99E+307,'Price History'!$A:$A))-'Price History'!V3)*(ROW()-3)/(MATCH(9.99E+307,'Returns (Calc)'!$A:$A)-3),"")</f>
        <v>0</v>
      </c>
    </row>
    <row r="150" spans="1:41" ht="15" customHeight="1" x14ac:dyDescent="0.3">
      <c r="A150" s="81">
        <f>IF('Price History'!A151="","",'Price History'!A151)</f>
        <v>46185</v>
      </c>
      <c r="B150" s="82">
        <f>IFERROR(IF(OR(NOT(ISNUMBER('Price History'!B151)),NOT(ISNUMBER('Price History'!B150)),'Price History'!B150=0),"",'Price History'!B151/'Price History'!B150-1),"")</f>
        <v>-0.18859370028635059</v>
      </c>
      <c r="C150" s="82">
        <f>IFERROR(IF(OR(NOT(ISNUMBER('Price History'!C151)),NOT(ISNUMBER('Price History'!C150)),'Price History'!C150=0),"",'Price History'!C151/'Price History'!C150-1),"")</f>
        <v>5.8144811045569345E-2</v>
      </c>
      <c r="D150" s="82">
        <f>IFERROR(IF(OR(NOT(ISNUMBER('Price History'!D151)),NOT(ISNUMBER('Price History'!D150)),'Price History'!D150=0),"",'Price History'!D151/'Price History'!D150-1),"")</f>
        <v>0.13510665513418685</v>
      </c>
      <c r="E150" s="82">
        <f>IFERROR(IF(OR(NOT(ISNUMBER('Price History'!E151)),NOT(ISNUMBER('Price History'!E150)),'Price History'!E150=0),"",'Price History'!E151/'Price History'!E150-1),"")</f>
        <v>-9.4885023202758711E-3</v>
      </c>
      <c r="F150" s="82">
        <f>IFERROR(IF(OR(NOT(ISNUMBER('Price History'!F151)),NOT(ISNUMBER('Price History'!F150)),'Price History'!F150=0),"",'Price History'!F151/'Price History'!F150-1),"")</f>
        <v>1.7525035765379116E-2</v>
      </c>
      <c r="G150" s="82">
        <f>IFERROR(IF(OR(NOT(ISNUMBER('Price History'!G151)),NOT(ISNUMBER('Price History'!G150)),'Price History'!G150=0),"",'Price History'!G151/'Price History'!G150-1),"")</f>
        <v>0.31940700808625344</v>
      </c>
      <c r="H150" s="82">
        <f>IFERROR(IF(OR(NOT(ISNUMBER('Price History'!H151)),NOT(ISNUMBER('Price History'!H150)),'Price History'!H150=0),"",'Price History'!H151/'Price History'!H150-1),"")</f>
        <v>0.13610953576926188</v>
      </c>
      <c r="I150" s="82">
        <f>IFERROR(IF(OR(NOT(ISNUMBER('Price History'!I151)),NOT(ISNUMBER('Price History'!I150)),'Price History'!I150=0),"",'Price History'!I151/'Price History'!I150-1),"")</f>
        <v>4.388103364212359E-4</v>
      </c>
      <c r="J150" s="82">
        <f>IFERROR(IF(OR(NOT(ISNUMBER('Price History'!J151)),NOT(ISNUMBER('Price History'!J150)),'Price History'!J150=0),"",'Price History'!J151/'Price History'!J150-1),"")</f>
        <v>2.9057700290577193E-2</v>
      </c>
      <c r="K150" s="82">
        <f>IFERROR(IF(OR(NOT(ISNUMBER('Price History'!K151)),NOT(ISNUMBER('Price History'!K150)),'Price History'!K150=0),"",'Price History'!K151/'Price History'!K150-1),"")</f>
        <v>-5.5633439090976178E-2</v>
      </c>
      <c r="L150" s="82">
        <f>IFERROR(IF(OR(NOT(ISNUMBER('Price History'!L151)),NOT(ISNUMBER('Price History'!L150)),'Price History'!L150=0),"",'Price History'!L151/'Price History'!L150-1),"")</f>
        <v>2.1099790447286715E-2</v>
      </c>
      <c r="M150" s="82">
        <f>IFERROR(IF(OR(NOT(ISNUMBER('Price History'!M151)),NOT(ISNUMBER('Price History'!M150)),'Price History'!M150=0),"",'Price History'!M151/'Price History'!M150-1),"")</f>
        <v>7.8533160294167459E-3</v>
      </c>
      <c r="N150" s="82">
        <f>IFERROR(IF(OR(NOT(ISNUMBER('Price History'!N151)),NOT(ISNUMBER('Price History'!N150)),'Price History'!N150=0),"",'Price History'!N151/'Price History'!N150-1),"")</f>
        <v>-4.2521764429424014E-3</v>
      </c>
      <c r="O150" s="82">
        <f>IFERROR(IF(OR(NOT(ISNUMBER('Price History'!O151)),NOT(ISNUMBER('Price History'!O150)),'Price History'!O150=0),"",'Price History'!O151/'Price History'!O150-1),"")</f>
        <v>3.9097744360902187E-2</v>
      </c>
      <c r="P150" s="82" t="str">
        <f>IFERROR(IF(OR(NOT(ISNUMBER('Price History'!P151)),NOT(ISNUMBER('Price History'!P150)),'Price History'!P150=0),"",'Price History'!P151/'Price History'!P150-1),"")</f>
        <v/>
      </c>
      <c r="Q150" s="82">
        <f>IFERROR(IF(OR(NOT(ISNUMBER('Price History'!Q151)),NOT(ISNUMBER('Price History'!Q150)),'Price History'!Q150=0),"",'Price History'!Q151/'Price History'!Q150-1),"")</f>
        <v>1.2873631251849815E-2</v>
      </c>
      <c r="R150" s="82">
        <f>IFERROR(IF(OR(NOT(ISNUMBER('Price History'!R151)),NOT(ISNUMBER('Price History'!R150)),'Price History'!R150=0),"",'Price History'!R151/'Price History'!R150-1),"")</f>
        <v>1.6298811544991576E-2</v>
      </c>
      <c r="S150" s="82">
        <f>IFERROR(IF(OR(NOT(ISNUMBER('Price History'!S151)),NOT(ISNUMBER('Price History'!S150)),'Price History'!S150=0),"",'Price History'!S151/'Price History'!S150-1),"")</f>
        <v>5.6833934017188614E-2</v>
      </c>
      <c r="T150" s="82">
        <f>IFERROR(IF(OR(NOT(ISNUMBER('Price History'!T151)),NOT(ISNUMBER('Price History'!T150)),'Price History'!T150=0),"",'Price History'!T151/'Price History'!T150-1),"")</f>
        <v>5.2117263843649564E-3</v>
      </c>
      <c r="U150" s="82" t="str">
        <f>IFERROR(IF(OR(NOT(ISNUMBER('Price History'!U151)),NOT(ISNUMBER('Price History'!U150)),'Price History'!U150=0),"",'Price History'!U151/'Price History'!U150-1),"")</f>
        <v/>
      </c>
      <c r="V150" s="83">
        <f>IFERROR(IF(OR(NOT(ISNUMBER('Price History'!V151)),NOT(ISNUMBER('Price History'!V150)),'Price History'!V150=0),"",'Price History'!V151/'Price History'!V150-1),"")</f>
        <v>-3.6535901167291662E-3</v>
      </c>
      <c r="W150" s="84" t="str">
        <f>IFERROR('Price History'!B3+(INDEX('Price History'!B:B,MATCH(9.99E+307,'Price History'!$A:$A))-'Price History'!B3)*(ROW()-3)/(MATCH(9.99E+307,'Returns (Calc)'!$A:$A)-3),"")</f>
        <v/>
      </c>
      <c r="X150" s="84">
        <f>IFERROR('Price History'!C3+(INDEX('Price History'!C:C,MATCH(9.99E+307,'Price History'!$A:$A))-'Price History'!C3)*(ROW()-3)/(MATCH(9.99E+307,'Returns (Calc)'!$A:$A)-3),"")</f>
        <v>3.3011320754716991</v>
      </c>
      <c r="Y150" s="84">
        <f>IFERROR('Price History'!D3+(INDEX('Price History'!D:D,MATCH(9.99E+307,'Price History'!$A:$A))-'Price History'!D3)*(ROW()-3)/(MATCH(9.99E+307,'Returns (Calc)'!$A:$A)-3),"")</f>
        <v>49.945660377358536</v>
      </c>
      <c r="Z150" s="84">
        <f>IFERROR('Price History'!E3+(INDEX('Price History'!E:E,MATCH(9.99E+307,'Price History'!$A:$A))-'Price History'!E3)*(ROW()-3)/(MATCH(9.99E+307,'Returns (Calc)'!$A:$A)-3),"")</f>
        <v>6.262641509433962</v>
      </c>
      <c r="AA150" s="84">
        <f>IFERROR('Price History'!F3+(INDEX('Price History'!F:F,MATCH(9.99E+307,'Price History'!$A:$A))-'Price History'!F3)*(ROW()-3)/(MATCH(9.99E+307,'Returns (Calc)'!$A:$A)-3),"")</f>
        <v>2.7969811320754729</v>
      </c>
      <c r="AB150" s="84">
        <f>IFERROR('Price History'!G3+(INDEX('Price History'!G:G,MATCH(9.99E+307,'Price History'!$A:$A))-'Price History'!G3)*(ROW()-3)/(MATCH(9.99E+307,'Returns (Calc)'!$A:$A)-3),"")</f>
        <v>3.6150943396226367</v>
      </c>
      <c r="AC150" s="84">
        <f>IFERROR('Price History'!H3+(INDEX('Price History'!H:H,MATCH(9.99E+307,'Price History'!$A:$A))-'Price History'!H3)*(ROW()-3)/(MATCH(9.99E+307,'Returns (Calc)'!$A:$A)-3),"")</f>
        <v>4.85811320754717</v>
      </c>
      <c r="AD150" s="84">
        <f>IFERROR('Price History'!I3+(INDEX('Price History'!I:I,MATCH(9.99E+307,'Price History'!$A:$A))-'Price History'!I3)*(ROW()-3)/(MATCH(9.99E+307,'Returns (Calc)'!$A:$A)-3),"")</f>
        <v>3.0830188679245296</v>
      </c>
      <c r="AE150" s="84">
        <f>IFERROR('Price History'!J3+(INDEX('Price History'!J:J,MATCH(9.99E+307,'Price History'!$A:$A))-'Price History'!J3)*(ROW()-3)/(MATCH(9.99E+307,'Returns (Calc)'!$A:$A)-3),"")</f>
        <v>9.3215094339622624</v>
      </c>
      <c r="AF150" s="84">
        <f>IFERROR('Price History'!K3+(INDEX('Price History'!K:K,MATCH(9.99E+307,'Price History'!$A:$A))-'Price History'!K3)*(ROW()-3)/(MATCH(9.99E+307,'Returns (Calc)'!$A:$A)-3),"")</f>
        <v>1.1630188679245279</v>
      </c>
      <c r="AG150" s="84">
        <f>IFERROR('Price History'!L3+(INDEX('Price History'!L:L,MATCH(9.99E+307,'Price History'!$A:$A))-'Price History'!L3)*(ROW()-3)/(MATCH(9.99E+307,'Returns (Calc)'!$A:$A)-3),"")</f>
        <v>6.9426415094339688</v>
      </c>
      <c r="AH150" s="84">
        <f>IFERROR('Price History'!M3+(INDEX('Price History'!M:M,MATCH(9.99E+307,'Price History'!$A:$A))-'Price History'!M3)*(ROW()-3)/(MATCH(9.99E+307,'Returns (Calc)'!$A:$A)-3),"")</f>
        <v>2.5290566037735864</v>
      </c>
      <c r="AI150" s="84">
        <f>IFERROR('Price History'!N3+(INDEX('Price History'!N:N,MATCH(9.99E+307,'Price History'!$A:$A))-'Price History'!N3)*(ROW()-3)/(MATCH(9.99E+307,'Returns (Calc)'!$A:$A)-3),"")</f>
        <v>26.404528301886785</v>
      </c>
      <c r="AJ150" s="84">
        <f>IFERROR('Price History'!O3+(INDEX('Price History'!O:O,MATCH(9.99E+307,'Price History'!$A:$A))-'Price History'!O3)*(ROW()-3)/(MATCH(9.99E+307,'Returns (Calc)'!$A:$A)-3),"")</f>
        <v>6.2528301886792406</v>
      </c>
      <c r="AK150" s="84">
        <f>IFERROR('Price History'!Q3+(INDEX('Price History'!Q:Q,MATCH(9.99E+307,'Price History'!$A:$A))-'Price History'!Q3)*(ROW()-3)/(MATCH(9.99E+307,'Returns (Calc)'!$A:$A)-3),"")</f>
        <v>3.7615094339622672</v>
      </c>
      <c r="AL150" s="84">
        <f>IFERROR('Price History'!R3+(INDEX('Price History'!R:R,MATCH(9.99E+307,'Price History'!$A:$A))-'Price History'!R3)*(ROW()-3)/(MATCH(9.99E+307,'Returns (Calc)'!$A:$A)-3),"")</f>
        <v>3.6090566037735883</v>
      </c>
      <c r="AM150" s="84">
        <f>IFERROR('Price History'!S3+(INDEX('Price History'!S:S,MATCH(9.99E+307,'Price History'!$A:$A))-'Price History'!S3)*(ROW()-3)/(MATCH(9.99E+307,'Returns (Calc)'!$A:$A)-3),"")</f>
        <v>4.4181132075471723</v>
      </c>
      <c r="AN150" s="84">
        <f>IFERROR('Price History'!T3+(INDEX('Price History'!T:T,MATCH(9.99E+307,'Price History'!$A:$A))-'Price History'!T3)*(ROW()-3)/(MATCH(9.99E+307,'Returns (Calc)'!$A:$A)-3),"")</f>
        <v>2.0309433962264158</v>
      </c>
      <c r="AO150" s="85">
        <f>IFERROR('Price History'!V3+(INDEX('Price History'!V:V,MATCH(9.99E+307,'Price History'!$A:$A))-'Price History'!V3)*(ROW()-3)/(MATCH(9.99E+307,'Returns (Calc)'!$A:$A)-3),"")</f>
        <v>0</v>
      </c>
    </row>
    <row r="151" spans="1:41" ht="15" customHeight="1" x14ac:dyDescent="0.3">
      <c r="A151" s="81">
        <f>IF('Price History'!A152="","",'Price History'!A152)</f>
        <v>46191</v>
      </c>
      <c r="B151" s="82">
        <f>IFERROR(IF(OR(NOT(ISNUMBER('Price History'!B152)),NOT(ISNUMBER('Price History'!B151)),'Price History'!B151=0),"",'Price History'!B152/'Price History'!B151-1),"")</f>
        <v>-4.3427114988726645E-2</v>
      </c>
      <c r="C151" s="82">
        <f>IFERROR(IF(OR(NOT(ISNUMBER('Price History'!C152)),NOT(ISNUMBER('Price History'!C151)),'Price History'!C151=0),"",'Price History'!C152/'Price History'!C151-1),"")</f>
        <v>3.9389855427591103E-2</v>
      </c>
      <c r="D151" s="82">
        <f>IFERROR(IF(OR(NOT(ISNUMBER('Price History'!D152)),NOT(ISNUMBER('Price History'!D151)),'Price History'!D151=0),"",'Price History'!D152/'Price History'!D151-1),"")</f>
        <v>3.5486034718682058E-2</v>
      </c>
      <c r="E151" s="82">
        <f>IFERROR(IF(OR(NOT(ISNUMBER('Price History'!E152)),NOT(ISNUMBER('Price History'!E151)),'Price History'!E151=0),"",'Price History'!E152/'Price History'!E151-1),"")</f>
        <v>7.6635171565420102E-2</v>
      </c>
      <c r="F151" s="82">
        <f>IFERROR(IF(OR(NOT(ISNUMBER('Price History'!F152)),NOT(ISNUMBER('Price History'!F151)),'Price History'!F151=0),"",'Price History'!F152/'Price History'!F151-1),"")</f>
        <v>3.0462800234329901E-3</v>
      </c>
      <c r="G151" s="82">
        <f>IFERROR(IF(OR(NOT(ISNUMBER('Price History'!G152)),NOT(ISNUMBER('Price History'!G151)),'Price History'!G151=0),"",'Price History'!G152/'Price History'!G151-1),"")</f>
        <v>1.9721851182525452E-2</v>
      </c>
      <c r="H151" s="82">
        <f>IFERROR(IF(OR(NOT(ISNUMBER('Price History'!H152)),NOT(ISNUMBER('Price History'!H151)),'Price History'!H151=0),"",'Price History'!H152/'Price History'!H151-1),"")</f>
        <v>0.15523476737197051</v>
      </c>
      <c r="I151" s="82">
        <f>IFERROR(IF(OR(NOT(ISNUMBER('Price History'!I152)),NOT(ISNUMBER('Price History'!I151)),'Price History'!I151=0),"",'Price History'!I152/'Price History'!I151-1),"")</f>
        <v>2.6804425166918389E-2</v>
      </c>
      <c r="J151" s="82">
        <f>IFERROR(IF(OR(NOT(ISNUMBER('Price History'!J152)),NOT(ISNUMBER('Price History'!J151)),'Price History'!J151=0),"",'Price History'!J152/'Price History'!J151-1),"")</f>
        <v>-5.5129756622294024E-2</v>
      </c>
      <c r="K151" s="82">
        <f>IFERROR(IF(OR(NOT(ISNUMBER('Price History'!K152)),NOT(ISNUMBER('Price History'!K151)),'Price History'!K151=0),"",'Price History'!K152/'Price History'!K151-1),"")</f>
        <v>3.7502929916399808E-3</v>
      </c>
      <c r="L151" s="82">
        <f>IFERROR(IF(OR(NOT(ISNUMBER('Price History'!L152)),NOT(ISNUMBER('Price History'!L151)),'Price History'!L151=0),"",'Price History'!L152/'Price History'!L151-1),"")</f>
        <v>9.0085627344137054E-2</v>
      </c>
      <c r="M151" s="82">
        <f>IFERROR(IF(OR(NOT(ISNUMBER('Price History'!M152)),NOT(ISNUMBER('Price History'!M151)),'Price History'!M151=0),"",'Price History'!M152/'Price History'!M151-1),"")</f>
        <v>9.9646713111235963E-2</v>
      </c>
      <c r="N151" s="82">
        <f>IFERROR(IF(OR(NOT(ISNUMBER('Price History'!N152)),NOT(ISNUMBER('Price History'!N151)),'Price History'!N151=0),"",'Price History'!N152/'Price History'!N151-1),"")</f>
        <v>1.5058548535724636E-2</v>
      </c>
      <c r="O151" s="82">
        <f>IFERROR(IF(OR(NOT(ISNUMBER('Price History'!O152)),NOT(ISNUMBER('Price History'!O151)),'Price History'!O151=0),"",'Price History'!O152/'Price History'!O151-1),"")</f>
        <v>-1.9134909149380874E-2</v>
      </c>
      <c r="P151" s="82" t="str">
        <f>IFERROR(IF(OR(NOT(ISNUMBER('Price History'!P152)),NOT(ISNUMBER('Price History'!P151)),'Price History'!P151=0),"",'Price History'!P152/'Price History'!P151-1),"")</f>
        <v/>
      </c>
      <c r="Q151" s="82" t="str">
        <f>IFERROR(IF(OR(NOT(ISNUMBER('Price History'!Q152)),NOT(ISNUMBER('Price History'!Q151)),'Price History'!Q151=0),"",'Price History'!Q152/'Price History'!Q151-1),"")</f>
        <v/>
      </c>
      <c r="R151" s="82">
        <f>IFERROR(IF(OR(NOT(ISNUMBER('Price History'!R152)),NOT(ISNUMBER('Price History'!R151)),'Price History'!R151=0),"",'Price History'!R152/'Price History'!R151-1),"")</f>
        <v>2.4724356832609429E-2</v>
      </c>
      <c r="S151" s="82">
        <f>IFERROR(IF(OR(NOT(ISNUMBER('Price History'!S152)),NOT(ISNUMBER('Price History'!S151)),'Price History'!S151=0),"",'Price History'!S152/'Price History'!S151-1),"")</f>
        <v>4.8662119622245648E-2</v>
      </c>
      <c r="T151" s="82">
        <f>IFERROR(IF(OR(NOT(ISNUMBER('Price History'!T152)),NOT(ISNUMBER('Price History'!T151)),'Price History'!T151=0),"",'Price History'!T152/'Price History'!T151-1),"")</f>
        <v>-2.2467055519550638E-2</v>
      </c>
      <c r="U151" s="82" t="str">
        <f>IFERROR(IF(OR(NOT(ISNUMBER('Price History'!U152)),NOT(ISNUMBER('Price History'!U151)),'Price History'!U151=0),"",'Price History'!U152/'Price History'!U151-1),"")</f>
        <v/>
      </c>
      <c r="V151" s="83" t="str">
        <f>IFERROR(IF(OR(NOT(ISNUMBER('Price History'!V152)),NOT(ISNUMBER('Price History'!V151)),'Price History'!V151=0),"",'Price History'!V152/'Price History'!V151-1),"")</f>
        <v/>
      </c>
      <c r="W151" s="84" t="str">
        <f>IFERROR('Price History'!B3+(INDEX('Price History'!B:B,MATCH(9.99E+307,'Price History'!$A:$A))-'Price History'!B3)*(ROW()-3)/(MATCH(9.99E+307,'Returns (Calc)'!$A:$A)-3),"")</f>
        <v/>
      </c>
      <c r="X151" s="84">
        <f>IFERROR('Price History'!C3+(INDEX('Price History'!C:C,MATCH(9.99E+307,'Price History'!$A:$A))-'Price History'!C3)*(ROW()-3)/(MATCH(9.99E+307,'Returns (Calc)'!$A:$A)-3),"")</f>
        <v>3.0260377358490587</v>
      </c>
      <c r="Y151" s="84">
        <f>IFERROR('Price History'!D3+(INDEX('Price History'!D:D,MATCH(9.99E+307,'Price History'!$A:$A))-'Price History'!D3)*(ROW()-3)/(MATCH(9.99E+307,'Returns (Calc)'!$A:$A)-3),"")</f>
        <v>45.783522012578601</v>
      </c>
      <c r="Z151" s="84">
        <f>IFERROR('Price History'!E3+(INDEX('Price History'!E:E,MATCH(9.99E+307,'Price History'!$A:$A))-'Price History'!E3)*(ROW()-3)/(MATCH(9.99E+307,'Returns (Calc)'!$A:$A)-3),"")</f>
        <v>5.7407547169811295</v>
      </c>
      <c r="AA151" s="84">
        <f>IFERROR('Price History'!F3+(INDEX('Price History'!F:F,MATCH(9.99E+307,'Price History'!$A:$A))-'Price History'!F3)*(ROW()-3)/(MATCH(9.99E+307,'Returns (Calc)'!$A:$A)-3),"")</f>
        <v>2.5638993710691835</v>
      </c>
      <c r="AB151" s="84">
        <f>IFERROR('Price History'!G3+(INDEX('Price History'!G:G,MATCH(9.99E+307,'Price History'!$A:$A))-'Price History'!G3)*(ROW()-3)/(MATCH(9.99E+307,'Returns (Calc)'!$A:$A)-3),"")</f>
        <v>3.3138364779874223</v>
      </c>
      <c r="AC151" s="84">
        <f>IFERROR('Price History'!H3+(INDEX('Price History'!H:H,MATCH(9.99E+307,'Price History'!$A:$A))-'Price History'!H3)*(ROW()-3)/(MATCH(9.99E+307,'Returns (Calc)'!$A:$A)-3),"")</f>
        <v>4.453270440251579</v>
      </c>
      <c r="AD151" s="84">
        <f>IFERROR('Price History'!I3+(INDEX('Price History'!I:I,MATCH(9.99E+307,'Price History'!$A:$A))-'Price History'!I3)*(ROW()-3)/(MATCH(9.99E+307,'Returns (Calc)'!$A:$A)-3),"")</f>
        <v>2.826100628930817</v>
      </c>
      <c r="AE151" s="84">
        <f>IFERROR('Price History'!J3+(INDEX('Price History'!J:J,MATCH(9.99E+307,'Price History'!$A:$A))-'Price History'!J3)*(ROW()-3)/(MATCH(9.99E+307,'Returns (Calc)'!$A:$A)-3),"")</f>
        <v>8.5447169811320833</v>
      </c>
      <c r="AF151" s="84">
        <f>IFERROR('Price History'!K3+(INDEX('Price History'!K:K,MATCH(9.99E+307,'Price History'!$A:$A))-'Price History'!K3)*(ROW()-3)/(MATCH(9.99E+307,'Returns (Calc)'!$A:$A)-3),"")</f>
        <v>1.066100628930819</v>
      </c>
      <c r="AG151" s="84">
        <f>IFERROR('Price History'!L3+(INDEX('Price History'!L:L,MATCH(9.99E+307,'Price History'!$A:$A))-'Price History'!L3)*(ROW()-3)/(MATCH(9.99E+307,'Returns (Calc)'!$A:$A)-3),"")</f>
        <v>6.3640880503144643</v>
      </c>
      <c r="AH151" s="84">
        <f>IFERROR('Price History'!M3+(INDEX('Price History'!M:M,MATCH(9.99E+307,'Price History'!$A:$A))-'Price History'!M3)*(ROW()-3)/(MATCH(9.99E+307,'Returns (Calc)'!$A:$A)-3),"")</f>
        <v>2.3183018867924545</v>
      </c>
      <c r="AI151" s="84">
        <f>IFERROR('Price History'!N3+(INDEX('Price History'!N:N,MATCH(9.99E+307,'Price History'!$A:$A))-'Price History'!N3)*(ROW()-3)/(MATCH(9.99E+307,'Returns (Calc)'!$A:$A)-3),"")</f>
        <v>24.204150943396257</v>
      </c>
      <c r="AJ151" s="84">
        <f>IFERROR('Price History'!O3+(INDEX('Price History'!O:O,MATCH(9.99E+307,'Price History'!$A:$A))-'Price History'!O3)*(ROW()-3)/(MATCH(9.99E+307,'Returns (Calc)'!$A:$A)-3),"")</f>
        <v>5.7317610062893039</v>
      </c>
      <c r="AK151" s="84">
        <f>IFERROR('Price History'!Q3+(INDEX('Price History'!Q:Q,MATCH(9.99E+307,'Price History'!$A:$A))-'Price History'!Q3)*(ROW()-3)/(MATCH(9.99E+307,'Returns (Calc)'!$A:$A)-3),"")</f>
        <v>3.4480503144654051</v>
      </c>
      <c r="AL151" s="84">
        <f>IFERROR('Price History'!R3+(INDEX('Price History'!R:R,MATCH(9.99E+307,'Price History'!$A:$A))-'Price History'!R3)*(ROW()-3)/(MATCH(9.99E+307,'Returns (Calc)'!$A:$A)-3),"")</f>
        <v>3.3083018867924565</v>
      </c>
      <c r="AM151" s="84">
        <f>IFERROR('Price History'!S3+(INDEX('Price History'!S:S,MATCH(9.99E+307,'Price History'!$A:$A))-'Price History'!S3)*(ROW()-3)/(MATCH(9.99E+307,'Returns (Calc)'!$A:$A)-3),"")</f>
        <v>4.0499371069182359</v>
      </c>
      <c r="AN151" s="84">
        <f>IFERROR('Price History'!T3+(INDEX('Price History'!T:T,MATCH(9.99E+307,'Price History'!$A:$A))-'Price History'!T3)*(ROW()-3)/(MATCH(9.99E+307,'Returns (Calc)'!$A:$A)-3),"")</f>
        <v>1.8616981132075487</v>
      </c>
      <c r="AO151" s="85">
        <f>IFERROR('Price History'!V3+(INDEX('Price History'!V:V,MATCH(9.99E+307,'Price History'!$A:$A))-'Price History'!V3)*(ROW()-3)/(MATCH(9.99E+307,'Returns (Calc)'!$A:$A)-3),"")</f>
        <v>0</v>
      </c>
    </row>
    <row r="152" spans="1:41" ht="15" customHeight="1" x14ac:dyDescent="0.3">
      <c r="A152" s="81">
        <f>IF('Price History'!A153="","",'Price History'!A153)</f>
        <v>46199</v>
      </c>
      <c r="B152" s="82">
        <f>IFERROR(IF(OR(NOT(ISNUMBER('Price History'!B153)),NOT(ISNUMBER('Price History'!B152)),'Price History'!B152=0),"",'Price History'!B153/'Price History'!B152-1),"")</f>
        <v>3.8788686206189693E-2</v>
      </c>
      <c r="C152" s="82">
        <f>IFERROR(IF(OR(NOT(ISNUMBER('Price History'!C153)),NOT(ISNUMBER('Price History'!C152)),'Price History'!C152=0),"",'Price History'!C153/'Price History'!C152-1),"")</f>
        <v>-7.1138091589556196E-2</v>
      </c>
      <c r="D152" s="82">
        <f>IFERROR(IF(OR(NOT(ISNUMBER('Price History'!D153)),NOT(ISNUMBER('Price History'!D152)),'Price History'!D152=0),"",'Price History'!D153/'Price History'!D152-1),"")</f>
        <v>-6.9990879316778054E-2</v>
      </c>
      <c r="E152" s="82">
        <f>IFERROR(IF(OR(NOT(ISNUMBER('Price History'!E153)),NOT(ISNUMBER('Price History'!E152)),'Price History'!E152=0),"",'Price History'!E153/'Price History'!E152-1),"")</f>
        <v>-0.11262914792755574</v>
      </c>
      <c r="F152" s="82">
        <f>IFERROR(IF(OR(NOT(ISNUMBER('Price History'!F153)),NOT(ISNUMBER('Price History'!F152)),'Price History'!F152=0),"",'Price History'!F153/'Price History'!F152-1),"")</f>
        <v>2.365377876416308E-2</v>
      </c>
      <c r="G152" s="82">
        <f>IFERROR(IF(OR(NOT(ISNUMBER('Price History'!G153)),NOT(ISNUMBER('Price History'!G152)),'Price History'!G152=0),"",'Price History'!G153/'Price History'!G152-1),"")</f>
        <v>-4.2071197411003292E-2</v>
      </c>
      <c r="H152" s="82">
        <f>IFERROR(IF(OR(NOT(ISNUMBER('Price History'!H153)),NOT(ISNUMBER('Price History'!H152)),'Price History'!H152=0),"",'Price History'!H153/'Price History'!H152-1),"")</f>
        <v>-1.4638577059763458E-3</v>
      </c>
      <c r="I152" s="82">
        <f>IFERROR(IF(OR(NOT(ISNUMBER('Price History'!I153)),NOT(ISNUMBER('Price History'!I152)),'Price History'!I152=0),"",'Price History'!I153/'Price History'!I152-1),"")</f>
        <v>-8.6192984954198137E-2</v>
      </c>
      <c r="J152" s="82">
        <f>IFERROR(IF(OR(NOT(ISNUMBER('Price History'!J153)),NOT(ISNUMBER('Price History'!J152)),'Price History'!J152=0),"",'Price History'!J153/'Price History'!J152-1),"")</f>
        <v>-4.0557848299416221E-3</v>
      </c>
      <c r="K152" s="82">
        <f>IFERROR(IF(OR(NOT(ISNUMBER('Price History'!K153)),NOT(ISNUMBER('Price History'!K152)),'Price History'!K152=0),"",'Price History'!K153/'Price History'!K152-1),"")</f>
        <v>-0.12096209231727251</v>
      </c>
      <c r="L152" s="82">
        <f>IFERROR(IF(OR(NOT(ISNUMBER('Price History'!L153)),NOT(ISNUMBER('Price History'!L152)),'Price History'!L152=0),"",'Price History'!L153/'Price History'!L152-1),"")</f>
        <v>-6.4420496840647434E-2</v>
      </c>
      <c r="M152" s="82">
        <f>IFERROR(IF(OR(NOT(ISNUMBER('Price History'!M153)),NOT(ISNUMBER('Price History'!M152)),'Price History'!M152=0),"",'Price History'!M153/'Price History'!M152-1),"")</f>
        <v>-8.7374268127908827E-2</v>
      </c>
      <c r="N152" s="82">
        <f>IFERROR(IF(OR(NOT(ISNUMBER('Price History'!N153)),NOT(ISNUMBER('Price History'!N152)),'Price History'!N152=0),"",'Price History'!N153/'Price History'!N152-1),"")</f>
        <v>8.7925957088767381E-2</v>
      </c>
      <c r="O152" s="82">
        <f>IFERROR(IF(OR(NOT(ISNUMBER('Price History'!O153)),NOT(ISNUMBER('Price History'!O152)),'Price History'!O152=0),"",'Price History'!O153/'Price History'!O152-1),"")</f>
        <v>2.4098360655737672E-2</v>
      </c>
      <c r="P152" s="82" t="str">
        <f>IFERROR(IF(OR(NOT(ISNUMBER('Price History'!P153)),NOT(ISNUMBER('Price History'!P152)),'Price History'!P152=0),"",'Price History'!P153/'Price History'!P152-1),"")</f>
        <v/>
      </c>
      <c r="Q152" s="82" t="str">
        <f>IFERROR(IF(OR(NOT(ISNUMBER('Price History'!Q153)),NOT(ISNUMBER('Price History'!Q152)),'Price History'!Q152=0),"",'Price History'!Q153/'Price History'!Q152-1),"")</f>
        <v/>
      </c>
      <c r="R152" s="82">
        <f>IFERROR(IF(OR(NOT(ISNUMBER('Price History'!R153)),NOT(ISNUMBER('Price History'!R152)),'Price History'!R152=0),"",'Price History'!R153/'Price History'!R152-1),"")</f>
        <v>-3.1300945549396886E-2</v>
      </c>
      <c r="S152" s="82">
        <f>IFERROR(IF(OR(NOT(ISNUMBER('Price History'!S153)),NOT(ISNUMBER('Price History'!S152)),'Price History'!S152=0),"",'Price History'!S153/'Price History'!S152-1),"")</f>
        <v>-3.5647279549718691E-2</v>
      </c>
      <c r="T152" s="82">
        <f>IFERROR(IF(OR(NOT(ISNUMBER('Price History'!T153)),NOT(ISNUMBER('Price History'!T152)),'Price History'!T152=0),"",'Price History'!T153/'Price History'!T152-1),"")</f>
        <v>2.0773480662983346E-2</v>
      </c>
      <c r="U152" s="82" t="str">
        <f>IFERROR(IF(OR(NOT(ISNUMBER('Price History'!U153)),NOT(ISNUMBER('Price History'!U152)),'Price History'!U152=0),"",'Price History'!U153/'Price History'!U152-1),"")</f>
        <v/>
      </c>
      <c r="V152" s="83" t="str">
        <f>IFERROR(IF(OR(NOT(ISNUMBER('Price History'!V153)),NOT(ISNUMBER('Price History'!V152)),'Price History'!V152=0),"",'Price History'!V153/'Price History'!V152-1),"")</f>
        <v/>
      </c>
      <c r="W152" s="84" t="str">
        <f>IFERROR('Price History'!B3+(INDEX('Price History'!B:B,MATCH(9.99E+307,'Price History'!$A:$A))-'Price History'!B3)*(ROW()-3)/(MATCH(9.99E+307,'Returns (Calc)'!$A:$A)-3),"")</f>
        <v/>
      </c>
      <c r="X152" s="84">
        <f>IFERROR('Price History'!C3+(INDEX('Price History'!C:C,MATCH(9.99E+307,'Price History'!$A:$A))-'Price History'!C3)*(ROW()-3)/(MATCH(9.99E+307,'Returns (Calc)'!$A:$A)-3),"")</f>
        <v>2.7509433962264183</v>
      </c>
      <c r="Y152" s="84">
        <f>IFERROR('Price History'!D3+(INDEX('Price History'!D:D,MATCH(9.99E+307,'Price History'!$A:$A))-'Price History'!D3)*(ROW()-3)/(MATCH(9.99E+307,'Returns (Calc)'!$A:$A)-3),"")</f>
        <v>41.621383647798666</v>
      </c>
      <c r="Z152" s="84">
        <f>IFERROR('Price History'!E3+(INDEX('Price History'!E:E,MATCH(9.99E+307,'Price History'!$A:$A))-'Price History'!E3)*(ROW()-3)/(MATCH(9.99E+307,'Returns (Calc)'!$A:$A)-3),"")</f>
        <v>5.218867924528297</v>
      </c>
      <c r="AA152" s="84">
        <f>IFERROR('Price History'!F3+(INDEX('Price History'!F:F,MATCH(9.99E+307,'Price History'!$A:$A))-'Price History'!F3)*(ROW()-3)/(MATCH(9.99E+307,'Returns (Calc)'!$A:$A)-3),"")</f>
        <v>2.3308176100628941</v>
      </c>
      <c r="AB152" s="84">
        <f>IFERROR('Price History'!G3+(INDEX('Price History'!G:G,MATCH(9.99E+307,'Price History'!$A:$A))-'Price History'!G3)*(ROW()-3)/(MATCH(9.99E+307,'Returns (Calc)'!$A:$A)-3),"")</f>
        <v>3.0125786163522008</v>
      </c>
      <c r="AC152" s="84">
        <f>IFERROR('Price History'!H3+(INDEX('Price History'!H:H,MATCH(9.99E+307,'Price History'!$A:$A))-'Price History'!H3)*(ROW()-3)/(MATCH(9.99E+307,'Returns (Calc)'!$A:$A)-3),"")</f>
        <v>4.0484276729559738</v>
      </c>
      <c r="AD152" s="84">
        <f>IFERROR('Price History'!I3+(INDEX('Price History'!I:I,MATCH(9.99E+307,'Price History'!$A:$A))-'Price History'!I3)*(ROW()-3)/(MATCH(9.99E+307,'Returns (Calc)'!$A:$A)-3),"")</f>
        <v>2.5691823899371045</v>
      </c>
      <c r="AE152" s="84">
        <f>IFERROR('Price History'!J3+(INDEX('Price History'!J:J,MATCH(9.99E+307,'Price History'!$A:$A))-'Price History'!J3)*(ROW()-3)/(MATCH(9.99E+307,'Returns (Calc)'!$A:$A)-3),"")</f>
        <v>7.7679245283018759</v>
      </c>
      <c r="AF152" s="84">
        <f>IFERROR('Price History'!K3+(INDEX('Price History'!K:K,MATCH(9.99E+307,'Price History'!$A:$A))-'Price History'!K3)*(ROW()-3)/(MATCH(9.99E+307,'Returns (Calc)'!$A:$A)-3),"")</f>
        <v>0.96918238993710659</v>
      </c>
      <c r="AG152" s="84">
        <f>IFERROR('Price History'!L3+(INDEX('Price History'!L:L,MATCH(9.99E+307,'Price History'!$A:$A))-'Price History'!L3)*(ROW()-3)/(MATCH(9.99E+307,'Returns (Calc)'!$A:$A)-3),"")</f>
        <v>5.785534591194974</v>
      </c>
      <c r="AH152" s="84">
        <f>IFERROR('Price History'!M3+(INDEX('Price History'!M:M,MATCH(9.99E+307,'Price History'!$A:$A))-'Price History'!M3)*(ROW()-3)/(MATCH(9.99E+307,'Returns (Calc)'!$A:$A)-3),"")</f>
        <v>2.1075471698113191</v>
      </c>
      <c r="AI152" s="84">
        <f>IFERROR('Price History'!N3+(INDEX('Price History'!N:N,MATCH(9.99E+307,'Price History'!$A:$A))-'Price History'!N3)*(ROW()-3)/(MATCH(9.99E+307,'Returns (Calc)'!$A:$A)-3),"")</f>
        <v>22.003773584905673</v>
      </c>
      <c r="AJ152" s="84">
        <f>IFERROR('Price History'!O3+(INDEX('Price History'!O:O,MATCH(9.99E+307,'Price History'!$A:$A))-'Price History'!O3)*(ROW()-3)/(MATCH(9.99E+307,'Returns (Calc)'!$A:$A)-3),"")</f>
        <v>5.2106918238993671</v>
      </c>
      <c r="AK152" s="84">
        <f>IFERROR('Price History'!Q3+(INDEX('Price History'!Q:Q,MATCH(9.99E+307,'Price History'!$A:$A))-'Price History'!Q3)*(ROW()-3)/(MATCH(9.99E+307,'Returns (Calc)'!$A:$A)-3),"")</f>
        <v>3.1345911949685501</v>
      </c>
      <c r="AL152" s="84">
        <f>IFERROR('Price History'!R3+(INDEX('Price History'!R:R,MATCH(9.99E+307,'Price History'!$A:$A))-'Price History'!R3)*(ROW()-3)/(MATCH(9.99E+307,'Returns (Calc)'!$A:$A)-3),"")</f>
        <v>3.0075471698113176</v>
      </c>
      <c r="AM152" s="84">
        <f>IFERROR('Price History'!S3+(INDEX('Price History'!S:S,MATCH(9.99E+307,'Price History'!$A:$A))-'Price History'!S3)*(ROW()-3)/(MATCH(9.99E+307,'Returns (Calc)'!$A:$A)-3),"")</f>
        <v>3.6817610062893138</v>
      </c>
      <c r="AN152" s="84">
        <f>IFERROR('Price History'!T3+(INDEX('Price History'!T:T,MATCH(9.99E+307,'Price History'!$A:$A))-'Price History'!T3)*(ROW()-3)/(MATCH(9.99E+307,'Returns (Calc)'!$A:$A)-3),"")</f>
        <v>1.6924528301886781</v>
      </c>
      <c r="AO152" s="85">
        <f>IFERROR('Price History'!V3+(INDEX('Price History'!V:V,MATCH(9.99E+307,'Price History'!$A:$A))-'Price History'!V3)*(ROW()-3)/(MATCH(9.99E+307,'Returns (Calc)'!$A:$A)-3),"")</f>
        <v>0</v>
      </c>
    </row>
    <row r="153" spans="1:41" ht="15" customHeight="1" x14ac:dyDescent="0.3">
      <c r="A153" s="81">
        <f>IF('Price History'!A154="","",'Price History'!A154)</f>
        <v>46205</v>
      </c>
      <c r="B153" s="82">
        <f>IFERROR(IF(OR(NOT(ISNUMBER('Price History'!B154)),NOT(ISNUMBER('Price History'!B153)),'Price History'!B153=0),"",'Price History'!B154/'Price History'!B153-1),"")</f>
        <v>8.3806047452276378E-2</v>
      </c>
      <c r="C153" s="82">
        <f>IFERROR(IF(OR(NOT(ISNUMBER('Price History'!C154)),NOT(ISNUMBER('Price History'!C153)),'Price History'!C153=0),"",'Price History'!C154/'Price History'!C153-1),"")</f>
        <v>1.5164974619289451E-2</v>
      </c>
      <c r="D153" s="82">
        <f>IFERROR(IF(OR(NOT(ISNUMBER('Price History'!D154)),NOT(ISNUMBER('Price History'!D153)),'Price History'!D153=0),"",'Price History'!D154/'Price History'!D153-1),"")</f>
        <v>-1.4097691990504924E-2</v>
      </c>
      <c r="E153" s="82">
        <f>IFERROR(IF(OR(NOT(ISNUMBER('Price History'!E154)),NOT(ISNUMBER('Price History'!E153)),'Price History'!E153=0),"",'Price History'!E154/'Price History'!E153-1),"")</f>
        <v>-1.251986192537391E-2</v>
      </c>
      <c r="F153" s="82">
        <f>IFERROR(IF(OR(NOT(ISNUMBER('Price History'!F154)),NOT(ISNUMBER('Price History'!F153)),'Price History'!F153=0),"",'Price History'!F154/'Price History'!F153-1),"")</f>
        <v>0.10674958635248455</v>
      </c>
      <c r="G153" s="82">
        <f>IFERROR(IF(OR(NOT(ISNUMBER('Price History'!G154)),NOT(ISNUMBER('Price History'!G153)),'Price History'!G153=0),"",'Price History'!G154/'Price History'!G153-1),"")</f>
        <v>-5.2646396396396344E-2</v>
      </c>
      <c r="H153" s="82">
        <f>IFERROR(IF(OR(NOT(ISNUMBER('Price History'!H154)),NOT(ISNUMBER('Price History'!H153)),'Price History'!H153=0),"",'Price History'!H154/'Price History'!H153-1),"")</f>
        <v>-0.13844903870779723</v>
      </c>
      <c r="I153" s="82">
        <f>IFERROR(IF(OR(NOT(ISNUMBER('Price History'!I154)),NOT(ISNUMBER('Price History'!I153)),'Price History'!I153=0),"",'Price History'!I154/'Price History'!I153-1),"")</f>
        <v>1.1946190204124019E-2</v>
      </c>
      <c r="J153" s="82">
        <f>IFERROR(IF(OR(NOT(ISNUMBER('Price History'!J154)),NOT(ISNUMBER('Price History'!J153)),'Price History'!J153=0),"",'Price History'!J154/'Price History'!J153-1),"")</f>
        <v>-3.8579695649066936E-3</v>
      </c>
      <c r="K153" s="82">
        <f>IFERROR(IF(OR(NOT(ISNUMBER('Price History'!K154)),NOT(ISNUMBER('Price History'!K153)),'Price History'!K153=0),"",'Price History'!K154/'Price History'!K153-1),"")</f>
        <v>0.14495705304170725</v>
      </c>
      <c r="L153" s="82">
        <f>IFERROR(IF(OR(NOT(ISNUMBER('Price History'!L154)),NOT(ISNUMBER('Price History'!L153)),'Price History'!L153=0),"",'Price History'!L154/'Price History'!L153-1),"")</f>
        <v>4.186423036891318E-3</v>
      </c>
      <c r="M153" s="82">
        <f>IFERROR(IF(OR(NOT(ISNUMBER('Price History'!M154)),NOT(ISNUMBER('Price History'!M153)),'Price History'!M153=0),"",'Price History'!M154/'Price History'!M153-1),"")</f>
        <v>-1.1251850633327898E-2</v>
      </c>
      <c r="N153" s="82">
        <f>IFERROR(IF(OR(NOT(ISNUMBER('Price History'!N154)),NOT(ISNUMBER('Price History'!N153)),'Price History'!N153=0),"",'Price History'!N154/'Price History'!N153-1),"")</f>
        <v>7.4693694793829035E-2</v>
      </c>
      <c r="O153" s="82">
        <f>IFERROR(IF(OR(NOT(ISNUMBER('Price History'!O154)),NOT(ISNUMBER('Price History'!O153)),'Price History'!O153=0),"",'Price History'!O154/'Price History'!O153-1),"")</f>
        <v>-1.1445493837041743E-2</v>
      </c>
      <c r="P153" s="82" t="str">
        <f>IFERROR(IF(OR(NOT(ISNUMBER('Price History'!P154)),NOT(ISNUMBER('Price History'!P153)),'Price History'!P153=0),"",'Price History'!P154/'Price History'!P153-1),"")</f>
        <v/>
      </c>
      <c r="Q153" s="82" t="str">
        <f>IFERROR(IF(OR(NOT(ISNUMBER('Price History'!Q154)),NOT(ISNUMBER('Price History'!Q153)),'Price History'!Q153=0),"",'Price History'!Q154/'Price History'!Q153-1),"")</f>
        <v/>
      </c>
      <c r="R153" s="82">
        <f>IFERROR(IF(OR(NOT(ISNUMBER('Price History'!R154)),NOT(ISNUMBER('Price History'!R153)),'Price History'!R153=0),"",'Price History'!R154/'Price History'!R153-1),"")</f>
        <v>-5.048805116122379E-4</v>
      </c>
      <c r="S153" s="82">
        <f>IFERROR(IF(OR(NOT(ISNUMBER('Price History'!S154)),NOT(ISNUMBER('Price History'!S153)),'Price History'!S153=0),"",'Price History'!S154/'Price History'!S153-1),"")</f>
        <v>-2.1854734111543261E-2</v>
      </c>
      <c r="T153" s="82">
        <f>IFERROR(IF(OR(NOT(ISNUMBER('Price History'!T154)),NOT(ISNUMBER('Price History'!T153)),'Price History'!T153=0),"",'Price History'!T154/'Price History'!T153-1),"")</f>
        <v>1.7536263260446106E-2</v>
      </c>
      <c r="U153" s="82" t="str">
        <f>IFERROR(IF(OR(NOT(ISNUMBER('Price History'!U154)),NOT(ISNUMBER('Price History'!U153)),'Price History'!U153=0),"",'Price History'!U154/'Price History'!U153-1),"")</f>
        <v/>
      </c>
      <c r="V153" s="83" t="str">
        <f>IFERROR(IF(OR(NOT(ISNUMBER('Price History'!V154)),NOT(ISNUMBER('Price History'!V153)),'Price History'!V153=0),"",'Price History'!V154/'Price History'!V153-1),"")</f>
        <v/>
      </c>
      <c r="W153" s="84" t="str">
        <f>IFERROR('Price History'!B3+(INDEX('Price History'!B:B,MATCH(9.99E+307,'Price History'!$A:$A))-'Price History'!B3)*(ROW()-3)/(MATCH(9.99E+307,'Returns (Calc)'!$A:$A)-3),"")</f>
        <v/>
      </c>
      <c r="X153" s="84">
        <f>IFERROR('Price History'!C3+(INDEX('Price History'!C:C,MATCH(9.99E+307,'Price History'!$A:$A))-'Price History'!C3)*(ROW()-3)/(MATCH(9.99E+307,'Returns (Calc)'!$A:$A)-3),"")</f>
        <v>2.4758490566037779</v>
      </c>
      <c r="Y153" s="84">
        <f>IFERROR('Price History'!D3+(INDEX('Price History'!D:D,MATCH(9.99E+307,'Price History'!$A:$A))-'Price History'!D3)*(ROW()-3)/(MATCH(9.99E+307,'Returns (Calc)'!$A:$A)-3),"")</f>
        <v>37.459245283018845</v>
      </c>
      <c r="Z153" s="84">
        <f>IFERROR('Price History'!E3+(INDEX('Price History'!E:E,MATCH(9.99E+307,'Price History'!$A:$A))-'Price History'!E3)*(ROW()-3)/(MATCH(9.99E+307,'Returns (Calc)'!$A:$A)-3),"")</f>
        <v>4.6969811320754786</v>
      </c>
      <c r="AA153" s="84">
        <f>IFERROR('Price History'!F3+(INDEX('Price History'!F:F,MATCH(9.99E+307,'Price History'!$A:$A))-'Price History'!F3)*(ROW()-3)/(MATCH(9.99E+307,'Returns (Calc)'!$A:$A)-3),"")</f>
        <v>2.0977358490566047</v>
      </c>
      <c r="AB153" s="84">
        <f>IFERROR('Price History'!G3+(INDEX('Price History'!G:G,MATCH(9.99E+307,'Price History'!$A:$A))-'Price History'!G3)*(ROW()-3)/(MATCH(9.99E+307,'Returns (Calc)'!$A:$A)-3),"")</f>
        <v>2.7113207547169793</v>
      </c>
      <c r="AC153" s="84">
        <f>IFERROR('Price History'!H3+(INDEX('Price History'!H:H,MATCH(9.99E+307,'Price History'!$A:$A))-'Price History'!H3)*(ROW()-3)/(MATCH(9.99E+307,'Returns (Calc)'!$A:$A)-3),"")</f>
        <v>3.6435849056603828</v>
      </c>
      <c r="AD153" s="84">
        <f>IFERROR('Price History'!I3+(INDEX('Price History'!I:I,MATCH(9.99E+307,'Price History'!$A:$A))-'Price History'!I3)*(ROW()-3)/(MATCH(9.99E+307,'Returns (Calc)'!$A:$A)-3),"")</f>
        <v>2.312264150943399</v>
      </c>
      <c r="AE153" s="84">
        <f>IFERROR('Price History'!J3+(INDEX('Price History'!J:J,MATCH(9.99E+307,'Price History'!$A:$A))-'Price History'!J3)*(ROW()-3)/(MATCH(9.99E+307,'Returns (Calc)'!$A:$A)-3),"")</f>
        <v>6.9911320754716968</v>
      </c>
      <c r="AF153" s="84">
        <f>IFERROR('Price History'!K3+(INDEX('Price History'!K:K,MATCH(9.99E+307,'Price History'!$A:$A))-'Price History'!K3)*(ROW()-3)/(MATCH(9.99E+307,'Returns (Calc)'!$A:$A)-3),"")</f>
        <v>0.87226415094339593</v>
      </c>
      <c r="AG153" s="84">
        <f>IFERROR('Price History'!L3+(INDEX('Price History'!L:L,MATCH(9.99E+307,'Price History'!$A:$A))-'Price History'!L3)*(ROW()-3)/(MATCH(9.99E+307,'Returns (Calc)'!$A:$A)-3),"")</f>
        <v>5.2069811320754695</v>
      </c>
      <c r="AH153" s="84">
        <f>IFERROR('Price History'!M3+(INDEX('Price History'!M:M,MATCH(9.99E+307,'Price History'!$A:$A))-'Price History'!M3)*(ROW()-3)/(MATCH(9.99E+307,'Returns (Calc)'!$A:$A)-3),"")</f>
        <v>1.8967924528301872</v>
      </c>
      <c r="AI153" s="84">
        <f>IFERROR('Price History'!N3+(INDEX('Price History'!N:N,MATCH(9.99E+307,'Price History'!$A:$A))-'Price History'!N3)*(ROW()-3)/(MATCH(9.99E+307,'Returns (Calc)'!$A:$A)-3),"")</f>
        <v>19.803396226415089</v>
      </c>
      <c r="AJ153" s="84">
        <f>IFERROR('Price History'!O3+(INDEX('Price History'!O:O,MATCH(9.99E+307,'Price History'!$A:$A))-'Price History'!O3)*(ROW()-3)/(MATCH(9.99E+307,'Returns (Calc)'!$A:$A)-3),"")</f>
        <v>4.6896226415094304</v>
      </c>
      <c r="AK153" s="84">
        <f>IFERROR('Price History'!Q3+(INDEX('Price History'!Q:Q,MATCH(9.99E+307,'Price History'!$A:$A))-'Price History'!Q3)*(ROW()-3)/(MATCH(9.99E+307,'Returns (Calc)'!$A:$A)-3),"")</f>
        <v>2.8211320754716951</v>
      </c>
      <c r="AL153" s="84">
        <f>IFERROR('Price History'!R3+(INDEX('Price History'!R:R,MATCH(9.99E+307,'Price History'!$A:$A))-'Price History'!R3)*(ROW()-3)/(MATCH(9.99E+307,'Returns (Calc)'!$A:$A)-3),"")</f>
        <v>2.7067924528301859</v>
      </c>
      <c r="AM153" s="84">
        <f>IFERROR('Price History'!S3+(INDEX('Price History'!S:S,MATCH(9.99E+307,'Price History'!$A:$A))-'Price History'!S3)*(ROW()-3)/(MATCH(9.99E+307,'Returns (Calc)'!$A:$A)-3),"")</f>
        <v>3.3135849056603774</v>
      </c>
      <c r="AN153" s="84">
        <f>IFERROR('Price History'!T3+(INDEX('Price History'!T:T,MATCH(9.99E+307,'Price History'!$A:$A))-'Price History'!T3)*(ROW()-3)/(MATCH(9.99E+307,'Returns (Calc)'!$A:$A)-3),"")</f>
        <v>1.523207547169811</v>
      </c>
      <c r="AO153" s="85">
        <f>IFERROR('Price History'!V3+(INDEX('Price History'!V:V,MATCH(9.99E+307,'Price History'!$A:$A))-'Price History'!V3)*(ROW()-3)/(MATCH(9.99E+307,'Returns (Calc)'!$A:$A)-3),"")</f>
        <v>0</v>
      </c>
    </row>
    <row r="154" spans="1:41" ht="15" customHeight="1" x14ac:dyDescent="0.3">
      <c r="A154" s="81">
        <f>IF('Price History'!A155="","",'Price History'!A155)</f>
        <v>46213</v>
      </c>
      <c r="B154" s="82">
        <f>IFERROR(IF(OR(NOT(ISNUMBER('Price History'!B155)),NOT(ISNUMBER('Price History'!B154)),'Price History'!B154=0),"",'Price History'!B155/'Price History'!B154-1),"")</f>
        <v>1.7840888403422461E-2</v>
      </c>
      <c r="C154" s="82">
        <f>IFERROR(IF(OR(NOT(ISNUMBER('Price History'!C155)),NOT(ISNUMBER('Price History'!C154)),'Price History'!C154=0),"",'Price History'!C155/'Price History'!C154-1),"")</f>
        <v>0.16857303581473837</v>
      </c>
      <c r="D154" s="82">
        <f>IFERROR(IF(OR(NOT(ISNUMBER('Price History'!D155)),NOT(ISNUMBER('Price History'!D154)),'Price History'!D154=0),"",'Price History'!D155/'Price History'!D154-1),"")</f>
        <v>1.5825288811520899E-2</v>
      </c>
      <c r="E154" s="82">
        <f>IFERROR(IF(OR(NOT(ISNUMBER('Price History'!E155)),NOT(ISNUMBER('Price History'!E154)),'Price History'!E154=0),"",'Price History'!E155/'Price History'!E154-1),"")</f>
        <v>0.10964072686919146</v>
      </c>
      <c r="F154" s="82">
        <f>IFERROR(IF(OR(NOT(ISNUMBER('Price History'!F155)),NOT(ISNUMBER('Price History'!F154)),'Price History'!F154=0),"",'Price History'!F155/'Price History'!F154-1),"")</f>
        <v>-3.5055160325806689E-2</v>
      </c>
      <c r="G154" s="82">
        <f>IFERROR(IF(OR(NOT(ISNUMBER('Price History'!G155)),NOT(ISNUMBER('Price History'!G154)),'Price History'!G154=0),"",'Price History'!G155/'Price History'!G154-1),"")</f>
        <v>-1.7108894077690562E-2</v>
      </c>
      <c r="H154" s="82">
        <f>IFERROR(IF(OR(NOT(ISNUMBER('Price History'!H155)),NOT(ISNUMBER('Price History'!H154)),'Price History'!H154=0),"",'Price History'!H155/'Price History'!H154-1),"")</f>
        <v>3.8336955184714583E-3</v>
      </c>
      <c r="I154" s="82">
        <f>IFERROR(IF(OR(NOT(ISNUMBER('Price History'!I155)),NOT(ISNUMBER('Price History'!I154)),'Price History'!I154=0),"",'Price History'!I155/'Price History'!I154-1),"")</f>
        <v>8.2790124724118508E-2</v>
      </c>
      <c r="J154" s="82">
        <f>IFERROR(IF(OR(NOT(ISNUMBER('Price History'!J155)),NOT(ISNUMBER('Price History'!J154)),'Price History'!J154=0),"",'Price History'!J155/'Price History'!J154-1),"")</f>
        <v>1.0327763035214765E-2</v>
      </c>
      <c r="K154" s="82">
        <f>IFERROR(IF(OR(NOT(ISNUMBER('Price History'!K155)),NOT(ISNUMBER('Price History'!K154)),'Price History'!K154=0),"",'Price History'!K155/'Price History'!K154-1),"")</f>
        <v>-1.9412219644238227E-2</v>
      </c>
      <c r="L154" s="82">
        <f>IFERROR(IF(OR(NOT(ISNUMBER('Price History'!L155)),NOT(ISNUMBER('Price History'!L154)),'Price History'!L154=0),"",'Price History'!L155/'Price History'!L154-1),"")</f>
        <v>-1.1516491615992663E-4</v>
      </c>
      <c r="M154" s="82">
        <f>IFERROR(IF(OR(NOT(ISNUMBER('Price History'!M155)),NOT(ISNUMBER('Price History'!M154)),'Price History'!M154=0),"",'Price History'!M155/'Price History'!M154-1),"")</f>
        <v>6.0992247030246638E-2</v>
      </c>
      <c r="N154" s="82">
        <f>IFERROR(IF(OR(NOT(ISNUMBER('Price History'!N155)),NOT(ISNUMBER('Price History'!N154)),'Price History'!N154=0),"",'Price History'!N155/'Price History'!N154-1),"")</f>
        <v>-8.0770396182107351E-2</v>
      </c>
      <c r="O154" s="82">
        <f>IFERROR(IF(OR(NOT(ISNUMBER('Price History'!O155)),NOT(ISNUMBER('Price History'!O154)),'Price History'!O154=0),"",'Price History'!O155/'Price History'!O154-1),"")</f>
        <v>3.5624645777669883E-3</v>
      </c>
      <c r="P154" s="82" t="str">
        <f>IFERROR(IF(OR(NOT(ISNUMBER('Price History'!P155)),NOT(ISNUMBER('Price History'!P154)),'Price History'!P154=0),"",'Price History'!P155/'Price History'!P154-1),"")</f>
        <v/>
      </c>
      <c r="Q154" s="82" t="str">
        <f>IFERROR(IF(OR(NOT(ISNUMBER('Price History'!Q155)),NOT(ISNUMBER('Price History'!Q154)),'Price History'!Q154=0),"",'Price History'!Q155/'Price History'!Q154-1),"")</f>
        <v/>
      </c>
      <c r="R154" s="82">
        <f>IFERROR(IF(OR(NOT(ISNUMBER('Price History'!R155)),NOT(ISNUMBER('Price History'!R154)),'Price History'!R154=0),"",'Price History'!R155/'Price History'!R154-1),"")</f>
        <v>1.8858393668967688E-2</v>
      </c>
      <c r="S154" s="82">
        <f>IFERROR(IF(OR(NOT(ISNUMBER('Price History'!S155)),NOT(ISNUMBER('Price History'!S154)),'Price History'!S154=0),"",'Price History'!S155/'Price History'!S154-1),"")</f>
        <v>1.9359543857322636E-2</v>
      </c>
      <c r="T154" s="82">
        <f>IFERROR(IF(OR(NOT(ISNUMBER('Price History'!T155)),NOT(ISNUMBER('Price History'!T154)),'Price History'!T154=0),"",'Price History'!T155/'Price History'!T154-1),"")</f>
        <v>8.2978723404254495E-3</v>
      </c>
      <c r="U154" s="82" t="str">
        <f>IFERROR(IF(OR(NOT(ISNUMBER('Price History'!U155)),NOT(ISNUMBER('Price History'!U154)),'Price History'!U154=0),"",'Price History'!U155/'Price History'!U154-1),"")</f>
        <v/>
      </c>
      <c r="V154" s="83" t="str">
        <f>IFERROR(IF(OR(NOT(ISNUMBER('Price History'!V155)),NOT(ISNUMBER('Price History'!V154)),'Price History'!V154=0),"",'Price History'!V155/'Price History'!V154-1),"")</f>
        <v/>
      </c>
      <c r="W154" s="84" t="str">
        <f>IFERROR('Price History'!B3+(INDEX('Price History'!B:B,MATCH(9.99E+307,'Price History'!$A:$A))-'Price History'!B3)*(ROW()-3)/(MATCH(9.99E+307,'Returns (Calc)'!$A:$A)-3),"")</f>
        <v/>
      </c>
      <c r="X154" s="84">
        <f>IFERROR('Price History'!C3+(INDEX('Price History'!C:C,MATCH(9.99E+307,'Price History'!$A:$A))-'Price History'!C3)*(ROW()-3)/(MATCH(9.99E+307,'Returns (Calc)'!$A:$A)-3),"")</f>
        <v>2.2007547169811303</v>
      </c>
      <c r="Y154" s="84">
        <f>IFERROR('Price History'!D3+(INDEX('Price History'!D:D,MATCH(9.99E+307,'Price History'!$A:$A))-'Price History'!D3)*(ROW()-3)/(MATCH(9.99E+307,'Returns (Calc)'!$A:$A)-3),"")</f>
        <v>33.297106918239024</v>
      </c>
      <c r="Z154" s="84">
        <f>IFERROR('Price History'!E3+(INDEX('Price History'!E:E,MATCH(9.99E+307,'Price History'!$A:$A))-'Price History'!E3)*(ROW()-3)/(MATCH(9.99E+307,'Returns (Calc)'!$A:$A)-3),"")</f>
        <v>4.1750943396226319</v>
      </c>
      <c r="AA154" s="84">
        <f>IFERROR('Price History'!F3+(INDEX('Price History'!F:F,MATCH(9.99E+307,'Price History'!$A:$A))-'Price History'!F3)*(ROW()-3)/(MATCH(9.99E+307,'Returns (Calc)'!$A:$A)-3),"")</f>
        <v>1.8646540880503153</v>
      </c>
      <c r="AB154" s="84">
        <f>IFERROR('Price History'!G3+(INDEX('Price History'!G:G,MATCH(9.99E+307,'Price History'!$A:$A))-'Price History'!G3)*(ROW()-3)/(MATCH(9.99E+307,'Returns (Calc)'!$A:$A)-3),"")</f>
        <v>2.4100628930817649</v>
      </c>
      <c r="AC154" s="84">
        <f>IFERROR('Price History'!H3+(INDEX('Price History'!H:H,MATCH(9.99E+307,'Price History'!$A:$A))-'Price History'!H3)*(ROW()-3)/(MATCH(9.99E+307,'Returns (Calc)'!$A:$A)-3),"")</f>
        <v>3.2387421383647776</v>
      </c>
      <c r="AD154" s="84">
        <f>IFERROR('Price History'!I3+(INDEX('Price History'!I:I,MATCH(9.99E+307,'Price History'!$A:$A))-'Price History'!I3)*(ROW()-3)/(MATCH(9.99E+307,'Returns (Calc)'!$A:$A)-3),"")</f>
        <v>2.0553459119496864</v>
      </c>
      <c r="AE154" s="84">
        <f>IFERROR('Price History'!J3+(INDEX('Price History'!J:J,MATCH(9.99E+307,'Price History'!$A:$A))-'Price History'!J3)*(ROW()-3)/(MATCH(9.99E+307,'Returns (Calc)'!$A:$A)-3),"")</f>
        <v>6.2143396226415035</v>
      </c>
      <c r="AF154" s="84">
        <f>IFERROR('Price History'!K3+(INDEX('Price History'!K:K,MATCH(9.99E+307,'Price History'!$A:$A))-'Price History'!K3)*(ROW()-3)/(MATCH(9.99E+307,'Returns (Calc)'!$A:$A)-3),"")</f>
        <v>0.77534591194968705</v>
      </c>
      <c r="AG154" s="84">
        <f>IFERROR('Price History'!L3+(INDEX('Price History'!L:L,MATCH(9.99E+307,'Price History'!$A:$A))-'Price History'!L3)*(ROW()-3)/(MATCH(9.99E+307,'Returns (Calc)'!$A:$A)-3),"")</f>
        <v>4.628427672955965</v>
      </c>
      <c r="AH154" s="84">
        <f>IFERROR('Price History'!M3+(INDEX('Price History'!M:M,MATCH(9.99E+307,'Price History'!$A:$A))-'Price History'!M3)*(ROW()-3)/(MATCH(9.99E+307,'Returns (Calc)'!$A:$A)-3),"")</f>
        <v>1.6860377358490588</v>
      </c>
      <c r="AI154" s="84">
        <f>IFERROR('Price History'!N3+(INDEX('Price History'!N:N,MATCH(9.99E+307,'Price History'!$A:$A))-'Price History'!N3)*(ROW()-3)/(MATCH(9.99E+307,'Returns (Calc)'!$A:$A)-3),"")</f>
        <v>17.603018867924561</v>
      </c>
      <c r="AJ154" s="84">
        <f>IFERROR('Price History'!O3+(INDEX('Price History'!O:O,MATCH(9.99E+307,'Price History'!$A:$A))-'Price History'!O3)*(ROW()-3)/(MATCH(9.99E+307,'Returns (Calc)'!$A:$A)-3),"")</f>
        <v>4.1685534591194937</v>
      </c>
      <c r="AK154" s="84">
        <f>IFERROR('Price History'!Q3+(INDEX('Price History'!Q:Q,MATCH(9.99E+307,'Price History'!$A:$A))-'Price History'!Q3)*(ROW()-3)/(MATCH(9.99E+307,'Returns (Calc)'!$A:$A)-3),"")</f>
        <v>2.5076729559748472</v>
      </c>
      <c r="AL154" s="84">
        <f>IFERROR('Price History'!R3+(INDEX('Price History'!R:R,MATCH(9.99E+307,'Price History'!$A:$A))-'Price History'!R3)*(ROW()-3)/(MATCH(9.99E+307,'Returns (Calc)'!$A:$A)-3),"")</f>
        <v>2.4060377358490612</v>
      </c>
      <c r="AM154" s="84">
        <f>IFERROR('Price History'!S3+(INDEX('Price History'!S:S,MATCH(9.99E+307,'Price History'!$A:$A))-'Price History'!S3)*(ROW()-3)/(MATCH(9.99E+307,'Returns (Calc)'!$A:$A)-3),"")</f>
        <v>2.9454088050314482</v>
      </c>
      <c r="AN154" s="84">
        <f>IFERROR('Price History'!T3+(INDEX('Price History'!T:T,MATCH(9.99E+307,'Price History'!$A:$A))-'Price History'!T3)*(ROW()-3)/(MATCH(9.99E+307,'Returns (Calc)'!$A:$A)-3),"")</f>
        <v>1.3539622641509439</v>
      </c>
      <c r="AO154" s="85">
        <f>IFERROR('Price History'!V3+(INDEX('Price History'!V:V,MATCH(9.99E+307,'Price History'!$A:$A))-'Price History'!V3)*(ROW()-3)/(MATCH(9.99E+307,'Returns (Calc)'!$A:$A)-3),"")</f>
        <v>0</v>
      </c>
    </row>
    <row r="155" spans="1:41" ht="15" customHeight="1" x14ac:dyDescent="0.3">
      <c r="A155" s="81">
        <f>IF('Price History'!A156="","",'Price History'!A156)</f>
        <v>46220</v>
      </c>
      <c r="B155" s="82">
        <f>IFERROR(IF(OR(NOT(ISNUMBER('Price History'!B156)),NOT(ISNUMBER('Price History'!B155)),'Price History'!B155=0),"",'Price History'!B156/'Price History'!B155-1),"")</f>
        <v>6.0856734036844884E-2</v>
      </c>
      <c r="C155" s="82">
        <f>IFERROR(IF(OR(NOT(ISNUMBER('Price History'!C156)),NOT(ISNUMBER('Price History'!C155)),'Price History'!C155=0),"",'Price History'!C156/'Price History'!C155-1),"")</f>
        <v>-9.8149336756525374E-2</v>
      </c>
      <c r="D155" s="82">
        <f>IFERROR(IF(OR(NOT(ISNUMBER('Price History'!D156)),NOT(ISNUMBER('Price History'!D155)),'Price History'!D155=0),"",'Price History'!D156/'Price History'!D155-1),"")</f>
        <v>-2.7674537644937991E-2</v>
      </c>
      <c r="E155" s="82">
        <f>IFERROR(IF(OR(NOT(ISNUMBER('Price History'!E156)),NOT(ISNUMBER('Price History'!E155)),'Price History'!E155=0),"",'Price History'!E156/'Price History'!E155-1),"")</f>
        <v>-7.2855464159812144E-2</v>
      </c>
      <c r="F155" s="82">
        <f>IFERROR(IF(OR(NOT(ISNUMBER('Price History'!F156)),NOT(ISNUMBER('Price History'!F155)),'Price History'!F155=0),"",'Price History'!F156/'Price History'!F155-1),"")</f>
        <v>8.4944972753499437E-2</v>
      </c>
      <c r="G155" s="82">
        <f>IFERROR(IF(OR(NOT(ISNUMBER('Price History'!G156)),NOT(ISNUMBER('Price History'!G155)),'Price History'!G155=0),"",'Price History'!G156/'Price History'!G155-1),"")</f>
        <v>-8.1072909467864607E-2</v>
      </c>
      <c r="H155" s="82">
        <f>IFERROR(IF(OR(NOT(ISNUMBER('Price History'!H156)),NOT(ISNUMBER('Price History'!H155)),'Price History'!H155=0),"",'Price History'!H156/'Price History'!H155-1),"")</f>
        <v>-0.13310527928111904</v>
      </c>
      <c r="I155" s="82">
        <f>IFERROR(IF(OR(NOT(ISNUMBER('Price History'!I156)),NOT(ISNUMBER('Price History'!I155)),'Price History'!I155=0),"",'Price History'!I156/'Price History'!I155-1),"")</f>
        <v>-3.8632916192643196E-2</v>
      </c>
      <c r="J155" s="82">
        <f>IFERROR(IF(OR(NOT(ISNUMBER('Price History'!J156)),NOT(ISNUMBER('Price History'!J155)),'Price History'!J155=0),"",'Price History'!J156/'Price History'!J155-1),"")</f>
        <v>6.3320792219776934E-2</v>
      </c>
      <c r="K155" s="82">
        <f>IFERROR(IF(OR(NOT(ISNUMBER('Price History'!K156)),NOT(ISNUMBER('Price History'!K155)),'Price History'!K155=0),"",'Price History'!K156/'Price History'!K155-1),"")</f>
        <v>4.4088650524489292E-2</v>
      </c>
      <c r="L155" s="82">
        <f>IFERROR(IF(OR(NOT(ISNUMBER('Price History'!L156)),NOT(ISNUMBER('Price History'!L155)),'Price History'!L155=0),"",'Price History'!L156/'Price History'!L155-1),"")</f>
        <v>-8.2329363525373789E-2</v>
      </c>
      <c r="M155" s="82">
        <f>IFERROR(IF(OR(NOT(ISNUMBER('Price History'!M156)),NOT(ISNUMBER('Price History'!M155)),'Price History'!M155=0),"",'Price History'!M156/'Price History'!M155-1),"")</f>
        <v>-9.188985761776336E-2</v>
      </c>
      <c r="N155" s="82">
        <f>IFERROR(IF(OR(NOT(ISNUMBER('Price History'!N156)),NOT(ISNUMBER('Price History'!N155)),'Price History'!N155=0),"",'Price History'!N156/'Price History'!N155-1),"")</f>
        <v>5.3565174395853177E-4</v>
      </c>
      <c r="O155" s="82">
        <f>IFERROR(IF(OR(NOT(ISNUMBER('Price History'!O156)),NOT(ISNUMBER('Price History'!O155)),'Price History'!O155=0),"",'Price History'!O156/'Price History'!O155-1),"")</f>
        <v>1.1294876966518652E-2</v>
      </c>
      <c r="P155" s="82" t="str">
        <f>IFERROR(IF(OR(NOT(ISNUMBER('Price History'!P156)),NOT(ISNUMBER('Price History'!P155)),'Price History'!P155=0),"",'Price History'!P156/'Price History'!P155-1),"")</f>
        <v/>
      </c>
      <c r="Q155" s="82">
        <f>IFERROR(IF(OR(NOT(ISNUMBER('Price History'!Q156)),NOT(ISNUMBER('Price History'!Q155)),'Price History'!Q155=0),"",'Price History'!Q156/'Price History'!Q155-1),"")</f>
        <v>-9.2199619493633644E-3</v>
      </c>
      <c r="R155" s="82">
        <f>IFERROR(IF(OR(NOT(ISNUMBER('Price History'!R156)),NOT(ISNUMBER('Price History'!R155)),'Price History'!R155=0),"",'Price History'!R156/'Price History'!R155-1),"")</f>
        <v>-3.3052388035035518E-2</v>
      </c>
      <c r="S155" s="82">
        <f>IFERROR(IF(OR(NOT(ISNUMBER('Price History'!S156)),NOT(ISNUMBER('Price History'!S155)),'Price History'!S155=0),"",'Price History'!S156/'Price History'!S155-1),"")</f>
        <v>-6.4130081300813102E-2</v>
      </c>
      <c r="T155" s="82">
        <f>IFERROR(IF(OR(NOT(ISNUMBER('Price History'!T156)),NOT(ISNUMBER('Price History'!T155)),'Price History'!T155=0),"",'Price History'!T156/'Price History'!T155-1),"")</f>
        <v>8.6516142646126948E-3</v>
      </c>
      <c r="U155" s="82" t="str">
        <f>IFERROR(IF(OR(NOT(ISNUMBER('Price History'!U156)),NOT(ISNUMBER('Price History'!U155)),'Price History'!U155=0),"",'Price History'!U156/'Price History'!U155-1),"")</f>
        <v/>
      </c>
      <c r="V155" s="83">
        <f>IFERROR(IF(OR(NOT(ISNUMBER('Price History'!V156)),NOT(ISNUMBER('Price History'!V155)),'Price History'!V155=0),"",'Price History'!V156/'Price History'!V155-1),"")</f>
        <v>2.7503445107946778E-2</v>
      </c>
      <c r="W155" s="84" t="str">
        <f>IFERROR('Price History'!B3+(INDEX('Price History'!B:B,MATCH(9.99E+307,'Price History'!$A:$A))-'Price History'!B3)*(ROW()-3)/(MATCH(9.99E+307,'Returns (Calc)'!$A:$A)-3),"")</f>
        <v/>
      </c>
      <c r="X155" s="84">
        <f>IFERROR('Price History'!C3+(INDEX('Price History'!C:C,MATCH(9.99E+307,'Price History'!$A:$A))-'Price History'!C3)*(ROW()-3)/(MATCH(9.99E+307,'Returns (Calc)'!$A:$A)-3),"")</f>
        <v>1.9256603773584899</v>
      </c>
      <c r="Y155" s="84">
        <f>IFERROR('Price History'!D3+(INDEX('Price History'!D:D,MATCH(9.99E+307,'Price History'!$A:$A))-'Price History'!D3)*(ROW()-3)/(MATCH(9.99E+307,'Returns (Calc)'!$A:$A)-3),"")</f>
        <v>29.134968553459089</v>
      </c>
      <c r="Z155" s="84">
        <f>IFERROR('Price History'!E3+(INDEX('Price History'!E:E,MATCH(9.99E+307,'Price History'!$A:$A))-'Price History'!E3)*(ROW()-3)/(MATCH(9.99E+307,'Returns (Calc)'!$A:$A)-3),"")</f>
        <v>3.6532075471698136</v>
      </c>
      <c r="AA155" s="84">
        <f>IFERROR('Price History'!F3+(INDEX('Price History'!F:F,MATCH(9.99E+307,'Price History'!$A:$A))-'Price History'!F3)*(ROW()-3)/(MATCH(9.99E+307,'Returns (Calc)'!$A:$A)-3),"")</f>
        <v>1.6315723270440259</v>
      </c>
      <c r="AB155" s="84">
        <f>IFERROR('Price History'!G3+(INDEX('Price History'!G:G,MATCH(9.99E+307,'Price History'!$A:$A))-'Price History'!G3)*(ROW()-3)/(MATCH(9.99E+307,'Returns (Calc)'!$A:$A)-3),"")</f>
        <v>2.1088050314465363</v>
      </c>
      <c r="AC155" s="84">
        <f>IFERROR('Price History'!H3+(INDEX('Price History'!H:H,MATCH(9.99E+307,'Price History'!$A:$A))-'Price History'!H3)*(ROW()-3)/(MATCH(9.99E+307,'Returns (Calc)'!$A:$A)-3),"")</f>
        <v>2.8338993710691796</v>
      </c>
      <c r="AD155" s="84">
        <f>IFERROR('Price History'!I3+(INDEX('Price History'!I:I,MATCH(9.99E+307,'Price History'!$A:$A))-'Price History'!I3)*(ROW()-3)/(MATCH(9.99E+307,'Returns (Calc)'!$A:$A)-3),"")</f>
        <v>1.7984276729559809</v>
      </c>
      <c r="AE155" s="84">
        <f>IFERROR('Price History'!J3+(INDEX('Price History'!J:J,MATCH(9.99E+307,'Price History'!$A:$A))-'Price History'!J3)*(ROW()-3)/(MATCH(9.99E+307,'Returns (Calc)'!$A:$A)-3),"")</f>
        <v>5.4375471698113245</v>
      </c>
      <c r="AF155" s="84">
        <f>IFERROR('Price History'!K3+(INDEX('Price History'!K:K,MATCH(9.99E+307,'Price History'!$A:$A))-'Price History'!K3)*(ROW()-3)/(MATCH(9.99E+307,'Returns (Calc)'!$A:$A)-3),"")</f>
        <v>0.67842767295597461</v>
      </c>
      <c r="AG155" s="84">
        <f>IFERROR('Price History'!L3+(INDEX('Price History'!L:L,MATCH(9.99E+307,'Price History'!$A:$A))-'Price History'!L3)*(ROW()-3)/(MATCH(9.99E+307,'Returns (Calc)'!$A:$A)-3),"")</f>
        <v>4.0498742138364747</v>
      </c>
      <c r="AH155" s="84">
        <f>IFERROR('Price History'!M3+(INDEX('Price History'!M:M,MATCH(9.99E+307,'Price History'!$A:$A))-'Price History'!M3)*(ROW()-3)/(MATCH(9.99E+307,'Returns (Calc)'!$A:$A)-3),"")</f>
        <v>1.4752830188679269</v>
      </c>
      <c r="AI155" s="84">
        <f>IFERROR('Price History'!N3+(INDEX('Price History'!N:N,MATCH(9.99E+307,'Price History'!$A:$A))-'Price History'!N3)*(ROW()-3)/(MATCH(9.99E+307,'Returns (Calc)'!$A:$A)-3),"")</f>
        <v>15.402641509433977</v>
      </c>
      <c r="AJ155" s="84">
        <f>IFERROR('Price History'!O3+(INDEX('Price History'!O:O,MATCH(9.99E+307,'Price History'!$A:$A))-'Price History'!O3)*(ROW()-3)/(MATCH(9.99E+307,'Returns (Calc)'!$A:$A)-3),"")</f>
        <v>3.647484276729557</v>
      </c>
      <c r="AK155" s="84">
        <f>IFERROR('Price History'!Q3+(INDEX('Price History'!Q:Q,MATCH(9.99E+307,'Price History'!$A:$A))-'Price History'!Q3)*(ROW()-3)/(MATCH(9.99E+307,'Returns (Calc)'!$A:$A)-3),"")</f>
        <v>2.1942138364779922</v>
      </c>
      <c r="AL155" s="84">
        <f>IFERROR('Price History'!R3+(INDEX('Price History'!R:R,MATCH(9.99E+307,'Price History'!$A:$A))-'Price History'!R3)*(ROW()-3)/(MATCH(9.99E+307,'Returns (Calc)'!$A:$A)-3),"")</f>
        <v>2.1052830188679224</v>
      </c>
      <c r="AM155" s="84">
        <f>IFERROR('Price History'!S3+(INDEX('Price History'!S:S,MATCH(9.99E+307,'Price History'!$A:$A))-'Price History'!S3)*(ROW()-3)/(MATCH(9.99E+307,'Returns (Calc)'!$A:$A)-3),"")</f>
        <v>2.5772327044025118</v>
      </c>
      <c r="AN155" s="84">
        <f>IFERROR('Price History'!T3+(INDEX('Price History'!T:T,MATCH(9.99E+307,'Price History'!$A:$A))-'Price History'!T3)*(ROW()-3)/(MATCH(9.99E+307,'Returns (Calc)'!$A:$A)-3),"")</f>
        <v>1.1847169811320732</v>
      </c>
      <c r="AO155" s="85">
        <f>IFERROR('Price History'!V3+(INDEX('Price History'!V:V,MATCH(9.99E+307,'Price History'!$A:$A))-'Price History'!V3)*(ROW()-3)/(MATCH(9.99E+307,'Returns (Calc)'!$A:$A)-3),"")</f>
        <v>0</v>
      </c>
    </row>
    <row r="156" spans="1:41" ht="15" customHeight="1" x14ac:dyDescent="0.3">
      <c r="A156" s="81">
        <f>IF('Price History'!A157="","",'Price History'!A157)</f>
        <v>46227</v>
      </c>
      <c r="B156" s="82">
        <f>IFERROR(IF(OR(NOT(ISNUMBER('Price History'!B157)),NOT(ISNUMBER('Price History'!B156)),'Price History'!B156=0),"",'Price History'!B157/'Price History'!B156-1),"")</f>
        <v>-5.1169652265542598E-2</v>
      </c>
      <c r="C156" s="82">
        <f>IFERROR(IF(OR(NOT(ISNUMBER('Price History'!C157)),NOT(ISNUMBER('Price History'!C156)),'Price History'!C156=0),"",'Price History'!C157/'Price History'!C156-1),"")</f>
        <v>3.1907953264930899E-2</v>
      </c>
      <c r="D156" s="82">
        <f>IFERROR(IF(OR(NOT(ISNUMBER('Price History'!D157)),NOT(ISNUMBER('Price History'!D156)),'Price History'!D156=0),"",'Price History'!D157/'Price History'!D156-1),"")</f>
        <v>5.4418109614438048E-3</v>
      </c>
      <c r="E156" s="82">
        <f>IFERROR(IF(OR(NOT(ISNUMBER('Price History'!E157)),NOT(ISNUMBER('Price History'!E156)),'Price History'!E156=0),"",'Price History'!E157/'Price History'!E156-1),"")</f>
        <v>2.9905886794488135E-2</v>
      </c>
      <c r="F156" s="82">
        <f>IFERROR(IF(OR(NOT(ISNUMBER('Price History'!F157)),NOT(ISNUMBER('Price History'!F156)),'Price History'!F156=0),"",'Price History'!F157/'Price History'!F156-1),"")</f>
        <v>-9.7498522749655314E-2</v>
      </c>
      <c r="G156" s="82">
        <f>IFERROR(IF(OR(NOT(ISNUMBER('Price History'!G157)),NOT(ISNUMBER('Price History'!G156)),'Price History'!G156=0),"",'Price History'!G157/'Price History'!G156-1),"")</f>
        <v>-1.0481786133960003E-2</v>
      </c>
      <c r="H156" s="82">
        <f>IFERROR(IF(OR(NOT(ISNUMBER('Price History'!H157)),NOT(ISNUMBER('Price History'!H156)),'Price History'!H156=0),"",'Price History'!H157/'Price History'!H156-1),"")</f>
        <v>8.4810648448082837E-2</v>
      </c>
      <c r="I156" s="82">
        <f>IFERROR(IF(OR(NOT(ISNUMBER('Price History'!I157)),NOT(ISNUMBER('Price History'!I156)),'Price History'!I156=0),"",'Price History'!I157/'Price History'!I156-1),"")</f>
        <v>1.9870815048567581E-2</v>
      </c>
      <c r="J156" s="82">
        <f>IFERROR(IF(OR(NOT(ISNUMBER('Price History'!J157)),NOT(ISNUMBER('Price History'!J156)),'Price History'!J156=0),"",'Price History'!J157/'Price History'!J156-1),"")</f>
        <v>-1.4420188263568945E-2</v>
      </c>
      <c r="K156" s="82">
        <f>IFERROR(IF(OR(NOT(ISNUMBER('Price History'!K157)),NOT(ISNUMBER('Price History'!K156)),'Price History'!K156=0),"",'Price History'!K157/'Price History'!K156-1),"")</f>
        <v>-7.1460945762199635E-2</v>
      </c>
      <c r="L156" s="82">
        <f>IFERROR(IF(OR(NOT(ISNUMBER('Price History'!L157)),NOT(ISNUMBER('Price History'!L156)),'Price History'!L156=0),"",'Price History'!L157/'Price History'!L156-1),"")</f>
        <v>1.265155508697946E-2</v>
      </c>
      <c r="M156" s="82">
        <f>IFERROR(IF(OR(NOT(ISNUMBER('Price History'!M157)),NOT(ISNUMBER('Price History'!M156)),'Price History'!M156=0),"",'Price History'!M157/'Price History'!M156-1),"")</f>
        <v>2.7628125431689021E-3</v>
      </c>
      <c r="N156" s="82">
        <f>IFERROR(IF(OR(NOT(ISNUMBER('Price History'!N157)),NOT(ISNUMBER('Price History'!N156)),'Price History'!N156=0),"",'Price History'!N157/'Price History'!N156-1),"")</f>
        <v>-1.7069906311129368E-2</v>
      </c>
      <c r="O156" s="82">
        <f>IFERROR(IF(OR(NOT(ISNUMBER('Price History'!O157)),NOT(ISNUMBER('Price History'!O156)),'Price History'!O156=0),"",'Price History'!O157/'Price History'!O156-1),"")</f>
        <v>-5.5843637814112501E-4</v>
      </c>
      <c r="P156" s="82" t="str">
        <f>IFERROR(IF(OR(NOT(ISNUMBER('Price History'!P157)),NOT(ISNUMBER('Price History'!P156)),'Price History'!P156=0),"",'Price History'!P157/'Price History'!P156-1),"")</f>
        <v/>
      </c>
      <c r="Q156" s="82">
        <f>IFERROR(IF(OR(NOT(ISNUMBER('Price History'!Q157)),NOT(ISNUMBER('Price History'!Q156)),'Price History'!Q156=0),"",'Price History'!Q157/'Price History'!Q156-1),"")</f>
        <v>-1.7725258493354046E-3</v>
      </c>
      <c r="R156" s="82">
        <f>IFERROR(IF(OR(NOT(ISNUMBER('Price History'!R157)),NOT(ISNUMBER('Price History'!R156)),'Price History'!R156=0),"",'Price History'!R157/'Price History'!R156-1),"")</f>
        <v>-9.4001025465731969E-3</v>
      </c>
      <c r="S156" s="82">
        <f>IFERROR(IF(OR(NOT(ISNUMBER('Price History'!S157)),NOT(ISNUMBER('Price History'!S156)),'Price History'!S156=0),"",'Price History'!S157/'Price History'!S156-1),"")</f>
        <v>1.8208353603447192E-2</v>
      </c>
      <c r="T156" s="82">
        <f>IFERROR(IF(OR(NOT(ISNUMBER('Price History'!T157)),NOT(ISNUMBER('Price History'!T156)),'Price History'!T156=0),"",'Price History'!T157/'Price History'!T156-1),"")</f>
        <v>7.1129707112971285E-3</v>
      </c>
      <c r="U156" s="82" t="str">
        <f>IFERROR(IF(OR(NOT(ISNUMBER('Price History'!U157)),NOT(ISNUMBER('Price History'!U156)),'Price History'!U156=0),"",'Price History'!U157/'Price History'!U156-1),"")</f>
        <v/>
      </c>
      <c r="V156" s="83">
        <f>IFERROR(IF(OR(NOT(ISNUMBER('Price History'!V157)),NOT(ISNUMBER('Price History'!V156)),'Price History'!V156=0),"",'Price History'!V157/'Price History'!V156-1),"")</f>
        <v>-7.8792958927074164E-3</v>
      </c>
      <c r="W156" s="84" t="str">
        <f>IFERROR('Price History'!B3+(INDEX('Price History'!B:B,MATCH(9.99E+307,'Price History'!$A:$A))-'Price History'!B3)*(ROW()-3)/(MATCH(9.99E+307,'Returns (Calc)'!$A:$A)-3),"")</f>
        <v/>
      </c>
      <c r="X156" s="84">
        <f>IFERROR('Price History'!C3+(INDEX('Price History'!C:C,MATCH(9.99E+307,'Price History'!$A:$A))-'Price History'!C3)*(ROW()-3)/(MATCH(9.99E+307,'Returns (Calc)'!$A:$A)-3),"")</f>
        <v>1.6505660377358495</v>
      </c>
      <c r="Y156" s="84">
        <f>IFERROR('Price History'!D3+(INDEX('Price History'!D:D,MATCH(9.99E+307,'Price History'!$A:$A))-'Price History'!D3)*(ROW()-3)/(MATCH(9.99E+307,'Returns (Calc)'!$A:$A)-3),"")</f>
        <v>24.972830188679268</v>
      </c>
      <c r="Z156" s="84">
        <f>IFERROR('Price History'!E3+(INDEX('Price History'!E:E,MATCH(9.99E+307,'Price History'!$A:$A))-'Price History'!E3)*(ROW()-3)/(MATCH(9.99E+307,'Returns (Calc)'!$A:$A)-3),"")</f>
        <v>3.131320754716981</v>
      </c>
      <c r="AA156" s="84">
        <f>IFERROR('Price History'!F3+(INDEX('Price History'!F:F,MATCH(9.99E+307,'Price History'!$A:$A))-'Price History'!F3)*(ROW()-3)/(MATCH(9.99E+307,'Returns (Calc)'!$A:$A)-3),"")</f>
        <v>1.3984905660377365</v>
      </c>
      <c r="AB156" s="84">
        <f>IFERROR('Price History'!G3+(INDEX('Price History'!G:G,MATCH(9.99E+307,'Price History'!$A:$A))-'Price History'!G3)*(ROW()-3)/(MATCH(9.99E+307,'Returns (Calc)'!$A:$A)-3),"")</f>
        <v>1.8075471698113219</v>
      </c>
      <c r="AC156" s="84">
        <f>IFERROR('Price History'!H3+(INDEX('Price History'!H:H,MATCH(9.99E+307,'Price History'!$A:$A))-'Price History'!H3)*(ROW()-3)/(MATCH(9.99E+307,'Returns (Calc)'!$A:$A)-3),"")</f>
        <v>2.4290566037735886</v>
      </c>
      <c r="AD156" s="84">
        <f>IFERROR('Price History'!I3+(INDEX('Price History'!I:I,MATCH(9.99E+307,'Price History'!$A:$A))-'Price History'!I3)*(ROW()-3)/(MATCH(9.99E+307,'Returns (Calc)'!$A:$A)-3),"")</f>
        <v>1.5415094339622613</v>
      </c>
      <c r="AE156" s="84">
        <f>IFERROR('Price History'!J3+(INDEX('Price History'!J:J,MATCH(9.99E+307,'Price History'!$A:$A))-'Price History'!J3)*(ROW()-3)/(MATCH(9.99E+307,'Returns (Calc)'!$A:$A)-3),"")</f>
        <v>4.660754716981117</v>
      </c>
      <c r="AF156" s="84">
        <f>IFERROR('Price History'!K3+(INDEX('Price History'!K:K,MATCH(9.99E+307,'Price History'!$A:$A))-'Price History'!K3)*(ROW()-3)/(MATCH(9.99E+307,'Returns (Calc)'!$A:$A)-3),"")</f>
        <v>0.58150943396226396</v>
      </c>
      <c r="AG156" s="84">
        <f>IFERROR('Price History'!L3+(INDEX('Price History'!L:L,MATCH(9.99E+307,'Price History'!$A:$A))-'Price History'!L3)*(ROW()-3)/(MATCH(9.99E+307,'Returns (Calc)'!$A:$A)-3),"")</f>
        <v>3.4713207547169844</v>
      </c>
      <c r="AH156" s="84">
        <f>IFERROR('Price History'!M3+(INDEX('Price History'!M:M,MATCH(9.99E+307,'Price History'!$A:$A))-'Price History'!M3)*(ROW()-3)/(MATCH(9.99E+307,'Returns (Calc)'!$A:$A)-3),"")</f>
        <v>1.2645283018867914</v>
      </c>
      <c r="AI156" s="84">
        <f>IFERROR('Price History'!N3+(INDEX('Price History'!N:N,MATCH(9.99E+307,'Price History'!$A:$A))-'Price History'!N3)*(ROW()-3)/(MATCH(9.99E+307,'Returns (Calc)'!$A:$A)-3),"")</f>
        <v>13.202264150943392</v>
      </c>
      <c r="AJ156" s="84">
        <f>IFERROR('Price History'!O3+(INDEX('Price History'!O:O,MATCH(9.99E+307,'Price History'!$A:$A))-'Price History'!O3)*(ROW()-3)/(MATCH(9.99E+307,'Returns (Calc)'!$A:$A)-3),"")</f>
        <v>3.1264150943396203</v>
      </c>
      <c r="AK156" s="84">
        <f>IFERROR('Price History'!Q3+(INDEX('Price History'!Q:Q,MATCH(9.99E+307,'Price History'!$A:$A))-'Price History'!Q3)*(ROW()-3)/(MATCH(9.99E+307,'Returns (Calc)'!$A:$A)-3),"")</f>
        <v>1.8807547169811301</v>
      </c>
      <c r="AL156" s="84">
        <f>IFERROR('Price History'!R3+(INDEX('Price History'!R:R,MATCH(9.99E+307,'Price History'!$A:$A))-'Price History'!R3)*(ROW()-3)/(MATCH(9.99E+307,'Returns (Calc)'!$A:$A)-3),"")</f>
        <v>1.8045283018867906</v>
      </c>
      <c r="AM156" s="84">
        <f>IFERROR('Price History'!S3+(INDEX('Price History'!S:S,MATCH(9.99E+307,'Price History'!$A:$A))-'Price History'!S3)*(ROW()-3)/(MATCH(9.99E+307,'Returns (Calc)'!$A:$A)-3),"")</f>
        <v>2.2090566037735897</v>
      </c>
      <c r="AN156" s="84">
        <f>IFERROR('Price History'!T3+(INDEX('Price History'!T:T,MATCH(9.99E+307,'Price History'!$A:$A))-'Price History'!T3)*(ROW()-3)/(MATCH(9.99E+307,'Returns (Calc)'!$A:$A)-3),"")</f>
        <v>1.0154716981132061</v>
      </c>
      <c r="AO156" s="85">
        <f>IFERROR('Price History'!V3+(INDEX('Price History'!V:V,MATCH(9.99E+307,'Price History'!$A:$A))-'Price History'!V3)*(ROW()-3)/(MATCH(9.99E+307,'Returns (Calc)'!$A:$A)-3),"")</f>
        <v>0</v>
      </c>
    </row>
    <row r="157" spans="1:41" ht="15" customHeight="1" x14ac:dyDescent="0.3">
      <c r="A157" s="81">
        <f>IF('Price History'!A158="","",'Price History'!A158)</f>
        <v>46234</v>
      </c>
      <c r="B157" s="82">
        <f>IFERROR(IF(OR(NOT(ISNUMBER('Price History'!B158)),NOT(ISNUMBER('Price History'!B157)),'Price History'!B157=0),"",'Price History'!B158/'Price History'!B157-1),"")</f>
        <v>0.11238949846741586</v>
      </c>
      <c r="C157" s="82">
        <f>IFERROR(IF(OR(NOT(ISNUMBER('Price History'!C158)),NOT(ISNUMBER('Price History'!C157)),'Price History'!C157=0),"",'Price History'!C158/'Price History'!C157-1),"")</f>
        <v>3.6553824932467283E-2</v>
      </c>
      <c r="D157" s="82">
        <f>IFERROR(IF(OR(NOT(ISNUMBER('Price History'!D158)),NOT(ISNUMBER('Price History'!D157)),'Price History'!D157=0),"",'Price History'!D158/'Price History'!D157-1),"")</f>
        <v>-7.2898940862448636E-2</v>
      </c>
      <c r="E157" s="82">
        <f>IFERROR(IF(OR(NOT(ISNUMBER('Price History'!E158)),NOT(ISNUMBER('Price History'!E157)),'Price History'!E157=0),"",'Price History'!E158/'Price History'!E157-1),"")</f>
        <v>1.9271051529115901E-2</v>
      </c>
      <c r="F157" s="82">
        <f>IFERROR(IF(OR(NOT(ISNUMBER('Price History'!F158)),NOT(ISNUMBER('Price History'!F157)),'Price History'!F157=0),"",'Price History'!F158/'Price History'!F157-1),"")</f>
        <v>4.1357485814055073E-2</v>
      </c>
      <c r="G157" s="82">
        <f>IFERROR(IF(OR(NOT(ISNUMBER('Price History'!G158)),NOT(ISNUMBER('Price History'!G157)),'Price History'!G157=0),"",'Price History'!G158/'Price History'!G157-1),"")</f>
        <v>-0.13157894736842113</v>
      </c>
      <c r="H157" s="82">
        <f>IFERROR(IF(OR(NOT(ISNUMBER('Price History'!H158)),NOT(ISNUMBER('Price History'!H157)),'Price History'!H157=0),"",'Price History'!H158/'Price History'!H157-1),"")</f>
        <v>-0.1063249904989414</v>
      </c>
      <c r="I157" s="82">
        <f>IFERROR(IF(OR(NOT(ISNUMBER('Price History'!I158)),NOT(ISNUMBER('Price History'!I157)),'Price History'!I157=0),"",'Price History'!I158/'Price History'!I157-1),"")</f>
        <v>-2.9443047766389507E-2</v>
      </c>
      <c r="J157" s="82">
        <f>IFERROR(IF(OR(NOT(ISNUMBER('Price History'!J158)),NOT(ISNUMBER('Price History'!J157)),'Price History'!J157=0),"",'Price History'!J158/'Price History'!J157-1),"")</f>
        <v>-2.0456546772336104E-2</v>
      </c>
      <c r="K157" s="82">
        <f>IFERROR(IF(OR(NOT(ISNUMBER('Price History'!K158)),NOT(ISNUMBER('Price History'!K157)),'Price History'!K157=0),"",'Price History'!K158/'Price History'!K157-1),"")</f>
        <v>1.138952164009055E-3</v>
      </c>
      <c r="L157" s="82">
        <f>IFERROR(IF(OR(NOT(ISNUMBER('Price History'!L158)),NOT(ISNUMBER('Price History'!L157)),'Price History'!L157=0),"",'Price History'!L158/'Price History'!L157-1),"")</f>
        <v>2.0822488287348673E-3</v>
      </c>
      <c r="M157" s="82">
        <f>IFERROR(IF(OR(NOT(ISNUMBER('Price History'!M158)),NOT(ISNUMBER('Price History'!M157)),'Price History'!M157=0),"",'Price History'!M158/'Price History'!M157-1),"")</f>
        <v>-0.16803278688524592</v>
      </c>
      <c r="N157" s="82">
        <f>IFERROR(IF(OR(NOT(ISNUMBER('Price History'!N158)),NOT(ISNUMBER('Price History'!N157)),'Price History'!N157=0),"",'Price History'!N158/'Price History'!N157-1),"")</f>
        <v>-5.4466230936822679E-4</v>
      </c>
      <c r="O157" s="82">
        <f>IFERROR(IF(OR(NOT(ISNUMBER('Price History'!O158)),NOT(ISNUMBER('Price History'!O157)),'Price History'!O157=0),"",'Price History'!O158/'Price History'!O157-1),"")</f>
        <v>0</v>
      </c>
      <c r="P157" s="82" t="str">
        <f>IFERROR(IF(OR(NOT(ISNUMBER('Price History'!P158)),NOT(ISNUMBER('Price History'!P157)),'Price History'!P157=0),"",'Price History'!P158/'Price History'!P157-1),"")</f>
        <v/>
      </c>
      <c r="Q157" s="82">
        <f>IFERROR(IF(OR(NOT(ISNUMBER('Price History'!Q158)),NOT(ISNUMBER('Price History'!Q157)),'Price History'!Q157=0),"",'Price History'!Q158/'Price History'!Q157-1),"")</f>
        <v>1.2873631251849815E-2</v>
      </c>
      <c r="R157" s="82">
        <f>IFERROR(IF(OR(NOT(ISNUMBER('Price History'!R158)),NOT(ISNUMBER('Price History'!R157)),'Price History'!R157=0),"",'Price History'!R158/'Price History'!R157-1),"")</f>
        <v>5.003450655624464E-3</v>
      </c>
      <c r="S157" s="82">
        <f>IFERROR(IF(OR(NOT(ISNUMBER('Price History'!S158)),NOT(ISNUMBER('Price History'!S157)),'Price History'!S157=0),"",'Price History'!S158/'Price History'!S157-1),"")</f>
        <v>-1.8292266739471597E-2</v>
      </c>
      <c r="T157" s="82">
        <f>IFERROR(IF(OR(NOT(ISNUMBER('Price History'!T158)),NOT(ISNUMBER('Price History'!T157)),'Price History'!T157=0),"",'Price History'!T158/'Price History'!T157-1),"")</f>
        <v>3.3236393851267199E-2</v>
      </c>
      <c r="U157" s="82" t="str">
        <f>IFERROR(IF(OR(NOT(ISNUMBER('Price History'!U158)),NOT(ISNUMBER('Price History'!U157)),'Price History'!U157=0),"",'Price History'!U158/'Price History'!U157-1),"")</f>
        <v/>
      </c>
      <c r="V157" s="83">
        <f>IFERROR(IF(OR(NOT(ISNUMBER('Price History'!V158)),NOT(ISNUMBER('Price History'!V157)),'Price History'!V157=0),"",'Price History'!V158/'Price History'!V157-1),"")</f>
        <v>2.9204686267883417E-2</v>
      </c>
      <c r="W157" s="84" t="str">
        <f>IFERROR('Price History'!B3+(INDEX('Price History'!B:B,MATCH(9.99E+307,'Price History'!$A:$A))-'Price History'!B3)*(ROW()-3)/(MATCH(9.99E+307,'Returns (Calc)'!$A:$A)-3),"")</f>
        <v/>
      </c>
      <c r="X157" s="84">
        <f>IFERROR('Price History'!C3+(INDEX('Price History'!C:C,MATCH(9.99E+307,'Price History'!$A:$A))-'Price History'!C3)*(ROW()-3)/(MATCH(9.99E+307,'Returns (Calc)'!$A:$A)-3),"")</f>
        <v>1.3754716981132091</v>
      </c>
      <c r="Y157" s="84">
        <f>IFERROR('Price History'!D3+(INDEX('Price History'!D:D,MATCH(9.99E+307,'Price History'!$A:$A))-'Price History'!D3)*(ROW()-3)/(MATCH(9.99E+307,'Returns (Calc)'!$A:$A)-3),"")</f>
        <v>20.810691823899333</v>
      </c>
      <c r="Z157" s="84">
        <f>IFERROR('Price History'!E3+(INDEX('Price History'!E:E,MATCH(9.99E+307,'Price History'!$A:$A))-'Price History'!E3)*(ROW()-3)/(MATCH(9.99E+307,'Returns (Calc)'!$A:$A)-3),"")</f>
        <v>2.6094339622641485</v>
      </c>
      <c r="AA157" s="84">
        <f>IFERROR('Price History'!F3+(INDEX('Price History'!F:F,MATCH(9.99E+307,'Price History'!$A:$A))-'Price History'!F3)*(ROW()-3)/(MATCH(9.99E+307,'Returns (Calc)'!$A:$A)-3),"")</f>
        <v>1.1654088050314471</v>
      </c>
      <c r="AB157" s="84">
        <f>IFERROR('Price History'!G3+(INDEX('Price History'!G:G,MATCH(9.99E+307,'Price History'!$A:$A))-'Price History'!G3)*(ROW()-3)/(MATCH(9.99E+307,'Returns (Calc)'!$A:$A)-3),"")</f>
        <v>1.5062893081761004</v>
      </c>
      <c r="AC157" s="84">
        <f>IFERROR('Price History'!H3+(INDEX('Price History'!H:H,MATCH(9.99E+307,'Price History'!$A:$A))-'Price History'!H3)*(ROW()-3)/(MATCH(9.99E+307,'Returns (Calc)'!$A:$A)-3),"")</f>
        <v>2.0242138364779834</v>
      </c>
      <c r="AD157" s="84">
        <f>IFERROR('Price History'!I3+(INDEX('Price History'!I:I,MATCH(9.99E+307,'Price History'!$A:$A))-'Price History'!I3)*(ROW()-3)/(MATCH(9.99E+307,'Returns (Calc)'!$A:$A)-3),"")</f>
        <v>1.2845911949685487</v>
      </c>
      <c r="AE157" s="84">
        <f>IFERROR('Price History'!J3+(INDEX('Price History'!J:J,MATCH(9.99E+307,'Price History'!$A:$A))-'Price History'!J3)*(ROW()-3)/(MATCH(9.99E+307,'Returns (Calc)'!$A:$A)-3),"")</f>
        <v>3.8839622641509379</v>
      </c>
      <c r="AF157" s="84">
        <f>IFERROR('Price History'!K3+(INDEX('Price History'!K:K,MATCH(9.99E+307,'Price History'!$A:$A))-'Price History'!K3)*(ROW()-3)/(MATCH(9.99E+307,'Returns (Calc)'!$A:$A)-3),"")</f>
        <v>0.48459119496855507</v>
      </c>
      <c r="AG157" s="84">
        <f>IFERROR('Price History'!L3+(INDEX('Price History'!L:L,MATCH(9.99E+307,'Price History'!$A:$A))-'Price History'!L3)*(ROW()-3)/(MATCH(9.99E+307,'Returns (Calc)'!$A:$A)-3),"")</f>
        <v>2.8927672955974799</v>
      </c>
      <c r="AH157" s="84">
        <f>IFERROR('Price History'!M3+(INDEX('Price History'!M:M,MATCH(9.99E+307,'Price History'!$A:$A))-'Price History'!M3)*(ROW()-3)/(MATCH(9.99E+307,'Returns (Calc)'!$A:$A)-3),"")</f>
        <v>1.053773584905656</v>
      </c>
      <c r="AI157" s="84">
        <f>IFERROR('Price History'!N3+(INDEX('Price History'!N:N,MATCH(9.99E+307,'Price History'!$A:$A))-'Price History'!N3)*(ROW()-3)/(MATCH(9.99E+307,'Returns (Calc)'!$A:$A)-3),"")</f>
        <v>11.001886792452808</v>
      </c>
      <c r="AJ157" s="84">
        <f>IFERROR('Price History'!O3+(INDEX('Price History'!O:O,MATCH(9.99E+307,'Price History'!$A:$A))-'Price History'!O3)*(ROW()-3)/(MATCH(9.99E+307,'Returns (Calc)'!$A:$A)-3),"")</f>
        <v>2.6053459119496836</v>
      </c>
      <c r="AK157" s="84">
        <f>IFERROR('Price History'!Q3+(INDEX('Price History'!Q:Q,MATCH(9.99E+307,'Price History'!$A:$A))-'Price History'!Q3)*(ROW()-3)/(MATCH(9.99E+307,'Returns (Calc)'!$A:$A)-3),"")</f>
        <v>1.567295597484275</v>
      </c>
      <c r="AL157" s="84">
        <f>IFERROR('Price History'!R3+(INDEX('Price History'!R:R,MATCH(9.99E+307,'Price History'!$A:$A))-'Price History'!R3)*(ROW()-3)/(MATCH(9.99E+307,'Returns (Calc)'!$A:$A)-3),"")</f>
        <v>1.5037735849056588</v>
      </c>
      <c r="AM157" s="84">
        <f>IFERROR('Price History'!S3+(INDEX('Price History'!S:S,MATCH(9.99E+307,'Price History'!$A:$A))-'Price History'!S3)*(ROW()-3)/(MATCH(9.99E+307,'Returns (Calc)'!$A:$A)-3),"")</f>
        <v>1.8408805031446533</v>
      </c>
      <c r="AN157" s="84">
        <f>IFERROR('Price History'!T3+(INDEX('Price History'!T:T,MATCH(9.99E+307,'Price History'!$A:$A))-'Price History'!T3)*(ROW()-3)/(MATCH(9.99E+307,'Returns (Calc)'!$A:$A)-3),"")</f>
        <v>0.84622641509433905</v>
      </c>
      <c r="AO157" s="85">
        <f>IFERROR('Price History'!V3+(INDEX('Price History'!V:V,MATCH(9.99E+307,'Price History'!$A:$A))-'Price History'!V3)*(ROW()-3)/(MATCH(9.99E+307,'Returns (Calc)'!$A:$A)-3),"")</f>
        <v>0</v>
      </c>
    </row>
    <row r="158" spans="1:41" ht="15" customHeight="1" x14ac:dyDescent="0.3">
      <c r="A158" s="81">
        <f>IF('Price History'!A159="","",'Price History'!A159)</f>
        <v>46241</v>
      </c>
      <c r="B158" s="82">
        <f>IFERROR(IF(OR(NOT(ISNUMBER('Price History'!B159)),NOT(ISNUMBER('Price History'!B158)),'Price History'!B158=0),"",'Price History'!B159/'Price History'!B158-1),"")</f>
        <v>5.9103070963619553E-2</v>
      </c>
      <c r="C158" s="82">
        <f>IFERROR(IF(OR(NOT(ISNUMBER('Price History'!C159)),NOT(ISNUMBER('Price History'!C158)),'Price History'!C158=0),"",'Price History'!C159/'Price History'!C158-1),"")</f>
        <v>4.6132520099805951E-2</v>
      </c>
      <c r="D158" s="82">
        <f>IFERROR(IF(OR(NOT(ISNUMBER('Price History'!D159)),NOT(ISNUMBER('Price History'!D158)),'Price History'!D158=0),"",'Price History'!D159/'Price History'!D158-1),"")</f>
        <v>6.8747697974217425E-2</v>
      </c>
      <c r="E158" s="82">
        <f>IFERROR(IF(OR(NOT(ISNUMBER('Price History'!E159)),NOT(ISNUMBER('Price History'!E158)),'Price History'!E158=0),"",'Price History'!E159/'Price History'!E158-1),"")</f>
        <v>9.8849157418824607E-2</v>
      </c>
      <c r="F158" s="82">
        <f>IFERROR(IF(OR(NOT(ISNUMBER('Price History'!F159)),NOT(ISNUMBER('Price History'!F158)),'Price History'!F158=0),"",'Price History'!F159/'Price History'!F158-1),"")</f>
        <v>0.12344126584931359</v>
      </c>
      <c r="G158" s="82">
        <f>IFERROR(IF(OR(NOT(ISNUMBER('Price History'!G159)),NOT(ISNUMBER('Price History'!G158)),'Price History'!G158=0),"",'Price History'!G159/'Price History'!G158-1),"")</f>
        <v>8.2430806257520972E-2</v>
      </c>
      <c r="H158" s="82">
        <f>IFERROR(IF(OR(NOT(ISNUMBER('Price History'!H159)),NOT(ISNUMBER('Price History'!H158)),'Price History'!H158=0),"",'Price History'!H159/'Price History'!H158-1),"")</f>
        <v>6.6267329258957952E-2</v>
      </c>
      <c r="I158" s="82">
        <f>IFERROR(IF(OR(NOT(ISNUMBER('Price History'!I159)),NOT(ISNUMBER('Price History'!I158)),'Price History'!I158=0),"",'Price History'!I159/'Price History'!I158-1),"")</f>
        <v>0.11561643835616442</v>
      </c>
      <c r="J158" s="82">
        <f>IFERROR(IF(OR(NOT(ISNUMBER('Price History'!J159)),NOT(ISNUMBER('Price History'!J158)),'Price History'!J158=0),"",'Price History'!J159/'Price History'!J158-1),"")</f>
        <v>-3.0772422377429054E-2</v>
      </c>
      <c r="K158" s="82">
        <f>IFERROR(IF(OR(NOT(ISNUMBER('Price History'!K159)),NOT(ISNUMBER('Price History'!K158)),'Price History'!K158=0),"",'Price History'!K159/'Price History'!K158-1),"")</f>
        <v>0.39777344384852897</v>
      </c>
      <c r="L158" s="82">
        <f>IFERROR(IF(OR(NOT(ISNUMBER('Price History'!L159)),NOT(ISNUMBER('Price History'!L158)),'Price History'!L158=0),"",'Price History'!L159/'Price History'!L158-1),"")</f>
        <v>3.905998763141616E-2</v>
      </c>
      <c r="M158" s="82">
        <f>IFERROR(IF(OR(NOT(ISNUMBER('Price History'!M159)),NOT(ISNUMBER('Price History'!M158)),'Price History'!M158=0),"",'Price History'!M159/'Price History'!M158-1),"")</f>
        <v>0.12762346317837481</v>
      </c>
      <c r="N158" s="82">
        <f>IFERROR(IF(OR(NOT(ISNUMBER('Price History'!N159)),NOT(ISNUMBER('Price History'!N158)),'Price History'!N158=0),"",'Price History'!N159/'Price History'!N158-1),"")</f>
        <v>3.9761056382309645E-2</v>
      </c>
      <c r="O158" s="82">
        <f>IFERROR(IF(OR(NOT(ISNUMBER('Price History'!O159)),NOT(ISNUMBER('Price History'!O158)),'Price History'!O158=0),"",'Price History'!O159/'Price History'!O158-1),"")</f>
        <v>1.2771392081736943E-2</v>
      </c>
      <c r="P158" s="82" t="str">
        <f>IFERROR(IF(OR(NOT(ISNUMBER('Price History'!P159)),NOT(ISNUMBER('Price History'!P158)),'Price History'!P158=0),"",'Price History'!P159/'Price History'!P158-1),"")</f>
        <v/>
      </c>
      <c r="Q158" s="82">
        <f>IFERROR(IF(OR(NOT(ISNUMBER('Price History'!Q159)),NOT(ISNUMBER('Price History'!Q158)),'Price History'!Q158=0),"",'Price History'!Q159/'Price History'!Q158-1),"")</f>
        <v>2.0598977355734016E-2</v>
      </c>
      <c r="R158" s="82">
        <f>IFERROR(IF(OR(NOT(ISNUMBER('Price History'!R159)),NOT(ISNUMBER('Price History'!R158)),'Price History'!R158=0),"",'Price History'!R159/'Price History'!R158-1),"")</f>
        <v>2.5579399141630876E-2</v>
      </c>
      <c r="S158" s="82">
        <f>IFERROR(IF(OR(NOT(ISNUMBER('Price History'!S159)),NOT(ISNUMBER('Price History'!S158)),'Price History'!S158=0),"",'Price History'!S159/'Price History'!S158-1),"")</f>
        <v>4.0742543280261279E-2</v>
      </c>
      <c r="T158" s="82">
        <f>IFERROR(IF(OR(NOT(ISNUMBER('Price History'!T159)),NOT(ISNUMBER('Price History'!T158)),'Price History'!T158=0),"",'Price History'!T159/'Price History'!T158-1),"")</f>
        <v>3.4579815038198625E-2</v>
      </c>
      <c r="U158" s="82" t="str">
        <f>IFERROR(IF(OR(NOT(ISNUMBER('Price History'!U159)),NOT(ISNUMBER('Price History'!U158)),'Price History'!U158=0),"",'Price History'!U159/'Price History'!U158-1),"")</f>
        <v/>
      </c>
      <c r="V158" s="83">
        <f>IFERROR(IF(OR(NOT(ISNUMBER('Price History'!V159)),NOT(ISNUMBER('Price History'!V158)),'Price History'!V158=0),"",'Price History'!V159/'Price History'!V158-1),"")</f>
        <v>-9.9055958407443523E-3</v>
      </c>
      <c r="W158" s="85" t="str">
        <f>IFERROR('Price History'!B3+(INDEX('Price History'!B:B,MATCH(9.99E+307,'Price History'!$A:$A))-'Price History'!B3)*(ROW()-3)/(MATCH(9.99E+307,'Returns (Calc)'!$A:$A)-3),"")</f>
        <v/>
      </c>
      <c r="X158" s="85">
        <f>IFERROR('Price History'!C3+(INDEX('Price History'!C:C,MATCH(9.99E+307,'Price History'!$A:$A))-'Price History'!C3)*(ROW()-3)/(MATCH(9.99E+307,'Returns (Calc)'!$A:$A)-3),"")</f>
        <v>1.1003773584905616</v>
      </c>
      <c r="Y158" s="85">
        <f>IFERROR('Price History'!D3+(INDEX('Price History'!D:D,MATCH(9.99E+307,'Price History'!$A:$A))-'Price History'!D3)*(ROW()-3)/(MATCH(9.99E+307,'Returns (Calc)'!$A:$A)-3),"")</f>
        <v>16.648553459119512</v>
      </c>
      <c r="Z158" s="85">
        <f>IFERROR('Price History'!E3+(INDEX('Price History'!E:E,MATCH(9.99E+307,'Price History'!$A:$A))-'Price History'!E3)*(ROW()-3)/(MATCH(9.99E+307,'Returns (Calc)'!$A:$A)-3),"")</f>
        <v>2.0875471698113159</v>
      </c>
      <c r="AA158" s="85">
        <f>IFERROR('Price History'!F3+(INDEX('Price History'!F:F,MATCH(9.99E+307,'Price History'!$A:$A))-'Price History'!F3)*(ROW()-3)/(MATCH(9.99E+307,'Returns (Calc)'!$A:$A)-3),"")</f>
        <v>0.93232704402515765</v>
      </c>
      <c r="AB158" s="85">
        <f>IFERROR('Price History'!G3+(INDEX('Price History'!G:G,MATCH(9.99E+307,'Price History'!$A:$A))-'Price History'!G3)*(ROW()-3)/(MATCH(9.99E+307,'Returns (Calc)'!$A:$A)-3),"")</f>
        <v>1.2050314465408789</v>
      </c>
      <c r="AC158" s="85">
        <f>IFERROR('Price History'!H3+(INDEX('Price History'!H:H,MATCH(9.99E+307,'Price History'!$A:$A))-'Price History'!H3)*(ROW()-3)/(MATCH(9.99E+307,'Returns (Calc)'!$A:$A)-3),"")</f>
        <v>1.6193710691823924</v>
      </c>
      <c r="AD158" s="85">
        <f>IFERROR('Price History'!I3+(INDEX('Price History'!I:I,MATCH(9.99E+307,'Price History'!$A:$A))-'Price History'!I3)*(ROW()-3)/(MATCH(9.99E+307,'Returns (Calc)'!$A:$A)-3),"")</f>
        <v>1.0276729559748432</v>
      </c>
      <c r="AE158" s="85">
        <f>IFERROR('Price History'!J3+(INDEX('Price History'!J:J,MATCH(9.99E+307,'Price History'!$A:$A))-'Price History'!J3)*(ROW()-3)/(MATCH(9.99E+307,'Returns (Calc)'!$A:$A)-3),"")</f>
        <v>3.1071698113207589</v>
      </c>
      <c r="AF158" s="85">
        <f>IFERROR('Price History'!K3+(INDEX('Price History'!K:K,MATCH(9.99E+307,'Price History'!$A:$A))-'Price History'!K3)*(ROW()-3)/(MATCH(9.99E+307,'Returns (Calc)'!$A:$A)-3),"")</f>
        <v>0.38767295597484264</v>
      </c>
      <c r="AG158" s="85">
        <f>IFERROR('Price History'!L3+(INDEX('Price History'!L:L,MATCH(9.99E+307,'Price History'!$A:$A))-'Price History'!L3)*(ROW()-3)/(MATCH(9.99E+307,'Returns (Calc)'!$A:$A)-3),"")</f>
        <v>2.3142138364779896</v>
      </c>
      <c r="AH158" s="85">
        <f>IFERROR('Price History'!M3+(INDEX('Price History'!M:M,MATCH(9.99E+307,'Price History'!$A:$A))-'Price History'!M3)*(ROW()-3)/(MATCH(9.99E+307,'Returns (Calc)'!$A:$A)-3),"")</f>
        <v>0.84301886792452763</v>
      </c>
      <c r="AI158" s="85">
        <f>IFERROR('Price History'!N3+(INDEX('Price History'!N:N,MATCH(9.99E+307,'Price History'!$A:$A))-'Price History'!N3)*(ROW()-3)/(MATCH(9.99E+307,'Returns (Calc)'!$A:$A)-3),"")</f>
        <v>8.8015094339622806</v>
      </c>
      <c r="AJ158" s="85">
        <f>IFERROR('Price History'!O3+(INDEX('Price History'!O:O,MATCH(9.99E+307,'Price History'!$A:$A))-'Price History'!O3)*(ROW()-3)/(MATCH(9.99E+307,'Returns (Calc)'!$A:$A)-3),"")</f>
        <v>2.0842767295597469</v>
      </c>
      <c r="AK158" s="85">
        <f>IFERROR('Price History'!Q3+(INDEX('Price History'!Q:Q,MATCH(9.99E+307,'Price History'!$A:$A))-'Price History'!Q3)*(ROW()-3)/(MATCH(9.99E+307,'Returns (Calc)'!$A:$A)-3),"")</f>
        <v>1.25383647798742</v>
      </c>
      <c r="AL158" s="85">
        <f>IFERROR('Price History'!R3+(INDEX('Price History'!R:R,MATCH(9.99E+307,'Price History'!$A:$A))-'Price History'!R3)*(ROW()-3)/(MATCH(9.99E+307,'Returns (Calc)'!$A:$A)-3),"")</f>
        <v>1.2030188679245271</v>
      </c>
      <c r="AM158" s="85">
        <f>IFERROR('Price History'!S3+(INDEX('Price History'!S:S,MATCH(9.99E+307,'Price History'!$A:$A))-'Price History'!S3)*(ROW()-3)/(MATCH(9.99E+307,'Returns (Calc)'!$A:$A)-3),"")</f>
        <v>1.472704402515717</v>
      </c>
      <c r="AN158" s="85">
        <f>IFERROR('Price History'!T3+(INDEX('Price History'!T:T,MATCH(9.99E+307,'Price History'!$A:$A))-'Price History'!T3)*(ROW()-3)/(MATCH(9.99E+307,'Returns (Calc)'!$A:$A)-3),"")</f>
        <v>0.67698113207547195</v>
      </c>
      <c r="AO158" s="85">
        <f>IFERROR('Price History'!V3+(INDEX('Price History'!V:V,MATCH(9.99E+307,'Price History'!$A:$A))-'Price History'!V3)*(ROW()-3)/(MATCH(9.99E+307,'Returns (Calc)'!$A:$A)-3),"")</f>
        <v>0</v>
      </c>
    </row>
    <row r="159" spans="1:41" ht="15" customHeight="1" x14ac:dyDescent="0.3">
      <c r="A159" s="81">
        <f>IF('Price History'!A160="","",'Price History'!A160)</f>
        <v>46248</v>
      </c>
      <c r="B159" s="82">
        <f>IFERROR(IF(OR(NOT(ISNUMBER('Price History'!B160)),NOT(ISNUMBER('Price History'!B159)),'Price History'!B159=0),"",'Price History'!B160/'Price History'!B159-1),"")</f>
        <v>-4.4870102937294432E-3</v>
      </c>
      <c r="C159" s="82">
        <f>IFERROR(IF(OR(NOT(ISNUMBER('Price History'!C160)),NOT(ISNUMBER('Price History'!C159)),'Price History'!C159=0),"",'Price History'!C160/'Price History'!C159-1),"")</f>
        <v>5.3797636084168099E-2</v>
      </c>
      <c r="D159" s="82">
        <f>IFERROR(IF(OR(NOT(ISNUMBER('Price History'!D160)),NOT(ISNUMBER('Price History'!D159)),'Price History'!D159=0),"",'Price History'!D160/'Price History'!D159-1),"")</f>
        <v>5.9213436033521027E-2</v>
      </c>
      <c r="E159" s="82">
        <f>IFERROR(IF(OR(NOT(ISNUMBER('Price History'!E160)),NOT(ISNUMBER('Price History'!E159)),'Price History'!E159=0),"",'Price History'!E160/'Price History'!E159-1),"")</f>
        <v>-8.1283897512623882E-2</v>
      </c>
      <c r="F159" s="82">
        <f>IFERROR(IF(OR(NOT(ISNUMBER('Price History'!F160)),NOT(ISNUMBER('Price History'!F159)),'Price History'!F159=0),"",'Price History'!F160/'Price History'!F159-1),"")</f>
        <v>1.1799272455927712E-2</v>
      </c>
      <c r="G159" s="82">
        <f>IFERROR(IF(OR(NOT(ISNUMBER('Price History'!G160)),NOT(ISNUMBER('Price History'!G159)),'Price History'!G159=0),"",'Price History'!G160/'Price History'!G159-1),"")</f>
        <v>2.8298549699327991E-2</v>
      </c>
      <c r="H159" s="82">
        <f>IFERROR(IF(OR(NOT(ISNUMBER('Price History'!H160)),NOT(ISNUMBER('Price History'!H159)),'Price History'!H159=0),"",'Price History'!H160/'Price History'!H159-1),"")</f>
        <v>0.10721651834041723</v>
      </c>
      <c r="I159" s="82">
        <f>IFERROR(IF(OR(NOT(ISNUMBER('Price History'!I160)),NOT(ISNUMBER('Price History'!I159)),'Price History'!I159=0),"",'Price History'!I160/'Price History'!I159-1),"")</f>
        <v>5.3580996606537035E-3</v>
      </c>
      <c r="J159" s="82">
        <f>IFERROR(IF(OR(NOT(ISNUMBER('Price History'!J160)),NOT(ISNUMBER('Price History'!J159)),'Price History'!J159=0),"",'Price History'!J160/'Price History'!J159-1),"")</f>
        <v>6.2071917808219634E-3</v>
      </c>
      <c r="K159" s="82">
        <f>IFERROR(IF(OR(NOT(ISNUMBER('Price History'!K160)),NOT(ISNUMBER('Price History'!K159)),'Price History'!K159=0),"",'Price History'!K160/'Price History'!K159-1),"")</f>
        <v>1.1801639439567468E-2</v>
      </c>
      <c r="L159" s="82">
        <f>IFERROR(IF(OR(NOT(ISNUMBER('Price History'!L160)),NOT(ISNUMBER('Price History'!L159)),'Price History'!L159=0),"",'Price History'!L160/'Price History'!L159-1),"")</f>
        <v>1.5022378821064608E-2</v>
      </c>
      <c r="M159" s="82">
        <f>IFERROR(IF(OR(NOT(ISNUMBER('Price History'!M160)),NOT(ISNUMBER('Price History'!M159)),'Price History'!M159=0),"",'Price History'!M160/'Price History'!M159-1),"")</f>
        <v>7.8707782672540416E-2</v>
      </c>
      <c r="N159" s="82">
        <f>IFERROR(IF(OR(NOT(ISNUMBER('Price History'!N160)),NOT(ISNUMBER('Price History'!N159)),'Price History'!N159=0),"",'Price History'!N160/'Price History'!N159-1),"")</f>
        <v>1.9513375128510146E-2</v>
      </c>
      <c r="O159" s="82">
        <f>IFERROR(IF(OR(NOT(ISNUMBER('Price History'!O160)),NOT(ISNUMBER('Price History'!O159)),'Price History'!O159=0),"",'Price History'!O160/'Price History'!O159-1),"")</f>
        <v>1.4580706179066816E-2</v>
      </c>
      <c r="P159" s="82" t="str">
        <f>IFERROR(IF(OR(NOT(ISNUMBER('Price History'!P160)),NOT(ISNUMBER('Price History'!P159)),'Price History'!P159=0),"",'Price History'!P160/'Price History'!P159-1),"")</f>
        <v/>
      </c>
      <c r="Q159" s="82">
        <f>IFERROR(IF(OR(NOT(ISNUMBER('Price History'!Q160)),NOT(ISNUMBER('Price History'!Q159)),'Price History'!Q159=0),"",'Price History'!Q160/'Price History'!Q159-1),"")</f>
        <v>4.1511594617806846E-3</v>
      </c>
      <c r="R159" s="82">
        <f>IFERROR(IF(OR(NOT(ISNUMBER('Price History'!R160)),NOT(ISNUMBER('Price History'!R159)),'Price History'!R159=0),"",'Price History'!R160/'Price History'!R159-1),"")</f>
        <v>1.3223970539002261E-2</v>
      </c>
      <c r="S159" s="82">
        <f>IFERROR(IF(OR(NOT(ISNUMBER('Price History'!S160)),NOT(ISNUMBER('Price History'!S159)),'Price History'!S159=0),"",'Price History'!S160/'Price History'!S159-1),"")</f>
        <v>2.4183312178502225E-2</v>
      </c>
      <c r="T159" s="82">
        <f>IFERROR(IF(OR(NOT(ISNUMBER('Price History'!T160)),NOT(ISNUMBER('Price History'!T159)),'Price History'!T159=0),"",'Price History'!T160/'Price History'!T159-1),"")</f>
        <v>4.3723280217644822E-2</v>
      </c>
      <c r="U159" s="82" t="str">
        <f>IFERROR(IF(OR(NOT(ISNUMBER('Price History'!U160)),NOT(ISNUMBER('Price History'!U159)),'Price History'!U159=0),"",'Price History'!U160/'Price History'!U159-1),"")</f>
        <v/>
      </c>
      <c r="V159" s="83">
        <f>IFERROR(IF(OR(NOT(ISNUMBER('Price History'!V160)),NOT(ISNUMBER('Price History'!V159)),'Price History'!V159=0),"",'Price History'!V160/'Price History'!V159-1),"")</f>
        <v>6.4118508691926035E-3</v>
      </c>
      <c r="W159" s="85" t="str">
        <f>IFERROR('Price History'!B3+(INDEX('Price History'!B:B,MATCH(9.99E+307,'Price History'!$A:$A))-'Price History'!B3)*(ROW()-3)/(MATCH(9.99E+307,'Returns (Calc)'!$A:$A)-3),"")</f>
        <v/>
      </c>
      <c r="X159" s="85">
        <f>IFERROR('Price History'!C3+(INDEX('Price History'!C:C,MATCH(9.99E+307,'Price History'!$A:$A))-'Price History'!C3)*(ROW()-3)/(MATCH(9.99E+307,'Returns (Calc)'!$A:$A)-3),"")</f>
        <v>0.82528301886792121</v>
      </c>
      <c r="Y159" s="85">
        <f>IFERROR('Price History'!D3+(INDEX('Price History'!D:D,MATCH(9.99E+307,'Price History'!$A:$A))-'Price History'!D3)*(ROW()-3)/(MATCH(9.99E+307,'Returns (Calc)'!$A:$A)-3),"")</f>
        <v>12.486415094339691</v>
      </c>
      <c r="Z159" s="85">
        <f>IFERROR('Price History'!E3+(INDEX('Price History'!E:E,MATCH(9.99E+307,'Price History'!$A:$A))-'Price History'!E3)*(ROW()-3)/(MATCH(9.99E+307,'Returns (Calc)'!$A:$A)-3),"")</f>
        <v>1.5656603773584834</v>
      </c>
      <c r="AA159" s="85">
        <f>IFERROR('Price History'!F3+(INDEX('Price History'!F:F,MATCH(9.99E+307,'Price History'!$A:$A))-'Price History'!F3)*(ROW()-3)/(MATCH(9.99E+307,'Returns (Calc)'!$A:$A)-3),"")</f>
        <v>0.69924528301886824</v>
      </c>
      <c r="AB159" s="85">
        <f>IFERROR('Price History'!G3+(INDEX('Price History'!G:G,MATCH(9.99E+307,'Price History'!$A:$A))-'Price History'!G3)*(ROW()-3)/(MATCH(9.99E+307,'Returns (Calc)'!$A:$A)-3),"")</f>
        <v>0.90377358490566451</v>
      </c>
      <c r="AC159" s="85">
        <f>IFERROR('Price History'!H3+(INDEX('Price History'!H:H,MATCH(9.99E+307,'Price History'!$A:$A))-'Price History'!H3)*(ROW()-3)/(MATCH(9.99E+307,'Returns (Calc)'!$A:$A)-3),"")</f>
        <v>1.2145283018867872</v>
      </c>
      <c r="AD159" s="85">
        <f>IFERROR('Price History'!I3+(INDEX('Price History'!I:I,MATCH(9.99E+307,'Price History'!$A:$A))-'Price History'!I3)*(ROW()-3)/(MATCH(9.99E+307,'Returns (Calc)'!$A:$A)-3),"")</f>
        <v>0.77075471698113063</v>
      </c>
      <c r="AE159" s="85">
        <f>IFERROR('Price History'!J3+(INDEX('Price History'!J:J,MATCH(9.99E+307,'Price History'!$A:$A))-'Price History'!J3)*(ROW()-3)/(MATCH(9.99E+307,'Returns (Calc)'!$A:$A)-3),"")</f>
        <v>2.3303773584905656</v>
      </c>
      <c r="AF159" s="85">
        <f>IFERROR('Price History'!K3+(INDEX('Price History'!K:K,MATCH(9.99E+307,'Price History'!$A:$A))-'Price History'!K3)*(ROW()-3)/(MATCH(9.99E+307,'Returns (Calc)'!$A:$A)-3),"")</f>
        <v>0.29075471698113198</v>
      </c>
      <c r="AG159" s="85">
        <f>IFERROR('Price History'!L3+(INDEX('Price History'!L:L,MATCH(9.99E+307,'Price History'!$A:$A))-'Price History'!L3)*(ROW()-3)/(MATCH(9.99E+307,'Returns (Calc)'!$A:$A)-3),"")</f>
        <v>1.7356603773584993</v>
      </c>
      <c r="AH159" s="85">
        <f>IFERROR('Price History'!M3+(INDEX('Price History'!M:M,MATCH(9.99E+307,'Price History'!$A:$A))-'Price History'!M3)*(ROW()-3)/(MATCH(9.99E+307,'Returns (Calc)'!$A:$A)-3),"")</f>
        <v>0.63226415094339927</v>
      </c>
      <c r="AI159" s="85">
        <f>IFERROR('Price History'!N3+(INDEX('Price History'!N:N,MATCH(9.99E+307,'Price History'!$A:$A))-'Price History'!N3)*(ROW()-3)/(MATCH(9.99E+307,'Returns (Calc)'!$A:$A)-3),"")</f>
        <v>6.6011320754716962</v>
      </c>
      <c r="AJ159" s="85">
        <f>IFERROR('Price History'!O3+(INDEX('Price History'!O:O,MATCH(9.99E+307,'Price History'!$A:$A))-'Price History'!O3)*(ROW()-3)/(MATCH(9.99E+307,'Returns (Calc)'!$A:$A)-3),"")</f>
        <v>1.5632075471698101</v>
      </c>
      <c r="AK159" s="85">
        <f>IFERROR('Price History'!Q3+(INDEX('Price History'!Q:Q,MATCH(9.99E+307,'Price History'!$A:$A))-'Price History'!Q3)*(ROW()-3)/(MATCH(9.99E+307,'Returns (Calc)'!$A:$A)-3),"")</f>
        <v>0.94037735849056503</v>
      </c>
      <c r="AL159" s="85">
        <f>IFERROR('Price History'!R3+(INDEX('Price History'!R:R,MATCH(9.99E+307,'Price History'!$A:$A))-'Price History'!R3)*(ROW()-3)/(MATCH(9.99E+307,'Returns (Calc)'!$A:$A)-3),"")</f>
        <v>0.90226415094339529</v>
      </c>
      <c r="AM159" s="85">
        <f>IFERROR('Price History'!S3+(INDEX('Price History'!S:S,MATCH(9.99E+307,'Price History'!$A:$A))-'Price History'!S3)*(ROW()-3)/(MATCH(9.99E+307,'Returns (Calc)'!$A:$A)-3),"")</f>
        <v>1.1045283018867948</v>
      </c>
      <c r="AN159" s="85">
        <f>IFERROR('Price History'!T3+(INDEX('Price History'!T:T,MATCH(9.99E+307,'Price History'!$A:$A))-'Price History'!T3)*(ROW()-3)/(MATCH(9.99E+307,'Returns (Calc)'!$A:$A)-3),"")</f>
        <v>0.50773584905660485</v>
      </c>
      <c r="AO159" s="85">
        <f>IFERROR('Price History'!V3+(INDEX('Price History'!V:V,MATCH(9.99E+307,'Price History'!$A:$A))-'Price History'!V3)*(ROW()-3)/(MATCH(9.99E+307,'Returns (Calc)'!$A:$A)-3),"")</f>
        <v>0</v>
      </c>
    </row>
    <row r="160" spans="1:41" ht="15" customHeight="1" x14ac:dyDescent="0.3">
      <c r="A160" s="81">
        <f>IF('Price History'!A161="","",'Price History'!A161)</f>
        <v>46255</v>
      </c>
      <c r="B160" s="82">
        <f>IFERROR(IF(OR(NOT(ISNUMBER('Price History'!B161)),NOT(ISNUMBER('Price History'!B160)),'Price History'!B160=0),"",'Price History'!B161/'Price History'!B160-1),"")</f>
        <v>4.2724036057874448E-2</v>
      </c>
      <c r="C160" s="82">
        <f>IFERROR(IF(OR(NOT(ISNUMBER('Price History'!C161)),NOT(ISNUMBER('Price History'!C160)),'Price History'!C160=0),"",'Price History'!C161/'Price History'!C160-1),"")</f>
        <v>-5.1151795594004512E-2</v>
      </c>
      <c r="D160" s="82">
        <f>IFERROR(IF(OR(NOT(ISNUMBER('Price History'!D161)),NOT(ISNUMBER('Price History'!D160)),'Price History'!D160=0),"",'Price History'!D161/'Price History'!D160-1),"")</f>
        <v>-4.3555594117391849E-2</v>
      </c>
      <c r="E160" s="82">
        <f>IFERROR(IF(OR(NOT(ISNUMBER('Price History'!E161)),NOT(ISNUMBER('Price History'!E160)),'Price History'!E160=0),"",'Price History'!E161/'Price History'!E160-1),"")</f>
        <v>-6.2444337006030692E-2</v>
      </c>
      <c r="F160" s="82">
        <f>IFERROR(IF(OR(NOT(ISNUMBER('Price History'!F161)),NOT(ISNUMBER('Price History'!F160)),'Price History'!F160=0),"",'Price History'!F161/'Price History'!F160-1),"")</f>
        <v>-0.11523392486748096</v>
      </c>
      <c r="G160" s="82">
        <f>IFERROR(IF(OR(NOT(ISNUMBER('Price History'!G161)),NOT(ISNUMBER('Price History'!G160)),'Price History'!G160=0),"",'Price History'!G161/'Price History'!G160-1),"")</f>
        <v>-9.5827804806132955E-2</v>
      </c>
      <c r="H160" s="82">
        <f>IFERROR(IF(OR(NOT(ISNUMBER('Price History'!H161)),NOT(ISNUMBER('Price History'!H160)),'Price History'!H160=0),"",'Price History'!H161/'Price History'!H160-1),"")</f>
        <v>-5.0223329148055829E-3</v>
      </c>
      <c r="I160" s="82">
        <f>IFERROR(IF(OR(NOT(ISNUMBER('Price History'!I161)),NOT(ISNUMBER('Price History'!I160)),'Price History'!I160=0),"",'Price History'!I161/'Price History'!I160-1),"")</f>
        <v>-4.6367027891277335E-2</v>
      </c>
      <c r="J160" s="82">
        <f>IFERROR(IF(OR(NOT(ISNUMBER('Price History'!J161)),NOT(ISNUMBER('Price History'!J160)),'Price History'!J160=0),"",'Price History'!J161/'Price History'!J160-1),"")</f>
        <v>5.4598312415798933E-3</v>
      </c>
      <c r="K160" s="82">
        <f>IFERROR(IF(OR(NOT(ISNUMBER('Price History'!K161)),NOT(ISNUMBER('Price History'!K160)),'Price History'!K160=0),"",'Price History'!K161/'Price History'!K160-1),"")</f>
        <v>3.3900252815444842E-2</v>
      </c>
      <c r="L160" s="82">
        <f>IFERROR(IF(OR(NOT(ISNUMBER('Price History'!L161)),NOT(ISNUMBER('Price History'!L160)),'Price History'!L160=0),"",'Price History'!L161/'Price History'!L160-1),"")</f>
        <v>-1.7356631875219963E-2</v>
      </c>
      <c r="M160" s="82">
        <f>IFERROR(IF(OR(NOT(ISNUMBER('Price History'!M161)),NOT(ISNUMBER('Price History'!M160)),'Price History'!M160=0),"",'Price History'!M161/'Price History'!M160-1),"")</f>
        <v>-0.10852845085760954</v>
      </c>
      <c r="N160" s="82">
        <f>IFERROR(IF(OR(NOT(ISNUMBER('Price History'!N161)),NOT(ISNUMBER('Price History'!N160)),'Price History'!N160=0),"",'Price History'!N161/'Price History'!N160-1),"")</f>
        <v>8.3638161146811552E-2</v>
      </c>
      <c r="O160" s="82">
        <f>IFERROR(IF(OR(NOT(ISNUMBER('Price History'!O161)),NOT(ISNUMBER('Price History'!O160)),'Price History'!O160=0),"",'Price History'!O161/'Price History'!O160-1),"")</f>
        <v>-1.7711489163365068E-2</v>
      </c>
      <c r="P160" s="82" t="str">
        <f>IFERROR(IF(OR(NOT(ISNUMBER('Price History'!P161)),NOT(ISNUMBER('Price History'!P160)),'Price History'!P160=0),"",'Price History'!P161/'Price History'!P160-1),"")</f>
        <v/>
      </c>
      <c r="Q160" s="82">
        <f>IFERROR(IF(OR(NOT(ISNUMBER('Price History'!Q161)),NOT(ISNUMBER('Price History'!Q160)),'Price History'!Q160=0),"",'Price History'!Q161/'Price History'!Q160-1),"")</f>
        <v>-1.0548823948681507E-2</v>
      </c>
      <c r="R160" s="82">
        <f>IFERROR(IF(OR(NOT(ISNUMBER('Price History'!R161)),NOT(ISNUMBER('Price History'!R160)),'Price History'!R160=0),"",'Price History'!R161/'Price History'!R160-1),"")</f>
        <v>-1.1399306129192044E-2</v>
      </c>
      <c r="S160" s="82">
        <f>IFERROR(IF(OR(NOT(ISNUMBER('Price History'!S161)),NOT(ISNUMBER('Price History'!S160)),'Price History'!S160=0),"",'Price History'!S161/'Price History'!S160-1),"")</f>
        <v>-2.9874111277803261E-2</v>
      </c>
      <c r="T160" s="82">
        <f>IFERROR(IF(OR(NOT(ISNUMBER('Price History'!T161)),NOT(ISNUMBER('Price History'!T160)),'Price History'!T160=0),"",'Price History'!T161/'Price History'!T160-1),"")</f>
        <v>3.239620182461378E-2</v>
      </c>
      <c r="U160" s="82" t="str">
        <f>IFERROR(IF(OR(NOT(ISNUMBER('Price History'!U161)),NOT(ISNUMBER('Price History'!U160)),'Price History'!U160=0),"",'Price History'!U161/'Price History'!U160-1),"")</f>
        <v/>
      </c>
      <c r="V160" s="83">
        <f>IFERROR(IF(OR(NOT(ISNUMBER('Price History'!V161)),NOT(ISNUMBER('Price History'!V160)),'Price History'!V160=0),"",'Price History'!V161/'Price History'!V160-1),"")</f>
        <v>1.8920774406151475E-2</v>
      </c>
      <c r="W160" s="85" t="str">
        <f>IFERROR('Price History'!B3+(INDEX('Price History'!B:B,MATCH(9.99E+307,'Price History'!$A:$A))-'Price History'!B3)*(ROW()-3)/(MATCH(9.99E+307,'Returns (Calc)'!$A:$A)-3),"")</f>
        <v/>
      </c>
      <c r="X160" s="85">
        <f>IFERROR('Price History'!C3+(INDEX('Price History'!C:C,MATCH(9.99E+307,'Price History'!$A:$A))-'Price History'!C3)*(ROW()-3)/(MATCH(9.99E+307,'Returns (Calc)'!$A:$A)-3),"")</f>
        <v>0.55018867924528081</v>
      </c>
      <c r="Y160" s="85">
        <f>IFERROR('Price History'!D3+(INDEX('Price History'!D:D,MATCH(9.99E+307,'Price History'!$A:$A))-'Price History'!D3)*(ROW()-3)/(MATCH(9.99E+307,'Returns (Calc)'!$A:$A)-3),"")</f>
        <v>8.3242767295597559</v>
      </c>
      <c r="Z160" s="85">
        <f>IFERROR('Price History'!E3+(INDEX('Price History'!E:E,MATCH(9.99E+307,'Price History'!$A:$A))-'Price History'!E3)*(ROW()-3)/(MATCH(9.99E+307,'Returns (Calc)'!$A:$A)-3),"")</f>
        <v>1.0437735849056651</v>
      </c>
      <c r="AA160" s="85">
        <f>IFERROR('Price History'!F3+(INDEX('Price History'!F:F,MATCH(9.99E+307,'Price History'!$A:$A))-'Price History'!F3)*(ROW()-3)/(MATCH(9.99E+307,'Returns (Calc)'!$A:$A)-3),"")</f>
        <v>0.46616352201257882</v>
      </c>
      <c r="AB160" s="85">
        <f>IFERROR('Price History'!G3+(INDEX('Price History'!G:G,MATCH(9.99E+307,'Price History'!$A:$A))-'Price History'!G3)*(ROW()-3)/(MATCH(9.99E+307,'Returns (Calc)'!$A:$A)-3),"")</f>
        <v>0.6025157232704359</v>
      </c>
      <c r="AC160" s="85">
        <f>IFERROR('Price History'!H3+(INDEX('Price History'!H:H,MATCH(9.99E+307,'Price History'!$A:$A))-'Price History'!H3)*(ROW()-3)/(MATCH(9.99E+307,'Returns (Calc)'!$A:$A)-3),"")</f>
        <v>0.80968553459119619</v>
      </c>
      <c r="AD160" s="85">
        <f>IFERROR('Price History'!I3+(INDEX('Price History'!I:I,MATCH(9.99E+307,'Price History'!$A:$A))-'Price History'!I3)*(ROW()-3)/(MATCH(9.99E+307,'Returns (Calc)'!$A:$A)-3),"")</f>
        <v>0.51383647798742516</v>
      </c>
      <c r="AE160" s="85">
        <f>IFERROR('Price History'!J3+(INDEX('Price History'!J:J,MATCH(9.99E+307,'Price History'!$A:$A))-'Price History'!J3)*(ROW()-3)/(MATCH(9.99E+307,'Returns (Calc)'!$A:$A)-3),"")</f>
        <v>1.5535849056603865</v>
      </c>
      <c r="AF160" s="85">
        <f>IFERROR('Price History'!K3+(INDEX('Price History'!K:K,MATCH(9.99E+307,'Price History'!$A:$A))-'Price History'!K3)*(ROW()-3)/(MATCH(9.99E+307,'Returns (Calc)'!$A:$A)-3),"")</f>
        <v>0.19383647798742309</v>
      </c>
      <c r="AG160" s="85">
        <f>IFERROR('Price History'!L3+(INDEX('Price History'!L:L,MATCH(9.99E+307,'Price History'!$A:$A))-'Price History'!L3)*(ROW()-3)/(MATCH(9.99E+307,'Returns (Calc)'!$A:$A)-3),"")</f>
        <v>1.1571069182389948</v>
      </c>
      <c r="AH160" s="85">
        <f>IFERROR('Price History'!M3+(INDEX('Price History'!M:M,MATCH(9.99E+307,'Price History'!$A:$A))-'Price History'!M3)*(ROW()-3)/(MATCH(9.99E+307,'Returns (Calc)'!$A:$A)-3),"")</f>
        <v>0.42150943396226381</v>
      </c>
      <c r="AI160" s="85">
        <f>IFERROR('Price History'!N3+(INDEX('Price History'!N:N,MATCH(9.99E+307,'Price History'!$A:$A))-'Price History'!N3)*(ROW()-3)/(MATCH(9.99E+307,'Returns (Calc)'!$A:$A)-3),"")</f>
        <v>4.4007547169811119</v>
      </c>
      <c r="AJ160" s="85">
        <f>IFERROR('Price History'!O3+(INDEX('Price History'!O:O,MATCH(9.99E+307,'Price History'!$A:$A))-'Price History'!O3)*(ROW()-3)/(MATCH(9.99E+307,'Returns (Calc)'!$A:$A)-3),"")</f>
        <v>1.0421383647798734</v>
      </c>
      <c r="AK160" s="85">
        <f>IFERROR('Price History'!Q3+(INDEX('Price History'!Q:Q,MATCH(9.99E+307,'Price History'!$A:$A))-'Price History'!Q3)*(ROW()-3)/(MATCH(9.99E+307,'Returns (Calc)'!$A:$A)-3),"")</f>
        <v>0.62691823899371002</v>
      </c>
      <c r="AL160" s="85">
        <f>IFERROR('Price History'!R3+(INDEX('Price History'!R:R,MATCH(9.99E+307,'Price History'!$A:$A))-'Price History'!R3)*(ROW()-3)/(MATCH(9.99E+307,'Returns (Calc)'!$A:$A)-3),"")</f>
        <v>0.60150943396226353</v>
      </c>
      <c r="AM160" s="85">
        <f>IFERROR('Price History'!S3+(INDEX('Price History'!S:S,MATCH(9.99E+307,'Price History'!$A:$A))-'Price History'!S3)*(ROW()-3)/(MATCH(9.99E+307,'Returns (Calc)'!$A:$A)-3),"")</f>
        <v>0.7363522012578585</v>
      </c>
      <c r="AN160" s="85">
        <f>IFERROR('Price History'!T3+(INDEX('Price History'!T:T,MATCH(9.99E+307,'Price History'!$A:$A))-'Price History'!T3)*(ROW()-3)/(MATCH(9.99E+307,'Returns (Calc)'!$A:$A)-3),"")</f>
        <v>0.33849056603773775</v>
      </c>
      <c r="AO160" s="85">
        <f>IFERROR('Price History'!V3+(INDEX('Price History'!V:V,MATCH(9.99E+307,'Price History'!$A:$A))-'Price History'!V3)*(ROW()-3)/(MATCH(9.99E+307,'Returns (Calc)'!$A:$A)-3),"")</f>
        <v>0</v>
      </c>
    </row>
    <row r="161" spans="1:41" ht="15" customHeight="1" x14ac:dyDescent="0.3">
      <c r="A161" s="81">
        <f>IF('Price History'!A162="","",'Price History'!A162)</f>
        <v>46262</v>
      </c>
      <c r="B161" s="82">
        <f>IFERROR(IF(OR(NOT(ISNUMBER('Price History'!B162)),NOT(ISNUMBER('Price History'!B161)),'Price History'!B161=0),"",'Price History'!B162/'Price History'!B161-1),"")</f>
        <v>5.8917544496912333E-2</v>
      </c>
      <c r="C161" s="82">
        <f>IFERROR(IF(OR(NOT(ISNUMBER('Price History'!C162)),NOT(ISNUMBER('Price History'!C161)),'Price History'!C161=0),"",'Price History'!C162/'Price History'!C161-1),"")</f>
        <v>3.5674529552080614E-2</v>
      </c>
      <c r="D161" s="82">
        <f>IFERROR(IF(OR(NOT(ISNUMBER('Price History'!D162)),NOT(ISNUMBER('Price History'!D161)),'Price History'!D161=0),"",'Price History'!D162/'Price History'!D161-1),"")</f>
        <v>-3.8327210051254057E-2</v>
      </c>
      <c r="E161" s="82">
        <f>IFERROR(IF(OR(NOT(ISNUMBER('Price History'!E162)),NOT(ISNUMBER('Price History'!E161)),'Price History'!E161=0),"",'Price History'!E162/'Price History'!E161-1),"")</f>
        <v>9.2278463834993829E-4</v>
      </c>
      <c r="F161" s="82">
        <f>IFERROR(IF(OR(NOT(ISNUMBER('Price History'!F162)),NOT(ISNUMBER('Price History'!F161)),'Price History'!F161=0),"",'Price History'!F162/'Price History'!F161-1),"")</f>
        <v>0.13779630112008334</v>
      </c>
      <c r="G161" s="82">
        <f>IFERROR(IF(OR(NOT(ISNUMBER('Price History'!G162)),NOT(ISNUMBER('Price History'!G161)),'Price History'!G161=0),"",'Price History'!G162/'Price History'!G161-1),"")</f>
        <v>-4.5926409043969829E-2</v>
      </c>
      <c r="H161" s="82">
        <f>IFERROR(IF(OR(NOT(ISNUMBER('Price History'!H162)),NOT(ISNUMBER('Price History'!H161)),'Price History'!H161=0),"",'Price History'!H162/'Price History'!H161-1),"")</f>
        <v>-3.5085541695111577E-2</v>
      </c>
      <c r="I161" s="82">
        <f>IFERROR(IF(OR(NOT(ISNUMBER('Price History'!I162)),NOT(ISNUMBER('Price History'!I161)),'Price History'!I161=0),"",'Price History'!I162/'Price History'!I161-1),"")</f>
        <v>1.3179955290611112E-2</v>
      </c>
      <c r="J161" s="82">
        <f>IFERROR(IF(OR(NOT(ISNUMBER('Price History'!J162)),NOT(ISNUMBER('Price History'!J161)),'Price History'!J161=0),"",'Price History'!J162/'Price History'!J161-1),"")</f>
        <v>-7.7574047954868108E-3</v>
      </c>
      <c r="K161" s="82">
        <f>IFERROR(IF(OR(NOT(ISNUMBER('Price History'!K162)),NOT(ISNUMBER('Price History'!K161)),'Price History'!K161=0),"",'Price History'!K162/'Price History'!K161-1),"")</f>
        <v>3.528954095809711E-2</v>
      </c>
      <c r="L161" s="82">
        <f>IFERROR(IF(OR(NOT(ISNUMBER('Price History'!L162)),NOT(ISNUMBER('Price History'!L161)),'Price History'!L161=0),"",'Price History'!L162/'Price History'!L161-1),"")</f>
        <v>-3.4132951426184555E-3</v>
      </c>
      <c r="M161" s="82">
        <f>IFERROR(IF(OR(NOT(ISNUMBER('Price History'!M162)),NOT(ISNUMBER('Price History'!M161)),'Price History'!M161=0),"",'Price History'!M162/'Price History'!M161-1),"")</f>
        <v>-1.859133422408854E-2</v>
      </c>
      <c r="N161" s="82">
        <f>IFERROR(IF(OR(NOT(ISNUMBER('Price History'!N162)),NOT(ISNUMBER('Price History'!N161)),'Price History'!N161=0),"",'Price History'!N162/'Price History'!N161-1),"")</f>
        <v>-1.1604780585712793E-2</v>
      </c>
      <c r="O161" s="82">
        <f>IFERROR(IF(OR(NOT(ISNUMBER('Price History'!O162)),NOT(ISNUMBER('Price History'!O161)),'Price History'!O161=0),"",'Price History'!O162/'Price History'!O161-1),"")</f>
        <v>-6.9592724396995154E-3</v>
      </c>
      <c r="P161" s="82" t="str">
        <f>IFERROR(IF(OR(NOT(ISNUMBER('Price History'!P162)),NOT(ISNUMBER('Price History'!P161)),'Price History'!P161=0),"",'Price History'!P162/'Price History'!P161-1),"")</f>
        <v/>
      </c>
      <c r="Q161" s="82">
        <f>IFERROR(IF(OR(NOT(ISNUMBER('Price History'!Q162)),NOT(ISNUMBER('Price History'!Q161)),'Price History'!Q161=0),"",'Price History'!Q162/'Price History'!Q161-1),"")</f>
        <v>4.0340008644288439E-3</v>
      </c>
      <c r="R161" s="82">
        <f>IFERROR(IF(OR(NOT(ISNUMBER('Price History'!R162)),NOT(ISNUMBER('Price History'!R161)),'Price History'!R161=0),"",'Price History'!R162/'Price History'!R161-1),"")</f>
        <v>-6.1831550802139423E-3</v>
      </c>
      <c r="S161" s="82">
        <f>IFERROR(IF(OR(NOT(ISNUMBER('Price History'!S162)),NOT(ISNUMBER('Price History'!S161)),'Price History'!S161=0),"",'Price History'!S162/'Price History'!S161-1),"")</f>
        <v>-1.3111006521885238E-2</v>
      </c>
      <c r="T161" s="82">
        <f>IFERROR(IF(OR(NOT(ISNUMBER('Price History'!T162)),NOT(ISNUMBER('Price History'!T161)),'Price History'!T161=0),"",'Price History'!T162/'Price History'!T161-1),"")</f>
        <v>3.7871956717763222E-3</v>
      </c>
      <c r="U161" s="82" t="str">
        <f>IFERROR(IF(OR(NOT(ISNUMBER('Price History'!U162)),NOT(ISNUMBER('Price History'!U161)),'Price History'!U161=0),"",'Price History'!U162/'Price History'!U161-1),"")</f>
        <v/>
      </c>
      <c r="V161" s="83">
        <f>IFERROR(IF(OR(NOT(ISNUMBER('Price History'!V162)),NOT(ISNUMBER('Price History'!V161)),'Price History'!V161=0),"",'Price History'!V162/'Price History'!V161-1),"")</f>
        <v>2.8460543337645472E-2</v>
      </c>
      <c r="W161" s="85" t="str">
        <f>IFERROR('Price History'!B3+(INDEX('Price History'!B:B,MATCH(9.99E+307,'Price History'!$A:$A))-'Price History'!B3)*(ROW()-3)/(MATCH(9.99E+307,'Returns (Calc)'!$A:$A)-3),"")</f>
        <v/>
      </c>
      <c r="X161" s="85">
        <f>IFERROR('Price History'!C3+(INDEX('Price History'!C:C,MATCH(9.99E+307,'Price History'!$A:$A))-'Price History'!C3)*(ROW()-3)/(MATCH(9.99E+307,'Returns (Calc)'!$A:$A)-3),"")</f>
        <v>0.2750943396226404</v>
      </c>
      <c r="Y161" s="85">
        <f>IFERROR('Price History'!D3+(INDEX('Price History'!D:D,MATCH(9.99E+307,'Price History'!$A:$A))-'Price History'!D3)*(ROW()-3)/(MATCH(9.99E+307,'Returns (Calc)'!$A:$A)-3),"")</f>
        <v>4.1621383647799348</v>
      </c>
      <c r="Z161" s="85">
        <f>IFERROR('Price History'!E3+(INDEX('Price History'!E:E,MATCH(9.99E+307,'Price History'!$A:$A))-'Price History'!E3)*(ROW()-3)/(MATCH(9.99E+307,'Returns (Calc)'!$A:$A)-3),"")</f>
        <v>0.52188679245283254</v>
      </c>
      <c r="AA161" s="85">
        <f>IFERROR('Price History'!F3+(INDEX('Price History'!F:F,MATCH(9.99E+307,'Price History'!$A:$A))-'Price History'!F3)*(ROW()-3)/(MATCH(9.99E+307,'Returns (Calc)'!$A:$A)-3),"")</f>
        <v>0.23308176100628941</v>
      </c>
      <c r="AB161" s="85">
        <f>IFERROR('Price History'!G3+(INDEX('Price History'!G:G,MATCH(9.99E+307,'Price History'!$A:$A))-'Price History'!G3)*(ROW()-3)/(MATCH(9.99E+307,'Returns (Calc)'!$A:$A)-3),"")</f>
        <v>0.3012578616352215</v>
      </c>
      <c r="AC161" s="85">
        <f>IFERROR('Price History'!H3+(INDEX('Price History'!H:H,MATCH(9.99E+307,'Price History'!$A:$A))-'Price History'!H3)*(ROW()-3)/(MATCH(9.99E+307,'Returns (Calc)'!$A:$A)-3),"")</f>
        <v>0.40484276729559809</v>
      </c>
      <c r="AD161" s="85">
        <f>IFERROR('Price History'!I3+(INDEX('Price History'!I:I,MATCH(9.99E+307,'Price History'!$A:$A))-'Price History'!I3)*(ROW()-3)/(MATCH(9.99E+307,'Returns (Calc)'!$A:$A)-3),"")</f>
        <v>0.25691823899371258</v>
      </c>
      <c r="AE161" s="85">
        <f>IFERROR('Price History'!J3+(INDEX('Price History'!J:J,MATCH(9.99E+307,'Price History'!$A:$A))-'Price History'!J3)*(ROW()-3)/(MATCH(9.99E+307,'Returns (Calc)'!$A:$A)-3),"")</f>
        <v>0.77679245283017906</v>
      </c>
      <c r="AF161" s="85">
        <f>IFERROR('Price History'!K3+(INDEX('Price History'!K:K,MATCH(9.99E+307,'Price History'!$A:$A))-'Price History'!K3)*(ROW()-3)/(MATCH(9.99E+307,'Returns (Calc)'!$A:$A)-3),"")</f>
        <v>9.6918238993708883E-2</v>
      </c>
      <c r="AG161" s="85">
        <f>IFERROR('Price History'!L3+(INDEX('Price History'!L:L,MATCH(9.99E+307,'Price History'!$A:$A))-'Price History'!L3)*(ROW()-3)/(MATCH(9.99E+307,'Returns (Calc)'!$A:$A)-3),"")</f>
        <v>0.5785534591194903</v>
      </c>
      <c r="AH161" s="85">
        <f>IFERROR('Price History'!M3+(INDEX('Price History'!M:M,MATCH(9.99E+307,'Price History'!$A:$A))-'Price History'!M3)*(ROW()-3)/(MATCH(9.99E+307,'Returns (Calc)'!$A:$A)-3),"")</f>
        <v>0.21075471698112835</v>
      </c>
      <c r="AI161" s="85">
        <f>IFERROR('Price History'!N3+(INDEX('Price History'!N:N,MATCH(9.99E+307,'Price History'!$A:$A))-'Price History'!N3)*(ROW()-3)/(MATCH(9.99E+307,'Returns (Calc)'!$A:$A)-3),"")</f>
        <v>2.2003773584905275</v>
      </c>
      <c r="AJ161" s="85">
        <f>IFERROR('Price History'!O3+(INDEX('Price History'!O:O,MATCH(9.99E+307,'Price History'!$A:$A))-'Price History'!O3)*(ROW()-3)/(MATCH(9.99E+307,'Returns (Calc)'!$A:$A)-3),"")</f>
        <v>0.52106918238993671</v>
      </c>
      <c r="AK161" s="85">
        <f>IFERROR('Price History'!Q3+(INDEX('Price History'!Q:Q,MATCH(9.99E+307,'Price History'!$A:$A))-'Price History'!Q3)*(ROW()-3)/(MATCH(9.99E+307,'Returns (Calc)'!$A:$A)-3),"")</f>
        <v>0.31345911949685501</v>
      </c>
      <c r="AL161" s="85">
        <f>IFERROR('Price History'!R3+(INDEX('Price History'!R:R,MATCH(9.99E+307,'Price History'!$A:$A))-'Price History'!R3)*(ROW()-3)/(MATCH(9.99E+307,'Returns (Calc)'!$A:$A)-3),"")</f>
        <v>0.30075471698113176</v>
      </c>
      <c r="AM161" s="85">
        <f>IFERROR('Price History'!S3+(INDEX('Price History'!S:S,MATCH(9.99E+307,'Price History'!$A:$A))-'Price History'!S3)*(ROW()-3)/(MATCH(9.99E+307,'Returns (Calc)'!$A:$A)-3),"")</f>
        <v>0.36817610062892925</v>
      </c>
      <c r="AN161" s="85">
        <f>IFERROR('Price History'!T3+(INDEX('Price History'!T:T,MATCH(9.99E+307,'Price History'!$A:$A))-'Price History'!T3)*(ROW()-3)/(MATCH(9.99E+307,'Returns (Calc)'!$A:$A)-3),"")</f>
        <v>0.16924528301887065</v>
      </c>
      <c r="AO161" s="85">
        <f>IFERROR('Price History'!V3+(INDEX('Price History'!V:V,MATCH(9.99E+307,'Price History'!$A:$A))-'Price History'!V3)*(ROW()-3)/(MATCH(9.99E+307,'Returns (Calc)'!$A:$A)-3),"")</f>
        <v>0</v>
      </c>
    </row>
    <row r="162" spans="1:41" ht="15" customHeight="1" x14ac:dyDescent="0.3">
      <c r="A162" s="81">
        <f>IF('Price History'!A163="","",'Price History'!A163)</f>
        <v>46269</v>
      </c>
      <c r="B162" s="82">
        <f>IFERROR(IF(OR(NOT(ISNUMBER('Price History'!B163)),NOT(ISNUMBER('Price History'!B162)),'Price History'!B162=0),"",'Price History'!B163/'Price History'!B162-1),"")</f>
        <v>-8.579171240395167E-2</v>
      </c>
      <c r="C162" s="82">
        <f>IFERROR(IF(OR(NOT(ISNUMBER('Price History'!C163)),NOT(ISNUMBER('Price History'!C162)),'Price History'!C162=0),"",'Price History'!C163/'Price History'!C162-1),"")</f>
        <v>-8.1891698229091814E-3</v>
      </c>
      <c r="D162" s="82">
        <f>IFERROR(IF(OR(NOT(ISNUMBER('Price History'!D163)),NOT(ISNUMBER('Price History'!D162)),'Price History'!D162=0),"",'Price History'!D163/'Price History'!D162-1),"")</f>
        <v>1.1036694651447965E-2</v>
      </c>
      <c r="E162" s="82">
        <f>IFERROR(IF(OR(NOT(ISNUMBER('Price History'!E163)),NOT(ISNUMBER('Price History'!E162)),'Price History'!E162=0),"",'Price History'!E163/'Price History'!E162-1),"")</f>
        <v>-2.9529000244041481E-2</v>
      </c>
      <c r="F162" s="82">
        <f>IFERROR(IF(OR(NOT(ISNUMBER('Price History'!F163)),NOT(ISNUMBER('Price History'!F162)),'Price History'!F162=0),"",'Price History'!F163/'Price History'!F162-1),"")</f>
        <v>-2.4267399267399292E-2</v>
      </c>
      <c r="G162" s="82">
        <f>IFERROR(IF(OR(NOT(ISNUMBER('Price History'!G163)),NOT(ISNUMBER('Price History'!G162)),'Price History'!G162=0),"",'Price History'!G163/'Price History'!G162-1),"")</f>
        <v>5.7308875469978426E-2</v>
      </c>
      <c r="H162" s="82">
        <f>IFERROR(IF(OR(NOT(ISNUMBER('Price History'!H163)),NOT(ISNUMBER('Price History'!H162)),'Price History'!H162=0),"",'Price History'!H163/'Price History'!H162-1),"")</f>
        <v>8.9756233518427209E-2</v>
      </c>
      <c r="I162" s="82">
        <f>IFERROR(IF(OR(NOT(ISNUMBER('Price History'!I163)),NOT(ISNUMBER('Price History'!I162)),'Price History'!I162=0),"",'Price History'!I163/'Price History'!I162-1),"")</f>
        <v>5.8883015398758953E-2</v>
      </c>
      <c r="J162" s="82">
        <f>IFERROR(IF(OR(NOT(ISNUMBER('Price History'!J163)),NOT(ISNUMBER('Price History'!J162)),'Price History'!J162=0),"",'Price History'!J163/'Price History'!J162-1),"")</f>
        <v>-2.3880597014925287E-2</v>
      </c>
      <c r="K162" s="82">
        <f>IFERROR(IF(OR(NOT(ISNUMBER('Price History'!K163)),NOT(ISNUMBER('Price History'!K162)),'Price History'!K162=0),"",'Price History'!K163/'Price History'!K162-1),"")</f>
        <v>-6.4200976971388601E-2</v>
      </c>
      <c r="L162" s="82">
        <f>IFERROR(IF(OR(NOT(ISNUMBER('Price History'!L163)),NOT(ISNUMBER('Price History'!L162)),'Price History'!L162=0),"",'Price History'!L163/'Price History'!L162-1),"")</f>
        <v>2.7280130293159788E-2</v>
      </c>
      <c r="M162" s="82">
        <f>IFERROR(IF(OR(NOT(ISNUMBER('Price History'!M163)),NOT(ISNUMBER('Price History'!M162)),'Price History'!M162=0),"",'Price History'!M163/'Price History'!M162-1),"")</f>
        <v>9.1216741870234985E-2</v>
      </c>
      <c r="N162" s="82">
        <f>IFERROR(IF(OR(NOT(ISNUMBER('Price History'!N163)),NOT(ISNUMBER('Price History'!N162)),'Price History'!N162=0),"",'Price History'!N163/'Price History'!N162-1),"")</f>
        <v>8.1781092506783004E-3</v>
      </c>
      <c r="O162" s="82">
        <f>IFERROR(IF(OR(NOT(ISNUMBER('Price History'!O163)),NOT(ISNUMBER('Price History'!O162)),'Price History'!O162=0),"",'Price History'!O163/'Price History'!O162-1),"")</f>
        <v>1.0830612407422224E-2</v>
      </c>
      <c r="P162" s="82" t="str">
        <f>IFERROR(IF(OR(NOT(ISNUMBER('Price History'!P163)),NOT(ISNUMBER('Price History'!P162)),'Price History'!P162=0),"",'Price History'!P163/'Price History'!P162-1),"")</f>
        <v/>
      </c>
      <c r="Q162" s="82">
        <f>IFERROR(IF(OR(NOT(ISNUMBER('Price History'!Q163)),NOT(ISNUMBER('Price History'!Q162)),'Price History'!Q162=0),"",'Price History'!Q163/'Price History'!Q162-1),"")</f>
        <v>4.3047783039185106E-4</v>
      </c>
      <c r="R162" s="82">
        <f>IFERROR(IF(OR(NOT(ISNUMBER('Price History'!R163)),NOT(ISNUMBER('Price History'!R162)),'Price History'!R162=0),"",'Price History'!R163/'Price History'!R162-1),"")</f>
        <v>6.7260803766604482E-3</v>
      </c>
      <c r="S162" s="82">
        <f>IFERROR(IF(OR(NOT(ISNUMBER('Price History'!S163)),NOT(ISNUMBER('Price History'!S162)),'Price History'!S162=0),"",'Price History'!S163/'Price History'!S162-1),"")</f>
        <v>2.0029976836081209E-2</v>
      </c>
      <c r="T162" s="82">
        <f>IFERROR(IF(OR(NOT(ISNUMBER('Price History'!T163)),NOT(ISNUMBER('Price History'!T162)),'Price History'!T162=0),"",'Price History'!T163/'Price History'!T162-1),"")</f>
        <v>-6.647502694933527E-3</v>
      </c>
      <c r="U162" s="82" t="str">
        <f>IFERROR(IF(OR(NOT(ISNUMBER('Price History'!U163)),NOT(ISNUMBER('Price History'!U162)),'Price History'!U162=0),"",'Price History'!U163/'Price History'!U162-1),"")</f>
        <v/>
      </c>
      <c r="V162" s="83">
        <f>IFERROR(IF(OR(NOT(ISNUMBER('Price History'!V163)),NOT(ISNUMBER('Price History'!V162)),'Price History'!V162=0),"",'Price History'!V163/'Price History'!V162-1),"")</f>
        <v>-1.7112159329140564E-2</v>
      </c>
      <c r="W162" s="85" t="str">
        <f>IFERROR('Price History'!B3+(INDEX('Price History'!B:B,MATCH(9.99E+307,'Price History'!$A:$A))-'Price History'!B3)*(ROW()-3)/(MATCH(9.99E+307,'Returns (Calc)'!$A:$A)-3),"")</f>
        <v/>
      </c>
      <c r="X162" s="85">
        <f>IFERROR('Price History'!C3+(INDEX('Price History'!C:C,MATCH(9.99E+307,'Price History'!$A:$A))-'Price History'!C3)*(ROW()-3)/(MATCH(9.99E+307,'Returns (Calc)'!$A:$A)-3),"")</f>
        <v>0</v>
      </c>
      <c r="Y162" s="85">
        <f>IFERROR('Price History'!D3+(INDEX('Price History'!D:D,MATCH(9.99E+307,'Price History'!$A:$A))-'Price History'!D3)*(ROW()-3)/(MATCH(9.99E+307,'Returns (Calc)'!$A:$A)-3),"")</f>
        <v>0</v>
      </c>
      <c r="Z162" s="85">
        <f>IFERROR('Price History'!E3+(INDEX('Price History'!E:E,MATCH(9.99E+307,'Price History'!$A:$A))-'Price History'!E3)*(ROW()-3)/(MATCH(9.99E+307,'Returns (Calc)'!$A:$A)-3),"")</f>
        <v>0</v>
      </c>
      <c r="AA162" s="85">
        <f>IFERROR('Price History'!F3+(INDEX('Price History'!F:F,MATCH(9.99E+307,'Price History'!$A:$A))-'Price History'!F3)*(ROW()-3)/(MATCH(9.99E+307,'Returns (Calc)'!$A:$A)-3),"")</f>
        <v>0</v>
      </c>
      <c r="AB162" s="85">
        <f>IFERROR('Price History'!G3+(INDEX('Price History'!G:G,MATCH(9.99E+307,'Price History'!$A:$A))-'Price History'!G3)*(ROW()-3)/(MATCH(9.99E+307,'Returns (Calc)'!$A:$A)-3),"")</f>
        <v>0</v>
      </c>
      <c r="AC162" s="85">
        <f>IFERROR('Price History'!H3+(INDEX('Price History'!H:H,MATCH(9.99E+307,'Price History'!$A:$A))-'Price History'!H3)*(ROW()-3)/(MATCH(9.99E+307,'Returns (Calc)'!$A:$A)-3),"")</f>
        <v>0</v>
      </c>
      <c r="AD162" s="85">
        <f>IFERROR('Price History'!I3+(INDEX('Price History'!I:I,MATCH(9.99E+307,'Price History'!$A:$A))-'Price History'!I3)*(ROW()-3)/(MATCH(9.99E+307,'Returns (Calc)'!$A:$A)-3),"")</f>
        <v>0</v>
      </c>
      <c r="AE162" s="85">
        <f>IFERROR('Price History'!J3+(INDEX('Price History'!J:J,MATCH(9.99E+307,'Price History'!$A:$A))-'Price History'!J3)*(ROW()-3)/(MATCH(9.99E+307,'Returns (Calc)'!$A:$A)-3),"")</f>
        <v>0</v>
      </c>
      <c r="AF162" s="85">
        <f>IFERROR('Price History'!K3+(INDEX('Price History'!K:K,MATCH(9.99E+307,'Price History'!$A:$A))-'Price History'!K3)*(ROW()-3)/(MATCH(9.99E+307,'Returns (Calc)'!$A:$A)-3),"")</f>
        <v>0</v>
      </c>
      <c r="AG162" s="85">
        <f>IFERROR('Price History'!L3+(INDEX('Price History'!L:L,MATCH(9.99E+307,'Price History'!$A:$A))-'Price History'!L3)*(ROW()-3)/(MATCH(9.99E+307,'Returns (Calc)'!$A:$A)-3),"")</f>
        <v>0</v>
      </c>
      <c r="AH162" s="85">
        <f>IFERROR('Price History'!M3+(INDEX('Price History'!M:M,MATCH(9.99E+307,'Price History'!$A:$A))-'Price History'!M3)*(ROW()-3)/(MATCH(9.99E+307,'Returns (Calc)'!$A:$A)-3),"")</f>
        <v>0</v>
      </c>
      <c r="AI162" s="85">
        <f>IFERROR('Price History'!N3+(INDEX('Price History'!N:N,MATCH(9.99E+307,'Price History'!$A:$A))-'Price History'!N3)*(ROW()-3)/(MATCH(9.99E+307,'Returns (Calc)'!$A:$A)-3),"")</f>
        <v>0</v>
      </c>
      <c r="AJ162" s="85">
        <f>IFERROR('Price History'!O3+(INDEX('Price History'!O:O,MATCH(9.99E+307,'Price History'!$A:$A))-'Price History'!O3)*(ROW()-3)/(MATCH(9.99E+307,'Returns (Calc)'!$A:$A)-3),"")</f>
        <v>0</v>
      </c>
      <c r="AK162" s="85">
        <f>IFERROR('Price History'!Q3+(INDEX('Price History'!Q:Q,MATCH(9.99E+307,'Price History'!$A:$A))-'Price History'!Q3)*(ROW()-3)/(MATCH(9.99E+307,'Returns (Calc)'!$A:$A)-3),"")</f>
        <v>0</v>
      </c>
      <c r="AL162" s="85">
        <f>IFERROR('Price History'!R3+(INDEX('Price History'!R:R,MATCH(9.99E+307,'Price History'!$A:$A))-'Price History'!R3)*(ROW()-3)/(MATCH(9.99E+307,'Returns (Calc)'!$A:$A)-3),"")</f>
        <v>0</v>
      </c>
      <c r="AM162" s="85">
        <f>IFERROR('Price History'!S3+(INDEX('Price History'!S:S,MATCH(9.99E+307,'Price History'!$A:$A))-'Price History'!S3)*(ROW()-3)/(MATCH(9.99E+307,'Returns (Calc)'!$A:$A)-3),"")</f>
        <v>-7.1054273576010019E-15</v>
      </c>
      <c r="AN162" s="85">
        <f>IFERROR('Price History'!T3+(INDEX('Price History'!T:T,MATCH(9.99E+307,'Price History'!$A:$A))-'Price History'!T3)*(ROW()-3)/(MATCH(9.99E+307,'Returns (Calc)'!$A:$A)-3),"")</f>
        <v>3.5527136788005009E-15</v>
      </c>
      <c r="AO162" s="85">
        <f>IFERROR('Price History'!V3+(INDEX('Price History'!V:V,MATCH(9.99E+307,'Price History'!$A:$A))-'Price History'!V3)*(ROW()-3)/(MATCH(9.99E+307,'Returns (Calc)'!$A:$A)-3),"")</f>
        <v>0</v>
      </c>
    </row>
  </sheetData>
  <mergeCells count="1">
    <mergeCell ref="A1:U1"/>
  </mergeCells>
  <pageMargins left="0.75" right="0.75" top="1" bottom="1" header="0.511811023622047" footer="0.51180555555555596"/>
  <pageSetup paperSize="9" orientation="portrait" horizontalDpi="300" verticalDpi="300"/>
  <headerFooter>
    <oddFooter>&amp;L&amp;"Arial Narrow,Regular"&amp;8 &amp;F&amp;C&amp;"Arial Narrow,Regular"&amp;8 &amp;A - &amp;D &amp;T&amp;R&amp;"Arial,Regular" &amp;P / &amp;N</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G26"/>
  <sheetViews>
    <sheetView showGridLines="0" zoomScaleNormal="100" workbookViewId="0">
      <pane xSplit="1" ySplit="5" topLeftCell="F17" activePane="bottomRight" state="frozen"/>
      <selection pane="topRight" activeCell="B1" sqref="B1"/>
      <selection pane="bottomLeft" activeCell="A6" sqref="A6"/>
      <selection pane="bottomRight" activeCell="S33" sqref="S33"/>
    </sheetView>
  </sheetViews>
  <sheetFormatPr defaultColWidth="8.6640625" defaultRowHeight="14.4" x14ac:dyDescent="0.3"/>
  <cols>
    <col min="1" max="1" width="10" customWidth="1"/>
    <col min="2" max="2" width="6.77734375" style="140" customWidth="1"/>
    <col min="3" max="21" width="8.6640625" style="140"/>
    <col min="22" max="22" width="9" style="140" customWidth="1"/>
    <col min="23" max="33" width="13" customWidth="1"/>
  </cols>
  <sheetData>
    <row r="1" spans="1:33" ht="15" customHeight="1" x14ac:dyDescent="0.3">
      <c r="A1" s="113" t="s">
        <v>436</v>
      </c>
      <c r="B1" s="113"/>
      <c r="C1" s="113"/>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row>
    <row r="2" spans="1:33" ht="15" customHeight="1" x14ac:dyDescent="0.3">
      <c r="A2" s="27" t="s">
        <v>437</v>
      </c>
      <c r="J2" s="190">
        <f>COUNTIF(AG6:AG26,"&gt;1")</f>
        <v>4</v>
      </c>
    </row>
    <row r="3" spans="1:33" ht="15" customHeight="1" x14ac:dyDescent="0.3">
      <c r="A3" s="27" t="s">
        <v>438</v>
      </c>
      <c r="J3" s="190" t="str">
        <f>IF(J2&gt;0,"REVIEW REQUIRED","OK")</f>
        <v>REVIEW REQUIRED</v>
      </c>
    </row>
    <row r="5" spans="1:33" ht="27.75" customHeight="1" x14ac:dyDescent="0.3">
      <c r="A5" s="87" t="s">
        <v>76</v>
      </c>
      <c r="B5" s="87" t="str">
        <f>'Returns (Calc)'!B2</f>
        <v>ADBE</v>
      </c>
      <c r="C5" s="87" t="str">
        <f>'Returns (Calc)'!C2</f>
        <v>ANET</v>
      </c>
      <c r="D5" s="87" t="str">
        <f>'Returns (Calc)'!D2</f>
        <v>ASML</v>
      </c>
      <c r="E5" s="87" t="str">
        <f>'Returns (Calc)'!E2</f>
        <v>AVGO</v>
      </c>
      <c r="F5" s="87" t="str">
        <f>'Returns (Calc)'!F2</f>
        <v>CRWD</v>
      </c>
      <c r="G5" s="87" t="str">
        <f>'Returns (Calc)'!G2</f>
        <v>KLAC</v>
      </c>
      <c r="H5" s="87" t="str">
        <f>'Returns (Calc)'!H2</f>
        <v>MU</v>
      </c>
      <c r="I5" s="87" t="str">
        <f>'Returns (Calc)'!I2</f>
        <v>NVDA</v>
      </c>
      <c r="J5" s="87" t="str">
        <f>'Returns (Calc)'!J2</f>
        <v>PLD</v>
      </c>
      <c r="K5" s="87" t="str">
        <f>'Returns (Calc)'!K2</f>
        <v>PLTR</v>
      </c>
      <c r="L5" s="87" t="str">
        <f>'Returns (Calc)'!L2</f>
        <v>TSM</v>
      </c>
      <c r="M5" s="87" t="str">
        <f>'Returns (Calc)'!M2</f>
        <v>VRT</v>
      </c>
      <c r="N5" s="87" t="str">
        <f>'Returns (Calc)'!N2</f>
        <v>VRTX</v>
      </c>
      <c r="O5" s="87" t="str">
        <f>'Returns (Calc)'!O2</f>
        <v>AVUV</v>
      </c>
      <c r="P5" s="87">
        <f>'Returns (Calc)'!P2</f>
        <v>0</v>
      </c>
      <c r="Q5" s="87" t="str">
        <f>'Returns (Calc)'!Q2</f>
        <v>HELO</v>
      </c>
      <c r="R5" s="87" t="str">
        <f>'Returns (Calc)'!R2</f>
        <v>JEPQ</v>
      </c>
      <c r="S5" s="87" t="str">
        <f>'Returns (Calc)'!S2</f>
        <v>SPMO</v>
      </c>
      <c r="T5" s="87" t="str">
        <f>'Returns (Calc)'!T2</f>
        <v>VFLO</v>
      </c>
      <c r="U5" s="87">
        <f>'Returns (Calc)'!U2</f>
        <v>0</v>
      </c>
      <c r="V5" s="87" t="str">
        <f>'Returns (Calc)'!V2</f>
        <v>V</v>
      </c>
      <c r="W5" s="88"/>
      <c r="X5" s="88"/>
      <c r="Y5" s="88"/>
      <c r="Z5" s="88"/>
      <c r="AA5" s="88"/>
      <c r="AB5" s="88"/>
      <c r="AC5" s="88"/>
      <c r="AD5" s="88"/>
      <c r="AE5" s="88"/>
      <c r="AF5" s="88"/>
      <c r="AG5" s="87" t="s">
        <v>439</v>
      </c>
    </row>
    <row r="6" spans="1:33" ht="15" customHeight="1" x14ac:dyDescent="0.3">
      <c r="A6" s="89" t="str">
        <f>'Returns (Calc)'!B2</f>
        <v>ADBE</v>
      </c>
      <c r="B6" s="191">
        <v>1</v>
      </c>
      <c r="C6" s="191">
        <f>IFERROR(ROUND(CORREL('Returns (Calc)'!$B$3:$B$500,'Returns (Calc)'!$C$3:$C$500),2),"")</f>
        <v>0.22</v>
      </c>
      <c r="D6" s="191">
        <f>IFERROR(ROUND(CORREL('Returns (Calc)'!$B$3:$B$500,'Returns (Calc)'!$D$3:$D$500),2),"")</f>
        <v>0.02</v>
      </c>
      <c r="E6" s="191">
        <f>IFERROR(ROUND(CORREL('Returns (Calc)'!$B$3:$B$500,'Returns (Calc)'!$E$3:$E$500),2),"")</f>
        <v>0.17</v>
      </c>
      <c r="F6" s="191">
        <f>IFERROR(ROUND(CORREL('Returns (Calc)'!$B$3:$B$500,'Returns (Calc)'!$F$3:$F$500),2),"")</f>
        <v>0.42</v>
      </c>
      <c r="G6" s="191">
        <f>IFERROR(ROUND(CORREL('Returns (Calc)'!$B$3:$B$500,'Returns (Calc)'!$G$3:$G$500),2),"")</f>
        <v>-0.05</v>
      </c>
      <c r="H6" s="191">
        <f>IFERROR(ROUND(CORREL('Returns (Calc)'!$B$3:$B$500,'Returns (Calc)'!$H$3:$H$500),2),"")</f>
        <v>0.05</v>
      </c>
      <c r="I6" s="191">
        <f>IFERROR(ROUND(CORREL('Returns (Calc)'!$B$3:$B$500,'Returns (Calc)'!$I$3:$I$500),2),"")</f>
        <v>0.22</v>
      </c>
      <c r="J6" s="191">
        <f>IFERROR(ROUND(CORREL('Returns (Calc)'!$B$3:$B$500,'Returns (Calc)'!$J$3:$J$500),2),"")</f>
        <v>0.18</v>
      </c>
      <c r="K6" s="191">
        <f>IFERROR(ROUND(CORREL('Returns (Calc)'!$B$3:$B$500,'Returns (Calc)'!$K$3:$K$500),2),"")</f>
        <v>0.37</v>
      </c>
      <c r="L6" s="191">
        <f>IFERROR(ROUND(CORREL('Returns (Calc)'!$B$3:$B$500,'Returns (Calc)'!$L$3:$L$500),2),"")</f>
        <v>0.16</v>
      </c>
      <c r="M6" s="191">
        <f>IFERROR(ROUND(CORREL('Returns (Calc)'!$B$3:$B$500,'Returns (Calc)'!$M$3:$M$500),2),"")</f>
        <v>0.06</v>
      </c>
      <c r="N6" s="191">
        <f>IFERROR(ROUND(CORREL('Returns (Calc)'!$B$3:$B$500,'Returns (Calc)'!$N$3:$N$500),2),"")</f>
        <v>0.14000000000000001</v>
      </c>
      <c r="O6" s="191">
        <f>IFERROR(ROUND(CORREL('Returns (Calc)'!$B$3:$B$500,'Returns (Calc)'!$O$3:$O$500),2),"")</f>
        <v>0.16</v>
      </c>
      <c r="P6" s="191" t="str">
        <f>IFERROR(ROUND(CORREL('Returns (Calc)'!$B$3:$B$500,'Returns (Calc)'!$P$3:$P$500),2),"")</f>
        <v/>
      </c>
      <c r="Q6" s="191">
        <f>IFERROR(ROUND(CORREL('Returns (Calc)'!$B$3:$B$500,'Returns (Calc)'!$Q$3:$Q$500),2),"")</f>
        <v>-7.0000000000000007E-2</v>
      </c>
      <c r="R6" s="191">
        <f>IFERROR(ROUND(CORREL('Returns (Calc)'!$B$3:$B$500,'Returns (Calc)'!$R$3:$R$500),2),"")</f>
        <v>0.31</v>
      </c>
      <c r="S6" s="191">
        <f>IFERROR(ROUND(CORREL('Returns (Calc)'!$B$3:$B$500,'Returns (Calc)'!$S$3:$S$500),2),"")</f>
        <v>0.23</v>
      </c>
      <c r="T6" s="191">
        <f>IFERROR(ROUND(CORREL('Returns (Calc)'!$B$3:$B$500,'Returns (Calc)'!$T$3:$T$500),2),"")</f>
        <v>0.42</v>
      </c>
      <c r="U6" s="191" t="str">
        <f>IFERROR(ROUND(CORREL('Returns (Calc)'!$B$3:$B$500,'Returns (Calc)'!$U$3:$U$500),2),"")</f>
        <v/>
      </c>
      <c r="V6" s="191">
        <f>IFERROR(ROUND(CORREL('Returns (Calc)'!$B$3:$B$500,'Returns (Calc)'!$V$3:$V$500),2),"")</f>
        <v>0.39</v>
      </c>
      <c r="AG6" s="90">
        <f t="shared" ref="AG6:AG26" si="0">COUNTIF(B6:V6,"&gt;0.7")-1</f>
        <v>0</v>
      </c>
    </row>
    <row r="7" spans="1:33" ht="15" customHeight="1" x14ac:dyDescent="0.3">
      <c r="A7" s="89" t="str">
        <f>'Returns (Calc)'!C2</f>
        <v>ANET</v>
      </c>
      <c r="B7" s="191">
        <f>IFERROR(ROUND(CORREL('Returns (Calc)'!$C$3:$C$500,'Returns (Calc)'!$B$3:$B$500),2),"")</f>
        <v>0.22</v>
      </c>
      <c r="C7" s="191">
        <v>1</v>
      </c>
      <c r="D7" s="191">
        <f>IFERROR(ROUND(CORREL('Returns (Calc)'!$C$3:$C$500,'Returns (Calc)'!$D$3:$D$500),2),"")</f>
        <v>0.39</v>
      </c>
      <c r="E7" s="191">
        <f>IFERROR(ROUND(CORREL('Returns (Calc)'!$C$3:$C$500,'Returns (Calc)'!$E$3:$E$500),2),"")</f>
        <v>0.57999999999999996</v>
      </c>
      <c r="F7" s="191">
        <f>IFERROR(ROUND(CORREL('Returns (Calc)'!$C$3:$C$500,'Returns (Calc)'!$F$3:$F$500),2),"")</f>
        <v>0.38</v>
      </c>
      <c r="G7" s="191">
        <f>IFERROR(ROUND(CORREL('Returns (Calc)'!$C$3:$C$500,'Returns (Calc)'!$G$3:$G$500),2),"")</f>
        <v>0.44</v>
      </c>
      <c r="H7" s="191">
        <f>IFERROR(ROUND(CORREL('Returns (Calc)'!$C$3:$C$500,'Returns (Calc)'!$H$3:$H$500),2),"")</f>
        <v>0.35</v>
      </c>
      <c r="I7" s="191">
        <f>IFERROR(ROUND(CORREL('Returns (Calc)'!$C$3:$C$500,'Returns (Calc)'!$I$3:$I$500),2),"")</f>
        <v>0.53</v>
      </c>
      <c r="J7" s="191">
        <f>IFERROR(ROUND(CORREL('Returns (Calc)'!$C$3:$C$500,'Returns (Calc)'!$J$3:$J$500),2),"")</f>
        <v>0.18</v>
      </c>
      <c r="K7" s="191">
        <f>IFERROR(ROUND(CORREL('Returns (Calc)'!$C$3:$C$500,'Returns (Calc)'!$K$3:$K$500),2),"")</f>
        <v>0.33</v>
      </c>
      <c r="L7" s="191">
        <f>IFERROR(ROUND(CORREL('Returns (Calc)'!$C$3:$C$500,'Returns (Calc)'!$L$3:$L$500),2),"")</f>
        <v>0.55000000000000004</v>
      </c>
      <c r="M7" s="191">
        <f>IFERROR(ROUND(CORREL('Returns (Calc)'!$C$3:$C$500,'Returns (Calc)'!$M$3:$M$500),2),"")</f>
        <v>0.59</v>
      </c>
      <c r="N7" s="191">
        <f>IFERROR(ROUND(CORREL('Returns (Calc)'!$C$3:$C$500,'Returns (Calc)'!$N$3:$N$500),2),"")</f>
        <v>0.04</v>
      </c>
      <c r="O7" s="191">
        <f>IFERROR(ROUND(CORREL('Returns (Calc)'!$C$3:$C$500,'Returns (Calc)'!$O$3:$O$500),2),"")</f>
        <v>0.35</v>
      </c>
      <c r="P7" s="191" t="str">
        <f>IFERROR(ROUND(CORREL('Returns (Calc)'!$C$3:$C$500,'Returns (Calc)'!$P$3:$P$500),2),"")</f>
        <v/>
      </c>
      <c r="Q7" s="191">
        <f>IFERROR(ROUND(CORREL('Returns (Calc)'!$C$3:$C$500,'Returns (Calc)'!$Q$3:$Q$500),2),"")</f>
        <v>0.02</v>
      </c>
      <c r="R7" s="191">
        <f>IFERROR(ROUND(CORREL('Returns (Calc)'!$C$3:$C$500,'Returns (Calc)'!$R$3:$R$500),2),"")</f>
        <v>0.64</v>
      </c>
      <c r="S7" s="191">
        <f>IFERROR(ROUND(CORREL('Returns (Calc)'!$C$3:$C$500,'Returns (Calc)'!$S$3:$S$500),2),"")</f>
        <v>0.64</v>
      </c>
      <c r="T7" s="191">
        <f>IFERROR(ROUND(CORREL('Returns (Calc)'!$C$3:$C$500,'Returns (Calc)'!$T$3:$T$500),2),"")</f>
        <v>0.34</v>
      </c>
      <c r="U7" s="191" t="str">
        <f>IFERROR(ROUND(CORREL('Returns (Calc)'!$C$3:$C$500,'Returns (Calc)'!$U$3:$U$500),2),"")</f>
        <v/>
      </c>
      <c r="V7" s="191">
        <f>IFERROR(ROUND(CORREL('Returns (Calc)'!$C$3:$C$500,'Returns (Calc)'!$V$3:$V$500),2),"")</f>
        <v>0.3</v>
      </c>
      <c r="AG7" s="90">
        <f t="shared" si="0"/>
        <v>0</v>
      </c>
    </row>
    <row r="8" spans="1:33" ht="15" customHeight="1" x14ac:dyDescent="0.3">
      <c r="A8" s="89" t="str">
        <f>'Returns (Calc)'!D2</f>
        <v>ASML</v>
      </c>
      <c r="B8" s="191">
        <f>IFERROR(ROUND(CORREL('Returns (Calc)'!$D$3:$D$500,'Returns (Calc)'!$B$3:$B$500),2),"")</f>
        <v>0.02</v>
      </c>
      <c r="C8" s="191">
        <f>IFERROR(ROUND(CORREL('Returns (Calc)'!$D$3:$D$500,'Returns (Calc)'!$C$3:$C$500),2),"")</f>
        <v>0.39</v>
      </c>
      <c r="D8" s="191">
        <v>1</v>
      </c>
      <c r="E8" s="191">
        <f>IFERROR(ROUND(CORREL('Returns (Calc)'!$D$3:$D$500,'Returns (Calc)'!$E$3:$E$500),2),"")</f>
        <v>0.5</v>
      </c>
      <c r="F8" s="191">
        <f>IFERROR(ROUND(CORREL('Returns (Calc)'!$D$3:$D$500,'Returns (Calc)'!$F$3:$F$500),2),"")</f>
        <v>0.32</v>
      </c>
      <c r="G8" s="191">
        <f>IFERROR(ROUND(CORREL('Returns (Calc)'!$D$3:$D$500,'Returns (Calc)'!$G$3:$G$500),2),"")</f>
        <v>0.77</v>
      </c>
      <c r="H8" s="191">
        <f>IFERROR(ROUND(CORREL('Returns (Calc)'!$D$3:$D$500,'Returns (Calc)'!$H$3:$H$500),2),"")</f>
        <v>0.6</v>
      </c>
      <c r="I8" s="191">
        <f>IFERROR(ROUND(CORREL('Returns (Calc)'!$D$3:$D$500,'Returns (Calc)'!$I$3:$I$500),2),"")</f>
        <v>0.49</v>
      </c>
      <c r="J8" s="191">
        <f>IFERROR(ROUND(CORREL('Returns (Calc)'!$D$3:$D$500,'Returns (Calc)'!$J$3:$J$500),2),"")</f>
        <v>0.28000000000000003</v>
      </c>
      <c r="K8" s="191">
        <f>IFERROR(ROUND(CORREL('Returns (Calc)'!$D$3:$D$500,'Returns (Calc)'!$K$3:$K$500),2),"")</f>
        <v>0.21</v>
      </c>
      <c r="L8" s="191">
        <f>IFERROR(ROUND(CORREL('Returns (Calc)'!$D$3:$D$500,'Returns (Calc)'!$L$3:$L$500),2),"")</f>
        <v>0.63</v>
      </c>
      <c r="M8" s="191">
        <f>IFERROR(ROUND(CORREL('Returns (Calc)'!$D$3:$D$500,'Returns (Calc)'!$M$3:$M$500),2),"")</f>
        <v>0.43</v>
      </c>
      <c r="N8" s="191">
        <f>IFERROR(ROUND(CORREL('Returns (Calc)'!$D$3:$D$500,'Returns (Calc)'!$N$3:$N$500),2),"")</f>
        <v>0.12</v>
      </c>
      <c r="O8" s="191">
        <f>IFERROR(ROUND(CORREL('Returns (Calc)'!$D$3:$D$500,'Returns (Calc)'!$O$3:$O$500),2),"")</f>
        <v>0.39</v>
      </c>
      <c r="P8" s="191" t="str">
        <f>IFERROR(ROUND(CORREL('Returns (Calc)'!$D$3:$D$500,'Returns (Calc)'!$P$3:$P$500),2),"")</f>
        <v/>
      </c>
      <c r="Q8" s="191">
        <f>IFERROR(ROUND(CORREL('Returns (Calc)'!$D$3:$D$500,'Returns (Calc)'!$Q$3:$Q$500),2),"")</f>
        <v>-0.04</v>
      </c>
      <c r="R8" s="191">
        <f>IFERROR(ROUND(CORREL('Returns (Calc)'!$D$3:$D$500,'Returns (Calc)'!$R$3:$R$500),2),"")</f>
        <v>0.61</v>
      </c>
      <c r="S8" s="191">
        <f>IFERROR(ROUND(CORREL('Returns (Calc)'!$D$3:$D$500,'Returns (Calc)'!$S$3:$S$500),2),"")</f>
        <v>0.61</v>
      </c>
      <c r="T8" s="191">
        <f>IFERROR(ROUND(CORREL('Returns (Calc)'!$D$3:$D$500,'Returns (Calc)'!$T$3:$T$500),2),"")</f>
        <v>0.31</v>
      </c>
      <c r="U8" s="191" t="str">
        <f>IFERROR(ROUND(CORREL('Returns (Calc)'!$D$3:$D$500,'Returns (Calc)'!$U$3:$U$500),2),"")</f>
        <v/>
      </c>
      <c r="V8" s="191">
        <f>IFERROR(ROUND(CORREL('Returns (Calc)'!$D$3:$D$500,'Returns (Calc)'!$V$3:$V$500),2),"")</f>
        <v>0.06</v>
      </c>
      <c r="AG8" s="90">
        <f t="shared" si="0"/>
        <v>1</v>
      </c>
    </row>
    <row r="9" spans="1:33" ht="15" customHeight="1" x14ac:dyDescent="0.3">
      <c r="A9" s="89" t="str">
        <f>'Returns (Calc)'!E2</f>
        <v>AVGO</v>
      </c>
      <c r="B9" s="191">
        <f>IFERROR(ROUND(CORREL('Returns (Calc)'!$E$3:$E$500,'Returns (Calc)'!$B$3:$B$500),2),"")</f>
        <v>0.17</v>
      </c>
      <c r="C9" s="191">
        <f>IFERROR(ROUND(CORREL('Returns (Calc)'!$E$3:$E$500,'Returns (Calc)'!$C$3:$C$500),2),"")</f>
        <v>0.57999999999999996</v>
      </c>
      <c r="D9" s="191">
        <f>IFERROR(ROUND(CORREL('Returns (Calc)'!$E$3:$E$500,'Returns (Calc)'!$D$3:$D$500),2),"")</f>
        <v>0.5</v>
      </c>
      <c r="E9" s="191">
        <v>1</v>
      </c>
      <c r="F9" s="191">
        <f>IFERROR(ROUND(CORREL('Returns (Calc)'!$E$3:$E$500,'Returns (Calc)'!$F$3:$F$500),2),"")</f>
        <v>0.41</v>
      </c>
      <c r="G9" s="191">
        <f>IFERROR(ROUND(CORREL('Returns (Calc)'!$E$3:$E$500,'Returns (Calc)'!$G$3:$G$500),2),"")</f>
        <v>0.54</v>
      </c>
      <c r="H9" s="191">
        <f>IFERROR(ROUND(CORREL('Returns (Calc)'!$E$3:$E$500,'Returns (Calc)'!$H$3:$H$500),2),"")</f>
        <v>0.48</v>
      </c>
      <c r="I9" s="191">
        <f>IFERROR(ROUND(CORREL('Returns (Calc)'!$E$3:$E$500,'Returns (Calc)'!$I$3:$I$500),2),"")</f>
        <v>0.62</v>
      </c>
      <c r="J9" s="191">
        <f>IFERROR(ROUND(CORREL('Returns (Calc)'!$E$3:$E$500,'Returns (Calc)'!$J$3:$J$500),2),"")</f>
        <v>0.22</v>
      </c>
      <c r="K9" s="191">
        <f>IFERROR(ROUND(CORREL('Returns (Calc)'!$E$3:$E$500,'Returns (Calc)'!$K$3:$K$500),2),"")</f>
        <v>0.38</v>
      </c>
      <c r="L9" s="191">
        <f>IFERROR(ROUND(CORREL('Returns (Calc)'!$E$3:$E$500,'Returns (Calc)'!$L$3:$L$500),2),"")</f>
        <v>0.63</v>
      </c>
      <c r="M9" s="191">
        <f>IFERROR(ROUND(CORREL('Returns (Calc)'!$E$3:$E$500,'Returns (Calc)'!$M$3:$M$500),2),"")</f>
        <v>0.53</v>
      </c>
      <c r="N9" s="191">
        <f>IFERROR(ROUND(CORREL('Returns (Calc)'!$E$3:$E$500,'Returns (Calc)'!$N$3:$N$500),2),"")</f>
        <v>0.15</v>
      </c>
      <c r="O9" s="191">
        <f>IFERROR(ROUND(CORREL('Returns (Calc)'!$E$3:$E$500,'Returns (Calc)'!$O$3:$O$500),2),"")</f>
        <v>0.28999999999999998</v>
      </c>
      <c r="P9" s="191" t="str">
        <f>IFERROR(ROUND(CORREL('Returns (Calc)'!$E$3:$E$500,'Returns (Calc)'!$P$3:$P$500),2),"")</f>
        <v/>
      </c>
      <c r="Q9" s="191">
        <f>IFERROR(ROUND(CORREL('Returns (Calc)'!$E$3:$E$500,'Returns (Calc)'!$Q$3:$Q$500),2),"")</f>
        <v>-0.04</v>
      </c>
      <c r="R9" s="191">
        <f>IFERROR(ROUND(CORREL('Returns (Calc)'!$E$3:$E$500,'Returns (Calc)'!$R$3:$R$500),2),"")</f>
        <v>0.72</v>
      </c>
      <c r="S9" s="191">
        <f>IFERROR(ROUND(CORREL('Returns (Calc)'!$E$3:$E$500,'Returns (Calc)'!$S$3:$S$500),2),"")</f>
        <v>0.73</v>
      </c>
      <c r="T9" s="191">
        <f>IFERROR(ROUND(CORREL('Returns (Calc)'!$E$3:$E$500,'Returns (Calc)'!$T$3:$T$500),2),"")</f>
        <v>0.26</v>
      </c>
      <c r="U9" s="191" t="str">
        <f>IFERROR(ROUND(CORREL('Returns (Calc)'!$E$3:$E$500,'Returns (Calc)'!$U$3:$U$500),2),"")</f>
        <v/>
      </c>
      <c r="V9" s="191">
        <f>IFERROR(ROUND(CORREL('Returns (Calc)'!$E$3:$E$500,'Returns (Calc)'!$V$3:$V$500),2),"")</f>
        <v>0.23</v>
      </c>
      <c r="AG9" s="90">
        <f t="shared" si="0"/>
        <v>2</v>
      </c>
    </row>
    <row r="10" spans="1:33" ht="15" customHeight="1" x14ac:dyDescent="0.3">
      <c r="A10" s="89" t="str">
        <f>'Returns (Calc)'!F2</f>
        <v>CRWD</v>
      </c>
      <c r="B10" s="191">
        <f>IFERROR(ROUND(CORREL('Returns (Calc)'!$F$3:$F$500,'Returns (Calc)'!$B$3:$B$500),2),"")</f>
        <v>0.42</v>
      </c>
      <c r="C10" s="191">
        <f>IFERROR(ROUND(CORREL('Returns (Calc)'!$F$3:$F$500,'Returns (Calc)'!$C$3:$C$500),2),"")</f>
        <v>0.38</v>
      </c>
      <c r="D10" s="191">
        <f>IFERROR(ROUND(CORREL('Returns (Calc)'!$F$3:$F$500,'Returns (Calc)'!$D$3:$D$500),2),"")</f>
        <v>0.32</v>
      </c>
      <c r="E10" s="191">
        <f>IFERROR(ROUND(CORREL('Returns (Calc)'!$F$3:$F$500,'Returns (Calc)'!$E$3:$E$500),2),"")</f>
        <v>0.41</v>
      </c>
      <c r="F10" s="191">
        <v>1</v>
      </c>
      <c r="G10" s="191">
        <f>IFERROR(ROUND(CORREL('Returns (Calc)'!$F$3:$F$500,'Returns (Calc)'!$G$3:$G$500),2),"")</f>
        <v>0.34</v>
      </c>
      <c r="H10" s="191">
        <f>IFERROR(ROUND(CORREL('Returns (Calc)'!$F$3:$F$500,'Returns (Calc)'!$H$3:$H$500),2),"")</f>
        <v>0.32</v>
      </c>
      <c r="I10" s="191">
        <f>IFERROR(ROUND(CORREL('Returns (Calc)'!$F$3:$F$500,'Returns (Calc)'!$I$3:$I$500),2),"")</f>
        <v>0.46</v>
      </c>
      <c r="J10" s="191">
        <f>IFERROR(ROUND(CORREL('Returns (Calc)'!$F$3:$F$500,'Returns (Calc)'!$J$3:$J$500),2),"")</f>
        <v>0.1</v>
      </c>
      <c r="K10" s="191">
        <f>IFERROR(ROUND(CORREL('Returns (Calc)'!$F$3:$F$500,'Returns (Calc)'!$K$3:$K$500),2),"")</f>
        <v>0.5</v>
      </c>
      <c r="L10" s="191">
        <f>IFERROR(ROUND(CORREL('Returns (Calc)'!$F$3:$F$500,'Returns (Calc)'!$L$3:$L$500),2),"")</f>
        <v>0.38</v>
      </c>
      <c r="M10" s="191">
        <f>IFERROR(ROUND(CORREL('Returns (Calc)'!$F$3:$F$500,'Returns (Calc)'!$M$3:$M$500),2),"")</f>
        <v>0.42</v>
      </c>
      <c r="N10" s="191">
        <f>IFERROR(ROUND(CORREL('Returns (Calc)'!$F$3:$F$500,'Returns (Calc)'!$N$3:$N$500),2),"")</f>
        <v>0.18</v>
      </c>
      <c r="O10" s="191">
        <f>IFERROR(ROUND(CORREL('Returns (Calc)'!$F$3:$F$500,'Returns (Calc)'!$O$3:$O$500),2),"")</f>
        <v>0.22</v>
      </c>
      <c r="P10" s="191" t="str">
        <f>IFERROR(ROUND(CORREL('Returns (Calc)'!$F$3:$F$500,'Returns (Calc)'!$P$3:$P$500),2),"")</f>
        <v/>
      </c>
      <c r="Q10" s="191">
        <f>IFERROR(ROUND(CORREL('Returns (Calc)'!$F$3:$F$500,'Returns (Calc)'!$Q$3:$Q$500),2),"")</f>
        <v>-0.03</v>
      </c>
      <c r="R10" s="191">
        <f>IFERROR(ROUND(CORREL('Returns (Calc)'!$F$3:$F$500,'Returns (Calc)'!$R$3:$R$500),2),"")</f>
        <v>0.53</v>
      </c>
      <c r="S10" s="191">
        <f>IFERROR(ROUND(CORREL('Returns (Calc)'!$F$3:$F$500,'Returns (Calc)'!$S$3:$S$500),2),"")</f>
        <v>0.53</v>
      </c>
      <c r="T10" s="191">
        <f>IFERROR(ROUND(CORREL('Returns (Calc)'!$F$3:$F$500,'Returns (Calc)'!$T$3:$T$500),2),"")</f>
        <v>0.32</v>
      </c>
      <c r="U10" s="191" t="str">
        <f>IFERROR(ROUND(CORREL('Returns (Calc)'!$F$3:$F$500,'Returns (Calc)'!$U$3:$U$500),2),"")</f>
        <v/>
      </c>
      <c r="V10" s="191">
        <f>IFERROR(ROUND(CORREL('Returns (Calc)'!$F$3:$F$500,'Returns (Calc)'!$V$3:$V$500),2),"")</f>
        <v>0.25</v>
      </c>
      <c r="AG10" s="90">
        <f t="shared" si="0"/>
        <v>0</v>
      </c>
    </row>
    <row r="11" spans="1:33" ht="15" customHeight="1" x14ac:dyDescent="0.3">
      <c r="A11" s="89" t="str">
        <f>'Returns (Calc)'!G2</f>
        <v>KLAC</v>
      </c>
      <c r="B11" s="191">
        <f>IFERROR(ROUND(CORREL('Returns (Calc)'!$G$3:$G$500,'Returns (Calc)'!$B$3:$B$500),2),"")</f>
        <v>-0.05</v>
      </c>
      <c r="C11" s="191">
        <f>IFERROR(ROUND(CORREL('Returns (Calc)'!$G$3:$G$500,'Returns (Calc)'!$C$3:$C$500),2),"")</f>
        <v>0.44</v>
      </c>
      <c r="D11" s="191">
        <f>IFERROR(ROUND(CORREL('Returns (Calc)'!$G$3:$G$500,'Returns (Calc)'!$D$3:$D$500),2),"")</f>
        <v>0.77</v>
      </c>
      <c r="E11" s="191">
        <f>IFERROR(ROUND(CORREL('Returns (Calc)'!$G$3:$G$500,'Returns (Calc)'!$E$3:$E$500),2),"")</f>
        <v>0.54</v>
      </c>
      <c r="F11" s="191">
        <f>IFERROR(ROUND(CORREL('Returns (Calc)'!$G$3:$G$500,'Returns (Calc)'!$F$3:$F$500),2),"")</f>
        <v>0.34</v>
      </c>
      <c r="G11" s="191">
        <v>1</v>
      </c>
      <c r="H11" s="191">
        <f>IFERROR(ROUND(CORREL('Returns (Calc)'!$G$3:$G$500,'Returns (Calc)'!$H$3:$H$500),2),"")</f>
        <v>0.6</v>
      </c>
      <c r="I11" s="191">
        <f>IFERROR(ROUND(CORREL('Returns (Calc)'!$G$3:$G$500,'Returns (Calc)'!$I$3:$I$500),2),"")</f>
        <v>0.52</v>
      </c>
      <c r="J11" s="191">
        <f>IFERROR(ROUND(CORREL('Returns (Calc)'!$G$3:$G$500,'Returns (Calc)'!$J$3:$J$500),2),"")</f>
        <v>0.28000000000000003</v>
      </c>
      <c r="K11" s="191">
        <f>IFERROR(ROUND(CORREL('Returns (Calc)'!$G$3:$G$500,'Returns (Calc)'!$K$3:$K$500),2),"")</f>
        <v>0.25</v>
      </c>
      <c r="L11" s="191">
        <f>IFERROR(ROUND(CORREL('Returns (Calc)'!$G$3:$G$500,'Returns (Calc)'!$L$3:$L$500),2),"")</f>
        <v>0.61</v>
      </c>
      <c r="M11" s="191">
        <f>IFERROR(ROUND(CORREL('Returns (Calc)'!$G$3:$G$500,'Returns (Calc)'!$M$3:$M$500),2),"")</f>
        <v>0.51</v>
      </c>
      <c r="N11" s="191">
        <f>IFERROR(ROUND(CORREL('Returns (Calc)'!$G$3:$G$500,'Returns (Calc)'!$N$3:$N$500),2),"")</f>
        <v>0.16</v>
      </c>
      <c r="O11" s="191">
        <f>IFERROR(ROUND(CORREL('Returns (Calc)'!$G$3:$G$500,'Returns (Calc)'!$O$3:$O$500),2),"")</f>
        <v>0.43</v>
      </c>
      <c r="P11" s="191" t="str">
        <f>IFERROR(ROUND(CORREL('Returns (Calc)'!$G$3:$G$500,'Returns (Calc)'!$P$3:$P$500),2),"")</f>
        <v/>
      </c>
      <c r="Q11" s="191">
        <f>IFERROR(ROUND(CORREL('Returns (Calc)'!$G$3:$G$500,'Returns (Calc)'!$Q$3:$Q$500),2),"")</f>
        <v>-0.02</v>
      </c>
      <c r="R11" s="191">
        <f>IFERROR(ROUND(CORREL('Returns (Calc)'!$G$3:$G$500,'Returns (Calc)'!$R$3:$R$500),2),"")</f>
        <v>0.62</v>
      </c>
      <c r="S11" s="191">
        <f>IFERROR(ROUND(CORREL('Returns (Calc)'!$G$3:$G$500,'Returns (Calc)'!$S$3:$S$500),2),"")</f>
        <v>0.67</v>
      </c>
      <c r="T11" s="191">
        <f>IFERROR(ROUND(CORREL('Returns (Calc)'!$G$3:$G$500,'Returns (Calc)'!$T$3:$T$500),2),"")</f>
        <v>0.31</v>
      </c>
      <c r="U11" s="191" t="str">
        <f>IFERROR(ROUND(CORREL('Returns (Calc)'!$G$3:$G$500,'Returns (Calc)'!$U$3:$U$500),2),"")</f>
        <v/>
      </c>
      <c r="V11" s="191">
        <f>IFERROR(ROUND(CORREL('Returns (Calc)'!$G$3:$G$500,'Returns (Calc)'!$V$3:$V$500),2),"")</f>
        <v>0.03</v>
      </c>
      <c r="AG11" s="90">
        <f t="shared" si="0"/>
        <v>1</v>
      </c>
    </row>
    <row r="12" spans="1:33" ht="15" customHeight="1" x14ac:dyDescent="0.3">
      <c r="A12" s="89" t="str">
        <f>'Returns (Calc)'!H2</f>
        <v>MU</v>
      </c>
      <c r="B12" s="191">
        <f>IFERROR(ROUND(CORREL('Returns (Calc)'!$H$3:$H$500,'Returns (Calc)'!$B$3:$B$500),2),"")</f>
        <v>0.05</v>
      </c>
      <c r="C12" s="191">
        <f>IFERROR(ROUND(CORREL('Returns (Calc)'!$H$3:$H$500,'Returns (Calc)'!$C$3:$C$500),2),"")</f>
        <v>0.35</v>
      </c>
      <c r="D12" s="191">
        <f>IFERROR(ROUND(CORREL('Returns (Calc)'!$H$3:$H$500,'Returns (Calc)'!$D$3:$D$500),2),"")</f>
        <v>0.6</v>
      </c>
      <c r="E12" s="191">
        <f>IFERROR(ROUND(CORREL('Returns (Calc)'!$H$3:$H$500,'Returns (Calc)'!$E$3:$E$500),2),"")</f>
        <v>0.48</v>
      </c>
      <c r="F12" s="191">
        <f>IFERROR(ROUND(CORREL('Returns (Calc)'!$H$3:$H$500,'Returns (Calc)'!$F$3:$F$500),2),"")</f>
        <v>0.32</v>
      </c>
      <c r="G12" s="191">
        <f>IFERROR(ROUND(CORREL('Returns (Calc)'!$H$3:$H$500,'Returns (Calc)'!$G$3:$G$500),2),"")</f>
        <v>0.6</v>
      </c>
      <c r="H12" s="191">
        <v>1</v>
      </c>
      <c r="I12" s="191">
        <f>IFERROR(ROUND(CORREL('Returns (Calc)'!$H$3:$H$500,'Returns (Calc)'!$I$3:$I$500),2),"")</f>
        <v>0.5</v>
      </c>
      <c r="J12" s="191">
        <f>IFERROR(ROUND(CORREL('Returns (Calc)'!$H$3:$H$500,'Returns (Calc)'!$J$3:$J$500),2),"")</f>
        <v>0.2</v>
      </c>
      <c r="K12" s="191">
        <f>IFERROR(ROUND(CORREL('Returns (Calc)'!$H$3:$H$500,'Returns (Calc)'!$K$3:$K$500),2),"")</f>
        <v>0.17</v>
      </c>
      <c r="L12" s="191">
        <f>IFERROR(ROUND(CORREL('Returns (Calc)'!$H$3:$H$500,'Returns (Calc)'!$L$3:$L$500),2),"")</f>
        <v>0.55000000000000004</v>
      </c>
      <c r="M12" s="191">
        <f>IFERROR(ROUND(CORREL('Returns (Calc)'!$H$3:$H$500,'Returns (Calc)'!$M$3:$M$500),2),"")</f>
        <v>0.5</v>
      </c>
      <c r="N12" s="191">
        <f>IFERROR(ROUND(CORREL('Returns (Calc)'!$H$3:$H$500,'Returns (Calc)'!$N$3:$N$500),2),"")</f>
        <v>0.18</v>
      </c>
      <c r="O12" s="191">
        <f>IFERROR(ROUND(CORREL('Returns (Calc)'!$H$3:$H$500,'Returns (Calc)'!$O$3:$O$500),2),"")</f>
        <v>0.36</v>
      </c>
      <c r="P12" s="191" t="str">
        <f>IFERROR(ROUND(CORREL('Returns (Calc)'!$H$3:$H$500,'Returns (Calc)'!$P$3:$P$500),2),"")</f>
        <v/>
      </c>
      <c r="Q12" s="191">
        <f>IFERROR(ROUND(CORREL('Returns (Calc)'!$H$3:$H$500,'Returns (Calc)'!$Q$3:$Q$500),2),"")</f>
        <v>-0.1</v>
      </c>
      <c r="R12" s="191">
        <f>IFERROR(ROUND(CORREL('Returns (Calc)'!$H$3:$H$500,'Returns (Calc)'!$R$3:$R$500),2),"")</f>
        <v>0.61</v>
      </c>
      <c r="S12" s="191">
        <f>IFERROR(ROUND(CORREL('Returns (Calc)'!$H$3:$H$500,'Returns (Calc)'!$S$3:$S$500),2),"")</f>
        <v>0.66</v>
      </c>
      <c r="T12" s="191">
        <f>IFERROR(ROUND(CORREL('Returns (Calc)'!$H$3:$H$500,'Returns (Calc)'!$T$3:$T$500),2),"")</f>
        <v>0.43</v>
      </c>
      <c r="U12" s="191" t="str">
        <f>IFERROR(ROUND(CORREL('Returns (Calc)'!$H$3:$H$500,'Returns (Calc)'!$U$3:$U$500),2),"")</f>
        <v/>
      </c>
      <c r="V12" s="191">
        <f>IFERROR(ROUND(CORREL('Returns (Calc)'!$H$3:$H$500,'Returns (Calc)'!$V$3:$V$500),2),"")</f>
        <v>0.05</v>
      </c>
      <c r="AG12" s="90">
        <f t="shared" si="0"/>
        <v>0</v>
      </c>
    </row>
    <row r="13" spans="1:33" ht="15" customHeight="1" x14ac:dyDescent="0.3">
      <c r="A13" s="89" t="str">
        <f>'Returns (Calc)'!I2</f>
        <v>NVDA</v>
      </c>
      <c r="B13" s="191">
        <f>IFERROR(ROUND(CORREL('Returns (Calc)'!$I$3:$I$500,'Returns (Calc)'!$B$3:$B$500),2),"")</f>
        <v>0.22</v>
      </c>
      <c r="C13" s="191">
        <f>IFERROR(ROUND(CORREL('Returns (Calc)'!$I$3:$I$500,'Returns (Calc)'!$C$3:$C$500),2),"")</f>
        <v>0.53</v>
      </c>
      <c r="D13" s="191">
        <f>IFERROR(ROUND(CORREL('Returns (Calc)'!$I$3:$I$500,'Returns (Calc)'!$D$3:$D$500),2),"")</f>
        <v>0.49</v>
      </c>
      <c r="E13" s="191">
        <f>IFERROR(ROUND(CORREL('Returns (Calc)'!$I$3:$I$500,'Returns (Calc)'!$E$3:$E$500),2),"")</f>
        <v>0.62</v>
      </c>
      <c r="F13" s="191">
        <f>IFERROR(ROUND(CORREL('Returns (Calc)'!$I$3:$I$500,'Returns (Calc)'!$F$3:$F$500),2),"")</f>
        <v>0.46</v>
      </c>
      <c r="G13" s="191">
        <f>IFERROR(ROUND(CORREL('Returns (Calc)'!$I$3:$I$500,'Returns (Calc)'!$G$3:$G$500),2),"")</f>
        <v>0.52</v>
      </c>
      <c r="H13" s="191">
        <f>IFERROR(ROUND(CORREL('Returns (Calc)'!$I$3:$I$500,'Returns (Calc)'!$H$3:$H$500),2),"")</f>
        <v>0.5</v>
      </c>
      <c r="I13" s="191">
        <v>1</v>
      </c>
      <c r="J13" s="191">
        <f>IFERROR(ROUND(CORREL('Returns (Calc)'!$I$3:$I$500,'Returns (Calc)'!$J$3:$J$500),2),"")</f>
        <v>0.17</v>
      </c>
      <c r="K13" s="191">
        <f>IFERROR(ROUND(CORREL('Returns (Calc)'!$I$3:$I$500,'Returns (Calc)'!$K$3:$K$500),2),"")</f>
        <v>0.45</v>
      </c>
      <c r="L13" s="191">
        <f>IFERROR(ROUND(CORREL('Returns (Calc)'!$I$3:$I$500,'Returns (Calc)'!$L$3:$L$500),2),"")</f>
        <v>0.64</v>
      </c>
      <c r="M13" s="191">
        <f>IFERROR(ROUND(CORREL('Returns (Calc)'!$I$3:$I$500,'Returns (Calc)'!$M$3:$M$500),2),"")</f>
        <v>0.65</v>
      </c>
      <c r="N13" s="191">
        <f>IFERROR(ROUND(CORREL('Returns (Calc)'!$I$3:$I$500,'Returns (Calc)'!$N$3:$N$500),2),"")</f>
        <v>0.13</v>
      </c>
      <c r="O13" s="191">
        <f>IFERROR(ROUND(CORREL('Returns (Calc)'!$I$3:$I$500,'Returns (Calc)'!$O$3:$O$500),2),"")</f>
        <v>0.28000000000000003</v>
      </c>
      <c r="P13" s="191" t="str">
        <f>IFERROR(ROUND(CORREL('Returns (Calc)'!$I$3:$I$500,'Returns (Calc)'!$P$3:$P$500),2),"")</f>
        <v/>
      </c>
      <c r="Q13" s="191">
        <f>IFERROR(ROUND(CORREL('Returns (Calc)'!$I$3:$I$500,'Returns (Calc)'!$Q$3:$Q$500),2),"")</f>
        <v>-7.0000000000000007E-2</v>
      </c>
      <c r="R13" s="191">
        <f>IFERROR(ROUND(CORREL('Returns (Calc)'!$I$3:$I$500,'Returns (Calc)'!$R$3:$R$500),2),"")</f>
        <v>0.71</v>
      </c>
      <c r="S13" s="191">
        <f>IFERROR(ROUND(CORREL('Returns (Calc)'!$I$3:$I$500,'Returns (Calc)'!$S$3:$S$500),2),"")</f>
        <v>0.74</v>
      </c>
      <c r="T13" s="191">
        <f>IFERROR(ROUND(CORREL('Returns (Calc)'!$I$3:$I$500,'Returns (Calc)'!$T$3:$T$500),2),"")</f>
        <v>0.28999999999999998</v>
      </c>
      <c r="U13" s="191" t="str">
        <f>IFERROR(ROUND(CORREL('Returns (Calc)'!$I$3:$I$500,'Returns (Calc)'!$U$3:$U$500),2),"")</f>
        <v/>
      </c>
      <c r="V13" s="191">
        <f>IFERROR(ROUND(CORREL('Returns (Calc)'!$I$3:$I$500,'Returns (Calc)'!$V$3:$V$500),2),"")</f>
        <v>0.23</v>
      </c>
      <c r="AG13" s="90">
        <f t="shared" si="0"/>
        <v>2</v>
      </c>
    </row>
    <row r="14" spans="1:33" ht="15" customHeight="1" x14ac:dyDescent="0.3">
      <c r="A14" s="89" t="str">
        <f>'Returns (Calc)'!J2</f>
        <v>PLD</v>
      </c>
      <c r="B14" s="191">
        <f>IFERROR(ROUND(CORREL('Returns (Calc)'!$J$3:$J$500,'Returns (Calc)'!$B$3:$B$500),2),"")</f>
        <v>0.18</v>
      </c>
      <c r="C14" s="191">
        <f>IFERROR(ROUND(CORREL('Returns (Calc)'!$J$3:$J$500,'Returns (Calc)'!$C$3:$C$500),2),"")</f>
        <v>0.18</v>
      </c>
      <c r="D14" s="191">
        <f>IFERROR(ROUND(CORREL('Returns (Calc)'!$J$3:$J$500,'Returns (Calc)'!$D$3:$D$500),2),"")</f>
        <v>0.28000000000000003</v>
      </c>
      <c r="E14" s="191">
        <f>IFERROR(ROUND(CORREL('Returns (Calc)'!$J$3:$J$500,'Returns (Calc)'!$E$3:$E$500),2),"")</f>
        <v>0.22</v>
      </c>
      <c r="F14" s="191">
        <f>IFERROR(ROUND(CORREL('Returns (Calc)'!$J$3:$J$500,'Returns (Calc)'!$F$3:$F$500),2),"")</f>
        <v>0.1</v>
      </c>
      <c r="G14" s="191">
        <f>IFERROR(ROUND(CORREL('Returns (Calc)'!$J$3:$J$500,'Returns (Calc)'!$G$3:$G$500),2),"")</f>
        <v>0.28000000000000003</v>
      </c>
      <c r="H14" s="191">
        <f>IFERROR(ROUND(CORREL('Returns (Calc)'!$J$3:$J$500,'Returns (Calc)'!$H$3:$H$500),2),"")</f>
        <v>0.2</v>
      </c>
      <c r="I14" s="191">
        <f>IFERROR(ROUND(CORREL('Returns (Calc)'!$J$3:$J$500,'Returns (Calc)'!$I$3:$I$500),2),"")</f>
        <v>0.17</v>
      </c>
      <c r="J14" s="191">
        <v>1</v>
      </c>
      <c r="K14" s="191">
        <f>IFERROR(ROUND(CORREL('Returns (Calc)'!$J$3:$J$500,'Returns (Calc)'!$K$3:$K$500),2),"")</f>
        <v>0.13</v>
      </c>
      <c r="L14" s="191">
        <f>IFERROR(ROUND(CORREL('Returns (Calc)'!$J$3:$J$500,'Returns (Calc)'!$L$3:$L$500),2),"")</f>
        <v>0.21</v>
      </c>
      <c r="M14" s="191">
        <f>IFERROR(ROUND(CORREL('Returns (Calc)'!$J$3:$J$500,'Returns (Calc)'!$M$3:$M$500),2),"")</f>
        <v>0.14000000000000001</v>
      </c>
      <c r="N14" s="191">
        <f>IFERROR(ROUND(CORREL('Returns (Calc)'!$J$3:$J$500,'Returns (Calc)'!$N$3:$N$500),2),"")</f>
        <v>0.25</v>
      </c>
      <c r="O14" s="191">
        <f>IFERROR(ROUND(CORREL('Returns (Calc)'!$J$3:$J$500,'Returns (Calc)'!$O$3:$O$500),2),"")</f>
        <v>0.62</v>
      </c>
      <c r="P14" s="191" t="str">
        <f>IFERROR(ROUND(CORREL('Returns (Calc)'!$J$3:$J$500,'Returns (Calc)'!$P$3:$P$500),2),"")</f>
        <v/>
      </c>
      <c r="Q14" s="191">
        <f>IFERROR(ROUND(CORREL('Returns (Calc)'!$J$3:$J$500,'Returns (Calc)'!$Q$3:$Q$500),2),"")</f>
        <v>-0.11</v>
      </c>
      <c r="R14" s="191">
        <f>IFERROR(ROUND(CORREL('Returns (Calc)'!$J$3:$J$500,'Returns (Calc)'!$R$3:$R$500),2),"")</f>
        <v>0.36</v>
      </c>
      <c r="S14" s="191">
        <f>IFERROR(ROUND(CORREL('Returns (Calc)'!$J$3:$J$500,'Returns (Calc)'!$S$3:$S$500),2),"")</f>
        <v>0.35</v>
      </c>
      <c r="T14" s="191">
        <f>IFERROR(ROUND(CORREL('Returns (Calc)'!$J$3:$J$500,'Returns (Calc)'!$T$3:$T$500),2),"")</f>
        <v>0.52</v>
      </c>
      <c r="U14" s="191" t="str">
        <f>IFERROR(ROUND(CORREL('Returns (Calc)'!$J$3:$J$500,'Returns (Calc)'!$U$3:$U$500),2),"")</f>
        <v/>
      </c>
      <c r="V14" s="191">
        <f>IFERROR(ROUND(CORREL('Returns (Calc)'!$J$3:$J$500,'Returns (Calc)'!$V$3:$V$500),2),"")</f>
        <v>0.4</v>
      </c>
      <c r="AG14" s="90">
        <f t="shared" si="0"/>
        <v>0</v>
      </c>
    </row>
    <row r="15" spans="1:33" ht="15" customHeight="1" x14ac:dyDescent="0.3">
      <c r="A15" s="89" t="str">
        <f>'Returns (Calc)'!K2</f>
        <v>PLTR</v>
      </c>
      <c r="B15" s="191">
        <f>IFERROR(ROUND(CORREL('Returns (Calc)'!$K$3:$K$500,'Returns (Calc)'!$B$3:$B$500),2),"")</f>
        <v>0.37</v>
      </c>
      <c r="C15" s="191">
        <f>IFERROR(ROUND(CORREL('Returns (Calc)'!$K$3:$K$500,'Returns (Calc)'!$C$3:$C$500),2),"")</f>
        <v>0.33</v>
      </c>
      <c r="D15" s="191">
        <f>IFERROR(ROUND(CORREL('Returns (Calc)'!$K$3:$K$500,'Returns (Calc)'!$D$3:$D$500),2),"")</f>
        <v>0.21</v>
      </c>
      <c r="E15" s="191">
        <f>IFERROR(ROUND(CORREL('Returns (Calc)'!$K$3:$K$500,'Returns (Calc)'!$E$3:$E$500),2),"")</f>
        <v>0.38</v>
      </c>
      <c r="F15" s="191">
        <f>IFERROR(ROUND(CORREL('Returns (Calc)'!$K$3:$K$500,'Returns (Calc)'!$F$3:$F$500),2),"")</f>
        <v>0.5</v>
      </c>
      <c r="G15" s="191">
        <f>IFERROR(ROUND(CORREL('Returns (Calc)'!$K$3:$K$500,'Returns (Calc)'!$G$3:$G$500),2),"")</f>
        <v>0.25</v>
      </c>
      <c r="H15" s="191">
        <f>IFERROR(ROUND(CORREL('Returns (Calc)'!$K$3:$K$500,'Returns (Calc)'!$H$3:$H$500),2),"")</f>
        <v>0.17</v>
      </c>
      <c r="I15" s="191">
        <f>IFERROR(ROUND(CORREL('Returns (Calc)'!$K$3:$K$500,'Returns (Calc)'!$I$3:$I$500),2),"")</f>
        <v>0.45</v>
      </c>
      <c r="J15" s="191">
        <f>IFERROR(ROUND(CORREL('Returns (Calc)'!$K$3:$K$500,'Returns (Calc)'!$J$3:$J$500),2),"")</f>
        <v>0.13</v>
      </c>
      <c r="K15" s="191">
        <v>1</v>
      </c>
      <c r="L15" s="191">
        <f>IFERROR(ROUND(CORREL('Returns (Calc)'!$K$3:$K$500,'Returns (Calc)'!$L$3:$L$500),2),"")</f>
        <v>0.38</v>
      </c>
      <c r="M15" s="191">
        <f>IFERROR(ROUND(CORREL('Returns (Calc)'!$K$3:$K$500,'Returns (Calc)'!$M$3:$M$500),2),"")</f>
        <v>0.32</v>
      </c>
      <c r="N15" s="191">
        <f>IFERROR(ROUND(CORREL('Returns (Calc)'!$K$3:$K$500,'Returns (Calc)'!$N$3:$N$500),2),"")</f>
        <v>7.0000000000000007E-2</v>
      </c>
      <c r="O15" s="191">
        <f>IFERROR(ROUND(CORREL('Returns (Calc)'!$K$3:$K$500,'Returns (Calc)'!$O$3:$O$500),2),"")</f>
        <v>0.25</v>
      </c>
      <c r="P15" s="191" t="str">
        <f>IFERROR(ROUND(CORREL('Returns (Calc)'!$K$3:$K$500,'Returns (Calc)'!$P$3:$P$500),2),"")</f>
        <v/>
      </c>
      <c r="Q15" s="191">
        <f>IFERROR(ROUND(CORREL('Returns (Calc)'!$K$3:$K$500,'Returns (Calc)'!$Q$3:$Q$500),2),"")</f>
        <v>-0.03</v>
      </c>
      <c r="R15" s="191">
        <f>IFERROR(ROUND(CORREL('Returns (Calc)'!$K$3:$K$500,'Returns (Calc)'!$R$3:$R$500),2),"")</f>
        <v>0.48</v>
      </c>
      <c r="S15" s="191">
        <f>IFERROR(ROUND(CORREL('Returns (Calc)'!$K$3:$K$500,'Returns (Calc)'!$S$3:$S$500),2),"")</f>
        <v>0.44</v>
      </c>
      <c r="T15" s="191">
        <f>IFERROR(ROUND(CORREL('Returns (Calc)'!$K$3:$K$500,'Returns (Calc)'!$T$3:$T$500),2),"")</f>
        <v>0.35</v>
      </c>
      <c r="U15" s="191" t="str">
        <f>IFERROR(ROUND(CORREL('Returns (Calc)'!$K$3:$K$500,'Returns (Calc)'!$U$3:$U$500),2),"")</f>
        <v/>
      </c>
      <c r="V15" s="191">
        <f>IFERROR(ROUND(CORREL('Returns (Calc)'!$K$3:$K$500,'Returns (Calc)'!$V$3:$V$500),2),"")</f>
        <v>0.24</v>
      </c>
      <c r="AG15" s="90">
        <f t="shared" si="0"/>
        <v>0</v>
      </c>
    </row>
    <row r="16" spans="1:33" ht="15" customHeight="1" x14ac:dyDescent="0.3">
      <c r="A16" s="89" t="str">
        <f>'Returns (Calc)'!L2</f>
        <v>TSM</v>
      </c>
      <c r="B16" s="191">
        <f>IFERROR(ROUND(CORREL('Returns (Calc)'!$L$3:$L$500,'Returns (Calc)'!$B$3:$B$500),2),"")</f>
        <v>0.16</v>
      </c>
      <c r="C16" s="191">
        <f>IFERROR(ROUND(CORREL('Returns (Calc)'!$L$3:$L$500,'Returns (Calc)'!$C$3:$C$500),2),"")</f>
        <v>0.55000000000000004</v>
      </c>
      <c r="D16" s="191">
        <f>IFERROR(ROUND(CORREL('Returns (Calc)'!$L$3:$L$500,'Returns (Calc)'!$D$3:$D$500),2),"")</f>
        <v>0.63</v>
      </c>
      <c r="E16" s="191">
        <f>IFERROR(ROUND(CORREL('Returns (Calc)'!$L$3:$L$500,'Returns (Calc)'!$E$3:$E$500),2),"")</f>
        <v>0.63</v>
      </c>
      <c r="F16" s="191">
        <f>IFERROR(ROUND(CORREL('Returns (Calc)'!$L$3:$L$500,'Returns (Calc)'!$F$3:$F$500),2),"")</f>
        <v>0.38</v>
      </c>
      <c r="G16" s="191">
        <f>IFERROR(ROUND(CORREL('Returns (Calc)'!$L$3:$L$500,'Returns (Calc)'!$G$3:$G$500),2),"")</f>
        <v>0.61</v>
      </c>
      <c r="H16" s="191">
        <f>IFERROR(ROUND(CORREL('Returns (Calc)'!$L$3:$L$500,'Returns (Calc)'!$H$3:$H$500),2),"")</f>
        <v>0.55000000000000004</v>
      </c>
      <c r="I16" s="191">
        <f>IFERROR(ROUND(CORREL('Returns (Calc)'!$L$3:$L$500,'Returns (Calc)'!$I$3:$I$500),2),"")</f>
        <v>0.64</v>
      </c>
      <c r="J16" s="191">
        <f>IFERROR(ROUND(CORREL('Returns (Calc)'!$L$3:$L$500,'Returns (Calc)'!$J$3:$J$500),2),"")</f>
        <v>0.21</v>
      </c>
      <c r="K16" s="191">
        <f>IFERROR(ROUND(CORREL('Returns (Calc)'!$L$3:$L$500,'Returns (Calc)'!$K$3:$K$500),2),"")</f>
        <v>0.38</v>
      </c>
      <c r="L16" s="191">
        <v>1</v>
      </c>
      <c r="M16" s="191">
        <f>IFERROR(ROUND(CORREL('Returns (Calc)'!$L$3:$L$500,'Returns (Calc)'!$M$3:$M$500),2),"")</f>
        <v>0.6</v>
      </c>
      <c r="N16" s="191">
        <f>IFERROR(ROUND(CORREL('Returns (Calc)'!$L$3:$L$500,'Returns (Calc)'!$N$3:$N$500),2),"")</f>
        <v>0.15</v>
      </c>
      <c r="O16" s="191">
        <f>IFERROR(ROUND(CORREL('Returns (Calc)'!$L$3:$L$500,'Returns (Calc)'!$O$3:$O$500),2),"")</f>
        <v>0.33</v>
      </c>
      <c r="P16" s="191" t="str">
        <f>IFERROR(ROUND(CORREL('Returns (Calc)'!$L$3:$L$500,'Returns (Calc)'!$P$3:$P$500),2),"")</f>
        <v/>
      </c>
      <c r="Q16" s="191">
        <f>IFERROR(ROUND(CORREL('Returns (Calc)'!$L$3:$L$500,'Returns (Calc)'!$Q$3:$Q$500),2),"")</f>
        <v>0.02</v>
      </c>
      <c r="R16" s="191">
        <f>IFERROR(ROUND(CORREL('Returns (Calc)'!$L$3:$L$500,'Returns (Calc)'!$R$3:$R$500),2),"")</f>
        <v>0.67</v>
      </c>
      <c r="S16" s="191">
        <f>IFERROR(ROUND(CORREL('Returns (Calc)'!$L$3:$L$500,'Returns (Calc)'!$S$3:$S$500),2),"")</f>
        <v>0.69</v>
      </c>
      <c r="T16" s="191">
        <f>IFERROR(ROUND(CORREL('Returns (Calc)'!$L$3:$L$500,'Returns (Calc)'!$T$3:$T$500),2),"")</f>
        <v>0.28999999999999998</v>
      </c>
      <c r="U16" s="191" t="str">
        <f>IFERROR(ROUND(CORREL('Returns (Calc)'!$L$3:$L$500,'Returns (Calc)'!$U$3:$U$500),2),"")</f>
        <v/>
      </c>
      <c r="V16" s="191">
        <f>IFERROR(ROUND(CORREL('Returns (Calc)'!$L$3:$L$500,'Returns (Calc)'!$V$3:$V$500),2),"")</f>
        <v>0.13</v>
      </c>
      <c r="AG16" s="90">
        <f t="shared" si="0"/>
        <v>0</v>
      </c>
    </row>
    <row r="17" spans="1:33" ht="15" customHeight="1" x14ac:dyDescent="0.3">
      <c r="A17" s="89" t="str">
        <f>'Returns (Calc)'!M2</f>
        <v>VRT</v>
      </c>
      <c r="B17" s="191">
        <f>IFERROR(ROUND(CORREL('Returns (Calc)'!$M$3:$M$500,'Returns (Calc)'!$B$3:$B$500),2),"")</f>
        <v>0.06</v>
      </c>
      <c r="C17" s="191">
        <f>IFERROR(ROUND(CORREL('Returns (Calc)'!$M$3:$M$500,'Returns (Calc)'!$C$3:$C$500),2),"")</f>
        <v>0.59</v>
      </c>
      <c r="D17" s="191">
        <f>IFERROR(ROUND(CORREL('Returns (Calc)'!$M$3:$M$500,'Returns (Calc)'!$D$3:$D$500),2),"")</f>
        <v>0.43</v>
      </c>
      <c r="E17" s="191">
        <f>IFERROR(ROUND(CORREL('Returns (Calc)'!$M$3:$M$500,'Returns (Calc)'!$E$3:$E$500),2),"")</f>
        <v>0.53</v>
      </c>
      <c r="F17" s="191">
        <f>IFERROR(ROUND(CORREL('Returns (Calc)'!$M$3:$M$500,'Returns (Calc)'!$F$3:$F$500),2),"")</f>
        <v>0.42</v>
      </c>
      <c r="G17" s="191">
        <f>IFERROR(ROUND(CORREL('Returns (Calc)'!$M$3:$M$500,'Returns (Calc)'!$G$3:$G$500),2),"")</f>
        <v>0.51</v>
      </c>
      <c r="H17" s="191">
        <f>IFERROR(ROUND(CORREL('Returns (Calc)'!$M$3:$M$500,'Returns (Calc)'!$H$3:$H$500),2),"")</f>
        <v>0.5</v>
      </c>
      <c r="I17" s="191">
        <f>IFERROR(ROUND(CORREL('Returns (Calc)'!$M$3:$M$500,'Returns (Calc)'!$I$3:$I$500),2),"")</f>
        <v>0.65</v>
      </c>
      <c r="J17" s="191">
        <f>IFERROR(ROUND(CORREL('Returns (Calc)'!$M$3:$M$500,'Returns (Calc)'!$J$3:$J$500),2),"")</f>
        <v>0.14000000000000001</v>
      </c>
      <c r="K17" s="191">
        <f>IFERROR(ROUND(CORREL('Returns (Calc)'!$M$3:$M$500,'Returns (Calc)'!$K$3:$K$500),2),"")</f>
        <v>0.32</v>
      </c>
      <c r="L17" s="191">
        <f>IFERROR(ROUND(CORREL('Returns (Calc)'!$M$3:$M$500,'Returns (Calc)'!$L$3:$L$500),2),"")</f>
        <v>0.6</v>
      </c>
      <c r="M17" s="191">
        <v>1</v>
      </c>
      <c r="N17" s="191">
        <f>IFERROR(ROUND(CORREL('Returns (Calc)'!$M$3:$M$500,'Returns (Calc)'!$N$3:$N$500),2),"")</f>
        <v>0.11</v>
      </c>
      <c r="O17" s="191">
        <f>IFERROR(ROUND(CORREL('Returns (Calc)'!$M$3:$M$500,'Returns (Calc)'!$O$3:$O$500),2),"")</f>
        <v>0.34</v>
      </c>
      <c r="P17" s="191" t="str">
        <f>IFERROR(ROUND(CORREL('Returns (Calc)'!$M$3:$M$500,'Returns (Calc)'!$P$3:$P$500),2),"")</f>
        <v/>
      </c>
      <c r="Q17" s="191">
        <f>IFERROR(ROUND(CORREL('Returns (Calc)'!$M$3:$M$500,'Returns (Calc)'!$Q$3:$Q$500),2),"")</f>
        <v>0</v>
      </c>
      <c r="R17" s="191">
        <f>IFERROR(ROUND(CORREL('Returns (Calc)'!$M$3:$M$500,'Returns (Calc)'!$R$3:$R$500),2),"")</f>
        <v>0.62</v>
      </c>
      <c r="S17" s="191">
        <f>IFERROR(ROUND(CORREL('Returns (Calc)'!$M$3:$M$500,'Returns (Calc)'!$S$3:$S$500),2),"")</f>
        <v>0.66</v>
      </c>
      <c r="T17" s="191">
        <f>IFERROR(ROUND(CORREL('Returns (Calc)'!$M$3:$M$500,'Returns (Calc)'!$T$3:$T$500),2),"")</f>
        <v>0.28999999999999998</v>
      </c>
      <c r="U17" s="191" t="str">
        <f>IFERROR(ROUND(CORREL('Returns (Calc)'!$M$3:$M$500,'Returns (Calc)'!$U$3:$U$500),2),"")</f>
        <v/>
      </c>
      <c r="V17" s="191">
        <f>IFERROR(ROUND(CORREL('Returns (Calc)'!$M$3:$M$500,'Returns (Calc)'!$V$3:$V$500),2),"")</f>
        <v>0.16</v>
      </c>
      <c r="AG17" s="90">
        <f t="shared" si="0"/>
        <v>0</v>
      </c>
    </row>
    <row r="18" spans="1:33" ht="15" customHeight="1" x14ac:dyDescent="0.3">
      <c r="A18" s="89" t="str">
        <f>'Returns (Calc)'!N2</f>
        <v>VRTX</v>
      </c>
      <c r="B18" s="191">
        <f>IFERROR(ROUND(CORREL('Returns (Calc)'!$N$3:$N$500,'Returns (Calc)'!$B$3:$B$500),2),"")</f>
        <v>0.14000000000000001</v>
      </c>
      <c r="C18" s="191">
        <f>IFERROR(ROUND(CORREL('Returns (Calc)'!$N$3:$N$500,'Returns (Calc)'!$C$3:$C$500),2),"")</f>
        <v>0.04</v>
      </c>
      <c r="D18" s="191">
        <f>IFERROR(ROUND(CORREL('Returns (Calc)'!$N$3:$N$500,'Returns (Calc)'!$D$3:$D$500),2),"")</f>
        <v>0.12</v>
      </c>
      <c r="E18" s="191">
        <f>IFERROR(ROUND(CORREL('Returns (Calc)'!$N$3:$N$500,'Returns (Calc)'!$E$3:$E$500),2),"")</f>
        <v>0.15</v>
      </c>
      <c r="F18" s="191">
        <f>IFERROR(ROUND(CORREL('Returns (Calc)'!$N$3:$N$500,'Returns (Calc)'!$F$3:$F$500),2),"")</f>
        <v>0.18</v>
      </c>
      <c r="G18" s="191">
        <f>IFERROR(ROUND(CORREL('Returns (Calc)'!$N$3:$N$500,'Returns (Calc)'!$G$3:$G$500),2),"")</f>
        <v>0.16</v>
      </c>
      <c r="H18" s="191">
        <f>IFERROR(ROUND(CORREL('Returns (Calc)'!$N$3:$N$500,'Returns (Calc)'!$H$3:$H$500),2),"")</f>
        <v>0.18</v>
      </c>
      <c r="I18" s="191">
        <f>IFERROR(ROUND(CORREL('Returns (Calc)'!$N$3:$N$500,'Returns (Calc)'!$I$3:$I$500),2),"")</f>
        <v>0.13</v>
      </c>
      <c r="J18" s="191">
        <f>IFERROR(ROUND(CORREL('Returns (Calc)'!$N$3:$N$500,'Returns (Calc)'!$J$3:$J$500),2),"")</f>
        <v>0.25</v>
      </c>
      <c r="K18" s="191">
        <f>IFERROR(ROUND(CORREL('Returns (Calc)'!$N$3:$N$500,'Returns (Calc)'!$K$3:$K$500),2),"")</f>
        <v>7.0000000000000007E-2</v>
      </c>
      <c r="L18" s="191">
        <f>IFERROR(ROUND(CORREL('Returns (Calc)'!$N$3:$N$500,'Returns (Calc)'!$L$3:$L$500),2),"")</f>
        <v>0.15</v>
      </c>
      <c r="M18" s="191">
        <f>IFERROR(ROUND(CORREL('Returns (Calc)'!$N$3:$N$500,'Returns (Calc)'!$M$3:$M$500),2),"")</f>
        <v>0.11</v>
      </c>
      <c r="N18" s="191">
        <v>1</v>
      </c>
      <c r="O18" s="191">
        <f>IFERROR(ROUND(CORREL('Returns (Calc)'!$N$3:$N$500,'Returns (Calc)'!$O$3:$O$500),2),"")</f>
        <v>0.23</v>
      </c>
      <c r="P18" s="191" t="str">
        <f>IFERROR(ROUND(CORREL('Returns (Calc)'!$N$3:$N$500,'Returns (Calc)'!$P$3:$P$500),2),"")</f>
        <v/>
      </c>
      <c r="Q18" s="191">
        <f>IFERROR(ROUND(CORREL('Returns (Calc)'!$N$3:$N$500,'Returns (Calc)'!$Q$3:$Q$500),2),"")</f>
        <v>0.03</v>
      </c>
      <c r="R18" s="191">
        <f>IFERROR(ROUND(CORREL('Returns (Calc)'!$N$3:$N$500,'Returns (Calc)'!$R$3:$R$500),2),"")</f>
        <v>0.19</v>
      </c>
      <c r="S18" s="191">
        <f>IFERROR(ROUND(CORREL('Returns (Calc)'!$N$3:$N$500,'Returns (Calc)'!$S$3:$S$500),2),"")</f>
        <v>0.16</v>
      </c>
      <c r="T18" s="191">
        <f>IFERROR(ROUND(CORREL('Returns (Calc)'!$N$3:$N$500,'Returns (Calc)'!$T$3:$T$500),2),"")</f>
        <v>0.32</v>
      </c>
      <c r="U18" s="191" t="str">
        <f>IFERROR(ROUND(CORREL('Returns (Calc)'!$N$3:$N$500,'Returns (Calc)'!$U$3:$U$500),2),"")</f>
        <v/>
      </c>
      <c r="V18" s="191">
        <f>IFERROR(ROUND(CORREL('Returns (Calc)'!$N$3:$N$500,'Returns (Calc)'!$V$3:$V$500),2),"")</f>
        <v>0.2</v>
      </c>
      <c r="AG18" s="90">
        <f t="shared" si="0"/>
        <v>0</v>
      </c>
    </row>
    <row r="19" spans="1:33" ht="15" customHeight="1" x14ac:dyDescent="0.3">
      <c r="A19" s="89" t="str">
        <f>'Returns (Calc)'!O2</f>
        <v>AVUV</v>
      </c>
      <c r="B19" s="191">
        <f>IFERROR(ROUND(CORREL('Returns (Calc)'!$O$3:$O$500,'Returns (Calc)'!$B$3:$B$500),2),"")</f>
        <v>0.16</v>
      </c>
      <c r="C19" s="191">
        <f>IFERROR(ROUND(CORREL('Returns (Calc)'!$O$3:$O$500,'Returns (Calc)'!$C$3:$C$500),2),"")</f>
        <v>0.35</v>
      </c>
      <c r="D19" s="191">
        <f>IFERROR(ROUND(CORREL('Returns (Calc)'!$O$3:$O$500,'Returns (Calc)'!$D$3:$D$500),2),"")</f>
        <v>0.39</v>
      </c>
      <c r="E19" s="191">
        <f>IFERROR(ROUND(CORREL('Returns (Calc)'!$O$3:$O$500,'Returns (Calc)'!$E$3:$E$500),2),"")</f>
        <v>0.28999999999999998</v>
      </c>
      <c r="F19" s="191">
        <f>IFERROR(ROUND(CORREL('Returns (Calc)'!$O$3:$O$500,'Returns (Calc)'!$F$3:$F$500),2),"")</f>
        <v>0.22</v>
      </c>
      <c r="G19" s="191">
        <f>IFERROR(ROUND(CORREL('Returns (Calc)'!$O$3:$O$500,'Returns (Calc)'!$G$3:$G$500),2),"")</f>
        <v>0.43</v>
      </c>
      <c r="H19" s="191">
        <f>IFERROR(ROUND(CORREL('Returns (Calc)'!$O$3:$O$500,'Returns (Calc)'!$H$3:$H$500),2),"")</f>
        <v>0.36</v>
      </c>
      <c r="I19" s="191">
        <f>IFERROR(ROUND(CORREL('Returns (Calc)'!$O$3:$O$500,'Returns (Calc)'!$I$3:$I$500),2),"")</f>
        <v>0.28000000000000003</v>
      </c>
      <c r="J19" s="191">
        <f>IFERROR(ROUND(CORREL('Returns (Calc)'!$O$3:$O$500,'Returns (Calc)'!$J$3:$J$500),2),"")</f>
        <v>0.62</v>
      </c>
      <c r="K19" s="191">
        <f>IFERROR(ROUND(CORREL('Returns (Calc)'!$O$3:$O$500,'Returns (Calc)'!$K$3:$K$500),2),"")</f>
        <v>0.25</v>
      </c>
      <c r="L19" s="191">
        <f>IFERROR(ROUND(CORREL('Returns (Calc)'!$O$3:$O$500,'Returns (Calc)'!$L$3:$L$500),2),"")</f>
        <v>0.33</v>
      </c>
      <c r="M19" s="191">
        <f>IFERROR(ROUND(CORREL('Returns (Calc)'!$O$3:$O$500,'Returns (Calc)'!$M$3:$M$500),2),"")</f>
        <v>0.34</v>
      </c>
      <c r="N19" s="191">
        <f>IFERROR(ROUND(CORREL('Returns (Calc)'!$O$3:$O$500,'Returns (Calc)'!$N$3:$N$500),2),"")</f>
        <v>0.23</v>
      </c>
      <c r="O19" s="191">
        <v>1</v>
      </c>
      <c r="P19" s="191" t="str">
        <f>IFERROR(ROUND(CORREL('Returns (Calc)'!$O$3:$O$500,'Returns (Calc)'!$P$3:$P$500),2),"")</f>
        <v/>
      </c>
      <c r="Q19" s="191">
        <f>IFERROR(ROUND(CORREL('Returns (Calc)'!$O$3:$O$500,'Returns (Calc)'!$Q$3:$Q$500),2),"")</f>
        <v>-0.03</v>
      </c>
      <c r="R19" s="191">
        <f>IFERROR(ROUND(CORREL('Returns (Calc)'!$O$3:$O$500,'Returns (Calc)'!$R$3:$R$500),2),"")</f>
        <v>0.54</v>
      </c>
      <c r="S19" s="191">
        <f>IFERROR(ROUND(CORREL('Returns (Calc)'!$O$3:$O$500,'Returns (Calc)'!$S$3:$S$500),2),"")</f>
        <v>0.5</v>
      </c>
      <c r="T19" s="191">
        <f>IFERROR(ROUND(CORREL('Returns (Calc)'!$O$3:$O$500,'Returns (Calc)'!$T$3:$T$500),2),"")</f>
        <v>0.79</v>
      </c>
      <c r="U19" s="191" t="str">
        <f>IFERROR(ROUND(CORREL('Returns (Calc)'!$O$3:$O$500,'Returns (Calc)'!$U$3:$U$500),2),"")</f>
        <v/>
      </c>
      <c r="V19" s="191">
        <f>IFERROR(ROUND(CORREL('Returns (Calc)'!$O$3:$O$500,'Returns (Calc)'!$V$3:$V$500),2),"")</f>
        <v>0.39</v>
      </c>
      <c r="AG19" s="90">
        <f t="shared" si="0"/>
        <v>1</v>
      </c>
    </row>
    <row r="20" spans="1:33" ht="15" customHeight="1" x14ac:dyDescent="0.3">
      <c r="A20" s="89">
        <f>'Returns (Calc)'!P2</f>
        <v>0</v>
      </c>
      <c r="B20" s="191" t="str">
        <f>IFERROR(ROUND(CORREL('Returns (Calc)'!$P$3:$P$500,'Returns (Calc)'!$B$3:$B$500),2),"")</f>
        <v/>
      </c>
      <c r="C20" s="191" t="str">
        <f>IFERROR(ROUND(CORREL('Returns (Calc)'!$P$3:$P$500,'Returns (Calc)'!$C$3:$C$500),2),"")</f>
        <v/>
      </c>
      <c r="D20" s="191" t="str">
        <f>IFERROR(ROUND(CORREL('Returns (Calc)'!$P$3:$P$500,'Returns (Calc)'!$D$3:$D$500),2),"")</f>
        <v/>
      </c>
      <c r="E20" s="191" t="str">
        <f>IFERROR(ROUND(CORREL('Returns (Calc)'!$P$3:$P$500,'Returns (Calc)'!$E$3:$E$500),2),"")</f>
        <v/>
      </c>
      <c r="F20" s="191" t="str">
        <f>IFERROR(ROUND(CORREL('Returns (Calc)'!$P$3:$P$500,'Returns (Calc)'!$F$3:$F$500),2),"")</f>
        <v/>
      </c>
      <c r="G20" s="191" t="str">
        <f>IFERROR(ROUND(CORREL('Returns (Calc)'!$P$3:$P$500,'Returns (Calc)'!$G$3:$G$500),2),"")</f>
        <v/>
      </c>
      <c r="H20" s="191" t="str">
        <f>IFERROR(ROUND(CORREL('Returns (Calc)'!$P$3:$P$500,'Returns (Calc)'!$H$3:$H$500),2),"")</f>
        <v/>
      </c>
      <c r="I20" s="191" t="str">
        <f>IFERROR(ROUND(CORREL('Returns (Calc)'!$P$3:$P$500,'Returns (Calc)'!$I$3:$I$500),2),"")</f>
        <v/>
      </c>
      <c r="J20" s="191" t="str">
        <f>IFERROR(ROUND(CORREL('Returns (Calc)'!$P$3:$P$500,'Returns (Calc)'!$J$3:$J$500),2),"")</f>
        <v/>
      </c>
      <c r="K20" s="191" t="str">
        <f>IFERROR(ROUND(CORREL('Returns (Calc)'!$P$3:$P$500,'Returns (Calc)'!$K$3:$K$500),2),"")</f>
        <v/>
      </c>
      <c r="L20" s="191" t="str">
        <f>IFERROR(ROUND(CORREL('Returns (Calc)'!$P$3:$P$500,'Returns (Calc)'!$L$3:$L$500),2),"")</f>
        <v/>
      </c>
      <c r="M20" s="191" t="str">
        <f>IFERROR(ROUND(CORREL('Returns (Calc)'!$P$3:$P$500,'Returns (Calc)'!$M$3:$M$500),2),"")</f>
        <v/>
      </c>
      <c r="N20" s="191" t="str">
        <f>IFERROR(ROUND(CORREL('Returns (Calc)'!$P$3:$P$500,'Returns (Calc)'!$N$3:$N$500),2),"")</f>
        <v/>
      </c>
      <c r="O20" s="191" t="str">
        <f>IFERROR(ROUND(CORREL('Returns (Calc)'!$P$3:$P$500,'Returns (Calc)'!$O$3:$O$500),2),"")</f>
        <v/>
      </c>
      <c r="P20" s="191">
        <v>1</v>
      </c>
      <c r="Q20" s="191" t="str">
        <f>IFERROR(ROUND(CORREL('Returns (Calc)'!$P$3:$P$500,'Returns (Calc)'!$Q$3:$Q$500),2),"")</f>
        <v/>
      </c>
      <c r="R20" s="191" t="str">
        <f>IFERROR(ROUND(CORREL('Returns (Calc)'!$P$3:$P$500,'Returns (Calc)'!$R$3:$R$500),2),"")</f>
        <v/>
      </c>
      <c r="S20" s="191" t="str">
        <f>IFERROR(ROUND(CORREL('Returns (Calc)'!$P$3:$P$500,'Returns (Calc)'!$S$3:$S$500),2),"")</f>
        <v/>
      </c>
      <c r="T20" s="191" t="str">
        <f>IFERROR(ROUND(CORREL('Returns (Calc)'!$P$3:$P$500,'Returns (Calc)'!$T$3:$T$500),2),"")</f>
        <v/>
      </c>
      <c r="U20" s="191" t="str">
        <f>IFERROR(ROUND(CORREL('Returns (Calc)'!$P$3:$P$500,'Returns (Calc)'!$U$3:$U$500),2),"")</f>
        <v/>
      </c>
      <c r="V20" s="191" t="str">
        <f>IFERROR(ROUND(CORREL('Returns (Calc)'!$P$3:$P$500,'Returns (Calc)'!$V$3:$V$500),2),"")</f>
        <v/>
      </c>
      <c r="AG20" s="90">
        <f t="shared" si="0"/>
        <v>0</v>
      </c>
    </row>
    <row r="21" spans="1:33" ht="15" customHeight="1" x14ac:dyDescent="0.3">
      <c r="A21" s="89" t="str">
        <f>'Returns (Calc)'!Q2</f>
        <v>HELO</v>
      </c>
      <c r="B21" s="191">
        <f>IFERROR(ROUND(CORREL('Returns (Calc)'!$Q$3:$Q$500,'Returns (Calc)'!$B$3:$B$500),2),"")</f>
        <v>-7.0000000000000007E-2</v>
      </c>
      <c r="C21" s="191">
        <f>IFERROR(ROUND(CORREL('Returns (Calc)'!$Q$3:$Q$500,'Returns (Calc)'!$C$3:$C$500),2),"")</f>
        <v>0.02</v>
      </c>
      <c r="D21" s="191">
        <f>IFERROR(ROUND(CORREL('Returns (Calc)'!$Q$3:$Q$500,'Returns (Calc)'!$D$3:$D$500),2),"")</f>
        <v>-0.04</v>
      </c>
      <c r="E21" s="191">
        <f>IFERROR(ROUND(CORREL('Returns (Calc)'!$Q$3:$Q$500,'Returns (Calc)'!$E$3:$E$500),2),"")</f>
        <v>-0.04</v>
      </c>
      <c r="F21" s="191">
        <f>IFERROR(ROUND(CORREL('Returns (Calc)'!$Q$3:$Q$500,'Returns (Calc)'!$F$3:$F$500),2),"")</f>
        <v>-0.03</v>
      </c>
      <c r="G21" s="191">
        <f>IFERROR(ROUND(CORREL('Returns (Calc)'!$Q$3:$Q$500,'Returns (Calc)'!$G$3:$G$500),2),"")</f>
        <v>-0.02</v>
      </c>
      <c r="H21" s="191">
        <f>IFERROR(ROUND(CORREL('Returns (Calc)'!$Q$3:$Q$500,'Returns (Calc)'!$H$3:$H$500),2),"")</f>
        <v>-0.1</v>
      </c>
      <c r="I21" s="191">
        <f>IFERROR(ROUND(CORREL('Returns (Calc)'!$Q$3:$Q$500,'Returns (Calc)'!$I$3:$I$500),2),"")</f>
        <v>-7.0000000000000007E-2</v>
      </c>
      <c r="J21" s="191">
        <f>IFERROR(ROUND(CORREL('Returns (Calc)'!$Q$3:$Q$500,'Returns (Calc)'!$J$3:$J$500),2),"")</f>
        <v>-0.11</v>
      </c>
      <c r="K21" s="191">
        <f>IFERROR(ROUND(CORREL('Returns (Calc)'!$Q$3:$Q$500,'Returns (Calc)'!$K$3:$K$500),2),"")</f>
        <v>-0.03</v>
      </c>
      <c r="L21" s="191">
        <f>IFERROR(ROUND(CORREL('Returns (Calc)'!$Q$3:$Q$500,'Returns (Calc)'!$L$3:$L$500),2),"")</f>
        <v>0.02</v>
      </c>
      <c r="M21" s="191">
        <f>IFERROR(ROUND(CORREL('Returns (Calc)'!$Q$3:$Q$500,'Returns (Calc)'!$M$3:$M$500),2),"")</f>
        <v>0</v>
      </c>
      <c r="N21" s="191">
        <f>IFERROR(ROUND(CORREL('Returns (Calc)'!$Q$3:$Q$500,'Returns (Calc)'!$N$3:$N$500),2),"")</f>
        <v>0.03</v>
      </c>
      <c r="O21" s="191">
        <f>IFERROR(ROUND(CORREL('Returns (Calc)'!$Q$3:$Q$500,'Returns (Calc)'!$O$3:$O$500),2),"")</f>
        <v>-0.03</v>
      </c>
      <c r="P21" s="191" t="str">
        <f>IFERROR(ROUND(CORREL('Returns (Calc)'!$Q$3:$Q$500,'Returns (Calc)'!$P$3:$P$500),2),"")</f>
        <v/>
      </c>
      <c r="Q21" s="191">
        <v>1</v>
      </c>
      <c r="R21" s="191">
        <f>IFERROR(ROUND(CORREL('Returns (Calc)'!$Q$3:$Q$500,'Returns (Calc)'!$R$3:$R$500),2),"")</f>
        <v>-0.01</v>
      </c>
      <c r="S21" s="191">
        <f>IFERROR(ROUND(CORREL('Returns (Calc)'!$Q$3:$Q$500,'Returns (Calc)'!$S$3:$S$500),2),"")</f>
        <v>-0.01</v>
      </c>
      <c r="T21" s="191">
        <f>IFERROR(ROUND(CORREL('Returns (Calc)'!$Q$3:$Q$500,'Returns (Calc)'!$T$3:$T$500),2),"")</f>
        <v>-7.0000000000000007E-2</v>
      </c>
      <c r="U21" s="191" t="str">
        <f>IFERROR(ROUND(CORREL('Returns (Calc)'!$Q$3:$Q$500,'Returns (Calc)'!$U$3:$U$500),2),"")</f>
        <v/>
      </c>
      <c r="V21" s="191">
        <f>IFERROR(ROUND(CORREL('Returns (Calc)'!$Q$3:$Q$500,'Returns (Calc)'!$V$3:$V$500),2),"")</f>
        <v>-0.1</v>
      </c>
      <c r="AG21" s="90">
        <f t="shared" si="0"/>
        <v>0</v>
      </c>
    </row>
    <row r="22" spans="1:33" ht="15" customHeight="1" x14ac:dyDescent="0.3">
      <c r="A22" s="89" t="str">
        <f>'Returns (Calc)'!R2</f>
        <v>JEPQ</v>
      </c>
      <c r="B22" s="191">
        <f>IFERROR(ROUND(CORREL('Returns (Calc)'!$R$3:$R$500,'Returns (Calc)'!$B$3:$B$500),2),"")</f>
        <v>0.31</v>
      </c>
      <c r="C22" s="191">
        <f>IFERROR(ROUND(CORREL('Returns (Calc)'!$R$3:$R$500,'Returns (Calc)'!$C$3:$C$500),2),"")</f>
        <v>0.64</v>
      </c>
      <c r="D22" s="191">
        <f>IFERROR(ROUND(CORREL('Returns (Calc)'!$R$3:$R$500,'Returns (Calc)'!$D$3:$D$500),2),"")</f>
        <v>0.61</v>
      </c>
      <c r="E22" s="191">
        <f>IFERROR(ROUND(CORREL('Returns (Calc)'!$R$3:$R$500,'Returns (Calc)'!$E$3:$E$500),2),"")</f>
        <v>0.72</v>
      </c>
      <c r="F22" s="191">
        <f>IFERROR(ROUND(CORREL('Returns (Calc)'!$R$3:$R$500,'Returns (Calc)'!$F$3:$F$500),2),"")</f>
        <v>0.53</v>
      </c>
      <c r="G22" s="191">
        <f>IFERROR(ROUND(CORREL('Returns (Calc)'!$R$3:$R$500,'Returns (Calc)'!$G$3:$G$500),2),"")</f>
        <v>0.62</v>
      </c>
      <c r="H22" s="191">
        <f>IFERROR(ROUND(CORREL('Returns (Calc)'!$R$3:$R$500,'Returns (Calc)'!$H$3:$H$500),2),"")</f>
        <v>0.61</v>
      </c>
      <c r="I22" s="191">
        <f>IFERROR(ROUND(CORREL('Returns (Calc)'!$R$3:$R$500,'Returns (Calc)'!$I$3:$I$500),2),"")</f>
        <v>0.71</v>
      </c>
      <c r="J22" s="191">
        <f>IFERROR(ROUND(CORREL('Returns (Calc)'!$R$3:$R$500,'Returns (Calc)'!$J$3:$J$500),2),"")</f>
        <v>0.36</v>
      </c>
      <c r="K22" s="191">
        <f>IFERROR(ROUND(CORREL('Returns (Calc)'!$R$3:$R$500,'Returns (Calc)'!$K$3:$K$500),2),"")</f>
        <v>0.48</v>
      </c>
      <c r="L22" s="191">
        <f>IFERROR(ROUND(CORREL('Returns (Calc)'!$R$3:$R$500,'Returns (Calc)'!$L$3:$L$500),2),"")</f>
        <v>0.67</v>
      </c>
      <c r="M22" s="191">
        <f>IFERROR(ROUND(CORREL('Returns (Calc)'!$R$3:$R$500,'Returns (Calc)'!$M$3:$M$500),2),"")</f>
        <v>0.62</v>
      </c>
      <c r="N22" s="191">
        <f>IFERROR(ROUND(CORREL('Returns (Calc)'!$R$3:$R$500,'Returns (Calc)'!$N$3:$N$500),2),"")</f>
        <v>0.19</v>
      </c>
      <c r="O22" s="191">
        <f>IFERROR(ROUND(CORREL('Returns (Calc)'!$R$3:$R$500,'Returns (Calc)'!$O$3:$O$500),2),"")</f>
        <v>0.54</v>
      </c>
      <c r="P22" s="191" t="str">
        <f>IFERROR(ROUND(CORREL('Returns (Calc)'!$R$3:$R$500,'Returns (Calc)'!$P$3:$P$500),2),"")</f>
        <v/>
      </c>
      <c r="Q22" s="191">
        <f>IFERROR(ROUND(CORREL('Returns (Calc)'!$R$3:$R$500,'Returns (Calc)'!$Q$3:$Q$500),2),"")</f>
        <v>-0.01</v>
      </c>
      <c r="R22" s="191">
        <v>1</v>
      </c>
      <c r="S22" s="191">
        <f>IFERROR(ROUND(CORREL('Returns (Calc)'!$R$3:$R$500,'Returns (Calc)'!$S$3:$S$500),2),"")</f>
        <v>0.88</v>
      </c>
      <c r="T22" s="191">
        <f>IFERROR(ROUND(CORREL('Returns (Calc)'!$R$3:$R$500,'Returns (Calc)'!$T$3:$T$500),2),"")</f>
        <v>0.56999999999999995</v>
      </c>
      <c r="U22" s="191" t="str">
        <f>IFERROR(ROUND(CORREL('Returns (Calc)'!$R$3:$R$500,'Returns (Calc)'!$U$3:$U$500),2),"")</f>
        <v/>
      </c>
      <c r="V22" s="191">
        <f>IFERROR(ROUND(CORREL('Returns (Calc)'!$R$3:$R$500,'Returns (Calc)'!$V$3:$V$500),2),"")</f>
        <v>0.44</v>
      </c>
      <c r="AG22" s="90">
        <f t="shared" si="0"/>
        <v>3</v>
      </c>
    </row>
    <row r="23" spans="1:33" ht="15" customHeight="1" x14ac:dyDescent="0.3">
      <c r="A23" s="89" t="str">
        <f>'Returns (Calc)'!S2</f>
        <v>SPMO</v>
      </c>
      <c r="B23" s="191">
        <f>IFERROR(ROUND(CORREL('Returns (Calc)'!$S$3:$S$500,'Returns (Calc)'!$B$3:$B$500),2),"")</f>
        <v>0.23</v>
      </c>
      <c r="C23" s="191">
        <f>IFERROR(ROUND(CORREL('Returns (Calc)'!$S$3:$S$500,'Returns (Calc)'!$C$3:$C$500),2),"")</f>
        <v>0.64</v>
      </c>
      <c r="D23" s="191">
        <f>IFERROR(ROUND(CORREL('Returns (Calc)'!$S$3:$S$500,'Returns (Calc)'!$D$3:$D$500),2),"")</f>
        <v>0.61</v>
      </c>
      <c r="E23" s="191">
        <f>IFERROR(ROUND(CORREL('Returns (Calc)'!$S$3:$S$500,'Returns (Calc)'!$E$3:$E$500),2),"")</f>
        <v>0.73</v>
      </c>
      <c r="F23" s="191">
        <f>IFERROR(ROUND(CORREL('Returns (Calc)'!$S$3:$S$500,'Returns (Calc)'!$F$3:$F$500),2),"")</f>
        <v>0.53</v>
      </c>
      <c r="G23" s="191">
        <f>IFERROR(ROUND(CORREL('Returns (Calc)'!$S$3:$S$500,'Returns (Calc)'!$G$3:$G$500),2),"")</f>
        <v>0.67</v>
      </c>
      <c r="H23" s="191">
        <f>IFERROR(ROUND(CORREL('Returns (Calc)'!$S$3:$S$500,'Returns (Calc)'!$H$3:$H$500),2),"")</f>
        <v>0.66</v>
      </c>
      <c r="I23" s="191">
        <f>IFERROR(ROUND(CORREL('Returns (Calc)'!$S$3:$S$500,'Returns (Calc)'!$I$3:$I$500),2),"")</f>
        <v>0.74</v>
      </c>
      <c r="J23" s="191">
        <f>IFERROR(ROUND(CORREL('Returns (Calc)'!$S$3:$S$500,'Returns (Calc)'!$J$3:$J$500),2),"")</f>
        <v>0.35</v>
      </c>
      <c r="K23" s="191">
        <f>IFERROR(ROUND(CORREL('Returns (Calc)'!$S$3:$S$500,'Returns (Calc)'!$K$3:$K$500),2),"")</f>
        <v>0.44</v>
      </c>
      <c r="L23" s="191">
        <f>IFERROR(ROUND(CORREL('Returns (Calc)'!$S$3:$S$500,'Returns (Calc)'!$L$3:$L$500),2),"")</f>
        <v>0.69</v>
      </c>
      <c r="M23" s="191">
        <f>IFERROR(ROUND(CORREL('Returns (Calc)'!$S$3:$S$500,'Returns (Calc)'!$M$3:$M$500),2),"")</f>
        <v>0.66</v>
      </c>
      <c r="N23" s="191">
        <f>IFERROR(ROUND(CORREL('Returns (Calc)'!$S$3:$S$500,'Returns (Calc)'!$N$3:$N$500),2),"")</f>
        <v>0.16</v>
      </c>
      <c r="O23" s="191">
        <f>IFERROR(ROUND(CORREL('Returns (Calc)'!$S$3:$S$500,'Returns (Calc)'!$O$3:$O$500),2),"")</f>
        <v>0.5</v>
      </c>
      <c r="P23" s="191" t="str">
        <f>IFERROR(ROUND(CORREL('Returns (Calc)'!$S$3:$S$500,'Returns (Calc)'!$P$3:$P$500),2),"")</f>
        <v/>
      </c>
      <c r="Q23" s="191">
        <f>IFERROR(ROUND(CORREL('Returns (Calc)'!$S$3:$S$500,'Returns (Calc)'!$Q$3:$Q$500),2),"")</f>
        <v>-0.01</v>
      </c>
      <c r="R23" s="191">
        <f>IFERROR(ROUND(CORREL('Returns (Calc)'!$S$3:$S$500,'Returns (Calc)'!$R$3:$R$500),2),"")</f>
        <v>0.88</v>
      </c>
      <c r="S23" s="191">
        <v>1</v>
      </c>
      <c r="T23" s="191">
        <f>IFERROR(ROUND(CORREL('Returns (Calc)'!$S$3:$S$500,'Returns (Calc)'!$T$3:$T$500),2),"")</f>
        <v>0.52</v>
      </c>
      <c r="U23" s="191" t="str">
        <f>IFERROR(ROUND(CORREL('Returns (Calc)'!$S$3:$S$500,'Returns (Calc)'!$U$3:$U$500),2),"")</f>
        <v/>
      </c>
      <c r="V23" s="191">
        <f>IFERROR(ROUND(CORREL('Returns (Calc)'!$S$3:$S$500,'Returns (Calc)'!$V$3:$V$500),2),"")</f>
        <v>0.42</v>
      </c>
      <c r="AG23" s="90">
        <f t="shared" si="0"/>
        <v>3</v>
      </c>
    </row>
    <row r="24" spans="1:33" ht="15" customHeight="1" x14ac:dyDescent="0.3">
      <c r="A24" s="89" t="str">
        <f>'Returns (Calc)'!T2</f>
        <v>VFLO</v>
      </c>
      <c r="B24" s="191">
        <f>IFERROR(ROUND(CORREL('Returns (Calc)'!$T$3:$T$500,'Returns (Calc)'!$B$3:$B$500),2),"")</f>
        <v>0.42</v>
      </c>
      <c r="C24" s="191">
        <f>IFERROR(ROUND(CORREL('Returns (Calc)'!$T$3:$T$500,'Returns (Calc)'!$C$3:$C$500),2),"")</f>
        <v>0.34</v>
      </c>
      <c r="D24" s="191">
        <f>IFERROR(ROUND(CORREL('Returns (Calc)'!$T$3:$T$500,'Returns (Calc)'!$D$3:$D$500),2),"")</f>
        <v>0.31</v>
      </c>
      <c r="E24" s="191">
        <f>IFERROR(ROUND(CORREL('Returns (Calc)'!$T$3:$T$500,'Returns (Calc)'!$E$3:$E$500),2),"")</f>
        <v>0.26</v>
      </c>
      <c r="F24" s="191">
        <f>IFERROR(ROUND(CORREL('Returns (Calc)'!$T$3:$T$500,'Returns (Calc)'!$F$3:$F$500),2),"")</f>
        <v>0.32</v>
      </c>
      <c r="G24" s="191">
        <f>IFERROR(ROUND(CORREL('Returns (Calc)'!$T$3:$T$500,'Returns (Calc)'!$G$3:$G$500),2),"")</f>
        <v>0.31</v>
      </c>
      <c r="H24" s="191">
        <f>IFERROR(ROUND(CORREL('Returns (Calc)'!$T$3:$T$500,'Returns (Calc)'!$H$3:$H$500),2),"")</f>
        <v>0.43</v>
      </c>
      <c r="I24" s="191">
        <f>IFERROR(ROUND(CORREL('Returns (Calc)'!$T$3:$T$500,'Returns (Calc)'!$I$3:$I$500),2),"")</f>
        <v>0.28999999999999998</v>
      </c>
      <c r="J24" s="191">
        <f>IFERROR(ROUND(CORREL('Returns (Calc)'!$T$3:$T$500,'Returns (Calc)'!$J$3:$J$500),2),"")</f>
        <v>0.52</v>
      </c>
      <c r="K24" s="191">
        <f>IFERROR(ROUND(CORREL('Returns (Calc)'!$T$3:$T$500,'Returns (Calc)'!$K$3:$K$500),2),"")</f>
        <v>0.35</v>
      </c>
      <c r="L24" s="191">
        <f>IFERROR(ROUND(CORREL('Returns (Calc)'!$T$3:$T$500,'Returns (Calc)'!$L$3:$L$500),2),"")</f>
        <v>0.28999999999999998</v>
      </c>
      <c r="M24" s="191">
        <f>IFERROR(ROUND(CORREL('Returns (Calc)'!$T$3:$T$500,'Returns (Calc)'!$M$3:$M$500),2),"")</f>
        <v>0.28999999999999998</v>
      </c>
      <c r="N24" s="191">
        <f>IFERROR(ROUND(CORREL('Returns (Calc)'!$T$3:$T$500,'Returns (Calc)'!$N$3:$N$500),2),"")</f>
        <v>0.32</v>
      </c>
      <c r="O24" s="191">
        <f>IFERROR(ROUND(CORREL('Returns (Calc)'!$T$3:$T$500,'Returns (Calc)'!$O$3:$O$500),2),"")</f>
        <v>0.79</v>
      </c>
      <c r="P24" s="191" t="str">
        <f>IFERROR(ROUND(CORREL('Returns (Calc)'!$T$3:$T$500,'Returns (Calc)'!$P$3:$P$500),2),"")</f>
        <v/>
      </c>
      <c r="Q24" s="191">
        <f>IFERROR(ROUND(CORREL('Returns (Calc)'!$T$3:$T$500,'Returns (Calc)'!$Q$3:$Q$500),2),"")</f>
        <v>-7.0000000000000007E-2</v>
      </c>
      <c r="R24" s="191">
        <f>IFERROR(ROUND(CORREL('Returns (Calc)'!$T$3:$T$500,'Returns (Calc)'!$R$3:$R$500),2),"")</f>
        <v>0.56999999999999995</v>
      </c>
      <c r="S24" s="191">
        <f>IFERROR(ROUND(CORREL('Returns (Calc)'!$T$3:$T$500,'Returns (Calc)'!$S$3:$S$500),2),"")</f>
        <v>0.52</v>
      </c>
      <c r="T24" s="191">
        <v>1</v>
      </c>
      <c r="U24" s="191" t="str">
        <f>IFERROR(ROUND(CORREL('Returns (Calc)'!$T$3:$T$500,'Returns (Calc)'!$U$3:$U$500),2),"")</f>
        <v/>
      </c>
      <c r="V24" s="191">
        <f>IFERROR(ROUND(CORREL('Returns (Calc)'!$T$3:$T$500,'Returns (Calc)'!$V$3:$V$500),2),"")</f>
        <v>0.46</v>
      </c>
      <c r="AG24" s="90">
        <f t="shared" si="0"/>
        <v>1</v>
      </c>
    </row>
    <row r="25" spans="1:33" ht="15" customHeight="1" x14ac:dyDescent="0.3">
      <c r="A25" s="89">
        <f>'Returns (Calc)'!U2</f>
        <v>0</v>
      </c>
      <c r="B25" s="191" t="str">
        <f>IFERROR(ROUND(CORREL('Returns (Calc)'!$U$3:$U$500,'Returns (Calc)'!$B$3:$B$500),2),"")</f>
        <v/>
      </c>
      <c r="C25" s="191" t="str">
        <f>IFERROR(ROUND(CORREL('Returns (Calc)'!$U$3:$U$500,'Returns (Calc)'!$C$3:$C$500),2),"")</f>
        <v/>
      </c>
      <c r="D25" s="191" t="str">
        <f>IFERROR(ROUND(CORREL('Returns (Calc)'!$U$3:$U$500,'Returns (Calc)'!$D$3:$D$500),2),"")</f>
        <v/>
      </c>
      <c r="E25" s="191" t="str">
        <f>IFERROR(ROUND(CORREL('Returns (Calc)'!$U$3:$U$500,'Returns (Calc)'!$E$3:$E$500),2),"")</f>
        <v/>
      </c>
      <c r="F25" s="191" t="str">
        <f>IFERROR(ROUND(CORREL('Returns (Calc)'!$U$3:$U$500,'Returns (Calc)'!$F$3:$F$500),2),"")</f>
        <v/>
      </c>
      <c r="G25" s="191" t="str">
        <f>IFERROR(ROUND(CORREL('Returns (Calc)'!$U$3:$U$500,'Returns (Calc)'!$G$3:$G$500),2),"")</f>
        <v/>
      </c>
      <c r="H25" s="191" t="str">
        <f>IFERROR(ROUND(CORREL('Returns (Calc)'!$U$3:$U$500,'Returns (Calc)'!$H$3:$H$500),2),"")</f>
        <v/>
      </c>
      <c r="I25" s="191" t="str">
        <f>IFERROR(ROUND(CORREL('Returns (Calc)'!$U$3:$U$500,'Returns (Calc)'!$I$3:$I$500),2),"")</f>
        <v/>
      </c>
      <c r="J25" s="191" t="str">
        <f>IFERROR(ROUND(CORREL('Returns (Calc)'!$U$3:$U$500,'Returns (Calc)'!$J$3:$J$500),2),"")</f>
        <v/>
      </c>
      <c r="K25" s="191" t="str">
        <f>IFERROR(ROUND(CORREL('Returns (Calc)'!$U$3:$U$500,'Returns (Calc)'!$K$3:$K$500),2),"")</f>
        <v/>
      </c>
      <c r="L25" s="191" t="str">
        <f>IFERROR(ROUND(CORREL('Returns (Calc)'!$U$3:$U$500,'Returns (Calc)'!$L$3:$L$500),2),"")</f>
        <v/>
      </c>
      <c r="M25" s="191" t="str">
        <f>IFERROR(ROUND(CORREL('Returns (Calc)'!$U$3:$U$500,'Returns (Calc)'!$M$3:$M$500),2),"")</f>
        <v/>
      </c>
      <c r="N25" s="191" t="str">
        <f>IFERROR(ROUND(CORREL('Returns (Calc)'!$U$3:$U$500,'Returns (Calc)'!$N$3:$N$500),2),"")</f>
        <v/>
      </c>
      <c r="O25" s="191" t="str">
        <f>IFERROR(ROUND(CORREL('Returns (Calc)'!$U$3:$U$500,'Returns (Calc)'!$O$3:$O$500),2),"")</f>
        <v/>
      </c>
      <c r="P25" s="191" t="str">
        <f>IFERROR(ROUND(CORREL('Returns (Calc)'!$U$3:$U$500,'Returns (Calc)'!$P$3:$P$500),2),"")</f>
        <v/>
      </c>
      <c r="Q25" s="191" t="str">
        <f>IFERROR(ROUND(CORREL('Returns (Calc)'!$U$3:$U$500,'Returns (Calc)'!$Q$3:$Q$500),2),"")</f>
        <v/>
      </c>
      <c r="R25" s="191" t="str">
        <f>IFERROR(ROUND(CORREL('Returns (Calc)'!$U$3:$U$500,'Returns (Calc)'!$R$3:$R$500),2),"")</f>
        <v/>
      </c>
      <c r="S25" s="191" t="str">
        <f>IFERROR(ROUND(CORREL('Returns (Calc)'!$U$3:$U$500,'Returns (Calc)'!$S$3:$S$500),2),"")</f>
        <v/>
      </c>
      <c r="T25" s="191" t="str">
        <f>IFERROR(ROUND(CORREL('Returns (Calc)'!$U$3:$U$500,'Returns (Calc)'!$T$3:$T$500),2),"")</f>
        <v/>
      </c>
      <c r="U25" s="191">
        <v>1</v>
      </c>
      <c r="V25" s="191" t="str">
        <f>IFERROR(ROUND(CORREL('Returns (Calc)'!$U$3:$U$500,'Returns (Calc)'!$V$3:$V$500),2),"")</f>
        <v/>
      </c>
      <c r="AG25" s="90">
        <f t="shared" si="0"/>
        <v>0</v>
      </c>
    </row>
    <row r="26" spans="1:33" ht="15" customHeight="1" x14ac:dyDescent="0.3">
      <c r="A26" s="89" t="str">
        <f>'Returns (Calc)'!V2</f>
        <v>V</v>
      </c>
      <c r="B26" s="191">
        <f>IFERROR(ROUND(CORREL('Returns (Calc)'!$V$3:$V$500,'Returns (Calc)'!$B$3:$B$500),2),"")</f>
        <v>0.39</v>
      </c>
      <c r="C26" s="191">
        <f>IFERROR(ROUND(CORREL('Returns (Calc)'!$V$3:$V$500,'Returns (Calc)'!$C$3:$C$500),2),"")</f>
        <v>0.3</v>
      </c>
      <c r="D26" s="191">
        <f>IFERROR(ROUND(CORREL('Returns (Calc)'!$V$3:$V$500,'Returns (Calc)'!$D$3:$D$500),2),"")</f>
        <v>0.06</v>
      </c>
      <c r="E26" s="191">
        <f>IFERROR(ROUND(CORREL('Returns (Calc)'!$V$3:$V$500,'Returns (Calc)'!$E$3:$E$500),2),"")</f>
        <v>0.23</v>
      </c>
      <c r="F26" s="191">
        <f>IFERROR(ROUND(CORREL('Returns (Calc)'!$V$3:$V$500,'Returns (Calc)'!$F$3:$F$500),2),"")</f>
        <v>0.25</v>
      </c>
      <c r="G26" s="191">
        <f>IFERROR(ROUND(CORREL('Returns (Calc)'!$V$3:$V$500,'Returns (Calc)'!$G$3:$G$500),2),"")</f>
        <v>0.03</v>
      </c>
      <c r="H26" s="191">
        <f>IFERROR(ROUND(CORREL('Returns (Calc)'!$V$3:$V$500,'Returns (Calc)'!$H$3:$H$500),2),"")</f>
        <v>0.05</v>
      </c>
      <c r="I26" s="191">
        <f>IFERROR(ROUND(CORREL('Returns (Calc)'!$V$3:$V$500,'Returns (Calc)'!$I$3:$I$500),2),"")</f>
        <v>0.23</v>
      </c>
      <c r="J26" s="191">
        <f>IFERROR(ROUND(CORREL('Returns (Calc)'!$V$3:$V$500,'Returns (Calc)'!$J$3:$J$500),2),"")</f>
        <v>0.4</v>
      </c>
      <c r="K26" s="191">
        <f>IFERROR(ROUND(CORREL('Returns (Calc)'!$V$3:$V$500,'Returns (Calc)'!$K$3:$K$500),2),"")</f>
        <v>0.24</v>
      </c>
      <c r="L26" s="191">
        <f>IFERROR(ROUND(CORREL('Returns (Calc)'!$V$3:$V$500,'Returns (Calc)'!$L$3:$L$500),2),"")</f>
        <v>0.13</v>
      </c>
      <c r="M26" s="191">
        <f>IFERROR(ROUND(CORREL('Returns (Calc)'!$V$3:$V$500,'Returns (Calc)'!$M$3:$M$500),2),"")</f>
        <v>0.16</v>
      </c>
      <c r="N26" s="191">
        <f>IFERROR(ROUND(CORREL('Returns (Calc)'!$V$3:$V$500,'Returns (Calc)'!$N$3:$N$500),2),"")</f>
        <v>0.2</v>
      </c>
      <c r="O26" s="191">
        <f>IFERROR(ROUND(CORREL('Returns (Calc)'!$V$3:$V$500,'Returns (Calc)'!$O$3:$O$500),2),"")</f>
        <v>0.39</v>
      </c>
      <c r="P26" s="191" t="str">
        <f>IFERROR(ROUND(CORREL('Returns (Calc)'!$V$3:$V$500,'Returns (Calc)'!$P$3:$P$500),2),"")</f>
        <v/>
      </c>
      <c r="Q26" s="191">
        <f>IFERROR(ROUND(CORREL('Returns (Calc)'!$V$3:$V$500,'Returns (Calc)'!$Q$3:$Q$500),2),"")</f>
        <v>-0.1</v>
      </c>
      <c r="R26" s="191">
        <f>IFERROR(ROUND(CORREL('Returns (Calc)'!$V$3:$V$500,'Returns (Calc)'!$R$3:$R$500),2),"")</f>
        <v>0.44</v>
      </c>
      <c r="S26" s="191">
        <f>IFERROR(ROUND(CORREL('Returns (Calc)'!$V$3:$V$500,'Returns (Calc)'!$S$3:$S$500),2),"")</f>
        <v>0.42</v>
      </c>
      <c r="T26" s="191">
        <f>IFERROR(ROUND(CORREL('Returns (Calc)'!$V$3:$V$500,'Returns (Calc)'!$T$3:$T$500),2),"")</f>
        <v>0.46</v>
      </c>
      <c r="U26" s="191" t="str">
        <f>IFERROR(ROUND(CORREL('Returns (Calc)'!$V$3:$V$500,'Returns (Calc)'!$U$3:$U$500),2),"")</f>
        <v/>
      </c>
      <c r="V26" s="191">
        <v>1</v>
      </c>
      <c r="AG26" s="90">
        <f t="shared" si="0"/>
        <v>0</v>
      </c>
    </row>
  </sheetData>
  <mergeCells count="1">
    <mergeCell ref="A1:AG1"/>
  </mergeCells>
  <conditionalFormatting sqref="B6:V26">
    <cfRule type="expression" dxfId="42" priority="2">
      <formula>AND(B6&lt;&gt;1,ABS(B6)&gt;0.7)</formula>
    </cfRule>
  </conditionalFormatting>
  <conditionalFormatting sqref="J3">
    <cfRule type="cellIs" dxfId="41" priority="4" operator="equal">
      <formula>"REVIEW REQUIRED"</formula>
    </cfRule>
    <cfRule type="cellIs" dxfId="40" priority="5" operator="equal">
      <formula>"OK"</formula>
    </cfRule>
  </conditionalFormatting>
  <conditionalFormatting sqref="AG6:AG26">
    <cfRule type="cellIs" dxfId="39" priority="3" operator="greaterThan">
      <formula>1</formula>
    </cfRule>
  </conditionalFormatting>
  <pageMargins left="0.75" right="0.75" top="1" bottom="1" header="0.511811023622047" footer="0.511811023622047"/>
  <pageSetup orientation="portrait" horizontalDpi="300" verticalDpi="300"/>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showGridLines="0" zoomScaleNormal="100" workbookViewId="0">
      <pane ySplit="2" topLeftCell="A3" activePane="bottomLeft" state="frozen"/>
      <selection pane="bottomLeft" activeCell="H12" sqref="H12"/>
    </sheetView>
  </sheetViews>
  <sheetFormatPr defaultColWidth="8.6640625" defaultRowHeight="14.4" x14ac:dyDescent="0.3"/>
  <cols>
    <col min="1" max="1" width="12" customWidth="1"/>
    <col min="2" max="3" width="15" customWidth="1"/>
    <col min="4" max="4" width="12" customWidth="1"/>
    <col min="5" max="6" width="13" customWidth="1"/>
    <col min="7" max="7" width="22" customWidth="1"/>
    <col min="8" max="8" width="30" style="189" customWidth="1"/>
  </cols>
  <sheetData>
    <row r="1" spans="1:8" ht="24" customHeight="1" x14ac:dyDescent="0.3">
      <c r="A1" s="116" t="s">
        <v>440</v>
      </c>
      <c r="B1" s="116"/>
      <c r="C1" s="116"/>
      <c r="D1" s="116"/>
      <c r="E1" s="116"/>
      <c r="F1" s="116"/>
      <c r="G1" s="116"/>
      <c r="H1" s="116"/>
    </row>
    <row r="2" spans="1:8" ht="27.75" customHeight="1" x14ac:dyDescent="0.3">
      <c r="A2" s="59" t="s">
        <v>441</v>
      </c>
      <c r="B2" s="59" t="s">
        <v>442</v>
      </c>
      <c r="C2" s="59" t="s">
        <v>443</v>
      </c>
      <c r="D2" s="59" t="s">
        <v>444</v>
      </c>
      <c r="E2" s="59" t="s">
        <v>445</v>
      </c>
      <c r="F2" s="59" t="s">
        <v>446</v>
      </c>
      <c r="G2" s="59" t="s">
        <v>447</v>
      </c>
      <c r="H2" s="59" t="s">
        <v>199</v>
      </c>
    </row>
    <row r="3" spans="1:8" ht="15" customHeight="1" x14ac:dyDescent="0.3">
      <c r="A3" s="61">
        <v>46245</v>
      </c>
      <c r="B3" s="76">
        <v>700739.19</v>
      </c>
      <c r="C3" s="91">
        <f>IF(B3="","",B3)</f>
        <v>700739.19</v>
      </c>
      <c r="D3" s="92">
        <f t="shared" ref="D3:D42" si="0">IF(OR(B3="",C3=""),"",B3/C3-1)</f>
        <v>0</v>
      </c>
      <c r="E3" s="51" t="str">
        <f t="shared" ref="E3:E42" si="1">IF(D3="","",IF(D3&gt;=-0.1,"Normal",IF(D3&gt;=-0.2,"Elevated",IF(D3&gt;=-0.3,"Severe","Critical"))))</f>
        <v>Normal</v>
      </c>
      <c r="F3" s="35" t="str">
        <f t="shared" ref="F3:F42" si="2">IF(E3="","",IF(E3="Normal","5-15%",IF(E3="Elevated","15%",IF(E3="Severe","20%","25%"))))</f>
        <v>5-15%</v>
      </c>
      <c r="G3" s="35" t="str">
        <f t="shared" ref="G3:G42" si="3">IF(E3="","",IF(E3="Normal","Standard (score &gt;=65)",IF(E3="Elevated","Restricted (score &gt;=80 only)","Suspended")))</f>
        <v>Standard (score &gt;=65)</v>
      </c>
      <c r="H3" s="182"/>
    </row>
    <row r="4" spans="1:8" ht="15" customHeight="1" x14ac:dyDescent="0.3">
      <c r="A4" s="61">
        <v>46269</v>
      </c>
      <c r="B4" s="76">
        <v>751223.12</v>
      </c>
      <c r="C4" s="91">
        <f t="shared" ref="C4:C42" si="4">IF(B4="","",MAX(C3,B4))</f>
        <v>751223.12</v>
      </c>
      <c r="D4" s="92">
        <f t="shared" si="0"/>
        <v>0</v>
      </c>
      <c r="E4" s="51" t="str">
        <f t="shared" si="1"/>
        <v>Normal</v>
      </c>
      <c r="F4" s="35" t="str">
        <f t="shared" si="2"/>
        <v>5-15%</v>
      </c>
      <c r="G4" s="35" t="str">
        <f t="shared" si="3"/>
        <v>Standard (score &gt;=65)</v>
      </c>
      <c r="H4" s="182" t="s">
        <v>448</v>
      </c>
    </row>
    <row r="5" spans="1:8" ht="15" customHeight="1" x14ac:dyDescent="0.3">
      <c r="A5" s="61"/>
      <c r="B5" s="76"/>
      <c r="C5" s="91" t="str">
        <f t="shared" si="4"/>
        <v/>
      </c>
      <c r="D5" s="92" t="str">
        <f t="shared" si="0"/>
        <v/>
      </c>
      <c r="E5" s="51" t="str">
        <f t="shared" si="1"/>
        <v/>
      </c>
      <c r="F5" s="35" t="str">
        <f t="shared" si="2"/>
        <v/>
      </c>
      <c r="G5" s="35" t="str">
        <f t="shared" si="3"/>
        <v/>
      </c>
      <c r="H5" s="182"/>
    </row>
    <row r="6" spans="1:8" ht="15" customHeight="1" x14ac:dyDescent="0.3">
      <c r="A6" s="61"/>
      <c r="B6" s="76"/>
      <c r="C6" s="91" t="str">
        <f t="shared" si="4"/>
        <v/>
      </c>
      <c r="D6" s="92" t="str">
        <f t="shared" si="0"/>
        <v/>
      </c>
      <c r="E6" s="51" t="str">
        <f t="shared" si="1"/>
        <v/>
      </c>
      <c r="F6" s="35" t="str">
        <f t="shared" si="2"/>
        <v/>
      </c>
      <c r="G6" s="35" t="str">
        <f t="shared" si="3"/>
        <v/>
      </c>
      <c r="H6" s="182"/>
    </row>
    <row r="7" spans="1:8" ht="15" customHeight="1" x14ac:dyDescent="0.3">
      <c r="A7" s="61"/>
      <c r="B7" s="76"/>
      <c r="C7" s="91" t="str">
        <f t="shared" si="4"/>
        <v/>
      </c>
      <c r="D7" s="92" t="str">
        <f t="shared" si="0"/>
        <v/>
      </c>
      <c r="E7" s="51" t="str">
        <f t="shared" si="1"/>
        <v/>
      </c>
      <c r="F7" s="35" t="str">
        <f t="shared" si="2"/>
        <v/>
      </c>
      <c r="G7" s="35" t="str">
        <f t="shared" si="3"/>
        <v/>
      </c>
      <c r="H7" s="182"/>
    </row>
    <row r="8" spans="1:8" ht="15" customHeight="1" x14ac:dyDescent="0.3">
      <c r="A8" s="61"/>
      <c r="B8" s="76"/>
      <c r="C8" s="91" t="str">
        <f t="shared" si="4"/>
        <v/>
      </c>
      <c r="D8" s="92" t="str">
        <f t="shared" si="0"/>
        <v/>
      </c>
      <c r="E8" s="51" t="str">
        <f t="shared" si="1"/>
        <v/>
      </c>
      <c r="F8" s="35" t="str">
        <f t="shared" si="2"/>
        <v/>
      </c>
      <c r="G8" s="35" t="str">
        <f t="shared" si="3"/>
        <v/>
      </c>
      <c r="H8" s="182"/>
    </row>
    <row r="9" spans="1:8" ht="15" customHeight="1" x14ac:dyDescent="0.3">
      <c r="A9" s="61"/>
      <c r="B9" s="76"/>
      <c r="C9" s="91" t="str">
        <f t="shared" si="4"/>
        <v/>
      </c>
      <c r="D9" s="92" t="str">
        <f t="shared" si="0"/>
        <v/>
      </c>
      <c r="E9" s="51" t="str">
        <f t="shared" si="1"/>
        <v/>
      </c>
      <c r="F9" s="35" t="str">
        <f t="shared" si="2"/>
        <v/>
      </c>
      <c r="G9" s="35" t="str">
        <f t="shared" si="3"/>
        <v/>
      </c>
      <c r="H9" s="182"/>
    </row>
    <row r="10" spans="1:8" ht="15" customHeight="1" x14ac:dyDescent="0.3">
      <c r="A10" s="61"/>
      <c r="B10" s="76"/>
      <c r="C10" s="91" t="str">
        <f t="shared" si="4"/>
        <v/>
      </c>
      <c r="D10" s="92" t="str">
        <f t="shared" si="0"/>
        <v/>
      </c>
      <c r="E10" s="51" t="str">
        <f t="shared" si="1"/>
        <v/>
      </c>
      <c r="F10" s="35" t="str">
        <f t="shared" si="2"/>
        <v/>
      </c>
      <c r="G10" s="35" t="str">
        <f t="shared" si="3"/>
        <v/>
      </c>
      <c r="H10" s="182"/>
    </row>
    <row r="11" spans="1:8" ht="15" customHeight="1" x14ac:dyDescent="0.3">
      <c r="A11" s="61"/>
      <c r="B11" s="76"/>
      <c r="C11" s="91" t="str">
        <f t="shared" si="4"/>
        <v/>
      </c>
      <c r="D11" s="92" t="str">
        <f t="shared" si="0"/>
        <v/>
      </c>
      <c r="E11" s="51" t="str">
        <f t="shared" si="1"/>
        <v/>
      </c>
      <c r="F11" s="35" t="str">
        <f t="shared" si="2"/>
        <v/>
      </c>
      <c r="G11" s="35" t="str">
        <f t="shared" si="3"/>
        <v/>
      </c>
      <c r="H11" s="182"/>
    </row>
    <row r="12" spans="1:8" ht="15" customHeight="1" x14ac:dyDescent="0.3">
      <c r="A12" s="61"/>
      <c r="B12" s="76"/>
      <c r="C12" s="91" t="str">
        <f t="shared" si="4"/>
        <v/>
      </c>
      <c r="D12" s="92" t="str">
        <f t="shared" si="0"/>
        <v/>
      </c>
      <c r="E12" s="51" t="str">
        <f t="shared" si="1"/>
        <v/>
      </c>
      <c r="F12" s="35" t="str">
        <f t="shared" si="2"/>
        <v/>
      </c>
      <c r="G12" s="35" t="str">
        <f t="shared" si="3"/>
        <v/>
      </c>
      <c r="H12" s="182"/>
    </row>
    <row r="13" spans="1:8" ht="15" customHeight="1" x14ac:dyDescent="0.3">
      <c r="A13" s="61"/>
      <c r="B13" s="76"/>
      <c r="C13" s="91" t="str">
        <f t="shared" si="4"/>
        <v/>
      </c>
      <c r="D13" s="92" t="str">
        <f t="shared" si="0"/>
        <v/>
      </c>
      <c r="E13" s="51" t="str">
        <f t="shared" si="1"/>
        <v/>
      </c>
      <c r="F13" s="35" t="str">
        <f t="shared" si="2"/>
        <v/>
      </c>
      <c r="G13" s="35" t="str">
        <f t="shared" si="3"/>
        <v/>
      </c>
      <c r="H13" s="182"/>
    </row>
    <row r="14" spans="1:8" ht="15" customHeight="1" x14ac:dyDescent="0.3">
      <c r="A14" s="61"/>
      <c r="B14" s="76"/>
      <c r="C14" s="91" t="str">
        <f t="shared" si="4"/>
        <v/>
      </c>
      <c r="D14" s="92" t="str">
        <f t="shared" si="0"/>
        <v/>
      </c>
      <c r="E14" s="51" t="str">
        <f t="shared" si="1"/>
        <v/>
      </c>
      <c r="F14" s="35" t="str">
        <f t="shared" si="2"/>
        <v/>
      </c>
      <c r="G14" s="35" t="str">
        <f t="shared" si="3"/>
        <v/>
      </c>
      <c r="H14" s="182"/>
    </row>
    <row r="15" spans="1:8" ht="15" customHeight="1" x14ac:dyDescent="0.3">
      <c r="A15" s="61"/>
      <c r="B15" s="76"/>
      <c r="C15" s="91" t="str">
        <f t="shared" si="4"/>
        <v/>
      </c>
      <c r="D15" s="92" t="str">
        <f t="shared" si="0"/>
        <v/>
      </c>
      <c r="E15" s="51" t="str">
        <f t="shared" si="1"/>
        <v/>
      </c>
      <c r="F15" s="35" t="str">
        <f t="shared" si="2"/>
        <v/>
      </c>
      <c r="G15" s="35" t="str">
        <f t="shared" si="3"/>
        <v/>
      </c>
      <c r="H15" s="182"/>
    </row>
    <row r="16" spans="1:8" ht="15" customHeight="1" x14ac:dyDescent="0.3">
      <c r="A16" s="61"/>
      <c r="B16" s="76"/>
      <c r="C16" s="91" t="str">
        <f t="shared" si="4"/>
        <v/>
      </c>
      <c r="D16" s="92" t="str">
        <f t="shared" si="0"/>
        <v/>
      </c>
      <c r="E16" s="51" t="str">
        <f t="shared" si="1"/>
        <v/>
      </c>
      <c r="F16" s="35" t="str">
        <f t="shared" si="2"/>
        <v/>
      </c>
      <c r="G16" s="35" t="str">
        <f t="shared" si="3"/>
        <v/>
      </c>
      <c r="H16" s="182"/>
    </row>
    <row r="17" spans="1:8" ht="15" customHeight="1" x14ac:dyDescent="0.3">
      <c r="A17" s="61"/>
      <c r="B17" s="76"/>
      <c r="C17" s="91" t="str">
        <f t="shared" si="4"/>
        <v/>
      </c>
      <c r="D17" s="92" t="str">
        <f t="shared" si="0"/>
        <v/>
      </c>
      <c r="E17" s="51" t="str">
        <f t="shared" si="1"/>
        <v/>
      </c>
      <c r="F17" s="35" t="str">
        <f t="shared" si="2"/>
        <v/>
      </c>
      <c r="G17" s="35" t="str">
        <f t="shared" si="3"/>
        <v/>
      </c>
      <c r="H17" s="182"/>
    </row>
    <row r="18" spans="1:8" ht="15" customHeight="1" x14ac:dyDescent="0.3">
      <c r="A18" s="61"/>
      <c r="B18" s="76"/>
      <c r="C18" s="91" t="str">
        <f t="shared" si="4"/>
        <v/>
      </c>
      <c r="D18" s="92" t="str">
        <f t="shared" si="0"/>
        <v/>
      </c>
      <c r="E18" s="51" t="str">
        <f t="shared" si="1"/>
        <v/>
      </c>
      <c r="F18" s="35" t="str">
        <f t="shared" si="2"/>
        <v/>
      </c>
      <c r="G18" s="35" t="str">
        <f t="shared" si="3"/>
        <v/>
      </c>
      <c r="H18" s="182"/>
    </row>
    <row r="19" spans="1:8" ht="15" customHeight="1" x14ac:dyDescent="0.3">
      <c r="A19" s="61"/>
      <c r="B19" s="76"/>
      <c r="C19" s="91" t="str">
        <f t="shared" si="4"/>
        <v/>
      </c>
      <c r="D19" s="92" t="str">
        <f t="shared" si="0"/>
        <v/>
      </c>
      <c r="E19" s="51" t="str">
        <f t="shared" si="1"/>
        <v/>
      </c>
      <c r="F19" s="35" t="str">
        <f t="shared" si="2"/>
        <v/>
      </c>
      <c r="G19" s="35" t="str">
        <f t="shared" si="3"/>
        <v/>
      </c>
      <c r="H19" s="182"/>
    </row>
    <row r="20" spans="1:8" ht="15" customHeight="1" x14ac:dyDescent="0.3">
      <c r="A20" s="61"/>
      <c r="B20" s="76"/>
      <c r="C20" s="91" t="str">
        <f t="shared" si="4"/>
        <v/>
      </c>
      <c r="D20" s="92" t="str">
        <f t="shared" si="0"/>
        <v/>
      </c>
      <c r="E20" s="51" t="str">
        <f t="shared" si="1"/>
        <v/>
      </c>
      <c r="F20" s="35" t="str">
        <f t="shared" si="2"/>
        <v/>
      </c>
      <c r="G20" s="35" t="str">
        <f t="shared" si="3"/>
        <v/>
      </c>
      <c r="H20" s="182"/>
    </row>
    <row r="21" spans="1:8" ht="15" customHeight="1" x14ac:dyDescent="0.3">
      <c r="A21" s="61"/>
      <c r="B21" s="76"/>
      <c r="C21" s="91" t="str">
        <f t="shared" si="4"/>
        <v/>
      </c>
      <c r="D21" s="92" t="str">
        <f t="shared" si="0"/>
        <v/>
      </c>
      <c r="E21" s="51" t="str">
        <f t="shared" si="1"/>
        <v/>
      </c>
      <c r="F21" s="35" t="str">
        <f t="shared" si="2"/>
        <v/>
      </c>
      <c r="G21" s="35" t="str">
        <f t="shared" si="3"/>
        <v/>
      </c>
      <c r="H21" s="182"/>
    </row>
    <row r="22" spans="1:8" ht="15" customHeight="1" x14ac:dyDescent="0.3">
      <c r="A22" s="61"/>
      <c r="B22" s="76"/>
      <c r="C22" s="91" t="str">
        <f t="shared" si="4"/>
        <v/>
      </c>
      <c r="D22" s="92" t="str">
        <f t="shared" si="0"/>
        <v/>
      </c>
      <c r="E22" s="51" t="str">
        <f t="shared" si="1"/>
        <v/>
      </c>
      <c r="F22" s="35" t="str">
        <f t="shared" si="2"/>
        <v/>
      </c>
      <c r="G22" s="35" t="str">
        <f t="shared" si="3"/>
        <v/>
      </c>
      <c r="H22" s="182"/>
    </row>
    <row r="23" spans="1:8" ht="15" customHeight="1" x14ac:dyDescent="0.3">
      <c r="A23" s="61"/>
      <c r="B23" s="76"/>
      <c r="C23" s="91" t="str">
        <f t="shared" si="4"/>
        <v/>
      </c>
      <c r="D23" s="92" t="str">
        <f t="shared" si="0"/>
        <v/>
      </c>
      <c r="E23" s="51" t="str">
        <f t="shared" si="1"/>
        <v/>
      </c>
      <c r="F23" s="35" t="str">
        <f t="shared" si="2"/>
        <v/>
      </c>
      <c r="G23" s="35" t="str">
        <f t="shared" si="3"/>
        <v/>
      </c>
      <c r="H23" s="182"/>
    </row>
    <row r="24" spans="1:8" ht="15" customHeight="1" x14ac:dyDescent="0.3">
      <c r="A24" s="61"/>
      <c r="B24" s="76"/>
      <c r="C24" s="91" t="str">
        <f t="shared" si="4"/>
        <v/>
      </c>
      <c r="D24" s="92" t="str">
        <f t="shared" si="0"/>
        <v/>
      </c>
      <c r="E24" s="51" t="str">
        <f t="shared" si="1"/>
        <v/>
      </c>
      <c r="F24" s="35" t="str">
        <f t="shared" si="2"/>
        <v/>
      </c>
      <c r="G24" s="35" t="str">
        <f t="shared" si="3"/>
        <v/>
      </c>
      <c r="H24" s="182"/>
    </row>
    <row r="25" spans="1:8" ht="15" customHeight="1" x14ac:dyDescent="0.3">
      <c r="A25" s="61"/>
      <c r="B25" s="76"/>
      <c r="C25" s="91" t="str">
        <f t="shared" si="4"/>
        <v/>
      </c>
      <c r="D25" s="92" t="str">
        <f t="shared" si="0"/>
        <v/>
      </c>
      <c r="E25" s="51" t="str">
        <f t="shared" si="1"/>
        <v/>
      </c>
      <c r="F25" s="35" t="str">
        <f t="shared" si="2"/>
        <v/>
      </c>
      <c r="G25" s="35" t="str">
        <f t="shared" si="3"/>
        <v/>
      </c>
      <c r="H25" s="182"/>
    </row>
    <row r="26" spans="1:8" ht="15" customHeight="1" x14ac:dyDescent="0.3">
      <c r="A26" s="61"/>
      <c r="B26" s="76"/>
      <c r="C26" s="91" t="str">
        <f t="shared" si="4"/>
        <v/>
      </c>
      <c r="D26" s="92" t="str">
        <f t="shared" si="0"/>
        <v/>
      </c>
      <c r="E26" s="51" t="str">
        <f t="shared" si="1"/>
        <v/>
      </c>
      <c r="F26" s="35" t="str">
        <f t="shared" si="2"/>
        <v/>
      </c>
      <c r="G26" s="35" t="str">
        <f t="shared" si="3"/>
        <v/>
      </c>
      <c r="H26" s="182"/>
    </row>
    <row r="27" spans="1:8" ht="15" customHeight="1" x14ac:dyDescent="0.3">
      <c r="A27" s="61"/>
      <c r="B27" s="76"/>
      <c r="C27" s="91" t="str">
        <f t="shared" si="4"/>
        <v/>
      </c>
      <c r="D27" s="92" t="str">
        <f t="shared" si="0"/>
        <v/>
      </c>
      <c r="E27" s="51" t="str">
        <f t="shared" si="1"/>
        <v/>
      </c>
      <c r="F27" s="35" t="str">
        <f t="shared" si="2"/>
        <v/>
      </c>
      <c r="G27" s="35" t="str">
        <f t="shared" si="3"/>
        <v/>
      </c>
      <c r="H27" s="182"/>
    </row>
    <row r="28" spans="1:8" ht="15" customHeight="1" x14ac:dyDescent="0.3">
      <c r="A28" s="61"/>
      <c r="B28" s="76"/>
      <c r="C28" s="91" t="str">
        <f t="shared" si="4"/>
        <v/>
      </c>
      <c r="D28" s="92" t="str">
        <f t="shared" si="0"/>
        <v/>
      </c>
      <c r="E28" s="51" t="str">
        <f t="shared" si="1"/>
        <v/>
      </c>
      <c r="F28" s="35" t="str">
        <f t="shared" si="2"/>
        <v/>
      </c>
      <c r="G28" s="35" t="str">
        <f t="shared" si="3"/>
        <v/>
      </c>
      <c r="H28" s="182"/>
    </row>
    <row r="29" spans="1:8" ht="15" customHeight="1" x14ac:dyDescent="0.3">
      <c r="A29" s="61"/>
      <c r="B29" s="76"/>
      <c r="C29" s="91" t="str">
        <f t="shared" si="4"/>
        <v/>
      </c>
      <c r="D29" s="92" t="str">
        <f t="shared" si="0"/>
        <v/>
      </c>
      <c r="E29" s="51" t="str">
        <f t="shared" si="1"/>
        <v/>
      </c>
      <c r="F29" s="35" t="str">
        <f t="shared" si="2"/>
        <v/>
      </c>
      <c r="G29" s="35" t="str">
        <f t="shared" si="3"/>
        <v/>
      </c>
      <c r="H29" s="182"/>
    </row>
    <row r="30" spans="1:8" ht="15" customHeight="1" x14ac:dyDescent="0.3">
      <c r="A30" s="61"/>
      <c r="B30" s="76"/>
      <c r="C30" s="91" t="str">
        <f t="shared" si="4"/>
        <v/>
      </c>
      <c r="D30" s="92" t="str">
        <f t="shared" si="0"/>
        <v/>
      </c>
      <c r="E30" s="51" t="str">
        <f t="shared" si="1"/>
        <v/>
      </c>
      <c r="F30" s="35" t="str">
        <f t="shared" si="2"/>
        <v/>
      </c>
      <c r="G30" s="35" t="str">
        <f t="shared" si="3"/>
        <v/>
      </c>
      <c r="H30" s="182"/>
    </row>
    <row r="31" spans="1:8" ht="15" customHeight="1" x14ac:dyDescent="0.3">
      <c r="A31" s="61"/>
      <c r="B31" s="76"/>
      <c r="C31" s="91" t="str">
        <f t="shared" si="4"/>
        <v/>
      </c>
      <c r="D31" s="92" t="str">
        <f t="shared" si="0"/>
        <v/>
      </c>
      <c r="E31" s="51" t="str">
        <f t="shared" si="1"/>
        <v/>
      </c>
      <c r="F31" s="35" t="str">
        <f t="shared" si="2"/>
        <v/>
      </c>
      <c r="G31" s="35" t="str">
        <f t="shared" si="3"/>
        <v/>
      </c>
      <c r="H31" s="182"/>
    </row>
    <row r="32" spans="1:8" ht="15" customHeight="1" x14ac:dyDescent="0.3">
      <c r="A32" s="61"/>
      <c r="B32" s="76"/>
      <c r="C32" s="91" t="str">
        <f t="shared" si="4"/>
        <v/>
      </c>
      <c r="D32" s="92" t="str">
        <f t="shared" si="0"/>
        <v/>
      </c>
      <c r="E32" s="51" t="str">
        <f t="shared" si="1"/>
        <v/>
      </c>
      <c r="F32" s="35" t="str">
        <f t="shared" si="2"/>
        <v/>
      </c>
      <c r="G32" s="35" t="str">
        <f t="shared" si="3"/>
        <v/>
      </c>
      <c r="H32" s="182"/>
    </row>
    <row r="33" spans="1:8" ht="15" customHeight="1" x14ac:dyDescent="0.3">
      <c r="A33" s="61"/>
      <c r="B33" s="76"/>
      <c r="C33" s="91" t="str">
        <f t="shared" si="4"/>
        <v/>
      </c>
      <c r="D33" s="92" t="str">
        <f t="shared" si="0"/>
        <v/>
      </c>
      <c r="E33" s="51" t="str">
        <f t="shared" si="1"/>
        <v/>
      </c>
      <c r="F33" s="35" t="str">
        <f t="shared" si="2"/>
        <v/>
      </c>
      <c r="G33" s="35" t="str">
        <f t="shared" si="3"/>
        <v/>
      </c>
      <c r="H33" s="182"/>
    </row>
    <row r="34" spans="1:8" ht="15" customHeight="1" x14ac:dyDescent="0.3">
      <c r="A34" s="61"/>
      <c r="B34" s="76"/>
      <c r="C34" s="91" t="str">
        <f t="shared" si="4"/>
        <v/>
      </c>
      <c r="D34" s="92" t="str">
        <f t="shared" si="0"/>
        <v/>
      </c>
      <c r="E34" s="51" t="str">
        <f t="shared" si="1"/>
        <v/>
      </c>
      <c r="F34" s="35" t="str">
        <f t="shared" si="2"/>
        <v/>
      </c>
      <c r="G34" s="35" t="str">
        <f t="shared" si="3"/>
        <v/>
      </c>
      <c r="H34" s="182"/>
    </row>
    <row r="35" spans="1:8" ht="15" customHeight="1" x14ac:dyDescent="0.3">
      <c r="A35" s="61"/>
      <c r="B35" s="76"/>
      <c r="C35" s="91" t="str">
        <f t="shared" si="4"/>
        <v/>
      </c>
      <c r="D35" s="92" t="str">
        <f t="shared" si="0"/>
        <v/>
      </c>
      <c r="E35" s="51" t="str">
        <f t="shared" si="1"/>
        <v/>
      </c>
      <c r="F35" s="35" t="str">
        <f t="shared" si="2"/>
        <v/>
      </c>
      <c r="G35" s="35" t="str">
        <f t="shared" si="3"/>
        <v/>
      </c>
      <c r="H35" s="182"/>
    </row>
    <row r="36" spans="1:8" ht="15" customHeight="1" x14ac:dyDescent="0.3">
      <c r="A36" s="61"/>
      <c r="B36" s="76"/>
      <c r="C36" s="91" t="str">
        <f t="shared" si="4"/>
        <v/>
      </c>
      <c r="D36" s="92" t="str">
        <f t="shared" si="0"/>
        <v/>
      </c>
      <c r="E36" s="51" t="str">
        <f t="shared" si="1"/>
        <v/>
      </c>
      <c r="F36" s="35" t="str">
        <f t="shared" si="2"/>
        <v/>
      </c>
      <c r="G36" s="35" t="str">
        <f t="shared" si="3"/>
        <v/>
      </c>
      <c r="H36" s="182"/>
    </row>
    <row r="37" spans="1:8" ht="15" customHeight="1" x14ac:dyDescent="0.3">
      <c r="A37" s="61"/>
      <c r="B37" s="76"/>
      <c r="C37" s="91" t="str">
        <f t="shared" si="4"/>
        <v/>
      </c>
      <c r="D37" s="92" t="str">
        <f t="shared" si="0"/>
        <v/>
      </c>
      <c r="E37" s="51" t="str">
        <f t="shared" si="1"/>
        <v/>
      </c>
      <c r="F37" s="35" t="str">
        <f t="shared" si="2"/>
        <v/>
      </c>
      <c r="G37" s="35" t="str">
        <f t="shared" si="3"/>
        <v/>
      </c>
      <c r="H37" s="182"/>
    </row>
    <row r="38" spans="1:8" ht="15" customHeight="1" x14ac:dyDescent="0.3">
      <c r="A38" s="61"/>
      <c r="B38" s="76"/>
      <c r="C38" s="91" t="str">
        <f t="shared" si="4"/>
        <v/>
      </c>
      <c r="D38" s="92" t="str">
        <f t="shared" si="0"/>
        <v/>
      </c>
      <c r="E38" s="51" t="str">
        <f t="shared" si="1"/>
        <v/>
      </c>
      <c r="F38" s="35" t="str">
        <f t="shared" si="2"/>
        <v/>
      </c>
      <c r="G38" s="35" t="str">
        <f t="shared" si="3"/>
        <v/>
      </c>
      <c r="H38" s="182"/>
    </row>
    <row r="39" spans="1:8" ht="15" customHeight="1" x14ac:dyDescent="0.3">
      <c r="A39" s="61"/>
      <c r="B39" s="76"/>
      <c r="C39" s="91" t="str">
        <f t="shared" si="4"/>
        <v/>
      </c>
      <c r="D39" s="92" t="str">
        <f t="shared" si="0"/>
        <v/>
      </c>
      <c r="E39" s="51" t="str">
        <f t="shared" si="1"/>
        <v/>
      </c>
      <c r="F39" s="35" t="str">
        <f t="shared" si="2"/>
        <v/>
      </c>
      <c r="G39" s="35" t="str">
        <f t="shared" si="3"/>
        <v/>
      </c>
      <c r="H39" s="182"/>
    </row>
    <row r="40" spans="1:8" ht="15" customHeight="1" x14ac:dyDescent="0.3">
      <c r="A40" s="61"/>
      <c r="B40" s="76"/>
      <c r="C40" s="91" t="str">
        <f t="shared" si="4"/>
        <v/>
      </c>
      <c r="D40" s="92" t="str">
        <f t="shared" si="0"/>
        <v/>
      </c>
      <c r="E40" s="51" t="str">
        <f t="shared" si="1"/>
        <v/>
      </c>
      <c r="F40" s="35" t="str">
        <f t="shared" si="2"/>
        <v/>
      </c>
      <c r="G40" s="35" t="str">
        <f t="shared" si="3"/>
        <v/>
      </c>
      <c r="H40" s="182"/>
    </row>
    <row r="41" spans="1:8" ht="15" customHeight="1" x14ac:dyDescent="0.3">
      <c r="A41" s="61"/>
      <c r="B41" s="76"/>
      <c r="C41" s="91" t="str">
        <f t="shared" si="4"/>
        <v/>
      </c>
      <c r="D41" s="92" t="str">
        <f t="shared" si="0"/>
        <v/>
      </c>
      <c r="E41" s="51" t="str">
        <f t="shared" si="1"/>
        <v/>
      </c>
      <c r="F41" s="35" t="str">
        <f t="shared" si="2"/>
        <v/>
      </c>
      <c r="G41" s="35" t="str">
        <f t="shared" si="3"/>
        <v/>
      </c>
      <c r="H41" s="182"/>
    </row>
    <row r="42" spans="1:8" ht="15" customHeight="1" x14ac:dyDescent="0.3">
      <c r="A42" s="61"/>
      <c r="B42" s="76"/>
      <c r="C42" s="91" t="str">
        <f t="shared" si="4"/>
        <v/>
      </c>
      <c r="D42" s="92" t="str">
        <f t="shared" si="0"/>
        <v/>
      </c>
      <c r="E42" s="51" t="str">
        <f t="shared" si="1"/>
        <v/>
      </c>
      <c r="F42" s="35" t="str">
        <f t="shared" si="2"/>
        <v/>
      </c>
      <c r="G42" s="35" t="str">
        <f t="shared" si="3"/>
        <v/>
      </c>
      <c r="H42" s="182"/>
    </row>
  </sheetData>
  <mergeCells count="1">
    <mergeCell ref="A1:H1"/>
  </mergeCells>
  <conditionalFormatting sqref="E3:E42">
    <cfRule type="cellIs" dxfId="38" priority="2" operator="equal">
      <formula>"Normal"</formula>
    </cfRule>
    <cfRule type="cellIs" dxfId="37" priority="3" operator="equal">
      <formula>"Elevated"</formula>
    </cfRule>
    <cfRule type="cellIs" dxfId="36" priority="4" operator="equal">
      <formula>"Severe"</formula>
    </cfRule>
    <cfRule type="cellIs" dxfId="35" priority="5" operator="equal">
      <formula>"Critical"</formula>
    </cfRule>
  </conditionalFormatting>
  <pageMargins left="0.75" right="0.75" top="1" bottom="1" header="0.511811023622047" footer="0.51180555555555596"/>
  <pageSetup paperSize="9" orientation="portrait" horizontalDpi="300" verticalDpi="300"/>
  <headerFooter>
    <oddFooter>&amp;L&amp;"Arial Narrow,Regular"&amp;8 &amp;F&amp;C&amp;"Arial Narrow,Regular"&amp;8 &amp;A - &amp;D &amp;T&amp;R&amp;"Arial,Regular" &amp;P / &amp;N</oddFooter>
  </headerFooter>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2"/>
  <sheetViews>
    <sheetView showGridLines="0" zoomScaleNormal="100" workbookViewId="0">
      <pane ySplit="2" topLeftCell="A3" activePane="bottomLeft" state="frozen"/>
      <selection pane="bottomLeft" activeCell="C10" sqref="C10"/>
    </sheetView>
  </sheetViews>
  <sheetFormatPr defaultColWidth="8.6640625" defaultRowHeight="14.4" x14ac:dyDescent="0.3"/>
  <cols>
    <col min="1" max="1" width="9" customWidth="1"/>
    <col min="2" max="2" width="16" customWidth="1"/>
    <col min="3" max="3" width="13" customWidth="1"/>
    <col min="4" max="4" width="12" customWidth="1"/>
    <col min="5" max="6" width="8" customWidth="1"/>
    <col min="7" max="9" width="12" customWidth="1"/>
    <col min="10" max="10" width="10" customWidth="1"/>
    <col min="11" max="11" width="20" customWidth="1"/>
    <col min="12" max="12" width="30" customWidth="1"/>
  </cols>
  <sheetData>
    <row r="1" spans="1:13" s="137" customFormat="1" ht="21" customHeight="1" x14ac:dyDescent="0.3">
      <c r="A1" s="78" t="s">
        <v>449</v>
      </c>
      <c r="B1" s="78"/>
      <c r="C1" s="78"/>
      <c r="D1" s="78"/>
      <c r="E1" s="78"/>
      <c r="F1" s="78"/>
      <c r="G1" s="78"/>
      <c r="H1" s="78"/>
      <c r="I1" s="78"/>
      <c r="J1" s="78"/>
      <c r="K1" s="78"/>
      <c r="L1" s="78"/>
      <c r="M1" s="78"/>
    </row>
    <row r="2" spans="1:13" ht="45.75" customHeight="1" x14ac:dyDescent="0.3">
      <c r="A2" s="30" t="s">
        <v>76</v>
      </c>
      <c r="B2" s="30" t="s">
        <v>270</v>
      </c>
      <c r="C2" s="30" t="s">
        <v>450</v>
      </c>
      <c r="D2" s="30" t="s">
        <v>451</v>
      </c>
      <c r="E2" s="30" t="s">
        <v>452</v>
      </c>
      <c r="F2" s="30" t="s">
        <v>453</v>
      </c>
      <c r="G2" s="30" t="s">
        <v>454</v>
      </c>
      <c r="H2" s="30" t="s">
        <v>455</v>
      </c>
      <c r="I2" s="30" t="s">
        <v>456</v>
      </c>
      <c r="J2" s="30" t="s">
        <v>457</v>
      </c>
      <c r="K2" s="30" t="s">
        <v>458</v>
      </c>
      <c r="L2" s="30" t="s">
        <v>459</v>
      </c>
    </row>
    <row r="3" spans="1:13" ht="15" customHeight="1" x14ac:dyDescent="0.3">
      <c r="A3" s="70"/>
      <c r="B3" s="70"/>
      <c r="C3" s="70"/>
      <c r="D3" s="93"/>
      <c r="E3" s="70"/>
      <c r="F3" s="70"/>
      <c r="G3" s="93"/>
      <c r="H3" s="70"/>
      <c r="I3" s="81" t="str">
        <f t="shared" ref="I3:I22" si="0">IF(D3="","",D3+90)</f>
        <v/>
      </c>
      <c r="J3" s="94" t="str">
        <f t="shared" ref="J3:J22" ca="1" si="1">IF(I3="","",I3-TODAY())</f>
        <v/>
      </c>
      <c r="K3" s="71" t="str">
        <f t="shared" ref="K3:K22" si="2">IF(OR(C3="",F3=""),"",IF(AND(C3="Exit Review",H3="N"),"NO CREDIBLE PLAN — SELL WITHIN 30 DAYS",IF(AND(C3="Probationary Hold",F3&gt;=65),"RECOVERED — REMOVE FROM WATCH LIST",IF(AND(C3="Exit Review",F3&gt;=50),"RECOVERED — MOVE TO PROBATIONARY HOLD",IF(J3&lt;0,"DEADLINE PASSED — SELL WITHIN 30 DAYS",IF(J3&lt;=14,"DEADLINE APPROACHING","ON TRACK"))))))</f>
        <v/>
      </c>
      <c r="L3" s="70"/>
    </row>
    <row r="4" spans="1:13" ht="15" customHeight="1" x14ac:dyDescent="0.3">
      <c r="A4" s="70"/>
      <c r="B4" s="70"/>
      <c r="C4" s="70"/>
      <c r="D4" s="93"/>
      <c r="E4" s="70"/>
      <c r="F4" s="70"/>
      <c r="G4" s="93"/>
      <c r="H4" s="70"/>
      <c r="I4" s="81" t="str">
        <f t="shared" si="0"/>
        <v/>
      </c>
      <c r="J4" s="94" t="str">
        <f t="shared" ca="1" si="1"/>
        <v/>
      </c>
      <c r="K4" s="71" t="str">
        <f t="shared" si="2"/>
        <v/>
      </c>
      <c r="L4" s="70"/>
    </row>
    <row r="5" spans="1:13" ht="15" customHeight="1" x14ac:dyDescent="0.3">
      <c r="A5" s="70"/>
      <c r="B5" s="70"/>
      <c r="C5" s="70"/>
      <c r="D5" s="93"/>
      <c r="E5" s="70"/>
      <c r="F5" s="70"/>
      <c r="G5" s="93"/>
      <c r="H5" s="70"/>
      <c r="I5" s="81" t="str">
        <f t="shared" si="0"/>
        <v/>
      </c>
      <c r="J5" s="94" t="str">
        <f t="shared" ca="1" si="1"/>
        <v/>
      </c>
      <c r="K5" s="71" t="str">
        <f t="shared" si="2"/>
        <v/>
      </c>
      <c r="L5" s="70"/>
    </row>
    <row r="6" spans="1:13" ht="15" customHeight="1" x14ac:dyDescent="0.3">
      <c r="A6" s="70"/>
      <c r="B6" s="70"/>
      <c r="C6" s="70"/>
      <c r="D6" s="93"/>
      <c r="E6" s="70"/>
      <c r="F6" s="70"/>
      <c r="G6" s="93"/>
      <c r="H6" s="70"/>
      <c r="I6" s="81" t="str">
        <f t="shared" si="0"/>
        <v/>
      </c>
      <c r="J6" s="94" t="str">
        <f t="shared" ca="1" si="1"/>
        <v/>
      </c>
      <c r="K6" s="71" t="str">
        <f t="shared" si="2"/>
        <v/>
      </c>
      <c r="L6" s="70"/>
    </row>
    <row r="7" spans="1:13" ht="15" customHeight="1" x14ac:dyDescent="0.3">
      <c r="A7" s="70"/>
      <c r="B7" s="70"/>
      <c r="C7" s="70"/>
      <c r="D7" s="93"/>
      <c r="E7" s="70"/>
      <c r="F7" s="70"/>
      <c r="G7" s="93"/>
      <c r="H7" s="70"/>
      <c r="I7" s="81" t="str">
        <f t="shared" si="0"/>
        <v/>
      </c>
      <c r="J7" s="94" t="str">
        <f t="shared" ca="1" si="1"/>
        <v/>
      </c>
      <c r="K7" s="71" t="str">
        <f t="shared" si="2"/>
        <v/>
      </c>
      <c r="L7" s="70"/>
    </row>
    <row r="8" spans="1:13" ht="15" customHeight="1" x14ac:dyDescent="0.3">
      <c r="A8" s="70"/>
      <c r="B8" s="70"/>
      <c r="C8" s="70"/>
      <c r="D8" s="93"/>
      <c r="E8" s="70"/>
      <c r="F8" s="70"/>
      <c r="G8" s="93"/>
      <c r="H8" s="70"/>
      <c r="I8" s="81" t="str">
        <f t="shared" si="0"/>
        <v/>
      </c>
      <c r="J8" s="94" t="str">
        <f t="shared" ca="1" si="1"/>
        <v/>
      </c>
      <c r="K8" s="71" t="str">
        <f t="shared" si="2"/>
        <v/>
      </c>
      <c r="L8" s="70"/>
    </row>
    <row r="9" spans="1:13" ht="15" customHeight="1" x14ac:dyDescent="0.3">
      <c r="A9" s="70"/>
      <c r="B9" s="70"/>
      <c r="C9" s="70"/>
      <c r="D9" s="93"/>
      <c r="E9" s="70"/>
      <c r="F9" s="70"/>
      <c r="G9" s="93"/>
      <c r="H9" s="70"/>
      <c r="I9" s="81" t="str">
        <f t="shared" si="0"/>
        <v/>
      </c>
      <c r="J9" s="94" t="str">
        <f t="shared" ca="1" si="1"/>
        <v/>
      </c>
      <c r="K9" s="71" t="str">
        <f t="shared" si="2"/>
        <v/>
      </c>
      <c r="L9" s="70"/>
    </row>
    <row r="10" spans="1:13" ht="15" customHeight="1" x14ac:dyDescent="0.3">
      <c r="A10" s="70"/>
      <c r="B10" s="70"/>
      <c r="C10" s="70"/>
      <c r="D10" s="93"/>
      <c r="E10" s="70"/>
      <c r="F10" s="70"/>
      <c r="G10" s="93"/>
      <c r="H10" s="70"/>
      <c r="I10" s="81" t="str">
        <f t="shared" si="0"/>
        <v/>
      </c>
      <c r="J10" s="94" t="str">
        <f t="shared" ca="1" si="1"/>
        <v/>
      </c>
      <c r="K10" s="71" t="str">
        <f t="shared" si="2"/>
        <v/>
      </c>
      <c r="L10" s="70"/>
    </row>
    <row r="11" spans="1:13" ht="15" customHeight="1" x14ac:dyDescent="0.3">
      <c r="A11" s="70"/>
      <c r="B11" s="70"/>
      <c r="C11" s="70"/>
      <c r="D11" s="93"/>
      <c r="E11" s="70"/>
      <c r="F11" s="70"/>
      <c r="G11" s="93"/>
      <c r="H11" s="70"/>
      <c r="I11" s="81" t="str">
        <f t="shared" si="0"/>
        <v/>
      </c>
      <c r="J11" s="94" t="str">
        <f t="shared" ca="1" si="1"/>
        <v/>
      </c>
      <c r="K11" s="71" t="str">
        <f t="shared" si="2"/>
        <v/>
      </c>
      <c r="L11" s="70"/>
    </row>
    <row r="12" spans="1:13" ht="15" customHeight="1" x14ac:dyDescent="0.3">
      <c r="A12" s="70"/>
      <c r="B12" s="70"/>
      <c r="C12" s="70"/>
      <c r="D12" s="93"/>
      <c r="E12" s="70"/>
      <c r="F12" s="70"/>
      <c r="G12" s="93"/>
      <c r="H12" s="70"/>
      <c r="I12" s="81" t="str">
        <f t="shared" si="0"/>
        <v/>
      </c>
      <c r="J12" s="94" t="str">
        <f t="shared" ca="1" si="1"/>
        <v/>
      </c>
      <c r="K12" s="71" t="str">
        <f t="shared" si="2"/>
        <v/>
      </c>
      <c r="L12" s="70"/>
    </row>
    <row r="13" spans="1:13" ht="15" customHeight="1" x14ac:dyDescent="0.3">
      <c r="A13" s="70"/>
      <c r="B13" s="70"/>
      <c r="C13" s="70"/>
      <c r="D13" s="93"/>
      <c r="E13" s="70"/>
      <c r="F13" s="70"/>
      <c r="G13" s="93"/>
      <c r="H13" s="70"/>
      <c r="I13" s="81" t="str">
        <f t="shared" si="0"/>
        <v/>
      </c>
      <c r="J13" s="94" t="str">
        <f t="shared" ca="1" si="1"/>
        <v/>
      </c>
      <c r="K13" s="71" t="str">
        <f t="shared" si="2"/>
        <v/>
      </c>
      <c r="L13" s="70"/>
    </row>
    <row r="14" spans="1:13" ht="15" customHeight="1" x14ac:dyDescent="0.3">
      <c r="A14" s="70"/>
      <c r="B14" s="70"/>
      <c r="C14" s="70"/>
      <c r="D14" s="93"/>
      <c r="E14" s="70"/>
      <c r="F14" s="70"/>
      <c r="G14" s="93"/>
      <c r="H14" s="70"/>
      <c r="I14" s="81" t="str">
        <f t="shared" si="0"/>
        <v/>
      </c>
      <c r="J14" s="94" t="str">
        <f t="shared" ca="1" si="1"/>
        <v/>
      </c>
      <c r="K14" s="71" t="str">
        <f t="shared" si="2"/>
        <v/>
      </c>
      <c r="L14" s="70"/>
    </row>
    <row r="15" spans="1:13" ht="15" customHeight="1" x14ac:dyDescent="0.3">
      <c r="A15" s="70"/>
      <c r="B15" s="70"/>
      <c r="C15" s="70"/>
      <c r="D15" s="93"/>
      <c r="E15" s="70"/>
      <c r="F15" s="70"/>
      <c r="G15" s="93"/>
      <c r="H15" s="70"/>
      <c r="I15" s="81" t="str">
        <f t="shared" si="0"/>
        <v/>
      </c>
      <c r="J15" s="94" t="str">
        <f t="shared" ca="1" si="1"/>
        <v/>
      </c>
      <c r="K15" s="71" t="str">
        <f t="shared" si="2"/>
        <v/>
      </c>
      <c r="L15" s="70"/>
    </row>
    <row r="16" spans="1:13" ht="15" customHeight="1" x14ac:dyDescent="0.3">
      <c r="A16" s="70"/>
      <c r="B16" s="70"/>
      <c r="C16" s="70"/>
      <c r="D16" s="93"/>
      <c r="E16" s="70"/>
      <c r="F16" s="70"/>
      <c r="G16" s="93"/>
      <c r="H16" s="70"/>
      <c r="I16" s="81" t="str">
        <f t="shared" si="0"/>
        <v/>
      </c>
      <c r="J16" s="94" t="str">
        <f t="shared" ca="1" si="1"/>
        <v/>
      </c>
      <c r="K16" s="71" t="str">
        <f t="shared" si="2"/>
        <v/>
      </c>
      <c r="L16" s="70"/>
    </row>
    <row r="17" spans="1:12" ht="15" customHeight="1" x14ac:dyDescent="0.3">
      <c r="A17" s="70"/>
      <c r="B17" s="70"/>
      <c r="C17" s="70"/>
      <c r="D17" s="93"/>
      <c r="E17" s="70"/>
      <c r="F17" s="70"/>
      <c r="G17" s="93"/>
      <c r="H17" s="70"/>
      <c r="I17" s="81" t="str">
        <f t="shared" si="0"/>
        <v/>
      </c>
      <c r="J17" s="94" t="str">
        <f t="shared" ca="1" si="1"/>
        <v/>
      </c>
      <c r="K17" s="71" t="str">
        <f t="shared" si="2"/>
        <v/>
      </c>
      <c r="L17" s="70"/>
    </row>
    <row r="18" spans="1:12" ht="15" customHeight="1" x14ac:dyDescent="0.3">
      <c r="A18" s="70"/>
      <c r="B18" s="70"/>
      <c r="C18" s="70"/>
      <c r="D18" s="93"/>
      <c r="E18" s="70"/>
      <c r="F18" s="70"/>
      <c r="G18" s="93"/>
      <c r="H18" s="70"/>
      <c r="I18" s="81" t="str">
        <f t="shared" si="0"/>
        <v/>
      </c>
      <c r="J18" s="94" t="str">
        <f t="shared" ca="1" si="1"/>
        <v/>
      </c>
      <c r="K18" s="71" t="str">
        <f t="shared" si="2"/>
        <v/>
      </c>
      <c r="L18" s="70"/>
    </row>
    <row r="19" spans="1:12" ht="15" customHeight="1" x14ac:dyDescent="0.3">
      <c r="A19" s="70"/>
      <c r="B19" s="70"/>
      <c r="C19" s="70"/>
      <c r="D19" s="93"/>
      <c r="E19" s="70"/>
      <c r="F19" s="70"/>
      <c r="G19" s="93"/>
      <c r="H19" s="70"/>
      <c r="I19" s="81" t="str">
        <f t="shared" si="0"/>
        <v/>
      </c>
      <c r="J19" s="94" t="str">
        <f t="shared" ca="1" si="1"/>
        <v/>
      </c>
      <c r="K19" s="71" t="str">
        <f t="shared" si="2"/>
        <v/>
      </c>
      <c r="L19" s="70"/>
    </row>
    <row r="20" spans="1:12" ht="15" customHeight="1" x14ac:dyDescent="0.3">
      <c r="A20" s="70"/>
      <c r="B20" s="70"/>
      <c r="C20" s="70"/>
      <c r="D20" s="93"/>
      <c r="E20" s="70"/>
      <c r="F20" s="70"/>
      <c r="G20" s="93"/>
      <c r="H20" s="70"/>
      <c r="I20" s="81" t="str">
        <f t="shared" si="0"/>
        <v/>
      </c>
      <c r="J20" s="94" t="str">
        <f t="shared" ca="1" si="1"/>
        <v/>
      </c>
      <c r="K20" s="71" t="str">
        <f t="shared" si="2"/>
        <v/>
      </c>
      <c r="L20" s="70"/>
    </row>
    <row r="21" spans="1:12" ht="15" customHeight="1" x14ac:dyDescent="0.3">
      <c r="A21" s="70"/>
      <c r="B21" s="70"/>
      <c r="C21" s="70"/>
      <c r="D21" s="93"/>
      <c r="E21" s="70"/>
      <c r="F21" s="70"/>
      <c r="G21" s="93"/>
      <c r="H21" s="70"/>
      <c r="I21" s="81" t="str">
        <f t="shared" si="0"/>
        <v/>
      </c>
      <c r="J21" s="94" t="str">
        <f t="shared" ca="1" si="1"/>
        <v/>
      </c>
      <c r="K21" s="71" t="str">
        <f t="shared" si="2"/>
        <v/>
      </c>
      <c r="L21" s="70"/>
    </row>
    <row r="22" spans="1:12" ht="15" customHeight="1" x14ac:dyDescent="0.3">
      <c r="A22" s="70"/>
      <c r="B22" s="70"/>
      <c r="C22" s="70"/>
      <c r="D22" s="93"/>
      <c r="E22" s="70"/>
      <c r="F22" s="70"/>
      <c r="G22" s="93"/>
      <c r="H22" s="70"/>
      <c r="I22" s="81" t="str">
        <f t="shared" si="0"/>
        <v/>
      </c>
      <c r="J22" s="94" t="str">
        <f t="shared" ca="1" si="1"/>
        <v/>
      </c>
      <c r="K22" s="71" t="str">
        <f t="shared" si="2"/>
        <v/>
      </c>
      <c r="L22" s="70"/>
    </row>
  </sheetData>
  <conditionalFormatting sqref="K3:K22">
    <cfRule type="expression" dxfId="34" priority="2">
      <formula>ISNUMBER(SEARCH("RECOVERED",K3))</formula>
    </cfRule>
    <cfRule type="expression" dxfId="33" priority="3">
      <formula>ISNUMBER(SEARCH("ON TRACK",K3))</formula>
    </cfRule>
    <cfRule type="expression" dxfId="32" priority="4">
      <formula>ISNUMBER(SEARCH("DEADLINE APPROACHING",K3))</formula>
    </cfRule>
    <cfRule type="expression" dxfId="31" priority="5">
      <formula>ISNUMBER(SEARCH("SELL WITHIN 30 DAYS",K3))</formula>
    </cfRule>
  </conditionalFormatting>
  <dataValidations count="2">
    <dataValidation type="list" allowBlank="1" sqref="C3:C22" xr:uid="{00000000-0002-0000-0C00-000000000000}">
      <formula1>"Probationary Hold,Exit Review"</formula1>
      <formula2>0</formula2>
    </dataValidation>
    <dataValidation type="list" allowBlank="1" sqref="H3:H22" xr:uid="{00000000-0002-0000-0C00-000001000000}">
      <formula1>"Y,N"</formula1>
      <formula2>0</formula2>
    </dataValidation>
  </dataValidations>
  <pageMargins left="0.75" right="0.75" top="1" bottom="1" header="0.511811023622047" footer="0.51180555555555596"/>
  <pageSetup paperSize="9" orientation="portrait" horizontalDpi="300" verticalDpi="300"/>
  <headerFooter>
    <oddFooter>&amp;L&amp;"Arial Narrow,Regular"&amp;8 &amp;F&amp;C&amp;"Arial Narrow,Regular"&amp;8 &amp;A - &amp;D &amp;T&amp;R&amp;"Arial,Regular" &amp;P / &amp;N</oddFooter>
  </headerFooter>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50"/>
  <sheetViews>
    <sheetView showGridLines="0" zoomScaleNormal="100" workbookViewId="0">
      <pane xSplit="3" ySplit="3" topLeftCell="D4" activePane="bottomRight" state="frozen"/>
      <selection pane="topRight" activeCell="D1" sqref="D1"/>
      <selection pane="bottomLeft" activeCell="A4" sqref="A4"/>
      <selection pane="bottomRight" activeCell="F42" sqref="F42"/>
    </sheetView>
  </sheetViews>
  <sheetFormatPr defaultColWidth="8.6640625" defaultRowHeight="14.4" x14ac:dyDescent="0.3"/>
  <cols>
    <col min="1" max="1" width="8" style="193" customWidth="1"/>
    <col min="2" max="2" width="14" customWidth="1"/>
    <col min="3" max="21" width="9.5546875" customWidth="1"/>
  </cols>
  <sheetData>
    <row r="1" spans="1:21" ht="25.5" customHeight="1" x14ac:dyDescent="0.3">
      <c r="A1" s="192" t="s">
        <v>732</v>
      </c>
      <c r="B1" s="78"/>
      <c r="C1" s="78"/>
      <c r="D1" s="78"/>
      <c r="E1" s="78"/>
      <c r="F1" s="78"/>
      <c r="G1" s="78"/>
      <c r="H1" s="78"/>
      <c r="I1" s="78"/>
      <c r="J1" s="78"/>
      <c r="K1" s="78"/>
      <c r="L1" s="78"/>
      <c r="M1" s="78"/>
      <c r="N1" s="78"/>
      <c r="O1" s="78"/>
      <c r="P1" s="78"/>
      <c r="Q1" s="78"/>
      <c r="R1" s="78"/>
      <c r="S1" s="78"/>
      <c r="T1" s="78"/>
    </row>
    <row r="2" spans="1:21" ht="15.75" customHeight="1" x14ac:dyDescent="0.3">
      <c r="D2" s="118" t="s">
        <v>460</v>
      </c>
      <c r="E2" s="118"/>
      <c r="F2" s="118"/>
      <c r="G2" s="118"/>
      <c r="H2" s="118"/>
      <c r="I2" s="119" t="s">
        <v>461</v>
      </c>
      <c r="J2" s="119"/>
      <c r="K2" s="119"/>
      <c r="L2" s="119"/>
      <c r="M2" s="119"/>
      <c r="N2" s="120" t="s">
        <v>462</v>
      </c>
      <c r="O2" s="120"/>
      <c r="P2" s="120"/>
      <c r="Q2" s="120"/>
      <c r="R2" s="120"/>
      <c r="S2" s="121" t="s">
        <v>463</v>
      </c>
      <c r="T2" s="121"/>
      <c r="U2" s="121"/>
    </row>
    <row r="3" spans="1:21" ht="42.75" customHeight="1" x14ac:dyDescent="0.3">
      <c r="A3" s="195" t="s">
        <v>76</v>
      </c>
      <c r="B3" s="59" t="s">
        <v>270</v>
      </c>
      <c r="C3" s="59" t="s">
        <v>464</v>
      </c>
      <c r="D3" s="59" t="s">
        <v>465</v>
      </c>
      <c r="E3" s="59" t="s">
        <v>466</v>
      </c>
      <c r="F3" s="59" t="s">
        <v>467</v>
      </c>
      <c r="G3" s="59" t="s">
        <v>468</v>
      </c>
      <c r="H3" s="59" t="s">
        <v>469</v>
      </c>
      <c r="I3" s="59" t="s">
        <v>465</v>
      </c>
      <c r="J3" s="59" t="s">
        <v>466</v>
      </c>
      <c r="K3" s="59" t="s">
        <v>467</v>
      </c>
      <c r="L3" s="59" t="s">
        <v>468</v>
      </c>
      <c r="M3" s="59" t="s">
        <v>469</v>
      </c>
      <c r="N3" s="59" t="s">
        <v>465</v>
      </c>
      <c r="O3" s="59" t="s">
        <v>466</v>
      </c>
      <c r="P3" s="59" t="s">
        <v>467</v>
      </c>
      <c r="Q3" s="59" t="s">
        <v>468</v>
      </c>
      <c r="R3" s="59" t="s">
        <v>469</v>
      </c>
      <c r="S3" s="59" t="s">
        <v>470</v>
      </c>
      <c r="T3" s="59" t="s">
        <v>471</v>
      </c>
      <c r="U3" s="59" t="s">
        <v>472</v>
      </c>
    </row>
    <row r="4" spans="1:21" ht="15" customHeight="1" x14ac:dyDescent="0.3">
      <c r="A4" s="32"/>
      <c r="B4" s="33"/>
      <c r="C4" s="36"/>
      <c r="D4" s="36"/>
      <c r="E4" s="95"/>
      <c r="F4" s="36"/>
      <c r="G4" s="37" t="str">
        <f t="shared" ref="G4:G50" si="0">IF(OR(C4="",D4="",E4="",F4=""),"",IFERROR(((D4*E4+F4)/C4)^(1/5)-1,"n/a"))</f>
        <v/>
      </c>
      <c r="H4" s="33"/>
      <c r="I4" s="36"/>
      <c r="J4" s="95"/>
      <c r="K4" s="36"/>
      <c r="L4" s="37" t="str">
        <f t="shared" ref="L4:L50" si="1">IF(OR(C4="",I4="",J4="",K4=""),"",IFERROR(((I4*J4+K4)/C4)^(1/5)-1,"n/a"))</f>
        <v/>
      </c>
      <c r="M4" s="33"/>
      <c r="N4" s="36"/>
      <c r="O4" s="95"/>
      <c r="P4" s="36"/>
      <c r="Q4" s="37" t="str">
        <f t="shared" ref="Q4:Q50" si="2">IF(OR(C4="",N4="",O4="",P4=""),"",IFERROR(((N4*O4+P4)/C4)^(1/5)-1,"n/a"))</f>
        <v/>
      </c>
      <c r="R4" s="33"/>
      <c r="S4" s="41" t="str">
        <f t="shared" ref="S4:S50" si="3">IF(G4="","",IF(G4&gt;0.1,"PASS","FAIL"))</f>
        <v/>
      </c>
      <c r="T4" s="41" t="str">
        <f t="shared" ref="T4:T50" si="4">IF(L4="","",IF(L4&gt;=0,"PASS","FAIL"))</f>
        <v/>
      </c>
      <c r="U4" s="41" t="str">
        <f t="shared" ref="U4:U50" si="5">IF(COUNTA(H4,M4,R4)=0,"",IF((COUNTIF(H4,"Likely")+COUNTIF(M4,"Likely")+COUNTIF(R4,"Likely"))=1,"OK","CHECK TAGS"))</f>
        <v/>
      </c>
    </row>
    <row r="5" spans="1:21" ht="15" customHeight="1" x14ac:dyDescent="0.3">
      <c r="A5" s="32"/>
      <c r="B5" s="33"/>
      <c r="C5" s="36"/>
      <c r="D5" s="36"/>
      <c r="E5" s="95"/>
      <c r="F5" s="36"/>
      <c r="G5" s="37" t="str">
        <f t="shared" si="0"/>
        <v/>
      </c>
      <c r="H5" s="33"/>
      <c r="I5" s="36"/>
      <c r="J5" s="95"/>
      <c r="K5" s="36"/>
      <c r="L5" s="37" t="str">
        <f t="shared" si="1"/>
        <v/>
      </c>
      <c r="M5" s="33"/>
      <c r="N5" s="36"/>
      <c r="O5" s="95"/>
      <c r="P5" s="36"/>
      <c r="Q5" s="37" t="str">
        <f t="shared" si="2"/>
        <v/>
      </c>
      <c r="R5" s="33"/>
      <c r="S5" s="41" t="str">
        <f t="shared" si="3"/>
        <v/>
      </c>
      <c r="T5" s="41" t="str">
        <f t="shared" si="4"/>
        <v/>
      </c>
      <c r="U5" s="41" t="str">
        <f t="shared" si="5"/>
        <v/>
      </c>
    </row>
    <row r="6" spans="1:21" ht="15" customHeight="1" x14ac:dyDescent="0.3">
      <c r="A6" s="32"/>
      <c r="B6" s="33"/>
      <c r="C6" s="36"/>
      <c r="D6" s="36"/>
      <c r="E6" s="95"/>
      <c r="F6" s="36"/>
      <c r="G6" s="37" t="str">
        <f t="shared" si="0"/>
        <v/>
      </c>
      <c r="H6" s="33"/>
      <c r="I6" s="36"/>
      <c r="J6" s="95"/>
      <c r="K6" s="36"/>
      <c r="L6" s="37" t="str">
        <f t="shared" si="1"/>
        <v/>
      </c>
      <c r="M6" s="33"/>
      <c r="N6" s="36"/>
      <c r="O6" s="95"/>
      <c r="P6" s="36"/>
      <c r="Q6" s="37" t="str">
        <f t="shared" si="2"/>
        <v/>
      </c>
      <c r="R6" s="33"/>
      <c r="S6" s="41" t="str">
        <f t="shared" si="3"/>
        <v/>
      </c>
      <c r="T6" s="41" t="str">
        <f t="shared" si="4"/>
        <v/>
      </c>
      <c r="U6" s="41" t="str">
        <f t="shared" si="5"/>
        <v/>
      </c>
    </row>
    <row r="7" spans="1:21" ht="15" customHeight="1" x14ac:dyDescent="0.3">
      <c r="A7" s="32"/>
      <c r="B7" s="39"/>
      <c r="C7" s="36"/>
      <c r="D7" s="36"/>
      <c r="E7" s="95"/>
      <c r="F7" s="36"/>
      <c r="G7" s="37" t="str">
        <f t="shared" si="0"/>
        <v/>
      </c>
      <c r="H7" s="33"/>
      <c r="I7" s="36"/>
      <c r="J7" s="95"/>
      <c r="K7" s="36"/>
      <c r="L7" s="37" t="str">
        <f t="shared" si="1"/>
        <v/>
      </c>
      <c r="M7" s="33"/>
      <c r="N7" s="36"/>
      <c r="O7" s="95"/>
      <c r="P7" s="36"/>
      <c r="Q7" s="37" t="str">
        <f t="shared" si="2"/>
        <v/>
      </c>
      <c r="R7" s="33"/>
      <c r="S7" s="41" t="str">
        <f t="shared" si="3"/>
        <v/>
      </c>
      <c r="T7" s="41" t="str">
        <f t="shared" si="4"/>
        <v/>
      </c>
      <c r="U7" s="41" t="str">
        <f t="shared" si="5"/>
        <v/>
      </c>
    </row>
    <row r="8" spans="1:21" ht="15" customHeight="1" x14ac:dyDescent="0.3">
      <c r="A8" s="32"/>
      <c r="B8" s="39"/>
      <c r="C8" s="36"/>
      <c r="D8" s="36"/>
      <c r="E8" s="95"/>
      <c r="F8" s="36"/>
      <c r="G8" s="37" t="str">
        <f t="shared" si="0"/>
        <v/>
      </c>
      <c r="H8" s="33"/>
      <c r="I8" s="36"/>
      <c r="J8" s="95"/>
      <c r="K8" s="36"/>
      <c r="L8" s="37" t="str">
        <f t="shared" si="1"/>
        <v/>
      </c>
      <c r="M8" s="33"/>
      <c r="N8" s="36"/>
      <c r="O8" s="95"/>
      <c r="P8" s="36"/>
      <c r="Q8" s="37" t="str">
        <f t="shared" si="2"/>
        <v/>
      </c>
      <c r="R8" s="33"/>
      <c r="S8" s="41" t="str">
        <f t="shared" si="3"/>
        <v/>
      </c>
      <c r="T8" s="41" t="str">
        <f t="shared" si="4"/>
        <v/>
      </c>
      <c r="U8" s="41" t="str">
        <f t="shared" si="5"/>
        <v/>
      </c>
    </row>
    <row r="9" spans="1:21" ht="15" customHeight="1" x14ac:dyDescent="0.3">
      <c r="A9" s="32"/>
      <c r="B9" s="39"/>
      <c r="C9" s="36"/>
      <c r="D9" s="36"/>
      <c r="E9" s="95"/>
      <c r="F9" s="36"/>
      <c r="G9" s="37" t="str">
        <f t="shared" si="0"/>
        <v/>
      </c>
      <c r="H9" s="33"/>
      <c r="I9" s="36"/>
      <c r="J9" s="95"/>
      <c r="K9" s="36"/>
      <c r="L9" s="37" t="str">
        <f t="shared" si="1"/>
        <v/>
      </c>
      <c r="M9" s="33"/>
      <c r="N9" s="36"/>
      <c r="O9" s="95"/>
      <c r="P9" s="36"/>
      <c r="Q9" s="37" t="str">
        <f t="shared" si="2"/>
        <v/>
      </c>
      <c r="R9" s="33"/>
      <c r="S9" s="41" t="str">
        <f t="shared" si="3"/>
        <v/>
      </c>
      <c r="T9" s="41" t="str">
        <f t="shared" si="4"/>
        <v/>
      </c>
      <c r="U9" s="41" t="str">
        <f t="shared" si="5"/>
        <v/>
      </c>
    </row>
    <row r="10" spans="1:21" ht="15" customHeight="1" x14ac:dyDescent="0.3">
      <c r="A10" s="32"/>
      <c r="B10" s="39"/>
      <c r="C10" s="36"/>
      <c r="D10" s="36"/>
      <c r="E10" s="95"/>
      <c r="F10" s="36"/>
      <c r="G10" s="37" t="str">
        <f t="shared" si="0"/>
        <v/>
      </c>
      <c r="H10" s="33"/>
      <c r="I10" s="36"/>
      <c r="J10" s="95"/>
      <c r="K10" s="36"/>
      <c r="L10" s="37" t="str">
        <f t="shared" si="1"/>
        <v/>
      </c>
      <c r="M10" s="33"/>
      <c r="N10" s="36"/>
      <c r="O10" s="95"/>
      <c r="P10" s="36"/>
      <c r="Q10" s="37" t="str">
        <f t="shared" si="2"/>
        <v/>
      </c>
      <c r="R10" s="33"/>
      <c r="S10" s="41" t="str">
        <f t="shared" si="3"/>
        <v/>
      </c>
      <c r="T10" s="41" t="str">
        <f t="shared" si="4"/>
        <v/>
      </c>
      <c r="U10" s="41" t="str">
        <f t="shared" si="5"/>
        <v/>
      </c>
    </row>
    <row r="11" spans="1:21" ht="15" customHeight="1" x14ac:dyDescent="0.3">
      <c r="A11" s="32"/>
      <c r="B11" s="39"/>
      <c r="C11" s="36"/>
      <c r="D11" s="36"/>
      <c r="E11" s="95"/>
      <c r="F11" s="36"/>
      <c r="G11" s="37" t="str">
        <f t="shared" si="0"/>
        <v/>
      </c>
      <c r="H11" s="33"/>
      <c r="I11" s="36"/>
      <c r="J11" s="95"/>
      <c r="K11" s="36"/>
      <c r="L11" s="37" t="str">
        <f t="shared" si="1"/>
        <v/>
      </c>
      <c r="M11" s="33"/>
      <c r="N11" s="36"/>
      <c r="O11" s="95"/>
      <c r="P11" s="36"/>
      <c r="Q11" s="37" t="str">
        <f t="shared" si="2"/>
        <v/>
      </c>
      <c r="R11" s="33"/>
      <c r="S11" s="41" t="str">
        <f t="shared" si="3"/>
        <v/>
      </c>
      <c r="T11" s="41" t="str">
        <f t="shared" si="4"/>
        <v/>
      </c>
      <c r="U11" s="41" t="str">
        <f t="shared" si="5"/>
        <v/>
      </c>
    </row>
    <row r="12" spans="1:21" ht="15" customHeight="1" x14ac:dyDescent="0.3">
      <c r="A12" s="32"/>
      <c r="B12" s="39"/>
      <c r="C12" s="36"/>
      <c r="D12" s="36"/>
      <c r="E12" s="95"/>
      <c r="F12" s="36"/>
      <c r="G12" s="37" t="str">
        <f t="shared" si="0"/>
        <v/>
      </c>
      <c r="H12" s="33"/>
      <c r="I12" s="36"/>
      <c r="J12" s="95"/>
      <c r="K12" s="36"/>
      <c r="L12" s="37" t="str">
        <f t="shared" si="1"/>
        <v/>
      </c>
      <c r="M12" s="33"/>
      <c r="N12" s="36"/>
      <c r="O12" s="95"/>
      <c r="P12" s="36"/>
      <c r="Q12" s="37" t="str">
        <f t="shared" si="2"/>
        <v/>
      </c>
      <c r="R12" s="33"/>
      <c r="S12" s="41" t="str">
        <f t="shared" si="3"/>
        <v/>
      </c>
      <c r="T12" s="41" t="str">
        <f t="shared" si="4"/>
        <v/>
      </c>
      <c r="U12" s="41" t="str">
        <f t="shared" si="5"/>
        <v/>
      </c>
    </row>
    <row r="13" spans="1:21" ht="15" customHeight="1" x14ac:dyDescent="0.3">
      <c r="A13" s="32"/>
      <c r="B13" s="39"/>
      <c r="C13" s="36"/>
      <c r="D13" s="36"/>
      <c r="E13" s="95"/>
      <c r="F13" s="36"/>
      <c r="G13" s="37" t="str">
        <f t="shared" si="0"/>
        <v/>
      </c>
      <c r="H13" s="33"/>
      <c r="I13" s="36"/>
      <c r="J13" s="95"/>
      <c r="K13" s="36"/>
      <c r="L13" s="37" t="str">
        <f t="shared" si="1"/>
        <v/>
      </c>
      <c r="M13" s="33"/>
      <c r="N13" s="36"/>
      <c r="O13" s="95"/>
      <c r="P13" s="36"/>
      <c r="Q13" s="37" t="str">
        <f t="shared" si="2"/>
        <v/>
      </c>
      <c r="R13" s="33"/>
      <c r="S13" s="41" t="str">
        <f t="shared" si="3"/>
        <v/>
      </c>
      <c r="T13" s="41" t="str">
        <f t="shared" si="4"/>
        <v/>
      </c>
      <c r="U13" s="41" t="str">
        <f t="shared" si="5"/>
        <v/>
      </c>
    </row>
    <row r="14" spans="1:21" ht="15" customHeight="1" x14ac:dyDescent="0.3">
      <c r="A14" s="32"/>
      <c r="B14" s="39"/>
      <c r="C14" s="36"/>
      <c r="D14" s="36"/>
      <c r="E14" s="95"/>
      <c r="F14" s="36"/>
      <c r="G14" s="37" t="str">
        <f t="shared" si="0"/>
        <v/>
      </c>
      <c r="H14" s="33"/>
      <c r="I14" s="36"/>
      <c r="J14" s="95"/>
      <c r="K14" s="36"/>
      <c r="L14" s="37" t="str">
        <f t="shared" si="1"/>
        <v/>
      </c>
      <c r="M14" s="33"/>
      <c r="N14" s="36"/>
      <c r="O14" s="95"/>
      <c r="P14" s="36"/>
      <c r="Q14" s="37" t="str">
        <f t="shared" si="2"/>
        <v/>
      </c>
      <c r="R14" s="33"/>
      <c r="S14" s="41" t="str">
        <f t="shared" si="3"/>
        <v/>
      </c>
      <c r="T14" s="41" t="str">
        <f t="shared" si="4"/>
        <v/>
      </c>
      <c r="U14" s="41" t="str">
        <f t="shared" si="5"/>
        <v/>
      </c>
    </row>
    <row r="15" spans="1:21" ht="15" customHeight="1" x14ac:dyDescent="0.3">
      <c r="A15" s="32"/>
      <c r="B15" s="39"/>
      <c r="C15" s="36"/>
      <c r="D15" s="36"/>
      <c r="E15" s="95"/>
      <c r="F15" s="36"/>
      <c r="G15" s="37" t="str">
        <f t="shared" si="0"/>
        <v/>
      </c>
      <c r="H15" s="33"/>
      <c r="I15" s="36"/>
      <c r="J15" s="95"/>
      <c r="K15" s="36"/>
      <c r="L15" s="37" t="str">
        <f t="shared" si="1"/>
        <v/>
      </c>
      <c r="M15" s="33"/>
      <c r="N15" s="36"/>
      <c r="O15" s="95"/>
      <c r="P15" s="36"/>
      <c r="Q15" s="37" t="str">
        <f t="shared" si="2"/>
        <v/>
      </c>
      <c r="R15" s="33"/>
      <c r="S15" s="41" t="str">
        <f t="shared" si="3"/>
        <v/>
      </c>
      <c r="T15" s="41" t="str">
        <f t="shared" si="4"/>
        <v/>
      </c>
      <c r="U15" s="41" t="str">
        <f t="shared" si="5"/>
        <v/>
      </c>
    </row>
    <row r="16" spans="1:21" ht="15" customHeight="1" x14ac:dyDescent="0.3">
      <c r="A16" s="32"/>
      <c r="B16" s="39"/>
      <c r="C16" s="36"/>
      <c r="D16" s="36"/>
      <c r="E16" s="95"/>
      <c r="F16" s="36"/>
      <c r="G16" s="37" t="str">
        <f t="shared" si="0"/>
        <v/>
      </c>
      <c r="H16" s="33"/>
      <c r="I16" s="36"/>
      <c r="J16" s="95"/>
      <c r="K16" s="36"/>
      <c r="L16" s="37" t="str">
        <f t="shared" si="1"/>
        <v/>
      </c>
      <c r="M16" s="33"/>
      <c r="N16" s="36"/>
      <c r="O16" s="95"/>
      <c r="P16" s="36"/>
      <c r="Q16" s="37" t="str">
        <f t="shared" si="2"/>
        <v/>
      </c>
      <c r="R16" s="33"/>
      <c r="S16" s="41" t="str">
        <f t="shared" si="3"/>
        <v/>
      </c>
      <c r="T16" s="41" t="str">
        <f t="shared" si="4"/>
        <v/>
      </c>
      <c r="U16" s="41" t="str">
        <f t="shared" si="5"/>
        <v/>
      </c>
    </row>
    <row r="17" spans="1:21" ht="15" customHeight="1" x14ac:dyDescent="0.3">
      <c r="A17" s="32"/>
      <c r="B17" s="39"/>
      <c r="C17" s="36"/>
      <c r="D17" s="36"/>
      <c r="E17" s="95"/>
      <c r="F17" s="36"/>
      <c r="G17" s="37" t="str">
        <f t="shared" si="0"/>
        <v/>
      </c>
      <c r="H17" s="33"/>
      <c r="I17" s="36"/>
      <c r="J17" s="95"/>
      <c r="K17" s="36"/>
      <c r="L17" s="37" t="str">
        <f t="shared" si="1"/>
        <v/>
      </c>
      <c r="M17" s="33"/>
      <c r="N17" s="36"/>
      <c r="O17" s="95"/>
      <c r="P17" s="36"/>
      <c r="Q17" s="37" t="str">
        <f t="shared" si="2"/>
        <v/>
      </c>
      <c r="R17" s="33"/>
      <c r="S17" s="41" t="str">
        <f t="shared" si="3"/>
        <v/>
      </c>
      <c r="T17" s="41" t="str">
        <f t="shared" si="4"/>
        <v/>
      </c>
      <c r="U17" s="41" t="str">
        <f t="shared" si="5"/>
        <v/>
      </c>
    </row>
    <row r="18" spans="1:21" ht="15" customHeight="1" x14ac:dyDescent="0.3">
      <c r="A18" s="32"/>
      <c r="B18" s="39"/>
      <c r="C18" s="36"/>
      <c r="D18" s="36"/>
      <c r="E18" s="95"/>
      <c r="F18" s="36"/>
      <c r="G18" s="37" t="str">
        <f t="shared" si="0"/>
        <v/>
      </c>
      <c r="H18" s="33"/>
      <c r="I18" s="36"/>
      <c r="J18" s="95"/>
      <c r="K18" s="36"/>
      <c r="L18" s="37" t="str">
        <f t="shared" si="1"/>
        <v/>
      </c>
      <c r="M18" s="33"/>
      <c r="N18" s="36"/>
      <c r="O18" s="95"/>
      <c r="P18" s="36"/>
      <c r="Q18" s="37" t="str">
        <f t="shared" si="2"/>
        <v/>
      </c>
      <c r="R18" s="33"/>
      <c r="S18" s="41" t="str">
        <f t="shared" si="3"/>
        <v/>
      </c>
      <c r="T18" s="41" t="str">
        <f t="shared" si="4"/>
        <v/>
      </c>
      <c r="U18" s="41" t="str">
        <f t="shared" si="5"/>
        <v/>
      </c>
    </row>
    <row r="19" spans="1:21" ht="15" customHeight="1" x14ac:dyDescent="0.3">
      <c r="A19" s="32"/>
      <c r="B19" s="39"/>
      <c r="C19" s="36"/>
      <c r="D19" s="36"/>
      <c r="E19" s="95"/>
      <c r="F19" s="36"/>
      <c r="G19" s="37" t="str">
        <f t="shared" si="0"/>
        <v/>
      </c>
      <c r="H19" s="33"/>
      <c r="I19" s="36"/>
      <c r="J19" s="95"/>
      <c r="K19" s="36"/>
      <c r="L19" s="37" t="str">
        <f t="shared" si="1"/>
        <v/>
      </c>
      <c r="M19" s="33"/>
      <c r="N19" s="36"/>
      <c r="O19" s="95"/>
      <c r="P19" s="36"/>
      <c r="Q19" s="37" t="str">
        <f t="shared" si="2"/>
        <v/>
      </c>
      <c r="R19" s="33"/>
      <c r="S19" s="41" t="str">
        <f t="shared" si="3"/>
        <v/>
      </c>
      <c r="T19" s="41" t="str">
        <f t="shared" si="4"/>
        <v/>
      </c>
      <c r="U19" s="41" t="str">
        <f t="shared" si="5"/>
        <v/>
      </c>
    </row>
    <row r="20" spans="1:21" ht="15" customHeight="1" x14ac:dyDescent="0.3">
      <c r="A20" s="32" t="s">
        <v>222</v>
      </c>
      <c r="B20" s="39" t="s">
        <v>473</v>
      </c>
      <c r="C20" s="36">
        <v>967.17</v>
      </c>
      <c r="D20" s="36">
        <v>23.11</v>
      </c>
      <c r="E20" s="95">
        <v>61.48</v>
      </c>
      <c r="F20" s="36">
        <v>32</v>
      </c>
      <c r="G20" s="37">
        <f t="shared" si="0"/>
        <v>8.4777753732933281E-2</v>
      </c>
      <c r="H20" s="33" t="s">
        <v>474</v>
      </c>
      <c r="I20" s="36">
        <v>19.14</v>
      </c>
      <c r="J20" s="95">
        <v>50</v>
      </c>
      <c r="K20" s="36">
        <v>28</v>
      </c>
      <c r="L20" s="37">
        <f t="shared" si="1"/>
        <v>3.6601540081799833E-3</v>
      </c>
      <c r="M20" s="33" t="s">
        <v>474</v>
      </c>
      <c r="N20" s="36">
        <v>26.51</v>
      </c>
      <c r="O20" s="95">
        <v>61.48</v>
      </c>
      <c r="P20" s="36">
        <v>35</v>
      </c>
      <c r="Q20" s="37">
        <f t="shared" si="2"/>
        <v>0.11474020678495345</v>
      </c>
      <c r="R20" s="33" t="s">
        <v>475</v>
      </c>
      <c r="S20" s="41" t="str">
        <f t="shared" si="3"/>
        <v>FAIL</v>
      </c>
      <c r="T20" s="41" t="str">
        <f t="shared" si="4"/>
        <v>PASS</v>
      </c>
      <c r="U20" s="41" t="str">
        <f t="shared" si="5"/>
        <v>OK</v>
      </c>
    </row>
    <row r="21" spans="1:21" ht="15" customHeight="1" x14ac:dyDescent="0.3">
      <c r="A21" s="32" t="s">
        <v>113</v>
      </c>
      <c r="B21" s="39" t="s">
        <v>114</v>
      </c>
      <c r="C21" s="36">
        <v>380.63</v>
      </c>
      <c r="D21" s="36">
        <v>17.84</v>
      </c>
      <c r="E21" s="95">
        <v>34.36</v>
      </c>
      <c r="F21" s="36">
        <v>16</v>
      </c>
      <c r="G21" s="37">
        <f t="shared" si="0"/>
        <v>0.10567399598633798</v>
      </c>
      <c r="H21" s="33" t="s">
        <v>475</v>
      </c>
      <c r="I21" s="36">
        <v>14.14</v>
      </c>
      <c r="J21" s="95">
        <v>28</v>
      </c>
      <c r="K21" s="36">
        <v>14</v>
      </c>
      <c r="L21" s="37">
        <f t="shared" si="1"/>
        <v>1.4937311795212738E-2</v>
      </c>
      <c r="M21" s="33" t="s">
        <v>474</v>
      </c>
      <c r="N21" s="36">
        <v>21.33</v>
      </c>
      <c r="O21" s="95">
        <v>38</v>
      </c>
      <c r="P21" s="36">
        <v>18</v>
      </c>
      <c r="Q21" s="37">
        <f t="shared" si="2"/>
        <v>0.16832075792045109</v>
      </c>
      <c r="R21" s="33" t="s">
        <v>474</v>
      </c>
      <c r="S21" s="41" t="str">
        <f t="shared" si="3"/>
        <v>PASS</v>
      </c>
      <c r="T21" s="41" t="str">
        <f t="shared" si="4"/>
        <v>PASS</v>
      </c>
      <c r="U21" s="41" t="str">
        <f t="shared" si="5"/>
        <v>OK</v>
      </c>
    </row>
    <row r="22" spans="1:21" ht="15" customHeight="1" x14ac:dyDescent="0.3">
      <c r="A22" s="32"/>
      <c r="B22" s="39"/>
      <c r="C22" s="36"/>
      <c r="D22" s="36"/>
      <c r="E22" s="95"/>
      <c r="F22" s="36"/>
      <c r="G22" s="37" t="str">
        <f t="shared" si="0"/>
        <v/>
      </c>
      <c r="H22" s="33"/>
      <c r="I22" s="36"/>
      <c r="J22" s="95"/>
      <c r="K22" s="36"/>
      <c r="L22" s="37" t="str">
        <f t="shared" si="1"/>
        <v/>
      </c>
      <c r="M22" s="33"/>
      <c r="N22" s="36"/>
      <c r="O22" s="95"/>
      <c r="P22" s="36"/>
      <c r="Q22" s="37" t="str">
        <f t="shared" si="2"/>
        <v/>
      </c>
      <c r="R22" s="33"/>
      <c r="S22" s="41" t="str">
        <f t="shared" si="3"/>
        <v/>
      </c>
      <c r="T22" s="41" t="str">
        <f t="shared" si="4"/>
        <v/>
      </c>
      <c r="U22" s="41" t="str">
        <f t="shared" si="5"/>
        <v/>
      </c>
    </row>
    <row r="23" spans="1:21" ht="15" customHeight="1" x14ac:dyDescent="0.3">
      <c r="A23" s="32"/>
      <c r="B23" s="39"/>
      <c r="C23" s="36"/>
      <c r="D23" s="36"/>
      <c r="E23" s="95"/>
      <c r="F23" s="36"/>
      <c r="G23" s="37" t="str">
        <f t="shared" si="0"/>
        <v/>
      </c>
      <c r="H23" s="33"/>
      <c r="I23" s="36"/>
      <c r="J23" s="95"/>
      <c r="K23" s="36"/>
      <c r="L23" s="37" t="str">
        <f t="shared" si="1"/>
        <v/>
      </c>
      <c r="M23" s="33"/>
      <c r="N23" s="36"/>
      <c r="O23" s="95"/>
      <c r="P23" s="36"/>
      <c r="Q23" s="37" t="str">
        <f t="shared" si="2"/>
        <v/>
      </c>
      <c r="R23" s="33"/>
      <c r="S23" s="41" t="str">
        <f t="shared" si="3"/>
        <v/>
      </c>
      <c r="T23" s="41" t="str">
        <f t="shared" si="4"/>
        <v/>
      </c>
      <c r="U23" s="41" t="str">
        <f t="shared" si="5"/>
        <v/>
      </c>
    </row>
    <row r="24" spans="1:21" ht="15" customHeight="1" x14ac:dyDescent="0.3">
      <c r="A24" s="194"/>
      <c r="B24" s="196"/>
      <c r="C24" s="97"/>
      <c r="D24" s="97"/>
      <c r="E24" s="98"/>
      <c r="F24" s="97"/>
      <c r="G24" s="99" t="str">
        <f t="shared" si="0"/>
        <v/>
      </c>
      <c r="H24" s="96"/>
      <c r="I24" s="97"/>
      <c r="J24" s="98"/>
      <c r="K24" s="97"/>
      <c r="L24" s="99" t="str">
        <f t="shared" si="1"/>
        <v/>
      </c>
      <c r="M24" s="96"/>
      <c r="N24" s="97"/>
      <c r="O24" s="98"/>
      <c r="P24" s="97"/>
      <c r="Q24" s="99" t="str">
        <f t="shared" si="2"/>
        <v/>
      </c>
      <c r="R24" s="96"/>
      <c r="S24" t="str">
        <f t="shared" si="3"/>
        <v/>
      </c>
      <c r="T24" t="str">
        <f t="shared" si="4"/>
        <v/>
      </c>
      <c r="U24" t="str">
        <f t="shared" si="5"/>
        <v/>
      </c>
    </row>
    <row r="25" spans="1:21" ht="15" customHeight="1" x14ac:dyDescent="0.3">
      <c r="A25" s="194"/>
      <c r="B25" s="196"/>
      <c r="C25" s="97"/>
      <c r="D25" s="97"/>
      <c r="E25" s="98"/>
      <c r="F25" s="97"/>
      <c r="G25" s="99" t="str">
        <f t="shared" si="0"/>
        <v/>
      </c>
      <c r="H25" s="96"/>
      <c r="I25" s="97"/>
      <c r="J25" s="98"/>
      <c r="K25" s="97"/>
      <c r="L25" s="99" t="str">
        <f t="shared" si="1"/>
        <v/>
      </c>
      <c r="M25" s="96"/>
      <c r="N25" s="97"/>
      <c r="O25" s="98"/>
      <c r="P25" s="97"/>
      <c r="Q25" s="99" t="str">
        <f t="shared" si="2"/>
        <v/>
      </c>
      <c r="R25" s="96"/>
      <c r="S25" t="str">
        <f t="shared" si="3"/>
        <v/>
      </c>
      <c r="T25" t="str">
        <f t="shared" si="4"/>
        <v/>
      </c>
      <c r="U25" t="str">
        <f t="shared" si="5"/>
        <v/>
      </c>
    </row>
    <row r="26" spans="1:21" ht="15" customHeight="1" x14ac:dyDescent="0.3">
      <c r="A26" s="194"/>
      <c r="B26" s="196"/>
      <c r="C26" s="97"/>
      <c r="D26" s="97"/>
      <c r="E26" s="98"/>
      <c r="F26" s="97"/>
      <c r="G26" s="99" t="str">
        <f t="shared" si="0"/>
        <v/>
      </c>
      <c r="H26" s="96"/>
      <c r="I26" s="97"/>
      <c r="J26" s="98"/>
      <c r="K26" s="97"/>
      <c r="L26" s="99" t="str">
        <f t="shared" si="1"/>
        <v/>
      </c>
      <c r="M26" s="96"/>
      <c r="N26" s="97"/>
      <c r="O26" s="98"/>
      <c r="P26" s="97"/>
      <c r="Q26" s="99" t="str">
        <f t="shared" si="2"/>
        <v/>
      </c>
      <c r="R26" s="96"/>
      <c r="S26" t="str">
        <f t="shared" si="3"/>
        <v/>
      </c>
      <c r="T26" t="str">
        <f t="shared" si="4"/>
        <v/>
      </c>
      <c r="U26" t="str">
        <f t="shared" si="5"/>
        <v/>
      </c>
    </row>
    <row r="27" spans="1:21" ht="15" customHeight="1" x14ac:dyDescent="0.3">
      <c r="A27" s="194"/>
      <c r="B27" s="196"/>
      <c r="C27" s="97"/>
      <c r="D27" s="97"/>
      <c r="E27" s="98"/>
      <c r="F27" s="97"/>
      <c r="G27" s="99" t="str">
        <f t="shared" si="0"/>
        <v/>
      </c>
      <c r="H27" s="96"/>
      <c r="I27" s="97"/>
      <c r="J27" s="98"/>
      <c r="K27" s="97"/>
      <c r="L27" s="99" t="str">
        <f t="shared" si="1"/>
        <v/>
      </c>
      <c r="M27" s="96"/>
      <c r="N27" s="97"/>
      <c r="O27" s="98"/>
      <c r="P27" s="97"/>
      <c r="Q27" s="99" t="str">
        <f t="shared" si="2"/>
        <v/>
      </c>
      <c r="R27" s="96"/>
      <c r="S27" t="str">
        <f t="shared" si="3"/>
        <v/>
      </c>
      <c r="T27" t="str">
        <f t="shared" si="4"/>
        <v/>
      </c>
      <c r="U27" t="str">
        <f t="shared" si="5"/>
        <v/>
      </c>
    </row>
    <row r="28" spans="1:21" ht="15" customHeight="1" x14ac:dyDescent="0.3">
      <c r="A28" s="194"/>
      <c r="B28" s="196"/>
      <c r="C28" s="97"/>
      <c r="D28" s="97"/>
      <c r="E28" s="98"/>
      <c r="F28" s="97"/>
      <c r="G28" s="99" t="str">
        <f t="shared" si="0"/>
        <v/>
      </c>
      <c r="H28" s="96"/>
      <c r="I28" s="97"/>
      <c r="J28" s="98"/>
      <c r="K28" s="97"/>
      <c r="L28" s="99" t="str">
        <f t="shared" si="1"/>
        <v/>
      </c>
      <c r="M28" s="96"/>
      <c r="N28" s="97"/>
      <c r="O28" s="98"/>
      <c r="P28" s="97"/>
      <c r="Q28" s="99" t="str">
        <f t="shared" si="2"/>
        <v/>
      </c>
      <c r="R28" s="96"/>
      <c r="S28" t="str">
        <f t="shared" si="3"/>
        <v/>
      </c>
      <c r="T28" t="str">
        <f t="shared" si="4"/>
        <v/>
      </c>
      <c r="U28" t="str">
        <f t="shared" si="5"/>
        <v/>
      </c>
    </row>
    <row r="29" spans="1:21" ht="15" customHeight="1" x14ac:dyDescent="0.3">
      <c r="A29" s="194"/>
      <c r="B29" s="196"/>
      <c r="C29" s="97"/>
      <c r="D29" s="97"/>
      <c r="E29" s="98"/>
      <c r="F29" s="97"/>
      <c r="G29" s="99" t="str">
        <f t="shared" si="0"/>
        <v/>
      </c>
      <c r="H29" s="96"/>
      <c r="I29" s="97"/>
      <c r="J29" s="98"/>
      <c r="K29" s="97"/>
      <c r="L29" s="99" t="str">
        <f t="shared" si="1"/>
        <v/>
      </c>
      <c r="M29" s="96"/>
      <c r="N29" s="97"/>
      <c r="O29" s="98"/>
      <c r="P29" s="97"/>
      <c r="Q29" s="99" t="str">
        <f t="shared" si="2"/>
        <v/>
      </c>
      <c r="R29" s="96"/>
      <c r="S29" t="str">
        <f t="shared" si="3"/>
        <v/>
      </c>
      <c r="T29" t="str">
        <f t="shared" si="4"/>
        <v/>
      </c>
      <c r="U29" t="str">
        <f t="shared" si="5"/>
        <v/>
      </c>
    </row>
    <row r="30" spans="1:21" ht="15" customHeight="1" x14ac:dyDescent="0.3">
      <c r="A30" s="194"/>
      <c r="B30" s="196"/>
      <c r="C30" s="97"/>
      <c r="D30" s="97"/>
      <c r="E30" s="98"/>
      <c r="F30" s="97"/>
      <c r="G30" s="99" t="str">
        <f t="shared" si="0"/>
        <v/>
      </c>
      <c r="H30" s="96"/>
      <c r="I30" s="97"/>
      <c r="J30" s="98"/>
      <c r="K30" s="97"/>
      <c r="L30" s="99" t="str">
        <f t="shared" si="1"/>
        <v/>
      </c>
      <c r="M30" s="96"/>
      <c r="N30" s="97"/>
      <c r="O30" s="98"/>
      <c r="P30" s="97"/>
      <c r="Q30" s="99" t="str">
        <f t="shared" si="2"/>
        <v/>
      </c>
      <c r="R30" s="96"/>
      <c r="S30" t="str">
        <f t="shared" si="3"/>
        <v/>
      </c>
      <c r="T30" t="str">
        <f t="shared" si="4"/>
        <v/>
      </c>
      <c r="U30" t="str">
        <f t="shared" si="5"/>
        <v/>
      </c>
    </row>
    <row r="31" spans="1:21" ht="15" customHeight="1" x14ac:dyDescent="0.3">
      <c r="A31" s="194"/>
      <c r="B31" s="196"/>
      <c r="C31" s="97"/>
      <c r="D31" s="97"/>
      <c r="E31" s="98"/>
      <c r="F31" s="97"/>
      <c r="G31" s="99" t="str">
        <f t="shared" si="0"/>
        <v/>
      </c>
      <c r="H31" s="96"/>
      <c r="I31" s="97"/>
      <c r="J31" s="98"/>
      <c r="K31" s="97"/>
      <c r="L31" s="99" t="str">
        <f t="shared" si="1"/>
        <v/>
      </c>
      <c r="M31" s="96"/>
      <c r="N31" s="97"/>
      <c r="O31" s="98"/>
      <c r="P31" s="97"/>
      <c r="Q31" s="99" t="str">
        <f t="shared" si="2"/>
        <v/>
      </c>
      <c r="R31" s="96"/>
      <c r="S31" t="str">
        <f t="shared" si="3"/>
        <v/>
      </c>
      <c r="T31" t="str">
        <f t="shared" si="4"/>
        <v/>
      </c>
      <c r="U31" t="str">
        <f t="shared" si="5"/>
        <v/>
      </c>
    </row>
    <row r="32" spans="1:21" ht="15" customHeight="1" x14ac:dyDescent="0.3">
      <c r="A32" s="194"/>
      <c r="B32" s="196"/>
      <c r="C32" s="97"/>
      <c r="D32" s="97"/>
      <c r="E32" s="98"/>
      <c r="F32" s="97"/>
      <c r="G32" s="99" t="str">
        <f t="shared" si="0"/>
        <v/>
      </c>
      <c r="H32" s="96"/>
      <c r="I32" s="97"/>
      <c r="J32" s="98"/>
      <c r="K32" s="97"/>
      <c r="L32" s="99" t="str">
        <f t="shared" si="1"/>
        <v/>
      </c>
      <c r="M32" s="96"/>
      <c r="N32" s="97"/>
      <c r="O32" s="98"/>
      <c r="P32" s="97"/>
      <c r="Q32" s="99" t="str">
        <f t="shared" si="2"/>
        <v/>
      </c>
      <c r="R32" s="96"/>
      <c r="S32" t="str">
        <f t="shared" si="3"/>
        <v/>
      </c>
      <c r="T32" t="str">
        <f t="shared" si="4"/>
        <v/>
      </c>
      <c r="U32" t="str">
        <f t="shared" si="5"/>
        <v/>
      </c>
    </row>
    <row r="33" spans="1:21" ht="15" customHeight="1" x14ac:dyDescent="0.3">
      <c r="A33" s="194"/>
      <c r="B33" s="196"/>
      <c r="C33" s="97"/>
      <c r="D33" s="97"/>
      <c r="E33" s="98"/>
      <c r="F33" s="97"/>
      <c r="G33" s="99" t="str">
        <f t="shared" si="0"/>
        <v/>
      </c>
      <c r="H33" s="96"/>
      <c r="I33" s="97"/>
      <c r="J33" s="98"/>
      <c r="K33" s="97"/>
      <c r="L33" s="99" t="str">
        <f t="shared" si="1"/>
        <v/>
      </c>
      <c r="M33" s="96"/>
      <c r="N33" s="97"/>
      <c r="O33" s="98"/>
      <c r="P33" s="97"/>
      <c r="Q33" s="99" t="str">
        <f t="shared" si="2"/>
        <v/>
      </c>
      <c r="R33" s="96"/>
      <c r="S33" t="str">
        <f t="shared" si="3"/>
        <v/>
      </c>
      <c r="T33" t="str">
        <f t="shared" si="4"/>
        <v/>
      </c>
      <c r="U33" t="str">
        <f t="shared" si="5"/>
        <v/>
      </c>
    </row>
    <row r="34" spans="1:21" ht="15" customHeight="1" x14ac:dyDescent="0.3">
      <c r="A34" s="194"/>
      <c r="B34" s="196"/>
      <c r="C34" s="97"/>
      <c r="D34" s="97"/>
      <c r="E34" s="98"/>
      <c r="F34" s="97"/>
      <c r="G34" s="99" t="str">
        <f t="shared" si="0"/>
        <v/>
      </c>
      <c r="H34" s="96"/>
      <c r="I34" s="97"/>
      <c r="J34" s="98"/>
      <c r="K34" s="97"/>
      <c r="L34" s="99" t="str">
        <f t="shared" si="1"/>
        <v/>
      </c>
      <c r="M34" s="96"/>
      <c r="N34" s="97"/>
      <c r="O34" s="98"/>
      <c r="P34" s="97"/>
      <c r="Q34" s="99" t="str">
        <f t="shared" si="2"/>
        <v/>
      </c>
      <c r="R34" s="96"/>
      <c r="S34" t="str">
        <f t="shared" si="3"/>
        <v/>
      </c>
      <c r="T34" t="str">
        <f t="shared" si="4"/>
        <v/>
      </c>
      <c r="U34" t="str">
        <f t="shared" si="5"/>
        <v/>
      </c>
    </row>
    <row r="35" spans="1:21" ht="15" customHeight="1" x14ac:dyDescent="0.3">
      <c r="A35" s="194"/>
      <c r="B35" s="196"/>
      <c r="C35" s="97"/>
      <c r="D35" s="97"/>
      <c r="E35" s="98"/>
      <c r="F35" s="97"/>
      <c r="G35" s="99" t="str">
        <f t="shared" si="0"/>
        <v/>
      </c>
      <c r="H35" s="96"/>
      <c r="I35" s="97"/>
      <c r="J35" s="98"/>
      <c r="K35" s="97"/>
      <c r="L35" s="99" t="str">
        <f t="shared" si="1"/>
        <v/>
      </c>
      <c r="M35" s="96"/>
      <c r="N35" s="97"/>
      <c r="O35" s="98"/>
      <c r="P35" s="97"/>
      <c r="Q35" s="99" t="str">
        <f t="shared" si="2"/>
        <v/>
      </c>
      <c r="R35" s="96"/>
      <c r="S35" t="str">
        <f t="shared" si="3"/>
        <v/>
      </c>
      <c r="T35" t="str">
        <f t="shared" si="4"/>
        <v/>
      </c>
      <c r="U35" t="str">
        <f t="shared" si="5"/>
        <v/>
      </c>
    </row>
    <row r="36" spans="1:21" ht="15" customHeight="1" x14ac:dyDescent="0.3">
      <c r="A36" s="194"/>
      <c r="B36" s="196"/>
      <c r="C36" s="97"/>
      <c r="D36" s="97"/>
      <c r="E36" s="98"/>
      <c r="F36" s="97"/>
      <c r="G36" s="99" t="str">
        <f t="shared" si="0"/>
        <v/>
      </c>
      <c r="H36" s="96"/>
      <c r="I36" s="97"/>
      <c r="J36" s="98"/>
      <c r="K36" s="97"/>
      <c r="L36" s="99" t="str">
        <f t="shared" si="1"/>
        <v/>
      </c>
      <c r="M36" s="96"/>
      <c r="N36" s="97"/>
      <c r="O36" s="98"/>
      <c r="P36" s="97"/>
      <c r="Q36" s="99" t="str">
        <f t="shared" si="2"/>
        <v/>
      </c>
      <c r="R36" s="96"/>
      <c r="S36" t="str">
        <f t="shared" si="3"/>
        <v/>
      </c>
      <c r="T36" t="str">
        <f t="shared" si="4"/>
        <v/>
      </c>
      <c r="U36" t="str">
        <f t="shared" si="5"/>
        <v/>
      </c>
    </row>
    <row r="37" spans="1:21" ht="15" customHeight="1" x14ac:dyDescent="0.3">
      <c r="A37" s="194"/>
      <c r="B37" s="196"/>
      <c r="C37" s="97"/>
      <c r="D37" s="97"/>
      <c r="E37" s="98"/>
      <c r="F37" s="97"/>
      <c r="G37" s="99" t="str">
        <f t="shared" si="0"/>
        <v/>
      </c>
      <c r="H37" s="96"/>
      <c r="I37" s="97"/>
      <c r="J37" s="98"/>
      <c r="K37" s="97"/>
      <c r="L37" s="99" t="str">
        <f t="shared" si="1"/>
        <v/>
      </c>
      <c r="M37" s="96"/>
      <c r="N37" s="97"/>
      <c r="O37" s="98"/>
      <c r="P37" s="97"/>
      <c r="Q37" s="99" t="str">
        <f t="shared" si="2"/>
        <v/>
      </c>
      <c r="R37" s="96"/>
      <c r="S37" t="str">
        <f t="shared" si="3"/>
        <v/>
      </c>
      <c r="T37" t="str">
        <f t="shared" si="4"/>
        <v/>
      </c>
      <c r="U37" t="str">
        <f t="shared" si="5"/>
        <v/>
      </c>
    </row>
    <row r="38" spans="1:21" ht="15" customHeight="1" x14ac:dyDescent="0.3">
      <c r="A38" s="194"/>
      <c r="B38" s="196"/>
      <c r="C38" s="97"/>
      <c r="D38" s="97"/>
      <c r="E38" s="98"/>
      <c r="F38" s="97"/>
      <c r="G38" s="99" t="str">
        <f t="shared" si="0"/>
        <v/>
      </c>
      <c r="H38" s="96"/>
      <c r="I38" s="97"/>
      <c r="J38" s="98"/>
      <c r="K38" s="97"/>
      <c r="L38" s="99" t="str">
        <f t="shared" si="1"/>
        <v/>
      </c>
      <c r="M38" s="96"/>
      <c r="N38" s="97"/>
      <c r="O38" s="98"/>
      <c r="P38" s="97"/>
      <c r="Q38" s="99" t="str">
        <f t="shared" si="2"/>
        <v/>
      </c>
      <c r="R38" s="96"/>
      <c r="S38" t="str">
        <f t="shared" si="3"/>
        <v/>
      </c>
      <c r="T38" t="str">
        <f t="shared" si="4"/>
        <v/>
      </c>
      <c r="U38" t="str">
        <f t="shared" si="5"/>
        <v/>
      </c>
    </row>
    <row r="39" spans="1:21" ht="15" customHeight="1" x14ac:dyDescent="0.3">
      <c r="A39" s="194"/>
      <c r="B39" s="196"/>
      <c r="C39" s="97"/>
      <c r="D39" s="97"/>
      <c r="E39" s="98"/>
      <c r="F39" s="97"/>
      <c r="G39" s="99" t="str">
        <f t="shared" si="0"/>
        <v/>
      </c>
      <c r="H39" s="96"/>
      <c r="I39" s="97"/>
      <c r="J39" s="98"/>
      <c r="K39" s="97"/>
      <c r="L39" s="99" t="str">
        <f t="shared" si="1"/>
        <v/>
      </c>
      <c r="M39" s="96"/>
      <c r="N39" s="97"/>
      <c r="O39" s="98"/>
      <c r="P39" s="97"/>
      <c r="Q39" s="99" t="str">
        <f t="shared" si="2"/>
        <v/>
      </c>
      <c r="R39" s="96"/>
      <c r="S39" t="str">
        <f t="shared" si="3"/>
        <v/>
      </c>
      <c r="T39" t="str">
        <f t="shared" si="4"/>
        <v/>
      </c>
      <c r="U39" t="str">
        <f t="shared" si="5"/>
        <v/>
      </c>
    </row>
    <row r="40" spans="1:21" ht="15" customHeight="1" x14ac:dyDescent="0.3">
      <c r="A40" s="194"/>
      <c r="B40" s="196"/>
      <c r="C40" s="97"/>
      <c r="D40" s="97"/>
      <c r="E40" s="98"/>
      <c r="F40" s="97"/>
      <c r="G40" s="99" t="str">
        <f t="shared" si="0"/>
        <v/>
      </c>
      <c r="H40" s="96"/>
      <c r="I40" s="97"/>
      <c r="J40" s="98"/>
      <c r="K40" s="97"/>
      <c r="L40" s="99" t="str">
        <f t="shared" si="1"/>
        <v/>
      </c>
      <c r="M40" s="96"/>
      <c r="N40" s="97"/>
      <c r="O40" s="98"/>
      <c r="P40" s="97"/>
      <c r="Q40" s="99" t="str">
        <f t="shared" si="2"/>
        <v/>
      </c>
      <c r="R40" s="96"/>
      <c r="S40" t="str">
        <f t="shared" si="3"/>
        <v/>
      </c>
      <c r="T40" t="str">
        <f t="shared" si="4"/>
        <v/>
      </c>
      <c r="U40" t="str">
        <f t="shared" si="5"/>
        <v/>
      </c>
    </row>
    <row r="41" spans="1:21" ht="15" customHeight="1" x14ac:dyDescent="0.3">
      <c r="A41" s="194"/>
      <c r="B41" s="196"/>
      <c r="C41" s="97"/>
      <c r="D41" s="97"/>
      <c r="E41" s="98"/>
      <c r="F41" s="97"/>
      <c r="G41" s="99" t="str">
        <f t="shared" si="0"/>
        <v/>
      </c>
      <c r="H41" s="96"/>
      <c r="I41" s="97"/>
      <c r="J41" s="98"/>
      <c r="K41" s="97"/>
      <c r="L41" s="99" t="str">
        <f t="shared" si="1"/>
        <v/>
      </c>
      <c r="M41" s="96"/>
      <c r="N41" s="97"/>
      <c r="O41" s="98"/>
      <c r="P41" s="97"/>
      <c r="Q41" s="99" t="str">
        <f t="shared" si="2"/>
        <v/>
      </c>
      <c r="R41" s="96"/>
      <c r="S41" t="str">
        <f t="shared" si="3"/>
        <v/>
      </c>
      <c r="T41" t="str">
        <f t="shared" si="4"/>
        <v/>
      </c>
      <c r="U41" t="str">
        <f t="shared" si="5"/>
        <v/>
      </c>
    </row>
    <row r="42" spans="1:21" ht="15" customHeight="1" x14ac:dyDescent="0.3">
      <c r="A42" s="194"/>
      <c r="B42" s="196"/>
      <c r="C42" s="97"/>
      <c r="D42" s="97"/>
      <c r="E42" s="98"/>
      <c r="F42" s="97"/>
      <c r="G42" s="99" t="str">
        <f t="shared" si="0"/>
        <v/>
      </c>
      <c r="H42" s="96"/>
      <c r="I42" s="97"/>
      <c r="J42" s="98"/>
      <c r="K42" s="97"/>
      <c r="L42" s="99" t="str">
        <f t="shared" si="1"/>
        <v/>
      </c>
      <c r="M42" s="96"/>
      <c r="N42" s="97"/>
      <c r="O42" s="98"/>
      <c r="P42" s="97"/>
      <c r="Q42" s="99" t="str">
        <f t="shared" si="2"/>
        <v/>
      </c>
      <c r="R42" s="96"/>
      <c r="S42" t="str">
        <f t="shared" si="3"/>
        <v/>
      </c>
      <c r="T42" t="str">
        <f t="shared" si="4"/>
        <v/>
      </c>
      <c r="U42" t="str">
        <f t="shared" si="5"/>
        <v/>
      </c>
    </row>
    <row r="43" spans="1:21" ht="15" customHeight="1" x14ac:dyDescent="0.3">
      <c r="A43" s="194"/>
      <c r="B43" s="196"/>
      <c r="C43" s="97"/>
      <c r="D43" s="97"/>
      <c r="E43" s="98"/>
      <c r="F43" s="97"/>
      <c r="G43" s="99" t="str">
        <f t="shared" si="0"/>
        <v/>
      </c>
      <c r="H43" s="96"/>
      <c r="I43" s="97"/>
      <c r="J43" s="98"/>
      <c r="K43" s="97"/>
      <c r="L43" s="99" t="str">
        <f t="shared" si="1"/>
        <v/>
      </c>
      <c r="M43" s="96"/>
      <c r="N43" s="97"/>
      <c r="O43" s="98"/>
      <c r="P43" s="97"/>
      <c r="Q43" s="99" t="str">
        <f t="shared" si="2"/>
        <v/>
      </c>
      <c r="R43" s="96"/>
      <c r="S43" t="str">
        <f t="shared" si="3"/>
        <v/>
      </c>
      <c r="T43" t="str">
        <f t="shared" si="4"/>
        <v/>
      </c>
      <c r="U43" t="str">
        <f t="shared" si="5"/>
        <v/>
      </c>
    </row>
    <row r="44" spans="1:21" ht="15" customHeight="1" x14ac:dyDescent="0.3">
      <c r="A44" s="194"/>
      <c r="B44" s="196"/>
      <c r="C44" s="97"/>
      <c r="D44" s="97"/>
      <c r="E44" s="98"/>
      <c r="F44" s="97"/>
      <c r="G44" s="99" t="str">
        <f t="shared" si="0"/>
        <v/>
      </c>
      <c r="H44" s="96"/>
      <c r="I44" s="97"/>
      <c r="J44" s="98"/>
      <c r="K44" s="97"/>
      <c r="L44" s="99" t="str">
        <f t="shared" si="1"/>
        <v/>
      </c>
      <c r="M44" s="96"/>
      <c r="N44" s="97"/>
      <c r="O44" s="98"/>
      <c r="P44" s="97"/>
      <c r="Q44" s="99" t="str">
        <f t="shared" si="2"/>
        <v/>
      </c>
      <c r="R44" s="96"/>
      <c r="S44" t="str">
        <f t="shared" si="3"/>
        <v/>
      </c>
      <c r="T44" t="str">
        <f t="shared" si="4"/>
        <v/>
      </c>
      <c r="U44" t="str">
        <f t="shared" si="5"/>
        <v/>
      </c>
    </row>
    <row r="45" spans="1:21" ht="15" customHeight="1" x14ac:dyDescent="0.3">
      <c r="A45" s="194"/>
      <c r="B45" s="196"/>
      <c r="C45" s="97"/>
      <c r="D45" s="97"/>
      <c r="E45" s="98"/>
      <c r="F45" s="97"/>
      <c r="G45" s="99" t="str">
        <f t="shared" si="0"/>
        <v/>
      </c>
      <c r="H45" s="96"/>
      <c r="I45" s="97"/>
      <c r="J45" s="98"/>
      <c r="K45" s="97"/>
      <c r="L45" s="99" t="str">
        <f t="shared" si="1"/>
        <v/>
      </c>
      <c r="M45" s="96"/>
      <c r="N45" s="97"/>
      <c r="O45" s="98"/>
      <c r="P45" s="97"/>
      <c r="Q45" s="99" t="str">
        <f t="shared" si="2"/>
        <v/>
      </c>
      <c r="R45" s="96"/>
      <c r="S45" t="str">
        <f t="shared" si="3"/>
        <v/>
      </c>
      <c r="T45" t="str">
        <f t="shared" si="4"/>
        <v/>
      </c>
      <c r="U45" t="str">
        <f t="shared" si="5"/>
        <v/>
      </c>
    </row>
    <row r="46" spans="1:21" ht="15" customHeight="1" x14ac:dyDescent="0.3">
      <c r="A46" s="194"/>
      <c r="B46" s="196"/>
      <c r="C46" s="97"/>
      <c r="D46" s="97"/>
      <c r="E46" s="98"/>
      <c r="F46" s="97"/>
      <c r="G46" s="99" t="str">
        <f t="shared" si="0"/>
        <v/>
      </c>
      <c r="H46" s="96"/>
      <c r="I46" s="97"/>
      <c r="J46" s="98"/>
      <c r="K46" s="97"/>
      <c r="L46" s="99" t="str">
        <f t="shared" si="1"/>
        <v/>
      </c>
      <c r="M46" s="96"/>
      <c r="N46" s="97"/>
      <c r="O46" s="98"/>
      <c r="P46" s="97"/>
      <c r="Q46" s="99" t="str">
        <f t="shared" si="2"/>
        <v/>
      </c>
      <c r="R46" s="96"/>
      <c r="S46" t="str">
        <f t="shared" si="3"/>
        <v/>
      </c>
      <c r="T46" t="str">
        <f t="shared" si="4"/>
        <v/>
      </c>
      <c r="U46" t="str">
        <f t="shared" si="5"/>
        <v/>
      </c>
    </row>
    <row r="47" spans="1:21" ht="15" customHeight="1" x14ac:dyDescent="0.3">
      <c r="A47" s="194"/>
      <c r="B47" s="196"/>
      <c r="C47" s="97"/>
      <c r="D47" s="97"/>
      <c r="E47" s="98"/>
      <c r="F47" s="97"/>
      <c r="G47" s="99" t="str">
        <f t="shared" si="0"/>
        <v/>
      </c>
      <c r="H47" s="96"/>
      <c r="I47" s="97"/>
      <c r="J47" s="98"/>
      <c r="K47" s="97"/>
      <c r="L47" s="99" t="str">
        <f t="shared" si="1"/>
        <v/>
      </c>
      <c r="M47" s="96"/>
      <c r="N47" s="97"/>
      <c r="O47" s="98"/>
      <c r="P47" s="97"/>
      <c r="Q47" s="99" t="str">
        <f t="shared" si="2"/>
        <v/>
      </c>
      <c r="R47" s="96"/>
      <c r="S47" t="str">
        <f t="shared" si="3"/>
        <v/>
      </c>
      <c r="T47" t="str">
        <f t="shared" si="4"/>
        <v/>
      </c>
      <c r="U47" t="str">
        <f t="shared" si="5"/>
        <v/>
      </c>
    </row>
    <row r="48" spans="1:21" ht="15" customHeight="1" x14ac:dyDescent="0.3">
      <c r="A48" s="194"/>
      <c r="B48" s="196"/>
      <c r="C48" s="97"/>
      <c r="D48" s="97"/>
      <c r="E48" s="98"/>
      <c r="F48" s="97"/>
      <c r="G48" s="99" t="str">
        <f t="shared" si="0"/>
        <v/>
      </c>
      <c r="H48" s="96"/>
      <c r="I48" s="97"/>
      <c r="J48" s="98"/>
      <c r="K48" s="97"/>
      <c r="L48" s="99" t="str">
        <f t="shared" si="1"/>
        <v/>
      </c>
      <c r="M48" s="96"/>
      <c r="N48" s="97"/>
      <c r="O48" s="98"/>
      <c r="P48" s="97"/>
      <c r="Q48" s="99" t="str">
        <f t="shared" si="2"/>
        <v/>
      </c>
      <c r="R48" s="96"/>
      <c r="S48" t="str">
        <f t="shared" si="3"/>
        <v/>
      </c>
      <c r="T48" t="str">
        <f t="shared" si="4"/>
        <v/>
      </c>
      <c r="U48" t="str">
        <f t="shared" si="5"/>
        <v/>
      </c>
    </row>
    <row r="49" spans="1:21" ht="15" customHeight="1" x14ac:dyDescent="0.3">
      <c r="A49" s="194"/>
      <c r="B49" s="196"/>
      <c r="C49" s="97"/>
      <c r="D49" s="97"/>
      <c r="E49" s="98"/>
      <c r="F49" s="97"/>
      <c r="G49" s="99" t="str">
        <f t="shared" si="0"/>
        <v/>
      </c>
      <c r="H49" s="96"/>
      <c r="I49" s="97"/>
      <c r="J49" s="98"/>
      <c r="K49" s="97"/>
      <c r="L49" s="99" t="str">
        <f t="shared" si="1"/>
        <v/>
      </c>
      <c r="M49" s="96"/>
      <c r="N49" s="97"/>
      <c r="O49" s="98"/>
      <c r="P49" s="97"/>
      <c r="Q49" s="99" t="str">
        <f t="shared" si="2"/>
        <v/>
      </c>
      <c r="R49" s="96"/>
      <c r="S49" t="str">
        <f t="shared" si="3"/>
        <v/>
      </c>
      <c r="T49" t="str">
        <f t="shared" si="4"/>
        <v/>
      </c>
      <c r="U49" t="str">
        <f t="shared" si="5"/>
        <v/>
      </c>
    </row>
    <row r="50" spans="1:21" ht="15" customHeight="1" x14ac:dyDescent="0.3">
      <c r="A50" s="194"/>
      <c r="B50" s="196"/>
      <c r="C50" s="97"/>
      <c r="D50" s="97"/>
      <c r="E50" s="98"/>
      <c r="F50" s="97"/>
      <c r="G50" s="99" t="str">
        <f t="shared" si="0"/>
        <v/>
      </c>
      <c r="H50" s="96"/>
      <c r="I50" s="97"/>
      <c r="J50" s="98"/>
      <c r="K50" s="97"/>
      <c r="L50" s="99" t="str">
        <f t="shared" si="1"/>
        <v/>
      </c>
      <c r="M50" s="96"/>
      <c r="N50" s="97"/>
      <c r="O50" s="98"/>
      <c r="P50" s="97"/>
      <c r="Q50" s="99" t="str">
        <f t="shared" si="2"/>
        <v/>
      </c>
      <c r="R50" s="96"/>
      <c r="S50" t="str">
        <f t="shared" si="3"/>
        <v/>
      </c>
      <c r="T50" t="str">
        <f t="shared" si="4"/>
        <v/>
      </c>
      <c r="U50" t="str">
        <f t="shared" si="5"/>
        <v/>
      </c>
    </row>
  </sheetData>
  <mergeCells count="4">
    <mergeCell ref="D2:H2"/>
    <mergeCell ref="I2:M2"/>
    <mergeCell ref="N2:R2"/>
    <mergeCell ref="S2:U2"/>
  </mergeCells>
  <conditionalFormatting sqref="S4:T50">
    <cfRule type="cellIs" dxfId="30" priority="2" operator="equal">
      <formula>"PASS"</formula>
    </cfRule>
    <cfRule type="cellIs" dxfId="29" priority="3" operator="equal">
      <formula>"FAIL"</formula>
    </cfRule>
  </conditionalFormatting>
  <conditionalFormatting sqref="U4:U50">
    <cfRule type="cellIs" dxfId="28" priority="4" operator="equal">
      <formula>"OK"</formula>
    </cfRule>
    <cfRule type="cellIs" dxfId="27" priority="5" operator="equal">
      <formula>"CHECK TAGS"</formula>
    </cfRule>
  </conditionalFormatting>
  <dataValidations count="1">
    <dataValidation type="list" allowBlank="1" sqref="H4:H23 M4:M23 R4:R23" xr:uid="{00000000-0002-0000-0D00-000000000000}">
      <formula1>"Likely,Possible,Unlikely"</formula1>
      <formula2>0</formula2>
    </dataValidation>
  </dataValidations>
  <pageMargins left="0.75" right="0.75" top="1" bottom="1" header="0.511811023622047" footer="0.51180555555555596"/>
  <pageSetup paperSize="9" orientation="portrait" horizontalDpi="300" verticalDpi="300"/>
  <headerFooter>
    <oddFooter>&amp;L&amp;"Arial Narrow,Regular"&amp;8 &amp;F&amp;C&amp;"Arial Narrow,Regular"&amp;8 &amp;A - &amp;D &amp;T&amp;R&amp;"Arial,Regular" &amp;P /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B23"/>
  <sheetViews>
    <sheetView showGridLines="0" zoomScaleNormal="100" workbookViewId="0">
      <pane xSplit="4" ySplit="3" topLeftCell="E4" activePane="bottomRight" state="frozen"/>
      <selection pane="topRight" activeCell="E1" sqref="E1"/>
      <selection pane="bottomLeft" activeCell="A4" sqref="A4"/>
      <selection pane="bottomRight" activeCell="E15" sqref="E15"/>
    </sheetView>
  </sheetViews>
  <sheetFormatPr defaultColWidth="8.6640625" defaultRowHeight="14.4" x14ac:dyDescent="0.3"/>
  <cols>
    <col min="1" max="1" width="8" customWidth="1"/>
    <col min="2" max="2" width="14" customWidth="1"/>
    <col min="3" max="25" width="9" customWidth="1"/>
    <col min="26" max="26" width="8" bestFit="1" customWidth="1"/>
    <col min="27" max="27" width="9" customWidth="1"/>
    <col min="28" max="28" width="20" customWidth="1"/>
  </cols>
  <sheetData>
    <row r="1" spans="1:28" ht="30" customHeight="1" x14ac:dyDescent="0.3">
      <c r="A1" s="117" t="s">
        <v>733</v>
      </c>
      <c r="B1" s="117"/>
      <c r="C1" s="117"/>
      <c r="D1" s="117"/>
      <c r="E1" s="117"/>
      <c r="F1" s="117"/>
      <c r="G1" s="117"/>
      <c r="H1" s="117"/>
      <c r="I1" s="117"/>
      <c r="J1" s="117"/>
      <c r="K1" s="117"/>
      <c r="L1" s="117"/>
      <c r="M1" s="117"/>
      <c r="N1" s="117"/>
      <c r="O1" s="117"/>
      <c r="P1" s="117"/>
      <c r="Q1" s="117"/>
      <c r="R1" s="117"/>
      <c r="S1" s="117"/>
      <c r="T1" s="117"/>
      <c r="U1" s="29"/>
      <c r="V1" s="29"/>
    </row>
    <row r="2" spans="1:28" ht="25.5" customHeight="1" x14ac:dyDescent="0.3">
      <c r="E2" s="122" t="s">
        <v>476</v>
      </c>
      <c r="F2" s="122"/>
      <c r="G2" s="122"/>
      <c r="H2" s="122"/>
      <c r="I2" s="122"/>
      <c r="J2" s="122"/>
      <c r="K2" s="122"/>
      <c r="L2" s="122"/>
      <c r="M2" s="122"/>
      <c r="N2" s="122"/>
      <c r="O2" s="122"/>
      <c r="P2" s="122"/>
      <c r="Q2" s="122"/>
      <c r="R2" s="122"/>
      <c r="S2" s="122"/>
      <c r="T2" s="123" t="s">
        <v>477</v>
      </c>
      <c r="U2" s="123"/>
      <c r="V2" s="123"/>
      <c r="W2" s="123"/>
      <c r="X2" s="123"/>
      <c r="Y2" s="123"/>
      <c r="Z2" s="123"/>
    </row>
    <row r="3" spans="1:28" ht="54" customHeight="1" x14ac:dyDescent="0.3">
      <c r="A3" s="197" t="s">
        <v>76</v>
      </c>
      <c r="B3" s="101" t="s">
        <v>270</v>
      </c>
      <c r="C3" s="101" t="s">
        <v>478</v>
      </c>
      <c r="D3" s="101" t="s">
        <v>479</v>
      </c>
      <c r="E3" s="101" t="s">
        <v>480</v>
      </c>
      <c r="F3" s="101" t="s">
        <v>481</v>
      </c>
      <c r="G3" s="101" t="s">
        <v>482</v>
      </c>
      <c r="H3" s="101" t="s">
        <v>483</v>
      </c>
      <c r="I3" s="101" t="s">
        <v>484</v>
      </c>
      <c r="J3" s="101" t="s">
        <v>482</v>
      </c>
      <c r="K3" s="101" t="s">
        <v>485</v>
      </c>
      <c r="L3" s="101" t="s">
        <v>486</v>
      </c>
      <c r="M3" s="101" t="s">
        <v>482</v>
      </c>
      <c r="N3" s="101" t="s">
        <v>487</v>
      </c>
      <c r="O3" s="101" t="s">
        <v>488</v>
      </c>
      <c r="P3" s="101" t="s">
        <v>482</v>
      </c>
      <c r="Q3" s="101" t="s">
        <v>489</v>
      </c>
      <c r="R3" s="101" t="s">
        <v>490</v>
      </c>
      <c r="S3" s="101" t="s">
        <v>482</v>
      </c>
      <c r="T3" s="101" t="s">
        <v>734</v>
      </c>
      <c r="U3" s="101" t="s">
        <v>735</v>
      </c>
      <c r="V3" s="101" t="s">
        <v>491</v>
      </c>
      <c r="W3" s="101" t="s">
        <v>736</v>
      </c>
      <c r="X3" s="101" t="s">
        <v>492</v>
      </c>
      <c r="Y3" s="101" t="s">
        <v>493</v>
      </c>
      <c r="Z3" s="101" t="s">
        <v>494</v>
      </c>
      <c r="AA3" s="101" t="s">
        <v>495</v>
      </c>
      <c r="AB3" s="101" t="s">
        <v>458</v>
      </c>
    </row>
    <row r="4" spans="1:28" ht="15" customHeight="1" x14ac:dyDescent="0.3">
      <c r="A4" s="198"/>
      <c r="B4" s="64"/>
      <c r="C4" s="102"/>
      <c r="D4" s="102"/>
      <c r="E4" s="64"/>
      <c r="F4" s="64"/>
      <c r="G4" s="103" t="str">
        <f t="shared" ref="G4:G23" si="0">IF(OR(E4="",F4=""),"",IF(AND(E4&lt;=2,F4&lt;=2),"TRIGGER","OK"))</f>
        <v/>
      </c>
      <c r="H4" s="64"/>
      <c r="I4" s="64"/>
      <c r="J4" s="103" t="str">
        <f t="shared" ref="J4:J23" si="1">IF(OR(H4="",I4=""),"",IF(AND(H4&lt;=2,I4&lt;=2),"TRIGGER","OK"))</f>
        <v/>
      </c>
      <c r="K4" s="64"/>
      <c r="L4" s="64"/>
      <c r="M4" s="103" t="str">
        <f t="shared" ref="M4:M23" si="2">IF(OR(K4="",L4=""),"",IF(AND(K4&lt;=2,L4&lt;=2),"TRIGGER","OK"))</f>
        <v/>
      </c>
      <c r="N4" s="64"/>
      <c r="O4" s="64"/>
      <c r="P4" s="103" t="str">
        <f t="shared" ref="P4:P23" si="3">IF(OR(N4="",O4=""),"",IF(AND(N4&lt;=2,O4&lt;=2),"TRIGGER","OK"))</f>
        <v/>
      </c>
      <c r="Q4" s="64"/>
      <c r="R4" s="64"/>
      <c r="S4" s="103" t="str">
        <f t="shared" ref="S4:S23" si="4">IF(OR(Q4="",R4=""),"",IF(AND(Q4&lt;=2,R4&lt;=2),"TRIGGER","OK"))</f>
        <v/>
      </c>
      <c r="T4" s="104"/>
      <c r="U4" s="104"/>
      <c r="V4" s="102"/>
      <c r="W4" s="102"/>
      <c r="X4" s="64"/>
      <c r="Y4" s="64"/>
      <c r="Z4" s="103" t="str">
        <f t="shared" ref="Z4:Z23" si="5">IF(TRIM(IF(AND(T4&lt;&gt;"",T4&gt;6),"Debt/FCF&gt;6x; ","")&amp;IF(AND(U4&lt;&gt;"",V4&lt;&gt;"",U4&gt;50,V4&lt;0.15),"P/FCF&gt;50x+low growth; ","")&amp;IF(AND(W4&lt;&gt;"",W4&lt;0.07),"Implied return&lt;7%; ","")&amp;IF(AND(C4&lt;&gt;"",D4&lt;&gt;"",C4&gt;D4),"Position&gt;max; ","")&amp;IF(AND(X4&lt;&gt;"",Y4&lt;&gt;"",X4&lt;&gt;Y4,OR(Y4="Strong Buy",Y4="Buy")),"Tier downgraded; ",""))="","OK",TRIM(IF(AND(T4&lt;&gt;"",T4&gt;6),"Debt/FCF&gt;6x; ","")&amp;IF(AND(U4&lt;&gt;"",V4&lt;&gt;"",U4&gt;50,V4&lt;0.15),"P/FCF&gt;50x+low growth; ","")&amp;IF(AND(W4&lt;&gt;"",W4&lt;0.07),"Implied return&lt;7%; ","")&amp;IF(AND(C4&lt;&gt;"",D4&lt;&gt;"",C4&gt;D4),"Position&gt;max; ","")&amp;IF(AND(X4&lt;&gt;"",Y4&lt;&gt;"",X4&lt;&gt;Y4,OR(Y4="Strong Buy",Y4="Buy")),"Tier downgraded; ","")))</f>
        <v>OK</v>
      </c>
      <c r="AA4" s="64"/>
      <c r="AB4" s="68" t="str">
        <f t="shared" ref="AB4:AB23" si="6">IF(COUNTA(G4,J4,M4,P4,S4)=0,"",IF(AA4="Y","Hold Through applies — monitor only",IF(OR((COUNTIF(G4,"TRIGGER")+COUNTIF(J4,"TRIGGER")+COUNTIF(M4,"TRIGGER")+COUNTIF(P4,"TRIGGER")+COUNTIF(S4,"TRIGGER"))&gt;0,Z4&lt;&gt;"OK"),"ACTION REQUIRED WITHIN 30 DAYS","OK — no active trigger")))</f>
        <v>OK — no active trigger</v>
      </c>
    </row>
    <row r="5" spans="1:28" ht="15" customHeight="1" x14ac:dyDescent="0.3">
      <c r="A5" s="198"/>
      <c r="B5" s="64"/>
      <c r="C5" s="102"/>
      <c r="D5" s="102"/>
      <c r="E5" s="64"/>
      <c r="F5" s="64"/>
      <c r="G5" s="103" t="str">
        <f t="shared" si="0"/>
        <v/>
      </c>
      <c r="H5" s="64"/>
      <c r="I5" s="64"/>
      <c r="J5" s="103" t="str">
        <f t="shared" si="1"/>
        <v/>
      </c>
      <c r="K5" s="64"/>
      <c r="L5" s="64"/>
      <c r="M5" s="103" t="str">
        <f t="shared" si="2"/>
        <v/>
      </c>
      <c r="N5" s="64"/>
      <c r="O5" s="64"/>
      <c r="P5" s="103" t="str">
        <f t="shared" si="3"/>
        <v/>
      </c>
      <c r="Q5" s="64"/>
      <c r="R5" s="64"/>
      <c r="S5" s="103" t="str">
        <f t="shared" si="4"/>
        <v/>
      </c>
      <c r="T5" s="104"/>
      <c r="U5" s="104"/>
      <c r="V5" s="102"/>
      <c r="W5" s="102"/>
      <c r="X5" s="64"/>
      <c r="Y5" s="64"/>
      <c r="Z5" s="103" t="str">
        <f t="shared" si="5"/>
        <v>OK</v>
      </c>
      <c r="AA5" s="64"/>
      <c r="AB5" s="68" t="str">
        <f t="shared" si="6"/>
        <v>OK — no active trigger</v>
      </c>
    </row>
    <row r="6" spans="1:28" ht="15" customHeight="1" x14ac:dyDescent="0.3">
      <c r="A6" s="198"/>
      <c r="B6" s="64"/>
      <c r="C6" s="102"/>
      <c r="D6" s="102"/>
      <c r="E6" s="64"/>
      <c r="F6" s="64"/>
      <c r="G6" s="103" t="str">
        <f t="shared" si="0"/>
        <v/>
      </c>
      <c r="H6" s="64"/>
      <c r="I6" s="64"/>
      <c r="J6" s="103" t="str">
        <f t="shared" si="1"/>
        <v/>
      </c>
      <c r="K6" s="64"/>
      <c r="L6" s="64"/>
      <c r="M6" s="103" t="str">
        <f t="shared" si="2"/>
        <v/>
      </c>
      <c r="N6" s="64"/>
      <c r="O6" s="64"/>
      <c r="P6" s="103" t="str">
        <f t="shared" si="3"/>
        <v/>
      </c>
      <c r="Q6" s="64"/>
      <c r="R6" s="64"/>
      <c r="S6" s="103" t="str">
        <f t="shared" si="4"/>
        <v/>
      </c>
      <c r="T6" s="104"/>
      <c r="U6" s="104"/>
      <c r="V6" s="102"/>
      <c r="W6" s="102"/>
      <c r="X6" s="64"/>
      <c r="Y6" s="64"/>
      <c r="Z6" s="103" t="str">
        <f t="shared" si="5"/>
        <v>OK</v>
      </c>
      <c r="AA6" s="64"/>
      <c r="AB6" s="68" t="str">
        <f t="shared" si="6"/>
        <v>OK — no active trigger</v>
      </c>
    </row>
    <row r="7" spans="1:28" ht="15" customHeight="1" x14ac:dyDescent="0.3">
      <c r="A7" s="198"/>
      <c r="B7" s="64"/>
      <c r="C7" s="102"/>
      <c r="D7" s="102"/>
      <c r="E7" s="64"/>
      <c r="F7" s="64"/>
      <c r="G7" s="103" t="str">
        <f t="shared" si="0"/>
        <v/>
      </c>
      <c r="H7" s="64"/>
      <c r="I7" s="64"/>
      <c r="J7" s="103" t="str">
        <f t="shared" si="1"/>
        <v/>
      </c>
      <c r="K7" s="64"/>
      <c r="L7" s="64"/>
      <c r="M7" s="103" t="str">
        <f t="shared" si="2"/>
        <v/>
      </c>
      <c r="N7" s="64"/>
      <c r="O7" s="64"/>
      <c r="P7" s="103" t="str">
        <f t="shared" si="3"/>
        <v/>
      </c>
      <c r="Q7" s="64"/>
      <c r="R7" s="64"/>
      <c r="S7" s="103" t="str">
        <f t="shared" si="4"/>
        <v/>
      </c>
      <c r="T7" s="104"/>
      <c r="U7" s="104"/>
      <c r="V7" s="102"/>
      <c r="W7" s="102"/>
      <c r="X7" s="64"/>
      <c r="Y7" s="64"/>
      <c r="Z7" s="103" t="str">
        <f t="shared" si="5"/>
        <v>OK</v>
      </c>
      <c r="AA7" s="64"/>
      <c r="AB7" s="68" t="str">
        <f t="shared" si="6"/>
        <v>OK — no active trigger</v>
      </c>
    </row>
    <row r="8" spans="1:28" ht="15" customHeight="1" x14ac:dyDescent="0.3">
      <c r="A8" s="198"/>
      <c r="B8" s="64"/>
      <c r="C8" s="102"/>
      <c r="D8" s="102"/>
      <c r="E8" s="64"/>
      <c r="F8" s="64"/>
      <c r="G8" s="103" t="str">
        <f t="shared" si="0"/>
        <v/>
      </c>
      <c r="H8" s="64"/>
      <c r="I8" s="64"/>
      <c r="J8" s="103" t="str">
        <f t="shared" si="1"/>
        <v/>
      </c>
      <c r="K8" s="64"/>
      <c r="L8" s="64"/>
      <c r="M8" s="103" t="str">
        <f t="shared" si="2"/>
        <v/>
      </c>
      <c r="N8" s="64"/>
      <c r="O8" s="64"/>
      <c r="P8" s="103" t="str">
        <f t="shared" si="3"/>
        <v/>
      </c>
      <c r="Q8" s="64"/>
      <c r="R8" s="64"/>
      <c r="S8" s="103" t="str">
        <f t="shared" si="4"/>
        <v/>
      </c>
      <c r="T8" s="104"/>
      <c r="U8" s="104"/>
      <c r="V8" s="102"/>
      <c r="W8" s="102"/>
      <c r="X8" s="64"/>
      <c r="Y8" s="64"/>
      <c r="Z8" s="103" t="str">
        <f t="shared" si="5"/>
        <v>OK</v>
      </c>
      <c r="AA8" s="64"/>
      <c r="AB8" s="68" t="str">
        <f t="shared" si="6"/>
        <v>OK — no active trigger</v>
      </c>
    </row>
    <row r="9" spans="1:28" ht="15" customHeight="1" x14ac:dyDescent="0.3">
      <c r="A9" s="198"/>
      <c r="B9" s="64"/>
      <c r="C9" s="102"/>
      <c r="D9" s="102"/>
      <c r="E9" s="64"/>
      <c r="F9" s="64"/>
      <c r="G9" s="103" t="str">
        <f t="shared" si="0"/>
        <v/>
      </c>
      <c r="H9" s="64"/>
      <c r="I9" s="64"/>
      <c r="J9" s="103" t="str">
        <f t="shared" si="1"/>
        <v/>
      </c>
      <c r="K9" s="64"/>
      <c r="L9" s="64"/>
      <c r="M9" s="103" t="str">
        <f t="shared" si="2"/>
        <v/>
      </c>
      <c r="N9" s="64"/>
      <c r="O9" s="64"/>
      <c r="P9" s="103" t="str">
        <f t="shared" si="3"/>
        <v/>
      </c>
      <c r="Q9" s="64"/>
      <c r="R9" s="64"/>
      <c r="S9" s="103" t="str">
        <f t="shared" si="4"/>
        <v/>
      </c>
      <c r="T9" s="104"/>
      <c r="U9" s="104"/>
      <c r="V9" s="102"/>
      <c r="W9" s="102"/>
      <c r="X9" s="64"/>
      <c r="Y9" s="64"/>
      <c r="Z9" s="103" t="str">
        <f t="shared" si="5"/>
        <v>OK</v>
      </c>
      <c r="AA9" s="64"/>
      <c r="AB9" s="68" t="str">
        <f t="shared" si="6"/>
        <v>OK — no active trigger</v>
      </c>
    </row>
    <row r="10" spans="1:28" ht="15" customHeight="1" x14ac:dyDescent="0.3">
      <c r="A10" s="198"/>
      <c r="B10" s="64"/>
      <c r="C10" s="102"/>
      <c r="D10" s="102"/>
      <c r="E10" s="64"/>
      <c r="F10" s="64"/>
      <c r="G10" s="103" t="str">
        <f t="shared" si="0"/>
        <v/>
      </c>
      <c r="H10" s="64"/>
      <c r="I10" s="64"/>
      <c r="J10" s="103" t="str">
        <f t="shared" si="1"/>
        <v/>
      </c>
      <c r="K10" s="64"/>
      <c r="L10" s="64"/>
      <c r="M10" s="103" t="str">
        <f t="shared" si="2"/>
        <v/>
      </c>
      <c r="N10" s="64"/>
      <c r="O10" s="64"/>
      <c r="P10" s="103" t="str">
        <f t="shared" si="3"/>
        <v/>
      </c>
      <c r="Q10" s="64"/>
      <c r="R10" s="64"/>
      <c r="S10" s="103" t="str">
        <f t="shared" si="4"/>
        <v/>
      </c>
      <c r="T10" s="104"/>
      <c r="U10" s="104"/>
      <c r="V10" s="102"/>
      <c r="W10" s="102"/>
      <c r="X10" s="64"/>
      <c r="Y10" s="64"/>
      <c r="Z10" s="103" t="str">
        <f t="shared" si="5"/>
        <v>OK</v>
      </c>
      <c r="AA10" s="64"/>
      <c r="AB10" s="68" t="str">
        <f t="shared" si="6"/>
        <v>OK — no active trigger</v>
      </c>
    </row>
    <row r="11" spans="1:28" ht="15" customHeight="1" x14ac:dyDescent="0.3">
      <c r="A11" s="198"/>
      <c r="B11" s="64"/>
      <c r="C11" s="102"/>
      <c r="D11" s="102"/>
      <c r="E11" s="64"/>
      <c r="F11" s="64"/>
      <c r="G11" s="103" t="str">
        <f t="shared" si="0"/>
        <v/>
      </c>
      <c r="H11" s="64"/>
      <c r="I11" s="64"/>
      <c r="J11" s="103" t="str">
        <f t="shared" si="1"/>
        <v/>
      </c>
      <c r="K11" s="64"/>
      <c r="L11" s="64"/>
      <c r="M11" s="103" t="str">
        <f t="shared" si="2"/>
        <v/>
      </c>
      <c r="N11" s="64"/>
      <c r="O11" s="64"/>
      <c r="P11" s="103" t="str">
        <f t="shared" si="3"/>
        <v/>
      </c>
      <c r="Q11" s="64"/>
      <c r="R11" s="64"/>
      <c r="S11" s="103" t="str">
        <f t="shared" si="4"/>
        <v/>
      </c>
      <c r="T11" s="104"/>
      <c r="U11" s="104"/>
      <c r="V11" s="102"/>
      <c r="W11" s="102"/>
      <c r="X11" s="64"/>
      <c r="Y11" s="64"/>
      <c r="Z11" s="103" t="str">
        <f t="shared" si="5"/>
        <v>OK</v>
      </c>
      <c r="AA11" s="64"/>
      <c r="AB11" s="68" t="str">
        <f t="shared" si="6"/>
        <v>OK — no active trigger</v>
      </c>
    </row>
    <row r="12" spans="1:28" ht="15" customHeight="1" x14ac:dyDescent="0.3">
      <c r="A12" s="198"/>
      <c r="B12" s="64"/>
      <c r="C12" s="102"/>
      <c r="D12" s="102"/>
      <c r="E12" s="64"/>
      <c r="F12" s="64"/>
      <c r="G12" s="103" t="str">
        <f t="shared" si="0"/>
        <v/>
      </c>
      <c r="H12" s="64"/>
      <c r="I12" s="64"/>
      <c r="J12" s="103" t="str">
        <f t="shared" si="1"/>
        <v/>
      </c>
      <c r="K12" s="64"/>
      <c r="L12" s="64"/>
      <c r="M12" s="103" t="str">
        <f t="shared" si="2"/>
        <v/>
      </c>
      <c r="N12" s="64"/>
      <c r="O12" s="64"/>
      <c r="P12" s="103" t="str">
        <f t="shared" si="3"/>
        <v/>
      </c>
      <c r="Q12" s="64"/>
      <c r="R12" s="64"/>
      <c r="S12" s="103" t="str">
        <f t="shared" si="4"/>
        <v/>
      </c>
      <c r="T12" s="104"/>
      <c r="U12" s="104"/>
      <c r="V12" s="102"/>
      <c r="W12" s="102"/>
      <c r="X12" s="64"/>
      <c r="Y12" s="64"/>
      <c r="Z12" s="103" t="str">
        <f t="shared" si="5"/>
        <v>OK</v>
      </c>
      <c r="AA12" s="64"/>
      <c r="AB12" s="68" t="str">
        <f t="shared" si="6"/>
        <v>OK — no active trigger</v>
      </c>
    </row>
    <row r="13" spans="1:28" ht="15" customHeight="1" x14ac:dyDescent="0.3">
      <c r="A13" s="198"/>
      <c r="B13" s="64"/>
      <c r="C13" s="102"/>
      <c r="D13" s="102"/>
      <c r="E13" s="64"/>
      <c r="F13" s="64"/>
      <c r="G13" s="103" t="str">
        <f t="shared" si="0"/>
        <v/>
      </c>
      <c r="H13" s="64"/>
      <c r="I13" s="64"/>
      <c r="J13" s="103" t="str">
        <f t="shared" si="1"/>
        <v/>
      </c>
      <c r="K13" s="64"/>
      <c r="L13" s="64"/>
      <c r="M13" s="103" t="str">
        <f t="shared" si="2"/>
        <v/>
      </c>
      <c r="N13" s="64"/>
      <c r="O13" s="64"/>
      <c r="P13" s="103" t="str">
        <f t="shared" si="3"/>
        <v/>
      </c>
      <c r="Q13" s="64"/>
      <c r="R13" s="64"/>
      <c r="S13" s="103" t="str">
        <f t="shared" si="4"/>
        <v/>
      </c>
      <c r="T13" s="104"/>
      <c r="U13" s="104"/>
      <c r="V13" s="102"/>
      <c r="W13" s="102"/>
      <c r="X13" s="64"/>
      <c r="Y13" s="64"/>
      <c r="Z13" s="103" t="str">
        <f t="shared" si="5"/>
        <v>OK</v>
      </c>
      <c r="AA13" s="64"/>
      <c r="AB13" s="68" t="str">
        <f t="shared" si="6"/>
        <v>OK — no active trigger</v>
      </c>
    </row>
    <row r="14" spans="1:28" ht="15" customHeight="1" x14ac:dyDescent="0.3">
      <c r="A14" s="198"/>
      <c r="B14" s="64"/>
      <c r="C14" s="102"/>
      <c r="D14" s="102"/>
      <c r="E14" s="64"/>
      <c r="F14" s="64"/>
      <c r="G14" s="103" t="str">
        <f t="shared" si="0"/>
        <v/>
      </c>
      <c r="H14" s="64"/>
      <c r="I14" s="64"/>
      <c r="J14" s="103" t="str">
        <f t="shared" si="1"/>
        <v/>
      </c>
      <c r="K14" s="64"/>
      <c r="L14" s="64"/>
      <c r="M14" s="103" t="str">
        <f t="shared" si="2"/>
        <v/>
      </c>
      <c r="N14" s="64"/>
      <c r="O14" s="64"/>
      <c r="P14" s="103" t="str">
        <f t="shared" si="3"/>
        <v/>
      </c>
      <c r="Q14" s="64"/>
      <c r="R14" s="64"/>
      <c r="S14" s="103" t="str">
        <f t="shared" si="4"/>
        <v/>
      </c>
      <c r="T14" s="104"/>
      <c r="U14" s="104"/>
      <c r="V14" s="102"/>
      <c r="W14" s="102"/>
      <c r="X14" s="64"/>
      <c r="Y14" s="64"/>
      <c r="Z14" s="103" t="str">
        <f t="shared" si="5"/>
        <v>OK</v>
      </c>
      <c r="AA14" s="64"/>
      <c r="AB14" s="68" t="str">
        <f t="shared" si="6"/>
        <v>OK — no active trigger</v>
      </c>
    </row>
    <row r="15" spans="1:28" ht="15" customHeight="1" x14ac:dyDescent="0.3">
      <c r="A15" s="198"/>
      <c r="B15" s="64"/>
      <c r="C15" s="102"/>
      <c r="D15" s="102"/>
      <c r="E15" s="64"/>
      <c r="F15" s="64"/>
      <c r="G15" s="103" t="str">
        <f t="shared" si="0"/>
        <v/>
      </c>
      <c r="H15" s="64"/>
      <c r="I15" s="64"/>
      <c r="J15" s="103" t="str">
        <f t="shared" si="1"/>
        <v/>
      </c>
      <c r="K15" s="64"/>
      <c r="L15" s="64"/>
      <c r="M15" s="103" t="str">
        <f t="shared" si="2"/>
        <v/>
      </c>
      <c r="N15" s="64"/>
      <c r="O15" s="64"/>
      <c r="P15" s="103" t="str">
        <f t="shared" si="3"/>
        <v/>
      </c>
      <c r="Q15" s="64"/>
      <c r="R15" s="64"/>
      <c r="S15" s="103" t="str">
        <f t="shared" si="4"/>
        <v/>
      </c>
      <c r="T15" s="104"/>
      <c r="U15" s="104"/>
      <c r="V15" s="102"/>
      <c r="W15" s="102"/>
      <c r="X15" s="64"/>
      <c r="Y15" s="64"/>
      <c r="Z15" s="103" t="str">
        <f t="shared" si="5"/>
        <v>OK</v>
      </c>
      <c r="AA15" s="64"/>
      <c r="AB15" s="68" t="str">
        <f t="shared" si="6"/>
        <v>OK — no active trigger</v>
      </c>
    </row>
    <row r="16" spans="1:28" ht="15" customHeight="1" x14ac:dyDescent="0.3">
      <c r="A16" s="198"/>
      <c r="B16" s="64"/>
      <c r="C16" s="102"/>
      <c r="D16" s="102"/>
      <c r="E16" s="64"/>
      <c r="F16" s="64"/>
      <c r="G16" s="103" t="str">
        <f t="shared" si="0"/>
        <v/>
      </c>
      <c r="H16" s="64"/>
      <c r="I16" s="64"/>
      <c r="J16" s="103" t="str">
        <f t="shared" si="1"/>
        <v/>
      </c>
      <c r="K16" s="64"/>
      <c r="L16" s="64"/>
      <c r="M16" s="103" t="str">
        <f t="shared" si="2"/>
        <v/>
      </c>
      <c r="N16" s="64"/>
      <c r="O16" s="64"/>
      <c r="P16" s="103" t="str">
        <f t="shared" si="3"/>
        <v/>
      </c>
      <c r="Q16" s="64"/>
      <c r="R16" s="64"/>
      <c r="S16" s="103" t="str">
        <f t="shared" si="4"/>
        <v/>
      </c>
      <c r="T16" s="104"/>
      <c r="U16" s="104"/>
      <c r="V16" s="102"/>
      <c r="W16" s="102"/>
      <c r="X16" s="64"/>
      <c r="Y16" s="64"/>
      <c r="Z16" s="103" t="str">
        <f t="shared" si="5"/>
        <v>OK</v>
      </c>
      <c r="AA16" s="64"/>
      <c r="AB16" s="68" t="str">
        <f t="shared" si="6"/>
        <v>OK — no active trigger</v>
      </c>
    </row>
    <row r="17" spans="1:28" ht="15" customHeight="1" x14ac:dyDescent="0.3">
      <c r="A17" s="198"/>
      <c r="B17" s="64"/>
      <c r="C17" s="102"/>
      <c r="D17" s="102"/>
      <c r="E17" s="64"/>
      <c r="F17" s="64"/>
      <c r="G17" s="103" t="str">
        <f t="shared" si="0"/>
        <v/>
      </c>
      <c r="H17" s="64"/>
      <c r="I17" s="64"/>
      <c r="J17" s="103" t="str">
        <f t="shared" si="1"/>
        <v/>
      </c>
      <c r="K17" s="64"/>
      <c r="L17" s="64"/>
      <c r="M17" s="103" t="str">
        <f t="shared" si="2"/>
        <v/>
      </c>
      <c r="N17" s="64"/>
      <c r="O17" s="64"/>
      <c r="P17" s="103" t="str">
        <f t="shared" si="3"/>
        <v/>
      </c>
      <c r="Q17" s="64"/>
      <c r="R17" s="64"/>
      <c r="S17" s="103" t="str">
        <f t="shared" si="4"/>
        <v/>
      </c>
      <c r="T17" s="104"/>
      <c r="U17" s="104"/>
      <c r="V17" s="102"/>
      <c r="W17" s="102"/>
      <c r="X17" s="64"/>
      <c r="Y17" s="64"/>
      <c r="Z17" s="103" t="str">
        <f t="shared" si="5"/>
        <v>OK</v>
      </c>
      <c r="AA17" s="64"/>
      <c r="AB17" s="68" t="str">
        <f t="shared" si="6"/>
        <v>OK — no active trigger</v>
      </c>
    </row>
    <row r="18" spans="1:28" ht="15" customHeight="1" x14ac:dyDescent="0.3">
      <c r="A18" s="198"/>
      <c r="B18" s="64"/>
      <c r="C18" s="102"/>
      <c r="D18" s="102"/>
      <c r="E18" s="64"/>
      <c r="F18" s="64"/>
      <c r="G18" s="103" t="str">
        <f t="shared" si="0"/>
        <v/>
      </c>
      <c r="H18" s="64"/>
      <c r="I18" s="64"/>
      <c r="J18" s="103" t="str">
        <f t="shared" si="1"/>
        <v/>
      </c>
      <c r="K18" s="64"/>
      <c r="L18" s="64"/>
      <c r="M18" s="103" t="str">
        <f t="shared" si="2"/>
        <v/>
      </c>
      <c r="N18" s="64"/>
      <c r="O18" s="64"/>
      <c r="P18" s="103" t="str">
        <f t="shared" si="3"/>
        <v/>
      </c>
      <c r="Q18" s="64"/>
      <c r="R18" s="64"/>
      <c r="S18" s="103" t="str">
        <f t="shared" si="4"/>
        <v/>
      </c>
      <c r="T18" s="104"/>
      <c r="U18" s="104"/>
      <c r="V18" s="102"/>
      <c r="W18" s="102"/>
      <c r="X18" s="64"/>
      <c r="Y18" s="64"/>
      <c r="Z18" s="103" t="str">
        <f t="shared" si="5"/>
        <v>OK</v>
      </c>
      <c r="AA18" s="64"/>
      <c r="AB18" s="68" t="str">
        <f t="shared" si="6"/>
        <v>OK — no active trigger</v>
      </c>
    </row>
    <row r="19" spans="1:28" ht="15" customHeight="1" x14ac:dyDescent="0.3">
      <c r="A19" s="198"/>
      <c r="B19" s="64"/>
      <c r="C19" s="102"/>
      <c r="D19" s="102"/>
      <c r="E19" s="64"/>
      <c r="F19" s="64"/>
      <c r="G19" s="103" t="str">
        <f t="shared" si="0"/>
        <v/>
      </c>
      <c r="H19" s="64"/>
      <c r="I19" s="64"/>
      <c r="J19" s="103" t="str">
        <f t="shared" si="1"/>
        <v/>
      </c>
      <c r="K19" s="64"/>
      <c r="L19" s="64"/>
      <c r="M19" s="103" t="str">
        <f t="shared" si="2"/>
        <v/>
      </c>
      <c r="N19" s="64"/>
      <c r="O19" s="64"/>
      <c r="P19" s="103" t="str">
        <f t="shared" si="3"/>
        <v/>
      </c>
      <c r="Q19" s="64"/>
      <c r="R19" s="64"/>
      <c r="S19" s="103" t="str">
        <f t="shared" si="4"/>
        <v/>
      </c>
      <c r="T19" s="104"/>
      <c r="U19" s="104"/>
      <c r="V19" s="102"/>
      <c r="W19" s="102"/>
      <c r="X19" s="64"/>
      <c r="Y19" s="64"/>
      <c r="Z19" s="103" t="str">
        <f t="shared" si="5"/>
        <v>OK</v>
      </c>
      <c r="AA19" s="64"/>
      <c r="AB19" s="68" t="str">
        <f t="shared" si="6"/>
        <v>OK — no active trigger</v>
      </c>
    </row>
    <row r="20" spans="1:28" ht="15" customHeight="1" x14ac:dyDescent="0.3">
      <c r="A20" s="198"/>
      <c r="B20" s="64"/>
      <c r="C20" s="102"/>
      <c r="D20" s="102"/>
      <c r="E20" s="64"/>
      <c r="F20" s="64"/>
      <c r="G20" s="103" t="str">
        <f t="shared" si="0"/>
        <v/>
      </c>
      <c r="H20" s="64"/>
      <c r="I20" s="64"/>
      <c r="J20" s="103" t="str">
        <f t="shared" si="1"/>
        <v/>
      </c>
      <c r="K20" s="64"/>
      <c r="L20" s="64"/>
      <c r="M20" s="103" t="str">
        <f t="shared" si="2"/>
        <v/>
      </c>
      <c r="N20" s="64"/>
      <c r="O20" s="64"/>
      <c r="P20" s="103" t="str">
        <f t="shared" si="3"/>
        <v/>
      </c>
      <c r="Q20" s="64"/>
      <c r="R20" s="64"/>
      <c r="S20" s="103" t="str">
        <f t="shared" si="4"/>
        <v/>
      </c>
      <c r="T20" s="104"/>
      <c r="U20" s="104"/>
      <c r="V20" s="102"/>
      <c r="W20" s="102"/>
      <c r="X20" s="64"/>
      <c r="Y20" s="64"/>
      <c r="Z20" s="103" t="str">
        <f t="shared" si="5"/>
        <v>OK</v>
      </c>
      <c r="AA20" s="64"/>
      <c r="AB20" s="68" t="str">
        <f t="shared" si="6"/>
        <v>OK — no active trigger</v>
      </c>
    </row>
    <row r="21" spans="1:28" ht="15" customHeight="1" x14ac:dyDescent="0.3">
      <c r="A21" s="198"/>
      <c r="B21" s="64"/>
      <c r="C21" s="102"/>
      <c r="D21" s="102"/>
      <c r="E21" s="64"/>
      <c r="F21" s="64"/>
      <c r="G21" s="103" t="str">
        <f t="shared" si="0"/>
        <v/>
      </c>
      <c r="H21" s="64"/>
      <c r="I21" s="64"/>
      <c r="J21" s="103" t="str">
        <f t="shared" si="1"/>
        <v/>
      </c>
      <c r="K21" s="64"/>
      <c r="L21" s="64"/>
      <c r="M21" s="103" t="str">
        <f t="shared" si="2"/>
        <v/>
      </c>
      <c r="N21" s="64"/>
      <c r="O21" s="64"/>
      <c r="P21" s="103" t="str">
        <f t="shared" si="3"/>
        <v/>
      </c>
      <c r="Q21" s="64"/>
      <c r="R21" s="64"/>
      <c r="S21" s="103" t="str">
        <f t="shared" si="4"/>
        <v/>
      </c>
      <c r="T21" s="104"/>
      <c r="U21" s="104"/>
      <c r="V21" s="102"/>
      <c r="W21" s="102"/>
      <c r="X21" s="64"/>
      <c r="Y21" s="64"/>
      <c r="Z21" s="103" t="str">
        <f t="shared" si="5"/>
        <v>OK</v>
      </c>
      <c r="AA21" s="64"/>
      <c r="AB21" s="68" t="str">
        <f t="shared" si="6"/>
        <v>OK — no active trigger</v>
      </c>
    </row>
    <row r="22" spans="1:28" ht="15" customHeight="1" x14ac:dyDescent="0.3">
      <c r="A22" s="198"/>
      <c r="B22" s="64"/>
      <c r="C22" s="102"/>
      <c r="D22" s="102"/>
      <c r="E22" s="64"/>
      <c r="F22" s="64"/>
      <c r="G22" s="103" t="str">
        <f t="shared" si="0"/>
        <v/>
      </c>
      <c r="H22" s="64"/>
      <c r="I22" s="64"/>
      <c r="J22" s="103" t="str">
        <f t="shared" si="1"/>
        <v/>
      </c>
      <c r="K22" s="64"/>
      <c r="L22" s="64"/>
      <c r="M22" s="103" t="str">
        <f t="shared" si="2"/>
        <v/>
      </c>
      <c r="N22" s="64"/>
      <c r="O22" s="64"/>
      <c r="P22" s="103" t="str">
        <f t="shared" si="3"/>
        <v/>
      </c>
      <c r="Q22" s="64"/>
      <c r="R22" s="64"/>
      <c r="S22" s="103" t="str">
        <f t="shared" si="4"/>
        <v/>
      </c>
      <c r="T22" s="104"/>
      <c r="U22" s="104"/>
      <c r="V22" s="102"/>
      <c r="W22" s="102"/>
      <c r="X22" s="64"/>
      <c r="Y22" s="64"/>
      <c r="Z22" s="103" t="str">
        <f t="shared" si="5"/>
        <v>OK</v>
      </c>
      <c r="AA22" s="64"/>
      <c r="AB22" s="68" t="str">
        <f t="shared" si="6"/>
        <v>OK — no active trigger</v>
      </c>
    </row>
    <row r="23" spans="1:28" ht="15" customHeight="1" x14ac:dyDescent="0.3">
      <c r="A23" s="198"/>
      <c r="B23" s="64"/>
      <c r="C23" s="102"/>
      <c r="D23" s="102"/>
      <c r="E23" s="64"/>
      <c r="F23" s="64"/>
      <c r="G23" s="103" t="str">
        <f t="shared" si="0"/>
        <v/>
      </c>
      <c r="H23" s="64"/>
      <c r="I23" s="64"/>
      <c r="J23" s="103" t="str">
        <f t="shared" si="1"/>
        <v/>
      </c>
      <c r="K23" s="64"/>
      <c r="L23" s="64"/>
      <c r="M23" s="103" t="str">
        <f t="shared" si="2"/>
        <v/>
      </c>
      <c r="N23" s="64"/>
      <c r="O23" s="64"/>
      <c r="P23" s="103" t="str">
        <f t="shared" si="3"/>
        <v/>
      </c>
      <c r="Q23" s="64"/>
      <c r="R23" s="64"/>
      <c r="S23" s="103" t="str">
        <f t="shared" si="4"/>
        <v/>
      </c>
      <c r="T23" s="104"/>
      <c r="U23" s="104"/>
      <c r="V23" s="102"/>
      <c r="W23" s="102"/>
      <c r="X23" s="64"/>
      <c r="Y23" s="64"/>
      <c r="Z23" s="103" t="str">
        <f t="shared" si="5"/>
        <v>OK</v>
      </c>
      <c r="AA23" s="64"/>
      <c r="AB23" s="68" t="str">
        <f t="shared" si="6"/>
        <v>OK — no active trigger</v>
      </c>
    </row>
  </sheetData>
  <mergeCells count="3">
    <mergeCell ref="E2:S2"/>
    <mergeCell ref="T2:Z2"/>
    <mergeCell ref="A1:T1"/>
  </mergeCells>
  <conditionalFormatting sqref="G4:G23">
    <cfRule type="cellIs" dxfId="26" priority="2" operator="equal">
      <formula>"TRIGGER"</formula>
    </cfRule>
    <cfRule type="cellIs" dxfId="25" priority="3" operator="equal">
      <formula>"OK"</formula>
    </cfRule>
  </conditionalFormatting>
  <conditionalFormatting sqref="J4:J23">
    <cfRule type="cellIs" dxfId="24" priority="4" operator="equal">
      <formula>"TRIGGER"</formula>
    </cfRule>
    <cfRule type="cellIs" dxfId="23" priority="5" operator="equal">
      <formula>"OK"</formula>
    </cfRule>
  </conditionalFormatting>
  <conditionalFormatting sqref="M4:M23">
    <cfRule type="cellIs" dxfId="22" priority="6" operator="equal">
      <formula>"TRIGGER"</formula>
    </cfRule>
    <cfRule type="cellIs" dxfId="21" priority="7" operator="equal">
      <formula>"OK"</formula>
    </cfRule>
  </conditionalFormatting>
  <conditionalFormatting sqref="P4:P23">
    <cfRule type="cellIs" dxfId="20" priority="8" operator="equal">
      <formula>"TRIGGER"</formula>
    </cfRule>
    <cfRule type="cellIs" dxfId="19" priority="9" operator="equal">
      <formula>"OK"</formula>
    </cfRule>
  </conditionalFormatting>
  <conditionalFormatting sqref="S4:S23">
    <cfRule type="cellIs" dxfId="18" priority="10" operator="equal">
      <formula>"TRIGGER"</formula>
    </cfRule>
    <cfRule type="cellIs" dxfId="17" priority="11" operator="equal">
      <formula>"OK"</formula>
    </cfRule>
  </conditionalFormatting>
  <conditionalFormatting sqref="Z4:Z23">
    <cfRule type="expression" dxfId="16" priority="12">
      <formula>Z4&lt;&gt;"OK"</formula>
    </cfRule>
  </conditionalFormatting>
  <conditionalFormatting sqref="AB4:AB23">
    <cfRule type="expression" dxfId="15" priority="13">
      <formula>ISNUMBER(SEARCH("ACTION REQUIRED",AB4))</formula>
    </cfRule>
    <cfRule type="expression" dxfId="14" priority="14">
      <formula>ISNUMBER(SEARCH("OK",AB4))</formula>
    </cfRule>
    <cfRule type="expression" dxfId="13" priority="15">
      <formula>ISNUMBER(SEARCH("Hold Through",AB4))</formula>
    </cfRule>
  </conditionalFormatting>
  <dataValidations count="2">
    <dataValidation type="list" allowBlank="1" sqref="AA4:AA23" xr:uid="{00000000-0002-0000-0E00-000000000000}">
      <formula1>"Y,N"</formula1>
      <formula2>0</formula2>
    </dataValidation>
    <dataValidation type="list" allowBlank="1" sqref="X4:Y23" xr:uid="{00000000-0002-0000-0E00-000001000000}">
      <formula1>"Strong Buy,Buy,Watch List,Avoid,Pass"</formula1>
      <formula2>0</formula2>
    </dataValidation>
  </dataValidations>
  <pageMargins left="0.75" right="0.75" top="1" bottom="1" header="0.511811023622047" footer="0.51180555555555596"/>
  <pageSetup paperSize="9" orientation="portrait" horizontalDpi="300" verticalDpi="300"/>
  <headerFooter>
    <oddFooter>&amp;L&amp;"Arial Narrow,Regular"&amp;8 &amp;F&amp;C&amp;"Arial Narrow,Regular"&amp;8 &amp;A - &amp;D &amp;T&amp;R&amp;"Arial,Regular" &amp;P /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34"/>
  <sheetViews>
    <sheetView showGridLines="0" zoomScaleNormal="100" workbookViewId="0">
      <pane ySplit="15" topLeftCell="A16" activePane="bottomLeft" state="frozen"/>
      <selection pane="bottomLeft" activeCell="E6" sqref="E6"/>
    </sheetView>
  </sheetViews>
  <sheetFormatPr defaultColWidth="8.6640625" defaultRowHeight="14.4" x14ac:dyDescent="0.3"/>
  <cols>
    <col min="1" max="1" width="8" customWidth="1"/>
    <col min="2" max="2" width="14" customWidth="1"/>
    <col min="3" max="3" width="11" customWidth="1"/>
    <col min="4" max="4" width="9" customWidth="1"/>
    <col min="5" max="5" width="8" customWidth="1"/>
    <col min="6" max="6" width="9.6640625" customWidth="1"/>
    <col min="7" max="7" width="12" customWidth="1"/>
    <col min="8" max="8" width="10" customWidth="1"/>
    <col min="9" max="10" width="11" customWidth="1"/>
    <col min="11" max="11" width="9" customWidth="1"/>
    <col min="12" max="12" width="20" customWidth="1"/>
    <col min="13" max="14" width="11" customWidth="1"/>
    <col min="15" max="16" width="12" customWidth="1"/>
    <col min="17" max="17" width="11" customWidth="1"/>
  </cols>
  <sheetData>
    <row r="1" spans="1:17" ht="62.4" customHeight="1" x14ac:dyDescent="0.3">
      <c r="A1" s="199" t="s">
        <v>737</v>
      </c>
      <c r="B1" s="199"/>
      <c r="C1" s="199"/>
      <c r="D1" s="199"/>
      <c r="E1" s="199"/>
      <c r="F1" s="199"/>
      <c r="G1" s="199"/>
      <c r="H1" s="199"/>
      <c r="I1" s="199"/>
      <c r="J1" s="199"/>
      <c r="K1" s="199"/>
      <c r="L1" s="199"/>
      <c r="M1" s="199"/>
      <c r="N1" s="199"/>
      <c r="O1" s="199"/>
      <c r="P1" s="199"/>
      <c r="Q1" s="29"/>
    </row>
    <row r="2" spans="1:17" ht="42.75" customHeight="1" x14ac:dyDescent="0.3">
      <c r="A2" s="30" t="s">
        <v>76</v>
      </c>
      <c r="B2" s="30" t="s">
        <v>270</v>
      </c>
      <c r="C2" s="30" t="s">
        <v>496</v>
      </c>
      <c r="D2" s="30" t="s">
        <v>497</v>
      </c>
      <c r="E2" s="30" t="s">
        <v>452</v>
      </c>
      <c r="F2" s="30" t="s">
        <v>498</v>
      </c>
      <c r="G2" s="30" t="s">
        <v>499</v>
      </c>
      <c r="H2" s="30" t="s">
        <v>500</v>
      </c>
      <c r="I2" s="30" t="s">
        <v>501</v>
      </c>
      <c r="J2" s="30" t="s">
        <v>502</v>
      </c>
      <c r="K2" s="30" t="s">
        <v>503</v>
      </c>
      <c r="L2" s="30" t="s">
        <v>504</v>
      </c>
      <c r="M2" s="30" t="s">
        <v>505</v>
      </c>
      <c r="N2" s="30" t="s">
        <v>506</v>
      </c>
      <c r="O2" s="30" t="s">
        <v>507</v>
      </c>
      <c r="P2" s="30" t="s">
        <v>508</v>
      </c>
      <c r="Q2" s="30" t="s">
        <v>509</v>
      </c>
    </row>
    <row r="3" spans="1:17" ht="15" customHeight="1" x14ac:dyDescent="0.3">
      <c r="A3" s="105" t="s">
        <v>90</v>
      </c>
      <c r="B3" s="64" t="s">
        <v>91</v>
      </c>
      <c r="C3" s="106">
        <v>46241</v>
      </c>
      <c r="D3" s="107">
        <v>266.38</v>
      </c>
      <c r="E3" s="64">
        <v>85.8</v>
      </c>
      <c r="F3" s="64" t="s">
        <v>319</v>
      </c>
      <c r="G3" s="64" t="s">
        <v>510</v>
      </c>
      <c r="H3" s="107">
        <v>773.26</v>
      </c>
      <c r="I3" s="64" t="s">
        <v>511</v>
      </c>
      <c r="J3" s="106"/>
      <c r="K3" s="107"/>
      <c r="L3" s="64"/>
      <c r="M3" s="107">
        <v>259.32</v>
      </c>
      <c r="N3" s="107">
        <v>765.04</v>
      </c>
      <c r="O3" s="108">
        <f t="shared" ref="O3:O32" si="0">IF(OR(D3="",M3=""),"",M3/D3-1)</f>
        <v>-2.6503491253097033E-2</v>
      </c>
      <c r="P3" s="109">
        <f t="shared" ref="P3:P32" si="1">IF(OR(H3="",N3=""),"",N3/H3-1)</f>
        <v>-1.0630318392261362E-2</v>
      </c>
      <c r="Q3" s="108">
        <f t="shared" ref="Q3:Q32" si="2">IF(OR(O3="",P3=""),"",O3-P3)</f>
        <v>-1.5873172860835671E-2</v>
      </c>
    </row>
    <row r="4" spans="1:17" ht="15" customHeight="1" x14ac:dyDescent="0.3">
      <c r="A4" s="105" t="s">
        <v>156</v>
      </c>
      <c r="B4" s="64" t="s">
        <v>157</v>
      </c>
      <c r="C4" s="106">
        <v>46241</v>
      </c>
      <c r="D4" s="107">
        <v>488.77</v>
      </c>
      <c r="E4" s="64">
        <v>75.599999999999994</v>
      </c>
      <c r="F4" s="64" t="s">
        <v>319</v>
      </c>
      <c r="G4" s="64" t="s">
        <v>512</v>
      </c>
      <c r="H4" s="107">
        <v>773.26</v>
      </c>
      <c r="I4" s="64" t="s">
        <v>511</v>
      </c>
      <c r="J4" s="106"/>
      <c r="K4" s="107"/>
      <c r="L4" s="64"/>
      <c r="M4" s="107">
        <v>478.7</v>
      </c>
      <c r="N4" s="107">
        <v>765.04</v>
      </c>
      <c r="O4" s="108">
        <f t="shared" si="0"/>
        <v>-2.0602737483888078E-2</v>
      </c>
      <c r="P4" s="109">
        <f t="shared" si="1"/>
        <v>-1.0630318392261362E-2</v>
      </c>
      <c r="Q4" s="108">
        <f t="shared" si="2"/>
        <v>-9.9724190916267164E-3</v>
      </c>
    </row>
    <row r="5" spans="1:17" ht="15" customHeight="1" x14ac:dyDescent="0.3">
      <c r="A5" s="105" t="s">
        <v>159</v>
      </c>
      <c r="B5" s="64" t="s">
        <v>325</v>
      </c>
      <c r="C5" s="106">
        <v>46241</v>
      </c>
      <c r="D5" s="107">
        <v>139.91999999999999</v>
      </c>
      <c r="E5" s="64">
        <v>82</v>
      </c>
      <c r="F5" s="64" t="s">
        <v>319</v>
      </c>
      <c r="G5" s="64" t="s">
        <v>510</v>
      </c>
      <c r="H5" s="107">
        <v>773.26</v>
      </c>
      <c r="I5" s="64" t="s">
        <v>511</v>
      </c>
      <c r="J5" s="106"/>
      <c r="K5" s="107"/>
      <c r="L5" s="64"/>
      <c r="M5" s="107">
        <v>139.06</v>
      </c>
      <c r="N5" s="107">
        <v>765.04</v>
      </c>
      <c r="O5" s="108">
        <f t="shared" si="0"/>
        <v>-6.1463693539164366E-3</v>
      </c>
      <c r="P5" s="109">
        <f t="shared" si="1"/>
        <v>-1.0630318392261362E-2</v>
      </c>
      <c r="Q5" s="108">
        <f t="shared" si="2"/>
        <v>4.4839490383449254E-3</v>
      </c>
    </row>
    <row r="6" spans="1:17" ht="15" customHeight="1" x14ac:dyDescent="0.3">
      <c r="A6" s="105" t="s">
        <v>113</v>
      </c>
      <c r="B6" s="64" t="s">
        <v>114</v>
      </c>
      <c r="C6" s="106">
        <v>46273</v>
      </c>
      <c r="D6" s="107">
        <v>368.97</v>
      </c>
      <c r="E6" s="64">
        <v>86.4</v>
      </c>
      <c r="F6" s="64" t="s">
        <v>319</v>
      </c>
      <c r="G6" s="64" t="s">
        <v>510</v>
      </c>
      <c r="H6" s="107">
        <v>767.53</v>
      </c>
      <c r="I6" s="64" t="s">
        <v>511</v>
      </c>
      <c r="J6" s="106"/>
      <c r="K6" s="107"/>
      <c r="L6" s="64"/>
      <c r="M6" s="107">
        <v>367.68</v>
      </c>
      <c r="N6" s="107">
        <v>767.53</v>
      </c>
      <c r="O6" s="108">
        <f t="shared" si="0"/>
        <v>-3.4962192048134666E-3</v>
      </c>
      <c r="P6" s="109">
        <f t="shared" si="1"/>
        <v>0</v>
      </c>
      <c r="Q6" s="108">
        <f t="shared" si="2"/>
        <v>-3.4962192048134666E-3</v>
      </c>
    </row>
    <row r="7" spans="1:17" ht="15" customHeight="1" x14ac:dyDescent="0.3">
      <c r="A7" s="105"/>
      <c r="B7" s="64"/>
      <c r="C7" s="106"/>
      <c r="D7" s="107"/>
      <c r="E7" s="64"/>
      <c r="F7" s="64"/>
      <c r="G7" s="64"/>
      <c r="H7" s="107"/>
      <c r="I7" s="64"/>
      <c r="J7" s="106"/>
      <c r="K7" s="107"/>
      <c r="L7" s="64"/>
      <c r="M7" s="107"/>
      <c r="N7" s="107"/>
      <c r="O7" s="108" t="str">
        <f t="shared" si="0"/>
        <v/>
      </c>
      <c r="P7" s="109" t="str">
        <f t="shared" si="1"/>
        <v/>
      </c>
      <c r="Q7" s="108" t="str">
        <f t="shared" si="2"/>
        <v/>
      </c>
    </row>
    <row r="8" spans="1:17" ht="15" customHeight="1" x14ac:dyDescent="0.3">
      <c r="A8" s="105"/>
      <c r="B8" s="64"/>
      <c r="C8" s="106"/>
      <c r="D8" s="107"/>
      <c r="E8" s="64"/>
      <c r="F8" s="64"/>
      <c r="G8" s="64"/>
      <c r="H8" s="107"/>
      <c r="I8" s="64"/>
      <c r="J8" s="106"/>
      <c r="K8" s="107"/>
      <c r="L8" s="64"/>
      <c r="M8" s="107"/>
      <c r="N8" s="107"/>
      <c r="O8" s="108" t="str">
        <f t="shared" si="0"/>
        <v/>
      </c>
      <c r="P8" s="109" t="str">
        <f t="shared" si="1"/>
        <v/>
      </c>
      <c r="Q8" s="108" t="str">
        <f t="shared" si="2"/>
        <v/>
      </c>
    </row>
    <row r="9" spans="1:17" ht="15" customHeight="1" x14ac:dyDescent="0.3">
      <c r="A9" s="105"/>
      <c r="B9" s="64"/>
      <c r="C9" s="106"/>
      <c r="D9" s="107"/>
      <c r="E9" s="64"/>
      <c r="F9" s="64"/>
      <c r="G9" s="64"/>
      <c r="H9" s="107"/>
      <c r="I9" s="64"/>
      <c r="J9" s="106"/>
      <c r="K9" s="107"/>
      <c r="L9" s="64"/>
      <c r="M9" s="107"/>
      <c r="N9" s="107"/>
      <c r="O9" s="108" t="str">
        <f t="shared" si="0"/>
        <v/>
      </c>
      <c r="P9" s="109" t="str">
        <f t="shared" si="1"/>
        <v/>
      </c>
      <c r="Q9" s="108" t="str">
        <f t="shared" si="2"/>
        <v/>
      </c>
    </row>
    <row r="10" spans="1:17" ht="15" customHeight="1" x14ac:dyDescent="0.3">
      <c r="A10" s="105"/>
      <c r="B10" s="64"/>
      <c r="C10" s="106"/>
      <c r="D10" s="107"/>
      <c r="E10" s="64"/>
      <c r="F10" s="64"/>
      <c r="G10" s="64"/>
      <c r="H10" s="107"/>
      <c r="I10" s="64"/>
      <c r="J10" s="106"/>
      <c r="K10" s="107"/>
      <c r="L10" s="64"/>
      <c r="M10" s="107"/>
      <c r="N10" s="107"/>
      <c r="O10" s="108" t="str">
        <f t="shared" si="0"/>
        <v/>
      </c>
      <c r="P10" s="109" t="str">
        <f t="shared" si="1"/>
        <v/>
      </c>
      <c r="Q10" s="108" t="str">
        <f t="shared" si="2"/>
        <v/>
      </c>
    </row>
    <row r="11" spans="1:17" ht="15" customHeight="1" x14ac:dyDescent="0.3">
      <c r="A11" s="105"/>
      <c r="B11" s="64"/>
      <c r="C11" s="106"/>
      <c r="D11" s="107"/>
      <c r="E11" s="64"/>
      <c r="F11" s="64"/>
      <c r="G11" s="64"/>
      <c r="H11" s="107"/>
      <c r="I11" s="64"/>
      <c r="J11" s="106"/>
      <c r="K11" s="107"/>
      <c r="L11" s="64"/>
      <c r="M11" s="107"/>
      <c r="N11" s="107"/>
      <c r="O11" s="108" t="str">
        <f t="shared" si="0"/>
        <v/>
      </c>
      <c r="P11" s="109" t="str">
        <f t="shared" si="1"/>
        <v/>
      </c>
      <c r="Q11" s="108" t="str">
        <f t="shared" si="2"/>
        <v/>
      </c>
    </row>
    <row r="12" spans="1:17" ht="15" customHeight="1" x14ac:dyDescent="0.3">
      <c r="A12" s="105"/>
      <c r="B12" s="64"/>
      <c r="C12" s="106"/>
      <c r="D12" s="107"/>
      <c r="E12" s="64"/>
      <c r="F12" s="64"/>
      <c r="G12" s="64"/>
      <c r="H12" s="107"/>
      <c r="I12" s="64"/>
      <c r="J12" s="106"/>
      <c r="K12" s="107"/>
      <c r="L12" s="64"/>
      <c r="M12" s="107"/>
      <c r="N12" s="107"/>
      <c r="O12" s="108" t="str">
        <f t="shared" si="0"/>
        <v/>
      </c>
      <c r="P12" s="109" t="str">
        <f t="shared" si="1"/>
        <v/>
      </c>
      <c r="Q12" s="108" t="str">
        <f t="shared" si="2"/>
        <v/>
      </c>
    </row>
    <row r="13" spans="1:17" ht="15" customHeight="1" x14ac:dyDescent="0.3">
      <c r="A13" s="105"/>
      <c r="B13" s="64"/>
      <c r="C13" s="106"/>
      <c r="D13" s="107"/>
      <c r="E13" s="64"/>
      <c r="F13" s="64"/>
      <c r="G13" s="64"/>
      <c r="H13" s="107"/>
      <c r="I13" s="64"/>
      <c r="J13" s="106"/>
      <c r="K13" s="107"/>
      <c r="L13" s="64"/>
      <c r="M13" s="107"/>
      <c r="N13" s="107"/>
      <c r="O13" s="108" t="str">
        <f t="shared" si="0"/>
        <v/>
      </c>
      <c r="P13" s="109" t="str">
        <f t="shared" si="1"/>
        <v/>
      </c>
      <c r="Q13" s="108" t="str">
        <f t="shared" si="2"/>
        <v/>
      </c>
    </row>
    <row r="14" spans="1:17" ht="15" customHeight="1" x14ac:dyDescent="0.3">
      <c r="A14" s="105"/>
      <c r="B14" s="64"/>
      <c r="C14" s="106"/>
      <c r="D14" s="107"/>
      <c r="E14" s="64"/>
      <c r="F14" s="64"/>
      <c r="G14" s="64"/>
      <c r="H14" s="107"/>
      <c r="I14" s="64"/>
      <c r="J14" s="106"/>
      <c r="K14" s="107"/>
      <c r="L14" s="64"/>
      <c r="M14" s="107"/>
      <c r="N14" s="107"/>
      <c r="O14" s="108" t="str">
        <f t="shared" si="0"/>
        <v/>
      </c>
      <c r="P14" s="109" t="str">
        <f t="shared" si="1"/>
        <v/>
      </c>
      <c r="Q14" s="108" t="str">
        <f t="shared" si="2"/>
        <v/>
      </c>
    </row>
    <row r="15" spans="1:17" ht="15" customHeight="1" x14ac:dyDescent="0.3">
      <c r="A15" s="105"/>
      <c r="B15" s="64"/>
      <c r="C15" s="106"/>
      <c r="D15" s="107"/>
      <c r="E15" s="64"/>
      <c r="F15" s="64"/>
      <c r="G15" s="64"/>
      <c r="H15" s="107"/>
      <c r="I15" s="64"/>
      <c r="J15" s="106"/>
      <c r="K15" s="107"/>
      <c r="L15" s="64"/>
      <c r="M15" s="107"/>
      <c r="N15" s="107"/>
      <c r="O15" s="108" t="str">
        <f t="shared" si="0"/>
        <v/>
      </c>
      <c r="P15" s="109" t="str">
        <f t="shared" si="1"/>
        <v/>
      </c>
      <c r="Q15" s="108" t="str">
        <f t="shared" si="2"/>
        <v/>
      </c>
    </row>
    <row r="16" spans="1:17" ht="15" customHeight="1" x14ac:dyDescent="0.3">
      <c r="A16" s="105"/>
      <c r="B16" s="64"/>
      <c r="C16" s="106"/>
      <c r="D16" s="107"/>
      <c r="E16" s="64"/>
      <c r="F16" s="64"/>
      <c r="G16" s="64"/>
      <c r="H16" s="107"/>
      <c r="I16" s="64"/>
      <c r="J16" s="106"/>
      <c r="K16" s="107"/>
      <c r="L16" s="64"/>
      <c r="M16" s="107"/>
      <c r="N16" s="107"/>
      <c r="O16" s="108" t="str">
        <f t="shared" si="0"/>
        <v/>
      </c>
      <c r="P16" s="109" t="str">
        <f t="shared" si="1"/>
        <v/>
      </c>
      <c r="Q16" s="108" t="str">
        <f t="shared" si="2"/>
        <v/>
      </c>
    </row>
    <row r="17" spans="1:17" ht="15" customHeight="1" x14ac:dyDescent="0.3">
      <c r="A17" s="105"/>
      <c r="B17" s="64"/>
      <c r="C17" s="106"/>
      <c r="D17" s="107"/>
      <c r="E17" s="64"/>
      <c r="F17" s="64"/>
      <c r="G17" s="64"/>
      <c r="H17" s="107"/>
      <c r="I17" s="64"/>
      <c r="J17" s="106"/>
      <c r="K17" s="107"/>
      <c r="L17" s="64"/>
      <c r="M17" s="107"/>
      <c r="N17" s="107"/>
      <c r="O17" s="108" t="str">
        <f t="shared" si="0"/>
        <v/>
      </c>
      <c r="P17" s="109" t="str">
        <f t="shared" si="1"/>
        <v/>
      </c>
      <c r="Q17" s="108" t="str">
        <f t="shared" si="2"/>
        <v/>
      </c>
    </row>
    <row r="18" spans="1:17" ht="15" customHeight="1" x14ac:dyDescent="0.3">
      <c r="A18" s="105"/>
      <c r="B18" s="64"/>
      <c r="C18" s="106"/>
      <c r="D18" s="107"/>
      <c r="E18" s="64"/>
      <c r="F18" s="64"/>
      <c r="G18" s="64"/>
      <c r="H18" s="107"/>
      <c r="I18" s="64"/>
      <c r="J18" s="106"/>
      <c r="K18" s="107"/>
      <c r="L18" s="64"/>
      <c r="M18" s="107"/>
      <c r="N18" s="107"/>
      <c r="O18" s="108" t="str">
        <f t="shared" si="0"/>
        <v/>
      </c>
      <c r="P18" s="109" t="str">
        <f t="shared" si="1"/>
        <v/>
      </c>
      <c r="Q18" s="108" t="str">
        <f t="shared" si="2"/>
        <v/>
      </c>
    </row>
    <row r="19" spans="1:17" ht="15" customHeight="1" x14ac:dyDescent="0.3">
      <c r="A19" s="105"/>
      <c r="B19" s="64"/>
      <c r="C19" s="106"/>
      <c r="D19" s="107"/>
      <c r="E19" s="64"/>
      <c r="F19" s="64"/>
      <c r="G19" s="64"/>
      <c r="H19" s="107"/>
      <c r="I19" s="64"/>
      <c r="J19" s="106"/>
      <c r="K19" s="107"/>
      <c r="L19" s="64"/>
      <c r="M19" s="107"/>
      <c r="N19" s="107"/>
      <c r="O19" s="108" t="str">
        <f t="shared" si="0"/>
        <v/>
      </c>
      <c r="P19" s="109" t="str">
        <f t="shared" si="1"/>
        <v/>
      </c>
      <c r="Q19" s="108" t="str">
        <f t="shared" si="2"/>
        <v/>
      </c>
    </row>
    <row r="20" spans="1:17" ht="15" customHeight="1" x14ac:dyDescent="0.3">
      <c r="A20" s="105"/>
      <c r="B20" s="64"/>
      <c r="C20" s="106"/>
      <c r="D20" s="107"/>
      <c r="E20" s="64"/>
      <c r="F20" s="64"/>
      <c r="G20" s="64"/>
      <c r="H20" s="107"/>
      <c r="I20" s="64"/>
      <c r="J20" s="106"/>
      <c r="K20" s="107"/>
      <c r="L20" s="64"/>
      <c r="M20" s="107"/>
      <c r="N20" s="107"/>
      <c r="O20" s="108" t="str">
        <f t="shared" si="0"/>
        <v/>
      </c>
      <c r="P20" s="109" t="str">
        <f t="shared" si="1"/>
        <v/>
      </c>
      <c r="Q20" s="108" t="str">
        <f t="shared" si="2"/>
        <v/>
      </c>
    </row>
    <row r="21" spans="1:17" ht="15" customHeight="1" x14ac:dyDescent="0.3">
      <c r="A21" s="105"/>
      <c r="B21" s="64"/>
      <c r="C21" s="106"/>
      <c r="D21" s="107"/>
      <c r="E21" s="64"/>
      <c r="F21" s="64"/>
      <c r="G21" s="64"/>
      <c r="H21" s="107"/>
      <c r="I21" s="64"/>
      <c r="J21" s="106"/>
      <c r="K21" s="107"/>
      <c r="L21" s="64"/>
      <c r="M21" s="107"/>
      <c r="N21" s="107"/>
      <c r="O21" s="108" t="str">
        <f t="shared" si="0"/>
        <v/>
      </c>
      <c r="P21" s="109" t="str">
        <f t="shared" si="1"/>
        <v/>
      </c>
      <c r="Q21" s="108" t="str">
        <f t="shared" si="2"/>
        <v/>
      </c>
    </row>
    <row r="22" spans="1:17" ht="15" customHeight="1" x14ac:dyDescent="0.3">
      <c r="A22" s="105"/>
      <c r="B22" s="64"/>
      <c r="C22" s="106"/>
      <c r="D22" s="107"/>
      <c r="E22" s="64"/>
      <c r="F22" s="64"/>
      <c r="G22" s="64"/>
      <c r="H22" s="107"/>
      <c r="I22" s="64"/>
      <c r="J22" s="106"/>
      <c r="K22" s="107"/>
      <c r="L22" s="64"/>
      <c r="M22" s="107"/>
      <c r="N22" s="107"/>
      <c r="O22" s="108" t="str">
        <f t="shared" si="0"/>
        <v/>
      </c>
      <c r="P22" s="109" t="str">
        <f t="shared" si="1"/>
        <v/>
      </c>
      <c r="Q22" s="108" t="str">
        <f t="shared" si="2"/>
        <v/>
      </c>
    </row>
    <row r="23" spans="1:17" ht="15" customHeight="1" x14ac:dyDescent="0.3">
      <c r="A23" s="105"/>
      <c r="B23" s="64"/>
      <c r="C23" s="106"/>
      <c r="D23" s="107"/>
      <c r="E23" s="64"/>
      <c r="F23" s="64"/>
      <c r="G23" s="64"/>
      <c r="H23" s="107"/>
      <c r="I23" s="64"/>
      <c r="J23" s="106"/>
      <c r="K23" s="107"/>
      <c r="L23" s="64"/>
      <c r="M23" s="107"/>
      <c r="N23" s="107"/>
      <c r="O23" s="108" t="str">
        <f t="shared" si="0"/>
        <v/>
      </c>
      <c r="P23" s="109" t="str">
        <f t="shared" si="1"/>
        <v/>
      </c>
      <c r="Q23" s="108" t="str">
        <f t="shared" si="2"/>
        <v/>
      </c>
    </row>
    <row r="24" spans="1:17" ht="15" customHeight="1" x14ac:dyDescent="0.3">
      <c r="A24" s="105"/>
      <c r="B24" s="64"/>
      <c r="C24" s="106"/>
      <c r="D24" s="107"/>
      <c r="E24" s="64"/>
      <c r="F24" s="64"/>
      <c r="G24" s="64"/>
      <c r="H24" s="107"/>
      <c r="I24" s="64"/>
      <c r="J24" s="106"/>
      <c r="K24" s="107"/>
      <c r="L24" s="64"/>
      <c r="M24" s="107"/>
      <c r="N24" s="107"/>
      <c r="O24" s="108" t="str">
        <f t="shared" si="0"/>
        <v/>
      </c>
      <c r="P24" s="109" t="str">
        <f t="shared" si="1"/>
        <v/>
      </c>
      <c r="Q24" s="108" t="str">
        <f t="shared" si="2"/>
        <v/>
      </c>
    </row>
    <row r="25" spans="1:17" ht="15" customHeight="1" x14ac:dyDescent="0.3">
      <c r="A25" s="105"/>
      <c r="B25" s="64"/>
      <c r="C25" s="106"/>
      <c r="D25" s="107"/>
      <c r="E25" s="64"/>
      <c r="F25" s="64"/>
      <c r="G25" s="64"/>
      <c r="H25" s="107"/>
      <c r="I25" s="64"/>
      <c r="J25" s="106"/>
      <c r="K25" s="107"/>
      <c r="L25" s="64"/>
      <c r="M25" s="107"/>
      <c r="N25" s="107"/>
      <c r="O25" s="108" t="str">
        <f t="shared" si="0"/>
        <v/>
      </c>
      <c r="P25" s="109" t="str">
        <f t="shared" si="1"/>
        <v/>
      </c>
      <c r="Q25" s="108" t="str">
        <f t="shared" si="2"/>
        <v/>
      </c>
    </row>
    <row r="26" spans="1:17" ht="15" customHeight="1" x14ac:dyDescent="0.3">
      <c r="A26" s="105"/>
      <c r="B26" s="64"/>
      <c r="C26" s="106"/>
      <c r="D26" s="107"/>
      <c r="E26" s="64"/>
      <c r="F26" s="64"/>
      <c r="G26" s="64"/>
      <c r="H26" s="107"/>
      <c r="I26" s="64"/>
      <c r="J26" s="106"/>
      <c r="K26" s="107"/>
      <c r="L26" s="64"/>
      <c r="M26" s="107"/>
      <c r="N26" s="107"/>
      <c r="O26" s="108" t="str">
        <f t="shared" si="0"/>
        <v/>
      </c>
      <c r="P26" s="109" t="str">
        <f t="shared" si="1"/>
        <v/>
      </c>
      <c r="Q26" s="108" t="str">
        <f t="shared" si="2"/>
        <v/>
      </c>
    </row>
    <row r="27" spans="1:17" ht="15" customHeight="1" x14ac:dyDescent="0.3">
      <c r="A27" s="105"/>
      <c r="B27" s="64"/>
      <c r="C27" s="106"/>
      <c r="D27" s="107"/>
      <c r="E27" s="64"/>
      <c r="F27" s="64"/>
      <c r="G27" s="64"/>
      <c r="H27" s="107"/>
      <c r="I27" s="64"/>
      <c r="J27" s="106"/>
      <c r="K27" s="107"/>
      <c r="L27" s="64"/>
      <c r="M27" s="107"/>
      <c r="N27" s="107"/>
      <c r="O27" s="108" t="str">
        <f t="shared" si="0"/>
        <v/>
      </c>
      <c r="P27" s="109" t="str">
        <f t="shared" si="1"/>
        <v/>
      </c>
      <c r="Q27" s="108" t="str">
        <f t="shared" si="2"/>
        <v/>
      </c>
    </row>
    <row r="28" spans="1:17" ht="15" customHeight="1" x14ac:dyDescent="0.3">
      <c r="A28" s="105"/>
      <c r="B28" s="64"/>
      <c r="C28" s="106"/>
      <c r="D28" s="107"/>
      <c r="E28" s="64"/>
      <c r="F28" s="64"/>
      <c r="G28" s="64"/>
      <c r="H28" s="107"/>
      <c r="I28" s="64"/>
      <c r="J28" s="106"/>
      <c r="K28" s="107"/>
      <c r="L28" s="64"/>
      <c r="M28" s="107"/>
      <c r="N28" s="107"/>
      <c r="O28" s="108" t="str">
        <f t="shared" si="0"/>
        <v/>
      </c>
      <c r="P28" s="109" t="str">
        <f t="shared" si="1"/>
        <v/>
      </c>
      <c r="Q28" s="108" t="str">
        <f t="shared" si="2"/>
        <v/>
      </c>
    </row>
    <row r="29" spans="1:17" ht="15" customHeight="1" x14ac:dyDescent="0.3">
      <c r="A29" s="105"/>
      <c r="B29" s="64"/>
      <c r="C29" s="106"/>
      <c r="D29" s="107"/>
      <c r="E29" s="64"/>
      <c r="F29" s="64"/>
      <c r="G29" s="64"/>
      <c r="H29" s="107"/>
      <c r="I29" s="64"/>
      <c r="J29" s="106"/>
      <c r="K29" s="107"/>
      <c r="L29" s="64"/>
      <c r="M29" s="107"/>
      <c r="N29" s="107"/>
      <c r="O29" s="108" t="str">
        <f t="shared" si="0"/>
        <v/>
      </c>
      <c r="P29" s="109" t="str">
        <f t="shared" si="1"/>
        <v/>
      </c>
      <c r="Q29" s="108" t="str">
        <f t="shared" si="2"/>
        <v/>
      </c>
    </row>
    <row r="30" spans="1:17" ht="15" customHeight="1" x14ac:dyDescent="0.3">
      <c r="A30" s="105"/>
      <c r="B30" s="64"/>
      <c r="C30" s="106"/>
      <c r="D30" s="107"/>
      <c r="E30" s="64"/>
      <c r="F30" s="64"/>
      <c r="G30" s="64"/>
      <c r="H30" s="107"/>
      <c r="I30" s="64"/>
      <c r="J30" s="106"/>
      <c r="K30" s="107"/>
      <c r="L30" s="64"/>
      <c r="M30" s="107"/>
      <c r="N30" s="107"/>
      <c r="O30" s="108" t="str">
        <f t="shared" si="0"/>
        <v/>
      </c>
      <c r="P30" s="109" t="str">
        <f t="shared" si="1"/>
        <v/>
      </c>
      <c r="Q30" s="108" t="str">
        <f t="shared" si="2"/>
        <v/>
      </c>
    </row>
    <row r="31" spans="1:17" ht="15" customHeight="1" x14ac:dyDescent="0.3">
      <c r="A31" s="105"/>
      <c r="B31" s="64"/>
      <c r="C31" s="106"/>
      <c r="D31" s="107"/>
      <c r="E31" s="64"/>
      <c r="F31" s="64"/>
      <c r="G31" s="64"/>
      <c r="H31" s="107"/>
      <c r="I31" s="64"/>
      <c r="J31" s="106"/>
      <c r="K31" s="107"/>
      <c r="L31" s="64"/>
      <c r="M31" s="107"/>
      <c r="N31" s="107"/>
      <c r="O31" s="108" t="str">
        <f t="shared" si="0"/>
        <v/>
      </c>
      <c r="P31" s="109" t="str">
        <f t="shared" si="1"/>
        <v/>
      </c>
      <c r="Q31" s="108" t="str">
        <f t="shared" si="2"/>
        <v/>
      </c>
    </row>
    <row r="32" spans="1:17" ht="15" customHeight="1" x14ac:dyDescent="0.3">
      <c r="A32" s="105"/>
      <c r="B32" s="64"/>
      <c r="C32" s="106"/>
      <c r="D32" s="107"/>
      <c r="E32" s="64"/>
      <c r="F32" s="64"/>
      <c r="G32" s="64"/>
      <c r="H32" s="107"/>
      <c r="I32" s="64"/>
      <c r="J32" s="106"/>
      <c r="K32" s="107"/>
      <c r="L32" s="64"/>
      <c r="M32" s="107"/>
      <c r="N32" s="107"/>
      <c r="O32" s="108" t="str">
        <f t="shared" si="0"/>
        <v/>
      </c>
      <c r="P32" s="109" t="str">
        <f t="shared" si="1"/>
        <v/>
      </c>
      <c r="Q32" s="108" t="str">
        <f t="shared" si="2"/>
        <v/>
      </c>
    </row>
    <row r="34" spans="1:17" ht="25.5" customHeight="1" x14ac:dyDescent="0.3">
      <c r="A34" s="124" t="s">
        <v>513</v>
      </c>
      <c r="B34" s="124"/>
      <c r="C34" s="124"/>
      <c r="D34" s="124"/>
      <c r="E34" s="124"/>
      <c r="F34" s="124"/>
      <c r="G34" s="124"/>
      <c r="H34" s="124"/>
      <c r="I34" s="124"/>
      <c r="J34" s="124"/>
      <c r="K34" s="124"/>
      <c r="L34" s="124"/>
      <c r="M34" s="124"/>
      <c r="N34" s="124"/>
      <c r="O34" s="124"/>
      <c r="P34" s="124"/>
      <c r="Q34" s="124"/>
    </row>
  </sheetData>
  <mergeCells count="2">
    <mergeCell ref="A34:Q34"/>
    <mergeCell ref="A1:P1"/>
  </mergeCells>
  <conditionalFormatting sqref="Q3:Q32">
    <cfRule type="cellIs" dxfId="12" priority="2" operator="greaterThan">
      <formula>0</formula>
    </cfRule>
    <cfRule type="cellIs" dxfId="11" priority="3" operator="lessThan">
      <formula>0</formula>
    </cfRule>
  </conditionalFormatting>
  <dataValidations count="2">
    <dataValidation type="list" allowBlank="1" sqref="I3:I32" xr:uid="{00000000-0002-0000-0F00-000000000000}">
      <formula1>"Held,Exited"</formula1>
      <formula2>0</formula2>
    </dataValidation>
    <dataValidation type="list" allowBlank="1" sqref="G3:G32" xr:uid="{00000000-0002-0000-0F00-000001000000}">
      <formula1>"Strong Buy,Buy"</formula1>
      <formula2>0</formula2>
    </dataValidation>
  </dataValidations>
  <pageMargins left="0.75" right="0.75" top="1" bottom="1" header="0.511811023622047" footer="0.51180555555555596"/>
  <pageSetup paperSize="9" orientation="portrait" horizontalDpi="300" verticalDpi="300"/>
  <headerFooter>
    <oddFooter>&amp;L&amp;"Arial Narrow,Regular"&amp;8 &amp;F&amp;C&amp;"Arial Narrow,Regular"&amp;8 &amp;A - &amp;D &amp;T&amp;R&amp;"Arial,Regular" &amp;P / &amp;N</oddFooter>
  </headerFooter>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C302"/>
  <sheetViews>
    <sheetView showGridLines="0" zoomScaleNormal="100" workbookViewId="0">
      <pane ySplit="2" topLeftCell="A50" activePane="bottomLeft" state="frozen"/>
      <selection pane="bottomLeft" activeCell="C55" sqref="C55"/>
    </sheetView>
  </sheetViews>
  <sheetFormatPr defaultColWidth="8.6640625" defaultRowHeight="14.4" x14ac:dyDescent="0.3"/>
  <cols>
    <col min="1" max="1" width="8.77734375" style="110" bestFit="1" customWidth="1"/>
    <col min="2" max="2" width="15.33203125" style="110" customWidth="1"/>
    <col min="3" max="3" width="98.5546875" customWidth="1"/>
  </cols>
  <sheetData>
    <row r="1" spans="1:3" ht="27.75" customHeight="1" x14ac:dyDescent="0.3">
      <c r="A1" s="200" t="s">
        <v>738</v>
      </c>
      <c r="B1" s="200"/>
      <c r="C1" s="200"/>
    </row>
    <row r="2" spans="1:3" ht="18" customHeight="1" x14ac:dyDescent="0.3">
      <c r="A2" s="80" t="s">
        <v>441</v>
      </c>
      <c r="B2" s="80" t="s">
        <v>76</v>
      </c>
      <c r="C2" s="80" t="s">
        <v>199</v>
      </c>
    </row>
    <row r="3" spans="1:3" ht="27.6" x14ac:dyDescent="0.3">
      <c r="A3" s="204">
        <v>46241</v>
      </c>
      <c r="B3" s="201" t="s">
        <v>162</v>
      </c>
      <c r="C3" s="202" t="s">
        <v>514</v>
      </c>
    </row>
    <row r="4" spans="1:3" ht="27.6" x14ac:dyDescent="0.3">
      <c r="A4" s="204">
        <v>46241</v>
      </c>
      <c r="B4" s="201" t="s">
        <v>165</v>
      </c>
      <c r="C4" s="202" t="s">
        <v>515</v>
      </c>
    </row>
    <row r="5" spans="1:3" ht="27.6" x14ac:dyDescent="0.3">
      <c r="A5" s="204">
        <v>46241</v>
      </c>
      <c r="B5" s="201" t="s">
        <v>173</v>
      </c>
      <c r="C5" s="202" t="s">
        <v>516</v>
      </c>
    </row>
    <row r="6" spans="1:3" ht="41.4" x14ac:dyDescent="0.3">
      <c r="A6" s="204">
        <v>46241</v>
      </c>
      <c r="B6" s="201" t="s">
        <v>156</v>
      </c>
      <c r="C6" s="202" t="s">
        <v>517</v>
      </c>
    </row>
    <row r="7" spans="1:3" ht="27.6" x14ac:dyDescent="0.3">
      <c r="A7" s="204">
        <v>46241</v>
      </c>
      <c r="B7" s="201" t="s">
        <v>518</v>
      </c>
      <c r="C7" s="202" t="s">
        <v>519</v>
      </c>
    </row>
    <row r="8" spans="1:3" ht="27.6" x14ac:dyDescent="0.3">
      <c r="A8" s="204">
        <v>46241</v>
      </c>
      <c r="B8" s="201" t="s">
        <v>518</v>
      </c>
      <c r="C8" s="202" t="s">
        <v>520</v>
      </c>
    </row>
    <row r="9" spans="1:3" ht="27.6" x14ac:dyDescent="0.3">
      <c r="A9" s="204">
        <v>46241</v>
      </c>
      <c r="B9" s="201" t="s">
        <v>521</v>
      </c>
      <c r="C9" s="202" t="s">
        <v>522</v>
      </c>
    </row>
    <row r="10" spans="1:3" ht="27.6" x14ac:dyDescent="0.3">
      <c r="A10" s="204">
        <v>46241</v>
      </c>
      <c r="B10" s="201" t="s">
        <v>523</v>
      </c>
      <c r="C10" s="202" t="s">
        <v>524</v>
      </c>
    </row>
    <row r="11" spans="1:3" ht="27.6" x14ac:dyDescent="0.3">
      <c r="A11" s="204">
        <v>46241</v>
      </c>
      <c r="B11" s="201" t="s">
        <v>124</v>
      </c>
      <c r="C11" s="202" t="s">
        <v>525</v>
      </c>
    </row>
    <row r="12" spans="1:3" ht="96.6" x14ac:dyDescent="0.3">
      <c r="A12" s="204">
        <v>46252</v>
      </c>
      <c r="B12" s="203" t="s">
        <v>540</v>
      </c>
      <c r="C12" s="202" t="s">
        <v>541</v>
      </c>
    </row>
    <row r="13" spans="1:3" ht="82.8" x14ac:dyDescent="0.3">
      <c r="A13" s="204">
        <v>46258</v>
      </c>
      <c r="B13" s="203" t="s">
        <v>542</v>
      </c>
      <c r="C13" s="202" t="s">
        <v>543</v>
      </c>
    </row>
    <row r="14" spans="1:3" ht="110.4" x14ac:dyDescent="0.3">
      <c r="A14" s="204">
        <v>46260</v>
      </c>
      <c r="B14" s="203" t="s">
        <v>544</v>
      </c>
      <c r="C14" s="202" t="s">
        <v>545</v>
      </c>
    </row>
    <row r="15" spans="1:3" ht="179.4" x14ac:dyDescent="0.3">
      <c r="A15" s="204">
        <v>46272</v>
      </c>
      <c r="B15" s="203" t="s">
        <v>546</v>
      </c>
      <c r="C15" s="202" t="s">
        <v>547</v>
      </c>
    </row>
    <row r="16" spans="1:3" ht="96.6" x14ac:dyDescent="0.3">
      <c r="A16" s="204">
        <v>46273</v>
      </c>
      <c r="B16" s="201" t="s">
        <v>526</v>
      </c>
      <c r="C16" s="202" t="s">
        <v>527</v>
      </c>
    </row>
    <row r="17" spans="1:3" ht="124.2" x14ac:dyDescent="0.3">
      <c r="A17" s="204">
        <v>46273</v>
      </c>
      <c r="B17" s="203" t="s">
        <v>562</v>
      </c>
      <c r="C17" s="202" t="s">
        <v>563</v>
      </c>
    </row>
    <row r="18" spans="1:3" ht="179.4" x14ac:dyDescent="0.3">
      <c r="A18" s="204">
        <v>46276</v>
      </c>
      <c r="B18" s="203" t="s">
        <v>564</v>
      </c>
      <c r="C18" s="202" t="s">
        <v>565</v>
      </c>
    </row>
    <row r="19" spans="1:3" ht="96.6" x14ac:dyDescent="0.3">
      <c r="A19" s="204">
        <v>46276</v>
      </c>
      <c r="B19" s="203" t="s">
        <v>566</v>
      </c>
      <c r="C19" s="202" t="s">
        <v>567</v>
      </c>
    </row>
    <row r="20" spans="1:3" ht="82.8" x14ac:dyDescent="0.3">
      <c r="A20" s="204">
        <v>46276</v>
      </c>
      <c r="B20" s="203" t="s">
        <v>568</v>
      </c>
      <c r="C20" s="202" t="s">
        <v>569</v>
      </c>
    </row>
    <row r="21" spans="1:3" ht="193.2" x14ac:dyDescent="0.3">
      <c r="A21" s="204">
        <v>46276</v>
      </c>
      <c r="B21" s="203" t="s">
        <v>570</v>
      </c>
      <c r="C21" s="202" t="s">
        <v>571</v>
      </c>
    </row>
    <row r="22" spans="1:3" ht="151.80000000000001" x14ac:dyDescent="0.3">
      <c r="A22" s="204">
        <v>46276</v>
      </c>
      <c r="B22" s="203" t="s">
        <v>570</v>
      </c>
      <c r="C22" s="202" t="s">
        <v>572</v>
      </c>
    </row>
    <row r="23" spans="1:3" ht="151.80000000000001" x14ac:dyDescent="0.3">
      <c r="A23" s="204">
        <v>46276</v>
      </c>
      <c r="B23" s="203" t="s">
        <v>156</v>
      </c>
      <c r="C23" s="202" t="s">
        <v>573</v>
      </c>
    </row>
    <row r="24" spans="1:3" ht="179.4" x14ac:dyDescent="0.3">
      <c r="A24" s="204">
        <v>46276</v>
      </c>
      <c r="B24" s="203" t="s">
        <v>570</v>
      </c>
      <c r="C24" s="202" t="s">
        <v>574</v>
      </c>
    </row>
    <row r="25" spans="1:3" ht="193.2" x14ac:dyDescent="0.3">
      <c r="A25" s="204">
        <v>46276</v>
      </c>
      <c r="B25" s="203" t="s">
        <v>575</v>
      </c>
      <c r="C25" s="202" t="s">
        <v>576</v>
      </c>
    </row>
    <row r="26" spans="1:3" ht="179.4" x14ac:dyDescent="0.3">
      <c r="A26" s="204">
        <v>46276</v>
      </c>
      <c r="B26" s="203" t="s">
        <v>577</v>
      </c>
      <c r="C26" s="202" t="s">
        <v>578</v>
      </c>
    </row>
    <row r="27" spans="1:3" ht="345" x14ac:dyDescent="0.3">
      <c r="A27" s="204">
        <v>46276</v>
      </c>
      <c r="B27" s="203" t="s">
        <v>593</v>
      </c>
      <c r="C27" s="202" t="s">
        <v>594</v>
      </c>
    </row>
    <row r="28" spans="1:3" ht="69" x14ac:dyDescent="0.3">
      <c r="A28" s="204">
        <v>46295</v>
      </c>
      <c r="B28" s="201" t="s">
        <v>528</v>
      </c>
      <c r="C28" s="202" t="s">
        <v>529</v>
      </c>
    </row>
    <row r="29" spans="1:3" ht="27.6" x14ac:dyDescent="0.3">
      <c r="A29" s="204">
        <v>46295</v>
      </c>
      <c r="B29" s="203" t="s">
        <v>579</v>
      </c>
      <c r="C29" s="202" t="s">
        <v>580</v>
      </c>
    </row>
    <row r="30" spans="1:3" ht="69" x14ac:dyDescent="0.3">
      <c r="A30" s="204">
        <v>46302</v>
      </c>
      <c r="B30" s="201" t="s">
        <v>530</v>
      </c>
      <c r="C30" s="202" t="s">
        <v>531</v>
      </c>
    </row>
    <row r="31" spans="1:3" ht="55.2" x14ac:dyDescent="0.3">
      <c r="A31" s="204">
        <v>46302</v>
      </c>
      <c r="B31" s="203" t="s">
        <v>548</v>
      </c>
      <c r="C31" s="202" t="s">
        <v>549</v>
      </c>
    </row>
    <row r="32" spans="1:3" ht="41.4" x14ac:dyDescent="0.3">
      <c r="A32" s="204">
        <v>46302</v>
      </c>
      <c r="B32" s="203" t="s">
        <v>581</v>
      </c>
      <c r="C32" s="202" t="s">
        <v>582</v>
      </c>
    </row>
    <row r="33" spans="1:3" ht="55.2" x14ac:dyDescent="0.3">
      <c r="A33" s="204">
        <v>46310</v>
      </c>
      <c r="B33" s="203" t="s">
        <v>550</v>
      </c>
      <c r="C33" s="202" t="s">
        <v>549</v>
      </c>
    </row>
    <row r="34" spans="1:3" x14ac:dyDescent="0.3">
      <c r="A34" s="204">
        <v>46317</v>
      </c>
      <c r="B34" s="203" t="s">
        <v>583</v>
      </c>
      <c r="C34" s="202" t="s">
        <v>584</v>
      </c>
    </row>
    <row r="35" spans="1:3" ht="110.4" x14ac:dyDescent="0.3">
      <c r="A35" s="204">
        <v>46320</v>
      </c>
      <c r="B35" s="201" t="s">
        <v>532</v>
      </c>
      <c r="C35" s="202" t="s">
        <v>533</v>
      </c>
    </row>
    <row r="36" spans="1:3" ht="69" x14ac:dyDescent="0.3">
      <c r="A36" s="204">
        <v>46335</v>
      </c>
      <c r="B36" s="201" t="s">
        <v>534</v>
      </c>
      <c r="C36" s="202" t="s">
        <v>535</v>
      </c>
    </row>
    <row r="37" spans="1:3" ht="55.2" x14ac:dyDescent="0.3">
      <c r="A37" s="204">
        <v>46335</v>
      </c>
      <c r="B37" s="203" t="s">
        <v>551</v>
      </c>
      <c r="C37" s="202" t="s">
        <v>549</v>
      </c>
    </row>
    <row r="38" spans="1:3" ht="27.6" x14ac:dyDescent="0.3">
      <c r="A38" s="204">
        <v>46335</v>
      </c>
      <c r="B38" s="203" t="s">
        <v>585</v>
      </c>
      <c r="C38" s="202" t="s">
        <v>586</v>
      </c>
    </row>
    <row r="39" spans="1:3" ht="55.2" x14ac:dyDescent="0.3">
      <c r="A39" s="204">
        <v>46342</v>
      </c>
      <c r="B39" s="203" t="s">
        <v>552</v>
      </c>
      <c r="C39" s="202" t="s">
        <v>549</v>
      </c>
    </row>
    <row r="40" spans="1:3" ht="27.6" x14ac:dyDescent="0.3">
      <c r="A40" s="204">
        <v>46349</v>
      </c>
      <c r="B40" s="203" t="s">
        <v>587</v>
      </c>
      <c r="C40" s="202" t="s">
        <v>588</v>
      </c>
    </row>
    <row r="41" spans="1:3" ht="55.2" x14ac:dyDescent="0.3">
      <c r="A41" s="204">
        <v>46363</v>
      </c>
      <c r="B41" s="203" t="s">
        <v>553</v>
      </c>
      <c r="C41" s="202" t="s">
        <v>549</v>
      </c>
    </row>
    <row r="42" spans="1:3" x14ac:dyDescent="0.3">
      <c r="A42" s="204">
        <v>46363</v>
      </c>
      <c r="B42" s="203" t="s">
        <v>589</v>
      </c>
      <c r="C42" s="202" t="s">
        <v>584</v>
      </c>
    </row>
    <row r="43" spans="1:3" ht="55.2" x14ac:dyDescent="0.3">
      <c r="A43" s="204">
        <v>46371</v>
      </c>
      <c r="B43" s="203" t="s">
        <v>554</v>
      </c>
      <c r="C43" s="202" t="s">
        <v>549</v>
      </c>
    </row>
    <row r="44" spans="1:3" x14ac:dyDescent="0.3">
      <c r="A44" s="204">
        <v>46378</v>
      </c>
      <c r="B44" s="203" t="s">
        <v>590</v>
      </c>
      <c r="C44" s="202" t="s">
        <v>584</v>
      </c>
    </row>
    <row r="45" spans="1:3" ht="27.6" x14ac:dyDescent="0.3">
      <c r="A45" s="204">
        <v>46387</v>
      </c>
      <c r="B45" s="201" t="s">
        <v>536</v>
      </c>
      <c r="C45" s="202" t="s">
        <v>537</v>
      </c>
    </row>
    <row r="46" spans="1:3" ht="55.2" x14ac:dyDescent="0.3">
      <c r="A46" s="204">
        <v>46394</v>
      </c>
      <c r="B46" s="203" t="s">
        <v>555</v>
      </c>
      <c r="C46" s="202" t="s">
        <v>549</v>
      </c>
    </row>
    <row r="47" spans="1:3" ht="27.6" x14ac:dyDescent="0.3">
      <c r="A47" s="204">
        <v>46394</v>
      </c>
      <c r="B47" s="203" t="s">
        <v>591</v>
      </c>
      <c r="C47" s="202" t="s">
        <v>592</v>
      </c>
    </row>
    <row r="48" spans="1:3" ht="55.2" x14ac:dyDescent="0.3">
      <c r="A48" s="204">
        <v>46402</v>
      </c>
      <c r="B48" s="203" t="s">
        <v>556</v>
      </c>
      <c r="C48" s="202" t="s">
        <v>549</v>
      </c>
    </row>
    <row r="49" spans="1:3" ht="69" x14ac:dyDescent="0.3">
      <c r="A49" s="204">
        <v>46412</v>
      </c>
      <c r="B49" s="201" t="s">
        <v>538</v>
      </c>
      <c r="C49" s="202" t="s">
        <v>539</v>
      </c>
    </row>
    <row r="50" spans="1:3" ht="55.2" x14ac:dyDescent="0.3">
      <c r="A50" s="204">
        <v>46426</v>
      </c>
      <c r="B50" s="203" t="s">
        <v>557</v>
      </c>
      <c r="C50" s="202" t="s">
        <v>549</v>
      </c>
    </row>
    <row r="51" spans="1:3" ht="55.2" x14ac:dyDescent="0.3">
      <c r="A51" s="204">
        <v>46434</v>
      </c>
      <c r="B51" s="203" t="s">
        <v>558</v>
      </c>
      <c r="C51" s="202" t="s">
        <v>549</v>
      </c>
    </row>
    <row r="52" spans="1:3" ht="55.2" x14ac:dyDescent="0.3">
      <c r="A52" s="204">
        <v>46454</v>
      </c>
      <c r="B52" s="203" t="s">
        <v>559</v>
      </c>
      <c r="C52" s="202" t="s">
        <v>549</v>
      </c>
    </row>
    <row r="53" spans="1:3" ht="69" x14ac:dyDescent="0.3">
      <c r="A53" s="204">
        <v>46461</v>
      </c>
      <c r="B53" s="203" t="s">
        <v>560</v>
      </c>
      <c r="C53" s="202" t="s">
        <v>561</v>
      </c>
    </row>
    <row r="54" spans="1:3" x14ac:dyDescent="0.3">
      <c r="A54" s="204"/>
      <c r="B54" s="201"/>
      <c r="C54" s="202"/>
    </row>
    <row r="55" spans="1:3" x14ac:dyDescent="0.3">
      <c r="A55" s="204"/>
      <c r="B55" s="201"/>
      <c r="C55" s="202"/>
    </row>
    <row r="56" spans="1:3" x14ac:dyDescent="0.3">
      <c r="A56" s="204"/>
      <c r="B56" s="201"/>
      <c r="C56" s="202"/>
    </row>
    <row r="57" spans="1:3" x14ac:dyDescent="0.3">
      <c r="A57" s="204"/>
      <c r="B57" s="201"/>
      <c r="C57" s="202"/>
    </row>
    <row r="58" spans="1:3" x14ac:dyDescent="0.3">
      <c r="A58" s="204"/>
      <c r="B58" s="201"/>
      <c r="C58" s="202"/>
    </row>
    <row r="59" spans="1:3" x14ac:dyDescent="0.3">
      <c r="A59" s="204"/>
      <c r="B59" s="201"/>
      <c r="C59" s="202"/>
    </row>
    <row r="60" spans="1:3" x14ac:dyDescent="0.3">
      <c r="A60" s="204"/>
      <c r="B60" s="201"/>
      <c r="C60" s="202"/>
    </row>
    <row r="61" spans="1:3" x14ac:dyDescent="0.3">
      <c r="A61" s="204"/>
      <c r="B61" s="201"/>
      <c r="C61" s="202"/>
    </row>
    <row r="62" spans="1:3" x14ac:dyDescent="0.3">
      <c r="A62" s="204"/>
      <c r="B62" s="201"/>
      <c r="C62" s="202"/>
    </row>
    <row r="63" spans="1:3" x14ac:dyDescent="0.3">
      <c r="A63" s="204"/>
      <c r="B63" s="201"/>
      <c r="C63" s="202"/>
    </row>
    <row r="64" spans="1:3" x14ac:dyDescent="0.3">
      <c r="A64" s="204"/>
      <c r="B64" s="201"/>
      <c r="C64" s="202"/>
    </row>
    <row r="65" spans="1:3" x14ac:dyDescent="0.3">
      <c r="A65" s="204"/>
      <c r="B65" s="201"/>
      <c r="C65" s="202"/>
    </row>
    <row r="66" spans="1:3" x14ac:dyDescent="0.3">
      <c r="A66" s="204"/>
      <c r="B66" s="201"/>
      <c r="C66" s="202"/>
    </row>
    <row r="67" spans="1:3" x14ac:dyDescent="0.3">
      <c r="A67" s="204"/>
      <c r="B67" s="201"/>
      <c r="C67" s="202"/>
    </row>
    <row r="68" spans="1:3" x14ac:dyDescent="0.3">
      <c r="A68" s="204"/>
      <c r="B68" s="201"/>
      <c r="C68" s="202"/>
    </row>
    <row r="69" spans="1:3" x14ac:dyDescent="0.3">
      <c r="A69" s="204"/>
      <c r="B69" s="201"/>
      <c r="C69" s="202"/>
    </row>
    <row r="70" spans="1:3" x14ac:dyDescent="0.3">
      <c r="A70" s="204"/>
      <c r="B70" s="201"/>
      <c r="C70" s="202"/>
    </row>
    <row r="71" spans="1:3" x14ac:dyDescent="0.3">
      <c r="A71" s="204"/>
      <c r="B71" s="201"/>
      <c r="C71" s="202"/>
    </row>
    <row r="72" spans="1:3" x14ac:dyDescent="0.3">
      <c r="A72" s="204"/>
      <c r="B72" s="201"/>
      <c r="C72" s="202"/>
    </row>
    <row r="73" spans="1:3" x14ac:dyDescent="0.3">
      <c r="A73" s="204"/>
      <c r="B73" s="201"/>
      <c r="C73" s="202"/>
    </row>
    <row r="74" spans="1:3" x14ac:dyDescent="0.3">
      <c r="A74" s="204"/>
      <c r="B74" s="201"/>
      <c r="C74" s="202"/>
    </row>
    <row r="75" spans="1:3" x14ac:dyDescent="0.3">
      <c r="A75" s="204"/>
      <c r="B75" s="201"/>
      <c r="C75" s="202"/>
    </row>
    <row r="76" spans="1:3" x14ac:dyDescent="0.3">
      <c r="A76" s="204"/>
      <c r="B76" s="201"/>
      <c r="C76" s="202"/>
    </row>
    <row r="77" spans="1:3" x14ac:dyDescent="0.3">
      <c r="A77" s="204"/>
      <c r="B77" s="201"/>
      <c r="C77" s="202"/>
    </row>
    <row r="78" spans="1:3" x14ac:dyDescent="0.3">
      <c r="A78" s="204"/>
      <c r="B78" s="201"/>
      <c r="C78" s="202"/>
    </row>
    <row r="79" spans="1:3" x14ac:dyDescent="0.3">
      <c r="A79" s="204"/>
      <c r="B79" s="201"/>
      <c r="C79" s="202"/>
    </row>
    <row r="80" spans="1:3" x14ac:dyDescent="0.3">
      <c r="A80" s="204"/>
      <c r="B80" s="201"/>
      <c r="C80" s="202"/>
    </row>
    <row r="81" spans="1:3" x14ac:dyDescent="0.3">
      <c r="A81" s="204"/>
      <c r="B81" s="201"/>
      <c r="C81" s="202"/>
    </row>
    <row r="82" spans="1:3" x14ac:dyDescent="0.3">
      <c r="A82" s="204"/>
      <c r="B82" s="201"/>
      <c r="C82" s="202"/>
    </row>
    <row r="83" spans="1:3" x14ac:dyDescent="0.3">
      <c r="A83" s="204"/>
      <c r="B83" s="201"/>
      <c r="C83" s="202"/>
    </row>
    <row r="84" spans="1:3" x14ac:dyDescent="0.3">
      <c r="A84" s="204"/>
      <c r="B84" s="201"/>
      <c r="C84" s="202"/>
    </row>
    <row r="85" spans="1:3" x14ac:dyDescent="0.3">
      <c r="A85" s="204"/>
      <c r="B85" s="201"/>
      <c r="C85" s="202"/>
    </row>
    <row r="86" spans="1:3" x14ac:dyDescent="0.3">
      <c r="A86" s="204"/>
      <c r="B86" s="201"/>
      <c r="C86" s="202"/>
    </row>
    <row r="87" spans="1:3" x14ac:dyDescent="0.3">
      <c r="A87" s="204"/>
      <c r="B87" s="201"/>
      <c r="C87" s="202"/>
    </row>
    <row r="88" spans="1:3" x14ac:dyDescent="0.3">
      <c r="A88" s="204"/>
      <c r="B88" s="201"/>
      <c r="C88" s="202"/>
    </row>
    <row r="89" spans="1:3" x14ac:dyDescent="0.3">
      <c r="A89" s="204"/>
      <c r="B89" s="201"/>
      <c r="C89" s="202"/>
    </row>
    <row r="90" spans="1:3" x14ac:dyDescent="0.3">
      <c r="A90" s="204"/>
      <c r="B90" s="201"/>
      <c r="C90" s="202"/>
    </row>
    <row r="91" spans="1:3" x14ac:dyDescent="0.3">
      <c r="A91" s="204"/>
      <c r="B91" s="201"/>
      <c r="C91" s="202"/>
    </row>
    <row r="92" spans="1:3" x14ac:dyDescent="0.3">
      <c r="A92" s="204"/>
      <c r="B92" s="201"/>
      <c r="C92" s="202"/>
    </row>
    <row r="93" spans="1:3" x14ac:dyDescent="0.3">
      <c r="A93" s="204"/>
      <c r="B93" s="201"/>
      <c r="C93" s="202"/>
    </row>
    <row r="94" spans="1:3" x14ac:dyDescent="0.3">
      <c r="A94" s="204"/>
      <c r="B94" s="201"/>
      <c r="C94" s="202"/>
    </row>
    <row r="95" spans="1:3" x14ac:dyDescent="0.3">
      <c r="A95" s="204"/>
      <c r="B95" s="201"/>
      <c r="C95" s="202"/>
    </row>
    <row r="96" spans="1:3" x14ac:dyDescent="0.3">
      <c r="A96" s="204"/>
      <c r="B96" s="201"/>
      <c r="C96" s="202"/>
    </row>
    <row r="97" spans="1:3" x14ac:dyDescent="0.3">
      <c r="A97" s="204"/>
      <c r="B97" s="201"/>
      <c r="C97" s="202"/>
    </row>
    <row r="98" spans="1:3" x14ac:dyDescent="0.3">
      <c r="A98" s="204"/>
      <c r="B98" s="201"/>
      <c r="C98" s="202"/>
    </row>
    <row r="99" spans="1:3" x14ac:dyDescent="0.3">
      <c r="A99" s="204"/>
      <c r="B99" s="201"/>
      <c r="C99" s="202"/>
    </row>
    <row r="100" spans="1:3" x14ac:dyDescent="0.3">
      <c r="A100" s="204"/>
      <c r="B100" s="201"/>
      <c r="C100" s="202"/>
    </row>
    <row r="101" spans="1:3" x14ac:dyDescent="0.3">
      <c r="A101" s="204"/>
      <c r="B101" s="201"/>
      <c r="C101" s="202"/>
    </row>
    <row r="102" spans="1:3" x14ac:dyDescent="0.3">
      <c r="A102" s="204"/>
      <c r="B102" s="201"/>
      <c r="C102" s="202"/>
    </row>
    <row r="103" spans="1:3" x14ac:dyDescent="0.3">
      <c r="A103" s="204"/>
      <c r="B103" s="201"/>
      <c r="C103" s="202"/>
    </row>
    <row r="104" spans="1:3" x14ac:dyDescent="0.3">
      <c r="A104" s="204"/>
      <c r="B104" s="201"/>
      <c r="C104" s="202"/>
    </row>
    <row r="105" spans="1:3" x14ac:dyDescent="0.3">
      <c r="A105" s="204"/>
      <c r="B105" s="201"/>
      <c r="C105" s="202"/>
    </row>
    <row r="106" spans="1:3" x14ac:dyDescent="0.3">
      <c r="A106" s="204"/>
      <c r="B106" s="201"/>
      <c r="C106" s="202"/>
    </row>
    <row r="107" spans="1:3" x14ac:dyDescent="0.3">
      <c r="A107" s="204"/>
      <c r="B107" s="201"/>
      <c r="C107" s="202"/>
    </row>
    <row r="108" spans="1:3" x14ac:dyDescent="0.3">
      <c r="A108" s="204"/>
      <c r="B108" s="201"/>
      <c r="C108" s="202"/>
    </row>
    <row r="109" spans="1:3" x14ac:dyDescent="0.3">
      <c r="A109" s="204"/>
      <c r="B109" s="201"/>
      <c r="C109" s="202"/>
    </row>
    <row r="110" spans="1:3" x14ac:dyDescent="0.3">
      <c r="A110" s="204"/>
      <c r="B110" s="201"/>
      <c r="C110" s="202"/>
    </row>
    <row r="111" spans="1:3" x14ac:dyDescent="0.3">
      <c r="A111" s="204"/>
      <c r="B111" s="201"/>
      <c r="C111" s="202"/>
    </row>
    <row r="112" spans="1:3" x14ac:dyDescent="0.3">
      <c r="A112" s="204"/>
      <c r="B112" s="201"/>
      <c r="C112" s="202"/>
    </row>
    <row r="113" spans="1:3" x14ac:dyDescent="0.3">
      <c r="A113" s="204"/>
      <c r="B113" s="201"/>
      <c r="C113" s="202"/>
    </row>
    <row r="114" spans="1:3" x14ac:dyDescent="0.3">
      <c r="A114" s="204"/>
      <c r="B114" s="201"/>
      <c r="C114" s="202"/>
    </row>
    <row r="115" spans="1:3" x14ac:dyDescent="0.3">
      <c r="A115" s="204"/>
      <c r="B115" s="201"/>
      <c r="C115" s="202"/>
    </row>
    <row r="116" spans="1:3" x14ac:dyDescent="0.3">
      <c r="A116" s="204"/>
      <c r="B116" s="201"/>
      <c r="C116" s="202"/>
    </row>
    <row r="117" spans="1:3" x14ac:dyDescent="0.3">
      <c r="A117" s="204"/>
      <c r="B117" s="201"/>
      <c r="C117" s="202"/>
    </row>
    <row r="118" spans="1:3" x14ac:dyDescent="0.3">
      <c r="A118" s="204"/>
      <c r="B118" s="201"/>
      <c r="C118" s="202"/>
    </row>
    <row r="119" spans="1:3" x14ac:dyDescent="0.3">
      <c r="A119" s="204"/>
      <c r="B119" s="201"/>
      <c r="C119" s="202"/>
    </row>
    <row r="120" spans="1:3" x14ac:dyDescent="0.3">
      <c r="A120" s="204"/>
      <c r="B120" s="201"/>
      <c r="C120" s="202"/>
    </row>
    <row r="121" spans="1:3" x14ac:dyDescent="0.3">
      <c r="A121" s="204"/>
      <c r="B121" s="201"/>
      <c r="C121" s="202"/>
    </row>
    <row r="122" spans="1:3" x14ac:dyDescent="0.3">
      <c r="A122" s="204"/>
      <c r="B122" s="201"/>
      <c r="C122" s="202"/>
    </row>
    <row r="123" spans="1:3" x14ac:dyDescent="0.3">
      <c r="A123" s="204"/>
      <c r="B123" s="201"/>
      <c r="C123" s="202"/>
    </row>
    <row r="124" spans="1:3" x14ac:dyDescent="0.3">
      <c r="A124" s="204"/>
      <c r="B124" s="201"/>
      <c r="C124" s="202"/>
    </row>
    <row r="125" spans="1:3" x14ac:dyDescent="0.3">
      <c r="A125" s="204"/>
      <c r="B125" s="201"/>
      <c r="C125" s="202"/>
    </row>
    <row r="126" spans="1:3" x14ac:dyDescent="0.3">
      <c r="A126" s="204"/>
      <c r="B126" s="201"/>
      <c r="C126" s="202"/>
    </row>
    <row r="127" spans="1:3" x14ac:dyDescent="0.3">
      <c r="A127" s="204"/>
      <c r="B127" s="201"/>
      <c r="C127" s="202"/>
    </row>
    <row r="128" spans="1:3" x14ac:dyDescent="0.3">
      <c r="A128" s="204"/>
      <c r="B128" s="201"/>
      <c r="C128" s="202"/>
    </row>
    <row r="129" spans="1:3" x14ac:dyDescent="0.3">
      <c r="A129" s="204"/>
      <c r="B129" s="201"/>
      <c r="C129" s="202"/>
    </row>
    <row r="130" spans="1:3" x14ac:dyDescent="0.3">
      <c r="A130" s="204"/>
      <c r="B130" s="201"/>
      <c r="C130" s="202"/>
    </row>
    <row r="131" spans="1:3" x14ac:dyDescent="0.3">
      <c r="A131" s="204"/>
      <c r="B131" s="201"/>
      <c r="C131" s="202"/>
    </row>
    <row r="132" spans="1:3" x14ac:dyDescent="0.3">
      <c r="A132" s="204"/>
      <c r="B132" s="201"/>
      <c r="C132" s="202"/>
    </row>
    <row r="133" spans="1:3" x14ac:dyDescent="0.3">
      <c r="A133" s="204"/>
      <c r="B133" s="201"/>
      <c r="C133" s="202"/>
    </row>
    <row r="134" spans="1:3" x14ac:dyDescent="0.3">
      <c r="A134" s="204"/>
      <c r="B134" s="201"/>
      <c r="C134" s="202"/>
    </row>
    <row r="135" spans="1:3" x14ac:dyDescent="0.3">
      <c r="A135" s="204"/>
      <c r="B135" s="201"/>
      <c r="C135" s="202"/>
    </row>
    <row r="136" spans="1:3" x14ac:dyDescent="0.3">
      <c r="A136" s="204"/>
      <c r="B136" s="201"/>
      <c r="C136" s="202"/>
    </row>
    <row r="137" spans="1:3" x14ac:dyDescent="0.3">
      <c r="A137" s="204"/>
      <c r="B137" s="201"/>
      <c r="C137" s="202"/>
    </row>
    <row r="138" spans="1:3" x14ac:dyDescent="0.3">
      <c r="A138" s="204"/>
      <c r="B138" s="201"/>
      <c r="C138" s="202"/>
    </row>
    <row r="139" spans="1:3" x14ac:dyDescent="0.3">
      <c r="A139" s="204"/>
      <c r="B139" s="201"/>
      <c r="C139" s="202"/>
    </row>
    <row r="140" spans="1:3" x14ac:dyDescent="0.3">
      <c r="A140" s="204"/>
      <c r="B140" s="201"/>
      <c r="C140" s="202"/>
    </row>
    <row r="141" spans="1:3" x14ac:dyDescent="0.3">
      <c r="A141" s="204"/>
      <c r="B141" s="201"/>
      <c r="C141" s="202"/>
    </row>
    <row r="142" spans="1:3" x14ac:dyDescent="0.3">
      <c r="A142" s="204"/>
      <c r="B142" s="201"/>
      <c r="C142" s="202"/>
    </row>
    <row r="143" spans="1:3" x14ac:dyDescent="0.3">
      <c r="A143" s="204"/>
      <c r="B143" s="201"/>
      <c r="C143" s="202"/>
    </row>
    <row r="144" spans="1:3" x14ac:dyDescent="0.3">
      <c r="A144" s="204"/>
      <c r="B144" s="201"/>
      <c r="C144" s="202"/>
    </row>
    <row r="145" spans="1:3" x14ac:dyDescent="0.3">
      <c r="A145" s="204"/>
      <c r="B145" s="201"/>
      <c r="C145" s="202"/>
    </row>
    <row r="146" spans="1:3" x14ac:dyDescent="0.3">
      <c r="A146" s="204"/>
      <c r="B146" s="201"/>
      <c r="C146" s="202"/>
    </row>
    <row r="147" spans="1:3" x14ac:dyDescent="0.3">
      <c r="A147" s="204"/>
      <c r="B147" s="201"/>
      <c r="C147" s="202"/>
    </row>
    <row r="148" spans="1:3" x14ac:dyDescent="0.3">
      <c r="A148" s="204"/>
      <c r="B148" s="201"/>
      <c r="C148" s="202"/>
    </row>
    <row r="149" spans="1:3" x14ac:dyDescent="0.3">
      <c r="A149" s="204"/>
      <c r="B149" s="201"/>
      <c r="C149" s="202"/>
    </row>
    <row r="150" spans="1:3" x14ac:dyDescent="0.3">
      <c r="A150" s="204"/>
      <c r="B150" s="201"/>
      <c r="C150" s="202"/>
    </row>
    <row r="151" spans="1:3" x14ac:dyDescent="0.3">
      <c r="A151" s="204"/>
      <c r="B151" s="201"/>
      <c r="C151" s="202"/>
    </row>
    <row r="152" spans="1:3" x14ac:dyDescent="0.3">
      <c r="A152" s="204"/>
      <c r="B152" s="201"/>
      <c r="C152" s="202"/>
    </row>
    <row r="153" spans="1:3" x14ac:dyDescent="0.3">
      <c r="A153" s="204"/>
      <c r="B153" s="201"/>
      <c r="C153" s="202"/>
    </row>
    <row r="154" spans="1:3" x14ac:dyDescent="0.3">
      <c r="A154" s="204"/>
      <c r="B154" s="201"/>
      <c r="C154" s="202"/>
    </row>
    <row r="155" spans="1:3" x14ac:dyDescent="0.3">
      <c r="A155" s="204"/>
      <c r="B155" s="201"/>
      <c r="C155" s="202"/>
    </row>
    <row r="156" spans="1:3" x14ac:dyDescent="0.3">
      <c r="A156" s="204"/>
      <c r="B156" s="201"/>
      <c r="C156" s="202"/>
    </row>
    <row r="157" spans="1:3" x14ac:dyDescent="0.3">
      <c r="A157" s="204"/>
      <c r="B157" s="201"/>
      <c r="C157" s="202"/>
    </row>
    <row r="158" spans="1:3" x14ac:dyDescent="0.3">
      <c r="A158" s="204"/>
      <c r="B158" s="201"/>
      <c r="C158" s="202"/>
    </row>
    <row r="159" spans="1:3" x14ac:dyDescent="0.3">
      <c r="A159" s="204"/>
      <c r="B159" s="201"/>
      <c r="C159" s="202"/>
    </row>
    <row r="160" spans="1:3" x14ac:dyDescent="0.3">
      <c r="A160" s="204"/>
      <c r="B160" s="201"/>
      <c r="C160" s="202"/>
    </row>
    <row r="161" spans="1:3" x14ac:dyDescent="0.3">
      <c r="A161" s="204"/>
      <c r="B161" s="201"/>
      <c r="C161" s="202"/>
    </row>
    <row r="162" spans="1:3" x14ac:dyDescent="0.3">
      <c r="A162" s="204"/>
      <c r="B162" s="201"/>
      <c r="C162" s="202"/>
    </row>
    <row r="163" spans="1:3" x14ac:dyDescent="0.3">
      <c r="A163" s="204"/>
      <c r="B163" s="201"/>
      <c r="C163" s="202"/>
    </row>
    <row r="164" spans="1:3" x14ac:dyDescent="0.3">
      <c r="A164" s="204"/>
      <c r="B164" s="201"/>
      <c r="C164" s="202"/>
    </row>
    <row r="165" spans="1:3" x14ac:dyDescent="0.3">
      <c r="A165" s="204"/>
      <c r="B165" s="201"/>
      <c r="C165" s="202"/>
    </row>
    <row r="166" spans="1:3" x14ac:dyDescent="0.3">
      <c r="A166" s="204"/>
      <c r="B166" s="201"/>
      <c r="C166" s="202"/>
    </row>
    <row r="167" spans="1:3" x14ac:dyDescent="0.3">
      <c r="A167" s="204"/>
      <c r="B167" s="201"/>
      <c r="C167" s="202"/>
    </row>
    <row r="168" spans="1:3" x14ac:dyDescent="0.3">
      <c r="A168" s="204"/>
      <c r="B168" s="201"/>
      <c r="C168" s="202"/>
    </row>
    <row r="169" spans="1:3" x14ac:dyDescent="0.3">
      <c r="A169" s="204"/>
      <c r="B169" s="201"/>
      <c r="C169" s="202"/>
    </row>
    <row r="170" spans="1:3" x14ac:dyDescent="0.3">
      <c r="A170" s="204"/>
      <c r="B170" s="201"/>
      <c r="C170" s="202"/>
    </row>
    <row r="171" spans="1:3" x14ac:dyDescent="0.3">
      <c r="A171" s="204"/>
      <c r="B171" s="201"/>
      <c r="C171" s="202"/>
    </row>
    <row r="172" spans="1:3" x14ac:dyDescent="0.3">
      <c r="A172" s="204"/>
      <c r="B172" s="201"/>
      <c r="C172" s="202"/>
    </row>
    <row r="173" spans="1:3" x14ac:dyDescent="0.3">
      <c r="A173" s="204"/>
      <c r="B173" s="201"/>
      <c r="C173" s="202"/>
    </row>
    <row r="174" spans="1:3" x14ac:dyDescent="0.3">
      <c r="A174" s="204"/>
      <c r="B174" s="201"/>
      <c r="C174" s="202"/>
    </row>
    <row r="175" spans="1:3" x14ac:dyDescent="0.3">
      <c r="A175" s="204"/>
      <c r="B175" s="201"/>
      <c r="C175" s="202"/>
    </row>
    <row r="176" spans="1:3" x14ac:dyDescent="0.3">
      <c r="A176" s="204"/>
      <c r="B176" s="201"/>
      <c r="C176" s="202"/>
    </row>
    <row r="177" spans="1:3" x14ac:dyDescent="0.3">
      <c r="A177" s="204"/>
      <c r="B177" s="201"/>
      <c r="C177" s="202"/>
    </row>
    <row r="178" spans="1:3" x14ac:dyDescent="0.3">
      <c r="A178" s="204"/>
      <c r="B178" s="201"/>
      <c r="C178" s="202"/>
    </row>
    <row r="179" spans="1:3" x14ac:dyDescent="0.3">
      <c r="A179" s="204"/>
      <c r="B179" s="201"/>
      <c r="C179" s="202"/>
    </row>
    <row r="180" spans="1:3" x14ac:dyDescent="0.3">
      <c r="A180" s="204"/>
      <c r="B180" s="201"/>
      <c r="C180" s="202"/>
    </row>
    <row r="181" spans="1:3" x14ac:dyDescent="0.3">
      <c r="A181" s="204"/>
      <c r="B181" s="201"/>
      <c r="C181" s="202"/>
    </row>
    <row r="182" spans="1:3" x14ac:dyDescent="0.3">
      <c r="A182" s="204"/>
      <c r="B182" s="201"/>
      <c r="C182" s="202"/>
    </row>
    <row r="183" spans="1:3" x14ac:dyDescent="0.3">
      <c r="A183" s="204"/>
      <c r="B183" s="201"/>
      <c r="C183" s="202"/>
    </row>
    <row r="184" spans="1:3" x14ac:dyDescent="0.3">
      <c r="A184" s="204"/>
      <c r="B184" s="201"/>
      <c r="C184" s="202"/>
    </row>
    <row r="185" spans="1:3" x14ac:dyDescent="0.3">
      <c r="A185" s="204"/>
      <c r="B185" s="201"/>
      <c r="C185" s="202"/>
    </row>
    <row r="186" spans="1:3" x14ac:dyDescent="0.3">
      <c r="A186" s="204"/>
      <c r="B186" s="201"/>
      <c r="C186" s="202"/>
    </row>
    <row r="187" spans="1:3" x14ac:dyDescent="0.3">
      <c r="A187" s="204"/>
      <c r="B187" s="201"/>
      <c r="C187" s="202"/>
    </row>
    <row r="188" spans="1:3" x14ac:dyDescent="0.3">
      <c r="A188" s="204"/>
      <c r="B188" s="201"/>
      <c r="C188" s="202"/>
    </row>
    <row r="189" spans="1:3" x14ac:dyDescent="0.3">
      <c r="A189" s="204"/>
      <c r="B189" s="201"/>
      <c r="C189" s="202"/>
    </row>
    <row r="190" spans="1:3" x14ac:dyDescent="0.3">
      <c r="A190" s="204"/>
      <c r="B190" s="201"/>
      <c r="C190" s="202"/>
    </row>
    <row r="191" spans="1:3" x14ac:dyDescent="0.3">
      <c r="A191" s="204"/>
      <c r="B191" s="201"/>
      <c r="C191" s="202"/>
    </row>
    <row r="192" spans="1:3" x14ac:dyDescent="0.3">
      <c r="A192" s="204"/>
      <c r="B192" s="201"/>
      <c r="C192" s="202"/>
    </row>
    <row r="193" spans="1:3" x14ac:dyDescent="0.3">
      <c r="A193" s="204"/>
      <c r="B193" s="201"/>
      <c r="C193" s="202"/>
    </row>
    <row r="194" spans="1:3" x14ac:dyDescent="0.3">
      <c r="A194" s="204"/>
      <c r="B194" s="201"/>
      <c r="C194" s="202"/>
    </row>
    <row r="195" spans="1:3" x14ac:dyDescent="0.3">
      <c r="A195" s="204"/>
      <c r="B195" s="201"/>
      <c r="C195" s="202"/>
    </row>
    <row r="196" spans="1:3" x14ac:dyDescent="0.3">
      <c r="A196" s="204"/>
      <c r="B196" s="201"/>
      <c r="C196" s="202"/>
    </row>
    <row r="197" spans="1:3" x14ac:dyDescent="0.3">
      <c r="A197" s="204"/>
      <c r="B197" s="201"/>
      <c r="C197" s="202"/>
    </row>
    <row r="198" spans="1:3" x14ac:dyDescent="0.3">
      <c r="A198" s="204"/>
      <c r="B198" s="201"/>
      <c r="C198" s="202"/>
    </row>
    <row r="199" spans="1:3" x14ac:dyDescent="0.3">
      <c r="A199" s="204"/>
      <c r="B199" s="201"/>
      <c r="C199" s="202"/>
    </row>
    <row r="200" spans="1:3" x14ac:dyDescent="0.3">
      <c r="A200" s="204"/>
      <c r="B200" s="201"/>
      <c r="C200" s="202"/>
    </row>
    <row r="201" spans="1:3" x14ac:dyDescent="0.3">
      <c r="A201" s="204"/>
      <c r="B201" s="201"/>
      <c r="C201" s="202"/>
    </row>
    <row r="202" spans="1:3" x14ac:dyDescent="0.3">
      <c r="A202" s="204"/>
      <c r="B202" s="201"/>
      <c r="C202" s="202"/>
    </row>
    <row r="203" spans="1:3" x14ac:dyDescent="0.3">
      <c r="A203" s="204"/>
      <c r="B203" s="201"/>
      <c r="C203" s="202"/>
    </row>
    <row r="204" spans="1:3" x14ac:dyDescent="0.3">
      <c r="A204" s="204"/>
      <c r="B204" s="201"/>
      <c r="C204" s="202"/>
    </row>
    <row r="205" spans="1:3" x14ac:dyDescent="0.3">
      <c r="A205" s="204"/>
      <c r="B205" s="201"/>
      <c r="C205" s="202"/>
    </row>
    <row r="206" spans="1:3" x14ac:dyDescent="0.3">
      <c r="A206" s="204"/>
      <c r="B206" s="201"/>
      <c r="C206" s="202"/>
    </row>
    <row r="207" spans="1:3" x14ac:dyDescent="0.3">
      <c r="A207" s="204"/>
      <c r="B207" s="201"/>
      <c r="C207" s="202"/>
    </row>
    <row r="208" spans="1:3" x14ac:dyDescent="0.3">
      <c r="A208" s="204"/>
      <c r="B208" s="201"/>
      <c r="C208" s="202"/>
    </row>
    <row r="209" spans="1:3" x14ac:dyDescent="0.3">
      <c r="A209" s="204"/>
      <c r="B209" s="201"/>
      <c r="C209" s="202"/>
    </row>
    <row r="210" spans="1:3" x14ac:dyDescent="0.3">
      <c r="A210" s="204"/>
      <c r="B210" s="201"/>
      <c r="C210" s="202"/>
    </row>
    <row r="211" spans="1:3" x14ac:dyDescent="0.3">
      <c r="A211" s="204"/>
      <c r="B211" s="201"/>
      <c r="C211" s="202"/>
    </row>
    <row r="212" spans="1:3" x14ac:dyDescent="0.3">
      <c r="A212" s="204"/>
      <c r="B212" s="201"/>
      <c r="C212" s="202"/>
    </row>
    <row r="213" spans="1:3" x14ac:dyDescent="0.3">
      <c r="A213" s="204"/>
      <c r="B213" s="201"/>
      <c r="C213" s="202"/>
    </row>
    <row r="214" spans="1:3" x14ac:dyDescent="0.3">
      <c r="A214" s="204"/>
      <c r="B214" s="201"/>
      <c r="C214" s="202"/>
    </row>
    <row r="215" spans="1:3" x14ac:dyDescent="0.3">
      <c r="A215" s="204"/>
      <c r="B215" s="201"/>
      <c r="C215" s="202"/>
    </row>
    <row r="216" spans="1:3" x14ac:dyDescent="0.3">
      <c r="A216" s="204"/>
      <c r="B216" s="201"/>
      <c r="C216" s="202"/>
    </row>
    <row r="217" spans="1:3" x14ac:dyDescent="0.3">
      <c r="A217" s="204"/>
      <c r="B217" s="201"/>
      <c r="C217" s="202"/>
    </row>
    <row r="218" spans="1:3" x14ac:dyDescent="0.3">
      <c r="A218" s="204"/>
      <c r="B218" s="201"/>
      <c r="C218" s="202"/>
    </row>
    <row r="219" spans="1:3" x14ac:dyDescent="0.3">
      <c r="A219" s="204"/>
      <c r="B219" s="201"/>
      <c r="C219" s="202"/>
    </row>
    <row r="220" spans="1:3" x14ac:dyDescent="0.3">
      <c r="A220" s="204"/>
      <c r="B220" s="201"/>
      <c r="C220" s="202"/>
    </row>
    <row r="221" spans="1:3" x14ac:dyDescent="0.3">
      <c r="A221" s="204"/>
      <c r="B221" s="201"/>
      <c r="C221" s="202"/>
    </row>
    <row r="222" spans="1:3" x14ac:dyDescent="0.3">
      <c r="A222" s="204"/>
      <c r="B222" s="201"/>
      <c r="C222" s="202"/>
    </row>
    <row r="223" spans="1:3" x14ac:dyDescent="0.3">
      <c r="A223" s="204"/>
      <c r="B223" s="201"/>
      <c r="C223" s="202"/>
    </row>
    <row r="224" spans="1:3" x14ac:dyDescent="0.3">
      <c r="A224" s="204"/>
      <c r="B224" s="201"/>
      <c r="C224" s="202"/>
    </row>
    <row r="225" spans="1:3" x14ac:dyDescent="0.3">
      <c r="A225" s="204"/>
      <c r="B225" s="201"/>
      <c r="C225" s="202"/>
    </row>
    <row r="226" spans="1:3" x14ac:dyDescent="0.3">
      <c r="A226" s="204"/>
      <c r="B226" s="201"/>
      <c r="C226" s="202"/>
    </row>
    <row r="227" spans="1:3" x14ac:dyDescent="0.3">
      <c r="A227" s="204"/>
      <c r="B227" s="201"/>
      <c r="C227" s="202"/>
    </row>
    <row r="228" spans="1:3" x14ac:dyDescent="0.3">
      <c r="A228" s="204"/>
      <c r="B228" s="201"/>
      <c r="C228" s="202"/>
    </row>
    <row r="229" spans="1:3" x14ac:dyDescent="0.3">
      <c r="A229" s="204"/>
      <c r="B229" s="201"/>
      <c r="C229" s="202"/>
    </row>
    <row r="230" spans="1:3" x14ac:dyDescent="0.3">
      <c r="A230" s="204"/>
      <c r="B230" s="201"/>
      <c r="C230" s="202"/>
    </row>
    <row r="231" spans="1:3" x14ac:dyDescent="0.3">
      <c r="A231" s="204"/>
      <c r="B231" s="201"/>
      <c r="C231" s="202"/>
    </row>
    <row r="232" spans="1:3" x14ac:dyDescent="0.3">
      <c r="A232" s="204"/>
      <c r="B232" s="201"/>
      <c r="C232" s="202"/>
    </row>
    <row r="233" spans="1:3" x14ac:dyDescent="0.3">
      <c r="A233" s="204"/>
      <c r="B233" s="201"/>
      <c r="C233" s="202"/>
    </row>
    <row r="234" spans="1:3" x14ac:dyDescent="0.3">
      <c r="A234" s="204"/>
      <c r="B234" s="201"/>
      <c r="C234" s="202"/>
    </row>
    <row r="235" spans="1:3" x14ac:dyDescent="0.3">
      <c r="A235" s="204"/>
      <c r="B235" s="201"/>
      <c r="C235" s="202"/>
    </row>
    <row r="236" spans="1:3" x14ac:dyDescent="0.3">
      <c r="A236" s="204"/>
      <c r="B236" s="201"/>
      <c r="C236" s="202"/>
    </row>
    <row r="237" spans="1:3" x14ac:dyDescent="0.3">
      <c r="A237" s="204"/>
      <c r="B237" s="201"/>
      <c r="C237" s="202"/>
    </row>
    <row r="238" spans="1:3" x14ac:dyDescent="0.3">
      <c r="A238" s="204"/>
      <c r="B238" s="201"/>
      <c r="C238" s="202"/>
    </row>
    <row r="239" spans="1:3" x14ac:dyDescent="0.3">
      <c r="A239" s="204"/>
      <c r="B239" s="201"/>
      <c r="C239" s="202"/>
    </row>
    <row r="240" spans="1:3" x14ac:dyDescent="0.3">
      <c r="A240" s="204"/>
      <c r="B240" s="201"/>
      <c r="C240" s="202"/>
    </row>
    <row r="241" spans="1:3" x14ac:dyDescent="0.3">
      <c r="A241" s="204"/>
      <c r="B241" s="201"/>
      <c r="C241" s="202"/>
    </row>
    <row r="242" spans="1:3" x14ac:dyDescent="0.3">
      <c r="A242" s="204"/>
      <c r="B242" s="201"/>
      <c r="C242" s="202"/>
    </row>
    <row r="243" spans="1:3" x14ac:dyDescent="0.3">
      <c r="A243" s="204"/>
      <c r="B243" s="201"/>
      <c r="C243" s="202"/>
    </row>
    <row r="244" spans="1:3" x14ac:dyDescent="0.3">
      <c r="A244" s="204"/>
      <c r="B244" s="201"/>
      <c r="C244" s="202"/>
    </row>
    <row r="245" spans="1:3" x14ac:dyDescent="0.3">
      <c r="A245" s="204"/>
      <c r="B245" s="201"/>
      <c r="C245" s="202"/>
    </row>
    <row r="246" spans="1:3" x14ac:dyDescent="0.3">
      <c r="A246" s="204"/>
      <c r="B246" s="201"/>
      <c r="C246" s="202"/>
    </row>
    <row r="247" spans="1:3" x14ac:dyDescent="0.3">
      <c r="A247" s="204"/>
      <c r="B247" s="201"/>
      <c r="C247" s="202"/>
    </row>
    <row r="248" spans="1:3" x14ac:dyDescent="0.3">
      <c r="A248" s="204"/>
      <c r="B248" s="201"/>
      <c r="C248" s="202"/>
    </row>
    <row r="249" spans="1:3" x14ac:dyDescent="0.3">
      <c r="A249" s="204"/>
      <c r="B249" s="201"/>
      <c r="C249" s="202"/>
    </row>
    <row r="250" spans="1:3" x14ac:dyDescent="0.3">
      <c r="A250" s="204"/>
      <c r="B250" s="201"/>
      <c r="C250" s="202"/>
    </row>
    <row r="251" spans="1:3" x14ac:dyDescent="0.3">
      <c r="A251" s="204"/>
      <c r="B251" s="201"/>
      <c r="C251" s="202"/>
    </row>
    <row r="252" spans="1:3" x14ac:dyDescent="0.3">
      <c r="A252" s="204"/>
      <c r="B252" s="201"/>
      <c r="C252" s="202"/>
    </row>
    <row r="253" spans="1:3" x14ac:dyDescent="0.3">
      <c r="A253" s="204"/>
      <c r="B253" s="201"/>
      <c r="C253" s="202"/>
    </row>
    <row r="254" spans="1:3" x14ac:dyDescent="0.3">
      <c r="A254" s="204"/>
      <c r="B254" s="201"/>
      <c r="C254" s="202"/>
    </row>
    <row r="255" spans="1:3" x14ac:dyDescent="0.3">
      <c r="A255" s="204"/>
      <c r="B255" s="201"/>
      <c r="C255" s="202"/>
    </row>
    <row r="256" spans="1:3" x14ac:dyDescent="0.3">
      <c r="A256" s="204"/>
      <c r="B256" s="201"/>
      <c r="C256" s="202"/>
    </row>
    <row r="257" spans="1:3" x14ac:dyDescent="0.3">
      <c r="A257" s="204"/>
      <c r="B257" s="201"/>
      <c r="C257" s="202"/>
    </row>
    <row r="258" spans="1:3" x14ac:dyDescent="0.3">
      <c r="A258" s="204"/>
      <c r="B258" s="201"/>
      <c r="C258" s="202"/>
    </row>
    <row r="259" spans="1:3" x14ac:dyDescent="0.3">
      <c r="A259" s="204"/>
      <c r="B259" s="201"/>
      <c r="C259" s="202"/>
    </row>
    <row r="260" spans="1:3" x14ac:dyDescent="0.3">
      <c r="A260" s="204"/>
      <c r="B260" s="201"/>
      <c r="C260" s="202"/>
    </row>
    <row r="261" spans="1:3" x14ac:dyDescent="0.3">
      <c r="A261" s="204"/>
      <c r="B261" s="201"/>
      <c r="C261" s="202"/>
    </row>
    <row r="262" spans="1:3" x14ac:dyDescent="0.3">
      <c r="A262" s="204"/>
      <c r="B262" s="201"/>
      <c r="C262" s="202"/>
    </row>
    <row r="263" spans="1:3" x14ac:dyDescent="0.3">
      <c r="A263" s="204"/>
      <c r="B263" s="201"/>
      <c r="C263" s="202"/>
    </row>
    <row r="264" spans="1:3" x14ac:dyDescent="0.3">
      <c r="A264" s="204"/>
      <c r="B264" s="201"/>
      <c r="C264" s="202"/>
    </row>
    <row r="265" spans="1:3" x14ac:dyDescent="0.3">
      <c r="A265" s="204"/>
      <c r="B265" s="201"/>
      <c r="C265" s="202"/>
    </row>
    <row r="266" spans="1:3" x14ac:dyDescent="0.3">
      <c r="A266" s="204"/>
      <c r="B266" s="201"/>
      <c r="C266" s="202"/>
    </row>
    <row r="267" spans="1:3" x14ac:dyDescent="0.3">
      <c r="A267" s="204"/>
      <c r="B267" s="201"/>
      <c r="C267" s="202"/>
    </row>
    <row r="268" spans="1:3" x14ac:dyDescent="0.3">
      <c r="A268" s="204"/>
      <c r="B268" s="201"/>
      <c r="C268" s="202"/>
    </row>
    <row r="269" spans="1:3" x14ac:dyDescent="0.3">
      <c r="A269" s="204"/>
      <c r="B269" s="201"/>
      <c r="C269" s="202"/>
    </row>
    <row r="270" spans="1:3" x14ac:dyDescent="0.3">
      <c r="A270" s="204"/>
      <c r="B270" s="201"/>
      <c r="C270" s="202"/>
    </row>
    <row r="271" spans="1:3" x14ac:dyDescent="0.3">
      <c r="A271" s="204"/>
      <c r="B271" s="201"/>
      <c r="C271" s="202"/>
    </row>
    <row r="272" spans="1:3" x14ac:dyDescent="0.3">
      <c r="A272" s="204"/>
      <c r="B272" s="201"/>
      <c r="C272" s="202"/>
    </row>
    <row r="273" spans="1:3" x14ac:dyDescent="0.3">
      <c r="A273" s="204"/>
      <c r="B273" s="201"/>
      <c r="C273" s="202"/>
    </row>
    <row r="274" spans="1:3" x14ac:dyDescent="0.3">
      <c r="A274" s="204"/>
      <c r="B274" s="201"/>
      <c r="C274" s="202"/>
    </row>
    <row r="275" spans="1:3" x14ac:dyDescent="0.3">
      <c r="A275" s="204"/>
      <c r="B275" s="201"/>
      <c r="C275" s="202"/>
    </row>
    <row r="276" spans="1:3" x14ac:dyDescent="0.3">
      <c r="A276" s="204"/>
      <c r="B276" s="201"/>
      <c r="C276" s="202"/>
    </row>
    <row r="277" spans="1:3" x14ac:dyDescent="0.3">
      <c r="A277" s="204"/>
      <c r="B277" s="201"/>
      <c r="C277" s="202"/>
    </row>
    <row r="278" spans="1:3" x14ac:dyDescent="0.3">
      <c r="A278" s="204"/>
      <c r="B278" s="201"/>
      <c r="C278" s="202"/>
    </row>
    <row r="279" spans="1:3" x14ac:dyDescent="0.3">
      <c r="A279" s="204"/>
      <c r="B279" s="201"/>
      <c r="C279" s="202"/>
    </row>
    <row r="280" spans="1:3" x14ac:dyDescent="0.3">
      <c r="A280" s="204"/>
      <c r="B280" s="201"/>
      <c r="C280" s="202"/>
    </row>
    <row r="281" spans="1:3" x14ac:dyDescent="0.3">
      <c r="A281" s="204"/>
      <c r="B281" s="201"/>
      <c r="C281" s="202"/>
    </row>
    <row r="282" spans="1:3" x14ac:dyDescent="0.3">
      <c r="A282" s="204"/>
      <c r="B282" s="201"/>
      <c r="C282" s="202"/>
    </row>
    <row r="283" spans="1:3" x14ac:dyDescent="0.3">
      <c r="A283" s="204"/>
      <c r="B283" s="201"/>
      <c r="C283" s="202"/>
    </row>
    <row r="284" spans="1:3" x14ac:dyDescent="0.3">
      <c r="A284" s="204"/>
      <c r="B284" s="201"/>
      <c r="C284" s="202"/>
    </row>
    <row r="285" spans="1:3" x14ac:dyDescent="0.3">
      <c r="A285" s="204"/>
      <c r="B285" s="201"/>
      <c r="C285" s="202"/>
    </row>
    <row r="286" spans="1:3" x14ac:dyDescent="0.3">
      <c r="A286" s="204"/>
      <c r="B286" s="201"/>
      <c r="C286" s="202"/>
    </row>
    <row r="287" spans="1:3" x14ac:dyDescent="0.3">
      <c r="A287" s="204"/>
      <c r="B287" s="201"/>
      <c r="C287" s="202"/>
    </row>
    <row r="288" spans="1:3" x14ac:dyDescent="0.3">
      <c r="A288" s="204"/>
      <c r="B288" s="201"/>
      <c r="C288" s="202"/>
    </row>
    <row r="289" spans="1:3" x14ac:dyDescent="0.3">
      <c r="A289" s="204"/>
      <c r="B289" s="201"/>
      <c r="C289" s="202"/>
    </row>
    <row r="290" spans="1:3" x14ac:dyDescent="0.3">
      <c r="A290" s="204"/>
      <c r="B290" s="201"/>
      <c r="C290" s="202"/>
    </row>
    <row r="291" spans="1:3" x14ac:dyDescent="0.3">
      <c r="A291" s="204"/>
      <c r="B291" s="201"/>
      <c r="C291" s="202"/>
    </row>
    <row r="292" spans="1:3" x14ac:dyDescent="0.3">
      <c r="A292" s="204"/>
      <c r="B292" s="201"/>
      <c r="C292" s="202"/>
    </row>
    <row r="293" spans="1:3" x14ac:dyDescent="0.3">
      <c r="A293" s="204"/>
      <c r="B293" s="201"/>
      <c r="C293" s="202"/>
    </row>
    <row r="294" spans="1:3" x14ac:dyDescent="0.3">
      <c r="A294" s="204"/>
      <c r="B294" s="201"/>
      <c r="C294" s="202"/>
    </row>
    <row r="295" spans="1:3" x14ac:dyDescent="0.3">
      <c r="A295" s="204"/>
      <c r="B295" s="201"/>
      <c r="C295" s="202"/>
    </row>
    <row r="296" spans="1:3" x14ac:dyDescent="0.3">
      <c r="A296" s="204"/>
      <c r="B296" s="201"/>
      <c r="C296" s="202"/>
    </row>
    <row r="297" spans="1:3" x14ac:dyDescent="0.3">
      <c r="A297" s="204"/>
      <c r="B297" s="201"/>
      <c r="C297" s="202"/>
    </row>
    <row r="298" spans="1:3" x14ac:dyDescent="0.3">
      <c r="A298" s="204"/>
      <c r="B298" s="201"/>
      <c r="C298" s="202"/>
    </row>
    <row r="299" spans="1:3" x14ac:dyDescent="0.3">
      <c r="A299" s="204"/>
      <c r="B299" s="201"/>
      <c r="C299" s="202"/>
    </row>
    <row r="300" spans="1:3" x14ac:dyDescent="0.3">
      <c r="A300" s="204"/>
      <c r="B300" s="201"/>
      <c r="C300" s="202"/>
    </row>
    <row r="301" spans="1:3" x14ac:dyDescent="0.3">
      <c r="A301" s="204"/>
      <c r="B301" s="201"/>
      <c r="C301" s="202"/>
    </row>
    <row r="302" spans="1:3" x14ac:dyDescent="0.3">
      <c r="A302" s="204"/>
      <c r="B302" s="201"/>
      <c r="C302" s="202"/>
    </row>
  </sheetData>
  <mergeCells count="1">
    <mergeCell ref="A1:C1"/>
  </mergeCells>
  <pageMargins left="0.25" right="0.25" top="0.3" bottom="0.4" header="0.17" footer="0.17"/>
  <pageSetup scale="83" fitToHeight="0" orientation="portrait" horizontalDpi="300" verticalDpi="300" r:id="rId1"/>
  <headerFooter>
    <oddFooter>&amp;L&amp;"Arial Narrow,Regular"&amp;8 &amp;F&amp;C&amp;"Arial Narrow,Regular"&amp;8 &amp;A - &amp;D &amp;T&amp;R&amp;"Arial,Regular" &amp;P / &amp;N</oddFooter>
  </headerFooter>
  <tableParts count="1">
    <tablePart r:id="rId2"/>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16"/>
  <sheetViews>
    <sheetView showGridLines="0" zoomScaleNormal="100" workbookViewId="0">
      <selection activeCell="B100" sqref="B100"/>
    </sheetView>
  </sheetViews>
  <sheetFormatPr defaultColWidth="8.6640625" defaultRowHeight="13.8" x14ac:dyDescent="0.3"/>
  <cols>
    <col min="1" max="1" width="16" style="177" customWidth="1"/>
    <col min="2" max="2" width="95" style="168" customWidth="1"/>
    <col min="3" max="3" width="10" style="168" customWidth="1"/>
    <col min="4" max="4" width="12" style="208" customWidth="1"/>
    <col min="5" max="5" width="13" style="177" customWidth="1"/>
    <col min="6" max="6" width="11" style="177" customWidth="1"/>
    <col min="7" max="16384" width="8.6640625" style="168"/>
  </cols>
  <sheetData>
    <row r="1" spans="1:6" ht="30" customHeight="1" x14ac:dyDescent="0.3">
      <c r="A1" s="211" t="s">
        <v>595</v>
      </c>
      <c r="B1" s="211"/>
      <c r="C1" s="211"/>
      <c r="D1" s="211"/>
      <c r="E1" s="211"/>
      <c r="F1" s="211"/>
    </row>
    <row r="2" spans="1:6" ht="15" customHeight="1" x14ac:dyDescent="0.3">
      <c r="A2" s="210" t="s">
        <v>596</v>
      </c>
      <c r="C2" s="205">
        <f ca="1">COUNTIF(F5:F500,"OVERDUE")</f>
        <v>0</v>
      </c>
    </row>
    <row r="4" spans="1:6" s="209" customFormat="1" ht="27.75" customHeight="1" x14ac:dyDescent="0.3">
      <c r="A4" s="206" t="s">
        <v>597</v>
      </c>
      <c r="B4" s="206" t="s">
        <v>598</v>
      </c>
      <c r="C4" s="206" t="s">
        <v>599</v>
      </c>
      <c r="D4" s="207" t="s">
        <v>600</v>
      </c>
      <c r="E4" s="206" t="s">
        <v>601</v>
      </c>
      <c r="F4" s="206" t="s">
        <v>445</v>
      </c>
    </row>
    <row r="5" spans="1:6" x14ac:dyDescent="0.3">
      <c r="A5" s="220" t="s">
        <v>528</v>
      </c>
      <c r="B5" s="221" t="s">
        <v>602</v>
      </c>
      <c r="C5" s="222"/>
      <c r="D5" s="223"/>
      <c r="E5" s="224">
        <f>IFERROR(INDEX(Journal!$A:$A,MATCH($A5,Journal!$B:$B,0)),"")</f>
        <v>46295</v>
      </c>
      <c r="F5" s="220" t="str">
        <f t="shared" ref="F5:F85" ca="1" si="0">IF(C5="Y","Done",IF(AND(E5&lt;&gt;"",TODAY()&gt;E5),"OVERDUE","Pending"))</f>
        <v>Pending</v>
      </c>
    </row>
    <row r="6" spans="1:6" x14ac:dyDescent="0.3">
      <c r="A6" s="212" t="s">
        <v>528</v>
      </c>
      <c r="B6" s="213" t="s">
        <v>603</v>
      </c>
      <c r="C6" s="214"/>
      <c r="D6" s="215"/>
      <c r="E6" s="216">
        <f>IFERROR(INDEX(Journal!$A:$A,MATCH($A6,Journal!$B:$B,0)),"")</f>
        <v>46295</v>
      </c>
      <c r="F6" s="212" t="str">
        <f t="shared" ca="1" si="0"/>
        <v>Pending</v>
      </c>
    </row>
    <row r="7" spans="1:6" x14ac:dyDescent="0.3">
      <c r="A7" s="220" t="s">
        <v>528</v>
      </c>
      <c r="B7" s="221" t="s">
        <v>604</v>
      </c>
      <c r="C7" s="222"/>
      <c r="D7" s="223"/>
      <c r="E7" s="224">
        <f>IFERROR(INDEX(Journal!$A:$A,MATCH($A7,Journal!$B:$B,0)),"")</f>
        <v>46295</v>
      </c>
      <c r="F7" s="220" t="str">
        <f t="shared" ca="1" si="0"/>
        <v>Pending</v>
      </c>
    </row>
    <row r="8" spans="1:6" x14ac:dyDescent="0.3">
      <c r="A8" s="212" t="s">
        <v>528</v>
      </c>
      <c r="B8" s="213" t="s">
        <v>605</v>
      </c>
      <c r="C8" s="214"/>
      <c r="D8" s="215"/>
      <c r="E8" s="216">
        <f>IFERROR(INDEX(Journal!$A:$A,MATCH($A8,Journal!$B:$B,0)),"")</f>
        <v>46295</v>
      </c>
      <c r="F8" s="212" t="str">
        <f t="shared" ca="1" si="0"/>
        <v>Pending</v>
      </c>
    </row>
    <row r="9" spans="1:6" x14ac:dyDescent="0.3">
      <c r="A9" s="220" t="s">
        <v>528</v>
      </c>
      <c r="B9" s="221" t="s">
        <v>606</v>
      </c>
      <c r="C9" s="222"/>
      <c r="D9" s="223"/>
      <c r="E9" s="224">
        <f>IFERROR(INDEX(Journal!$A:$A,MATCH($A9,Journal!$B:$B,0)),"")</f>
        <v>46295</v>
      </c>
      <c r="F9" s="220" t="str">
        <f t="shared" ca="1" si="0"/>
        <v>Pending</v>
      </c>
    </row>
    <row r="10" spans="1:6" ht="14.4" thickBot="1" x14ac:dyDescent="0.35">
      <c r="A10" s="233" t="s">
        <v>528</v>
      </c>
      <c r="B10" s="234" t="s">
        <v>607</v>
      </c>
      <c r="C10" s="235"/>
      <c r="D10" s="236"/>
      <c r="E10" s="237">
        <f>IFERROR(INDEX(Journal!$A:$A,MATCH($A10,Journal!$B:$B,0)),"")</f>
        <v>46295</v>
      </c>
      <c r="F10" s="233" t="str">
        <f t="shared" ca="1" si="0"/>
        <v>Pending</v>
      </c>
    </row>
    <row r="11" spans="1:6" x14ac:dyDescent="0.3">
      <c r="A11" s="238" t="s">
        <v>579</v>
      </c>
      <c r="B11" s="239" t="s">
        <v>613</v>
      </c>
      <c r="C11" s="240"/>
      <c r="D11" s="241"/>
      <c r="E11" s="242">
        <f>IFERROR(INDEX(Journal!$A:$A,MATCH($A11,Journal!$B:$B,0)),"")</f>
        <v>46295</v>
      </c>
      <c r="F11" s="238" t="str">
        <f ca="1">IF(C11="Y","Done",IF(AND(E11&lt;&gt;"",TODAY()&gt;E11),"OVERDUE","Pending"))</f>
        <v>Pending</v>
      </c>
    </row>
    <row r="12" spans="1:6" x14ac:dyDescent="0.3">
      <c r="A12" s="220" t="s">
        <v>579</v>
      </c>
      <c r="B12" s="221" t="s">
        <v>614</v>
      </c>
      <c r="C12" s="222"/>
      <c r="D12" s="223"/>
      <c r="E12" s="224">
        <f>IFERROR(INDEX(Journal!$A:$A,MATCH($A12,Journal!$B:$B,0)),"")</f>
        <v>46295</v>
      </c>
      <c r="F12" s="220" t="str">
        <f ca="1">IF(C12="Y","Done",IF(AND(E12&lt;&gt;"",TODAY()&gt;E12),"OVERDUE","Pending"))</f>
        <v>Pending</v>
      </c>
    </row>
    <row r="13" spans="1:6" ht="55.2" x14ac:dyDescent="0.3">
      <c r="A13" s="212" t="s">
        <v>579</v>
      </c>
      <c r="B13" s="213" t="s">
        <v>615</v>
      </c>
      <c r="C13" s="214"/>
      <c r="D13" s="215"/>
      <c r="E13" s="216">
        <f>IFERROR(INDEX(Journal!$A:$A,MATCH($A13,Journal!$B:$B,0)),"")</f>
        <v>46295</v>
      </c>
      <c r="F13" s="212" t="str">
        <f ca="1">IF(C13="Y","Done",IF(AND(E13&lt;&gt;"",TODAY()&gt;E13),"OVERDUE","Pending"))</f>
        <v>Pending</v>
      </c>
    </row>
    <row r="14" spans="1:6" x14ac:dyDescent="0.3">
      <c r="A14" s="220" t="s">
        <v>579</v>
      </c>
      <c r="B14" s="221" t="s">
        <v>616</v>
      </c>
      <c r="C14" s="222"/>
      <c r="D14" s="223"/>
      <c r="E14" s="224">
        <f>IFERROR(INDEX(Journal!$A:$A,MATCH($A14,Journal!$B:$B,0)),"")</f>
        <v>46295</v>
      </c>
      <c r="F14" s="220" t="str">
        <f ca="1">IF(C14="Y","Done",IF(AND(E14&lt;&gt;"",TODAY()&gt;E14),"OVERDUE","Pending"))</f>
        <v>Pending</v>
      </c>
    </row>
    <row r="15" spans="1:6" x14ac:dyDescent="0.3">
      <c r="A15" s="212" t="s">
        <v>579</v>
      </c>
      <c r="B15" s="213" t="s">
        <v>617</v>
      </c>
      <c r="C15" s="214"/>
      <c r="D15" s="215"/>
      <c r="E15" s="216">
        <f>IFERROR(INDEX(Journal!$A:$A,MATCH($A15,Journal!$B:$B,0)),"")</f>
        <v>46295</v>
      </c>
      <c r="F15" s="212" t="str">
        <f ca="1">IF(C15="Y","Done",IF(AND(E15&lt;&gt;"",TODAY()&gt;E15),"OVERDUE","Pending"))</f>
        <v>Pending</v>
      </c>
    </row>
    <row r="16" spans="1:6" x14ac:dyDescent="0.3">
      <c r="A16" s="220" t="s">
        <v>579</v>
      </c>
      <c r="B16" s="221" t="s">
        <v>618</v>
      </c>
      <c r="C16" s="222"/>
      <c r="D16" s="223"/>
      <c r="E16" s="224">
        <f>IFERROR(INDEX(Journal!$A:$A,MATCH($A16,Journal!$B:$B,0)),"")</f>
        <v>46295</v>
      </c>
      <c r="F16" s="220" t="str">
        <f ca="1">IF(C16="Y","Done",IF(AND(E16&lt;&gt;"",TODAY()&gt;E16),"OVERDUE","Pending"))</f>
        <v>Pending</v>
      </c>
    </row>
    <row r="17" spans="1:6" x14ac:dyDescent="0.3">
      <c r="A17" s="212" t="s">
        <v>579</v>
      </c>
      <c r="B17" s="213" t="s">
        <v>605</v>
      </c>
      <c r="C17" s="214"/>
      <c r="D17" s="215"/>
      <c r="E17" s="216">
        <f>IFERROR(INDEX(Journal!$A:$A,MATCH($A17,Journal!$B:$B,0)),"")</f>
        <v>46295</v>
      </c>
      <c r="F17" s="212" t="str">
        <f ca="1">IF(C17="Y","Done",IF(AND(E17&lt;&gt;"",TODAY()&gt;E17),"OVERDUE","Pending"))</f>
        <v>Pending</v>
      </c>
    </row>
    <row r="18" spans="1:6" x14ac:dyDescent="0.3">
      <c r="A18" s="220" t="s">
        <v>579</v>
      </c>
      <c r="B18" s="221" t="s">
        <v>606</v>
      </c>
      <c r="C18" s="222"/>
      <c r="D18" s="223"/>
      <c r="E18" s="224">
        <f>IFERROR(INDEX(Journal!$A:$A,MATCH($A18,Journal!$B:$B,0)),"")</f>
        <v>46295</v>
      </c>
      <c r="F18" s="220" t="str">
        <f ca="1">IF(C18="Y","Done",IF(AND(E18&lt;&gt;"",TODAY()&gt;E18),"OVERDUE","Pending"))</f>
        <v>Pending</v>
      </c>
    </row>
    <row r="19" spans="1:6" ht="14.4" thickBot="1" x14ac:dyDescent="0.35">
      <c r="A19" s="233" t="s">
        <v>579</v>
      </c>
      <c r="B19" s="234" t="s">
        <v>607</v>
      </c>
      <c r="C19" s="235"/>
      <c r="D19" s="236"/>
      <c r="E19" s="237">
        <f>IFERROR(INDEX(Journal!$A:$A,MATCH($A19,Journal!$B:$B,0)),"")</f>
        <v>46295</v>
      </c>
      <c r="F19" s="233" t="str">
        <f ca="1">IF(C19="Y","Done",IF(AND(E19&lt;&gt;"",TODAY()&gt;E19),"OVERDUE","Pending"))</f>
        <v>Pending</v>
      </c>
    </row>
    <row r="20" spans="1:6" x14ac:dyDescent="0.3">
      <c r="A20" s="228" t="s">
        <v>581</v>
      </c>
      <c r="B20" s="229" t="s">
        <v>613</v>
      </c>
      <c r="C20" s="230"/>
      <c r="D20" s="231"/>
      <c r="E20" s="232">
        <f>IFERROR(INDEX(Journal!$A:$A,MATCH($A20,Journal!$B:$B,0)),"")</f>
        <v>46302</v>
      </c>
      <c r="F20" s="228" t="str">
        <f ca="1">IF(C20="Y","Done",IF(AND(E20&lt;&gt;"",TODAY()&gt;E20),"OVERDUE","Pending"))</f>
        <v>Pending</v>
      </c>
    </row>
    <row r="21" spans="1:6" x14ac:dyDescent="0.3">
      <c r="A21" s="212" t="s">
        <v>581</v>
      </c>
      <c r="B21" s="213" t="s">
        <v>614</v>
      </c>
      <c r="C21" s="214"/>
      <c r="D21" s="215"/>
      <c r="E21" s="216">
        <f>IFERROR(INDEX(Journal!$A:$A,MATCH($A21,Journal!$B:$B,0)),"")</f>
        <v>46302</v>
      </c>
      <c r="F21" s="212" t="str">
        <f ca="1">IF(C21="Y","Done",IF(AND(E21&lt;&gt;"",TODAY()&gt;E21),"OVERDUE","Pending"))</f>
        <v>Pending</v>
      </c>
    </row>
    <row r="22" spans="1:6" ht="55.2" x14ac:dyDescent="0.3">
      <c r="A22" s="220" t="s">
        <v>581</v>
      </c>
      <c r="B22" s="221" t="s">
        <v>615</v>
      </c>
      <c r="C22" s="222"/>
      <c r="D22" s="223"/>
      <c r="E22" s="224">
        <f>IFERROR(INDEX(Journal!$A:$A,MATCH($A22,Journal!$B:$B,0)),"")</f>
        <v>46302</v>
      </c>
      <c r="F22" s="220" t="str">
        <f ca="1">IF(C22="Y","Done",IF(AND(E22&lt;&gt;"",TODAY()&gt;E22),"OVERDUE","Pending"))</f>
        <v>Pending</v>
      </c>
    </row>
    <row r="23" spans="1:6" x14ac:dyDescent="0.3">
      <c r="A23" s="212" t="s">
        <v>581</v>
      </c>
      <c r="B23" s="213" t="s">
        <v>616</v>
      </c>
      <c r="C23" s="214"/>
      <c r="D23" s="215"/>
      <c r="E23" s="216">
        <f>IFERROR(INDEX(Journal!$A:$A,MATCH($A23,Journal!$B:$B,0)),"")</f>
        <v>46302</v>
      </c>
      <c r="F23" s="212" t="str">
        <f ca="1">IF(C23="Y","Done",IF(AND(E23&lt;&gt;"",TODAY()&gt;E23),"OVERDUE","Pending"))</f>
        <v>Pending</v>
      </c>
    </row>
    <row r="24" spans="1:6" x14ac:dyDescent="0.3">
      <c r="A24" s="220" t="s">
        <v>581</v>
      </c>
      <c r="B24" s="221" t="s">
        <v>617</v>
      </c>
      <c r="C24" s="222"/>
      <c r="D24" s="223"/>
      <c r="E24" s="224">
        <f>IFERROR(INDEX(Journal!$A:$A,MATCH($A24,Journal!$B:$B,0)),"")</f>
        <v>46302</v>
      </c>
      <c r="F24" s="220" t="str">
        <f ca="1">IF(C24="Y","Done",IF(AND(E24&lt;&gt;"",TODAY()&gt;E24),"OVERDUE","Pending"))</f>
        <v>Pending</v>
      </c>
    </row>
    <row r="25" spans="1:6" x14ac:dyDescent="0.3">
      <c r="A25" s="212" t="s">
        <v>581</v>
      </c>
      <c r="B25" s="213" t="s">
        <v>618</v>
      </c>
      <c r="C25" s="214"/>
      <c r="D25" s="215"/>
      <c r="E25" s="216">
        <f>IFERROR(INDEX(Journal!$A:$A,MATCH($A25,Journal!$B:$B,0)),"")</f>
        <v>46302</v>
      </c>
      <c r="F25" s="212" t="str">
        <f ca="1">IF(C25="Y","Done",IF(AND(E25&lt;&gt;"",TODAY()&gt;E25),"OVERDUE","Pending"))</f>
        <v>Pending</v>
      </c>
    </row>
    <row r="26" spans="1:6" x14ac:dyDescent="0.3">
      <c r="A26" s="220" t="s">
        <v>581</v>
      </c>
      <c r="B26" s="221" t="s">
        <v>605</v>
      </c>
      <c r="C26" s="222"/>
      <c r="D26" s="223"/>
      <c r="E26" s="224">
        <f>IFERROR(INDEX(Journal!$A:$A,MATCH($A26,Journal!$B:$B,0)),"")</f>
        <v>46302</v>
      </c>
      <c r="F26" s="220" t="str">
        <f ca="1">IF(C26="Y","Done",IF(AND(E26&lt;&gt;"",TODAY()&gt;E26),"OVERDUE","Pending"))</f>
        <v>Pending</v>
      </c>
    </row>
    <row r="27" spans="1:6" x14ac:dyDescent="0.3">
      <c r="A27" s="212" t="s">
        <v>581</v>
      </c>
      <c r="B27" s="213" t="s">
        <v>606</v>
      </c>
      <c r="C27" s="214"/>
      <c r="D27" s="215"/>
      <c r="E27" s="216">
        <f>IFERROR(INDEX(Journal!$A:$A,MATCH($A27,Journal!$B:$B,0)),"")</f>
        <v>46302</v>
      </c>
      <c r="F27" s="212" t="str">
        <f ca="1">IF(C27="Y","Done",IF(AND(E27&lt;&gt;"",TODAY()&gt;E27),"OVERDUE","Pending"))</f>
        <v>Pending</v>
      </c>
    </row>
    <row r="28" spans="1:6" ht="14.4" thickBot="1" x14ac:dyDescent="0.35">
      <c r="A28" s="243" t="s">
        <v>581</v>
      </c>
      <c r="B28" s="244" t="s">
        <v>607</v>
      </c>
      <c r="C28" s="245"/>
      <c r="D28" s="246"/>
      <c r="E28" s="247">
        <f>IFERROR(INDEX(Journal!$A:$A,MATCH($A28,Journal!$B:$B,0)),"")</f>
        <v>46302</v>
      </c>
      <c r="F28" s="243" t="str">
        <f ca="1">IF(C28="Y","Done",IF(AND(E28&lt;&gt;"",TODAY()&gt;E28),"OVERDUE","Pending"))</f>
        <v>Pending</v>
      </c>
    </row>
    <row r="29" spans="1:6" x14ac:dyDescent="0.3">
      <c r="A29" s="238" t="s">
        <v>583</v>
      </c>
      <c r="B29" s="239" t="s">
        <v>613</v>
      </c>
      <c r="C29" s="240"/>
      <c r="D29" s="241"/>
      <c r="E29" s="242">
        <f>IFERROR(INDEX(Journal!$A:$A,MATCH($A29,Journal!$B:$B,0)),"")</f>
        <v>46317</v>
      </c>
      <c r="F29" s="238" t="str">
        <f ca="1">IF(C29="Y","Done",IF(AND(E29&lt;&gt;"",TODAY()&gt;E29),"OVERDUE","Pending"))</f>
        <v>Pending</v>
      </c>
    </row>
    <row r="30" spans="1:6" x14ac:dyDescent="0.3">
      <c r="A30" s="220" t="s">
        <v>583</v>
      </c>
      <c r="B30" s="221" t="s">
        <v>614</v>
      </c>
      <c r="C30" s="222"/>
      <c r="D30" s="223"/>
      <c r="E30" s="224">
        <f>IFERROR(INDEX(Journal!$A:$A,MATCH($A30,Journal!$B:$B,0)),"")</f>
        <v>46317</v>
      </c>
      <c r="F30" s="220" t="str">
        <f ca="1">IF(C30="Y","Done",IF(AND(E30&lt;&gt;"",TODAY()&gt;E30),"OVERDUE","Pending"))</f>
        <v>Pending</v>
      </c>
    </row>
    <row r="31" spans="1:6" ht="55.2" x14ac:dyDescent="0.3">
      <c r="A31" s="212" t="s">
        <v>583</v>
      </c>
      <c r="B31" s="213" t="s">
        <v>615</v>
      </c>
      <c r="C31" s="214"/>
      <c r="D31" s="215"/>
      <c r="E31" s="216">
        <f>IFERROR(INDEX(Journal!$A:$A,MATCH($A31,Journal!$B:$B,0)),"")</f>
        <v>46317</v>
      </c>
      <c r="F31" s="212" t="str">
        <f ca="1">IF(C31="Y","Done",IF(AND(E31&lt;&gt;"",TODAY()&gt;E31),"OVERDUE","Pending"))</f>
        <v>Pending</v>
      </c>
    </row>
    <row r="32" spans="1:6" x14ac:dyDescent="0.3">
      <c r="A32" s="220" t="s">
        <v>583</v>
      </c>
      <c r="B32" s="221" t="s">
        <v>616</v>
      </c>
      <c r="C32" s="222"/>
      <c r="D32" s="223"/>
      <c r="E32" s="224">
        <f>IFERROR(INDEX(Journal!$A:$A,MATCH($A32,Journal!$B:$B,0)),"")</f>
        <v>46317</v>
      </c>
      <c r="F32" s="220" t="str">
        <f ca="1">IF(C32="Y","Done",IF(AND(E32&lt;&gt;"",TODAY()&gt;E32),"OVERDUE","Pending"))</f>
        <v>Pending</v>
      </c>
    </row>
    <row r="33" spans="1:6" x14ac:dyDescent="0.3">
      <c r="A33" s="212" t="s">
        <v>583</v>
      </c>
      <c r="B33" s="213" t="s">
        <v>617</v>
      </c>
      <c r="C33" s="214"/>
      <c r="D33" s="215"/>
      <c r="E33" s="216">
        <f>IFERROR(INDEX(Journal!$A:$A,MATCH($A33,Journal!$B:$B,0)),"")</f>
        <v>46317</v>
      </c>
      <c r="F33" s="212" t="str">
        <f ca="1">IF(C33="Y","Done",IF(AND(E33&lt;&gt;"",TODAY()&gt;E33),"OVERDUE","Pending"))</f>
        <v>Pending</v>
      </c>
    </row>
    <row r="34" spans="1:6" x14ac:dyDescent="0.3">
      <c r="A34" s="220" t="s">
        <v>583</v>
      </c>
      <c r="B34" s="221" t="s">
        <v>618</v>
      </c>
      <c r="C34" s="222"/>
      <c r="D34" s="223"/>
      <c r="E34" s="224">
        <f>IFERROR(INDEX(Journal!$A:$A,MATCH($A34,Journal!$B:$B,0)),"")</f>
        <v>46317</v>
      </c>
      <c r="F34" s="220" t="str">
        <f ca="1">IF(C34="Y","Done",IF(AND(E34&lt;&gt;"",TODAY()&gt;E34),"OVERDUE","Pending"))</f>
        <v>Pending</v>
      </c>
    </row>
    <row r="35" spans="1:6" x14ac:dyDescent="0.3">
      <c r="A35" s="212" t="s">
        <v>583</v>
      </c>
      <c r="B35" s="213" t="s">
        <v>605</v>
      </c>
      <c r="C35" s="214"/>
      <c r="D35" s="215"/>
      <c r="E35" s="216">
        <f>IFERROR(INDEX(Journal!$A:$A,MATCH($A35,Journal!$B:$B,0)),"")</f>
        <v>46317</v>
      </c>
      <c r="F35" s="212" t="str">
        <f ca="1">IF(C35="Y","Done",IF(AND(E35&lt;&gt;"",TODAY()&gt;E35),"OVERDUE","Pending"))</f>
        <v>Pending</v>
      </c>
    </row>
    <row r="36" spans="1:6" x14ac:dyDescent="0.3">
      <c r="A36" s="220" t="s">
        <v>583</v>
      </c>
      <c r="B36" s="221" t="s">
        <v>606</v>
      </c>
      <c r="C36" s="222"/>
      <c r="D36" s="223"/>
      <c r="E36" s="224">
        <f>IFERROR(INDEX(Journal!$A:$A,MATCH($A36,Journal!$B:$B,0)),"")</f>
        <v>46317</v>
      </c>
      <c r="F36" s="220" t="str">
        <f ca="1">IF(C36="Y","Done",IF(AND(E36&lt;&gt;"",TODAY()&gt;E36),"OVERDUE","Pending"))</f>
        <v>Pending</v>
      </c>
    </row>
    <row r="37" spans="1:6" ht="14.4" thickBot="1" x14ac:dyDescent="0.35">
      <c r="A37" s="233" t="s">
        <v>583</v>
      </c>
      <c r="B37" s="234" t="s">
        <v>607</v>
      </c>
      <c r="C37" s="235"/>
      <c r="D37" s="236"/>
      <c r="E37" s="237">
        <f>IFERROR(INDEX(Journal!$A:$A,MATCH($A37,Journal!$B:$B,0)),"")</f>
        <v>46317</v>
      </c>
      <c r="F37" s="233" t="str">
        <f ca="1">IF(C37="Y","Done",IF(AND(E37&lt;&gt;"",TODAY()&gt;E37),"OVERDUE","Pending"))</f>
        <v>Pending</v>
      </c>
    </row>
    <row r="38" spans="1:6" ht="27.6" x14ac:dyDescent="0.3">
      <c r="A38" s="228" t="s">
        <v>532</v>
      </c>
      <c r="B38" s="229" t="s">
        <v>608</v>
      </c>
      <c r="C38" s="230"/>
      <c r="D38" s="231"/>
      <c r="E38" s="232">
        <f>IFERROR(INDEX(Journal!$A:$A,MATCH($A38,Journal!$B:$B,0)),"")</f>
        <v>46320</v>
      </c>
      <c r="F38" s="228" t="str">
        <f t="shared" ca="1" si="0"/>
        <v>Pending</v>
      </c>
    </row>
    <row r="39" spans="1:6" x14ac:dyDescent="0.3">
      <c r="A39" s="212" t="s">
        <v>532</v>
      </c>
      <c r="B39" s="213" t="s">
        <v>609</v>
      </c>
      <c r="C39" s="214"/>
      <c r="D39" s="215"/>
      <c r="E39" s="216">
        <f>IFERROR(INDEX(Journal!$A:$A,MATCH($A39,Journal!$B:$B,0)),"")</f>
        <v>46320</v>
      </c>
      <c r="F39" s="212" t="str">
        <f t="shared" ca="1" si="0"/>
        <v>Pending</v>
      </c>
    </row>
    <row r="40" spans="1:6" ht="27.6" x14ac:dyDescent="0.3">
      <c r="A40" s="220" t="s">
        <v>532</v>
      </c>
      <c r="B40" s="221" t="s">
        <v>610</v>
      </c>
      <c r="C40" s="222"/>
      <c r="D40" s="223"/>
      <c r="E40" s="224">
        <f>IFERROR(INDEX(Journal!$A:$A,MATCH($A40,Journal!$B:$B,0)),"")</f>
        <v>46320</v>
      </c>
      <c r="F40" s="220" t="str">
        <f t="shared" ca="1" si="0"/>
        <v>Pending</v>
      </c>
    </row>
    <row r="41" spans="1:6" x14ac:dyDescent="0.3">
      <c r="A41" s="212" t="s">
        <v>532</v>
      </c>
      <c r="B41" s="213" t="s">
        <v>605</v>
      </c>
      <c r="C41" s="214"/>
      <c r="D41" s="215"/>
      <c r="E41" s="216">
        <f>IFERROR(INDEX(Journal!$A:$A,MATCH($A41,Journal!$B:$B,0)),"")</f>
        <v>46320</v>
      </c>
      <c r="F41" s="212" t="str">
        <f t="shared" ca="1" si="0"/>
        <v>Pending</v>
      </c>
    </row>
    <row r="42" spans="1:6" x14ac:dyDescent="0.3">
      <c r="A42" s="220" t="s">
        <v>532</v>
      </c>
      <c r="B42" s="221" t="s">
        <v>606</v>
      </c>
      <c r="C42" s="222"/>
      <c r="D42" s="223"/>
      <c r="E42" s="224">
        <f>IFERROR(INDEX(Journal!$A:$A,MATCH($A42,Journal!$B:$B,0)),"")</f>
        <v>46320</v>
      </c>
      <c r="F42" s="220" t="str">
        <f t="shared" ca="1" si="0"/>
        <v>Pending</v>
      </c>
    </row>
    <row r="43" spans="1:6" ht="14.4" thickBot="1" x14ac:dyDescent="0.35">
      <c r="A43" s="233" t="s">
        <v>532</v>
      </c>
      <c r="B43" s="234" t="s">
        <v>607</v>
      </c>
      <c r="C43" s="235"/>
      <c r="D43" s="236"/>
      <c r="E43" s="237">
        <f>IFERROR(INDEX(Journal!$A:$A,MATCH($A43,Journal!$B:$B,0)),"")</f>
        <v>46320</v>
      </c>
      <c r="F43" s="233" t="str">
        <f t="shared" ca="1" si="0"/>
        <v>Pending</v>
      </c>
    </row>
    <row r="44" spans="1:6" x14ac:dyDescent="0.3">
      <c r="A44" s="220" t="s">
        <v>585</v>
      </c>
      <c r="B44" s="221" t="s">
        <v>613</v>
      </c>
      <c r="C44" s="222"/>
      <c r="D44" s="223"/>
      <c r="E44" s="224">
        <f>IFERROR(INDEX(Journal!$A:$A,MATCH($A44,Journal!$B:$B,0)),"")</f>
        <v>46335</v>
      </c>
      <c r="F44" s="220" t="str">
        <f ca="1">IF(C44="Y","Done",IF(AND(E44&lt;&gt;"",TODAY()&gt;E44),"OVERDUE","Pending"))</f>
        <v>Pending</v>
      </c>
    </row>
    <row r="45" spans="1:6" x14ac:dyDescent="0.3">
      <c r="A45" s="212" t="s">
        <v>585</v>
      </c>
      <c r="B45" s="213" t="s">
        <v>614</v>
      </c>
      <c r="C45" s="214"/>
      <c r="D45" s="215"/>
      <c r="E45" s="216">
        <f>IFERROR(INDEX(Journal!$A:$A,MATCH($A45,Journal!$B:$B,0)),"")</f>
        <v>46335</v>
      </c>
      <c r="F45" s="212" t="str">
        <f ca="1">IF(C45="Y","Done",IF(AND(E45&lt;&gt;"",TODAY()&gt;E45),"OVERDUE","Pending"))</f>
        <v>Pending</v>
      </c>
    </row>
    <row r="46" spans="1:6" ht="55.2" x14ac:dyDescent="0.3">
      <c r="A46" s="220" t="s">
        <v>585</v>
      </c>
      <c r="B46" s="221" t="s">
        <v>615</v>
      </c>
      <c r="C46" s="222"/>
      <c r="D46" s="223"/>
      <c r="E46" s="224">
        <f>IFERROR(INDEX(Journal!$A:$A,MATCH($A46,Journal!$B:$B,0)),"")</f>
        <v>46335</v>
      </c>
      <c r="F46" s="220" t="str">
        <f ca="1">IF(C46="Y","Done",IF(AND(E46&lt;&gt;"",TODAY()&gt;E46),"OVERDUE","Pending"))</f>
        <v>Pending</v>
      </c>
    </row>
    <row r="47" spans="1:6" x14ac:dyDescent="0.3">
      <c r="A47" s="212" t="s">
        <v>585</v>
      </c>
      <c r="B47" s="213" t="s">
        <v>616</v>
      </c>
      <c r="C47" s="214"/>
      <c r="D47" s="215"/>
      <c r="E47" s="216">
        <f>IFERROR(INDEX(Journal!$A:$A,MATCH($A47,Journal!$B:$B,0)),"")</f>
        <v>46335</v>
      </c>
      <c r="F47" s="212" t="str">
        <f ca="1">IF(C47="Y","Done",IF(AND(E47&lt;&gt;"",TODAY()&gt;E47),"OVERDUE","Pending"))</f>
        <v>Pending</v>
      </c>
    </row>
    <row r="48" spans="1:6" x14ac:dyDescent="0.3">
      <c r="A48" s="220" t="s">
        <v>585</v>
      </c>
      <c r="B48" s="221" t="s">
        <v>617</v>
      </c>
      <c r="C48" s="222"/>
      <c r="D48" s="223"/>
      <c r="E48" s="224">
        <f>IFERROR(INDEX(Journal!$A:$A,MATCH($A48,Journal!$B:$B,0)),"")</f>
        <v>46335</v>
      </c>
      <c r="F48" s="220" t="str">
        <f ca="1">IF(C48="Y","Done",IF(AND(E48&lt;&gt;"",TODAY()&gt;E48),"OVERDUE","Pending"))</f>
        <v>Pending</v>
      </c>
    </row>
    <row r="49" spans="1:6" x14ac:dyDescent="0.3">
      <c r="A49" s="212" t="s">
        <v>585</v>
      </c>
      <c r="B49" s="213" t="s">
        <v>618</v>
      </c>
      <c r="C49" s="214"/>
      <c r="D49" s="215"/>
      <c r="E49" s="216">
        <f>IFERROR(INDEX(Journal!$A:$A,MATCH($A49,Journal!$B:$B,0)),"")</f>
        <v>46335</v>
      </c>
      <c r="F49" s="212" t="str">
        <f ca="1">IF(C49="Y","Done",IF(AND(E49&lt;&gt;"",TODAY()&gt;E49),"OVERDUE","Pending"))</f>
        <v>Pending</v>
      </c>
    </row>
    <row r="50" spans="1:6" x14ac:dyDescent="0.3">
      <c r="A50" s="220" t="s">
        <v>585</v>
      </c>
      <c r="B50" s="221" t="s">
        <v>605</v>
      </c>
      <c r="C50" s="222"/>
      <c r="D50" s="223"/>
      <c r="E50" s="224">
        <f>IFERROR(INDEX(Journal!$A:$A,MATCH($A50,Journal!$B:$B,0)),"")</f>
        <v>46335</v>
      </c>
      <c r="F50" s="220" t="str">
        <f ca="1">IF(C50="Y","Done",IF(AND(E50&lt;&gt;"",TODAY()&gt;E50),"OVERDUE","Pending"))</f>
        <v>Pending</v>
      </c>
    </row>
    <row r="51" spans="1:6" x14ac:dyDescent="0.3">
      <c r="A51" s="212" t="s">
        <v>585</v>
      </c>
      <c r="B51" s="213" t="s">
        <v>606</v>
      </c>
      <c r="C51" s="214"/>
      <c r="D51" s="215"/>
      <c r="E51" s="216">
        <f>IFERROR(INDEX(Journal!$A:$A,MATCH($A51,Journal!$B:$B,0)),"")</f>
        <v>46335</v>
      </c>
      <c r="F51" s="212" t="str">
        <f ca="1">IF(C51="Y","Done",IF(AND(E51&lt;&gt;"",TODAY()&gt;E51),"OVERDUE","Pending"))</f>
        <v>Pending</v>
      </c>
    </row>
    <row r="52" spans="1:6" ht="14.4" thickBot="1" x14ac:dyDescent="0.35">
      <c r="A52" s="243" t="s">
        <v>585</v>
      </c>
      <c r="B52" s="244" t="s">
        <v>607</v>
      </c>
      <c r="C52" s="245"/>
      <c r="D52" s="246"/>
      <c r="E52" s="247">
        <f>IFERROR(INDEX(Journal!$A:$A,MATCH($A52,Journal!$B:$B,0)),"")</f>
        <v>46335</v>
      </c>
      <c r="F52" s="243" t="str">
        <f ca="1">IF(C52="Y","Done",IF(AND(E52&lt;&gt;"",TODAY()&gt;E52),"OVERDUE","Pending"))</f>
        <v>Pending</v>
      </c>
    </row>
    <row r="53" spans="1:6" x14ac:dyDescent="0.3">
      <c r="A53" s="212" t="s">
        <v>587</v>
      </c>
      <c r="B53" s="213" t="s">
        <v>613</v>
      </c>
      <c r="C53" s="214"/>
      <c r="D53" s="215"/>
      <c r="E53" s="216">
        <f>IFERROR(INDEX(Journal!$A:$A,MATCH($A53,Journal!$B:$B,0)),"")</f>
        <v>46349</v>
      </c>
      <c r="F53" s="212" t="str">
        <f t="shared" ref="F53:F57" ca="1" si="1">IF(C53="Y","Done",IF(AND(E53&lt;&gt;"",TODAY()&gt;E53),"OVERDUE","Pending"))</f>
        <v>Pending</v>
      </c>
    </row>
    <row r="54" spans="1:6" x14ac:dyDescent="0.3">
      <c r="A54" s="220" t="s">
        <v>587</v>
      </c>
      <c r="B54" s="221" t="s">
        <v>614</v>
      </c>
      <c r="C54" s="222"/>
      <c r="D54" s="223"/>
      <c r="E54" s="224">
        <f>IFERROR(INDEX(Journal!$A:$A,MATCH($A54,Journal!$B:$B,0)),"")</f>
        <v>46349</v>
      </c>
      <c r="F54" s="220" t="str">
        <f t="shared" ca="1" si="1"/>
        <v>Pending</v>
      </c>
    </row>
    <row r="55" spans="1:6" ht="55.2" x14ac:dyDescent="0.3">
      <c r="A55" s="212" t="s">
        <v>587</v>
      </c>
      <c r="B55" s="213" t="s">
        <v>615</v>
      </c>
      <c r="C55" s="214"/>
      <c r="D55" s="215"/>
      <c r="E55" s="216">
        <f>IFERROR(INDEX(Journal!$A:$A,MATCH($A55,Journal!$B:$B,0)),"")</f>
        <v>46349</v>
      </c>
      <c r="F55" s="212" t="str">
        <f t="shared" ca="1" si="1"/>
        <v>Pending</v>
      </c>
    </row>
    <row r="56" spans="1:6" x14ac:dyDescent="0.3">
      <c r="A56" s="220" t="s">
        <v>587</v>
      </c>
      <c r="B56" s="221" t="s">
        <v>616</v>
      </c>
      <c r="C56" s="222"/>
      <c r="D56" s="223"/>
      <c r="E56" s="224">
        <f>IFERROR(INDEX(Journal!$A:$A,MATCH($A56,Journal!$B:$B,0)),"")</f>
        <v>46349</v>
      </c>
      <c r="F56" s="220" t="str">
        <f t="shared" ca="1" si="1"/>
        <v>Pending</v>
      </c>
    </row>
    <row r="57" spans="1:6" x14ac:dyDescent="0.3">
      <c r="A57" s="212" t="s">
        <v>587</v>
      </c>
      <c r="B57" s="213" t="s">
        <v>617</v>
      </c>
      <c r="C57" s="214"/>
      <c r="D57" s="215"/>
      <c r="E57" s="216">
        <f>IFERROR(INDEX(Journal!$A:$A,MATCH($A57,Journal!$B:$B,0)),"")</f>
        <v>46349</v>
      </c>
      <c r="F57" s="212" t="str">
        <f t="shared" ca="1" si="1"/>
        <v>Pending</v>
      </c>
    </row>
    <row r="58" spans="1:6" x14ac:dyDescent="0.3">
      <c r="A58" s="220" t="s">
        <v>587</v>
      </c>
      <c r="B58" s="221" t="s">
        <v>618</v>
      </c>
      <c r="C58" s="222"/>
      <c r="D58" s="223"/>
      <c r="E58" s="224">
        <f>IFERROR(INDEX(Journal!$A:$A,MATCH($A58,Journal!$B:$B,0)),"")</f>
        <v>46349</v>
      </c>
      <c r="F58" s="220" t="str">
        <f ca="1">IF(C58="Y","Done",IF(AND(E58&lt;&gt;"",TODAY()&gt;E58),"OVERDUE","Pending"))</f>
        <v>Pending</v>
      </c>
    </row>
    <row r="59" spans="1:6" x14ac:dyDescent="0.3">
      <c r="A59" s="212" t="s">
        <v>587</v>
      </c>
      <c r="B59" s="213" t="s">
        <v>605</v>
      </c>
      <c r="C59" s="214"/>
      <c r="D59" s="215"/>
      <c r="E59" s="216">
        <f>IFERROR(INDEX(Journal!$A:$A,MATCH($A59,Journal!$B:$B,0)),"")</f>
        <v>46349</v>
      </c>
      <c r="F59" s="212" t="str">
        <f ca="1">IF(C59="Y","Done",IF(AND(E59&lt;&gt;"",TODAY()&gt;E59),"OVERDUE","Pending"))</f>
        <v>Pending</v>
      </c>
    </row>
    <row r="60" spans="1:6" x14ac:dyDescent="0.3">
      <c r="A60" s="220" t="s">
        <v>587</v>
      </c>
      <c r="B60" s="221" t="s">
        <v>606</v>
      </c>
      <c r="C60" s="222"/>
      <c r="D60" s="223"/>
      <c r="E60" s="224">
        <f>IFERROR(INDEX(Journal!$A:$A,MATCH($A60,Journal!$B:$B,0)),"")</f>
        <v>46349</v>
      </c>
      <c r="F60" s="220" t="str">
        <f ca="1">IF(C60="Y","Done",IF(AND(E60&lt;&gt;"",TODAY()&gt;E60),"OVERDUE","Pending"))</f>
        <v>Pending</v>
      </c>
    </row>
    <row r="61" spans="1:6" ht="14.4" thickBot="1" x14ac:dyDescent="0.35">
      <c r="A61" s="233" t="s">
        <v>587</v>
      </c>
      <c r="B61" s="234" t="s">
        <v>607</v>
      </c>
      <c r="C61" s="235"/>
      <c r="D61" s="236"/>
      <c r="E61" s="237">
        <f>IFERROR(INDEX(Journal!$A:$A,MATCH($A61,Journal!$B:$B,0)),"")</f>
        <v>46349</v>
      </c>
      <c r="F61" s="233" t="str">
        <f ca="1">IF(C61="Y","Done",IF(AND(E61&lt;&gt;"",TODAY()&gt;E61),"OVERDUE","Pending"))</f>
        <v>Pending</v>
      </c>
    </row>
    <row r="62" spans="1:6" x14ac:dyDescent="0.3">
      <c r="A62" s="228" t="s">
        <v>589</v>
      </c>
      <c r="B62" s="229" t="s">
        <v>613</v>
      </c>
      <c r="C62" s="230"/>
      <c r="D62" s="231"/>
      <c r="E62" s="232">
        <f>IFERROR(INDEX(Journal!$A:$A,MATCH($A62,Journal!$B:$B,0)),"")</f>
        <v>46363</v>
      </c>
      <c r="F62" s="228" t="str">
        <f ca="1">IF(C62="Y","Done",IF(AND(E62&lt;&gt;"",TODAY()&gt;E62),"OVERDUE","Pending"))</f>
        <v>Pending</v>
      </c>
    </row>
    <row r="63" spans="1:6" x14ac:dyDescent="0.3">
      <c r="A63" s="212" t="s">
        <v>589</v>
      </c>
      <c r="B63" s="213" t="s">
        <v>614</v>
      </c>
      <c r="C63" s="214"/>
      <c r="D63" s="215"/>
      <c r="E63" s="216">
        <f>IFERROR(INDEX(Journal!$A:$A,MATCH($A63,Journal!$B:$B,0)),"")</f>
        <v>46363</v>
      </c>
      <c r="F63" s="212" t="str">
        <f ca="1">IF(C63="Y","Done",IF(AND(E63&lt;&gt;"",TODAY()&gt;E63),"OVERDUE","Pending"))</f>
        <v>Pending</v>
      </c>
    </row>
    <row r="64" spans="1:6" ht="55.2" x14ac:dyDescent="0.3">
      <c r="A64" s="220" t="s">
        <v>589</v>
      </c>
      <c r="B64" s="221" t="s">
        <v>615</v>
      </c>
      <c r="C64" s="222"/>
      <c r="D64" s="223"/>
      <c r="E64" s="224">
        <f>IFERROR(INDEX(Journal!$A:$A,MATCH($A64,Journal!$B:$B,0)),"")</f>
        <v>46363</v>
      </c>
      <c r="F64" s="220" t="str">
        <f ca="1">IF(C64="Y","Done",IF(AND(E64&lt;&gt;"",TODAY()&gt;E64),"OVERDUE","Pending"))</f>
        <v>Pending</v>
      </c>
    </row>
    <row r="65" spans="1:6" x14ac:dyDescent="0.3">
      <c r="A65" s="212" t="s">
        <v>589</v>
      </c>
      <c r="B65" s="213" t="s">
        <v>616</v>
      </c>
      <c r="C65" s="214"/>
      <c r="D65" s="215"/>
      <c r="E65" s="216">
        <f>IFERROR(INDEX(Journal!$A:$A,MATCH($A65,Journal!$B:$B,0)),"")</f>
        <v>46363</v>
      </c>
      <c r="F65" s="212" t="str">
        <f ca="1">IF(C65="Y","Done",IF(AND(E65&lt;&gt;"",TODAY()&gt;E65),"OVERDUE","Pending"))</f>
        <v>Pending</v>
      </c>
    </row>
    <row r="66" spans="1:6" x14ac:dyDescent="0.3">
      <c r="A66" s="220" t="s">
        <v>589</v>
      </c>
      <c r="B66" s="221" t="s">
        <v>617</v>
      </c>
      <c r="C66" s="222"/>
      <c r="D66" s="223"/>
      <c r="E66" s="224">
        <f>IFERROR(INDEX(Journal!$A:$A,MATCH($A66,Journal!$B:$B,0)),"")</f>
        <v>46363</v>
      </c>
      <c r="F66" s="220" t="str">
        <f ca="1">IF(C66="Y","Done",IF(AND(E66&lt;&gt;"",TODAY()&gt;E66),"OVERDUE","Pending"))</f>
        <v>Pending</v>
      </c>
    </row>
    <row r="67" spans="1:6" x14ac:dyDescent="0.3">
      <c r="A67" s="212" t="s">
        <v>589</v>
      </c>
      <c r="B67" s="213" t="s">
        <v>618</v>
      </c>
      <c r="C67" s="214"/>
      <c r="D67" s="215"/>
      <c r="E67" s="216">
        <f>IFERROR(INDEX(Journal!$A:$A,MATCH($A67,Journal!$B:$B,0)),"")</f>
        <v>46363</v>
      </c>
      <c r="F67" s="212" t="str">
        <f ca="1">IF(C67="Y","Done",IF(AND(E67&lt;&gt;"",TODAY()&gt;E67),"OVERDUE","Pending"))</f>
        <v>Pending</v>
      </c>
    </row>
    <row r="68" spans="1:6" x14ac:dyDescent="0.3">
      <c r="A68" s="220" t="s">
        <v>589</v>
      </c>
      <c r="B68" s="221" t="s">
        <v>605</v>
      </c>
      <c r="C68" s="222"/>
      <c r="D68" s="223"/>
      <c r="E68" s="224">
        <f>IFERROR(INDEX(Journal!$A:$A,MATCH($A68,Journal!$B:$B,0)),"")</f>
        <v>46363</v>
      </c>
      <c r="F68" s="220" t="str">
        <f ca="1">IF(C68="Y","Done",IF(AND(E68&lt;&gt;"",TODAY()&gt;E68),"OVERDUE","Pending"))</f>
        <v>Pending</v>
      </c>
    </row>
    <row r="69" spans="1:6" x14ac:dyDescent="0.3">
      <c r="A69" s="212" t="s">
        <v>589</v>
      </c>
      <c r="B69" s="213" t="s">
        <v>606</v>
      </c>
      <c r="C69" s="214"/>
      <c r="D69" s="215"/>
      <c r="E69" s="216">
        <f>IFERROR(INDEX(Journal!$A:$A,MATCH($A69,Journal!$B:$B,0)),"")</f>
        <v>46363</v>
      </c>
      <c r="F69" s="212" t="str">
        <f ca="1">IF(C69="Y","Done",IF(AND(E69&lt;&gt;"",TODAY()&gt;E69),"OVERDUE","Pending"))</f>
        <v>Pending</v>
      </c>
    </row>
    <row r="70" spans="1:6" ht="14.4" thickBot="1" x14ac:dyDescent="0.35">
      <c r="A70" s="243" t="s">
        <v>589</v>
      </c>
      <c r="B70" s="244" t="s">
        <v>607</v>
      </c>
      <c r="C70" s="245"/>
      <c r="D70" s="246"/>
      <c r="E70" s="247">
        <f>IFERROR(INDEX(Journal!$A:$A,MATCH($A70,Journal!$B:$B,0)),"")</f>
        <v>46363</v>
      </c>
      <c r="F70" s="243" t="str">
        <f ca="1">IF(C70="Y","Done",IF(AND(E70&lt;&gt;"",TODAY()&gt;E70),"OVERDUE","Pending"))</f>
        <v>Pending</v>
      </c>
    </row>
    <row r="71" spans="1:6" x14ac:dyDescent="0.3">
      <c r="A71" s="212" t="s">
        <v>590</v>
      </c>
      <c r="B71" s="213" t="s">
        <v>613</v>
      </c>
      <c r="C71" s="214"/>
      <c r="D71" s="215"/>
      <c r="E71" s="216">
        <f>IFERROR(INDEX(Journal!$A:$A,MATCH($A71,Journal!$B:$B,0)),"")</f>
        <v>46378</v>
      </c>
      <c r="F71" s="212" t="str">
        <f ca="1">IF(C71="Y","Done",IF(AND(E71&lt;&gt;"",TODAY()&gt;E71),"OVERDUE","Pending"))</f>
        <v>Pending</v>
      </c>
    </row>
    <row r="72" spans="1:6" x14ac:dyDescent="0.3">
      <c r="A72" s="220" t="s">
        <v>590</v>
      </c>
      <c r="B72" s="221" t="s">
        <v>614</v>
      </c>
      <c r="C72" s="222"/>
      <c r="D72" s="223"/>
      <c r="E72" s="224">
        <f>IFERROR(INDEX(Journal!$A:$A,MATCH($A72,Journal!$B:$B,0)),"")</f>
        <v>46378</v>
      </c>
      <c r="F72" s="220" t="str">
        <f ca="1">IF(C72="Y","Done",IF(AND(E72&lt;&gt;"",TODAY()&gt;E72),"OVERDUE","Pending"))</f>
        <v>Pending</v>
      </c>
    </row>
    <row r="73" spans="1:6" ht="55.2" x14ac:dyDescent="0.3">
      <c r="A73" s="212" t="s">
        <v>590</v>
      </c>
      <c r="B73" s="213" t="s">
        <v>615</v>
      </c>
      <c r="C73" s="214"/>
      <c r="D73" s="215"/>
      <c r="E73" s="216">
        <f>IFERROR(INDEX(Journal!$A:$A,MATCH($A73,Journal!$B:$B,0)),"")</f>
        <v>46378</v>
      </c>
      <c r="F73" s="212" t="str">
        <f ca="1">IF(C73="Y","Done",IF(AND(E73&lt;&gt;"",TODAY()&gt;E73),"OVERDUE","Pending"))</f>
        <v>Pending</v>
      </c>
    </row>
    <row r="74" spans="1:6" x14ac:dyDescent="0.3">
      <c r="A74" s="220" t="s">
        <v>590</v>
      </c>
      <c r="B74" s="221" t="s">
        <v>616</v>
      </c>
      <c r="C74" s="222"/>
      <c r="D74" s="223"/>
      <c r="E74" s="224">
        <f>IFERROR(INDEX(Journal!$A:$A,MATCH($A74,Journal!$B:$B,0)),"")</f>
        <v>46378</v>
      </c>
      <c r="F74" s="220" t="str">
        <f ca="1">IF(C74="Y","Done",IF(AND(E74&lt;&gt;"",TODAY()&gt;E74),"OVERDUE","Pending"))</f>
        <v>Pending</v>
      </c>
    </row>
    <row r="75" spans="1:6" x14ac:dyDescent="0.3">
      <c r="A75" s="212" t="s">
        <v>590</v>
      </c>
      <c r="B75" s="213" t="s">
        <v>617</v>
      </c>
      <c r="C75" s="214"/>
      <c r="D75" s="215"/>
      <c r="E75" s="216">
        <f>IFERROR(INDEX(Journal!$A:$A,MATCH($A75,Journal!$B:$B,0)),"")</f>
        <v>46378</v>
      </c>
      <c r="F75" s="212" t="str">
        <f ca="1">IF(C75="Y","Done",IF(AND(E75&lt;&gt;"",TODAY()&gt;E75),"OVERDUE","Pending"))</f>
        <v>Pending</v>
      </c>
    </row>
    <row r="76" spans="1:6" x14ac:dyDescent="0.3">
      <c r="A76" s="220" t="s">
        <v>590</v>
      </c>
      <c r="B76" s="221" t="s">
        <v>618</v>
      </c>
      <c r="C76" s="222"/>
      <c r="D76" s="223"/>
      <c r="E76" s="224">
        <f>IFERROR(INDEX(Journal!$A:$A,MATCH($A76,Journal!$B:$B,0)),"")</f>
        <v>46378</v>
      </c>
      <c r="F76" s="220" t="str">
        <f ca="1">IF(C76="Y","Done",IF(AND(E76&lt;&gt;"",TODAY()&gt;E76),"OVERDUE","Pending"))</f>
        <v>Pending</v>
      </c>
    </row>
    <row r="77" spans="1:6" x14ac:dyDescent="0.3">
      <c r="A77" s="212" t="s">
        <v>590</v>
      </c>
      <c r="B77" s="213" t="s">
        <v>605</v>
      </c>
      <c r="C77" s="214"/>
      <c r="D77" s="215"/>
      <c r="E77" s="216">
        <f>IFERROR(INDEX(Journal!$A:$A,MATCH($A77,Journal!$B:$B,0)),"")</f>
        <v>46378</v>
      </c>
      <c r="F77" s="212" t="str">
        <f ca="1">IF(C77="Y","Done",IF(AND(E77&lt;&gt;"",TODAY()&gt;E77),"OVERDUE","Pending"))</f>
        <v>Pending</v>
      </c>
    </row>
    <row r="78" spans="1:6" x14ac:dyDescent="0.3">
      <c r="A78" s="220" t="s">
        <v>590</v>
      </c>
      <c r="B78" s="221" t="s">
        <v>606</v>
      </c>
      <c r="C78" s="222"/>
      <c r="D78" s="223"/>
      <c r="E78" s="224">
        <f>IFERROR(INDEX(Journal!$A:$A,MATCH($A78,Journal!$B:$B,0)),"")</f>
        <v>46378</v>
      </c>
      <c r="F78" s="220" t="str">
        <f ca="1">IF(C78="Y","Done",IF(AND(E78&lt;&gt;"",TODAY()&gt;E78),"OVERDUE","Pending"))</f>
        <v>Pending</v>
      </c>
    </row>
    <row r="79" spans="1:6" ht="14.4" thickBot="1" x14ac:dyDescent="0.35">
      <c r="A79" s="233" t="s">
        <v>590</v>
      </c>
      <c r="B79" s="234" t="s">
        <v>607</v>
      </c>
      <c r="C79" s="235"/>
      <c r="D79" s="236"/>
      <c r="E79" s="237">
        <f>IFERROR(INDEX(Journal!$A:$A,MATCH($A79,Journal!$B:$B,0)),"")</f>
        <v>46378</v>
      </c>
      <c r="F79" s="233" t="str">
        <f ca="1">IF(C79="Y","Done",IF(AND(E79&lt;&gt;"",TODAY()&gt;E79),"OVERDUE","Pending"))</f>
        <v>Pending</v>
      </c>
    </row>
    <row r="80" spans="1:6" x14ac:dyDescent="0.3">
      <c r="A80" s="228" t="s">
        <v>536</v>
      </c>
      <c r="B80" s="229" t="s">
        <v>602</v>
      </c>
      <c r="C80" s="230"/>
      <c r="D80" s="231"/>
      <c r="E80" s="232">
        <f>IFERROR(INDEX(Journal!$A:$A,MATCH($A80,Journal!$B:$B,0)),"")</f>
        <v>46387</v>
      </c>
      <c r="F80" s="228" t="str">
        <f t="shared" ca="1" si="0"/>
        <v>Pending</v>
      </c>
    </row>
    <row r="81" spans="1:6" x14ac:dyDescent="0.3">
      <c r="A81" s="212" t="s">
        <v>536</v>
      </c>
      <c r="B81" s="213" t="s">
        <v>603</v>
      </c>
      <c r="C81" s="214"/>
      <c r="D81" s="215"/>
      <c r="E81" s="216">
        <f>IFERROR(INDEX(Journal!$A:$A,MATCH($A81,Journal!$B:$B,0)),"")</f>
        <v>46387</v>
      </c>
      <c r="F81" s="212" t="str">
        <f t="shared" ca="1" si="0"/>
        <v>Pending</v>
      </c>
    </row>
    <row r="82" spans="1:6" x14ac:dyDescent="0.3">
      <c r="A82" s="220" t="s">
        <v>536</v>
      </c>
      <c r="B82" s="221" t="s">
        <v>604</v>
      </c>
      <c r="C82" s="222"/>
      <c r="D82" s="223"/>
      <c r="E82" s="224">
        <f>IFERROR(INDEX(Journal!$A:$A,MATCH($A82,Journal!$B:$B,0)),"")</f>
        <v>46387</v>
      </c>
      <c r="F82" s="220" t="str">
        <f t="shared" ca="1" si="0"/>
        <v>Pending</v>
      </c>
    </row>
    <row r="83" spans="1:6" x14ac:dyDescent="0.3">
      <c r="A83" s="212" t="s">
        <v>536</v>
      </c>
      <c r="B83" s="213" t="s">
        <v>605</v>
      </c>
      <c r="C83" s="214"/>
      <c r="D83" s="215"/>
      <c r="E83" s="216">
        <f>IFERROR(INDEX(Journal!$A:$A,MATCH($A83,Journal!$B:$B,0)),"")</f>
        <v>46387</v>
      </c>
      <c r="F83" s="212" t="str">
        <f t="shared" ca="1" si="0"/>
        <v>Pending</v>
      </c>
    </row>
    <row r="84" spans="1:6" x14ac:dyDescent="0.3">
      <c r="A84" s="220" t="s">
        <v>536</v>
      </c>
      <c r="B84" s="221" t="s">
        <v>606</v>
      </c>
      <c r="C84" s="222"/>
      <c r="D84" s="223"/>
      <c r="E84" s="224">
        <f>IFERROR(INDEX(Journal!$A:$A,MATCH($A84,Journal!$B:$B,0)),"")</f>
        <v>46387</v>
      </c>
      <c r="F84" s="220" t="str">
        <f t="shared" ca="1" si="0"/>
        <v>Pending</v>
      </c>
    </row>
    <row r="85" spans="1:6" ht="14.4" thickBot="1" x14ac:dyDescent="0.35">
      <c r="A85" s="233" t="s">
        <v>536</v>
      </c>
      <c r="B85" s="234" t="s">
        <v>607</v>
      </c>
      <c r="C85" s="235"/>
      <c r="D85" s="236"/>
      <c r="E85" s="237">
        <f>IFERROR(INDEX(Journal!$A:$A,MATCH($A85,Journal!$B:$B,0)),"")</f>
        <v>46387</v>
      </c>
      <c r="F85" s="233" t="str">
        <f t="shared" ca="1" si="0"/>
        <v>Pending</v>
      </c>
    </row>
    <row r="86" spans="1:6" x14ac:dyDescent="0.3">
      <c r="A86" s="220" t="s">
        <v>591</v>
      </c>
      <c r="B86" s="221" t="s">
        <v>613</v>
      </c>
      <c r="C86" s="222"/>
      <c r="D86" s="223"/>
      <c r="E86" s="224">
        <f>IFERROR(INDEX(Journal!$A:$A,MATCH($A86,Journal!$B:$B,0)),"")</f>
        <v>46394</v>
      </c>
      <c r="F86" s="220" t="str">
        <f t="shared" ref="F86:F94" ca="1" si="2">IF(C86="Y","Done",IF(AND(E86&lt;&gt;"",TODAY()&gt;E86),"OVERDUE","Pending"))</f>
        <v>Pending</v>
      </c>
    </row>
    <row r="87" spans="1:6" x14ac:dyDescent="0.3">
      <c r="A87" s="212" t="s">
        <v>591</v>
      </c>
      <c r="B87" s="213" t="s">
        <v>614</v>
      </c>
      <c r="C87" s="214"/>
      <c r="D87" s="215"/>
      <c r="E87" s="216">
        <f>IFERROR(INDEX(Journal!$A:$A,MATCH($A87,Journal!$B:$B,0)),"")</f>
        <v>46394</v>
      </c>
      <c r="F87" s="212" t="str">
        <f t="shared" ca="1" si="2"/>
        <v>Pending</v>
      </c>
    </row>
    <row r="88" spans="1:6" ht="55.2" x14ac:dyDescent="0.3">
      <c r="A88" s="220" t="s">
        <v>591</v>
      </c>
      <c r="B88" s="221" t="s">
        <v>615</v>
      </c>
      <c r="C88" s="222"/>
      <c r="D88" s="223"/>
      <c r="E88" s="224">
        <f>IFERROR(INDEX(Journal!$A:$A,MATCH($A88,Journal!$B:$B,0)),"")</f>
        <v>46394</v>
      </c>
      <c r="F88" s="220" t="str">
        <f t="shared" ca="1" si="2"/>
        <v>Pending</v>
      </c>
    </row>
    <row r="89" spans="1:6" x14ac:dyDescent="0.3">
      <c r="A89" s="212" t="s">
        <v>591</v>
      </c>
      <c r="B89" s="213" t="s">
        <v>616</v>
      </c>
      <c r="C89" s="214"/>
      <c r="D89" s="215"/>
      <c r="E89" s="216">
        <f>IFERROR(INDEX(Journal!$A:$A,MATCH($A89,Journal!$B:$B,0)),"")</f>
        <v>46394</v>
      </c>
      <c r="F89" s="212" t="str">
        <f t="shared" ca="1" si="2"/>
        <v>Pending</v>
      </c>
    </row>
    <row r="90" spans="1:6" x14ac:dyDescent="0.3">
      <c r="A90" s="220" t="s">
        <v>591</v>
      </c>
      <c r="B90" s="221" t="s">
        <v>617</v>
      </c>
      <c r="C90" s="222"/>
      <c r="D90" s="223"/>
      <c r="E90" s="224">
        <f>IFERROR(INDEX(Journal!$A:$A,MATCH($A90,Journal!$B:$B,0)),"")</f>
        <v>46394</v>
      </c>
      <c r="F90" s="220" t="str">
        <f t="shared" ca="1" si="2"/>
        <v>Pending</v>
      </c>
    </row>
    <row r="91" spans="1:6" x14ac:dyDescent="0.3">
      <c r="A91" s="212" t="s">
        <v>591</v>
      </c>
      <c r="B91" s="213" t="s">
        <v>618</v>
      </c>
      <c r="C91" s="214"/>
      <c r="D91" s="215"/>
      <c r="E91" s="216">
        <f>IFERROR(INDEX(Journal!$A:$A,MATCH($A91,Journal!$B:$B,0)),"")</f>
        <v>46394</v>
      </c>
      <c r="F91" s="212" t="str">
        <f t="shared" ca="1" si="2"/>
        <v>Pending</v>
      </c>
    </row>
    <row r="92" spans="1:6" x14ac:dyDescent="0.3">
      <c r="A92" s="220" t="s">
        <v>591</v>
      </c>
      <c r="B92" s="221" t="s">
        <v>605</v>
      </c>
      <c r="C92" s="222"/>
      <c r="D92" s="223"/>
      <c r="E92" s="224">
        <f>IFERROR(INDEX(Journal!$A:$A,MATCH($A92,Journal!$B:$B,0)),"")</f>
        <v>46394</v>
      </c>
      <c r="F92" s="220" t="str">
        <f t="shared" ca="1" si="2"/>
        <v>Pending</v>
      </c>
    </row>
    <row r="93" spans="1:6" x14ac:dyDescent="0.3">
      <c r="A93" s="212" t="s">
        <v>591</v>
      </c>
      <c r="B93" s="213" t="s">
        <v>606</v>
      </c>
      <c r="C93" s="214"/>
      <c r="D93" s="215"/>
      <c r="E93" s="216">
        <f>IFERROR(INDEX(Journal!$A:$A,MATCH($A93,Journal!$B:$B,0)),"")</f>
        <v>46394</v>
      </c>
      <c r="F93" s="212" t="str">
        <f t="shared" ca="1" si="2"/>
        <v>Pending</v>
      </c>
    </row>
    <row r="94" spans="1:6" ht="14.4" thickBot="1" x14ac:dyDescent="0.35">
      <c r="A94" s="243" t="s">
        <v>591</v>
      </c>
      <c r="B94" s="244" t="s">
        <v>607</v>
      </c>
      <c r="C94" s="245"/>
      <c r="D94" s="246"/>
      <c r="E94" s="247">
        <f>IFERROR(INDEX(Journal!$A:$A,MATCH($A94,Journal!$B:$B,0)),"")</f>
        <v>46394</v>
      </c>
      <c r="F94" s="243" t="str">
        <f t="shared" ca="1" si="2"/>
        <v>Pending</v>
      </c>
    </row>
    <row r="95" spans="1:6" x14ac:dyDescent="0.3">
      <c r="A95" s="228" t="s">
        <v>538</v>
      </c>
      <c r="B95" s="229" t="s">
        <v>611</v>
      </c>
      <c r="C95" s="230"/>
      <c r="D95" s="231"/>
      <c r="E95" s="232">
        <f>IFERROR(INDEX(Journal!$A:$A,MATCH($A95,Journal!$B:$B,0)),"")</f>
        <v>46412</v>
      </c>
      <c r="F95" s="228" t="str">
        <f ca="1">IF(C95="Y","Done",IF(AND(E95&lt;&gt;"",TODAY()&gt;E95),"OVERDUE","Pending"))</f>
        <v>Pending</v>
      </c>
    </row>
    <row r="96" spans="1:6" ht="27.6" x14ac:dyDescent="0.3">
      <c r="A96" s="212" t="s">
        <v>538</v>
      </c>
      <c r="B96" s="213" t="s">
        <v>612</v>
      </c>
      <c r="C96" s="214"/>
      <c r="D96" s="215"/>
      <c r="E96" s="216">
        <f>IFERROR(INDEX(Journal!$A:$A,MATCH($A96,Journal!$B:$B,0)),"")</f>
        <v>46412</v>
      </c>
      <c r="F96" s="212" t="str">
        <f ca="1">IF(C96="Y","Done",IF(AND(E96&lt;&gt;"",TODAY()&gt;E96),"OVERDUE","Pending"))</f>
        <v>Pending</v>
      </c>
    </row>
    <row r="97" spans="1:6" x14ac:dyDescent="0.3">
      <c r="A97" s="220" t="s">
        <v>538</v>
      </c>
      <c r="B97" s="221" t="s">
        <v>605</v>
      </c>
      <c r="C97" s="222"/>
      <c r="D97" s="223"/>
      <c r="E97" s="224">
        <f>IFERROR(INDEX(Journal!$A:$A,MATCH($A97,Journal!$B:$B,0)),"")</f>
        <v>46412</v>
      </c>
      <c r="F97" s="220" t="str">
        <f ca="1">IF(C97="Y","Done",IF(AND(E97&lt;&gt;"",TODAY()&gt;E97),"OVERDUE","Pending"))</f>
        <v>Pending</v>
      </c>
    </row>
    <row r="98" spans="1:6" x14ac:dyDescent="0.3">
      <c r="A98" s="212" t="s">
        <v>538</v>
      </c>
      <c r="B98" s="213" t="s">
        <v>606</v>
      </c>
      <c r="C98" s="214"/>
      <c r="D98" s="215"/>
      <c r="E98" s="216">
        <f>IFERROR(INDEX(Journal!$A:$A,MATCH($A98,Journal!$B:$B,0)),"")</f>
        <v>46412</v>
      </c>
      <c r="F98" s="212" t="str">
        <f ca="1">IF(C98="Y","Done",IF(AND(E98&lt;&gt;"",TODAY()&gt;E98),"OVERDUE","Pending"))</f>
        <v>Pending</v>
      </c>
    </row>
    <row r="99" spans="1:6" ht="14.4" thickBot="1" x14ac:dyDescent="0.35">
      <c r="A99" s="243" t="s">
        <v>538</v>
      </c>
      <c r="B99" s="244" t="s">
        <v>607</v>
      </c>
      <c r="C99" s="245"/>
      <c r="D99" s="246"/>
      <c r="E99" s="247">
        <f>IFERROR(INDEX(Journal!$A:$A,MATCH($A99,Journal!$B:$B,0)),"")</f>
        <v>46412</v>
      </c>
      <c r="F99" s="243" t="str">
        <f ca="1">IF(C99="Y","Done",IF(AND(E99&lt;&gt;"",TODAY()&gt;E99),"OVERDUE","Pending"))</f>
        <v>Pending</v>
      </c>
    </row>
    <row r="100" spans="1:6" x14ac:dyDescent="0.3">
      <c r="A100" s="217"/>
      <c r="B100" s="218"/>
      <c r="C100" s="218"/>
      <c r="D100" s="219"/>
      <c r="E100" s="217"/>
      <c r="F100" s="217"/>
    </row>
    <row r="101" spans="1:6" x14ac:dyDescent="0.3">
      <c r="A101" s="225"/>
      <c r="B101" s="226"/>
      <c r="C101" s="226"/>
      <c r="D101" s="227"/>
      <c r="E101" s="225"/>
      <c r="F101" s="225"/>
    </row>
    <row r="102" spans="1:6" x14ac:dyDescent="0.3">
      <c r="A102" s="217"/>
      <c r="B102" s="218"/>
      <c r="C102" s="218"/>
      <c r="D102" s="219"/>
      <c r="E102" s="217"/>
      <c r="F102" s="217"/>
    </row>
    <row r="103" spans="1:6" x14ac:dyDescent="0.3">
      <c r="A103" s="225"/>
      <c r="B103" s="226"/>
      <c r="C103" s="226"/>
      <c r="D103" s="227"/>
      <c r="E103" s="225"/>
      <c r="F103" s="225"/>
    </row>
    <row r="104" spans="1:6" x14ac:dyDescent="0.3">
      <c r="A104" s="217"/>
      <c r="B104" s="218"/>
      <c r="C104" s="218"/>
      <c r="D104" s="219"/>
      <c r="E104" s="217"/>
      <c r="F104" s="217"/>
    </row>
    <row r="105" spans="1:6" x14ac:dyDescent="0.3">
      <c r="A105" s="225"/>
      <c r="B105" s="226"/>
      <c r="C105" s="226"/>
      <c r="D105" s="227"/>
      <c r="E105" s="225"/>
      <c r="F105" s="225"/>
    </row>
    <row r="106" spans="1:6" x14ac:dyDescent="0.3">
      <c r="A106" s="217"/>
      <c r="B106" s="218"/>
      <c r="C106" s="218"/>
      <c r="D106" s="219"/>
      <c r="E106" s="217"/>
      <c r="F106" s="217"/>
    </row>
    <row r="107" spans="1:6" x14ac:dyDescent="0.3">
      <c r="A107" s="225"/>
      <c r="B107" s="226"/>
      <c r="C107" s="226"/>
      <c r="D107" s="227"/>
      <c r="E107" s="225"/>
      <c r="F107" s="225"/>
    </row>
    <row r="108" spans="1:6" x14ac:dyDescent="0.3">
      <c r="A108" s="217"/>
      <c r="B108" s="218"/>
      <c r="C108" s="218"/>
      <c r="D108" s="219"/>
      <c r="E108" s="217"/>
      <c r="F108" s="217"/>
    </row>
    <row r="109" spans="1:6" x14ac:dyDescent="0.3">
      <c r="A109" s="225"/>
      <c r="B109" s="226"/>
      <c r="C109" s="226"/>
      <c r="D109" s="227"/>
      <c r="E109" s="225"/>
      <c r="F109" s="225"/>
    </row>
    <row r="110" spans="1:6" x14ac:dyDescent="0.3">
      <c r="A110" s="217"/>
      <c r="B110" s="218"/>
      <c r="C110" s="218"/>
      <c r="D110" s="219"/>
      <c r="E110" s="217"/>
      <c r="F110" s="217"/>
    </row>
    <row r="111" spans="1:6" x14ac:dyDescent="0.3">
      <c r="A111" s="225"/>
      <c r="B111" s="226"/>
      <c r="C111" s="226"/>
      <c r="D111" s="227"/>
      <c r="E111" s="225"/>
      <c r="F111" s="225"/>
    </row>
    <row r="112" spans="1:6" x14ac:dyDescent="0.3">
      <c r="A112" s="217"/>
      <c r="B112" s="218"/>
      <c r="C112" s="218"/>
      <c r="D112" s="219"/>
      <c r="E112" s="217"/>
      <c r="F112" s="217"/>
    </row>
    <row r="113" spans="1:6" x14ac:dyDescent="0.3">
      <c r="A113" s="225"/>
      <c r="B113" s="226"/>
      <c r="C113" s="226"/>
      <c r="D113" s="227"/>
      <c r="E113" s="225"/>
      <c r="F113" s="225"/>
    </row>
    <row r="114" spans="1:6" x14ac:dyDescent="0.3">
      <c r="A114" s="217"/>
      <c r="B114" s="218"/>
      <c r="C114" s="218"/>
      <c r="D114" s="219"/>
      <c r="E114" s="217"/>
      <c r="F114" s="217"/>
    </row>
    <row r="115" spans="1:6" x14ac:dyDescent="0.3">
      <c r="A115" s="225"/>
      <c r="B115" s="226"/>
      <c r="C115" s="226"/>
      <c r="D115" s="227"/>
      <c r="E115" s="225"/>
      <c r="F115" s="225"/>
    </row>
    <row r="116" spans="1:6" x14ac:dyDescent="0.3">
      <c r="A116" s="217"/>
      <c r="B116" s="218"/>
      <c r="C116" s="218"/>
      <c r="D116" s="219"/>
      <c r="E116" s="217"/>
      <c r="F116" s="217"/>
    </row>
  </sheetData>
  <mergeCells count="1">
    <mergeCell ref="A1:F1"/>
  </mergeCells>
  <conditionalFormatting sqref="C2">
    <cfRule type="cellIs" dxfId="10" priority="4" operator="greaterThan">
      <formula>0</formula>
    </cfRule>
  </conditionalFormatting>
  <conditionalFormatting sqref="F5:F99">
    <cfRule type="cellIs" dxfId="9" priority="2" operator="equal">
      <formula>"OVERDUE"</formula>
    </cfRule>
    <cfRule type="cellIs" dxfId="8" priority="3" operator="equal">
      <formula>"Done"</formula>
    </cfRule>
  </conditionalFormatting>
  <pageMargins left="0.75" right="0.75" top="1" bottom="1" header="0.511811023622047" footer="0.51180555555555596"/>
  <pageSetup paperSize="9" orientation="portrait" horizontalDpi="300" verticalDpi="300"/>
  <headerFooter>
    <oddFooter>&amp;L&amp;"Arial Narrow,Regular"&amp;8 &amp;F&amp;C&amp;"Arial Narrow,Regular"&amp;8 &amp;A - &amp;D &amp;T&amp;R&amp;"Arial,Regular" &amp;P / &amp;N</oddFooter>
  </headerFooter>
  <legacyDrawing r:id="rId1"/>
  <tableParts count="1">
    <tablePart r:id="rId2"/>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305"/>
  <sheetViews>
    <sheetView showGridLines="0" zoomScaleNormal="100" workbookViewId="0">
      <pane xSplit="1" ySplit="4" topLeftCell="B8" activePane="bottomRight" state="frozen"/>
      <selection pane="topRight" activeCell="B1" sqref="B1"/>
      <selection pane="bottomLeft" activeCell="A5" sqref="A5"/>
      <selection pane="bottomRight" activeCell="B5" sqref="B5"/>
    </sheetView>
  </sheetViews>
  <sheetFormatPr defaultColWidth="8.6640625" defaultRowHeight="14.4" x14ac:dyDescent="0.3"/>
  <cols>
    <col min="1" max="1" width="5" customWidth="1"/>
    <col min="2" max="2" width="80" customWidth="1"/>
    <col min="3" max="3" width="9" customWidth="1"/>
    <col min="4" max="4" width="12" customWidth="1"/>
    <col min="5" max="5" width="13" style="140" customWidth="1"/>
    <col min="6" max="6" width="35" customWidth="1"/>
  </cols>
  <sheetData>
    <row r="1" spans="1:6" ht="27.6" customHeight="1" x14ac:dyDescent="0.3">
      <c r="A1" s="125" t="s">
        <v>619</v>
      </c>
      <c r="B1" s="248"/>
      <c r="C1" s="248"/>
      <c r="D1" s="248"/>
      <c r="E1" s="248"/>
      <c r="F1" s="248"/>
    </row>
    <row r="2" spans="1:6" x14ac:dyDescent="0.3">
      <c r="A2" s="27" t="s">
        <v>620</v>
      </c>
      <c r="C2" s="86">
        <f>SUMPRODUCT(($A$5:$A$200&lt;&gt;"")*($C$5:$C$200&lt;&gt;"Y"))</f>
        <v>9</v>
      </c>
    </row>
    <row r="3" spans="1:6" ht="4.8" customHeight="1" x14ac:dyDescent="0.3"/>
    <row r="4" spans="1:6" ht="27.75" customHeight="1" x14ac:dyDescent="0.3">
      <c r="A4" s="87" t="s">
        <v>621</v>
      </c>
      <c r="B4" s="87" t="s">
        <v>622</v>
      </c>
      <c r="C4" s="87" t="s">
        <v>599</v>
      </c>
      <c r="D4" s="87" t="s">
        <v>623</v>
      </c>
      <c r="E4" s="87" t="s">
        <v>624</v>
      </c>
      <c r="F4" s="87" t="s">
        <v>199</v>
      </c>
    </row>
    <row r="5" spans="1:6" ht="41.4" x14ac:dyDescent="0.3">
      <c r="A5" s="249">
        <v>1</v>
      </c>
      <c r="B5" s="250" t="s">
        <v>625</v>
      </c>
      <c r="C5" s="249" t="s">
        <v>203</v>
      </c>
      <c r="D5" s="252">
        <v>46276</v>
      </c>
      <c r="E5" s="252">
        <v>46276</v>
      </c>
      <c r="F5" s="250" t="s">
        <v>626</v>
      </c>
    </row>
    <row r="6" spans="1:6" ht="41.4" x14ac:dyDescent="0.3">
      <c r="A6" s="249">
        <v>2</v>
      </c>
      <c r="B6" s="250" t="s">
        <v>627</v>
      </c>
      <c r="C6" s="249" t="s">
        <v>203</v>
      </c>
      <c r="D6" s="252">
        <v>46276</v>
      </c>
      <c r="E6" s="252">
        <v>46276</v>
      </c>
      <c r="F6" s="250" t="s">
        <v>628</v>
      </c>
    </row>
    <row r="7" spans="1:6" ht="27.6" x14ac:dyDescent="0.3">
      <c r="A7" s="249">
        <v>3</v>
      </c>
      <c r="B7" s="250" t="s">
        <v>629</v>
      </c>
      <c r="C7" s="249"/>
      <c r="D7" s="252">
        <v>46260</v>
      </c>
      <c r="E7" s="252"/>
      <c r="F7" s="250"/>
    </row>
    <row r="8" spans="1:6" ht="27.6" x14ac:dyDescent="0.3">
      <c r="A8" s="249">
        <v>4</v>
      </c>
      <c r="B8" s="250" t="s">
        <v>630</v>
      </c>
      <c r="C8" s="249"/>
      <c r="D8" s="252">
        <v>46273</v>
      </c>
      <c r="E8" s="252"/>
      <c r="F8" s="250"/>
    </row>
    <row r="9" spans="1:6" ht="27.6" x14ac:dyDescent="0.3">
      <c r="A9" s="249">
        <v>5</v>
      </c>
      <c r="B9" s="250" t="s">
        <v>631</v>
      </c>
      <c r="C9" s="249"/>
      <c r="D9" s="252">
        <v>46273</v>
      </c>
      <c r="E9" s="252"/>
      <c r="F9" s="250"/>
    </row>
    <row r="10" spans="1:6" ht="27.6" x14ac:dyDescent="0.3">
      <c r="A10" s="249">
        <v>6</v>
      </c>
      <c r="B10" s="250" t="s">
        <v>632</v>
      </c>
      <c r="C10" s="249"/>
      <c r="D10" s="252">
        <v>46273</v>
      </c>
      <c r="E10" s="252"/>
      <c r="F10" s="250"/>
    </row>
    <row r="11" spans="1:6" ht="27.6" x14ac:dyDescent="0.3">
      <c r="A11" s="249">
        <v>7</v>
      </c>
      <c r="B11" s="250" t="s">
        <v>633</v>
      </c>
      <c r="C11" s="249"/>
      <c r="D11" s="252">
        <v>46258</v>
      </c>
      <c r="E11" s="252"/>
      <c r="F11" s="250" t="s">
        <v>634</v>
      </c>
    </row>
    <row r="12" spans="1:6" ht="27.6" x14ac:dyDescent="0.3">
      <c r="A12" s="249">
        <v>8</v>
      </c>
      <c r="B12" s="250" t="s">
        <v>635</v>
      </c>
      <c r="C12" s="249"/>
      <c r="D12" s="252">
        <v>46252</v>
      </c>
      <c r="E12" s="252"/>
      <c r="F12" s="250"/>
    </row>
    <row r="13" spans="1:6" ht="41.4" x14ac:dyDescent="0.3">
      <c r="A13" s="249">
        <v>9</v>
      </c>
      <c r="B13" s="250" t="s">
        <v>636</v>
      </c>
      <c r="C13" s="249"/>
      <c r="D13" s="252">
        <v>46276</v>
      </c>
      <c r="E13" s="252"/>
      <c r="F13" s="250" t="s">
        <v>637</v>
      </c>
    </row>
    <row r="14" spans="1:6" ht="27.6" x14ac:dyDescent="0.3">
      <c r="A14" s="249">
        <v>10</v>
      </c>
      <c r="B14" s="250" t="s">
        <v>638</v>
      </c>
      <c r="C14" s="249"/>
      <c r="D14" s="252">
        <v>46260</v>
      </c>
      <c r="E14" s="252"/>
      <c r="F14" s="250"/>
    </row>
    <row r="15" spans="1:6" ht="69" x14ac:dyDescent="0.3">
      <c r="A15" s="249">
        <v>11</v>
      </c>
      <c r="B15" s="250" t="s">
        <v>639</v>
      </c>
      <c r="C15" s="249"/>
      <c r="D15" s="252">
        <v>46276</v>
      </c>
      <c r="E15" s="249"/>
      <c r="F15" s="250" t="s">
        <v>640</v>
      </c>
    </row>
    <row r="16" spans="1:6" x14ac:dyDescent="0.3">
      <c r="A16" s="251"/>
      <c r="B16" s="251"/>
      <c r="C16" s="251"/>
      <c r="D16" s="251"/>
      <c r="E16" s="253"/>
      <c r="F16" s="251"/>
    </row>
    <row r="17" spans="1:6" x14ac:dyDescent="0.3">
      <c r="A17" s="251"/>
      <c r="B17" s="251"/>
      <c r="C17" s="251"/>
      <c r="D17" s="251"/>
      <c r="E17" s="253"/>
      <c r="F17" s="251"/>
    </row>
    <row r="18" spans="1:6" x14ac:dyDescent="0.3">
      <c r="A18" s="251"/>
      <c r="B18" s="251"/>
      <c r="C18" s="251"/>
      <c r="D18" s="251"/>
      <c r="E18" s="253"/>
      <c r="F18" s="251"/>
    </row>
    <row r="19" spans="1:6" x14ac:dyDescent="0.3">
      <c r="A19" s="251"/>
      <c r="B19" s="251"/>
      <c r="C19" s="251"/>
      <c r="D19" s="251"/>
      <c r="E19" s="253"/>
      <c r="F19" s="251"/>
    </row>
    <row r="20" spans="1:6" x14ac:dyDescent="0.3">
      <c r="A20" s="251"/>
      <c r="B20" s="251"/>
      <c r="C20" s="251"/>
      <c r="D20" s="251"/>
      <c r="E20" s="253"/>
      <c r="F20" s="251"/>
    </row>
    <row r="21" spans="1:6" x14ac:dyDescent="0.3">
      <c r="A21" s="251"/>
      <c r="B21" s="251"/>
      <c r="C21" s="251"/>
      <c r="D21" s="251"/>
      <c r="E21" s="253"/>
      <c r="F21" s="251"/>
    </row>
    <row r="22" spans="1:6" x14ac:dyDescent="0.3">
      <c r="A22" s="251"/>
      <c r="B22" s="251"/>
      <c r="C22" s="251"/>
      <c r="D22" s="251"/>
      <c r="E22" s="253"/>
      <c r="F22" s="251"/>
    </row>
    <row r="23" spans="1:6" x14ac:dyDescent="0.3">
      <c r="A23" s="251"/>
      <c r="B23" s="251"/>
      <c r="C23" s="251"/>
      <c r="D23" s="251"/>
      <c r="E23" s="253"/>
      <c r="F23" s="251"/>
    </row>
    <row r="24" spans="1:6" x14ac:dyDescent="0.3">
      <c r="A24" s="251"/>
      <c r="B24" s="251"/>
      <c r="C24" s="251"/>
      <c r="D24" s="251"/>
      <c r="E24" s="253"/>
      <c r="F24" s="251"/>
    </row>
    <row r="25" spans="1:6" x14ac:dyDescent="0.3">
      <c r="A25" s="251"/>
      <c r="B25" s="251"/>
      <c r="C25" s="251"/>
      <c r="D25" s="251"/>
      <c r="E25" s="253"/>
      <c r="F25" s="251"/>
    </row>
    <row r="26" spans="1:6" x14ac:dyDescent="0.3">
      <c r="A26" s="251"/>
      <c r="B26" s="251"/>
      <c r="C26" s="251"/>
      <c r="D26" s="251"/>
      <c r="E26" s="253"/>
      <c r="F26" s="251"/>
    </row>
    <row r="27" spans="1:6" x14ac:dyDescent="0.3">
      <c r="A27" s="251"/>
      <c r="B27" s="251"/>
      <c r="C27" s="251"/>
      <c r="D27" s="251"/>
      <c r="E27" s="253"/>
      <c r="F27" s="251"/>
    </row>
    <row r="28" spans="1:6" x14ac:dyDescent="0.3">
      <c r="A28" s="251"/>
      <c r="B28" s="251"/>
      <c r="C28" s="251"/>
      <c r="D28" s="251"/>
      <c r="E28" s="253"/>
      <c r="F28" s="251"/>
    </row>
    <row r="29" spans="1:6" x14ac:dyDescent="0.3">
      <c r="A29" s="251"/>
      <c r="B29" s="251"/>
      <c r="C29" s="251"/>
      <c r="D29" s="251"/>
      <c r="E29" s="253"/>
      <c r="F29" s="251"/>
    </row>
    <row r="30" spans="1:6" x14ac:dyDescent="0.3">
      <c r="A30" s="251"/>
      <c r="B30" s="251"/>
      <c r="C30" s="251"/>
      <c r="D30" s="251"/>
      <c r="E30" s="253"/>
      <c r="F30" s="251"/>
    </row>
    <row r="31" spans="1:6" x14ac:dyDescent="0.3">
      <c r="A31" s="251"/>
      <c r="B31" s="251"/>
      <c r="C31" s="251"/>
      <c r="D31" s="251"/>
      <c r="E31" s="253"/>
      <c r="F31" s="251"/>
    </row>
    <row r="32" spans="1:6" x14ac:dyDescent="0.3">
      <c r="A32" s="251"/>
      <c r="B32" s="251"/>
      <c r="C32" s="251"/>
      <c r="D32" s="251"/>
      <c r="E32" s="253"/>
      <c r="F32" s="251"/>
    </row>
    <row r="33" spans="1:6" x14ac:dyDescent="0.3">
      <c r="A33" s="251"/>
      <c r="B33" s="251"/>
      <c r="C33" s="251"/>
      <c r="D33" s="251"/>
      <c r="E33" s="253"/>
      <c r="F33" s="251"/>
    </row>
    <row r="34" spans="1:6" x14ac:dyDescent="0.3">
      <c r="A34" s="251"/>
      <c r="B34" s="251"/>
      <c r="C34" s="251"/>
      <c r="D34" s="251"/>
      <c r="E34" s="253"/>
      <c r="F34" s="251"/>
    </row>
    <row r="35" spans="1:6" x14ac:dyDescent="0.3">
      <c r="A35" s="251"/>
      <c r="B35" s="251"/>
      <c r="C35" s="251"/>
      <c r="D35" s="251"/>
      <c r="E35" s="253"/>
      <c r="F35" s="251"/>
    </row>
    <row r="36" spans="1:6" x14ac:dyDescent="0.3">
      <c r="A36" s="251"/>
      <c r="B36" s="251"/>
      <c r="C36" s="251"/>
      <c r="D36" s="251"/>
      <c r="E36" s="253"/>
      <c r="F36" s="251"/>
    </row>
    <row r="37" spans="1:6" x14ac:dyDescent="0.3">
      <c r="A37" s="251"/>
      <c r="B37" s="251"/>
      <c r="C37" s="251"/>
      <c r="D37" s="251"/>
      <c r="E37" s="253"/>
      <c r="F37" s="251"/>
    </row>
    <row r="38" spans="1:6" x14ac:dyDescent="0.3">
      <c r="A38" s="251"/>
      <c r="B38" s="251"/>
      <c r="C38" s="251"/>
      <c r="D38" s="251"/>
      <c r="E38" s="253"/>
      <c r="F38" s="251"/>
    </row>
    <row r="39" spans="1:6" x14ac:dyDescent="0.3">
      <c r="A39" s="251"/>
      <c r="B39" s="251"/>
      <c r="C39" s="251"/>
      <c r="D39" s="251"/>
      <c r="E39" s="253"/>
      <c r="F39" s="251"/>
    </row>
    <row r="40" spans="1:6" x14ac:dyDescent="0.3">
      <c r="A40" s="251"/>
      <c r="B40" s="251"/>
      <c r="C40" s="251"/>
      <c r="D40" s="251"/>
      <c r="E40" s="253"/>
      <c r="F40" s="251"/>
    </row>
    <row r="41" spans="1:6" x14ac:dyDescent="0.3">
      <c r="A41" s="251"/>
      <c r="B41" s="251"/>
      <c r="C41" s="251"/>
      <c r="D41" s="251"/>
      <c r="E41" s="253"/>
      <c r="F41" s="251"/>
    </row>
    <row r="42" spans="1:6" x14ac:dyDescent="0.3">
      <c r="A42" s="251"/>
      <c r="B42" s="251"/>
      <c r="C42" s="251"/>
      <c r="D42" s="251"/>
      <c r="E42" s="253"/>
      <c r="F42" s="251"/>
    </row>
    <row r="43" spans="1:6" x14ac:dyDescent="0.3">
      <c r="A43" s="251"/>
      <c r="B43" s="251"/>
      <c r="C43" s="251"/>
      <c r="D43" s="251"/>
      <c r="E43" s="253"/>
      <c r="F43" s="251"/>
    </row>
    <row r="44" spans="1:6" x14ac:dyDescent="0.3">
      <c r="A44" s="251"/>
      <c r="B44" s="251"/>
      <c r="C44" s="251"/>
      <c r="D44" s="251"/>
      <c r="E44" s="253"/>
      <c r="F44" s="251"/>
    </row>
    <row r="45" spans="1:6" x14ac:dyDescent="0.3">
      <c r="A45" s="251"/>
      <c r="B45" s="251"/>
      <c r="C45" s="251"/>
      <c r="D45" s="251"/>
      <c r="E45" s="253"/>
      <c r="F45" s="251"/>
    </row>
    <row r="46" spans="1:6" x14ac:dyDescent="0.3">
      <c r="A46" s="251"/>
      <c r="B46" s="251"/>
      <c r="C46" s="251"/>
      <c r="D46" s="251"/>
      <c r="E46" s="253"/>
      <c r="F46" s="251"/>
    </row>
    <row r="47" spans="1:6" x14ac:dyDescent="0.3">
      <c r="A47" s="251"/>
      <c r="B47" s="251"/>
      <c r="C47" s="251"/>
      <c r="D47" s="251"/>
      <c r="E47" s="253"/>
      <c r="F47" s="251"/>
    </row>
    <row r="48" spans="1:6" x14ac:dyDescent="0.3">
      <c r="A48" s="251"/>
      <c r="B48" s="251"/>
      <c r="C48" s="251"/>
      <c r="D48" s="251"/>
      <c r="E48" s="253"/>
      <c r="F48" s="251"/>
    </row>
    <row r="49" spans="1:6" x14ac:dyDescent="0.3">
      <c r="A49" s="251"/>
      <c r="B49" s="251"/>
      <c r="C49" s="251"/>
      <c r="D49" s="251"/>
      <c r="E49" s="253"/>
      <c r="F49" s="251"/>
    </row>
    <row r="50" spans="1:6" x14ac:dyDescent="0.3">
      <c r="A50" s="251"/>
      <c r="B50" s="251"/>
      <c r="C50" s="251"/>
      <c r="D50" s="251"/>
      <c r="E50" s="253"/>
      <c r="F50" s="251"/>
    </row>
    <row r="51" spans="1:6" x14ac:dyDescent="0.3">
      <c r="A51" s="251"/>
      <c r="B51" s="251"/>
      <c r="C51" s="251"/>
      <c r="D51" s="251"/>
      <c r="E51" s="253"/>
      <c r="F51" s="251"/>
    </row>
    <row r="52" spans="1:6" x14ac:dyDescent="0.3">
      <c r="A52" s="251"/>
      <c r="B52" s="251"/>
      <c r="C52" s="251"/>
      <c r="D52" s="251"/>
      <c r="E52" s="253"/>
      <c r="F52" s="251"/>
    </row>
    <row r="53" spans="1:6" x14ac:dyDescent="0.3">
      <c r="A53" s="251"/>
      <c r="B53" s="251"/>
      <c r="C53" s="251"/>
      <c r="D53" s="251"/>
      <c r="E53" s="253"/>
      <c r="F53" s="251"/>
    </row>
    <row r="54" spans="1:6" x14ac:dyDescent="0.3">
      <c r="A54" s="251"/>
      <c r="B54" s="251"/>
      <c r="C54" s="251"/>
      <c r="D54" s="251"/>
      <c r="E54" s="253"/>
      <c r="F54" s="251"/>
    </row>
    <row r="55" spans="1:6" x14ac:dyDescent="0.3">
      <c r="A55" s="251"/>
      <c r="B55" s="251"/>
      <c r="C55" s="251"/>
      <c r="D55" s="251"/>
      <c r="E55" s="253"/>
      <c r="F55" s="251"/>
    </row>
    <row r="56" spans="1:6" x14ac:dyDescent="0.3">
      <c r="A56" s="251"/>
      <c r="B56" s="251"/>
      <c r="C56" s="251"/>
      <c r="D56" s="251"/>
      <c r="E56" s="253"/>
      <c r="F56" s="251"/>
    </row>
    <row r="57" spans="1:6" x14ac:dyDescent="0.3">
      <c r="A57" s="251"/>
      <c r="B57" s="251"/>
      <c r="C57" s="251"/>
      <c r="D57" s="251"/>
      <c r="E57" s="253"/>
      <c r="F57" s="251"/>
    </row>
    <row r="58" spans="1:6" x14ac:dyDescent="0.3">
      <c r="A58" s="251"/>
      <c r="B58" s="251"/>
      <c r="C58" s="251"/>
      <c r="D58" s="251"/>
      <c r="E58" s="253"/>
      <c r="F58" s="251"/>
    </row>
    <row r="59" spans="1:6" x14ac:dyDescent="0.3">
      <c r="A59" s="251"/>
      <c r="B59" s="251"/>
      <c r="C59" s="251"/>
      <c r="D59" s="251"/>
      <c r="E59" s="253"/>
      <c r="F59" s="251"/>
    </row>
    <row r="60" spans="1:6" x14ac:dyDescent="0.3">
      <c r="A60" s="251"/>
      <c r="B60" s="251"/>
      <c r="C60" s="251"/>
      <c r="D60" s="251"/>
      <c r="E60" s="253"/>
      <c r="F60" s="251"/>
    </row>
    <row r="61" spans="1:6" x14ac:dyDescent="0.3">
      <c r="A61" s="251"/>
      <c r="B61" s="251"/>
      <c r="C61" s="251"/>
      <c r="D61" s="251"/>
      <c r="E61" s="253"/>
      <c r="F61" s="251"/>
    </row>
    <row r="62" spans="1:6" x14ac:dyDescent="0.3">
      <c r="A62" s="251"/>
      <c r="B62" s="251"/>
      <c r="C62" s="251"/>
      <c r="D62" s="251"/>
      <c r="E62" s="253"/>
      <c r="F62" s="251"/>
    </row>
    <row r="63" spans="1:6" x14ac:dyDescent="0.3">
      <c r="A63" s="251"/>
      <c r="B63" s="251"/>
      <c r="C63" s="251"/>
      <c r="D63" s="251"/>
      <c r="E63" s="253"/>
      <c r="F63" s="251"/>
    </row>
    <row r="64" spans="1:6" x14ac:dyDescent="0.3">
      <c r="A64" s="251"/>
      <c r="B64" s="251"/>
      <c r="C64" s="251"/>
      <c r="D64" s="251"/>
      <c r="E64" s="253"/>
      <c r="F64" s="251"/>
    </row>
    <row r="65" spans="1:6" x14ac:dyDescent="0.3">
      <c r="A65" s="251"/>
      <c r="B65" s="251"/>
      <c r="C65" s="251"/>
      <c r="D65" s="251"/>
      <c r="E65" s="253"/>
      <c r="F65" s="251"/>
    </row>
    <row r="66" spans="1:6" x14ac:dyDescent="0.3">
      <c r="A66" s="251"/>
      <c r="B66" s="251"/>
      <c r="C66" s="251"/>
      <c r="D66" s="251"/>
      <c r="E66" s="253"/>
      <c r="F66" s="251"/>
    </row>
    <row r="67" spans="1:6" x14ac:dyDescent="0.3">
      <c r="A67" s="251"/>
      <c r="B67" s="251"/>
      <c r="C67" s="251"/>
      <c r="D67" s="251"/>
      <c r="E67" s="253"/>
      <c r="F67" s="251"/>
    </row>
    <row r="68" spans="1:6" x14ac:dyDescent="0.3">
      <c r="A68" s="251"/>
      <c r="B68" s="251"/>
      <c r="C68" s="251"/>
      <c r="D68" s="251"/>
      <c r="E68" s="253"/>
      <c r="F68" s="251"/>
    </row>
    <row r="69" spans="1:6" x14ac:dyDescent="0.3">
      <c r="A69" s="251"/>
      <c r="B69" s="251"/>
      <c r="C69" s="251"/>
      <c r="D69" s="251"/>
      <c r="E69" s="253"/>
      <c r="F69" s="251"/>
    </row>
    <row r="70" spans="1:6" x14ac:dyDescent="0.3">
      <c r="A70" s="251"/>
      <c r="B70" s="251"/>
      <c r="C70" s="251"/>
      <c r="D70" s="251"/>
      <c r="E70" s="253"/>
      <c r="F70" s="251"/>
    </row>
    <row r="71" spans="1:6" x14ac:dyDescent="0.3">
      <c r="A71" s="251"/>
      <c r="B71" s="251"/>
      <c r="C71" s="251"/>
      <c r="D71" s="251"/>
      <c r="E71" s="253"/>
      <c r="F71" s="251"/>
    </row>
    <row r="72" spans="1:6" x14ac:dyDescent="0.3">
      <c r="A72" s="251"/>
      <c r="B72" s="251"/>
      <c r="C72" s="251"/>
      <c r="D72" s="251"/>
      <c r="E72" s="253"/>
      <c r="F72" s="251"/>
    </row>
    <row r="73" spans="1:6" x14ac:dyDescent="0.3">
      <c r="A73" s="251"/>
      <c r="B73" s="251"/>
      <c r="C73" s="251"/>
      <c r="D73" s="251"/>
      <c r="E73" s="253"/>
      <c r="F73" s="251"/>
    </row>
    <row r="74" spans="1:6" x14ac:dyDescent="0.3">
      <c r="A74" s="251"/>
      <c r="B74" s="251"/>
      <c r="C74" s="251"/>
      <c r="D74" s="251"/>
      <c r="E74" s="253"/>
      <c r="F74" s="251"/>
    </row>
    <row r="75" spans="1:6" x14ac:dyDescent="0.3">
      <c r="A75" s="251"/>
      <c r="B75" s="251"/>
      <c r="C75" s="251"/>
      <c r="D75" s="251"/>
      <c r="E75" s="253"/>
      <c r="F75" s="251"/>
    </row>
    <row r="76" spans="1:6" x14ac:dyDescent="0.3">
      <c r="A76" s="251"/>
      <c r="B76" s="251"/>
      <c r="C76" s="251"/>
      <c r="D76" s="251"/>
      <c r="E76" s="253"/>
      <c r="F76" s="251"/>
    </row>
    <row r="77" spans="1:6" x14ac:dyDescent="0.3">
      <c r="A77" s="251"/>
      <c r="B77" s="251"/>
      <c r="C77" s="251"/>
      <c r="D77" s="251"/>
      <c r="E77" s="253"/>
      <c r="F77" s="251"/>
    </row>
    <row r="78" spans="1:6" x14ac:dyDescent="0.3">
      <c r="A78" s="251"/>
      <c r="B78" s="251"/>
      <c r="C78" s="251"/>
      <c r="D78" s="251"/>
      <c r="E78" s="253"/>
      <c r="F78" s="251"/>
    </row>
    <row r="79" spans="1:6" x14ac:dyDescent="0.3">
      <c r="A79" s="251"/>
      <c r="B79" s="251"/>
      <c r="C79" s="251"/>
      <c r="D79" s="251"/>
      <c r="E79" s="253"/>
      <c r="F79" s="251"/>
    </row>
    <row r="80" spans="1:6" x14ac:dyDescent="0.3">
      <c r="A80" s="251"/>
      <c r="B80" s="251"/>
      <c r="C80" s="251"/>
      <c r="D80" s="251"/>
      <c r="E80" s="253"/>
      <c r="F80" s="251"/>
    </row>
    <row r="81" spans="1:6" x14ac:dyDescent="0.3">
      <c r="A81" s="251"/>
      <c r="B81" s="251"/>
      <c r="C81" s="251"/>
      <c r="D81" s="251"/>
      <c r="E81" s="253"/>
      <c r="F81" s="251"/>
    </row>
    <row r="82" spans="1:6" x14ac:dyDescent="0.3">
      <c r="A82" s="251"/>
      <c r="B82" s="251"/>
      <c r="C82" s="251"/>
      <c r="D82" s="251"/>
      <c r="E82" s="253"/>
      <c r="F82" s="251"/>
    </row>
    <row r="83" spans="1:6" x14ac:dyDescent="0.3">
      <c r="A83" s="251"/>
      <c r="B83" s="251"/>
      <c r="C83" s="251"/>
      <c r="D83" s="251"/>
      <c r="E83" s="253"/>
      <c r="F83" s="251"/>
    </row>
    <row r="84" spans="1:6" x14ac:dyDescent="0.3">
      <c r="A84" s="251"/>
      <c r="B84" s="251"/>
      <c r="C84" s="251"/>
      <c r="D84" s="251"/>
      <c r="E84" s="253"/>
      <c r="F84" s="251"/>
    </row>
    <row r="85" spans="1:6" x14ac:dyDescent="0.3">
      <c r="A85" s="251"/>
      <c r="B85" s="251"/>
      <c r="C85" s="251"/>
      <c r="D85" s="251"/>
      <c r="E85" s="253"/>
      <c r="F85" s="251"/>
    </row>
    <row r="86" spans="1:6" x14ac:dyDescent="0.3">
      <c r="A86" s="251"/>
      <c r="B86" s="251"/>
      <c r="C86" s="251"/>
      <c r="D86" s="251"/>
      <c r="E86" s="253"/>
      <c r="F86" s="251"/>
    </row>
    <row r="87" spans="1:6" x14ac:dyDescent="0.3">
      <c r="A87" s="251"/>
      <c r="B87" s="251"/>
      <c r="C87" s="251"/>
      <c r="D87" s="251"/>
      <c r="E87" s="253"/>
      <c r="F87" s="251"/>
    </row>
    <row r="88" spans="1:6" x14ac:dyDescent="0.3">
      <c r="A88" s="251"/>
      <c r="B88" s="251"/>
      <c r="C88" s="251"/>
      <c r="D88" s="251"/>
      <c r="E88" s="253"/>
      <c r="F88" s="251"/>
    </row>
    <row r="89" spans="1:6" x14ac:dyDescent="0.3">
      <c r="A89" s="251"/>
      <c r="B89" s="251"/>
      <c r="C89" s="251"/>
      <c r="D89" s="251"/>
      <c r="E89" s="253"/>
      <c r="F89" s="251"/>
    </row>
    <row r="90" spans="1:6" x14ac:dyDescent="0.3">
      <c r="A90" s="251"/>
      <c r="B90" s="251"/>
      <c r="C90" s="251"/>
      <c r="D90" s="251"/>
      <c r="E90" s="253"/>
      <c r="F90" s="251"/>
    </row>
    <row r="91" spans="1:6" x14ac:dyDescent="0.3">
      <c r="A91" s="251"/>
      <c r="B91" s="251"/>
      <c r="C91" s="251"/>
      <c r="D91" s="251"/>
      <c r="E91" s="253"/>
      <c r="F91" s="251"/>
    </row>
    <row r="92" spans="1:6" x14ac:dyDescent="0.3">
      <c r="A92" s="251"/>
      <c r="B92" s="251"/>
      <c r="C92" s="251"/>
      <c r="D92" s="251"/>
      <c r="E92" s="253"/>
      <c r="F92" s="251"/>
    </row>
    <row r="93" spans="1:6" x14ac:dyDescent="0.3">
      <c r="A93" s="251"/>
      <c r="B93" s="251"/>
      <c r="C93" s="251"/>
      <c r="D93" s="251"/>
      <c r="E93" s="253"/>
      <c r="F93" s="251"/>
    </row>
    <row r="94" spans="1:6" x14ac:dyDescent="0.3">
      <c r="A94" s="251"/>
      <c r="B94" s="251"/>
      <c r="C94" s="251"/>
      <c r="D94" s="251"/>
      <c r="E94" s="253"/>
      <c r="F94" s="251"/>
    </row>
    <row r="95" spans="1:6" x14ac:dyDescent="0.3">
      <c r="A95" s="251"/>
      <c r="B95" s="251"/>
      <c r="C95" s="251"/>
      <c r="D95" s="251"/>
      <c r="E95" s="253"/>
      <c r="F95" s="251"/>
    </row>
    <row r="96" spans="1:6" x14ac:dyDescent="0.3">
      <c r="A96" s="251"/>
      <c r="B96" s="251"/>
      <c r="C96" s="251"/>
      <c r="D96" s="251"/>
      <c r="E96" s="253"/>
      <c r="F96" s="251"/>
    </row>
    <row r="97" spans="1:6" x14ac:dyDescent="0.3">
      <c r="A97" s="251"/>
      <c r="B97" s="251"/>
      <c r="C97" s="251"/>
      <c r="D97" s="251"/>
      <c r="E97" s="253"/>
      <c r="F97" s="251"/>
    </row>
    <row r="98" spans="1:6" x14ac:dyDescent="0.3">
      <c r="A98" s="251"/>
      <c r="B98" s="251"/>
      <c r="C98" s="251"/>
      <c r="D98" s="251"/>
      <c r="E98" s="253"/>
      <c r="F98" s="251"/>
    </row>
    <row r="99" spans="1:6" x14ac:dyDescent="0.3">
      <c r="A99" s="251"/>
      <c r="B99" s="251"/>
      <c r="C99" s="251"/>
      <c r="D99" s="251"/>
      <c r="E99" s="253"/>
      <c r="F99" s="251"/>
    </row>
    <row r="100" spans="1:6" x14ac:dyDescent="0.3">
      <c r="A100" s="251"/>
      <c r="B100" s="251"/>
      <c r="C100" s="251"/>
      <c r="D100" s="251"/>
      <c r="E100" s="253"/>
      <c r="F100" s="251"/>
    </row>
    <row r="101" spans="1:6" x14ac:dyDescent="0.3">
      <c r="A101" s="251"/>
      <c r="B101" s="251"/>
      <c r="C101" s="251"/>
      <c r="D101" s="251"/>
      <c r="E101" s="253"/>
      <c r="F101" s="251"/>
    </row>
    <row r="102" spans="1:6" x14ac:dyDescent="0.3">
      <c r="A102" s="251"/>
      <c r="B102" s="251"/>
      <c r="C102" s="251"/>
      <c r="D102" s="251"/>
      <c r="E102" s="253"/>
      <c r="F102" s="251"/>
    </row>
    <row r="103" spans="1:6" x14ac:dyDescent="0.3">
      <c r="A103" s="251"/>
      <c r="B103" s="251"/>
      <c r="C103" s="251"/>
      <c r="D103" s="251"/>
      <c r="E103" s="253"/>
      <c r="F103" s="251"/>
    </row>
    <row r="104" spans="1:6" x14ac:dyDescent="0.3">
      <c r="A104" s="251"/>
      <c r="B104" s="251"/>
      <c r="C104" s="251"/>
      <c r="D104" s="251"/>
      <c r="E104" s="253"/>
      <c r="F104" s="251"/>
    </row>
    <row r="105" spans="1:6" x14ac:dyDescent="0.3">
      <c r="A105" s="251"/>
      <c r="B105" s="251"/>
      <c r="C105" s="251"/>
      <c r="D105" s="251"/>
      <c r="E105" s="253"/>
      <c r="F105" s="251"/>
    </row>
    <row r="106" spans="1:6" x14ac:dyDescent="0.3">
      <c r="A106" s="251"/>
      <c r="B106" s="251"/>
      <c r="C106" s="251"/>
      <c r="D106" s="251"/>
      <c r="E106" s="253"/>
      <c r="F106" s="251"/>
    </row>
    <row r="107" spans="1:6" x14ac:dyDescent="0.3">
      <c r="A107" s="251"/>
      <c r="B107" s="251"/>
      <c r="C107" s="251"/>
      <c r="D107" s="251"/>
      <c r="E107" s="253"/>
      <c r="F107" s="251"/>
    </row>
    <row r="108" spans="1:6" x14ac:dyDescent="0.3">
      <c r="A108" s="251"/>
      <c r="B108" s="251"/>
      <c r="C108" s="251"/>
      <c r="D108" s="251"/>
      <c r="E108" s="253"/>
      <c r="F108" s="251"/>
    </row>
    <row r="109" spans="1:6" x14ac:dyDescent="0.3">
      <c r="A109" s="251"/>
      <c r="B109" s="251"/>
      <c r="C109" s="251"/>
      <c r="D109" s="251"/>
      <c r="E109" s="253"/>
      <c r="F109" s="251"/>
    </row>
    <row r="110" spans="1:6" x14ac:dyDescent="0.3">
      <c r="A110" s="251"/>
      <c r="B110" s="251"/>
      <c r="C110" s="251"/>
      <c r="D110" s="251"/>
      <c r="E110" s="253"/>
      <c r="F110" s="251"/>
    </row>
    <row r="111" spans="1:6" x14ac:dyDescent="0.3">
      <c r="A111" s="251"/>
      <c r="B111" s="251"/>
      <c r="C111" s="251"/>
      <c r="D111" s="251"/>
      <c r="E111" s="253"/>
      <c r="F111" s="251"/>
    </row>
    <row r="112" spans="1:6" x14ac:dyDescent="0.3">
      <c r="A112" s="251"/>
      <c r="B112" s="251"/>
      <c r="C112" s="251"/>
      <c r="D112" s="251"/>
      <c r="E112" s="253"/>
      <c r="F112" s="251"/>
    </row>
    <row r="113" spans="1:6" x14ac:dyDescent="0.3">
      <c r="A113" s="251"/>
      <c r="B113" s="251"/>
      <c r="C113" s="251"/>
      <c r="D113" s="251"/>
      <c r="E113" s="253"/>
      <c r="F113" s="251"/>
    </row>
    <row r="114" spans="1:6" x14ac:dyDescent="0.3">
      <c r="A114" s="251"/>
      <c r="B114" s="251"/>
      <c r="C114" s="251"/>
      <c r="D114" s="251"/>
      <c r="E114" s="253"/>
      <c r="F114" s="251"/>
    </row>
    <row r="115" spans="1:6" x14ac:dyDescent="0.3">
      <c r="A115" s="251"/>
      <c r="B115" s="251"/>
      <c r="C115" s="251"/>
      <c r="D115" s="251"/>
      <c r="E115" s="253"/>
      <c r="F115" s="251"/>
    </row>
    <row r="116" spans="1:6" x14ac:dyDescent="0.3">
      <c r="A116" s="251"/>
      <c r="B116" s="251"/>
      <c r="C116" s="251"/>
      <c r="D116" s="251"/>
      <c r="E116" s="253"/>
      <c r="F116" s="251"/>
    </row>
    <row r="117" spans="1:6" x14ac:dyDescent="0.3">
      <c r="A117" s="251"/>
      <c r="B117" s="251"/>
      <c r="C117" s="251"/>
      <c r="D117" s="251"/>
      <c r="E117" s="253"/>
      <c r="F117" s="251"/>
    </row>
    <row r="118" spans="1:6" x14ac:dyDescent="0.3">
      <c r="A118" s="251"/>
      <c r="B118" s="251"/>
      <c r="C118" s="251"/>
      <c r="D118" s="251"/>
      <c r="E118" s="253"/>
      <c r="F118" s="251"/>
    </row>
    <row r="119" spans="1:6" x14ac:dyDescent="0.3">
      <c r="A119" s="251"/>
      <c r="B119" s="251"/>
      <c r="C119" s="251"/>
      <c r="D119" s="251"/>
      <c r="E119" s="253"/>
      <c r="F119" s="251"/>
    </row>
    <row r="120" spans="1:6" x14ac:dyDescent="0.3">
      <c r="A120" s="251"/>
      <c r="B120" s="251"/>
      <c r="C120" s="251"/>
      <c r="D120" s="251"/>
      <c r="E120" s="253"/>
      <c r="F120" s="251"/>
    </row>
    <row r="121" spans="1:6" x14ac:dyDescent="0.3">
      <c r="A121" s="251"/>
      <c r="B121" s="251"/>
      <c r="C121" s="251"/>
      <c r="D121" s="251"/>
      <c r="E121" s="253"/>
      <c r="F121" s="251"/>
    </row>
    <row r="122" spans="1:6" x14ac:dyDescent="0.3">
      <c r="A122" s="251"/>
      <c r="B122" s="251"/>
      <c r="C122" s="251"/>
      <c r="D122" s="251"/>
      <c r="E122" s="253"/>
      <c r="F122" s="251"/>
    </row>
    <row r="123" spans="1:6" x14ac:dyDescent="0.3">
      <c r="A123" s="251"/>
      <c r="B123" s="251"/>
      <c r="C123" s="251"/>
      <c r="D123" s="251"/>
      <c r="E123" s="253"/>
      <c r="F123" s="251"/>
    </row>
    <row r="124" spans="1:6" x14ac:dyDescent="0.3">
      <c r="A124" s="251"/>
      <c r="B124" s="251"/>
      <c r="C124" s="251"/>
      <c r="D124" s="251"/>
      <c r="E124" s="253"/>
      <c r="F124" s="251"/>
    </row>
    <row r="125" spans="1:6" x14ac:dyDescent="0.3">
      <c r="A125" s="251"/>
      <c r="B125" s="251"/>
      <c r="C125" s="251"/>
      <c r="D125" s="251"/>
      <c r="E125" s="253"/>
      <c r="F125" s="251"/>
    </row>
    <row r="126" spans="1:6" x14ac:dyDescent="0.3">
      <c r="A126" s="251"/>
      <c r="B126" s="251"/>
      <c r="C126" s="251"/>
      <c r="D126" s="251"/>
      <c r="E126" s="253"/>
      <c r="F126" s="251"/>
    </row>
    <row r="127" spans="1:6" x14ac:dyDescent="0.3">
      <c r="A127" s="251"/>
      <c r="B127" s="251"/>
      <c r="C127" s="251"/>
      <c r="D127" s="251"/>
      <c r="E127" s="253"/>
      <c r="F127" s="251"/>
    </row>
    <row r="128" spans="1:6" x14ac:dyDescent="0.3">
      <c r="A128" s="251"/>
      <c r="B128" s="251"/>
      <c r="C128" s="251"/>
      <c r="D128" s="251"/>
      <c r="E128" s="253"/>
      <c r="F128" s="251"/>
    </row>
    <row r="129" spans="1:6" x14ac:dyDescent="0.3">
      <c r="A129" s="251"/>
      <c r="B129" s="251"/>
      <c r="C129" s="251"/>
      <c r="D129" s="251"/>
      <c r="E129" s="253"/>
      <c r="F129" s="251"/>
    </row>
    <row r="130" spans="1:6" x14ac:dyDescent="0.3">
      <c r="A130" s="251"/>
      <c r="B130" s="251"/>
      <c r="C130" s="251"/>
      <c r="D130" s="251"/>
      <c r="E130" s="253"/>
      <c r="F130" s="251"/>
    </row>
    <row r="131" spans="1:6" x14ac:dyDescent="0.3">
      <c r="A131" s="251"/>
      <c r="B131" s="251"/>
      <c r="C131" s="251"/>
      <c r="D131" s="251"/>
      <c r="E131" s="253"/>
      <c r="F131" s="251"/>
    </row>
    <row r="132" spans="1:6" x14ac:dyDescent="0.3">
      <c r="A132" s="251"/>
      <c r="B132" s="251"/>
      <c r="C132" s="251"/>
      <c r="D132" s="251"/>
      <c r="E132" s="253"/>
      <c r="F132" s="251"/>
    </row>
    <row r="133" spans="1:6" x14ac:dyDescent="0.3">
      <c r="A133" s="251"/>
      <c r="B133" s="251"/>
      <c r="C133" s="251"/>
      <c r="D133" s="251"/>
      <c r="E133" s="253"/>
      <c r="F133" s="251"/>
    </row>
    <row r="134" spans="1:6" x14ac:dyDescent="0.3">
      <c r="A134" s="251"/>
      <c r="B134" s="251"/>
      <c r="C134" s="251"/>
      <c r="D134" s="251"/>
      <c r="E134" s="253"/>
      <c r="F134" s="251"/>
    </row>
    <row r="135" spans="1:6" x14ac:dyDescent="0.3">
      <c r="A135" s="251"/>
      <c r="B135" s="251"/>
      <c r="C135" s="251"/>
      <c r="D135" s="251"/>
      <c r="E135" s="253"/>
      <c r="F135" s="251"/>
    </row>
    <row r="136" spans="1:6" x14ac:dyDescent="0.3">
      <c r="A136" s="251"/>
      <c r="B136" s="251"/>
      <c r="C136" s="251"/>
      <c r="D136" s="251"/>
      <c r="E136" s="253"/>
      <c r="F136" s="251"/>
    </row>
    <row r="137" spans="1:6" x14ac:dyDescent="0.3">
      <c r="A137" s="251"/>
      <c r="B137" s="251"/>
      <c r="C137" s="251"/>
      <c r="D137" s="251"/>
      <c r="E137" s="253"/>
      <c r="F137" s="251"/>
    </row>
    <row r="138" spans="1:6" x14ac:dyDescent="0.3">
      <c r="A138" s="251"/>
      <c r="B138" s="251"/>
      <c r="C138" s="251"/>
      <c r="D138" s="251"/>
      <c r="E138" s="253"/>
      <c r="F138" s="251"/>
    </row>
    <row r="139" spans="1:6" x14ac:dyDescent="0.3">
      <c r="A139" s="251"/>
      <c r="B139" s="251"/>
      <c r="C139" s="251"/>
      <c r="D139" s="251"/>
      <c r="E139" s="253"/>
      <c r="F139" s="251"/>
    </row>
    <row r="140" spans="1:6" x14ac:dyDescent="0.3">
      <c r="A140" s="251"/>
      <c r="B140" s="251"/>
      <c r="C140" s="251"/>
      <c r="D140" s="251"/>
      <c r="E140" s="253"/>
      <c r="F140" s="251"/>
    </row>
    <row r="141" spans="1:6" x14ac:dyDescent="0.3">
      <c r="A141" s="251"/>
      <c r="B141" s="251"/>
      <c r="C141" s="251"/>
      <c r="D141" s="251"/>
      <c r="E141" s="253"/>
      <c r="F141" s="251"/>
    </row>
    <row r="142" spans="1:6" x14ac:dyDescent="0.3">
      <c r="A142" s="251"/>
      <c r="B142" s="251"/>
      <c r="C142" s="251"/>
      <c r="D142" s="251"/>
      <c r="E142" s="253"/>
      <c r="F142" s="251"/>
    </row>
    <row r="143" spans="1:6" x14ac:dyDescent="0.3">
      <c r="A143" s="251"/>
      <c r="B143" s="251"/>
      <c r="C143" s="251"/>
      <c r="D143" s="251"/>
      <c r="E143" s="253"/>
      <c r="F143" s="251"/>
    </row>
    <row r="144" spans="1:6" x14ac:dyDescent="0.3">
      <c r="A144" s="251"/>
      <c r="B144" s="251"/>
      <c r="C144" s="251"/>
      <c r="D144" s="251"/>
      <c r="E144" s="253"/>
      <c r="F144" s="251"/>
    </row>
    <row r="145" spans="1:6" x14ac:dyDescent="0.3">
      <c r="A145" s="251"/>
      <c r="B145" s="251"/>
      <c r="C145" s="251"/>
      <c r="D145" s="251"/>
      <c r="E145" s="253"/>
      <c r="F145" s="251"/>
    </row>
    <row r="146" spans="1:6" x14ac:dyDescent="0.3">
      <c r="A146" s="251"/>
      <c r="B146" s="251"/>
      <c r="C146" s="251"/>
      <c r="D146" s="251"/>
      <c r="E146" s="253"/>
      <c r="F146" s="251"/>
    </row>
    <row r="147" spans="1:6" x14ac:dyDescent="0.3">
      <c r="A147" s="251"/>
      <c r="B147" s="251"/>
      <c r="C147" s="251"/>
      <c r="D147" s="251"/>
      <c r="E147" s="253"/>
      <c r="F147" s="251"/>
    </row>
    <row r="148" spans="1:6" x14ac:dyDescent="0.3">
      <c r="A148" s="251"/>
      <c r="B148" s="251"/>
      <c r="C148" s="251"/>
      <c r="D148" s="251"/>
      <c r="E148" s="253"/>
      <c r="F148" s="251"/>
    </row>
    <row r="149" spans="1:6" x14ac:dyDescent="0.3">
      <c r="A149" s="251"/>
      <c r="B149" s="251"/>
      <c r="C149" s="251"/>
      <c r="D149" s="251"/>
      <c r="E149" s="253"/>
      <c r="F149" s="251"/>
    </row>
    <row r="150" spans="1:6" x14ac:dyDescent="0.3">
      <c r="A150" s="251"/>
      <c r="B150" s="251"/>
      <c r="C150" s="251"/>
      <c r="D150" s="251"/>
      <c r="E150" s="253"/>
      <c r="F150" s="251"/>
    </row>
    <row r="151" spans="1:6" x14ac:dyDescent="0.3">
      <c r="A151" s="251"/>
      <c r="B151" s="251"/>
      <c r="C151" s="251"/>
      <c r="D151" s="251"/>
      <c r="E151" s="253"/>
      <c r="F151" s="251"/>
    </row>
    <row r="152" spans="1:6" x14ac:dyDescent="0.3">
      <c r="A152" s="251"/>
      <c r="B152" s="251"/>
      <c r="C152" s="251"/>
      <c r="D152" s="251"/>
      <c r="E152" s="253"/>
      <c r="F152" s="251"/>
    </row>
    <row r="153" spans="1:6" x14ac:dyDescent="0.3">
      <c r="A153" s="251"/>
      <c r="B153" s="251"/>
      <c r="C153" s="251"/>
      <c r="D153" s="251"/>
      <c r="E153" s="253"/>
      <c r="F153" s="251"/>
    </row>
    <row r="154" spans="1:6" x14ac:dyDescent="0.3">
      <c r="A154" s="251"/>
      <c r="B154" s="251"/>
      <c r="C154" s="251"/>
      <c r="D154" s="251"/>
      <c r="E154" s="253"/>
      <c r="F154" s="251"/>
    </row>
    <row r="155" spans="1:6" x14ac:dyDescent="0.3">
      <c r="A155" s="251"/>
      <c r="B155" s="251"/>
      <c r="C155" s="251"/>
      <c r="D155" s="251"/>
      <c r="E155" s="253"/>
      <c r="F155" s="251"/>
    </row>
    <row r="156" spans="1:6" x14ac:dyDescent="0.3">
      <c r="A156" s="251"/>
      <c r="B156" s="251"/>
      <c r="C156" s="251"/>
      <c r="D156" s="251"/>
      <c r="E156" s="253"/>
      <c r="F156" s="251"/>
    </row>
    <row r="157" spans="1:6" x14ac:dyDescent="0.3">
      <c r="A157" s="251"/>
      <c r="B157" s="251"/>
      <c r="C157" s="251"/>
      <c r="D157" s="251"/>
      <c r="E157" s="253"/>
      <c r="F157" s="251"/>
    </row>
    <row r="158" spans="1:6" x14ac:dyDescent="0.3">
      <c r="A158" s="251"/>
      <c r="B158" s="251"/>
      <c r="C158" s="251"/>
      <c r="D158" s="251"/>
      <c r="E158" s="253"/>
      <c r="F158" s="251"/>
    </row>
    <row r="159" spans="1:6" x14ac:dyDescent="0.3">
      <c r="A159" s="251"/>
      <c r="B159" s="251"/>
      <c r="C159" s="251"/>
      <c r="D159" s="251"/>
      <c r="E159" s="253"/>
      <c r="F159" s="251"/>
    </row>
    <row r="160" spans="1:6" x14ac:dyDescent="0.3">
      <c r="A160" s="251"/>
      <c r="B160" s="251"/>
      <c r="C160" s="251"/>
      <c r="D160" s="251"/>
      <c r="E160" s="253"/>
      <c r="F160" s="251"/>
    </row>
    <row r="161" spans="1:6" x14ac:dyDescent="0.3">
      <c r="A161" s="251"/>
      <c r="B161" s="251"/>
      <c r="C161" s="251"/>
      <c r="D161" s="251"/>
      <c r="E161" s="253"/>
      <c r="F161" s="251"/>
    </row>
    <row r="162" spans="1:6" x14ac:dyDescent="0.3">
      <c r="A162" s="251"/>
      <c r="B162" s="251"/>
      <c r="C162" s="251"/>
      <c r="D162" s="251"/>
      <c r="E162" s="253"/>
      <c r="F162" s="251"/>
    </row>
    <row r="163" spans="1:6" x14ac:dyDescent="0.3">
      <c r="A163" s="251"/>
      <c r="B163" s="251"/>
      <c r="C163" s="251"/>
      <c r="D163" s="251"/>
      <c r="E163" s="253"/>
      <c r="F163" s="251"/>
    </row>
    <row r="164" spans="1:6" x14ac:dyDescent="0.3">
      <c r="A164" s="251"/>
      <c r="B164" s="251"/>
      <c r="C164" s="251"/>
      <c r="D164" s="251"/>
      <c r="E164" s="253"/>
      <c r="F164" s="251"/>
    </row>
    <row r="165" spans="1:6" x14ac:dyDescent="0.3">
      <c r="A165" s="251"/>
      <c r="B165" s="251"/>
      <c r="C165" s="251"/>
      <c r="D165" s="251"/>
      <c r="E165" s="253"/>
      <c r="F165" s="251"/>
    </row>
    <row r="166" spans="1:6" x14ac:dyDescent="0.3">
      <c r="A166" s="251"/>
      <c r="B166" s="251"/>
      <c r="C166" s="251"/>
      <c r="D166" s="251"/>
      <c r="E166" s="253"/>
      <c r="F166" s="251"/>
    </row>
    <row r="167" spans="1:6" x14ac:dyDescent="0.3">
      <c r="A167" s="251"/>
      <c r="B167" s="251"/>
      <c r="C167" s="251"/>
      <c r="D167" s="251"/>
      <c r="E167" s="253"/>
      <c r="F167" s="251"/>
    </row>
    <row r="168" spans="1:6" x14ac:dyDescent="0.3">
      <c r="A168" s="251"/>
      <c r="B168" s="251"/>
      <c r="C168" s="251"/>
      <c r="D168" s="251"/>
      <c r="E168" s="253"/>
      <c r="F168" s="251"/>
    </row>
    <row r="169" spans="1:6" x14ac:dyDescent="0.3">
      <c r="A169" s="251"/>
      <c r="B169" s="251"/>
      <c r="C169" s="251"/>
      <c r="D169" s="251"/>
      <c r="E169" s="253"/>
      <c r="F169" s="251"/>
    </row>
    <row r="170" spans="1:6" x14ac:dyDescent="0.3">
      <c r="A170" s="251"/>
      <c r="B170" s="251"/>
      <c r="C170" s="251"/>
      <c r="D170" s="251"/>
      <c r="E170" s="253"/>
      <c r="F170" s="251"/>
    </row>
    <row r="171" spans="1:6" x14ac:dyDescent="0.3">
      <c r="A171" s="251"/>
      <c r="B171" s="251"/>
      <c r="C171" s="251"/>
      <c r="D171" s="251"/>
      <c r="E171" s="253"/>
      <c r="F171" s="251"/>
    </row>
    <row r="172" spans="1:6" x14ac:dyDescent="0.3">
      <c r="A172" s="251"/>
      <c r="B172" s="251"/>
      <c r="C172" s="251"/>
      <c r="D172" s="251"/>
      <c r="E172" s="253"/>
      <c r="F172" s="251"/>
    </row>
    <row r="173" spans="1:6" x14ac:dyDescent="0.3">
      <c r="A173" s="251"/>
      <c r="B173" s="251"/>
      <c r="C173" s="251"/>
      <c r="D173" s="251"/>
      <c r="E173" s="253"/>
      <c r="F173" s="251"/>
    </row>
    <row r="174" spans="1:6" x14ac:dyDescent="0.3">
      <c r="A174" s="251"/>
      <c r="B174" s="251"/>
      <c r="C174" s="251"/>
      <c r="D174" s="251"/>
      <c r="E174" s="253"/>
      <c r="F174" s="251"/>
    </row>
    <row r="175" spans="1:6" x14ac:dyDescent="0.3">
      <c r="A175" s="251"/>
      <c r="B175" s="251"/>
      <c r="C175" s="251"/>
      <c r="D175" s="251"/>
      <c r="E175" s="253"/>
      <c r="F175" s="251"/>
    </row>
    <row r="176" spans="1:6" x14ac:dyDescent="0.3">
      <c r="A176" s="251"/>
      <c r="B176" s="251"/>
      <c r="C176" s="251"/>
      <c r="D176" s="251"/>
      <c r="E176" s="253"/>
      <c r="F176" s="251"/>
    </row>
    <row r="177" spans="1:6" x14ac:dyDescent="0.3">
      <c r="A177" s="251"/>
      <c r="B177" s="251"/>
      <c r="C177" s="251"/>
      <c r="D177" s="251"/>
      <c r="E177" s="253"/>
      <c r="F177" s="251"/>
    </row>
    <row r="178" spans="1:6" x14ac:dyDescent="0.3">
      <c r="A178" s="251"/>
      <c r="B178" s="251"/>
      <c r="C178" s="251"/>
      <c r="D178" s="251"/>
      <c r="E178" s="253"/>
      <c r="F178" s="251"/>
    </row>
    <row r="179" spans="1:6" x14ac:dyDescent="0.3">
      <c r="A179" s="251"/>
      <c r="B179" s="251"/>
      <c r="C179" s="251"/>
      <c r="D179" s="251"/>
      <c r="E179" s="253"/>
      <c r="F179" s="251"/>
    </row>
    <row r="180" spans="1:6" x14ac:dyDescent="0.3">
      <c r="A180" s="251"/>
      <c r="B180" s="251"/>
      <c r="C180" s="251"/>
      <c r="D180" s="251"/>
      <c r="E180" s="253"/>
      <c r="F180" s="251"/>
    </row>
    <row r="181" spans="1:6" x14ac:dyDescent="0.3">
      <c r="A181" s="251"/>
      <c r="B181" s="251"/>
      <c r="C181" s="251"/>
      <c r="D181" s="251"/>
      <c r="E181" s="253"/>
      <c r="F181" s="251"/>
    </row>
    <row r="182" spans="1:6" x14ac:dyDescent="0.3">
      <c r="A182" s="251"/>
      <c r="B182" s="251"/>
      <c r="C182" s="251"/>
      <c r="D182" s="251"/>
      <c r="E182" s="253"/>
      <c r="F182" s="251"/>
    </row>
    <row r="183" spans="1:6" x14ac:dyDescent="0.3">
      <c r="A183" s="251"/>
      <c r="B183" s="251"/>
      <c r="C183" s="251"/>
      <c r="D183" s="251"/>
      <c r="E183" s="253"/>
      <c r="F183" s="251"/>
    </row>
    <row r="184" spans="1:6" x14ac:dyDescent="0.3">
      <c r="A184" s="251"/>
      <c r="B184" s="251"/>
      <c r="C184" s="251"/>
      <c r="D184" s="251"/>
      <c r="E184" s="253"/>
      <c r="F184" s="251"/>
    </row>
    <row r="185" spans="1:6" x14ac:dyDescent="0.3">
      <c r="A185" s="251"/>
      <c r="B185" s="251"/>
      <c r="C185" s="251"/>
      <c r="D185" s="251"/>
      <c r="E185" s="253"/>
      <c r="F185" s="251"/>
    </row>
    <row r="186" spans="1:6" x14ac:dyDescent="0.3">
      <c r="A186" s="251"/>
      <c r="B186" s="251"/>
      <c r="C186" s="251"/>
      <c r="D186" s="251"/>
      <c r="E186" s="253"/>
      <c r="F186" s="251"/>
    </row>
    <row r="187" spans="1:6" x14ac:dyDescent="0.3">
      <c r="A187" s="251"/>
      <c r="B187" s="251"/>
      <c r="C187" s="251"/>
      <c r="D187" s="251"/>
      <c r="E187" s="253"/>
      <c r="F187" s="251"/>
    </row>
    <row r="188" spans="1:6" x14ac:dyDescent="0.3">
      <c r="A188" s="251"/>
      <c r="B188" s="251"/>
      <c r="C188" s="251"/>
      <c r="D188" s="251"/>
      <c r="E188" s="253"/>
      <c r="F188" s="251"/>
    </row>
    <row r="189" spans="1:6" x14ac:dyDescent="0.3">
      <c r="A189" s="251"/>
      <c r="B189" s="251"/>
      <c r="C189" s="251"/>
      <c r="D189" s="251"/>
      <c r="E189" s="253"/>
      <c r="F189" s="251"/>
    </row>
    <row r="190" spans="1:6" x14ac:dyDescent="0.3">
      <c r="A190" s="251"/>
      <c r="B190" s="251"/>
      <c r="C190" s="251"/>
      <c r="D190" s="251"/>
      <c r="E190" s="253"/>
      <c r="F190" s="251"/>
    </row>
    <row r="191" spans="1:6" x14ac:dyDescent="0.3">
      <c r="A191" s="251"/>
      <c r="B191" s="251"/>
      <c r="C191" s="251"/>
      <c r="D191" s="251"/>
      <c r="E191" s="253"/>
      <c r="F191" s="251"/>
    </row>
    <row r="192" spans="1:6" x14ac:dyDescent="0.3">
      <c r="A192" s="251"/>
      <c r="B192" s="251"/>
      <c r="C192" s="251"/>
      <c r="D192" s="251"/>
      <c r="E192" s="253"/>
      <c r="F192" s="251"/>
    </row>
    <row r="193" spans="1:6" x14ac:dyDescent="0.3">
      <c r="A193" s="251"/>
      <c r="B193" s="251"/>
      <c r="C193" s="251"/>
      <c r="D193" s="251"/>
      <c r="E193" s="253"/>
      <c r="F193" s="251"/>
    </row>
    <row r="194" spans="1:6" x14ac:dyDescent="0.3">
      <c r="A194" s="251"/>
      <c r="B194" s="251"/>
      <c r="C194" s="251"/>
      <c r="D194" s="251"/>
      <c r="E194" s="253"/>
      <c r="F194" s="251"/>
    </row>
    <row r="195" spans="1:6" x14ac:dyDescent="0.3">
      <c r="A195" s="251"/>
      <c r="B195" s="251"/>
      <c r="C195" s="251"/>
      <c r="D195" s="251"/>
      <c r="E195" s="253"/>
      <c r="F195" s="251"/>
    </row>
    <row r="196" spans="1:6" x14ac:dyDescent="0.3">
      <c r="A196" s="251"/>
      <c r="B196" s="251"/>
      <c r="C196" s="251"/>
      <c r="D196" s="251"/>
      <c r="E196" s="253"/>
      <c r="F196" s="251"/>
    </row>
    <row r="197" spans="1:6" x14ac:dyDescent="0.3">
      <c r="A197" s="251"/>
      <c r="B197" s="251"/>
      <c r="C197" s="251"/>
      <c r="D197" s="251"/>
      <c r="E197" s="253"/>
      <c r="F197" s="251"/>
    </row>
    <row r="198" spans="1:6" x14ac:dyDescent="0.3">
      <c r="A198" s="251"/>
      <c r="B198" s="251"/>
      <c r="C198" s="251"/>
      <c r="D198" s="251"/>
      <c r="E198" s="253"/>
      <c r="F198" s="251"/>
    </row>
    <row r="199" spans="1:6" x14ac:dyDescent="0.3">
      <c r="A199" s="251"/>
      <c r="B199" s="251"/>
      <c r="C199" s="251"/>
      <c r="D199" s="251"/>
      <c r="E199" s="253"/>
      <c r="F199" s="251"/>
    </row>
    <row r="200" spans="1:6" x14ac:dyDescent="0.3">
      <c r="A200" s="251"/>
      <c r="B200" s="251"/>
      <c r="C200" s="251"/>
      <c r="D200" s="251"/>
      <c r="E200" s="253"/>
      <c r="F200" s="251"/>
    </row>
    <row r="201" spans="1:6" x14ac:dyDescent="0.3">
      <c r="A201" s="251"/>
      <c r="B201" s="251"/>
      <c r="C201" s="251"/>
      <c r="D201" s="251"/>
      <c r="E201" s="253"/>
      <c r="F201" s="251"/>
    </row>
    <row r="202" spans="1:6" x14ac:dyDescent="0.3">
      <c r="A202" s="251"/>
      <c r="B202" s="251"/>
      <c r="C202" s="251"/>
      <c r="D202" s="251"/>
      <c r="E202" s="253"/>
      <c r="F202" s="251"/>
    </row>
    <row r="203" spans="1:6" x14ac:dyDescent="0.3">
      <c r="A203" s="251"/>
      <c r="B203" s="251"/>
      <c r="C203" s="251"/>
      <c r="D203" s="251"/>
      <c r="E203" s="253"/>
      <c r="F203" s="251"/>
    </row>
    <row r="204" spans="1:6" x14ac:dyDescent="0.3">
      <c r="A204" s="251"/>
      <c r="B204" s="251"/>
      <c r="C204" s="251"/>
      <c r="D204" s="251"/>
      <c r="E204" s="253"/>
      <c r="F204" s="251"/>
    </row>
    <row r="205" spans="1:6" x14ac:dyDescent="0.3">
      <c r="A205" s="251"/>
      <c r="B205" s="251"/>
      <c r="C205" s="251"/>
      <c r="D205" s="251"/>
      <c r="E205" s="253"/>
      <c r="F205" s="251"/>
    </row>
    <row r="206" spans="1:6" x14ac:dyDescent="0.3">
      <c r="A206" s="251"/>
      <c r="B206" s="251"/>
      <c r="C206" s="251"/>
      <c r="D206" s="251"/>
      <c r="E206" s="253"/>
      <c r="F206" s="251"/>
    </row>
    <row r="207" spans="1:6" x14ac:dyDescent="0.3">
      <c r="A207" s="251"/>
      <c r="B207" s="251"/>
      <c r="C207" s="251"/>
      <c r="D207" s="251"/>
      <c r="E207" s="253"/>
      <c r="F207" s="251"/>
    </row>
    <row r="208" spans="1:6" x14ac:dyDescent="0.3">
      <c r="A208" s="251"/>
      <c r="B208" s="251"/>
      <c r="C208" s="251"/>
      <c r="D208" s="251"/>
      <c r="E208" s="253"/>
      <c r="F208" s="251"/>
    </row>
    <row r="209" spans="1:6" x14ac:dyDescent="0.3">
      <c r="A209" s="251"/>
      <c r="B209" s="251"/>
      <c r="C209" s="251"/>
      <c r="D209" s="251"/>
      <c r="E209" s="253"/>
      <c r="F209" s="251"/>
    </row>
    <row r="210" spans="1:6" x14ac:dyDescent="0.3">
      <c r="A210" s="251"/>
      <c r="B210" s="251"/>
      <c r="C210" s="251"/>
      <c r="D210" s="251"/>
      <c r="E210" s="253"/>
      <c r="F210" s="251"/>
    </row>
    <row r="211" spans="1:6" x14ac:dyDescent="0.3">
      <c r="A211" s="251"/>
      <c r="B211" s="251"/>
      <c r="C211" s="251"/>
      <c r="D211" s="251"/>
      <c r="E211" s="253"/>
      <c r="F211" s="251"/>
    </row>
    <row r="212" spans="1:6" x14ac:dyDescent="0.3">
      <c r="A212" s="251"/>
      <c r="B212" s="251"/>
      <c r="C212" s="251"/>
      <c r="D212" s="251"/>
      <c r="E212" s="253"/>
      <c r="F212" s="251"/>
    </row>
    <row r="213" spans="1:6" x14ac:dyDescent="0.3">
      <c r="A213" s="251"/>
      <c r="B213" s="251"/>
      <c r="C213" s="251"/>
      <c r="D213" s="251"/>
      <c r="E213" s="253"/>
      <c r="F213" s="251"/>
    </row>
    <row r="214" spans="1:6" x14ac:dyDescent="0.3">
      <c r="A214" s="251"/>
      <c r="B214" s="251"/>
      <c r="C214" s="251"/>
      <c r="D214" s="251"/>
      <c r="E214" s="253"/>
      <c r="F214" s="251"/>
    </row>
    <row r="215" spans="1:6" x14ac:dyDescent="0.3">
      <c r="A215" s="251"/>
      <c r="B215" s="251"/>
      <c r="C215" s="251"/>
      <c r="D215" s="251"/>
      <c r="E215" s="253"/>
      <c r="F215" s="251"/>
    </row>
    <row r="216" spans="1:6" x14ac:dyDescent="0.3">
      <c r="A216" s="251"/>
      <c r="B216" s="251"/>
      <c r="C216" s="251"/>
      <c r="D216" s="251"/>
      <c r="E216" s="253"/>
      <c r="F216" s="251"/>
    </row>
    <row r="217" spans="1:6" x14ac:dyDescent="0.3">
      <c r="A217" s="251"/>
      <c r="B217" s="251"/>
      <c r="C217" s="251"/>
      <c r="D217" s="251"/>
      <c r="E217" s="253"/>
      <c r="F217" s="251"/>
    </row>
    <row r="218" spans="1:6" x14ac:dyDescent="0.3">
      <c r="A218" s="251"/>
      <c r="B218" s="251"/>
      <c r="C218" s="251"/>
      <c r="D218" s="251"/>
      <c r="E218" s="253"/>
      <c r="F218" s="251"/>
    </row>
    <row r="219" spans="1:6" x14ac:dyDescent="0.3">
      <c r="A219" s="251"/>
      <c r="B219" s="251"/>
      <c r="C219" s="251"/>
      <c r="D219" s="251"/>
      <c r="E219" s="253"/>
      <c r="F219" s="251"/>
    </row>
    <row r="220" spans="1:6" x14ac:dyDescent="0.3">
      <c r="A220" s="251"/>
      <c r="B220" s="251"/>
      <c r="C220" s="251"/>
      <c r="D220" s="251"/>
      <c r="E220" s="253"/>
      <c r="F220" s="251"/>
    </row>
    <row r="221" spans="1:6" x14ac:dyDescent="0.3">
      <c r="A221" s="251"/>
      <c r="B221" s="251"/>
      <c r="C221" s="251"/>
      <c r="D221" s="251"/>
      <c r="E221" s="253"/>
      <c r="F221" s="251"/>
    </row>
    <row r="222" spans="1:6" x14ac:dyDescent="0.3">
      <c r="A222" s="251"/>
      <c r="B222" s="251"/>
      <c r="C222" s="251"/>
      <c r="D222" s="251"/>
      <c r="E222" s="253"/>
      <c r="F222" s="251"/>
    </row>
    <row r="223" spans="1:6" x14ac:dyDescent="0.3">
      <c r="A223" s="251"/>
      <c r="B223" s="251"/>
      <c r="C223" s="251"/>
      <c r="D223" s="251"/>
      <c r="E223" s="253"/>
      <c r="F223" s="251"/>
    </row>
    <row r="224" spans="1:6" x14ac:dyDescent="0.3">
      <c r="A224" s="251"/>
      <c r="B224" s="251"/>
      <c r="C224" s="251"/>
      <c r="D224" s="251"/>
      <c r="E224" s="253"/>
      <c r="F224" s="251"/>
    </row>
    <row r="225" spans="1:6" x14ac:dyDescent="0.3">
      <c r="A225" s="251"/>
      <c r="B225" s="251"/>
      <c r="C225" s="251"/>
      <c r="D225" s="251"/>
      <c r="E225" s="253"/>
      <c r="F225" s="251"/>
    </row>
    <row r="226" spans="1:6" x14ac:dyDescent="0.3">
      <c r="A226" s="251"/>
      <c r="B226" s="251"/>
      <c r="C226" s="251"/>
      <c r="D226" s="251"/>
      <c r="E226" s="253"/>
      <c r="F226" s="251"/>
    </row>
    <row r="227" spans="1:6" x14ac:dyDescent="0.3">
      <c r="A227" s="251"/>
      <c r="B227" s="251"/>
      <c r="C227" s="251"/>
      <c r="D227" s="251"/>
      <c r="E227" s="253"/>
      <c r="F227" s="251"/>
    </row>
    <row r="228" spans="1:6" x14ac:dyDescent="0.3">
      <c r="A228" s="251"/>
      <c r="B228" s="251"/>
      <c r="C228" s="251"/>
      <c r="D228" s="251"/>
      <c r="E228" s="253"/>
      <c r="F228" s="251"/>
    </row>
    <row r="229" spans="1:6" x14ac:dyDescent="0.3">
      <c r="A229" s="251"/>
      <c r="B229" s="251"/>
      <c r="C229" s="251"/>
      <c r="D229" s="251"/>
      <c r="E229" s="253"/>
      <c r="F229" s="251"/>
    </row>
    <row r="230" spans="1:6" x14ac:dyDescent="0.3">
      <c r="A230" s="251"/>
      <c r="B230" s="251"/>
      <c r="C230" s="251"/>
      <c r="D230" s="251"/>
      <c r="E230" s="253"/>
      <c r="F230" s="251"/>
    </row>
    <row r="231" spans="1:6" x14ac:dyDescent="0.3">
      <c r="A231" s="251"/>
      <c r="B231" s="251"/>
      <c r="C231" s="251"/>
      <c r="D231" s="251"/>
      <c r="E231" s="253"/>
      <c r="F231" s="251"/>
    </row>
    <row r="232" spans="1:6" x14ac:dyDescent="0.3">
      <c r="A232" s="251"/>
      <c r="B232" s="251"/>
      <c r="C232" s="251"/>
      <c r="D232" s="251"/>
      <c r="E232" s="253"/>
      <c r="F232" s="251"/>
    </row>
    <row r="233" spans="1:6" x14ac:dyDescent="0.3">
      <c r="A233" s="251"/>
      <c r="B233" s="251"/>
      <c r="C233" s="251"/>
      <c r="D233" s="251"/>
      <c r="E233" s="253"/>
      <c r="F233" s="251"/>
    </row>
    <row r="234" spans="1:6" x14ac:dyDescent="0.3">
      <c r="A234" s="251"/>
      <c r="B234" s="251"/>
      <c r="C234" s="251"/>
      <c r="D234" s="251"/>
      <c r="E234" s="253"/>
      <c r="F234" s="251"/>
    </row>
    <row r="235" spans="1:6" x14ac:dyDescent="0.3">
      <c r="A235" s="251"/>
      <c r="B235" s="251"/>
      <c r="C235" s="251"/>
      <c r="D235" s="251"/>
      <c r="E235" s="253"/>
      <c r="F235" s="251"/>
    </row>
    <row r="236" spans="1:6" x14ac:dyDescent="0.3">
      <c r="A236" s="251"/>
      <c r="B236" s="251"/>
      <c r="C236" s="251"/>
      <c r="D236" s="251"/>
      <c r="E236" s="253"/>
      <c r="F236" s="251"/>
    </row>
    <row r="237" spans="1:6" x14ac:dyDescent="0.3">
      <c r="A237" s="251"/>
      <c r="B237" s="251"/>
      <c r="C237" s="251"/>
      <c r="D237" s="251"/>
      <c r="E237" s="253"/>
      <c r="F237" s="251"/>
    </row>
    <row r="238" spans="1:6" x14ac:dyDescent="0.3">
      <c r="A238" s="251"/>
      <c r="B238" s="251"/>
      <c r="C238" s="251"/>
      <c r="D238" s="251"/>
      <c r="E238" s="253"/>
      <c r="F238" s="251"/>
    </row>
    <row r="239" spans="1:6" x14ac:dyDescent="0.3">
      <c r="A239" s="251"/>
      <c r="B239" s="251"/>
      <c r="C239" s="251"/>
      <c r="D239" s="251"/>
      <c r="E239" s="253"/>
      <c r="F239" s="251"/>
    </row>
    <row r="240" spans="1:6" x14ac:dyDescent="0.3">
      <c r="A240" s="251"/>
      <c r="B240" s="251"/>
      <c r="C240" s="251"/>
      <c r="D240" s="251"/>
      <c r="E240" s="253"/>
      <c r="F240" s="251"/>
    </row>
    <row r="241" spans="1:6" x14ac:dyDescent="0.3">
      <c r="A241" s="251"/>
      <c r="B241" s="251"/>
      <c r="C241" s="251"/>
      <c r="D241" s="251"/>
      <c r="E241" s="253"/>
      <c r="F241" s="251"/>
    </row>
    <row r="242" spans="1:6" x14ac:dyDescent="0.3">
      <c r="A242" s="251"/>
      <c r="B242" s="251"/>
      <c r="C242" s="251"/>
      <c r="D242" s="251"/>
      <c r="E242" s="253"/>
      <c r="F242" s="251"/>
    </row>
    <row r="243" spans="1:6" x14ac:dyDescent="0.3">
      <c r="A243" s="251"/>
      <c r="B243" s="251"/>
      <c r="C243" s="251"/>
      <c r="D243" s="251"/>
      <c r="E243" s="253"/>
      <c r="F243" s="251"/>
    </row>
    <row r="244" spans="1:6" x14ac:dyDescent="0.3">
      <c r="A244" s="251"/>
      <c r="B244" s="251"/>
      <c r="C244" s="251"/>
      <c r="D244" s="251"/>
      <c r="E244" s="253"/>
      <c r="F244" s="251"/>
    </row>
    <row r="245" spans="1:6" x14ac:dyDescent="0.3">
      <c r="A245" s="251"/>
      <c r="B245" s="251"/>
      <c r="C245" s="251"/>
      <c r="D245" s="251"/>
      <c r="E245" s="253"/>
      <c r="F245" s="251"/>
    </row>
    <row r="246" spans="1:6" x14ac:dyDescent="0.3">
      <c r="A246" s="251"/>
      <c r="B246" s="251"/>
      <c r="C246" s="251"/>
      <c r="D246" s="251"/>
      <c r="E246" s="253"/>
      <c r="F246" s="251"/>
    </row>
    <row r="247" spans="1:6" x14ac:dyDescent="0.3">
      <c r="A247" s="251"/>
      <c r="B247" s="251"/>
      <c r="C247" s="251"/>
      <c r="D247" s="251"/>
      <c r="E247" s="253"/>
      <c r="F247" s="251"/>
    </row>
    <row r="248" spans="1:6" x14ac:dyDescent="0.3">
      <c r="A248" s="251"/>
      <c r="B248" s="251"/>
      <c r="C248" s="251"/>
      <c r="D248" s="251"/>
      <c r="E248" s="253"/>
      <c r="F248" s="251"/>
    </row>
    <row r="249" spans="1:6" x14ac:dyDescent="0.3">
      <c r="A249" s="251"/>
      <c r="B249" s="251"/>
      <c r="C249" s="251"/>
      <c r="D249" s="251"/>
      <c r="E249" s="253"/>
      <c r="F249" s="251"/>
    </row>
    <row r="250" spans="1:6" x14ac:dyDescent="0.3">
      <c r="A250" s="251"/>
      <c r="B250" s="251"/>
      <c r="C250" s="251"/>
      <c r="D250" s="251"/>
      <c r="E250" s="253"/>
      <c r="F250" s="251"/>
    </row>
    <row r="251" spans="1:6" x14ac:dyDescent="0.3">
      <c r="A251" s="251"/>
      <c r="B251" s="251"/>
      <c r="C251" s="251"/>
      <c r="D251" s="251"/>
      <c r="E251" s="253"/>
      <c r="F251" s="251"/>
    </row>
    <row r="252" spans="1:6" x14ac:dyDescent="0.3">
      <c r="A252" s="251"/>
      <c r="B252" s="251"/>
      <c r="C252" s="251"/>
      <c r="D252" s="251"/>
      <c r="E252" s="253"/>
      <c r="F252" s="251"/>
    </row>
    <row r="253" spans="1:6" x14ac:dyDescent="0.3">
      <c r="A253" s="251"/>
      <c r="B253" s="251"/>
      <c r="C253" s="251"/>
      <c r="D253" s="251"/>
      <c r="E253" s="253"/>
      <c r="F253" s="251"/>
    </row>
    <row r="254" spans="1:6" x14ac:dyDescent="0.3">
      <c r="A254" s="251"/>
      <c r="B254" s="251"/>
      <c r="C254" s="251"/>
      <c r="D254" s="251"/>
      <c r="E254" s="253"/>
      <c r="F254" s="251"/>
    </row>
    <row r="255" spans="1:6" x14ac:dyDescent="0.3">
      <c r="A255" s="251"/>
      <c r="B255" s="251"/>
      <c r="C255" s="251"/>
      <c r="D255" s="251"/>
      <c r="E255" s="253"/>
      <c r="F255" s="251"/>
    </row>
    <row r="256" spans="1:6" x14ac:dyDescent="0.3">
      <c r="A256" s="251"/>
      <c r="B256" s="251"/>
      <c r="C256" s="251"/>
      <c r="D256" s="251"/>
      <c r="E256" s="253"/>
      <c r="F256" s="251"/>
    </row>
    <row r="257" spans="1:6" x14ac:dyDescent="0.3">
      <c r="A257" s="251"/>
      <c r="B257" s="251"/>
      <c r="C257" s="251"/>
      <c r="D257" s="251"/>
      <c r="E257" s="253"/>
      <c r="F257" s="251"/>
    </row>
    <row r="258" spans="1:6" x14ac:dyDescent="0.3">
      <c r="A258" s="251"/>
      <c r="B258" s="251"/>
      <c r="C258" s="251"/>
      <c r="D258" s="251"/>
      <c r="E258" s="253"/>
      <c r="F258" s="251"/>
    </row>
    <row r="259" spans="1:6" x14ac:dyDescent="0.3">
      <c r="A259" s="251"/>
      <c r="B259" s="251"/>
      <c r="C259" s="251"/>
      <c r="D259" s="251"/>
      <c r="E259" s="253"/>
      <c r="F259" s="251"/>
    </row>
    <row r="260" spans="1:6" x14ac:dyDescent="0.3">
      <c r="A260" s="251"/>
      <c r="B260" s="251"/>
      <c r="C260" s="251"/>
      <c r="D260" s="251"/>
      <c r="E260" s="253"/>
      <c r="F260" s="251"/>
    </row>
    <row r="261" spans="1:6" x14ac:dyDescent="0.3">
      <c r="A261" s="251"/>
      <c r="B261" s="251"/>
      <c r="C261" s="251"/>
      <c r="D261" s="251"/>
      <c r="E261" s="253"/>
      <c r="F261" s="251"/>
    </row>
    <row r="262" spans="1:6" x14ac:dyDescent="0.3">
      <c r="A262" s="251"/>
      <c r="B262" s="251"/>
      <c r="C262" s="251"/>
      <c r="D262" s="251"/>
      <c r="E262" s="253"/>
      <c r="F262" s="251"/>
    </row>
    <row r="263" spans="1:6" x14ac:dyDescent="0.3">
      <c r="A263" s="251"/>
      <c r="B263" s="251"/>
      <c r="C263" s="251"/>
      <c r="D263" s="251"/>
      <c r="E263" s="253"/>
      <c r="F263" s="251"/>
    </row>
    <row r="264" spans="1:6" x14ac:dyDescent="0.3">
      <c r="A264" s="251"/>
      <c r="B264" s="251"/>
      <c r="C264" s="251"/>
      <c r="D264" s="251"/>
      <c r="E264" s="253"/>
      <c r="F264" s="251"/>
    </row>
    <row r="265" spans="1:6" x14ac:dyDescent="0.3">
      <c r="A265" s="251"/>
      <c r="B265" s="251"/>
      <c r="C265" s="251"/>
      <c r="D265" s="251"/>
      <c r="E265" s="253"/>
      <c r="F265" s="251"/>
    </row>
    <row r="266" spans="1:6" x14ac:dyDescent="0.3">
      <c r="A266" s="251"/>
      <c r="B266" s="251"/>
      <c r="C266" s="251"/>
      <c r="D266" s="251"/>
      <c r="E266" s="253"/>
      <c r="F266" s="251"/>
    </row>
    <row r="267" spans="1:6" x14ac:dyDescent="0.3">
      <c r="A267" s="251"/>
      <c r="B267" s="251"/>
      <c r="C267" s="251"/>
      <c r="D267" s="251"/>
      <c r="E267" s="253"/>
      <c r="F267" s="251"/>
    </row>
    <row r="268" spans="1:6" x14ac:dyDescent="0.3">
      <c r="A268" s="251"/>
      <c r="B268" s="251"/>
      <c r="C268" s="251"/>
      <c r="D268" s="251"/>
      <c r="E268" s="253"/>
      <c r="F268" s="251"/>
    </row>
    <row r="269" spans="1:6" x14ac:dyDescent="0.3">
      <c r="A269" s="251"/>
      <c r="B269" s="251"/>
      <c r="C269" s="251"/>
      <c r="D269" s="251"/>
      <c r="E269" s="253"/>
      <c r="F269" s="251"/>
    </row>
    <row r="270" spans="1:6" x14ac:dyDescent="0.3">
      <c r="A270" s="251"/>
      <c r="B270" s="251"/>
      <c r="C270" s="251"/>
      <c r="D270" s="251"/>
      <c r="E270" s="253"/>
      <c r="F270" s="251"/>
    </row>
    <row r="271" spans="1:6" x14ac:dyDescent="0.3">
      <c r="A271" s="251"/>
      <c r="B271" s="251"/>
      <c r="C271" s="251"/>
      <c r="D271" s="251"/>
      <c r="E271" s="253"/>
      <c r="F271" s="251"/>
    </row>
    <row r="272" spans="1:6" x14ac:dyDescent="0.3">
      <c r="A272" s="251"/>
      <c r="B272" s="251"/>
      <c r="C272" s="251"/>
      <c r="D272" s="251"/>
      <c r="E272" s="253"/>
      <c r="F272" s="251"/>
    </row>
    <row r="273" spans="1:6" x14ac:dyDescent="0.3">
      <c r="A273" s="251"/>
      <c r="B273" s="251"/>
      <c r="C273" s="251"/>
      <c r="D273" s="251"/>
      <c r="E273" s="253"/>
      <c r="F273" s="251"/>
    </row>
    <row r="274" spans="1:6" x14ac:dyDescent="0.3">
      <c r="A274" s="251"/>
      <c r="B274" s="251"/>
      <c r="C274" s="251"/>
      <c r="D274" s="251"/>
      <c r="E274" s="253"/>
      <c r="F274" s="251"/>
    </row>
    <row r="275" spans="1:6" x14ac:dyDescent="0.3">
      <c r="A275" s="251"/>
      <c r="B275" s="251"/>
      <c r="C275" s="251"/>
      <c r="D275" s="251"/>
      <c r="E275" s="253"/>
      <c r="F275" s="251"/>
    </row>
    <row r="276" spans="1:6" x14ac:dyDescent="0.3">
      <c r="A276" s="251"/>
      <c r="B276" s="251"/>
      <c r="C276" s="251"/>
      <c r="D276" s="251"/>
      <c r="E276" s="253"/>
      <c r="F276" s="251"/>
    </row>
    <row r="277" spans="1:6" x14ac:dyDescent="0.3">
      <c r="A277" s="251"/>
      <c r="B277" s="251"/>
      <c r="C277" s="251"/>
      <c r="D277" s="251"/>
      <c r="E277" s="253"/>
      <c r="F277" s="251"/>
    </row>
    <row r="278" spans="1:6" x14ac:dyDescent="0.3">
      <c r="A278" s="251"/>
      <c r="B278" s="251"/>
      <c r="C278" s="251"/>
      <c r="D278" s="251"/>
      <c r="E278" s="253"/>
      <c r="F278" s="251"/>
    </row>
    <row r="279" spans="1:6" x14ac:dyDescent="0.3">
      <c r="A279" s="251"/>
      <c r="B279" s="251"/>
      <c r="C279" s="251"/>
      <c r="D279" s="251"/>
      <c r="E279" s="253"/>
      <c r="F279" s="251"/>
    </row>
    <row r="280" spans="1:6" x14ac:dyDescent="0.3">
      <c r="A280" s="251"/>
      <c r="B280" s="251"/>
      <c r="C280" s="251"/>
      <c r="D280" s="251"/>
      <c r="E280" s="253"/>
      <c r="F280" s="251"/>
    </row>
    <row r="281" spans="1:6" x14ac:dyDescent="0.3">
      <c r="A281" s="251"/>
      <c r="B281" s="251"/>
      <c r="C281" s="251"/>
      <c r="D281" s="251"/>
      <c r="E281" s="253"/>
      <c r="F281" s="251"/>
    </row>
    <row r="282" spans="1:6" x14ac:dyDescent="0.3">
      <c r="A282" s="251"/>
      <c r="B282" s="251"/>
      <c r="C282" s="251"/>
      <c r="D282" s="251"/>
      <c r="E282" s="253"/>
      <c r="F282" s="251"/>
    </row>
    <row r="283" spans="1:6" x14ac:dyDescent="0.3">
      <c r="A283" s="251"/>
      <c r="B283" s="251"/>
      <c r="C283" s="251"/>
      <c r="D283" s="251"/>
      <c r="E283" s="253"/>
      <c r="F283" s="251"/>
    </row>
    <row r="284" spans="1:6" x14ac:dyDescent="0.3">
      <c r="A284" s="251"/>
      <c r="B284" s="251"/>
      <c r="C284" s="251"/>
      <c r="D284" s="251"/>
      <c r="E284" s="253"/>
      <c r="F284" s="251"/>
    </row>
    <row r="285" spans="1:6" x14ac:dyDescent="0.3">
      <c r="A285" s="251"/>
      <c r="B285" s="251"/>
      <c r="C285" s="251"/>
      <c r="D285" s="251"/>
      <c r="E285" s="253"/>
      <c r="F285" s="251"/>
    </row>
    <row r="286" spans="1:6" x14ac:dyDescent="0.3">
      <c r="A286" s="251"/>
      <c r="B286" s="251"/>
      <c r="C286" s="251"/>
      <c r="D286" s="251"/>
      <c r="E286" s="253"/>
      <c r="F286" s="251"/>
    </row>
    <row r="287" spans="1:6" x14ac:dyDescent="0.3">
      <c r="A287" s="251"/>
      <c r="B287" s="251"/>
      <c r="C287" s="251"/>
      <c r="D287" s="251"/>
      <c r="E287" s="253"/>
      <c r="F287" s="251"/>
    </row>
    <row r="288" spans="1:6" x14ac:dyDescent="0.3">
      <c r="A288" s="251"/>
      <c r="B288" s="251"/>
      <c r="C288" s="251"/>
      <c r="D288" s="251"/>
      <c r="E288" s="253"/>
      <c r="F288" s="251"/>
    </row>
    <row r="289" spans="1:6" x14ac:dyDescent="0.3">
      <c r="A289" s="251"/>
      <c r="B289" s="251"/>
      <c r="C289" s="251"/>
      <c r="D289" s="251"/>
      <c r="E289" s="253"/>
      <c r="F289" s="251"/>
    </row>
    <row r="290" spans="1:6" x14ac:dyDescent="0.3">
      <c r="A290" s="251"/>
      <c r="B290" s="251"/>
      <c r="C290" s="251"/>
      <c r="D290" s="251"/>
      <c r="E290" s="253"/>
      <c r="F290" s="251"/>
    </row>
    <row r="291" spans="1:6" x14ac:dyDescent="0.3">
      <c r="A291" s="251"/>
      <c r="B291" s="251"/>
      <c r="C291" s="251"/>
      <c r="D291" s="251"/>
      <c r="E291" s="253"/>
      <c r="F291" s="251"/>
    </row>
    <row r="292" spans="1:6" x14ac:dyDescent="0.3">
      <c r="A292" s="251"/>
      <c r="B292" s="251"/>
      <c r="C292" s="251"/>
      <c r="D292" s="251"/>
      <c r="E292" s="253"/>
      <c r="F292" s="251"/>
    </row>
    <row r="293" spans="1:6" x14ac:dyDescent="0.3">
      <c r="A293" s="251"/>
      <c r="B293" s="251"/>
      <c r="C293" s="251"/>
      <c r="D293" s="251"/>
      <c r="E293" s="253"/>
      <c r="F293" s="251"/>
    </row>
    <row r="294" spans="1:6" x14ac:dyDescent="0.3">
      <c r="A294" s="251"/>
      <c r="B294" s="251"/>
      <c r="C294" s="251"/>
      <c r="D294" s="251"/>
      <c r="E294" s="253"/>
      <c r="F294" s="251"/>
    </row>
    <row r="295" spans="1:6" x14ac:dyDescent="0.3">
      <c r="A295" s="251"/>
      <c r="B295" s="251"/>
      <c r="C295" s="251"/>
      <c r="D295" s="251"/>
      <c r="E295" s="253"/>
      <c r="F295" s="251"/>
    </row>
    <row r="296" spans="1:6" x14ac:dyDescent="0.3">
      <c r="A296" s="251"/>
      <c r="B296" s="251"/>
      <c r="C296" s="251"/>
      <c r="D296" s="251"/>
      <c r="E296" s="253"/>
      <c r="F296" s="251"/>
    </row>
    <row r="297" spans="1:6" x14ac:dyDescent="0.3">
      <c r="A297" s="251"/>
      <c r="B297" s="251"/>
      <c r="C297" s="251"/>
      <c r="D297" s="251"/>
      <c r="E297" s="253"/>
      <c r="F297" s="251"/>
    </row>
    <row r="298" spans="1:6" x14ac:dyDescent="0.3">
      <c r="A298" s="251"/>
      <c r="B298" s="251"/>
      <c r="C298" s="251"/>
      <c r="D298" s="251"/>
      <c r="E298" s="253"/>
      <c r="F298" s="251"/>
    </row>
    <row r="299" spans="1:6" x14ac:dyDescent="0.3">
      <c r="A299" s="251"/>
      <c r="B299" s="251"/>
      <c r="C299" s="251"/>
      <c r="D299" s="251"/>
      <c r="E299" s="253"/>
      <c r="F299" s="251"/>
    </row>
    <row r="300" spans="1:6" x14ac:dyDescent="0.3">
      <c r="A300" s="251"/>
      <c r="B300" s="251"/>
      <c r="C300" s="251"/>
      <c r="D300" s="251"/>
      <c r="E300" s="253"/>
      <c r="F300" s="251"/>
    </row>
    <row r="301" spans="1:6" x14ac:dyDescent="0.3">
      <c r="A301" s="251"/>
      <c r="B301" s="251"/>
      <c r="C301" s="251"/>
      <c r="D301" s="251"/>
      <c r="E301" s="253"/>
      <c r="F301" s="251"/>
    </row>
    <row r="302" spans="1:6" x14ac:dyDescent="0.3">
      <c r="A302" s="251"/>
      <c r="B302" s="251"/>
      <c r="C302" s="251"/>
      <c r="D302" s="251"/>
      <c r="E302" s="253"/>
      <c r="F302" s="251"/>
    </row>
    <row r="303" spans="1:6" x14ac:dyDescent="0.3">
      <c r="A303" s="251"/>
      <c r="B303" s="251"/>
      <c r="C303" s="251"/>
      <c r="D303" s="251"/>
      <c r="E303" s="253"/>
      <c r="F303" s="251"/>
    </row>
    <row r="304" spans="1:6" x14ac:dyDescent="0.3">
      <c r="A304" s="251"/>
      <c r="B304" s="251"/>
      <c r="C304" s="251"/>
      <c r="D304" s="251"/>
      <c r="E304" s="253"/>
      <c r="F304" s="251"/>
    </row>
    <row r="305" spans="1:6" x14ac:dyDescent="0.3">
      <c r="A305" s="251"/>
      <c r="B305" s="251"/>
      <c r="C305" s="251"/>
      <c r="D305" s="251"/>
      <c r="E305" s="253"/>
      <c r="F305" s="251"/>
    </row>
  </sheetData>
  <mergeCells count="1">
    <mergeCell ref="A1:F1"/>
  </mergeCells>
  <conditionalFormatting sqref="C5:C14">
    <cfRule type="cellIs" dxfId="7" priority="2" operator="equal">
      <formula>"Y"</formula>
    </cfRule>
  </conditionalFormatting>
  <pageMargins left="0.75" right="0.75" top="1" bottom="1" header="0.511811023622047" footer="0.51180555555555596"/>
  <pageSetup paperSize="9" orientation="portrait" horizontalDpi="300" verticalDpi="300"/>
  <headerFooter>
    <oddFooter>&amp;L&amp;"Arial Narrow,Regular"&amp;8 &amp;F&amp;C&amp;"Arial Narrow,Regular"&amp;8 &amp;A - &amp;D &amp;T&amp;R&amp;"Arial,Regular" &amp;P / &amp;N</oddFooter>
  </headerFooter>
  <legacyDrawing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78"/>
  <sheetViews>
    <sheetView showGridLines="0" topLeftCell="A71" zoomScaleNormal="100" workbookViewId="0">
      <selection sqref="A1:F1"/>
    </sheetView>
  </sheetViews>
  <sheetFormatPr defaultColWidth="8.6640625" defaultRowHeight="14.4" x14ac:dyDescent="0.3"/>
  <cols>
    <col min="1" max="1" width="26" customWidth="1"/>
    <col min="2" max="2" width="45" customWidth="1"/>
    <col min="3" max="3" width="10" customWidth="1"/>
    <col min="4" max="4" width="55" customWidth="1"/>
    <col min="5" max="5" width="1" customWidth="1"/>
  </cols>
  <sheetData>
    <row r="1" spans="1:6" ht="15" customHeight="1" x14ac:dyDescent="0.3">
      <c r="A1" s="12" t="s">
        <v>641</v>
      </c>
      <c r="B1" s="12"/>
      <c r="C1" s="12"/>
      <c r="D1" s="12"/>
      <c r="E1" s="12"/>
      <c r="F1" s="12"/>
    </row>
    <row r="2" spans="1:6" ht="15" customHeight="1" x14ac:dyDescent="0.3">
      <c r="A2" s="126" t="s">
        <v>642</v>
      </c>
      <c r="B2" s="126"/>
      <c r="C2" s="126"/>
      <c r="D2" s="126"/>
      <c r="E2" s="126"/>
      <c r="F2" s="126"/>
    </row>
    <row r="4" spans="1:6" ht="15" customHeight="1" x14ac:dyDescent="0.3">
      <c r="A4" s="127" t="s">
        <v>643</v>
      </c>
      <c r="B4" s="127"/>
      <c r="C4" s="127"/>
      <c r="D4" s="127"/>
      <c r="E4" s="127"/>
      <c r="F4" s="127"/>
    </row>
    <row r="5" spans="1:6" ht="15" customHeight="1" x14ac:dyDescent="0.3">
      <c r="A5" s="111" t="s">
        <v>644</v>
      </c>
      <c r="B5" s="111" t="s">
        <v>645</v>
      </c>
      <c r="C5" s="111" t="s">
        <v>646</v>
      </c>
      <c r="D5" s="111" t="s">
        <v>647</v>
      </c>
    </row>
    <row r="6" spans="1:6" ht="15" customHeight="1" x14ac:dyDescent="0.3">
      <c r="A6" s="112" t="s">
        <v>648</v>
      </c>
      <c r="B6" s="112" t="s">
        <v>649</v>
      </c>
      <c r="C6" s="112" t="s">
        <v>649</v>
      </c>
      <c r="D6" s="128" t="s">
        <v>650</v>
      </c>
      <c r="E6" s="128"/>
      <c r="F6" s="128"/>
    </row>
    <row r="8" spans="1:6" ht="15" customHeight="1" x14ac:dyDescent="0.3">
      <c r="A8" s="127" t="s">
        <v>651</v>
      </c>
      <c r="B8" s="127"/>
      <c r="C8" s="127"/>
      <c r="D8" s="127"/>
      <c r="E8" s="127"/>
      <c r="F8" s="127"/>
    </row>
    <row r="9" spans="1:6" ht="15" customHeight="1" x14ac:dyDescent="0.3">
      <c r="A9" s="111" t="s">
        <v>644</v>
      </c>
      <c r="B9" s="111" t="s">
        <v>645</v>
      </c>
      <c r="C9" s="111" t="s">
        <v>646</v>
      </c>
      <c r="D9" s="111" t="s">
        <v>647</v>
      </c>
    </row>
    <row r="10" spans="1:6" ht="27.75" customHeight="1" x14ac:dyDescent="0.3">
      <c r="A10" s="112" t="s">
        <v>652</v>
      </c>
      <c r="B10" s="112" t="s">
        <v>649</v>
      </c>
      <c r="C10" s="112" t="s">
        <v>653</v>
      </c>
      <c r="D10" s="128" t="s">
        <v>654</v>
      </c>
      <c r="E10" s="128"/>
      <c r="F10" s="128"/>
    </row>
    <row r="12" spans="1:6" ht="15" customHeight="1" x14ac:dyDescent="0.3">
      <c r="A12" s="127" t="s">
        <v>655</v>
      </c>
      <c r="B12" s="127"/>
      <c r="C12" s="127"/>
      <c r="D12" s="127"/>
      <c r="E12" s="127"/>
      <c r="F12" s="127"/>
    </row>
    <row r="13" spans="1:6" ht="15" customHeight="1" x14ac:dyDescent="0.3">
      <c r="A13" s="111" t="s">
        <v>644</v>
      </c>
      <c r="B13" s="111" t="s">
        <v>645</v>
      </c>
      <c r="C13" s="111" t="s">
        <v>646</v>
      </c>
      <c r="D13" s="111" t="s">
        <v>647</v>
      </c>
    </row>
    <row r="14" spans="1:6" ht="369" customHeight="1" x14ac:dyDescent="0.3">
      <c r="A14" s="112" t="s">
        <v>656</v>
      </c>
      <c r="B14" s="112" t="s">
        <v>657</v>
      </c>
      <c r="C14" s="112" t="s">
        <v>658</v>
      </c>
      <c r="D14" s="128" t="s">
        <v>659</v>
      </c>
      <c r="E14" s="128"/>
      <c r="F14" s="128"/>
    </row>
    <row r="16" spans="1:6" ht="15" customHeight="1" x14ac:dyDescent="0.3">
      <c r="A16" s="127" t="s">
        <v>660</v>
      </c>
      <c r="B16" s="127"/>
      <c r="C16" s="127"/>
      <c r="D16" s="127"/>
      <c r="E16" s="127"/>
      <c r="F16" s="127"/>
    </row>
    <row r="17" spans="1:6" ht="15" customHeight="1" x14ac:dyDescent="0.3">
      <c r="A17" s="111" t="s">
        <v>644</v>
      </c>
      <c r="B17" s="111" t="s">
        <v>645</v>
      </c>
      <c r="C17" s="111" t="s">
        <v>646</v>
      </c>
      <c r="D17" s="111" t="s">
        <v>647</v>
      </c>
    </row>
    <row r="18" spans="1:6" ht="45.75" customHeight="1" x14ac:dyDescent="0.3">
      <c r="A18" s="112" t="s">
        <v>656</v>
      </c>
      <c r="B18" s="112" t="s">
        <v>661</v>
      </c>
      <c r="C18" s="112" t="s">
        <v>662</v>
      </c>
      <c r="D18" s="128" t="s">
        <v>663</v>
      </c>
      <c r="E18" s="128"/>
      <c r="F18" s="128"/>
    </row>
    <row r="20" spans="1:6" ht="15" customHeight="1" x14ac:dyDescent="0.3">
      <c r="A20" s="127" t="s">
        <v>664</v>
      </c>
      <c r="B20" s="127"/>
      <c r="C20" s="127"/>
      <c r="D20" s="127"/>
      <c r="E20" s="127"/>
      <c r="F20" s="127"/>
    </row>
    <row r="21" spans="1:6" ht="15" customHeight="1" x14ac:dyDescent="0.3">
      <c r="A21" s="111" t="s">
        <v>644</v>
      </c>
      <c r="B21" s="111" t="s">
        <v>645</v>
      </c>
      <c r="C21" s="111" t="s">
        <v>646</v>
      </c>
      <c r="D21" s="111" t="s">
        <v>647</v>
      </c>
    </row>
    <row r="22" spans="1:6" ht="351" customHeight="1" x14ac:dyDescent="0.3">
      <c r="A22" s="112" t="s">
        <v>665</v>
      </c>
      <c r="B22" s="112" t="s">
        <v>649</v>
      </c>
      <c r="C22" s="112" t="s">
        <v>666</v>
      </c>
      <c r="D22" s="128" t="s">
        <v>667</v>
      </c>
      <c r="E22" s="128"/>
      <c r="F22" s="128"/>
    </row>
    <row r="24" spans="1:6" ht="15" customHeight="1" x14ac:dyDescent="0.3">
      <c r="A24" s="127" t="s">
        <v>668</v>
      </c>
      <c r="B24" s="127"/>
      <c r="C24" s="127"/>
      <c r="D24" s="127"/>
      <c r="E24" s="127"/>
      <c r="F24" s="127"/>
    </row>
    <row r="25" spans="1:6" ht="15" customHeight="1" x14ac:dyDescent="0.3">
      <c r="A25" s="111" t="s">
        <v>644</v>
      </c>
      <c r="B25" s="111" t="s">
        <v>645</v>
      </c>
      <c r="C25" s="111" t="s">
        <v>646</v>
      </c>
      <c r="D25" s="111" t="s">
        <v>647</v>
      </c>
    </row>
    <row r="26" spans="1:6" ht="54.75" customHeight="1" x14ac:dyDescent="0.3">
      <c r="A26" s="112" t="s">
        <v>656</v>
      </c>
      <c r="B26" s="112" t="s">
        <v>669</v>
      </c>
      <c r="C26" s="112" t="s">
        <v>670</v>
      </c>
      <c r="D26" s="128" t="s">
        <v>671</v>
      </c>
      <c r="E26" s="128"/>
      <c r="F26" s="128"/>
    </row>
    <row r="28" spans="1:6" ht="15" customHeight="1" x14ac:dyDescent="0.3">
      <c r="A28" s="127" t="s">
        <v>672</v>
      </c>
      <c r="B28" s="127"/>
      <c r="C28" s="127"/>
      <c r="D28" s="127"/>
      <c r="E28" s="127"/>
      <c r="F28" s="127"/>
    </row>
    <row r="29" spans="1:6" ht="15" customHeight="1" x14ac:dyDescent="0.3">
      <c r="A29" s="111" t="s">
        <v>644</v>
      </c>
      <c r="B29" s="111" t="s">
        <v>645</v>
      </c>
      <c r="C29" s="111" t="s">
        <v>646</v>
      </c>
      <c r="D29" s="111" t="s">
        <v>647</v>
      </c>
    </row>
    <row r="30" spans="1:6" ht="144.75" customHeight="1" x14ac:dyDescent="0.3">
      <c r="A30" s="112" t="s">
        <v>673</v>
      </c>
      <c r="B30" s="112" t="s">
        <v>674</v>
      </c>
      <c r="C30" s="112" t="s">
        <v>675</v>
      </c>
      <c r="D30" s="128" t="s">
        <v>676</v>
      </c>
      <c r="E30" s="128"/>
      <c r="F30" s="128"/>
    </row>
    <row r="32" spans="1:6" ht="15" customHeight="1" x14ac:dyDescent="0.3">
      <c r="A32" s="127" t="s">
        <v>677</v>
      </c>
      <c r="B32" s="127"/>
      <c r="C32" s="127"/>
      <c r="D32" s="127"/>
      <c r="E32" s="127"/>
      <c r="F32" s="127"/>
    </row>
    <row r="33" spans="1:6" ht="15" customHeight="1" x14ac:dyDescent="0.3">
      <c r="A33" s="111" t="s">
        <v>644</v>
      </c>
      <c r="B33" s="111" t="s">
        <v>645</v>
      </c>
      <c r="C33" s="111" t="s">
        <v>646</v>
      </c>
      <c r="D33" s="111" t="s">
        <v>647</v>
      </c>
    </row>
    <row r="34" spans="1:6" ht="99.75" customHeight="1" x14ac:dyDescent="0.3">
      <c r="A34" s="112" t="s">
        <v>656</v>
      </c>
      <c r="B34" s="112" t="s">
        <v>678</v>
      </c>
      <c r="C34" s="112" t="s">
        <v>679</v>
      </c>
      <c r="D34" s="128" t="s">
        <v>680</v>
      </c>
      <c r="E34" s="128"/>
      <c r="F34" s="128"/>
    </row>
    <row r="36" spans="1:6" ht="15" customHeight="1" x14ac:dyDescent="0.3">
      <c r="A36" s="127" t="s">
        <v>681</v>
      </c>
      <c r="B36" s="127"/>
      <c r="C36" s="127"/>
      <c r="D36" s="127"/>
      <c r="E36" s="127"/>
      <c r="F36" s="127"/>
    </row>
    <row r="37" spans="1:6" ht="15" customHeight="1" x14ac:dyDescent="0.3">
      <c r="A37" s="111" t="s">
        <v>644</v>
      </c>
      <c r="B37" s="111" t="s">
        <v>645</v>
      </c>
      <c r="C37" s="111" t="s">
        <v>646</v>
      </c>
      <c r="D37" s="111" t="s">
        <v>647</v>
      </c>
    </row>
    <row r="38" spans="1:6" ht="162" customHeight="1" x14ac:dyDescent="0.3">
      <c r="A38" s="112" t="s">
        <v>665</v>
      </c>
      <c r="B38" s="112" t="s">
        <v>649</v>
      </c>
      <c r="C38" s="112" t="s">
        <v>682</v>
      </c>
      <c r="D38" s="128" t="s">
        <v>683</v>
      </c>
      <c r="E38" s="128"/>
      <c r="F38" s="128"/>
    </row>
    <row r="40" spans="1:6" ht="15" customHeight="1" x14ac:dyDescent="0.3">
      <c r="A40" s="127" t="s">
        <v>684</v>
      </c>
      <c r="B40" s="127"/>
      <c r="C40" s="127"/>
      <c r="D40" s="127"/>
      <c r="E40" s="127"/>
      <c r="F40" s="127"/>
    </row>
    <row r="41" spans="1:6" ht="15" customHeight="1" x14ac:dyDescent="0.3">
      <c r="A41" s="111" t="s">
        <v>644</v>
      </c>
      <c r="B41" s="111" t="s">
        <v>645</v>
      </c>
      <c r="C41" s="111" t="s">
        <v>646</v>
      </c>
      <c r="D41" s="111" t="s">
        <v>647</v>
      </c>
    </row>
    <row r="42" spans="1:6" ht="90.75" customHeight="1" x14ac:dyDescent="0.3">
      <c r="A42" s="112" t="s">
        <v>685</v>
      </c>
      <c r="B42" s="112" t="s">
        <v>649</v>
      </c>
      <c r="C42" s="112" t="s">
        <v>686</v>
      </c>
      <c r="D42" s="128" t="s">
        <v>687</v>
      </c>
      <c r="E42" s="128"/>
      <c r="F42" s="128"/>
    </row>
    <row r="44" spans="1:6" ht="15" customHeight="1" x14ac:dyDescent="0.3">
      <c r="A44" s="127" t="s">
        <v>688</v>
      </c>
      <c r="B44" s="127"/>
      <c r="C44" s="127"/>
      <c r="D44" s="127"/>
      <c r="E44" s="127"/>
      <c r="F44" s="127"/>
    </row>
    <row r="45" spans="1:6" ht="15" customHeight="1" x14ac:dyDescent="0.3">
      <c r="A45" s="111" t="s">
        <v>644</v>
      </c>
      <c r="B45" s="111" t="s">
        <v>645</v>
      </c>
      <c r="C45" s="111" t="s">
        <v>646</v>
      </c>
      <c r="D45" s="111" t="s">
        <v>647</v>
      </c>
    </row>
    <row r="46" spans="1:6" ht="90.75" customHeight="1" x14ac:dyDescent="0.3">
      <c r="A46" s="112" t="s">
        <v>689</v>
      </c>
      <c r="B46" s="112" t="s">
        <v>649</v>
      </c>
      <c r="C46" s="112" t="s">
        <v>690</v>
      </c>
      <c r="D46" s="128" t="s">
        <v>691</v>
      </c>
      <c r="E46" s="128"/>
      <c r="F46" s="128"/>
    </row>
    <row r="48" spans="1:6" ht="15" customHeight="1" x14ac:dyDescent="0.3">
      <c r="A48" s="127" t="s">
        <v>692</v>
      </c>
      <c r="B48" s="127"/>
      <c r="C48" s="127"/>
      <c r="D48" s="127"/>
      <c r="E48" s="127"/>
      <c r="F48" s="127"/>
    </row>
    <row r="49" spans="1:6" ht="15" customHeight="1" x14ac:dyDescent="0.3">
      <c r="A49" s="111" t="s">
        <v>644</v>
      </c>
      <c r="B49" s="111" t="s">
        <v>645</v>
      </c>
      <c r="C49" s="111" t="s">
        <v>646</v>
      </c>
      <c r="D49" s="111" t="s">
        <v>647</v>
      </c>
    </row>
    <row r="50" spans="1:6" ht="81.75" customHeight="1" x14ac:dyDescent="0.3">
      <c r="A50" s="112" t="s">
        <v>656</v>
      </c>
      <c r="B50" s="112" t="s">
        <v>693</v>
      </c>
      <c r="C50" s="112" t="s">
        <v>694</v>
      </c>
      <c r="D50" s="128" t="s">
        <v>695</v>
      </c>
      <c r="E50" s="128"/>
      <c r="F50" s="128"/>
    </row>
    <row r="52" spans="1:6" ht="15" customHeight="1" x14ac:dyDescent="0.3">
      <c r="A52" s="127" t="s">
        <v>696</v>
      </c>
      <c r="B52" s="127"/>
      <c r="C52" s="127"/>
      <c r="D52" s="127"/>
      <c r="E52" s="127"/>
      <c r="F52" s="127"/>
    </row>
    <row r="53" spans="1:6" ht="15" customHeight="1" x14ac:dyDescent="0.3">
      <c r="A53" s="111" t="s">
        <v>644</v>
      </c>
      <c r="B53" s="111" t="s">
        <v>645</v>
      </c>
      <c r="C53" s="111" t="s">
        <v>646</v>
      </c>
      <c r="D53" s="111" t="s">
        <v>647</v>
      </c>
    </row>
    <row r="54" spans="1:6" ht="27.75" customHeight="1" x14ac:dyDescent="0.3">
      <c r="A54" s="112" t="s">
        <v>656</v>
      </c>
      <c r="B54" s="112" t="s">
        <v>697</v>
      </c>
      <c r="C54" s="112" t="s">
        <v>698</v>
      </c>
      <c r="D54" s="128" t="s">
        <v>699</v>
      </c>
      <c r="E54" s="128"/>
      <c r="F54" s="128"/>
    </row>
    <row r="56" spans="1:6" ht="15" customHeight="1" x14ac:dyDescent="0.3">
      <c r="A56" s="127" t="s">
        <v>700</v>
      </c>
      <c r="B56" s="127"/>
      <c r="C56" s="127"/>
      <c r="D56" s="127"/>
      <c r="E56" s="127"/>
      <c r="F56" s="127"/>
    </row>
    <row r="57" spans="1:6" ht="15" customHeight="1" x14ac:dyDescent="0.3">
      <c r="A57" s="111" t="s">
        <v>644</v>
      </c>
      <c r="B57" s="111" t="s">
        <v>645</v>
      </c>
      <c r="C57" s="111" t="s">
        <v>646</v>
      </c>
      <c r="D57" s="111" t="s">
        <v>647</v>
      </c>
    </row>
    <row r="58" spans="1:6" ht="333" customHeight="1" x14ac:dyDescent="0.3">
      <c r="A58" s="112" t="s">
        <v>673</v>
      </c>
      <c r="B58" s="112" t="s">
        <v>701</v>
      </c>
      <c r="C58" s="112" t="s">
        <v>702</v>
      </c>
      <c r="D58" s="128" t="s">
        <v>703</v>
      </c>
      <c r="E58" s="128"/>
      <c r="F58" s="128"/>
    </row>
    <row r="60" spans="1:6" ht="15" customHeight="1" x14ac:dyDescent="0.3">
      <c r="A60" s="127" t="s">
        <v>704</v>
      </c>
      <c r="B60" s="127"/>
      <c r="C60" s="127"/>
      <c r="D60" s="127"/>
      <c r="E60" s="127"/>
      <c r="F60" s="127"/>
    </row>
    <row r="61" spans="1:6" ht="15" customHeight="1" x14ac:dyDescent="0.3">
      <c r="A61" s="111" t="s">
        <v>644</v>
      </c>
      <c r="B61" s="111" t="s">
        <v>645</v>
      </c>
      <c r="C61" s="111" t="s">
        <v>646</v>
      </c>
      <c r="D61" s="111" t="s">
        <v>647</v>
      </c>
    </row>
    <row r="62" spans="1:6" ht="409.6" customHeight="1" x14ac:dyDescent="0.3">
      <c r="A62" s="112" t="s">
        <v>673</v>
      </c>
      <c r="B62" s="112" t="s">
        <v>705</v>
      </c>
      <c r="C62" s="112" t="s">
        <v>706</v>
      </c>
      <c r="D62" s="128" t="s">
        <v>707</v>
      </c>
      <c r="E62" s="128"/>
      <c r="F62" s="128"/>
    </row>
    <row r="64" spans="1:6" ht="15" customHeight="1" x14ac:dyDescent="0.3">
      <c r="A64" s="127" t="s">
        <v>708</v>
      </c>
      <c r="B64" s="127"/>
      <c r="C64" s="127"/>
      <c r="D64" s="127"/>
      <c r="E64" s="127"/>
      <c r="F64" s="127"/>
    </row>
    <row r="65" spans="1:6" ht="15" customHeight="1" x14ac:dyDescent="0.3">
      <c r="A65" s="111" t="s">
        <v>644</v>
      </c>
      <c r="B65" s="111" t="s">
        <v>645</v>
      </c>
      <c r="C65" s="111" t="s">
        <v>646</v>
      </c>
      <c r="D65" s="111" t="s">
        <v>647</v>
      </c>
    </row>
    <row r="66" spans="1:6" ht="45.75" customHeight="1" x14ac:dyDescent="0.3">
      <c r="A66" s="112" t="s">
        <v>656</v>
      </c>
      <c r="B66" s="112" t="s">
        <v>709</v>
      </c>
      <c r="C66" s="112" t="s">
        <v>710</v>
      </c>
      <c r="D66" s="128" t="s">
        <v>711</v>
      </c>
      <c r="E66" s="128"/>
      <c r="F66" s="128"/>
    </row>
    <row r="68" spans="1:6" ht="15" customHeight="1" x14ac:dyDescent="0.3">
      <c r="A68" s="127" t="s">
        <v>712</v>
      </c>
      <c r="B68" s="127"/>
      <c r="C68" s="127"/>
      <c r="D68" s="127"/>
      <c r="E68" s="127"/>
      <c r="F68" s="127"/>
    </row>
    <row r="69" spans="1:6" ht="15" customHeight="1" x14ac:dyDescent="0.3">
      <c r="A69" s="111" t="s">
        <v>644</v>
      </c>
      <c r="B69" s="111" t="s">
        <v>645</v>
      </c>
      <c r="C69" s="111" t="s">
        <v>646</v>
      </c>
      <c r="D69" s="111" t="s">
        <v>647</v>
      </c>
    </row>
    <row r="70" spans="1:6" ht="15" customHeight="1" x14ac:dyDescent="0.3">
      <c r="A70" s="112" t="s">
        <v>656</v>
      </c>
      <c r="B70" s="112" t="s">
        <v>713</v>
      </c>
      <c r="C70" s="112" t="s">
        <v>714</v>
      </c>
      <c r="D70" s="128" t="s">
        <v>715</v>
      </c>
      <c r="E70" s="128"/>
      <c r="F70" s="128"/>
    </row>
    <row r="72" spans="1:6" ht="15" customHeight="1" x14ac:dyDescent="0.3">
      <c r="A72" s="127" t="s">
        <v>716</v>
      </c>
      <c r="B72" s="127"/>
      <c r="C72" s="127"/>
      <c r="D72" s="127"/>
      <c r="E72" s="127"/>
      <c r="F72" s="127"/>
    </row>
    <row r="73" spans="1:6" ht="15" customHeight="1" x14ac:dyDescent="0.3">
      <c r="A73" s="111" t="s">
        <v>644</v>
      </c>
      <c r="B73" s="111" t="s">
        <v>645</v>
      </c>
      <c r="C73" s="111" t="s">
        <v>646</v>
      </c>
      <c r="D73" s="111" t="s">
        <v>647</v>
      </c>
    </row>
    <row r="74" spans="1:6" ht="117.75" customHeight="1" x14ac:dyDescent="0.3">
      <c r="A74" s="112" t="s">
        <v>656</v>
      </c>
      <c r="B74" s="112" t="s">
        <v>717</v>
      </c>
      <c r="C74" s="112" t="s">
        <v>718</v>
      </c>
      <c r="D74" s="128" t="s">
        <v>719</v>
      </c>
      <c r="E74" s="128"/>
      <c r="F74" s="128"/>
    </row>
    <row r="76" spans="1:6" ht="15" customHeight="1" x14ac:dyDescent="0.3">
      <c r="A76" s="127" t="s">
        <v>720</v>
      </c>
      <c r="B76" s="127"/>
      <c r="C76" s="127"/>
      <c r="D76" s="127"/>
      <c r="E76" s="127"/>
      <c r="F76" s="127"/>
    </row>
    <row r="77" spans="1:6" ht="15" customHeight="1" x14ac:dyDescent="0.3">
      <c r="A77" s="111" t="s">
        <v>644</v>
      </c>
      <c r="B77" s="111" t="s">
        <v>645</v>
      </c>
      <c r="C77" s="111" t="s">
        <v>646</v>
      </c>
      <c r="D77" s="111" t="s">
        <v>647</v>
      </c>
    </row>
    <row r="78" spans="1:6" ht="135.75" customHeight="1" x14ac:dyDescent="0.3">
      <c r="A78" s="112" t="s">
        <v>656</v>
      </c>
      <c r="B78" s="112" t="s">
        <v>721</v>
      </c>
      <c r="C78" s="112" t="s">
        <v>722</v>
      </c>
      <c r="D78" s="128" t="s">
        <v>723</v>
      </c>
      <c r="E78" s="128"/>
      <c r="F78" s="128"/>
    </row>
  </sheetData>
  <mergeCells count="40">
    <mergeCell ref="D70:F70"/>
    <mergeCell ref="A72:F72"/>
    <mergeCell ref="D74:F74"/>
    <mergeCell ref="A76:F76"/>
    <mergeCell ref="D78:F78"/>
    <mergeCell ref="A60:F60"/>
    <mergeCell ref="D62:F62"/>
    <mergeCell ref="A64:F64"/>
    <mergeCell ref="D66:F66"/>
    <mergeCell ref="A68:F68"/>
    <mergeCell ref="D50:F50"/>
    <mergeCell ref="A52:F52"/>
    <mergeCell ref="D54:F54"/>
    <mergeCell ref="A56:F56"/>
    <mergeCell ref="D58:F58"/>
    <mergeCell ref="A40:F40"/>
    <mergeCell ref="D42:F42"/>
    <mergeCell ref="A44:F44"/>
    <mergeCell ref="D46:F46"/>
    <mergeCell ref="A48:F48"/>
    <mergeCell ref="D30:F30"/>
    <mergeCell ref="A32:F32"/>
    <mergeCell ref="D34:F34"/>
    <mergeCell ref="A36:F36"/>
    <mergeCell ref="D38:F38"/>
    <mergeCell ref="A20:F20"/>
    <mergeCell ref="D22:F22"/>
    <mergeCell ref="A24:F24"/>
    <mergeCell ref="D26:F26"/>
    <mergeCell ref="A28:F28"/>
    <mergeCell ref="D10:F10"/>
    <mergeCell ref="A12:F12"/>
    <mergeCell ref="D14:F14"/>
    <mergeCell ref="A16:F16"/>
    <mergeCell ref="D18:F18"/>
    <mergeCell ref="A1:F1"/>
    <mergeCell ref="A2:F2"/>
    <mergeCell ref="A4:F4"/>
    <mergeCell ref="D6:F6"/>
    <mergeCell ref="A8:F8"/>
  </mergeCells>
  <pageMargins left="0.75" right="0.75" top="1" bottom="1" header="0.511811023622047" footer="0.51180555555555596"/>
  <pageSetup paperSize="9" orientation="portrait" horizontalDpi="300" verticalDpi="300"/>
  <headerFooter>
    <oddFooter>&amp;L&amp;"Arial Narrow,Regular"&amp;8 &amp;F&amp;C&amp;"Arial Narrow,Regular"&amp;8 &amp;A - &amp;D &amp;T&amp;R&amp;"Arial,Regular" &amp;P /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
  <sheetViews>
    <sheetView tabSelected="1" zoomScaleNormal="100" workbookViewId="0">
      <selection activeCell="F7" sqref="F7"/>
    </sheetView>
  </sheetViews>
  <sheetFormatPr defaultColWidth="10.6640625" defaultRowHeight="14.4" x14ac:dyDescent="0.3"/>
  <sheetData/>
  <pageMargins left="0.7" right="0.7" top="0.75" bottom="0.75" header="0.511811023622047" footer="0.51180555555555596"/>
  <pageSetup orientation="portrait" horizontalDpi="300" verticalDpi="300"/>
  <headerFooter>
    <oddFooter>&amp;L&amp;"Arial Narrow,Regular"&amp;8 &amp;F&amp;C&amp;"Arial Narrow,Regular"&amp;8 &amp;A - &amp;D &amp;T&amp;R&amp;"Arial,Regular" &amp;P /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vt:i4>
      </vt:variant>
    </vt:vector>
  </HeadingPairs>
  <TitlesOfParts>
    <vt:vector size="22" baseType="lpstr">
      <vt:lpstr>Instructions</vt:lpstr>
      <vt:lpstr>Action Items</vt:lpstr>
      <vt:lpstr>Current Positions</vt:lpstr>
      <vt:lpstr>Monitor &amp; Recheck Triggers</vt:lpstr>
      <vt:lpstr>Price History</vt:lpstr>
      <vt:lpstr>Dashboard</vt:lpstr>
      <vt:lpstr>Scoring</vt:lpstr>
      <vt:lpstr>Entry Checklist</vt:lpstr>
      <vt:lpstr>Market Data</vt:lpstr>
      <vt:lpstr>Returns (Calc)</vt:lpstr>
      <vt:lpstr>Correlation Matrix</vt:lpstr>
      <vt:lpstr>Portfolio Drawdown Log</vt:lpstr>
      <vt:lpstr>Watch List Tracker</vt:lpstr>
      <vt:lpstr>Implied-Return Calculator</vt:lpstr>
      <vt:lpstr>Holding Monitor</vt:lpstr>
      <vt:lpstr>Performance Tracking</vt:lpstr>
      <vt:lpstr>Journal</vt:lpstr>
      <vt:lpstr>Process Checklist</vt:lpstr>
      <vt:lpstr>Open Items</vt:lpstr>
      <vt:lpstr>Schema Reference</vt:lpstr>
      <vt:lpstr>Scratchpad (disregard)</vt:lpstr>
      <vt:lpstr>Journal!Print_Area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Alan Landry</cp:lastModifiedBy>
  <cp:revision>128</cp:revision>
  <cp:lastPrinted>2026-09-13T01:05:49Z</cp:lastPrinted>
  <dcterms:created xsi:type="dcterms:W3CDTF">2026-08-05T19:31:08Z</dcterms:created>
  <dcterms:modified xsi:type="dcterms:W3CDTF">2026-09-13T16:15:39Z</dcterms:modified>
  <dc:language>en-US</dc:language>
</cp:coreProperties>
</file>