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lanl\GitHub\Stock_Picker\"/>
    </mc:Choice>
  </mc:AlternateContent>
  <xr:revisionPtr revIDLastSave="0" documentId="8_{E1F53844-3BDB-4AC9-B1E5-C444F59A121E}" xr6:coauthVersionLast="47" xr6:coauthVersionMax="47" xr10:uidLastSave="{00000000-0000-0000-0000-000000000000}"/>
  <bookViews>
    <workbookView xWindow="1152" yWindow="0" windowWidth="21600" windowHeight="12960" xr2:uid="{3324304A-3E17-4BFC-9364-F5FD2F7F66E8}"/>
  </bookViews>
  <sheets>
    <sheet name="Chase_positions_9-4-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24" i="1" l="1"/>
  <c r="BT23" i="1"/>
  <c r="BT22" i="1"/>
  <c r="BT21" i="1"/>
  <c r="BT20" i="1"/>
  <c r="BT19" i="1"/>
  <c r="BT18" i="1"/>
  <c r="BT17" i="1"/>
  <c r="BT13" i="1"/>
  <c r="BT4" i="1"/>
  <c r="BT5" i="1"/>
  <c r="BT6" i="1"/>
  <c r="BT7" i="1"/>
  <c r="BT8" i="1"/>
  <c r="BT9" i="1"/>
  <c r="BT10" i="1"/>
  <c r="BT11" i="1"/>
  <c r="BT12" i="1"/>
  <c r="BT3" i="1"/>
  <c r="AQ24" i="1" l="1"/>
  <c r="AQ26" i="1" s="1"/>
  <c r="AM24" i="1"/>
  <c r="AM26" i="1" s="1"/>
  <c r="AB24" i="1"/>
  <c r="AB26" i="1" s="1"/>
  <c r="AA24" i="1"/>
  <c r="AA26" i="1" s="1"/>
  <c r="W24" i="1"/>
  <c r="W26" i="1" s="1"/>
  <c r="T24" i="1"/>
  <c r="T26" i="1" s="1"/>
  <c r="P24" i="1"/>
  <c r="P26" i="1" s="1"/>
  <c r="AQ13" i="1"/>
  <c r="AM13" i="1"/>
  <c r="AB13" i="1"/>
  <c r="AA13" i="1"/>
  <c r="W13" i="1"/>
  <c r="T13" i="1"/>
  <c r="P13" i="1"/>
  <c r="AE26" i="1" l="1"/>
  <c r="AE24" i="1"/>
  <c r="AE13" i="1"/>
</calcChain>
</file>

<file path=xl/sharedStrings.xml><?xml version="1.0" encoding="utf-8"?>
<sst xmlns="http://schemas.openxmlformats.org/spreadsheetml/2006/main" count="223" uniqueCount="157">
  <si>
    <t>Asset Class</t>
  </si>
  <si>
    <t>Asset Strategy</t>
  </si>
  <si>
    <t>Asset Strategy Detail</t>
  </si>
  <si>
    <t>Description</t>
  </si>
  <si>
    <t>Ticker</t>
  </si>
  <si>
    <t>CUSIP</t>
  </si>
  <si>
    <t>Quantity</t>
  </si>
  <si>
    <t>Base CCY</t>
  </si>
  <si>
    <t>Local CCY</t>
  </si>
  <si>
    <t>Price</t>
  </si>
  <si>
    <t>PriceInd</t>
  </si>
  <si>
    <t>Local Price</t>
  </si>
  <si>
    <t>Today's Price Change</t>
  </si>
  <si>
    <t>Price Change %</t>
  </si>
  <si>
    <t>Pricing Date</t>
  </si>
  <si>
    <t>Value</t>
  </si>
  <si>
    <t>Today's Value Change</t>
  </si>
  <si>
    <t>Value Change %</t>
  </si>
  <si>
    <t>Local Value</t>
  </si>
  <si>
    <t>Cost</t>
  </si>
  <si>
    <t>Unit Cost</t>
  </si>
  <si>
    <t>Local Unit Cost</t>
  </si>
  <si>
    <t>Orig Cost (Base)</t>
  </si>
  <si>
    <t>Orig Cost (Local)</t>
  </si>
  <si>
    <t>Cost Source</t>
  </si>
  <si>
    <t>Local Cost</t>
  </si>
  <si>
    <t>Unrealized G/L Amt.</t>
  </si>
  <si>
    <t>Orig. $ Gain/Loss (Base)</t>
  </si>
  <si>
    <t>Orig. $ Gain/Loss (Local)</t>
  </si>
  <si>
    <t>Local Unrealized G/L Amt.</t>
  </si>
  <si>
    <t>Unrealized Gain/Loss (%)</t>
  </si>
  <si>
    <t>Orig. % Gain/Loss (Base)</t>
  </si>
  <si>
    <t>Orig. % Gain/Loss (Local)</t>
  </si>
  <si>
    <t>Local Unrealized Gain/Loss (%)</t>
  </si>
  <si>
    <t>Disallowed Loss (Base)</t>
  </si>
  <si>
    <t>Disallowed Loss (Local)</t>
  </si>
  <si>
    <t>Acquisition Date</t>
  </si>
  <si>
    <t>Adj Date</t>
  </si>
  <si>
    <t>Accrued Income</t>
  </si>
  <si>
    <t>Local Accrued Income</t>
  </si>
  <si>
    <t>Est. Annual Income</t>
  </si>
  <si>
    <t>Local Est. Annual Income</t>
  </si>
  <si>
    <t>YTM</t>
  </si>
  <si>
    <t>Maturity Date</t>
  </si>
  <si>
    <t>Coupon Rate</t>
  </si>
  <si>
    <t>S&amp;P Rating</t>
  </si>
  <si>
    <t>Moody Rating</t>
  </si>
  <si>
    <t>Buy/Call Amount</t>
  </si>
  <si>
    <t>Buy/Call Currency</t>
  </si>
  <si>
    <t>Sell/Put Amount</t>
  </si>
  <si>
    <t>Sell/Put Currency</t>
  </si>
  <si>
    <t>Market Spot Rate</t>
  </si>
  <si>
    <t>Market Forward Rate</t>
  </si>
  <si>
    <t>Contract Rate</t>
  </si>
  <si>
    <t>Subscription Amount</t>
  </si>
  <si>
    <t>Net Distributions</t>
  </si>
  <si>
    <t>Interest Rate</t>
  </si>
  <si>
    <t>Finance Charges (MTD)</t>
  </si>
  <si>
    <t>As of</t>
  </si>
  <si>
    <t>Acct Type</t>
  </si>
  <si>
    <t>Accounting Method</t>
  </si>
  <si>
    <t>Current Face Value</t>
  </si>
  <si>
    <t>Disclaimers-Cost</t>
  </si>
  <si>
    <t>Disclaimers-Quantity</t>
  </si>
  <si>
    <t>Dividend Yield</t>
  </si>
  <si>
    <t>Amount invested</t>
  </si>
  <si>
    <t>7-day average yield</t>
  </si>
  <si>
    <t>ISIN</t>
  </si>
  <si>
    <t>Alternative Assets</t>
  </si>
  <si>
    <t>Liquid Alternatives</t>
  </si>
  <si>
    <t>J P MORGAN EXCHANGE-TRADED FD TR J P MORGAN NASDAQ EQUITY PREMIUM INCOME ETF</t>
  </si>
  <si>
    <t>JEPQ</t>
  </si>
  <si>
    <t>46654Q203</t>
  </si>
  <si>
    <t>USD</t>
  </si>
  <si>
    <t>Cash</t>
  </si>
  <si>
    <t>Original Cost</t>
  </si>
  <si>
    <t>US46654Q2030</t>
  </si>
  <si>
    <t>Equity</t>
  </si>
  <si>
    <t>US Small Cap</t>
  </si>
  <si>
    <t>AMERICAN CENTURY ETF TRUST AVANTIS U S SMALL CAP VALUE ETF</t>
  </si>
  <si>
    <t>AVUV</t>
  </si>
  <si>
    <t>025072877</t>
  </si>
  <si>
    <t>US0250728773</t>
  </si>
  <si>
    <t>Cash &amp; Money Market Funds</t>
  </si>
  <si>
    <t>Money Market Funds</t>
  </si>
  <si>
    <t>VANGUARD MONEY MARKET RESERVES INC-FEDERAL PORTFOLIO</t>
  </si>
  <si>
    <t>VMFXX</t>
  </si>
  <si>
    <t>922906300</t>
  </si>
  <si>
    <t>US9229063006</t>
  </si>
  <si>
    <t>J P MORGAN EXCHANGE TRADED FUND TRUST JPMORGAN HEDGED EQUITY LADDERED OVERLAY ETF</t>
  </si>
  <si>
    <t>HELO</t>
  </si>
  <si>
    <t>46654Q724</t>
  </si>
  <si>
    <t>Average Cost</t>
  </si>
  <si>
    <t>A</t>
  </si>
  <si>
    <t>US46654Q7245</t>
  </si>
  <si>
    <t>US Large Cap</t>
  </si>
  <si>
    <t>VERTEX PHARMACEUTICALS INC</t>
  </si>
  <si>
    <t>VRTX</t>
  </si>
  <si>
    <t>92532F100</t>
  </si>
  <si>
    <t>US92532F1003</t>
  </si>
  <si>
    <t>PROLOGIS INC</t>
  </si>
  <si>
    <t>PLD</t>
  </si>
  <si>
    <t>74340W103</t>
  </si>
  <si>
    <t>US74340W1036</t>
  </si>
  <si>
    <t>NVIDIA CORP</t>
  </si>
  <si>
    <t>NVDA</t>
  </si>
  <si>
    <t>67066G104</t>
  </si>
  <si>
    <t>US67066G1040</t>
  </si>
  <si>
    <t>BROADCOM INC COMMON STOCK</t>
  </si>
  <si>
    <t>AVGO</t>
  </si>
  <si>
    <t>11135F101</t>
  </si>
  <si>
    <t>US11135F1012</t>
  </si>
  <si>
    <t>INVESCO EXCHANGE TRADED FD TR II S&amp;P 500 MOMENTUM ETF</t>
  </si>
  <si>
    <t>SPMO</t>
  </si>
  <si>
    <t>46138E339</t>
  </si>
  <si>
    <t>US46138E3392</t>
  </si>
  <si>
    <t>US Mid Cap</t>
  </si>
  <si>
    <t>VICTORY PORTFOLIOS II VICTORYSHARES FREE CASH FLOW ETF</t>
  </si>
  <si>
    <t>VFLO</t>
  </si>
  <si>
    <t>92647X830</t>
  </si>
  <si>
    <t>US92647X8305</t>
  </si>
  <si>
    <t>J P MORGAN EXCHANGE TRADED FUND TRUST JPMORGAN EQUITY PREMIUM INCOME ETF</t>
  </si>
  <si>
    <t>JEPI</t>
  </si>
  <si>
    <t>46641Q332</t>
  </si>
  <si>
    <t>W</t>
  </si>
  <si>
    <t>US46641Q3323</t>
  </si>
  <si>
    <t>ARISTA NETWORKS INC COMMON STOCK</t>
  </si>
  <si>
    <t>ANET</t>
  </si>
  <si>
    <t>040413205</t>
  </si>
  <si>
    <t>US0404132054</t>
  </si>
  <si>
    <t>CROWDSTRIKE HOLDINGS INC CLASS A COMMON STOCK</t>
  </si>
  <si>
    <t>CRWD</t>
  </si>
  <si>
    <t>22788C105</t>
  </si>
  <si>
    <t>US22788C1053</t>
  </si>
  <si>
    <t>PALANTIR TECHNOLOGIES INC CLASS A COMMON STOCK</t>
  </si>
  <si>
    <t>PLTR</t>
  </si>
  <si>
    <t>69608A108</t>
  </si>
  <si>
    <t>US69608A1088</t>
  </si>
  <si>
    <t>CHASE DEPOSIT SWEEP JPMORGAN CHASE BANK NA</t>
  </si>
  <si>
    <t>QACDS</t>
  </si>
  <si>
    <t>FOOTNOTES</t>
  </si>
  <si>
    <t>P</t>
  </si>
  <si>
    <t>This order is pending settlement. Day’s gain/loss may not reflect the price at time of purchase for intraday trades.</t>
  </si>
  <si>
    <t>This position has been identified as part of a wash sale. A wash sale occurs when you sell or trade a security at a loss and purchase the same investment either 30 days before or after the sale. As a result, you may have a disallowed loss, adjusted cost basis and adjusted unrealized gains/losses related to this tax lot. Neither J.P. Morgan Securities LLC nor its affiliates provide tax advice, and the wash sale information provided herein is for your information only. You should not use the wash sale information provided herein for tax return preparation purposes as the information may differ from information provided in your year-end tax statements. Please contact your tax advisor for additional information.</t>
  </si>
  <si>
    <t>X</t>
  </si>
  <si>
    <t>Some or all of these shares include cost and/or acquisition date data not provided or validated by J.P. Morgan. Cost basis information is based on information you, your advisor or third parties have supplied. We’ve included it on your account for informational purposes only. Inaccurate cost and/or acquisition date data will result in the display of inaccurate gain/loss information regarding this holding. J.P. Morgan Securities LLC has not attempted to validate this information and disclaims all warranties of any kind related to this information, either express or implied, including, without limitation, any implied warranties of accuracy, completeness and fitness for a particular purpose.</t>
  </si>
  <si>
    <t>This security is held at average cost. Average cost is calculated by dividing the total amount purchased by the number of shares owned.</t>
  </si>
  <si>
    <t>C</t>
  </si>
  <si>
    <t>This is a covered security. Cost basis and realized gains/losses for covered lots will be reported to the IRS on Form 1099-B. Please contact your tax advisor for additional information.</t>
  </si>
  <si>
    <t>Accrued / Income Earned</t>
  </si>
  <si>
    <t>Local Accrued / Income Earned</t>
  </si>
  <si>
    <t>Used / Outstanding</t>
  </si>
  <si>
    <t>EQUITIES &amp; ETFs</t>
  </si>
  <si>
    <t>CASH &amp; CASH EQUIVALENTS</t>
  </si>
  <si>
    <t>TOTAL</t>
  </si>
  <si>
    <t>ACCOUNT TOTAL</t>
  </si>
  <si>
    <t>%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</si>
</sst>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70" formatCode="_(* #,##0_);_(* \(#,##0\);_(* &quot;-&quot;??_);_(@_)"/>
    <numFmt numFmtId="173" formatCode="0.0"/>
    <numFmt numFmtId="174" formatCode="0.0%"/>
  </numFmts>
  <fonts count="19" x14ac:knownFonts="1">
    <font>
      <sz val="10"/>
      <color theme="1"/>
      <name val="Arial Narrow"/>
      <family val="2"/>
    </font>
    <font>
      <sz val="10"/>
      <color theme="1"/>
      <name val="Arial Narrow"/>
      <family val="2"/>
    </font>
    <font>
      <sz val="18"/>
      <color theme="3"/>
      <name val="Aptos Display"/>
      <family val="2"/>
      <scheme val="major"/>
    </font>
    <font>
      <b/>
      <sz val="15"/>
      <color theme="3"/>
      <name val="Arial Narrow"/>
      <family val="2"/>
    </font>
    <font>
      <b/>
      <sz val="13"/>
      <color theme="3"/>
      <name val="Arial Narrow"/>
      <family val="2"/>
    </font>
    <font>
      <b/>
      <sz val="11"/>
      <color theme="3"/>
      <name val="Arial Narrow"/>
      <family val="2"/>
    </font>
    <font>
      <sz val="10"/>
      <color rgb="FF006100"/>
      <name val="Arial Narrow"/>
      <family val="2"/>
    </font>
    <font>
      <sz val="10"/>
      <color rgb="FF9C0006"/>
      <name val="Arial Narrow"/>
      <family val="2"/>
    </font>
    <font>
      <sz val="10"/>
      <color rgb="FF9C5700"/>
      <name val="Arial Narrow"/>
      <family val="2"/>
    </font>
    <font>
      <sz val="10"/>
      <color rgb="FF3F3F76"/>
      <name val="Arial Narrow"/>
      <family val="2"/>
    </font>
    <font>
      <b/>
      <sz val="10"/>
      <color rgb="FF3F3F3F"/>
      <name val="Arial Narrow"/>
      <family val="2"/>
    </font>
    <font>
      <b/>
      <sz val="10"/>
      <color rgb="FFFA7D00"/>
      <name val="Arial Narrow"/>
      <family val="2"/>
    </font>
    <font>
      <sz val="10"/>
      <color rgb="FFFA7D00"/>
      <name val="Arial Narrow"/>
      <family val="2"/>
    </font>
    <font>
      <b/>
      <sz val="10"/>
      <color theme="0"/>
      <name val="Arial Narrow"/>
      <family val="2"/>
    </font>
    <font>
      <sz val="10"/>
      <color rgb="FFFF0000"/>
      <name val="Arial Narrow"/>
      <family val="2"/>
    </font>
    <font>
      <i/>
      <sz val="10"/>
      <color rgb="FF7F7F7F"/>
      <name val="Arial Narrow"/>
      <family val="2"/>
    </font>
    <font>
      <b/>
      <sz val="10"/>
      <color theme="1"/>
      <name val="Arial Narrow"/>
      <family val="2"/>
    </font>
    <font>
      <sz val="10"/>
      <color theme="0"/>
      <name val="Arial Narrow"/>
      <family val="2"/>
    </font>
    <font>
      <sz val="8"/>
      <color theme="1"/>
      <name val="Arial Narrow"/>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thin">
        <color rgb="FF000000"/>
      </bottom>
      <diagonal/>
    </border>
    <border>
      <left/>
      <right/>
      <top style="medium">
        <color indexed="64"/>
      </top>
      <bottom style="thin">
        <color indexed="64"/>
      </bottom>
      <diagonal/>
    </border>
    <border>
      <left/>
      <right style="thin">
        <color rgb="FF000000"/>
      </right>
      <top style="medium">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top style="medium">
        <color auto="1"/>
      </top>
      <bottom style="double">
        <color auto="1"/>
      </bottom>
      <diagonal/>
    </border>
    <border>
      <left/>
      <right/>
      <top/>
      <bottom style="medium">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medium">
        <color rgb="FF000000"/>
      </bottom>
      <diagonal/>
    </border>
    <border>
      <left/>
      <right/>
      <top style="medium">
        <color indexed="64"/>
      </top>
      <bottom style="thin">
        <color rgb="FF000000"/>
      </bottom>
      <diagonal/>
    </border>
    <border>
      <left style="thin">
        <color indexed="64"/>
      </left>
      <right/>
      <top style="medium">
        <color indexed="64"/>
      </top>
      <bottom style="thin">
        <color rgb="FF000000"/>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9">
    <xf numFmtId="0" fontId="0" fillId="0" borderId="0" xfId="0"/>
    <xf numFmtId="0" fontId="16" fillId="0" borderId="10" xfId="0" applyFont="1" applyBorder="1" applyAlignment="1">
      <alignment horizontal="center" vertical="center" wrapText="1"/>
    </xf>
    <xf numFmtId="0" fontId="16" fillId="33" borderId="15" xfId="0" applyFont="1" applyFill="1" applyBorder="1" applyAlignment="1">
      <alignment horizontal="center" vertical="center" wrapText="1"/>
    </xf>
    <xf numFmtId="0" fontId="16" fillId="33" borderId="15" xfId="0" applyFont="1" applyFill="1" applyBorder="1" applyAlignment="1">
      <alignment horizontal="center" vertical="center"/>
    </xf>
    <xf numFmtId="0" fontId="0" fillId="0" borderId="0" xfId="0" applyFont="1" applyAlignment="1">
      <alignment vertical="center"/>
    </xf>
    <xf numFmtId="0" fontId="16" fillId="0" borderId="16"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10" xfId="0" applyFont="1" applyBorder="1" applyAlignment="1">
      <alignment vertical="center" wrapText="1"/>
    </xf>
    <xf numFmtId="0" fontId="0" fillId="0" borderId="10" xfId="0" applyFont="1" applyBorder="1" applyAlignment="1">
      <alignment vertical="center"/>
    </xf>
    <xf numFmtId="3" fontId="0" fillId="0" borderId="10" xfId="0" applyNumberFormat="1" applyFont="1" applyBorder="1" applyAlignment="1">
      <alignment vertical="center" wrapText="1"/>
    </xf>
    <xf numFmtId="4" fontId="0" fillId="0" borderId="10" xfId="0" applyNumberFormat="1" applyFont="1" applyBorder="1" applyAlignment="1">
      <alignment vertical="center" wrapText="1"/>
    </xf>
    <xf numFmtId="0" fontId="0" fillId="0" borderId="11" xfId="0" applyFont="1" applyBorder="1" applyAlignment="1">
      <alignment horizontal="center" vertical="center"/>
    </xf>
    <xf numFmtId="0" fontId="16" fillId="0" borderId="0" xfId="0" applyFont="1" applyAlignment="1">
      <alignment horizontal="center" vertical="center"/>
    </xf>
    <xf numFmtId="0" fontId="0" fillId="0" borderId="13" xfId="0" applyFont="1" applyBorder="1" applyAlignment="1">
      <alignment vertical="center"/>
    </xf>
    <xf numFmtId="0" fontId="16" fillId="0" borderId="13" xfId="0" applyFont="1" applyBorder="1" applyAlignment="1">
      <alignment horizontal="center" vertical="center"/>
    </xf>
    <xf numFmtId="0" fontId="0" fillId="0" borderId="0" xfId="0" applyFont="1" applyAlignment="1">
      <alignment horizontal="center" vertical="center"/>
    </xf>
    <xf numFmtId="0" fontId="0" fillId="0" borderId="13" xfId="0" applyFont="1" applyBorder="1" applyAlignment="1">
      <alignment horizontal="center" vertical="center"/>
    </xf>
    <xf numFmtId="49" fontId="18" fillId="0" borderId="16" xfId="0" applyNumberFormat="1" applyFont="1" applyBorder="1" applyAlignment="1">
      <alignment horizontal="center" vertical="center" wrapText="1"/>
    </xf>
    <xf numFmtId="49" fontId="18" fillId="0" borderId="10" xfId="0" applyNumberFormat="1" applyFont="1" applyBorder="1" applyAlignment="1">
      <alignment horizontal="center" vertical="center" wrapText="1"/>
    </xf>
    <xf numFmtId="0" fontId="18" fillId="0" borderId="0" xfId="0" applyFont="1" applyAlignment="1">
      <alignment horizontal="center" vertical="center"/>
    </xf>
    <xf numFmtId="0" fontId="18" fillId="0" borderId="13" xfId="0" applyFont="1" applyBorder="1" applyAlignment="1">
      <alignment horizontal="center" vertical="center"/>
    </xf>
    <xf numFmtId="4" fontId="0" fillId="0" borderId="10" xfId="0" applyNumberFormat="1" applyFont="1" applyBorder="1" applyAlignment="1">
      <alignment horizontal="center" vertical="center" wrapText="1"/>
    </xf>
    <xf numFmtId="22" fontId="0" fillId="0" borderId="10"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0" fillId="0" borderId="14" xfId="0" applyFont="1" applyBorder="1" applyAlignment="1">
      <alignment horizontal="center" vertical="center"/>
    </xf>
    <xf numFmtId="0" fontId="0" fillId="34" borderId="17" xfId="0" applyFont="1" applyFill="1" applyBorder="1" applyAlignment="1">
      <alignment horizontal="center" vertical="center"/>
    </xf>
    <xf numFmtId="0" fontId="0" fillId="34" borderId="17" xfId="0" applyFont="1" applyFill="1" applyBorder="1" applyAlignment="1">
      <alignment vertical="center"/>
    </xf>
    <xf numFmtId="0" fontId="16" fillId="34" borderId="17" xfId="0" applyFont="1" applyFill="1" applyBorder="1" applyAlignment="1">
      <alignment horizontal="center" vertical="center"/>
    </xf>
    <xf numFmtId="0" fontId="18" fillId="34" borderId="17" xfId="0" applyFont="1" applyFill="1" applyBorder="1" applyAlignment="1">
      <alignment horizontal="center" vertical="center"/>
    </xf>
    <xf numFmtId="0" fontId="0" fillId="34" borderId="18" xfId="0" applyFont="1" applyFill="1" applyBorder="1" applyAlignment="1">
      <alignment horizontal="center" vertical="center"/>
    </xf>
    <xf numFmtId="170" fontId="16" fillId="33" borderId="15" xfId="1" applyNumberFormat="1" applyFont="1" applyFill="1" applyBorder="1" applyAlignment="1">
      <alignment horizontal="center" vertical="center" wrapText="1"/>
    </xf>
    <xf numFmtId="170" fontId="0" fillId="34" borderId="17" xfId="1" applyNumberFormat="1" applyFont="1" applyFill="1" applyBorder="1" applyAlignment="1">
      <alignment vertical="center"/>
    </xf>
    <xf numFmtId="170" fontId="0" fillId="0" borderId="10" xfId="1" applyNumberFormat="1" applyFont="1" applyBorder="1" applyAlignment="1">
      <alignment vertical="center" wrapText="1"/>
    </xf>
    <xf numFmtId="170" fontId="0" fillId="0" borderId="0" xfId="1" applyNumberFormat="1" applyFont="1" applyAlignment="1">
      <alignment vertical="center"/>
    </xf>
    <xf numFmtId="170" fontId="0" fillId="0" borderId="16" xfId="1" applyNumberFormat="1" applyFont="1" applyBorder="1" applyAlignment="1">
      <alignment vertical="center" wrapText="1"/>
    </xf>
    <xf numFmtId="170" fontId="0" fillId="0" borderId="13" xfId="1" applyNumberFormat="1" applyFont="1" applyBorder="1" applyAlignment="1">
      <alignment vertical="center"/>
    </xf>
    <xf numFmtId="173" fontId="0" fillId="0" borderId="10" xfId="0" applyNumberFormat="1" applyFont="1" applyBorder="1" applyAlignment="1">
      <alignment horizontal="center" vertical="center" wrapText="1"/>
    </xf>
    <xf numFmtId="0" fontId="0" fillId="0" borderId="19" xfId="0" applyFont="1" applyBorder="1" applyAlignment="1">
      <alignment horizontal="center" vertical="center" wrapText="1"/>
    </xf>
    <xf numFmtId="0" fontId="0" fillId="0" borderId="19" xfId="0" applyFont="1" applyBorder="1" applyAlignment="1">
      <alignment vertical="center" wrapText="1"/>
    </xf>
    <xf numFmtId="0" fontId="0" fillId="0" borderId="19" xfId="0" applyFont="1" applyBorder="1" applyAlignment="1">
      <alignment vertical="center"/>
    </xf>
    <xf numFmtId="0" fontId="16" fillId="0" borderId="19" xfId="0" applyFont="1" applyBorder="1" applyAlignment="1">
      <alignment horizontal="center" vertical="center" wrapText="1"/>
    </xf>
    <xf numFmtId="49" fontId="18" fillId="0" borderId="19" xfId="0" applyNumberFormat="1" applyFont="1" applyBorder="1" applyAlignment="1">
      <alignment horizontal="center" vertical="center" wrapText="1"/>
    </xf>
    <xf numFmtId="22" fontId="0" fillId="0" borderId="19" xfId="0" applyNumberFormat="1" applyFont="1" applyBorder="1" applyAlignment="1">
      <alignment horizontal="center" vertical="center" wrapText="1"/>
    </xf>
    <xf numFmtId="170" fontId="0" fillId="0" borderId="19" xfId="1" applyNumberFormat="1" applyFont="1" applyBorder="1" applyAlignment="1">
      <alignment vertical="center" wrapText="1"/>
    </xf>
    <xf numFmtId="3" fontId="0" fillId="0" borderId="19" xfId="0" applyNumberFormat="1" applyFont="1" applyBorder="1" applyAlignment="1">
      <alignment vertical="center" wrapText="1"/>
    </xf>
    <xf numFmtId="173" fontId="0" fillId="0" borderId="19" xfId="0" applyNumberFormat="1" applyFont="1" applyBorder="1" applyAlignment="1">
      <alignment horizontal="center" vertical="center" wrapText="1"/>
    </xf>
    <xf numFmtId="4" fontId="0" fillId="0" borderId="19" xfId="0" applyNumberFormat="1" applyFont="1" applyBorder="1" applyAlignment="1">
      <alignment vertical="center" wrapText="1"/>
    </xf>
    <xf numFmtId="0" fontId="0" fillId="0" borderId="20" xfId="0" applyFont="1" applyBorder="1" applyAlignment="1">
      <alignment horizontal="center" vertical="center"/>
    </xf>
    <xf numFmtId="0" fontId="0" fillId="0" borderId="21" xfId="0" applyFont="1" applyBorder="1" applyAlignment="1">
      <alignment horizontal="center" vertical="center"/>
    </xf>
    <xf numFmtId="0" fontId="0" fillId="0" borderId="21" xfId="0" applyFont="1" applyBorder="1" applyAlignment="1">
      <alignment vertical="center"/>
    </xf>
    <xf numFmtId="0" fontId="18" fillId="0" borderId="21" xfId="0" applyFont="1" applyBorder="1" applyAlignment="1">
      <alignment horizontal="center" vertical="center"/>
    </xf>
    <xf numFmtId="170" fontId="16" fillId="0" borderId="21" xfId="1" applyNumberFormat="1" applyFont="1" applyBorder="1" applyAlignment="1">
      <alignment vertical="center"/>
    </xf>
    <xf numFmtId="173" fontId="16" fillId="0" borderId="21" xfId="0" applyNumberFormat="1" applyFont="1" applyBorder="1" applyAlignment="1">
      <alignment horizontal="center" vertical="center"/>
    </xf>
    <xf numFmtId="0" fontId="0" fillId="0" borderId="22" xfId="0" applyFont="1" applyBorder="1" applyAlignment="1">
      <alignment horizontal="center" vertical="center"/>
    </xf>
    <xf numFmtId="0" fontId="16" fillId="0" borderId="21" xfId="0" applyFont="1" applyBorder="1" applyAlignment="1">
      <alignment horizontal="right" vertical="center"/>
    </xf>
    <xf numFmtId="170" fontId="16" fillId="0" borderId="23" xfId="1" applyNumberFormat="1" applyFont="1" applyBorder="1" applyAlignment="1">
      <alignment vertical="center"/>
    </xf>
    <xf numFmtId="173" fontId="16" fillId="0" borderId="23" xfId="1" applyNumberFormat="1" applyFont="1" applyBorder="1" applyAlignment="1">
      <alignment horizontal="center" vertical="center"/>
    </xf>
    <xf numFmtId="0" fontId="0" fillId="0" borderId="16" xfId="0" applyBorder="1" applyAlignment="1">
      <alignment horizontal="center" vertical="center" wrapText="1"/>
    </xf>
    <xf numFmtId="0" fontId="0" fillId="0" borderId="16" xfId="0" applyBorder="1" applyAlignment="1">
      <alignment vertical="center" wrapText="1"/>
    </xf>
    <xf numFmtId="0" fontId="0" fillId="0" borderId="16" xfId="0" applyBorder="1" applyAlignment="1">
      <alignment vertical="center"/>
    </xf>
    <xf numFmtId="22" fontId="0" fillId="0" borderId="16" xfId="0" applyNumberFormat="1" applyBorder="1" applyAlignment="1">
      <alignment horizontal="center" vertical="center" wrapText="1"/>
    </xf>
    <xf numFmtId="4" fontId="0" fillId="0" borderId="16" xfId="0" applyNumberFormat="1" applyBorder="1" applyAlignment="1">
      <alignment vertical="center" wrapText="1"/>
    </xf>
    <xf numFmtId="0" fontId="0" fillId="0" borderId="0" xfId="0" applyAlignment="1">
      <alignment vertical="center"/>
    </xf>
    <xf numFmtId="174" fontId="16" fillId="0" borderId="20" xfId="0" applyNumberFormat="1" applyFont="1" applyBorder="1" applyAlignment="1">
      <alignment horizontal="center" vertical="center"/>
    </xf>
    <xf numFmtId="0" fontId="16" fillId="35" borderId="24" xfId="0" applyFont="1" applyFill="1" applyBorder="1" applyAlignment="1">
      <alignment horizontal="center" vertical="center" wrapText="1"/>
    </xf>
    <xf numFmtId="174" fontId="0" fillId="0" borderId="25" xfId="2" applyNumberFormat="1" applyFont="1" applyBorder="1" applyAlignment="1">
      <alignment horizontal="center" vertical="center"/>
    </xf>
    <xf numFmtId="174" fontId="0" fillId="0" borderId="26" xfId="2" applyNumberFormat="1" applyFont="1" applyBorder="1" applyAlignment="1">
      <alignment horizontal="center" vertical="center"/>
    </xf>
    <xf numFmtId="170" fontId="16" fillId="0" borderId="23" xfId="1" applyNumberFormat="1" applyFont="1" applyBorder="1" applyAlignment="1">
      <alignment horizontal="right" vertical="center"/>
    </xf>
    <xf numFmtId="14" fontId="0" fillId="0" borderId="10" xfId="0" applyNumberFormat="1" applyFont="1" applyBorder="1" applyAlignment="1">
      <alignment horizontal="center" vertical="center" wrapText="1"/>
    </xf>
    <xf numFmtId="14" fontId="0" fillId="0" borderId="19" xfId="0" applyNumberFormat="1" applyFont="1" applyBorder="1" applyAlignment="1">
      <alignment horizontal="center" vertical="center" wrapText="1"/>
    </xf>
    <xf numFmtId="14" fontId="0" fillId="0" borderId="16" xfId="0" applyNumberFormat="1" applyBorder="1" applyAlignment="1">
      <alignment horizontal="center" vertical="center" wrapText="1"/>
    </xf>
    <xf numFmtId="3" fontId="16" fillId="0" borderId="21" xfId="0" applyNumberFormat="1" applyFont="1" applyBorder="1" applyAlignment="1">
      <alignment vertical="center"/>
    </xf>
    <xf numFmtId="3" fontId="0" fillId="0" borderId="21" xfId="0" applyNumberFormat="1" applyFont="1" applyBorder="1" applyAlignment="1">
      <alignment vertical="center"/>
    </xf>
    <xf numFmtId="2" fontId="0" fillId="0" borderId="10" xfId="0" applyNumberFormat="1" applyFont="1" applyBorder="1" applyAlignment="1">
      <alignment vertical="center" wrapText="1"/>
    </xf>
    <xf numFmtId="0" fontId="0" fillId="34" borderId="17" xfId="0" applyFont="1" applyFill="1" applyBorder="1" applyAlignment="1">
      <alignment horizontal="centerContinuous" vertical="center"/>
    </xf>
    <xf numFmtId="0" fontId="16" fillId="34" borderId="27" xfId="0" applyFont="1" applyFill="1" applyBorder="1" applyAlignment="1">
      <alignment horizontal="centerContinuous" vertical="center"/>
    </xf>
    <xf numFmtId="0" fontId="0" fillId="34" borderId="28" xfId="0" applyFont="1" applyFill="1" applyBorder="1" applyAlignment="1">
      <alignment horizontal="centerContinuous" vertical="center"/>
    </xf>
    <xf numFmtId="0" fontId="0" fillId="0" borderId="24" xfId="0" applyFont="1" applyBorder="1" applyAlignme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
    <dxf>
      <font>
        <color rgb="FF9C0006"/>
      </font>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FFEC6-5E0C-473D-88D0-539DE50A3FD4}">
  <dimension ref="A1:BT35"/>
  <sheetViews>
    <sheetView showGridLines="0" tabSelected="1" workbookViewId="0">
      <pane xSplit="5" ySplit="2" topLeftCell="F6" activePane="bottomRight" state="frozen"/>
      <selection activeCell="D1" sqref="D1"/>
      <selection pane="topRight" activeCell="F1" sqref="F1"/>
      <selection pane="bottomLeft" activeCell="D3" sqref="D3"/>
      <selection pane="bottomRight" activeCell="T17" sqref="T17"/>
    </sheetView>
  </sheetViews>
  <sheetFormatPr defaultRowHeight="13.8" outlineLevelCol="1" x14ac:dyDescent="0.3"/>
  <cols>
    <col min="1" max="1" width="11.75" style="15" hidden="1" customWidth="1" outlineLevel="1"/>
    <col min="2" max="2" width="12.625" style="15" hidden="1" customWidth="1" outlineLevel="1"/>
    <col min="3" max="3" width="10.25" style="4" hidden="1" customWidth="1" outlineLevel="1"/>
    <col min="4" max="4" width="31.375" style="4" customWidth="1" collapsed="1"/>
    <col min="5" max="5" width="8.5" style="12" bestFit="1" customWidth="1"/>
    <col min="6" max="6" width="8" style="19" hidden="1" customWidth="1" outlineLevel="1"/>
    <col min="7" max="7" width="11.25" style="15" bestFit="1" customWidth="1" collapsed="1"/>
    <col min="8" max="8" width="7.25" style="15" hidden="1" customWidth="1" outlineLevel="1"/>
    <col min="9" max="9" width="6" style="4" hidden="1" customWidth="1" outlineLevel="1"/>
    <col min="10" max="10" width="7.375" style="4" bestFit="1" customWidth="1" collapsed="1"/>
    <col min="11" max="11" width="9.625" style="4" hidden="1" customWidth="1" outlineLevel="1"/>
    <col min="12" max="12" width="6.125" style="4" hidden="1" customWidth="1" outlineLevel="1"/>
    <col min="13" max="13" width="8.25" style="4" hidden="1" customWidth="1" outlineLevel="1"/>
    <col min="14" max="14" width="7.875" style="4" hidden="1" customWidth="1" outlineLevel="1"/>
    <col min="15" max="15" width="14" style="15" bestFit="1" customWidth="1" collapsed="1"/>
    <col min="16" max="16" width="8.625" style="34" bestFit="1" customWidth="1"/>
    <col min="17" max="17" width="8.125" style="4" bestFit="1" customWidth="1"/>
    <col min="18" max="18" width="7.5" style="4" customWidth="1"/>
    <col min="19" max="19" width="6.125" style="4" hidden="1" customWidth="1" outlineLevel="1"/>
    <col min="20" max="20" width="10.25" style="4" bestFit="1" customWidth="1" collapsed="1"/>
    <col min="21" max="21" width="8.875" style="4" bestFit="1" customWidth="1"/>
    <col min="22" max="22" width="6.125" style="4" hidden="1" customWidth="1" outlineLevel="1"/>
    <col min="23" max="23" width="10.25" style="4" customWidth="1" collapsed="1"/>
    <col min="24" max="24" width="6.875" style="4" hidden="1" customWidth="1" outlineLevel="1"/>
    <col min="25" max="25" width="7.125" style="4" hidden="1" customWidth="1" outlineLevel="1" collapsed="1"/>
    <col min="26" max="26" width="6.25" style="4" hidden="1" customWidth="1" outlineLevel="1"/>
    <col min="27" max="27" width="10.5" style="4" bestFit="1" customWidth="1" collapsed="1"/>
    <col min="28" max="28" width="10.125" style="4" bestFit="1" customWidth="1"/>
    <col min="29" max="29" width="10.25" style="4" hidden="1" customWidth="1" outlineLevel="1"/>
    <col min="30" max="30" width="10.5" style="4" hidden="1" customWidth="1" outlineLevel="1"/>
    <col min="31" max="31" width="10.875" style="15" customWidth="1" collapsed="1"/>
    <col min="32" max="32" width="10" style="15" customWidth="1" collapsed="1"/>
    <col min="33" max="33" width="10.125" style="4" hidden="1" customWidth="1" outlineLevel="1"/>
    <col min="34" max="34" width="10.5" style="4" hidden="1" customWidth="1" outlineLevel="1"/>
    <col min="35" max="35" width="10" style="4" hidden="1" customWidth="1" outlineLevel="1" collapsed="1"/>
    <col min="36" max="36" width="11" style="4" hidden="1" customWidth="1" outlineLevel="1"/>
    <col min="37" max="37" width="10.875" style="4" hidden="1" customWidth="1" outlineLevel="1" collapsed="1"/>
    <col min="38" max="38" width="8.25" style="4" hidden="1" customWidth="1" outlineLevel="1"/>
    <col min="39" max="39" width="9.625" style="4" bestFit="1" customWidth="1" collapsed="1"/>
    <col min="40" max="40" width="9.625" style="4" hidden="1" customWidth="1" outlineLevel="1"/>
    <col min="41" max="41" width="8.625" style="4" hidden="1" customWidth="1" outlineLevel="1" collapsed="1"/>
    <col min="42" max="42" width="8.625" style="4" hidden="1" customWidth="1" outlineLevel="1"/>
    <col min="43" max="43" width="9.75" style="4" customWidth="1" collapsed="1"/>
    <col min="44" max="44" width="9.125" style="4" hidden="1" customWidth="1" outlineLevel="1"/>
    <col min="45" max="45" width="5.875" style="4" hidden="1" customWidth="1" outlineLevel="1" collapsed="1"/>
    <col min="46" max="46" width="8.625" style="4" hidden="1" customWidth="1" outlineLevel="1"/>
    <col min="47" max="47" width="8.5" style="4" hidden="1" customWidth="1" outlineLevel="1"/>
    <col min="48" max="48" width="6.5" style="4" hidden="1" customWidth="1" outlineLevel="1"/>
    <col min="49" max="49" width="7.375" style="4" hidden="1" customWidth="1" outlineLevel="1"/>
    <col min="50" max="50" width="10" style="4" hidden="1" customWidth="1" outlineLevel="1"/>
    <col min="51" max="51" width="10.25" style="4" hidden="1" customWidth="1" outlineLevel="1"/>
    <col min="52" max="53" width="9" style="4" hidden="1" customWidth="1" outlineLevel="1"/>
    <col min="54" max="54" width="7.875" style="4" hidden="1" customWidth="1" outlineLevel="1"/>
    <col min="55" max="55" width="10" style="4" hidden="1" customWidth="1" outlineLevel="1"/>
    <col min="56" max="56" width="8.625" style="4" hidden="1" customWidth="1" outlineLevel="1"/>
    <col min="57" max="57" width="12.375" style="4" hidden="1" customWidth="1" outlineLevel="1" collapsed="1"/>
    <col min="58" max="58" width="12.375" style="4" hidden="1" customWidth="1" outlineLevel="1"/>
    <col min="59" max="59" width="11.625" style="4" hidden="1" customWidth="1" outlineLevel="1" collapsed="1"/>
    <col min="60" max="61" width="8.625" style="4" hidden="1" customWidth="1" outlineLevel="1"/>
    <col min="62" max="62" width="9.125" style="15" bestFit="1" customWidth="1" collapsed="1"/>
    <col min="63" max="63" width="7.125" style="15" hidden="1" customWidth="1" outlineLevel="1"/>
    <col min="64" max="64" width="11.5" style="15" hidden="1" customWidth="1" outlineLevel="1" collapsed="1"/>
    <col min="65" max="65" width="8.375" style="4" hidden="1" customWidth="1" outlineLevel="1"/>
    <col min="66" max="66" width="10.875" style="4" hidden="1" customWidth="1" outlineLevel="1" collapsed="1"/>
    <col min="67" max="67" width="12.375" style="4" hidden="1" customWidth="1" outlineLevel="1"/>
    <col min="68" max="68" width="9" style="4" hidden="1" customWidth="1" outlineLevel="1" collapsed="1"/>
    <col min="69" max="69" width="8.25" style="4" hidden="1" customWidth="1" outlineLevel="1"/>
    <col min="70" max="70" width="8.375" style="4" hidden="1" customWidth="1" outlineLevel="1" collapsed="1"/>
    <col min="71" max="71" width="14" style="15" hidden="1" customWidth="1" outlineLevel="1" collapsed="1"/>
    <col min="72" max="72" width="9" style="4" collapsed="1"/>
    <col min="73" max="16384" width="9" style="4"/>
  </cols>
  <sheetData>
    <row r="1" spans="1:72" ht="57" customHeight="1" thickBot="1" x14ac:dyDescent="0.35">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31"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149</v>
      </c>
      <c r="AN1" s="2" t="s">
        <v>150</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151</v>
      </c>
      <c r="BH1" s="2" t="s">
        <v>56</v>
      </c>
      <c r="BI1" s="2" t="s">
        <v>57</v>
      </c>
      <c r="BJ1" s="2" t="s">
        <v>58</v>
      </c>
      <c r="BK1" s="2" t="s">
        <v>59</v>
      </c>
      <c r="BL1" s="2" t="s">
        <v>60</v>
      </c>
      <c r="BM1" s="2" t="s">
        <v>61</v>
      </c>
      <c r="BN1" s="2" t="s">
        <v>62</v>
      </c>
      <c r="BO1" s="2" t="s">
        <v>63</v>
      </c>
      <c r="BP1" s="2" t="s">
        <v>64</v>
      </c>
      <c r="BQ1" s="2" t="s">
        <v>65</v>
      </c>
      <c r="BR1" s="2" t="s">
        <v>66</v>
      </c>
      <c r="BS1" s="2" t="s">
        <v>67</v>
      </c>
      <c r="BT1" s="65" t="s">
        <v>156</v>
      </c>
    </row>
    <row r="2" spans="1:72" x14ac:dyDescent="0.3">
      <c r="A2" s="77"/>
      <c r="B2" s="75"/>
      <c r="C2" s="75"/>
      <c r="D2" s="76" t="s">
        <v>152</v>
      </c>
      <c r="E2" s="28"/>
      <c r="F2" s="29"/>
      <c r="G2" s="26"/>
      <c r="H2" s="26"/>
      <c r="I2" s="27"/>
      <c r="J2" s="27"/>
      <c r="K2" s="27"/>
      <c r="L2" s="27"/>
      <c r="M2" s="27"/>
      <c r="N2" s="27"/>
      <c r="O2" s="26"/>
      <c r="P2" s="32"/>
      <c r="Q2" s="27"/>
      <c r="R2" s="27"/>
      <c r="S2" s="27"/>
      <c r="T2" s="27"/>
      <c r="U2" s="27"/>
      <c r="V2" s="27"/>
      <c r="W2" s="27"/>
      <c r="X2" s="27"/>
      <c r="Y2" s="27"/>
      <c r="Z2" s="27"/>
      <c r="AA2" s="27"/>
      <c r="AB2" s="27"/>
      <c r="AC2" s="27"/>
      <c r="AD2" s="27"/>
      <c r="AE2" s="26"/>
      <c r="AF2" s="26"/>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6"/>
      <c r="BK2" s="26"/>
      <c r="BL2" s="26"/>
      <c r="BM2" s="27"/>
      <c r="BN2" s="27"/>
      <c r="BO2" s="27"/>
      <c r="BP2" s="27"/>
      <c r="BQ2" s="27"/>
      <c r="BR2" s="27"/>
      <c r="BS2" s="30"/>
    </row>
    <row r="3" spans="1:72" x14ac:dyDescent="0.3">
      <c r="A3" s="6" t="s">
        <v>77</v>
      </c>
      <c r="B3" s="6" t="s">
        <v>78</v>
      </c>
      <c r="C3" s="7"/>
      <c r="D3" s="8" t="s">
        <v>79</v>
      </c>
      <c r="E3" s="1" t="s">
        <v>80</v>
      </c>
      <c r="F3" s="18" t="s">
        <v>81</v>
      </c>
      <c r="G3" s="6">
        <v>400.00000999999997</v>
      </c>
      <c r="H3" s="6" t="s">
        <v>73</v>
      </c>
      <c r="I3" s="7"/>
      <c r="J3" s="7">
        <v>126.93</v>
      </c>
      <c r="K3" s="7" t="b">
        <v>0</v>
      </c>
      <c r="L3" s="7"/>
      <c r="M3" s="7">
        <v>0</v>
      </c>
      <c r="N3" s="7">
        <v>0</v>
      </c>
      <c r="O3" s="22">
        <v>46269.333333333336</v>
      </c>
      <c r="P3" s="33">
        <v>50772</v>
      </c>
      <c r="Q3" s="7">
        <v>0</v>
      </c>
      <c r="R3" s="7">
        <v>0</v>
      </c>
      <c r="S3" s="7"/>
      <c r="T3" s="10">
        <v>45116.29</v>
      </c>
      <c r="U3" s="7">
        <v>112.79</v>
      </c>
      <c r="V3" s="7"/>
      <c r="W3" s="10">
        <v>45116.29</v>
      </c>
      <c r="X3" s="7"/>
      <c r="Y3" s="7"/>
      <c r="Z3" s="7"/>
      <c r="AA3" s="10">
        <v>5655.71</v>
      </c>
      <c r="AB3" s="10">
        <v>5655.71</v>
      </c>
      <c r="AC3" s="7"/>
      <c r="AD3" s="7"/>
      <c r="AE3" s="37">
        <v>12.54</v>
      </c>
      <c r="AF3" s="37">
        <v>12.54</v>
      </c>
      <c r="AG3" s="7"/>
      <c r="AH3" s="7"/>
      <c r="AI3" s="7"/>
      <c r="AJ3" s="7"/>
      <c r="AK3" s="7"/>
      <c r="AL3" s="7"/>
      <c r="AM3" s="7">
        <v>640.51</v>
      </c>
      <c r="AN3" s="7"/>
      <c r="AO3" s="7">
        <v>0</v>
      </c>
      <c r="AP3" s="7"/>
      <c r="AQ3" s="7">
        <v>624.4</v>
      </c>
      <c r="AR3" s="7"/>
      <c r="AS3" s="7">
        <v>0</v>
      </c>
      <c r="AT3" s="7"/>
      <c r="AU3" s="7">
        <v>0</v>
      </c>
      <c r="AV3" s="7"/>
      <c r="AW3" s="7"/>
      <c r="AX3" s="7"/>
      <c r="AY3" s="7"/>
      <c r="AZ3" s="7"/>
      <c r="BA3" s="7"/>
      <c r="BB3" s="7">
        <v>1</v>
      </c>
      <c r="BC3" s="7">
        <v>0</v>
      </c>
      <c r="BD3" s="7">
        <v>0</v>
      </c>
      <c r="BE3" s="7">
        <v>400.00000999999997</v>
      </c>
      <c r="BF3" s="7">
        <v>0</v>
      </c>
      <c r="BG3" s="9">
        <v>50772</v>
      </c>
      <c r="BH3" s="7">
        <v>0</v>
      </c>
      <c r="BI3" s="7"/>
      <c r="BJ3" s="69">
        <v>46272</v>
      </c>
      <c r="BK3" s="6" t="s">
        <v>74</v>
      </c>
      <c r="BL3" s="6" t="s">
        <v>75</v>
      </c>
      <c r="BM3" s="7"/>
      <c r="BN3" s="7"/>
      <c r="BO3" s="7"/>
      <c r="BP3" s="7">
        <v>0</v>
      </c>
      <c r="BQ3" s="7"/>
      <c r="BR3" s="7"/>
      <c r="BS3" s="6" t="s">
        <v>82</v>
      </c>
      <c r="BT3" s="66">
        <f>P3/P$26</f>
        <v>0.16835456163037987</v>
      </c>
    </row>
    <row r="4" spans="1:72" ht="13.8" customHeight="1" x14ac:dyDescent="0.3">
      <c r="A4" s="6" t="s">
        <v>77</v>
      </c>
      <c r="B4" s="6" t="s">
        <v>95</v>
      </c>
      <c r="C4" s="7"/>
      <c r="D4" s="8" t="s">
        <v>96</v>
      </c>
      <c r="E4" s="1" t="s">
        <v>97</v>
      </c>
      <c r="F4" s="18" t="s">
        <v>98</v>
      </c>
      <c r="G4" s="6">
        <v>50</v>
      </c>
      <c r="H4" s="6" t="s">
        <v>73</v>
      </c>
      <c r="I4" s="7"/>
      <c r="J4" s="7">
        <v>546.12</v>
      </c>
      <c r="K4" s="7" t="b">
        <v>0</v>
      </c>
      <c r="L4" s="7"/>
      <c r="M4" s="7">
        <v>0</v>
      </c>
      <c r="N4" s="7">
        <v>0</v>
      </c>
      <c r="O4" s="22">
        <v>46269.333333333336</v>
      </c>
      <c r="P4" s="33">
        <v>27306</v>
      </c>
      <c r="Q4" s="7">
        <v>0</v>
      </c>
      <c r="R4" s="7">
        <v>0</v>
      </c>
      <c r="S4" s="7"/>
      <c r="T4" s="10">
        <v>23567.55</v>
      </c>
      <c r="U4" s="7">
        <v>471.35</v>
      </c>
      <c r="V4" s="7"/>
      <c r="W4" s="10">
        <v>23567.55</v>
      </c>
      <c r="X4" s="7"/>
      <c r="Y4" s="7"/>
      <c r="Z4" s="7"/>
      <c r="AA4" s="10">
        <v>3738.45</v>
      </c>
      <c r="AB4" s="10">
        <v>3738.45</v>
      </c>
      <c r="AC4" s="7"/>
      <c r="AD4" s="7"/>
      <c r="AE4" s="37">
        <v>15.86</v>
      </c>
      <c r="AF4" s="37">
        <v>15.86</v>
      </c>
      <c r="AG4" s="7"/>
      <c r="AH4" s="7"/>
      <c r="AI4" s="7"/>
      <c r="AJ4" s="7"/>
      <c r="AK4" s="7"/>
      <c r="AL4" s="7"/>
      <c r="AM4" s="7"/>
      <c r="AN4" s="7"/>
      <c r="AO4" s="7">
        <v>0</v>
      </c>
      <c r="AP4" s="7"/>
      <c r="AQ4" s="7"/>
      <c r="AR4" s="7"/>
      <c r="AS4" s="7">
        <v>0</v>
      </c>
      <c r="AT4" s="7"/>
      <c r="AU4" s="7">
        <v>0</v>
      </c>
      <c r="AV4" s="7"/>
      <c r="AW4" s="7"/>
      <c r="AX4" s="7"/>
      <c r="AY4" s="7"/>
      <c r="AZ4" s="7"/>
      <c r="BA4" s="7"/>
      <c r="BB4" s="7">
        <v>1</v>
      </c>
      <c r="BC4" s="7">
        <v>0</v>
      </c>
      <c r="BD4" s="7">
        <v>0</v>
      </c>
      <c r="BE4" s="7">
        <v>50</v>
      </c>
      <c r="BF4" s="7">
        <v>0</v>
      </c>
      <c r="BG4" s="9">
        <v>27306</v>
      </c>
      <c r="BH4" s="7">
        <v>0</v>
      </c>
      <c r="BI4" s="7"/>
      <c r="BJ4" s="69">
        <v>46272</v>
      </c>
      <c r="BK4" s="6" t="s">
        <v>74</v>
      </c>
      <c r="BL4" s="6" t="s">
        <v>75</v>
      </c>
      <c r="BM4" s="7"/>
      <c r="BN4" s="7"/>
      <c r="BO4" s="7"/>
      <c r="BP4" s="7">
        <v>0</v>
      </c>
      <c r="BQ4" s="7"/>
      <c r="BR4" s="7"/>
      <c r="BS4" s="6" t="s">
        <v>99</v>
      </c>
      <c r="BT4" s="66">
        <f t="shared" ref="BT4:BT12" si="0">P4/P$26</f>
        <v>9.0543796972330282E-2</v>
      </c>
    </row>
    <row r="5" spans="1:72" ht="13.8" customHeight="1" x14ac:dyDescent="0.3">
      <c r="A5" s="6" t="s">
        <v>77</v>
      </c>
      <c r="B5" s="6" t="s">
        <v>95</v>
      </c>
      <c r="C5" s="7"/>
      <c r="D5" s="8" t="s">
        <v>100</v>
      </c>
      <c r="E5" s="1" t="s">
        <v>101</v>
      </c>
      <c r="F5" s="18" t="s">
        <v>102</v>
      </c>
      <c r="G5" s="6">
        <v>125.44837</v>
      </c>
      <c r="H5" s="6" t="s">
        <v>73</v>
      </c>
      <c r="I5" s="7"/>
      <c r="J5" s="7">
        <v>137.34</v>
      </c>
      <c r="K5" s="7" t="b">
        <v>0</v>
      </c>
      <c r="L5" s="7"/>
      <c r="M5" s="7">
        <v>0</v>
      </c>
      <c r="N5" s="7">
        <v>0</v>
      </c>
      <c r="O5" s="22">
        <v>46269.333333333336</v>
      </c>
      <c r="P5" s="33">
        <v>17229.07</v>
      </c>
      <c r="Q5" s="7">
        <v>0</v>
      </c>
      <c r="R5" s="7">
        <v>0</v>
      </c>
      <c r="S5" s="7"/>
      <c r="T5" s="10">
        <v>16585.43</v>
      </c>
      <c r="U5" s="7">
        <v>132.21</v>
      </c>
      <c r="V5" s="7"/>
      <c r="W5" s="10">
        <v>16585.43</v>
      </c>
      <c r="X5" s="7"/>
      <c r="Y5" s="7"/>
      <c r="Z5" s="7"/>
      <c r="AA5" s="7">
        <v>643.64</v>
      </c>
      <c r="AB5" s="7">
        <v>643.64</v>
      </c>
      <c r="AC5" s="7"/>
      <c r="AD5" s="7"/>
      <c r="AE5" s="37">
        <v>3.88</v>
      </c>
      <c r="AF5" s="37">
        <v>3.88</v>
      </c>
      <c r="AG5" s="7"/>
      <c r="AH5" s="7"/>
      <c r="AI5" s="7"/>
      <c r="AJ5" s="7"/>
      <c r="AK5" s="7"/>
      <c r="AL5" s="7"/>
      <c r="AM5" s="7">
        <v>190.55</v>
      </c>
      <c r="AN5" s="7"/>
      <c r="AO5" s="7">
        <v>0</v>
      </c>
      <c r="AP5" s="7"/>
      <c r="AQ5" s="7">
        <v>536.91999999999996</v>
      </c>
      <c r="AR5" s="7"/>
      <c r="AS5" s="7">
        <v>0</v>
      </c>
      <c r="AT5" s="7"/>
      <c r="AU5" s="7">
        <v>0</v>
      </c>
      <c r="AV5" s="7"/>
      <c r="AW5" s="7"/>
      <c r="AX5" s="7"/>
      <c r="AY5" s="7"/>
      <c r="AZ5" s="7"/>
      <c r="BA5" s="7"/>
      <c r="BB5" s="7">
        <v>1</v>
      </c>
      <c r="BC5" s="7">
        <v>0</v>
      </c>
      <c r="BD5" s="7">
        <v>0</v>
      </c>
      <c r="BE5" s="7">
        <v>125.44837</v>
      </c>
      <c r="BF5" s="7">
        <v>0</v>
      </c>
      <c r="BG5" s="10">
        <v>17229.07</v>
      </c>
      <c r="BH5" s="7">
        <v>0</v>
      </c>
      <c r="BI5" s="7"/>
      <c r="BJ5" s="69">
        <v>46272</v>
      </c>
      <c r="BK5" s="6" t="s">
        <v>74</v>
      </c>
      <c r="BL5" s="6" t="s">
        <v>75</v>
      </c>
      <c r="BM5" s="7"/>
      <c r="BN5" s="7"/>
      <c r="BO5" s="7"/>
      <c r="BP5" s="7">
        <v>0</v>
      </c>
      <c r="BQ5" s="7"/>
      <c r="BR5" s="7"/>
      <c r="BS5" s="6" t="s">
        <v>103</v>
      </c>
      <c r="BT5" s="66">
        <f t="shared" si="0"/>
        <v>5.7129766941407249E-2</v>
      </c>
    </row>
    <row r="6" spans="1:72" ht="13.8" customHeight="1" x14ac:dyDescent="0.3">
      <c r="A6" s="6" t="s">
        <v>77</v>
      </c>
      <c r="B6" s="6" t="s">
        <v>95</v>
      </c>
      <c r="C6" s="7"/>
      <c r="D6" s="8" t="s">
        <v>104</v>
      </c>
      <c r="E6" s="1" t="s">
        <v>105</v>
      </c>
      <c r="F6" s="18" t="s">
        <v>106</v>
      </c>
      <c r="G6" s="6">
        <v>59.021880000000003</v>
      </c>
      <c r="H6" s="6" t="s">
        <v>73</v>
      </c>
      <c r="I6" s="7"/>
      <c r="J6" s="7">
        <v>230.36</v>
      </c>
      <c r="K6" s="7" t="b">
        <v>0</v>
      </c>
      <c r="L6" s="7"/>
      <c r="M6" s="7">
        <v>0</v>
      </c>
      <c r="N6" s="7">
        <v>0</v>
      </c>
      <c r="O6" s="22">
        <v>46269.333333333336</v>
      </c>
      <c r="P6" s="33">
        <v>13596.28</v>
      </c>
      <c r="Q6" s="7">
        <v>0</v>
      </c>
      <c r="R6" s="7">
        <v>0</v>
      </c>
      <c r="S6" s="7"/>
      <c r="T6" s="10">
        <v>11377.73</v>
      </c>
      <c r="U6" s="7">
        <v>192.77</v>
      </c>
      <c r="V6" s="7"/>
      <c r="W6" s="10">
        <v>11377.73</v>
      </c>
      <c r="X6" s="7"/>
      <c r="Y6" s="7"/>
      <c r="Z6" s="7"/>
      <c r="AA6" s="10">
        <v>2218.5500000000002</v>
      </c>
      <c r="AB6" s="10">
        <v>2218.5500000000002</v>
      </c>
      <c r="AC6" s="7"/>
      <c r="AD6" s="7"/>
      <c r="AE6" s="37">
        <v>19.5</v>
      </c>
      <c r="AF6" s="37">
        <v>19.5</v>
      </c>
      <c r="AG6" s="7"/>
      <c r="AH6" s="7"/>
      <c r="AI6" s="7"/>
      <c r="AJ6" s="7"/>
      <c r="AK6" s="7"/>
      <c r="AL6" s="7"/>
      <c r="AM6" s="7">
        <v>4.2</v>
      </c>
      <c r="AN6" s="7"/>
      <c r="AO6" s="7">
        <v>0</v>
      </c>
      <c r="AP6" s="7"/>
      <c r="AQ6" s="7">
        <v>59.02</v>
      </c>
      <c r="AR6" s="7"/>
      <c r="AS6" s="7">
        <v>0</v>
      </c>
      <c r="AT6" s="7"/>
      <c r="AU6" s="7">
        <v>0</v>
      </c>
      <c r="AV6" s="7"/>
      <c r="AW6" s="7"/>
      <c r="AX6" s="7"/>
      <c r="AY6" s="7"/>
      <c r="AZ6" s="7"/>
      <c r="BA6" s="7"/>
      <c r="BB6" s="7">
        <v>1</v>
      </c>
      <c r="BC6" s="7">
        <v>0</v>
      </c>
      <c r="BD6" s="7">
        <v>0</v>
      </c>
      <c r="BE6" s="7">
        <v>59.021880000000003</v>
      </c>
      <c r="BF6" s="7">
        <v>0</v>
      </c>
      <c r="BG6" s="10">
        <v>13596.28</v>
      </c>
      <c r="BH6" s="7">
        <v>0</v>
      </c>
      <c r="BI6" s="7"/>
      <c r="BJ6" s="69">
        <v>46272</v>
      </c>
      <c r="BK6" s="6" t="s">
        <v>74</v>
      </c>
      <c r="BL6" s="6" t="s">
        <v>75</v>
      </c>
      <c r="BM6" s="7"/>
      <c r="BN6" s="7"/>
      <c r="BO6" s="7"/>
      <c r="BP6" s="7">
        <v>0</v>
      </c>
      <c r="BQ6" s="7"/>
      <c r="BR6" s="7"/>
      <c r="BS6" s="6" t="s">
        <v>107</v>
      </c>
      <c r="BT6" s="66">
        <f t="shared" si="0"/>
        <v>4.5083820988022952E-2</v>
      </c>
    </row>
    <row r="7" spans="1:72" ht="13.8" customHeight="1" x14ac:dyDescent="0.3">
      <c r="A7" s="6" t="s">
        <v>77</v>
      </c>
      <c r="B7" s="6" t="s">
        <v>95</v>
      </c>
      <c r="C7" s="7"/>
      <c r="D7" s="8" t="s">
        <v>108</v>
      </c>
      <c r="E7" s="1" t="s">
        <v>109</v>
      </c>
      <c r="F7" s="18" t="s">
        <v>110</v>
      </c>
      <c r="G7" s="6">
        <v>35.075870000000002</v>
      </c>
      <c r="H7" s="6" t="s">
        <v>73</v>
      </c>
      <c r="I7" s="7"/>
      <c r="J7" s="7">
        <v>357.89499999999998</v>
      </c>
      <c r="K7" s="7" t="b">
        <v>0</v>
      </c>
      <c r="L7" s="7"/>
      <c r="M7" s="7">
        <v>0</v>
      </c>
      <c r="N7" s="7">
        <v>0</v>
      </c>
      <c r="O7" s="22">
        <v>46269.333333333336</v>
      </c>
      <c r="P7" s="33">
        <v>12553.47</v>
      </c>
      <c r="Q7" s="7">
        <v>0</v>
      </c>
      <c r="R7" s="7">
        <v>0</v>
      </c>
      <c r="S7" s="7"/>
      <c r="T7" s="10">
        <v>12653.43</v>
      </c>
      <c r="U7" s="7">
        <v>360.74</v>
      </c>
      <c r="V7" s="7"/>
      <c r="W7" s="10">
        <v>12653.43</v>
      </c>
      <c r="X7" s="7"/>
      <c r="Y7" s="7"/>
      <c r="Z7" s="7"/>
      <c r="AA7" s="7">
        <v>-99.96</v>
      </c>
      <c r="AB7" s="7">
        <v>-99.96</v>
      </c>
      <c r="AC7" s="7"/>
      <c r="AD7" s="7"/>
      <c r="AE7" s="37">
        <v>-0.79</v>
      </c>
      <c r="AF7" s="37">
        <v>-0.79</v>
      </c>
      <c r="AG7" s="7"/>
      <c r="AH7" s="7"/>
      <c r="AI7" s="7"/>
      <c r="AJ7" s="7"/>
      <c r="AK7" s="7"/>
      <c r="AL7" s="7"/>
      <c r="AM7" s="7">
        <v>25.47</v>
      </c>
      <c r="AN7" s="7"/>
      <c r="AO7" s="7">
        <v>0</v>
      </c>
      <c r="AP7" s="7"/>
      <c r="AQ7" s="7">
        <v>91.2</v>
      </c>
      <c r="AR7" s="7"/>
      <c r="AS7" s="7">
        <v>0</v>
      </c>
      <c r="AT7" s="7"/>
      <c r="AU7" s="7">
        <v>0</v>
      </c>
      <c r="AV7" s="7"/>
      <c r="AW7" s="7"/>
      <c r="AX7" s="7"/>
      <c r="AY7" s="7"/>
      <c r="AZ7" s="7"/>
      <c r="BA7" s="7"/>
      <c r="BB7" s="7">
        <v>1</v>
      </c>
      <c r="BC7" s="7">
        <v>0</v>
      </c>
      <c r="BD7" s="7">
        <v>0</v>
      </c>
      <c r="BE7" s="7">
        <v>35.075870000000002</v>
      </c>
      <c r="BF7" s="7">
        <v>0</v>
      </c>
      <c r="BG7" s="10">
        <v>12553.47</v>
      </c>
      <c r="BH7" s="7">
        <v>0</v>
      </c>
      <c r="BI7" s="7"/>
      <c r="BJ7" s="69">
        <v>46272</v>
      </c>
      <c r="BK7" s="6" t="s">
        <v>74</v>
      </c>
      <c r="BL7" s="6" t="s">
        <v>75</v>
      </c>
      <c r="BM7" s="7"/>
      <c r="BN7" s="7"/>
      <c r="BO7" s="7"/>
      <c r="BP7" s="7">
        <v>0</v>
      </c>
      <c r="BQ7" s="7"/>
      <c r="BR7" s="7"/>
      <c r="BS7" s="6" t="s">
        <v>111</v>
      </c>
      <c r="BT7" s="66">
        <f t="shared" si="0"/>
        <v>4.1625973741237783E-2</v>
      </c>
    </row>
    <row r="8" spans="1:72" ht="13.8" customHeight="1" x14ac:dyDescent="0.3">
      <c r="A8" s="6" t="s">
        <v>77</v>
      </c>
      <c r="B8" s="6" t="s">
        <v>116</v>
      </c>
      <c r="C8" s="7"/>
      <c r="D8" s="8" t="s">
        <v>117</v>
      </c>
      <c r="E8" s="1" t="s">
        <v>118</v>
      </c>
      <c r="F8" s="18" t="s">
        <v>119</v>
      </c>
      <c r="G8" s="6">
        <v>200</v>
      </c>
      <c r="H8" s="6" t="s">
        <v>73</v>
      </c>
      <c r="I8" s="7"/>
      <c r="J8" s="7">
        <v>55.29</v>
      </c>
      <c r="K8" s="7" t="b">
        <v>0</v>
      </c>
      <c r="L8" s="7"/>
      <c r="M8" s="7">
        <v>0</v>
      </c>
      <c r="N8" s="7">
        <v>0</v>
      </c>
      <c r="O8" s="22">
        <v>46269.333333333336</v>
      </c>
      <c r="P8" s="33">
        <v>11058</v>
      </c>
      <c r="Q8" s="7">
        <v>0</v>
      </c>
      <c r="R8" s="7">
        <v>0</v>
      </c>
      <c r="S8" s="7"/>
      <c r="T8" s="9">
        <v>9257</v>
      </c>
      <c r="U8" s="7">
        <v>46.28</v>
      </c>
      <c r="V8" s="7"/>
      <c r="W8" s="9">
        <v>9257</v>
      </c>
      <c r="X8" s="7"/>
      <c r="Y8" s="7"/>
      <c r="Z8" s="7"/>
      <c r="AA8" s="9">
        <v>1801</v>
      </c>
      <c r="AB8" s="9">
        <v>1801</v>
      </c>
      <c r="AC8" s="7"/>
      <c r="AD8" s="7"/>
      <c r="AE8" s="37">
        <v>19.46</v>
      </c>
      <c r="AF8" s="37">
        <v>19.46</v>
      </c>
      <c r="AG8" s="7"/>
      <c r="AH8" s="7"/>
      <c r="AI8" s="7"/>
      <c r="AJ8" s="7"/>
      <c r="AK8" s="7"/>
      <c r="AL8" s="7"/>
      <c r="AM8" s="7">
        <v>11.67</v>
      </c>
      <c r="AN8" s="7"/>
      <c r="AO8" s="7">
        <v>0</v>
      </c>
      <c r="AP8" s="7"/>
      <c r="AQ8" s="7">
        <v>112.6</v>
      </c>
      <c r="AR8" s="7"/>
      <c r="AS8" s="7">
        <v>0</v>
      </c>
      <c r="AT8" s="7"/>
      <c r="AU8" s="7">
        <v>0</v>
      </c>
      <c r="AV8" s="7"/>
      <c r="AW8" s="7"/>
      <c r="AX8" s="7"/>
      <c r="AY8" s="7"/>
      <c r="AZ8" s="7"/>
      <c r="BA8" s="7"/>
      <c r="BB8" s="7">
        <v>1</v>
      </c>
      <c r="BC8" s="7">
        <v>0</v>
      </c>
      <c r="BD8" s="7">
        <v>0</v>
      </c>
      <c r="BE8" s="7">
        <v>200</v>
      </c>
      <c r="BF8" s="7">
        <v>0</v>
      </c>
      <c r="BG8" s="9">
        <v>11058</v>
      </c>
      <c r="BH8" s="7">
        <v>0</v>
      </c>
      <c r="BI8" s="7"/>
      <c r="BJ8" s="69">
        <v>46272</v>
      </c>
      <c r="BK8" s="6" t="s">
        <v>74</v>
      </c>
      <c r="BL8" s="6" t="s">
        <v>75</v>
      </c>
      <c r="BM8" s="7"/>
      <c r="BN8" s="7"/>
      <c r="BO8" s="7"/>
      <c r="BP8" s="7">
        <v>0</v>
      </c>
      <c r="BQ8" s="7"/>
      <c r="BR8" s="7"/>
      <c r="BS8" s="6" t="s">
        <v>120</v>
      </c>
      <c r="BT8" s="66">
        <f t="shared" si="0"/>
        <v>3.6667153992530149E-2</v>
      </c>
    </row>
    <row r="9" spans="1:72" ht="13.8" customHeight="1" x14ac:dyDescent="0.3">
      <c r="A9" s="6" t="s">
        <v>77</v>
      </c>
      <c r="B9" s="6" t="s">
        <v>95</v>
      </c>
      <c r="C9" s="7"/>
      <c r="D9" s="8" t="s">
        <v>126</v>
      </c>
      <c r="E9" s="1" t="s">
        <v>127</v>
      </c>
      <c r="F9" s="18" t="s">
        <v>128</v>
      </c>
      <c r="G9" s="6">
        <v>50</v>
      </c>
      <c r="H9" s="6" t="s">
        <v>73</v>
      </c>
      <c r="I9" s="7"/>
      <c r="J9" s="7">
        <v>193.78</v>
      </c>
      <c r="K9" s="7" t="b">
        <v>0</v>
      </c>
      <c r="L9" s="7"/>
      <c r="M9" s="7">
        <v>0</v>
      </c>
      <c r="N9" s="7">
        <v>0</v>
      </c>
      <c r="O9" s="22">
        <v>46269.333333333336</v>
      </c>
      <c r="P9" s="33">
        <v>9689</v>
      </c>
      <c r="Q9" s="7">
        <v>0</v>
      </c>
      <c r="R9" s="7">
        <v>0</v>
      </c>
      <c r="S9" s="7"/>
      <c r="T9" s="10">
        <v>7394.5</v>
      </c>
      <c r="U9" s="7">
        <v>147.88999999999999</v>
      </c>
      <c r="V9" s="7"/>
      <c r="W9" s="10">
        <v>7394.5</v>
      </c>
      <c r="X9" s="7"/>
      <c r="Y9" s="7"/>
      <c r="Z9" s="7"/>
      <c r="AA9" s="10">
        <v>2294.5</v>
      </c>
      <c r="AB9" s="10">
        <v>2294.5</v>
      </c>
      <c r="AC9" s="7"/>
      <c r="AD9" s="7"/>
      <c r="AE9" s="37">
        <v>31.03</v>
      </c>
      <c r="AF9" s="37">
        <v>31.03</v>
      </c>
      <c r="AG9" s="7"/>
      <c r="AH9" s="7"/>
      <c r="AI9" s="7"/>
      <c r="AJ9" s="7"/>
      <c r="AK9" s="7"/>
      <c r="AL9" s="7"/>
      <c r="AM9" s="7"/>
      <c r="AN9" s="7"/>
      <c r="AO9" s="7">
        <v>0</v>
      </c>
      <c r="AP9" s="7"/>
      <c r="AQ9" s="7"/>
      <c r="AR9" s="7"/>
      <c r="AS9" s="7">
        <v>0</v>
      </c>
      <c r="AT9" s="7"/>
      <c r="AU9" s="7">
        <v>0</v>
      </c>
      <c r="AV9" s="7"/>
      <c r="AW9" s="7"/>
      <c r="AX9" s="7"/>
      <c r="AY9" s="7"/>
      <c r="AZ9" s="7"/>
      <c r="BA9" s="7"/>
      <c r="BB9" s="7">
        <v>1</v>
      </c>
      <c r="BC9" s="7">
        <v>0</v>
      </c>
      <c r="BD9" s="7">
        <v>0</v>
      </c>
      <c r="BE9" s="7">
        <v>50</v>
      </c>
      <c r="BF9" s="7">
        <v>0</v>
      </c>
      <c r="BG9" s="9">
        <v>9689</v>
      </c>
      <c r="BH9" s="7">
        <v>0</v>
      </c>
      <c r="BI9" s="7"/>
      <c r="BJ9" s="69">
        <v>46272</v>
      </c>
      <c r="BK9" s="6" t="s">
        <v>74</v>
      </c>
      <c r="BL9" s="6" t="s">
        <v>75</v>
      </c>
      <c r="BM9" s="7"/>
      <c r="BN9" s="7"/>
      <c r="BO9" s="7"/>
      <c r="BP9" s="7">
        <v>0</v>
      </c>
      <c r="BQ9" s="7"/>
      <c r="BR9" s="7"/>
      <c r="BS9" s="6" t="s">
        <v>129</v>
      </c>
      <c r="BT9" s="66">
        <f t="shared" si="0"/>
        <v>3.2127695336735811E-2</v>
      </c>
    </row>
    <row r="10" spans="1:72" ht="13.8" customHeight="1" x14ac:dyDescent="0.3">
      <c r="A10" s="6" t="s">
        <v>77</v>
      </c>
      <c r="B10" s="6" t="s">
        <v>95</v>
      </c>
      <c r="C10" s="7"/>
      <c r="D10" s="8" t="s">
        <v>130</v>
      </c>
      <c r="E10" s="1" t="s">
        <v>131</v>
      </c>
      <c r="F10" s="18" t="s">
        <v>132</v>
      </c>
      <c r="G10" s="6">
        <v>45</v>
      </c>
      <c r="H10" s="6" t="s">
        <v>73</v>
      </c>
      <c r="I10" s="7"/>
      <c r="J10" s="7">
        <v>213.1</v>
      </c>
      <c r="K10" s="7" t="b">
        <v>0</v>
      </c>
      <c r="L10" s="7"/>
      <c r="M10" s="7">
        <v>0</v>
      </c>
      <c r="N10" s="7">
        <v>0</v>
      </c>
      <c r="O10" s="22">
        <v>46269.333333333336</v>
      </c>
      <c r="P10" s="33">
        <v>9589.5</v>
      </c>
      <c r="Q10" s="7">
        <v>0</v>
      </c>
      <c r="R10" s="7">
        <v>0</v>
      </c>
      <c r="S10" s="7"/>
      <c r="T10" s="10">
        <v>7099.31</v>
      </c>
      <c r="U10" s="7">
        <v>157.76</v>
      </c>
      <c r="V10" s="7"/>
      <c r="W10" s="10">
        <v>7099.31</v>
      </c>
      <c r="X10" s="7"/>
      <c r="Y10" s="7"/>
      <c r="Z10" s="7"/>
      <c r="AA10" s="10">
        <v>2490.19</v>
      </c>
      <c r="AB10" s="10">
        <v>2490.19</v>
      </c>
      <c r="AC10" s="7"/>
      <c r="AD10" s="7"/>
      <c r="AE10" s="37">
        <v>35.08</v>
      </c>
      <c r="AF10" s="37">
        <v>35.08</v>
      </c>
      <c r="AG10" s="7"/>
      <c r="AH10" s="7"/>
      <c r="AI10" s="7"/>
      <c r="AJ10" s="7"/>
      <c r="AK10" s="7"/>
      <c r="AL10" s="7"/>
      <c r="AM10" s="7"/>
      <c r="AN10" s="7"/>
      <c r="AO10" s="7">
        <v>0</v>
      </c>
      <c r="AP10" s="7"/>
      <c r="AQ10" s="7"/>
      <c r="AR10" s="7"/>
      <c r="AS10" s="7">
        <v>0</v>
      </c>
      <c r="AT10" s="7"/>
      <c r="AU10" s="7">
        <v>0</v>
      </c>
      <c r="AV10" s="7"/>
      <c r="AW10" s="7"/>
      <c r="AX10" s="7"/>
      <c r="AY10" s="7"/>
      <c r="AZ10" s="7"/>
      <c r="BA10" s="7"/>
      <c r="BB10" s="7">
        <v>1</v>
      </c>
      <c r="BC10" s="7">
        <v>0</v>
      </c>
      <c r="BD10" s="7">
        <v>0</v>
      </c>
      <c r="BE10" s="7">
        <v>45</v>
      </c>
      <c r="BF10" s="7">
        <v>0</v>
      </c>
      <c r="BG10" s="10">
        <v>9589.5</v>
      </c>
      <c r="BH10" s="7">
        <v>0</v>
      </c>
      <c r="BI10" s="7"/>
      <c r="BJ10" s="69">
        <v>46272</v>
      </c>
      <c r="BK10" s="6" t="s">
        <v>74</v>
      </c>
      <c r="BL10" s="6" t="s">
        <v>75</v>
      </c>
      <c r="BM10" s="7"/>
      <c r="BN10" s="7"/>
      <c r="BO10" s="7"/>
      <c r="BP10" s="7">
        <v>0</v>
      </c>
      <c r="BQ10" s="7"/>
      <c r="BR10" s="7"/>
      <c r="BS10" s="6" t="s">
        <v>133</v>
      </c>
      <c r="BT10" s="66">
        <f t="shared" si="0"/>
        <v>3.1797763900467339E-2</v>
      </c>
    </row>
    <row r="11" spans="1:72" ht="13.8" customHeight="1" x14ac:dyDescent="0.3">
      <c r="A11" s="38" t="s">
        <v>77</v>
      </c>
      <c r="B11" s="38" t="s">
        <v>95</v>
      </c>
      <c r="C11" s="39"/>
      <c r="D11" s="40" t="s">
        <v>134</v>
      </c>
      <c r="E11" s="41" t="s">
        <v>135</v>
      </c>
      <c r="F11" s="42" t="s">
        <v>136</v>
      </c>
      <c r="G11" s="38">
        <v>20</v>
      </c>
      <c r="H11" s="38" t="s">
        <v>73</v>
      </c>
      <c r="I11" s="39"/>
      <c r="J11" s="39">
        <v>174.33</v>
      </c>
      <c r="K11" s="39" t="b">
        <v>0</v>
      </c>
      <c r="L11" s="39"/>
      <c r="M11" s="39">
        <v>0</v>
      </c>
      <c r="N11" s="39">
        <v>0</v>
      </c>
      <c r="O11" s="43">
        <v>46269.333333333336</v>
      </c>
      <c r="P11" s="44">
        <v>3486.6</v>
      </c>
      <c r="Q11" s="39">
        <v>0</v>
      </c>
      <c r="R11" s="39">
        <v>0</v>
      </c>
      <c r="S11" s="39"/>
      <c r="T11" s="47">
        <v>3178</v>
      </c>
      <c r="U11" s="39">
        <v>158.9</v>
      </c>
      <c r="V11" s="39"/>
      <c r="W11" s="47">
        <v>3178</v>
      </c>
      <c r="X11" s="39"/>
      <c r="Y11" s="39"/>
      <c r="Z11" s="39"/>
      <c r="AA11" s="47">
        <v>308.60000000000002</v>
      </c>
      <c r="AB11" s="47">
        <v>308.60000000000002</v>
      </c>
      <c r="AC11" s="39"/>
      <c r="AD11" s="39"/>
      <c r="AE11" s="46">
        <v>9.7100000000000009</v>
      </c>
      <c r="AF11" s="46">
        <v>9.7100000000000009</v>
      </c>
      <c r="AG11" s="39"/>
      <c r="AH11" s="39"/>
      <c r="AI11" s="39"/>
      <c r="AJ11" s="39"/>
      <c r="AK11" s="39"/>
      <c r="AL11" s="39"/>
      <c r="AM11" s="39"/>
      <c r="AN11" s="39"/>
      <c r="AO11" s="39">
        <v>0</v>
      </c>
      <c r="AP11" s="39"/>
      <c r="AQ11" s="39"/>
      <c r="AR11" s="39"/>
      <c r="AS11" s="39">
        <v>0</v>
      </c>
      <c r="AT11" s="39"/>
      <c r="AU11" s="39">
        <v>0</v>
      </c>
      <c r="AV11" s="39"/>
      <c r="AW11" s="39"/>
      <c r="AX11" s="39"/>
      <c r="AY11" s="39"/>
      <c r="AZ11" s="39"/>
      <c r="BA11" s="39"/>
      <c r="BB11" s="39">
        <v>1</v>
      </c>
      <c r="BC11" s="39">
        <v>0</v>
      </c>
      <c r="BD11" s="39">
        <v>0</v>
      </c>
      <c r="BE11" s="39">
        <v>20</v>
      </c>
      <c r="BF11" s="39">
        <v>0</v>
      </c>
      <c r="BG11" s="47">
        <v>3486.6</v>
      </c>
      <c r="BH11" s="39">
        <v>0</v>
      </c>
      <c r="BI11" s="39"/>
      <c r="BJ11" s="70">
        <v>46272</v>
      </c>
      <c r="BK11" s="38" t="s">
        <v>74</v>
      </c>
      <c r="BL11" s="38" t="s">
        <v>75</v>
      </c>
      <c r="BM11" s="39"/>
      <c r="BN11" s="39"/>
      <c r="BO11" s="39"/>
      <c r="BP11" s="39">
        <v>0</v>
      </c>
      <c r="BQ11" s="39"/>
      <c r="BR11" s="39"/>
      <c r="BS11" s="38" t="s">
        <v>137</v>
      </c>
      <c r="BT11" s="66">
        <f t="shared" si="0"/>
        <v>1.1561195434107037E-2</v>
      </c>
    </row>
    <row r="12" spans="1:72" ht="13.8" customHeight="1" thickBot="1" x14ac:dyDescent="0.35">
      <c r="A12" s="38"/>
      <c r="B12" s="38"/>
      <c r="C12" s="39"/>
      <c r="D12" s="40"/>
      <c r="E12" s="41"/>
      <c r="F12" s="42"/>
      <c r="G12" s="38"/>
      <c r="H12" s="38"/>
      <c r="I12" s="39"/>
      <c r="J12" s="39"/>
      <c r="K12" s="39"/>
      <c r="L12" s="39"/>
      <c r="M12" s="39"/>
      <c r="N12" s="39"/>
      <c r="O12" s="43"/>
      <c r="P12" s="44"/>
      <c r="Q12" s="39"/>
      <c r="R12" s="39"/>
      <c r="S12" s="39"/>
      <c r="T12" s="45"/>
      <c r="U12" s="39"/>
      <c r="V12" s="39"/>
      <c r="W12" s="45"/>
      <c r="X12" s="39"/>
      <c r="Y12" s="39"/>
      <c r="Z12" s="39"/>
      <c r="AA12" s="39"/>
      <c r="AB12" s="39"/>
      <c r="AC12" s="39"/>
      <c r="AD12" s="39"/>
      <c r="AE12" s="46"/>
      <c r="AF12" s="46"/>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47"/>
      <c r="BH12" s="39"/>
      <c r="BI12" s="39"/>
      <c r="BJ12" s="70"/>
      <c r="BK12" s="38"/>
      <c r="BL12" s="38"/>
      <c r="BM12" s="39"/>
      <c r="BN12" s="39"/>
      <c r="BO12" s="39"/>
      <c r="BP12" s="39"/>
      <c r="BQ12" s="39"/>
      <c r="BR12" s="39"/>
      <c r="BS12" s="38"/>
      <c r="BT12" s="67">
        <f t="shared" si="0"/>
        <v>0</v>
      </c>
    </row>
    <row r="13" spans="1:72" x14ac:dyDescent="0.3">
      <c r="A13" s="48"/>
      <c r="B13" s="49"/>
      <c r="C13" s="50"/>
      <c r="D13" s="50"/>
      <c r="E13" s="55" t="s">
        <v>154</v>
      </c>
      <c r="F13" s="51"/>
      <c r="G13" s="49"/>
      <c r="H13" s="49"/>
      <c r="I13" s="50"/>
      <c r="J13" s="50"/>
      <c r="K13" s="50"/>
      <c r="L13" s="50"/>
      <c r="M13" s="50"/>
      <c r="N13" s="50"/>
      <c r="O13" s="49"/>
      <c r="P13" s="52">
        <f>SUM(P3:P12)</f>
        <v>155279.92000000001</v>
      </c>
      <c r="Q13" s="50"/>
      <c r="R13" s="50"/>
      <c r="S13" s="50"/>
      <c r="T13" s="52">
        <f>SUM(T3:T12)</f>
        <v>136229.24</v>
      </c>
      <c r="U13" s="50"/>
      <c r="V13" s="50"/>
      <c r="W13" s="52">
        <f>SUM(W3:W12)</f>
        <v>136229.24</v>
      </c>
      <c r="X13" s="50"/>
      <c r="Y13" s="50"/>
      <c r="Z13" s="50"/>
      <c r="AA13" s="72">
        <f>SUM(AA3:AA12)</f>
        <v>19050.679999999997</v>
      </c>
      <c r="AB13" s="72">
        <f>SUM(AB3:AB12)</f>
        <v>19050.679999999997</v>
      </c>
      <c r="AC13" s="50"/>
      <c r="AD13" s="50"/>
      <c r="AE13" s="53">
        <f>(AB13/W13)*100</f>
        <v>13.984281201304505</v>
      </c>
      <c r="AF13" s="53"/>
      <c r="AG13" s="50"/>
      <c r="AH13" s="50"/>
      <c r="AI13" s="50"/>
      <c r="AJ13" s="50"/>
      <c r="AK13" s="50"/>
      <c r="AL13" s="50"/>
      <c r="AM13" s="72">
        <f>SUM(AM3:AM12)</f>
        <v>872.4</v>
      </c>
      <c r="AN13" s="50"/>
      <c r="AO13" s="50"/>
      <c r="AP13" s="50"/>
      <c r="AQ13" s="72">
        <f>SUM(AQ3:AQ12)</f>
        <v>1424.1399999999999</v>
      </c>
      <c r="AR13" s="50"/>
      <c r="AS13" s="50"/>
      <c r="AT13" s="50"/>
      <c r="AU13" s="50"/>
      <c r="AV13" s="50"/>
      <c r="AW13" s="50"/>
      <c r="AX13" s="50"/>
      <c r="AY13" s="50"/>
      <c r="AZ13" s="50"/>
      <c r="BA13" s="50"/>
      <c r="BB13" s="50"/>
      <c r="BC13" s="50"/>
      <c r="BD13" s="50"/>
      <c r="BE13" s="50"/>
      <c r="BF13" s="50"/>
      <c r="BG13" s="50"/>
      <c r="BH13" s="50"/>
      <c r="BI13" s="50"/>
      <c r="BJ13" s="49"/>
      <c r="BK13" s="49"/>
      <c r="BL13" s="49"/>
      <c r="BM13" s="50"/>
      <c r="BN13" s="50"/>
      <c r="BO13" s="50"/>
      <c r="BP13" s="50"/>
      <c r="BQ13" s="50"/>
      <c r="BR13" s="50"/>
      <c r="BS13" s="54"/>
      <c r="BT13" s="64">
        <f>SUM(BT3:BT12)</f>
        <v>0.51489172893721846</v>
      </c>
    </row>
    <row r="14" spans="1:72" x14ac:dyDescent="0.3">
      <c r="A14" s="11"/>
      <c r="BS14" s="24"/>
    </row>
    <row r="15" spans="1:72" ht="14.4" thickBot="1" x14ac:dyDescent="0.35">
      <c r="A15" s="11"/>
      <c r="BJ15" s="4"/>
      <c r="BK15" s="4"/>
      <c r="BL15" s="4"/>
      <c r="BS15" s="4"/>
      <c r="BT15" s="78"/>
    </row>
    <row r="16" spans="1:72" x14ac:dyDescent="0.3">
      <c r="A16" s="77"/>
      <c r="B16" s="75"/>
      <c r="C16" s="75"/>
      <c r="D16" s="76" t="s">
        <v>153</v>
      </c>
      <c r="E16" s="28"/>
      <c r="F16" s="29"/>
      <c r="G16" s="26"/>
      <c r="H16" s="26"/>
      <c r="I16" s="27"/>
      <c r="J16" s="27"/>
      <c r="K16" s="27"/>
      <c r="L16" s="27"/>
      <c r="M16" s="27"/>
      <c r="N16" s="27"/>
      <c r="O16" s="26"/>
      <c r="P16" s="32"/>
      <c r="Q16" s="27"/>
      <c r="R16" s="27"/>
      <c r="S16" s="27"/>
      <c r="T16" s="27"/>
      <c r="U16" s="27"/>
      <c r="V16" s="27"/>
      <c r="W16" s="27"/>
      <c r="X16" s="27"/>
      <c r="Y16" s="27"/>
      <c r="Z16" s="27"/>
      <c r="AA16" s="27"/>
      <c r="AB16" s="27"/>
      <c r="AC16" s="27"/>
      <c r="AD16" s="27"/>
      <c r="AE16" s="26"/>
      <c r="AF16" s="26"/>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6"/>
      <c r="BK16" s="26"/>
      <c r="BL16" s="26"/>
      <c r="BM16" s="27"/>
      <c r="BN16" s="27"/>
      <c r="BO16" s="27"/>
      <c r="BP16" s="27"/>
      <c r="BQ16" s="27"/>
      <c r="BR16" s="27"/>
      <c r="BS16" s="30"/>
    </row>
    <row r="17" spans="1:72" ht="13.8" customHeight="1" x14ac:dyDescent="0.3">
      <c r="A17" s="6" t="s">
        <v>77</v>
      </c>
      <c r="B17" s="6" t="s">
        <v>95</v>
      </c>
      <c r="C17" s="7"/>
      <c r="D17" s="8" t="s">
        <v>112</v>
      </c>
      <c r="E17" s="1" t="s">
        <v>113</v>
      </c>
      <c r="F17" s="18" t="s">
        <v>114</v>
      </c>
      <c r="G17" s="6">
        <v>76.937449999999998</v>
      </c>
      <c r="H17" s="6" t="s">
        <v>73</v>
      </c>
      <c r="I17" s="7"/>
      <c r="J17" s="7">
        <v>149.72</v>
      </c>
      <c r="K17" s="7" t="b">
        <v>0</v>
      </c>
      <c r="L17" s="7"/>
      <c r="M17" s="7">
        <v>0</v>
      </c>
      <c r="N17" s="7">
        <v>0</v>
      </c>
      <c r="O17" s="22">
        <v>46269.333333333336</v>
      </c>
      <c r="P17" s="33">
        <v>11519.07</v>
      </c>
      <c r="Q17" s="7">
        <v>0</v>
      </c>
      <c r="R17" s="7">
        <v>0</v>
      </c>
      <c r="S17" s="7"/>
      <c r="T17" s="10">
        <v>9318.7900000000009</v>
      </c>
      <c r="U17" s="7">
        <v>121.12</v>
      </c>
      <c r="V17" s="7"/>
      <c r="W17" s="10">
        <v>9318.7900000000009</v>
      </c>
      <c r="X17" s="7"/>
      <c r="Y17" s="7"/>
      <c r="Z17" s="7"/>
      <c r="AA17" s="10">
        <v>2200.2800000000002</v>
      </c>
      <c r="AB17" s="10">
        <v>2200.2800000000002</v>
      </c>
      <c r="AC17" s="7"/>
      <c r="AD17" s="7"/>
      <c r="AE17" s="6">
        <v>23.61</v>
      </c>
      <c r="AF17" s="6">
        <v>23.61</v>
      </c>
      <c r="AG17" s="7"/>
      <c r="AH17" s="7"/>
      <c r="AI17" s="7"/>
      <c r="AJ17" s="7"/>
      <c r="AK17" s="7"/>
      <c r="AL17" s="7"/>
      <c r="AM17" s="7">
        <v>80.290000000000006</v>
      </c>
      <c r="AN17" s="7"/>
      <c r="AO17" s="7">
        <v>0</v>
      </c>
      <c r="AP17" s="7"/>
      <c r="AQ17" s="7">
        <v>80.709999999999994</v>
      </c>
      <c r="AR17" s="7"/>
      <c r="AS17" s="7">
        <v>0</v>
      </c>
      <c r="AT17" s="7"/>
      <c r="AU17" s="7">
        <v>0</v>
      </c>
      <c r="AV17" s="7"/>
      <c r="AW17" s="7"/>
      <c r="AX17" s="7"/>
      <c r="AY17" s="7"/>
      <c r="AZ17" s="7"/>
      <c r="BA17" s="7"/>
      <c r="BB17" s="7">
        <v>1</v>
      </c>
      <c r="BC17" s="7">
        <v>0</v>
      </c>
      <c r="BD17" s="7">
        <v>0</v>
      </c>
      <c r="BE17" s="7">
        <v>76.937449999999998</v>
      </c>
      <c r="BF17" s="7">
        <v>0</v>
      </c>
      <c r="BG17" s="10">
        <v>11519.07</v>
      </c>
      <c r="BH17" s="7">
        <v>0</v>
      </c>
      <c r="BI17" s="7"/>
      <c r="BJ17" s="69">
        <v>46272</v>
      </c>
      <c r="BK17" s="6" t="s">
        <v>74</v>
      </c>
      <c r="BL17" s="6" t="s">
        <v>75</v>
      </c>
      <c r="BM17" s="7"/>
      <c r="BN17" s="7"/>
      <c r="BO17" s="7"/>
      <c r="BP17" s="7">
        <v>0</v>
      </c>
      <c r="BQ17" s="7"/>
      <c r="BR17" s="7"/>
      <c r="BS17" s="6" t="s">
        <v>115</v>
      </c>
      <c r="BT17" s="66">
        <f t="shared" ref="BT17:BT23" si="1">P17/P$26</f>
        <v>3.8196013161578425E-2</v>
      </c>
    </row>
    <row r="18" spans="1:72" s="63" customFormat="1" ht="27.6" x14ac:dyDescent="0.3">
      <c r="A18" s="58" t="s">
        <v>68</v>
      </c>
      <c r="B18" s="58" t="s">
        <v>69</v>
      </c>
      <c r="C18" s="59"/>
      <c r="D18" s="60" t="s">
        <v>70</v>
      </c>
      <c r="E18" s="5" t="s">
        <v>71</v>
      </c>
      <c r="F18" s="17" t="s">
        <v>72</v>
      </c>
      <c r="G18" s="58">
        <v>850.35693000000003</v>
      </c>
      <c r="H18" s="58" t="s">
        <v>73</v>
      </c>
      <c r="I18" s="59"/>
      <c r="J18" s="59">
        <v>59.87</v>
      </c>
      <c r="K18" s="59" t="b">
        <v>0</v>
      </c>
      <c r="L18" s="59"/>
      <c r="M18" s="59">
        <v>0</v>
      </c>
      <c r="N18" s="59">
        <v>0</v>
      </c>
      <c r="O18" s="61">
        <v>46269.333333333336</v>
      </c>
      <c r="P18" s="35">
        <v>50910.86</v>
      </c>
      <c r="Q18" s="59">
        <v>0</v>
      </c>
      <c r="R18" s="59">
        <v>0</v>
      </c>
      <c r="S18" s="59"/>
      <c r="T18" s="62">
        <v>43005.36</v>
      </c>
      <c r="U18" s="59">
        <v>50.57</v>
      </c>
      <c r="V18" s="59"/>
      <c r="W18" s="62">
        <v>43005.36</v>
      </c>
      <c r="X18" s="59"/>
      <c r="Y18" s="59"/>
      <c r="Z18" s="59"/>
      <c r="AA18" s="62">
        <v>7905.5</v>
      </c>
      <c r="AB18" s="62">
        <v>7905.5</v>
      </c>
      <c r="AC18" s="59"/>
      <c r="AD18" s="59"/>
      <c r="AE18" s="58">
        <v>18.38</v>
      </c>
      <c r="AF18" s="58">
        <v>18.38</v>
      </c>
      <c r="AG18" s="59"/>
      <c r="AH18" s="59"/>
      <c r="AI18" s="59"/>
      <c r="AJ18" s="59"/>
      <c r="AK18" s="59"/>
      <c r="AL18" s="59"/>
      <c r="AM18" s="62">
        <v>12944.92</v>
      </c>
      <c r="AN18" s="59"/>
      <c r="AO18" s="59">
        <v>0</v>
      </c>
      <c r="AP18" s="59"/>
      <c r="AQ18" s="62">
        <v>5751.81</v>
      </c>
      <c r="AR18" s="59"/>
      <c r="AS18" s="59">
        <v>0</v>
      </c>
      <c r="AT18" s="59"/>
      <c r="AU18" s="59">
        <v>0</v>
      </c>
      <c r="AV18" s="59"/>
      <c r="AW18" s="59"/>
      <c r="AX18" s="59"/>
      <c r="AY18" s="59"/>
      <c r="AZ18" s="59"/>
      <c r="BA18" s="59"/>
      <c r="BB18" s="59">
        <v>1</v>
      </c>
      <c r="BC18" s="59">
        <v>0</v>
      </c>
      <c r="BD18" s="59">
        <v>0</v>
      </c>
      <c r="BE18" s="59">
        <v>850.35693000000003</v>
      </c>
      <c r="BF18" s="59">
        <v>0</v>
      </c>
      <c r="BG18" s="62">
        <v>50910.86</v>
      </c>
      <c r="BH18" s="59">
        <v>0</v>
      </c>
      <c r="BI18" s="59"/>
      <c r="BJ18" s="71">
        <v>46272</v>
      </c>
      <c r="BK18" s="58" t="s">
        <v>74</v>
      </c>
      <c r="BL18" s="58" t="s">
        <v>75</v>
      </c>
      <c r="BM18" s="59"/>
      <c r="BN18" s="59"/>
      <c r="BO18" s="59"/>
      <c r="BP18" s="59">
        <v>0</v>
      </c>
      <c r="BQ18" s="59"/>
      <c r="BR18" s="59"/>
      <c r="BS18" s="58" t="s">
        <v>76</v>
      </c>
      <c r="BT18" s="66">
        <f t="shared" si="1"/>
        <v>0.16881500664786972</v>
      </c>
    </row>
    <row r="19" spans="1:72" ht="13.8" customHeight="1" x14ac:dyDescent="0.3">
      <c r="A19" s="6" t="s">
        <v>68</v>
      </c>
      <c r="B19" s="6" t="s">
        <v>69</v>
      </c>
      <c r="C19" s="7"/>
      <c r="D19" s="8" t="s">
        <v>89</v>
      </c>
      <c r="E19" s="1" t="s">
        <v>90</v>
      </c>
      <c r="F19" s="18" t="s">
        <v>91</v>
      </c>
      <c r="G19" s="6">
        <v>500</v>
      </c>
      <c r="H19" s="6" t="s">
        <v>73</v>
      </c>
      <c r="I19" s="7"/>
      <c r="J19" s="7">
        <v>69.72</v>
      </c>
      <c r="K19" s="7" t="b">
        <v>0</v>
      </c>
      <c r="L19" s="7"/>
      <c r="M19" s="7">
        <v>0</v>
      </c>
      <c r="N19" s="7">
        <v>0</v>
      </c>
      <c r="O19" s="22">
        <v>46269.333333333336</v>
      </c>
      <c r="P19" s="33">
        <v>34860</v>
      </c>
      <c r="Q19" s="7">
        <v>0</v>
      </c>
      <c r="R19" s="7">
        <v>0</v>
      </c>
      <c r="S19" s="7"/>
      <c r="T19" s="9">
        <v>30666</v>
      </c>
      <c r="U19" s="7">
        <v>61.33</v>
      </c>
      <c r="V19" s="7"/>
      <c r="W19" s="9">
        <v>30666</v>
      </c>
      <c r="X19" s="7"/>
      <c r="Y19" s="7"/>
      <c r="Z19" s="7"/>
      <c r="AA19" s="9">
        <v>4194</v>
      </c>
      <c r="AB19" s="9">
        <v>4194</v>
      </c>
      <c r="AC19" s="7"/>
      <c r="AD19" s="7"/>
      <c r="AE19" s="6">
        <v>13.68</v>
      </c>
      <c r="AF19" s="6">
        <v>13.68</v>
      </c>
      <c r="AG19" s="7"/>
      <c r="AH19" s="7"/>
      <c r="AI19" s="7"/>
      <c r="AJ19" s="7"/>
      <c r="AK19" s="7"/>
      <c r="AL19" s="7"/>
      <c r="AM19" s="7">
        <v>280.67</v>
      </c>
      <c r="AN19" s="7"/>
      <c r="AO19" s="7">
        <v>0</v>
      </c>
      <c r="AP19" s="7"/>
      <c r="AQ19" s="7">
        <v>215</v>
      </c>
      <c r="AR19" s="7"/>
      <c r="AS19" s="7">
        <v>0</v>
      </c>
      <c r="AT19" s="7"/>
      <c r="AU19" s="7">
        <v>0</v>
      </c>
      <c r="AV19" s="7"/>
      <c r="AW19" s="7"/>
      <c r="AX19" s="7"/>
      <c r="AY19" s="7"/>
      <c r="AZ19" s="7"/>
      <c r="BA19" s="7"/>
      <c r="BB19" s="7">
        <v>1</v>
      </c>
      <c r="BC19" s="7">
        <v>0</v>
      </c>
      <c r="BD19" s="7">
        <v>0</v>
      </c>
      <c r="BE19" s="7">
        <v>500</v>
      </c>
      <c r="BF19" s="7">
        <v>0</v>
      </c>
      <c r="BG19" s="9">
        <v>34860</v>
      </c>
      <c r="BH19" s="7">
        <v>0</v>
      </c>
      <c r="BI19" s="7"/>
      <c r="BJ19" s="69">
        <v>46272</v>
      </c>
      <c r="BK19" s="6" t="s">
        <v>74</v>
      </c>
      <c r="BL19" s="6" t="s">
        <v>92</v>
      </c>
      <c r="BM19" s="7"/>
      <c r="BN19" s="7" t="s">
        <v>93</v>
      </c>
      <c r="BO19" s="7"/>
      <c r="BP19" s="7">
        <v>0</v>
      </c>
      <c r="BQ19" s="7"/>
      <c r="BR19" s="7"/>
      <c r="BS19" s="6" t="s">
        <v>94</v>
      </c>
      <c r="BT19" s="66">
        <f t="shared" si="1"/>
        <v>0.1155920589780793</v>
      </c>
    </row>
    <row r="20" spans="1:72" ht="13.8" customHeight="1" x14ac:dyDescent="0.3">
      <c r="A20" s="6" t="s">
        <v>68</v>
      </c>
      <c r="B20" s="6" t="s">
        <v>69</v>
      </c>
      <c r="C20" s="7"/>
      <c r="D20" s="8" t="s">
        <v>121</v>
      </c>
      <c r="E20" s="1" t="s">
        <v>122</v>
      </c>
      <c r="F20" s="18" t="s">
        <v>123</v>
      </c>
      <c r="G20" s="6">
        <v>180</v>
      </c>
      <c r="H20" s="6" t="s">
        <v>73</v>
      </c>
      <c r="I20" s="7"/>
      <c r="J20" s="7">
        <v>57.22</v>
      </c>
      <c r="K20" s="7" t="b">
        <v>0</v>
      </c>
      <c r="L20" s="7"/>
      <c r="M20" s="7">
        <v>0</v>
      </c>
      <c r="N20" s="7">
        <v>0</v>
      </c>
      <c r="O20" s="22">
        <v>46269.333333333336</v>
      </c>
      <c r="P20" s="33">
        <v>10299.6</v>
      </c>
      <c r="Q20" s="7">
        <v>0</v>
      </c>
      <c r="R20" s="7">
        <v>0</v>
      </c>
      <c r="S20" s="7"/>
      <c r="T20" s="10">
        <v>10500.57</v>
      </c>
      <c r="U20" s="7">
        <v>58.34</v>
      </c>
      <c r="V20" s="7"/>
      <c r="W20" s="10">
        <v>10467.9</v>
      </c>
      <c r="X20" s="7"/>
      <c r="Y20" s="7"/>
      <c r="Z20" s="7"/>
      <c r="AA20" s="7">
        <v>-200.97</v>
      </c>
      <c r="AB20" s="7">
        <v>-168.3</v>
      </c>
      <c r="AC20" s="7"/>
      <c r="AD20" s="7"/>
      <c r="AE20" s="6">
        <v>-1.91</v>
      </c>
      <c r="AF20" s="6">
        <v>-1.61</v>
      </c>
      <c r="AG20" s="7"/>
      <c r="AH20" s="7"/>
      <c r="AI20" s="7">
        <v>0</v>
      </c>
      <c r="AJ20" s="7"/>
      <c r="AK20" s="7"/>
      <c r="AL20" s="7"/>
      <c r="AM20" s="10">
        <v>4037.85</v>
      </c>
      <c r="AN20" s="7"/>
      <c r="AO20" s="7">
        <v>0</v>
      </c>
      <c r="AP20" s="7"/>
      <c r="AQ20" s="7">
        <v>824.94</v>
      </c>
      <c r="AR20" s="7"/>
      <c r="AS20" s="7">
        <v>0</v>
      </c>
      <c r="AT20" s="7"/>
      <c r="AU20" s="7">
        <v>0</v>
      </c>
      <c r="AV20" s="7"/>
      <c r="AW20" s="7"/>
      <c r="AX20" s="7"/>
      <c r="AY20" s="7"/>
      <c r="AZ20" s="7"/>
      <c r="BA20" s="7"/>
      <c r="BB20" s="7">
        <v>1</v>
      </c>
      <c r="BC20" s="7">
        <v>0</v>
      </c>
      <c r="BD20" s="7">
        <v>0</v>
      </c>
      <c r="BE20" s="7">
        <v>180</v>
      </c>
      <c r="BF20" s="7">
        <v>0</v>
      </c>
      <c r="BG20" s="10">
        <v>10299.6</v>
      </c>
      <c r="BH20" s="7">
        <v>0</v>
      </c>
      <c r="BI20" s="7"/>
      <c r="BJ20" s="69">
        <v>46272</v>
      </c>
      <c r="BK20" s="6" t="s">
        <v>74</v>
      </c>
      <c r="BL20" s="6" t="s">
        <v>75</v>
      </c>
      <c r="BM20" s="7"/>
      <c r="BN20" s="7" t="s">
        <v>124</v>
      </c>
      <c r="BO20" s="7"/>
      <c r="BP20" s="7">
        <v>0</v>
      </c>
      <c r="BQ20" s="7"/>
      <c r="BR20" s="7"/>
      <c r="BS20" s="6" t="s">
        <v>125</v>
      </c>
      <c r="BT20" s="66">
        <f t="shared" si="1"/>
        <v>3.4152380110459714E-2</v>
      </c>
    </row>
    <row r="21" spans="1:72" ht="13.8" customHeight="1" x14ac:dyDescent="0.3">
      <c r="A21" s="6" t="s">
        <v>83</v>
      </c>
      <c r="B21" s="6" t="s">
        <v>84</v>
      </c>
      <c r="C21" s="7"/>
      <c r="D21" s="8" t="s">
        <v>138</v>
      </c>
      <c r="E21" s="1" t="s">
        <v>139</v>
      </c>
      <c r="F21" s="18"/>
      <c r="G21" s="21">
        <v>1853.89</v>
      </c>
      <c r="H21" s="6" t="s">
        <v>73</v>
      </c>
      <c r="I21" s="7"/>
      <c r="J21" s="74">
        <v>1</v>
      </c>
      <c r="K21" s="7" t="b">
        <v>0</v>
      </c>
      <c r="L21" s="7"/>
      <c r="M21" s="7">
        <v>0</v>
      </c>
      <c r="N21" s="7">
        <v>0</v>
      </c>
      <c r="O21" s="22">
        <v>46269.333333333336</v>
      </c>
      <c r="P21" s="33">
        <v>1853.89</v>
      </c>
      <c r="Q21" s="7">
        <v>0</v>
      </c>
      <c r="R21" s="7">
        <v>0</v>
      </c>
      <c r="S21" s="7"/>
      <c r="T21" s="10">
        <v>1853.89</v>
      </c>
      <c r="U21" s="7">
        <v>1</v>
      </c>
      <c r="V21" s="7"/>
      <c r="W21" s="10">
        <v>1853.89</v>
      </c>
      <c r="X21" s="7"/>
      <c r="Y21" s="7"/>
      <c r="Z21" s="7"/>
      <c r="AA21" s="7">
        <v>0</v>
      </c>
      <c r="AB21" s="7">
        <v>0</v>
      </c>
      <c r="AC21" s="7"/>
      <c r="AD21" s="7"/>
      <c r="AE21" s="6">
        <v>0</v>
      </c>
      <c r="AF21" s="6">
        <v>0</v>
      </c>
      <c r="AG21" s="7"/>
      <c r="AH21" s="7"/>
      <c r="AI21" s="7"/>
      <c r="AJ21" s="7"/>
      <c r="AK21" s="7"/>
      <c r="AL21" s="7"/>
      <c r="AM21" s="7"/>
      <c r="AN21" s="7"/>
      <c r="AO21" s="7">
        <v>0</v>
      </c>
      <c r="AP21" s="7"/>
      <c r="AQ21" s="7"/>
      <c r="AR21" s="7"/>
      <c r="AS21" s="7">
        <v>0</v>
      </c>
      <c r="AT21" s="7"/>
      <c r="AU21" s="7">
        <v>0</v>
      </c>
      <c r="AV21" s="7"/>
      <c r="AW21" s="7"/>
      <c r="AX21" s="7"/>
      <c r="AY21" s="7"/>
      <c r="AZ21" s="7"/>
      <c r="BA21" s="7"/>
      <c r="BB21" s="7">
        <v>1</v>
      </c>
      <c r="BC21" s="7">
        <v>0</v>
      </c>
      <c r="BD21" s="7">
        <v>0</v>
      </c>
      <c r="BE21" s="10">
        <v>1853.89</v>
      </c>
      <c r="BF21" s="7">
        <v>0</v>
      </c>
      <c r="BG21" s="10">
        <v>1853.89</v>
      </c>
      <c r="BH21" s="7">
        <v>0</v>
      </c>
      <c r="BI21" s="7"/>
      <c r="BJ21" s="69">
        <v>46272</v>
      </c>
      <c r="BK21" s="6" t="s">
        <v>74</v>
      </c>
      <c r="BL21" s="6" t="s">
        <v>75</v>
      </c>
      <c r="BM21" s="7"/>
      <c r="BN21" s="7"/>
      <c r="BO21" s="7"/>
      <c r="BP21" s="7">
        <v>0</v>
      </c>
      <c r="BQ21" s="7"/>
      <c r="BR21" s="7"/>
      <c r="BS21" s="6"/>
      <c r="BT21" s="66">
        <f t="shared" si="1"/>
        <v>6.1473024159171387E-3</v>
      </c>
    </row>
    <row r="22" spans="1:72" ht="13.8" customHeight="1" x14ac:dyDescent="0.3">
      <c r="A22" s="6" t="s">
        <v>83</v>
      </c>
      <c r="B22" s="6" t="s">
        <v>84</v>
      </c>
      <c r="C22" s="7"/>
      <c r="D22" s="8" t="s">
        <v>85</v>
      </c>
      <c r="E22" s="1" t="s">
        <v>86</v>
      </c>
      <c r="F22" s="18" t="s">
        <v>87</v>
      </c>
      <c r="G22" s="21">
        <v>36854.47</v>
      </c>
      <c r="H22" s="6" t="s">
        <v>73</v>
      </c>
      <c r="I22" s="7"/>
      <c r="J22" s="74">
        <v>1</v>
      </c>
      <c r="K22" s="7" t="b">
        <v>0</v>
      </c>
      <c r="L22" s="7"/>
      <c r="M22" s="7">
        <v>0</v>
      </c>
      <c r="N22" s="7">
        <v>0</v>
      </c>
      <c r="O22" s="22">
        <v>46269.333333333336</v>
      </c>
      <c r="P22" s="33">
        <v>36854.47</v>
      </c>
      <c r="Q22" s="7">
        <v>0</v>
      </c>
      <c r="R22" s="7">
        <v>0</v>
      </c>
      <c r="S22" s="7"/>
      <c r="T22" s="10">
        <v>36854.47</v>
      </c>
      <c r="U22" s="7">
        <v>1</v>
      </c>
      <c r="V22" s="7"/>
      <c r="W22" s="10">
        <v>36854.47</v>
      </c>
      <c r="X22" s="7"/>
      <c r="Y22" s="7"/>
      <c r="Z22" s="7"/>
      <c r="AA22" s="7">
        <v>0</v>
      </c>
      <c r="AB22" s="7">
        <v>0</v>
      </c>
      <c r="AC22" s="7"/>
      <c r="AD22" s="7"/>
      <c r="AE22" s="6">
        <v>0</v>
      </c>
      <c r="AF22" s="6">
        <v>0</v>
      </c>
      <c r="AG22" s="7"/>
      <c r="AH22" s="7"/>
      <c r="AI22" s="7"/>
      <c r="AJ22" s="7"/>
      <c r="AK22" s="7"/>
      <c r="AL22" s="7"/>
      <c r="AM22" s="10">
        <v>13715.68</v>
      </c>
      <c r="AN22" s="7"/>
      <c r="AO22" s="7">
        <v>0</v>
      </c>
      <c r="AP22" s="7"/>
      <c r="AQ22" s="10">
        <v>1359.56</v>
      </c>
      <c r="AR22" s="7"/>
      <c r="AS22" s="7">
        <v>0</v>
      </c>
      <c r="AT22" s="7"/>
      <c r="AU22" s="7">
        <v>0</v>
      </c>
      <c r="AV22" s="7"/>
      <c r="AW22" s="7"/>
      <c r="AX22" s="7"/>
      <c r="AY22" s="7"/>
      <c r="AZ22" s="7"/>
      <c r="BA22" s="7"/>
      <c r="BB22" s="7">
        <v>1</v>
      </c>
      <c r="BC22" s="7">
        <v>0</v>
      </c>
      <c r="BD22" s="7">
        <v>0</v>
      </c>
      <c r="BE22" s="10">
        <v>36854.47</v>
      </c>
      <c r="BF22" s="7">
        <v>0</v>
      </c>
      <c r="BG22" s="10">
        <v>36854.47</v>
      </c>
      <c r="BH22" s="7">
        <v>0</v>
      </c>
      <c r="BI22" s="7"/>
      <c r="BJ22" s="69">
        <v>46272</v>
      </c>
      <c r="BK22" s="6" t="s">
        <v>74</v>
      </c>
      <c r="BL22" s="6" t="s">
        <v>75</v>
      </c>
      <c r="BM22" s="7"/>
      <c r="BN22" s="7"/>
      <c r="BO22" s="7"/>
      <c r="BP22" s="7">
        <v>0</v>
      </c>
      <c r="BQ22" s="7"/>
      <c r="BR22" s="7">
        <v>3.63</v>
      </c>
      <c r="BS22" s="6" t="s">
        <v>88</v>
      </c>
      <c r="BT22" s="66">
        <f t="shared" si="1"/>
        <v>0.12220550974887706</v>
      </c>
    </row>
    <row r="23" spans="1:72" ht="13.8" customHeight="1" thickBot="1" x14ac:dyDescent="0.35">
      <c r="A23" s="6"/>
      <c r="B23" s="6"/>
      <c r="C23" s="7"/>
      <c r="D23" s="8"/>
      <c r="E23" s="1"/>
      <c r="F23" s="18"/>
      <c r="G23" s="6"/>
      <c r="H23" s="6"/>
      <c r="I23" s="7"/>
      <c r="J23" s="7"/>
      <c r="K23" s="7"/>
      <c r="L23" s="7"/>
      <c r="M23" s="7"/>
      <c r="N23" s="7"/>
      <c r="O23" s="22"/>
      <c r="P23" s="33"/>
      <c r="Q23" s="7"/>
      <c r="R23" s="7"/>
      <c r="S23" s="7"/>
      <c r="T23" s="9"/>
      <c r="U23" s="7"/>
      <c r="V23" s="7"/>
      <c r="W23" s="9"/>
      <c r="X23" s="7"/>
      <c r="Y23" s="7"/>
      <c r="Z23" s="7"/>
      <c r="AA23" s="9"/>
      <c r="AB23" s="9"/>
      <c r="AC23" s="7"/>
      <c r="AD23" s="7"/>
      <c r="AE23" s="6"/>
      <c r="AF23" s="6"/>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9"/>
      <c r="BH23" s="7"/>
      <c r="BI23" s="7"/>
      <c r="BJ23" s="69"/>
      <c r="BK23" s="6"/>
      <c r="BL23" s="6"/>
      <c r="BM23" s="7"/>
      <c r="BN23" s="7"/>
      <c r="BO23" s="7"/>
      <c r="BP23" s="7"/>
      <c r="BQ23" s="7"/>
      <c r="BR23" s="7"/>
      <c r="BS23" s="6"/>
      <c r="BT23" s="67">
        <f t="shared" si="1"/>
        <v>0</v>
      </c>
    </row>
    <row r="24" spans="1:72" x14ac:dyDescent="0.3">
      <c r="A24" s="48"/>
      <c r="B24" s="49"/>
      <c r="C24" s="50"/>
      <c r="D24" s="50"/>
      <c r="E24" s="55" t="s">
        <v>154</v>
      </c>
      <c r="F24" s="51"/>
      <c r="G24" s="49"/>
      <c r="H24" s="49"/>
      <c r="I24" s="50"/>
      <c r="J24" s="50"/>
      <c r="K24" s="50"/>
      <c r="L24" s="50"/>
      <c r="M24" s="50"/>
      <c r="N24" s="50"/>
      <c r="O24" s="49"/>
      <c r="P24" s="52">
        <f>SUM(P17:P23)</f>
        <v>146297.89000000001</v>
      </c>
      <c r="Q24" s="50"/>
      <c r="R24" s="50"/>
      <c r="S24" s="50"/>
      <c r="T24" s="52">
        <f>SUM(T17:T23)</f>
        <v>132199.08000000002</v>
      </c>
      <c r="U24" s="50"/>
      <c r="V24" s="50"/>
      <c r="W24" s="52">
        <f>SUM(W17:W23)</f>
        <v>132166.40999999997</v>
      </c>
      <c r="X24" s="50"/>
      <c r="Y24" s="50"/>
      <c r="Z24" s="50"/>
      <c r="AA24" s="72">
        <f>SUM(AA17:AA23)</f>
        <v>14098.810000000001</v>
      </c>
      <c r="AB24" s="72">
        <f>SUM(AB17:AB23)</f>
        <v>14131.480000000001</v>
      </c>
      <c r="AC24" s="50"/>
      <c r="AD24" s="50"/>
      <c r="AE24" s="53">
        <f>(AB24/W24)*100</f>
        <v>10.692187220641012</v>
      </c>
      <c r="AF24" s="53"/>
      <c r="AG24" s="50"/>
      <c r="AH24" s="50"/>
      <c r="AI24" s="50"/>
      <c r="AJ24" s="50"/>
      <c r="AK24" s="50"/>
      <c r="AL24" s="50"/>
      <c r="AM24" s="72">
        <f>SUM(AM17:AM23)</f>
        <v>31059.41</v>
      </c>
      <c r="AN24" s="73"/>
      <c r="AO24" s="73"/>
      <c r="AP24" s="73"/>
      <c r="AQ24" s="72">
        <f>SUM(AQ17:AQ23)</f>
        <v>8232.02</v>
      </c>
      <c r="AR24" s="50"/>
      <c r="AS24" s="50"/>
      <c r="AT24" s="50"/>
      <c r="AU24" s="50"/>
      <c r="AV24" s="50"/>
      <c r="AW24" s="50"/>
      <c r="AX24" s="50"/>
      <c r="AY24" s="50"/>
      <c r="AZ24" s="50"/>
      <c r="BA24" s="50"/>
      <c r="BB24" s="50"/>
      <c r="BC24" s="50"/>
      <c r="BD24" s="50"/>
      <c r="BE24" s="50"/>
      <c r="BF24" s="50"/>
      <c r="BG24" s="50"/>
      <c r="BH24" s="50"/>
      <c r="BI24" s="50"/>
      <c r="BJ24" s="49"/>
      <c r="BK24" s="49"/>
      <c r="BL24" s="49"/>
      <c r="BM24" s="50"/>
      <c r="BN24" s="50"/>
      <c r="BO24" s="50"/>
      <c r="BP24" s="50"/>
      <c r="BQ24" s="50"/>
      <c r="BR24" s="50"/>
      <c r="BS24" s="54"/>
      <c r="BT24" s="64">
        <f>SUM(BT17:BT23)</f>
        <v>0.48510827106278137</v>
      </c>
    </row>
    <row r="25" spans="1:72" ht="14.4" thickBot="1" x14ac:dyDescent="0.35">
      <c r="A25" s="11"/>
      <c r="BS25" s="24"/>
    </row>
    <row r="26" spans="1:72" ht="14.4" thickBot="1" x14ac:dyDescent="0.35">
      <c r="A26" s="11"/>
      <c r="D26" s="56"/>
      <c r="E26" s="68" t="s">
        <v>155</v>
      </c>
      <c r="P26" s="56">
        <f>SUM(P13,P24)</f>
        <v>301577.81000000006</v>
      </c>
      <c r="T26" s="56">
        <f>SUM(T13,T24)</f>
        <v>268428.32</v>
      </c>
      <c r="W26" s="56">
        <f>SUM(W13,W24)</f>
        <v>268395.64999999997</v>
      </c>
      <c r="AA26" s="56">
        <f>SUM(AA13,AA24)</f>
        <v>33149.49</v>
      </c>
      <c r="AB26" s="56">
        <f>SUM(AB13,AB24)</f>
        <v>33182.159999999996</v>
      </c>
      <c r="AE26" s="57">
        <f>(AB26/W26)*100</f>
        <v>12.363151191161258</v>
      </c>
      <c r="AF26" s="4"/>
      <c r="AM26" s="56">
        <f>SUM(AM13,AM24)</f>
        <v>31931.81</v>
      </c>
      <c r="AQ26" s="56">
        <f>SUM(AQ13,AQ24)</f>
        <v>9656.16</v>
      </c>
      <c r="BS26" s="24"/>
    </row>
    <row r="27" spans="1:72" ht="14.4" thickTop="1" x14ac:dyDescent="0.3">
      <c r="A27" s="11"/>
      <c r="BS27" s="24"/>
    </row>
    <row r="28" spans="1:72" x14ac:dyDescent="0.3">
      <c r="A28" s="11"/>
      <c r="BS28" s="24"/>
    </row>
    <row r="29" spans="1:72" x14ac:dyDescent="0.3">
      <c r="A29" s="11"/>
      <c r="BS29" s="24"/>
    </row>
    <row r="30" spans="1:72" ht="27.6" x14ac:dyDescent="0.3">
      <c r="A30" s="1" t="s">
        <v>140</v>
      </c>
      <c r="BS30" s="24"/>
    </row>
    <row r="31" spans="1:72" x14ac:dyDescent="0.3">
      <c r="A31" s="23" t="s">
        <v>141</v>
      </c>
      <c r="B31" s="23" t="s">
        <v>142</v>
      </c>
      <c r="BS31" s="24"/>
    </row>
    <row r="32" spans="1:72" x14ac:dyDescent="0.3">
      <c r="A32" s="23" t="s">
        <v>124</v>
      </c>
      <c r="B32" s="23" t="s">
        <v>143</v>
      </c>
      <c r="BS32" s="24"/>
    </row>
    <row r="33" spans="1:71" x14ac:dyDescent="0.3">
      <c r="A33" s="23" t="s">
        <v>144</v>
      </c>
      <c r="B33" s="23" t="s">
        <v>145</v>
      </c>
      <c r="BS33" s="24"/>
    </row>
    <row r="34" spans="1:71" x14ac:dyDescent="0.3">
      <c r="A34" s="23" t="s">
        <v>93</v>
      </c>
      <c r="B34" s="23" t="s">
        <v>146</v>
      </c>
      <c r="BS34" s="24"/>
    </row>
    <row r="35" spans="1:71" x14ac:dyDescent="0.3">
      <c r="A35" s="23" t="s">
        <v>147</v>
      </c>
      <c r="B35" s="23" t="s">
        <v>148</v>
      </c>
      <c r="C35" s="13"/>
      <c r="D35" s="13"/>
      <c r="E35" s="14"/>
      <c r="F35" s="20"/>
      <c r="G35" s="16"/>
      <c r="H35" s="16"/>
      <c r="I35" s="13"/>
      <c r="J35" s="13"/>
      <c r="K35" s="13"/>
      <c r="L35" s="13"/>
      <c r="M35" s="13"/>
      <c r="N35" s="13"/>
      <c r="O35" s="16"/>
      <c r="P35" s="36"/>
      <c r="Q35" s="13"/>
      <c r="R35" s="13"/>
      <c r="S35" s="13"/>
      <c r="T35" s="13"/>
      <c r="U35" s="13"/>
      <c r="V35" s="13"/>
      <c r="W35" s="13"/>
      <c r="X35" s="13"/>
      <c r="Y35" s="13"/>
      <c r="Z35" s="13"/>
      <c r="AA35" s="13"/>
      <c r="AB35" s="13"/>
      <c r="AC35" s="13"/>
      <c r="AD35" s="13"/>
      <c r="AE35" s="16"/>
      <c r="AF35" s="16"/>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6"/>
      <c r="BK35" s="16"/>
      <c r="BL35" s="16"/>
      <c r="BM35" s="13"/>
      <c r="BN35" s="13"/>
      <c r="BO35" s="13"/>
      <c r="BP35" s="13"/>
      <c r="BQ35" s="13"/>
      <c r="BR35" s="13"/>
      <c r="BS35" s="25"/>
    </row>
  </sheetData>
  <conditionalFormatting sqref="AA27:AA1048576 AE27:AE1048576 AA1:AA17 AE1:AE17 AE19:AE25 AA19:AA25">
    <cfRule type="cellIs" dxfId="2" priority="4" operator="lessThan">
      <formula>0</formula>
    </cfRule>
  </conditionalFormatting>
  <conditionalFormatting sqref="AF27:AF1048576 AF1:AF17 AF19:AF25">
    <cfRule type="cellIs" dxfId="1" priority="2" operator="lessThan">
      <formula>0</formula>
    </cfRule>
  </conditionalFormatting>
  <conditionalFormatting sqref="AA18 AE18">
    <cfRule type="cellIs" dxfId="0" priority="1" operator="lessThan">
      <formula>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Chase_positions_9-4-2026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Landry</dc:creator>
  <cp:lastModifiedBy>Alan Landry</cp:lastModifiedBy>
  <dcterms:created xsi:type="dcterms:W3CDTF">2026-09-07T18:41:54Z</dcterms:created>
  <dcterms:modified xsi:type="dcterms:W3CDTF">2026-09-07T19:15:59Z</dcterms:modified>
</cp:coreProperties>
</file>