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/GitHub/Stock_Picker/"/>
    </mc:Choice>
  </mc:AlternateContent>
  <xr:revisionPtr revIDLastSave="0" documentId="8_{8D14A057-EE7A-6D4C-BD86-3D94A59CEC8D}" xr6:coauthVersionLast="47" xr6:coauthVersionMax="47" xr10:uidLastSave="{00000000-0000-0000-0000-000000000000}"/>
  <bookViews>
    <workbookView xWindow="1020" yWindow="820" windowWidth="21940" windowHeight="14760" activeTab="1" xr2:uid="{ED656C2F-0CE0-0C4A-9DA1-11E8505D3ADE}"/>
  </bookViews>
  <sheets>
    <sheet name="Tranche2_9-8-26" sheetId="1" r:id="rId1"/>
    <sheet name="Tranche_TEMPLAT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2" l="1"/>
  <c r="C4" i="2"/>
  <c r="K8" i="2"/>
  <c r="K9" i="2"/>
  <c r="K10" i="2"/>
  <c r="K11" i="2"/>
  <c r="K12" i="2"/>
  <c r="K7" i="2"/>
  <c r="I13" i="2"/>
  <c r="F5" i="1"/>
  <c r="F6" i="1"/>
  <c r="K7" i="1"/>
  <c r="K6" i="1"/>
  <c r="K10" i="1" s="1"/>
  <c r="I10" i="1"/>
  <c r="K4" i="1"/>
  <c r="K13" i="2" l="1"/>
  <c r="F13" i="2"/>
  <c r="F4" i="1" l="1"/>
  <c r="F10" i="1" s="1"/>
</calcChain>
</file>

<file path=xl/sharedStrings.xml><?xml version="1.0" encoding="utf-8"?>
<sst xmlns="http://schemas.openxmlformats.org/spreadsheetml/2006/main" count="70" uniqueCount="38">
  <si>
    <t>TRANCHE 2</t>
  </si>
  <si>
    <t>Ticker</t>
  </si>
  <si>
    <t>$</t>
  </si>
  <si>
    <t>Price used</t>
  </si>
  <si>
    <t>Approx. shares</t>
  </si>
  <si>
    <t>VRTX</t>
  </si>
  <si>
    <t>~14.65 sh</t>
  </si>
  <si>
    <t>PLD</t>
  </si>
  <si>
    <t>~58.25 sh</t>
  </si>
  <si>
    <t>V</t>
  </si>
  <si>
    <t>~21.33 sh</t>
  </si>
  <si>
    <t>Total</t>
  </si>
  <si>
    <t>Actual</t>
  </si>
  <si>
    <t>Est Cost</t>
  </si>
  <si>
    <t>9/4 close)</t>
  </si>
  <si>
    <t>live quote)</t>
  </si>
  <si>
    <t>Broker</t>
  </si>
  <si>
    <t>Chase</t>
  </si>
  <si>
    <t>Fidelity</t>
  </si>
  <si>
    <t>SHARES</t>
  </si>
  <si>
    <t>ACTUAL</t>
  </si>
  <si>
    <t>COST</t>
  </si>
  <si>
    <t>SHARE</t>
  </si>
  <si>
    <t>PRICE</t>
  </si>
  <si>
    <t>-</t>
  </si>
  <si>
    <t>CHECKSUM / Notes</t>
  </si>
  <si>
    <t>wait/watch - major down with analysts</t>
  </si>
  <si>
    <t xml:space="preserve">TRANCHE </t>
  </si>
  <si>
    <t>Target DCA</t>
  </si>
  <si>
    <t>[date]</t>
  </si>
  <si>
    <t>Brokers</t>
  </si>
  <si>
    <t>as of</t>
  </si>
  <si>
    <t>Total Equities</t>
  </si>
  <si>
    <t>$ / Equity</t>
  </si>
  <si>
    <t>[$]</t>
  </si>
  <si>
    <t>[x]</t>
  </si>
  <si>
    <t>[X]</t>
  </si>
  <si>
    <t>Tranche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</si>
</sst>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&quot;$&quot;* #,##0_);_(&quot;$&quot;* \(#,##0\);_(&quot;$&quot;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trike/>
      <sz val="12"/>
      <color theme="1"/>
      <name val="Arial Narrow"/>
      <family val="2"/>
    </font>
    <font>
      <b/>
      <strike/>
      <sz val="16"/>
      <color theme="1"/>
      <name val="Arial Narrow"/>
      <family val="2"/>
    </font>
    <font>
      <b/>
      <sz val="22"/>
      <color theme="1"/>
      <name val="Arial Narrow"/>
      <family val="2"/>
    </font>
    <font>
      <sz val="16"/>
      <color theme="1"/>
      <name val="Arial Narrow"/>
      <family val="2"/>
    </font>
    <font>
      <strike/>
      <sz val="16"/>
      <color theme="1"/>
      <name val="Arial Narrow"/>
      <family val="2"/>
    </font>
    <font>
      <b/>
      <sz val="22"/>
      <color rgb="FF0432FF"/>
      <name val="Arial Narrow"/>
      <family val="2"/>
    </font>
    <font>
      <sz val="16"/>
      <color rgb="FF0432FF"/>
      <name val="Arial Narrow"/>
      <family val="2"/>
    </font>
    <font>
      <b/>
      <sz val="16"/>
      <color rgb="FF0432FF"/>
      <name val="Arial Narrow"/>
      <family val="2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4" fontId="4" fillId="0" borderId="0" xfId="2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6" fontId="3" fillId="0" borderId="0" xfId="0" applyNumberFormat="1" applyFont="1" applyAlignment="1">
      <alignment vertical="center"/>
    </xf>
    <xf numFmtId="8" fontId="3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44" fontId="3" fillId="0" borderId="1" xfId="2" applyFont="1" applyBorder="1" applyAlignment="1">
      <alignment horizontal="center" vertical="center"/>
    </xf>
    <xf numFmtId="44" fontId="3" fillId="0" borderId="0" xfId="2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3" fontId="6" fillId="0" borderId="4" xfId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4" fontId="6" fillId="0" borderId="0" xfId="2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6" fontId="6" fillId="0" borderId="8" xfId="0" applyNumberFormat="1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8" fontId="3" fillId="0" borderId="0" xfId="2" applyNumberFormat="1" applyFont="1" applyAlignment="1">
      <alignment horizontal="center" vertical="center"/>
    </xf>
    <xf numFmtId="168" fontId="3" fillId="0" borderId="0" xfId="2" applyNumberFormat="1" applyFont="1" applyBorder="1" applyAlignment="1">
      <alignment horizontal="center" vertical="center"/>
    </xf>
    <xf numFmtId="168" fontId="10" fillId="0" borderId="8" xfId="2" applyNumberFormat="1" applyFont="1" applyBorder="1" applyAlignment="1">
      <alignment horizontal="center" vertical="center"/>
    </xf>
    <xf numFmtId="43" fontId="6" fillId="0" borderId="9" xfId="1" applyFont="1" applyBorder="1" applyAlignment="1">
      <alignment horizontal="center" vertical="center"/>
    </xf>
    <xf numFmtId="44" fontId="4" fillId="0" borderId="6" xfId="2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44" fontId="4" fillId="3" borderId="10" xfId="2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6" fontId="7" fillId="4" borderId="0" xfId="0" applyNumberFormat="1" applyFont="1" applyFill="1" applyAlignment="1">
      <alignment vertical="center"/>
    </xf>
    <xf numFmtId="8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168" fontId="3" fillId="4" borderId="0" xfId="2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quotePrefix="1" applyFont="1" applyFill="1" applyBorder="1" applyAlignment="1">
      <alignment horizontal="center" vertical="center"/>
    </xf>
    <xf numFmtId="43" fontId="8" fillId="4" borderId="3" xfId="1" quotePrefix="1" applyFont="1" applyFill="1" applyBorder="1" applyAlignment="1">
      <alignment horizontal="center" vertical="center"/>
    </xf>
    <xf numFmtId="44" fontId="3" fillId="4" borderId="1" xfId="2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5" fillId="0" borderId="0" xfId="0" applyFont="1"/>
    <xf numFmtId="14" fontId="14" fillId="3" borderId="0" xfId="0" applyNumberFormat="1" applyFont="1" applyFill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43" fontId="14" fillId="3" borderId="7" xfId="1" applyFont="1" applyFill="1" applyBorder="1" applyAlignment="1">
      <alignment horizontal="center" vertical="center"/>
    </xf>
    <xf numFmtId="43" fontId="14" fillId="3" borderId="18" xfId="1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43" fontId="14" fillId="3" borderId="20" xfId="1" applyFont="1" applyFill="1" applyBorder="1" applyAlignment="1">
      <alignment horizontal="center" vertical="center"/>
    </xf>
    <xf numFmtId="43" fontId="14" fillId="3" borderId="21" xfId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vertical="center"/>
    </xf>
    <xf numFmtId="0" fontId="13" fillId="3" borderId="15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43" fontId="14" fillId="3" borderId="15" xfId="1" applyFont="1" applyFill="1" applyBorder="1" applyAlignment="1">
      <alignment horizontal="center" vertical="center"/>
    </xf>
    <xf numFmtId="43" fontId="14" fillId="3" borderId="16" xfId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44" fontId="4" fillId="2" borderId="22" xfId="2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44" fontId="4" fillId="0" borderId="27" xfId="2" applyFont="1" applyBorder="1" applyAlignment="1">
      <alignment horizontal="center" vertical="center"/>
    </xf>
    <xf numFmtId="6" fontId="3" fillId="0" borderId="28" xfId="0" applyNumberFormat="1" applyFont="1" applyBorder="1" applyAlignment="1">
      <alignment vertical="center"/>
    </xf>
    <xf numFmtId="8" fontId="3" fillId="0" borderId="2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168" fontId="3" fillId="0" borderId="29" xfId="2" applyNumberFormat="1" applyFont="1" applyBorder="1" applyAlignment="1">
      <alignment horizontal="center" vertical="center"/>
    </xf>
    <xf numFmtId="6" fontId="3" fillId="0" borderId="7" xfId="0" applyNumberFormat="1" applyFont="1" applyBorder="1" applyAlignment="1">
      <alignment vertical="center"/>
    </xf>
    <xf numFmtId="8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68" fontId="3" fillId="0" borderId="18" xfId="2" applyNumberFormat="1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168" fontId="3" fillId="0" borderId="21" xfId="2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2" fontId="14" fillId="3" borderId="0" xfId="2" applyNumberFormat="1" applyFont="1" applyFill="1" applyAlignment="1">
      <alignment horizontal="center" vertical="center"/>
    </xf>
    <xf numFmtId="44" fontId="14" fillId="3" borderId="0" xfId="2" applyFont="1" applyFill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04CD-0ACC-7448-8CE4-D422A6ECF6FE}">
  <dimension ref="A1:K11"/>
  <sheetViews>
    <sheetView workbookViewId="0">
      <selection sqref="A1:K1048576"/>
    </sheetView>
  </sheetViews>
  <sheetFormatPr baseColWidth="10" defaultRowHeight="18" x14ac:dyDescent="0.2"/>
  <cols>
    <col min="1" max="1" width="10.83203125" style="1"/>
    <col min="2" max="2" width="9.5" style="1" bestFit="1" customWidth="1"/>
    <col min="3" max="3" width="9.5" style="2" bestFit="1" customWidth="1"/>
    <col min="4" max="4" width="9.6640625" style="1" bestFit="1" customWidth="1"/>
    <col min="5" max="5" width="12.83203125" style="2" bestFit="1" customWidth="1"/>
    <col min="6" max="6" width="10.1640625" style="3" bestFit="1" customWidth="1"/>
    <col min="7" max="7" width="10.83203125" style="4"/>
    <col min="8" max="8" width="9.1640625" style="2" bestFit="1" customWidth="1"/>
    <col min="9" max="9" width="12.33203125" style="1" bestFit="1" customWidth="1"/>
    <col min="10" max="10" width="10.83203125" style="2"/>
    <col min="11" max="11" width="29.33203125" style="3" bestFit="1" customWidth="1"/>
    <col min="12" max="16384" width="10.83203125" style="1"/>
  </cols>
  <sheetData>
    <row r="1" spans="1:11" s="13" customFormat="1" ht="29" thickBot="1" x14ac:dyDescent="0.25">
      <c r="A1" s="17" t="s">
        <v>0</v>
      </c>
      <c r="C1" s="14">
        <v>46273</v>
      </c>
      <c r="E1" s="15"/>
      <c r="F1" s="16"/>
      <c r="G1" s="15"/>
      <c r="H1" s="15"/>
      <c r="J1" s="15"/>
      <c r="K1" s="16"/>
    </row>
    <row r="2" spans="1:11" x14ac:dyDescent="0.2">
      <c r="G2" s="30"/>
      <c r="H2" s="30" t="s">
        <v>19</v>
      </c>
      <c r="I2" s="30" t="s">
        <v>20</v>
      </c>
      <c r="J2" s="30" t="s">
        <v>22</v>
      </c>
    </row>
    <row r="3" spans="1:11" ht="20" x14ac:dyDescent="0.2">
      <c r="A3" s="32" t="s">
        <v>1</v>
      </c>
      <c r="B3" s="33" t="s">
        <v>2</v>
      </c>
      <c r="C3" s="33" t="s">
        <v>3</v>
      </c>
      <c r="D3" s="33"/>
      <c r="E3" s="33" t="s">
        <v>4</v>
      </c>
      <c r="F3" s="34" t="s">
        <v>13</v>
      </c>
      <c r="G3" s="31" t="s">
        <v>16</v>
      </c>
      <c r="H3" s="31" t="s">
        <v>12</v>
      </c>
      <c r="I3" s="31" t="s">
        <v>21</v>
      </c>
      <c r="J3" s="31" t="s">
        <v>23</v>
      </c>
      <c r="K3" s="29" t="s">
        <v>25</v>
      </c>
    </row>
    <row r="4" spans="1:11" ht="20" x14ac:dyDescent="0.2">
      <c r="A4" s="18" t="s">
        <v>5</v>
      </c>
      <c r="B4" s="5">
        <v>8000</v>
      </c>
      <c r="C4" s="6">
        <v>546.12</v>
      </c>
      <c r="D4" s="1" t="s">
        <v>14</v>
      </c>
      <c r="E4" s="2" t="s">
        <v>6</v>
      </c>
      <c r="F4" s="25">
        <f>C4*H4</f>
        <v>8191.8</v>
      </c>
      <c r="G4" s="7" t="s">
        <v>17</v>
      </c>
      <c r="H4" s="7">
        <v>15</v>
      </c>
      <c r="I4" s="8">
        <v>7912.09</v>
      </c>
      <c r="J4" s="8">
        <v>527.47266666666667</v>
      </c>
      <c r="K4" s="9">
        <f t="shared" ref="K4" si="0">H4*J4</f>
        <v>7912.09</v>
      </c>
    </row>
    <row r="5" spans="1:11" ht="20" x14ac:dyDescent="0.2">
      <c r="A5" s="35" t="s">
        <v>7</v>
      </c>
      <c r="B5" s="36">
        <v>8000</v>
      </c>
      <c r="C5" s="37">
        <v>137.34</v>
      </c>
      <c r="D5" s="38" t="s">
        <v>14</v>
      </c>
      <c r="E5" s="39" t="s">
        <v>8</v>
      </c>
      <c r="F5" s="40" t="str">
        <f>IFERROR("-",C5*H5)</f>
        <v>-</v>
      </c>
      <c r="G5" s="41" t="s">
        <v>17</v>
      </c>
      <c r="H5" s="42" t="s">
        <v>24</v>
      </c>
      <c r="I5" s="43" t="s">
        <v>24</v>
      </c>
      <c r="J5" s="43" t="s">
        <v>24</v>
      </c>
      <c r="K5" s="44" t="s">
        <v>26</v>
      </c>
    </row>
    <row r="6" spans="1:11" ht="20" x14ac:dyDescent="0.2">
      <c r="A6" s="18" t="s">
        <v>9</v>
      </c>
      <c r="B6" s="5">
        <v>8000</v>
      </c>
      <c r="C6" s="6">
        <v>375.07</v>
      </c>
      <c r="D6" s="1" t="s">
        <v>15</v>
      </c>
      <c r="E6" s="2" t="s">
        <v>10</v>
      </c>
      <c r="F6" s="26">
        <f>C6*H6</f>
        <v>9376.75</v>
      </c>
      <c r="G6" s="7" t="s">
        <v>18</v>
      </c>
      <c r="H6" s="7">
        <v>25</v>
      </c>
      <c r="I6" s="8">
        <v>9209.5</v>
      </c>
      <c r="J6" s="8">
        <v>368.37990000000002</v>
      </c>
      <c r="K6" s="9">
        <f>H6*J6</f>
        <v>9209.4975000000013</v>
      </c>
    </row>
    <row r="7" spans="1:11" ht="20" x14ac:dyDescent="0.2">
      <c r="A7" s="18"/>
      <c r="B7" s="5"/>
      <c r="C7" s="6"/>
      <c r="F7" s="26">
        <v>9376.75</v>
      </c>
      <c r="G7" s="7" t="s">
        <v>18</v>
      </c>
      <c r="H7" s="7">
        <v>25</v>
      </c>
      <c r="I7" s="8">
        <v>9239.1299999999992</v>
      </c>
      <c r="J7" s="8">
        <v>369.565</v>
      </c>
      <c r="K7" s="9">
        <f>H7*J7</f>
        <v>9239.125</v>
      </c>
    </row>
    <row r="8" spans="1:11" ht="20" x14ac:dyDescent="0.2">
      <c r="A8" s="18"/>
      <c r="B8" s="5"/>
      <c r="C8" s="6"/>
      <c r="F8" s="26"/>
      <c r="G8" s="7"/>
      <c r="H8" s="7"/>
      <c r="I8" s="8"/>
      <c r="J8" s="8"/>
      <c r="K8" s="9"/>
    </row>
    <row r="9" spans="1:11" ht="21" thickBot="1" x14ac:dyDescent="0.25">
      <c r="A9" s="19"/>
      <c r="F9" s="26"/>
      <c r="G9" s="11"/>
      <c r="H9" s="11"/>
      <c r="I9" s="12"/>
      <c r="J9" s="12"/>
      <c r="K9" s="10"/>
    </row>
    <row r="10" spans="1:11" ht="21" thickBot="1" x14ac:dyDescent="0.25">
      <c r="A10" s="20" t="s">
        <v>11</v>
      </c>
      <c r="B10" s="21">
        <v>24000</v>
      </c>
      <c r="C10" s="22"/>
      <c r="D10" s="23"/>
      <c r="E10" s="22"/>
      <c r="F10" s="27">
        <f>SUM(F4:F9)</f>
        <v>26945.3</v>
      </c>
      <c r="G10" s="20"/>
      <c r="H10" s="22"/>
      <c r="I10" s="28">
        <f>SUM(I4:I9)</f>
        <v>26360.720000000001</v>
      </c>
      <c r="J10" s="24"/>
      <c r="K10" s="28">
        <f>SUM(K4:K9)</f>
        <v>26360.712500000001</v>
      </c>
    </row>
    <row r="11" spans="1:11" ht="19" thickTop="1" x14ac:dyDescent="0.2"/>
  </sheetData>
  <conditionalFormatting sqref="K4:K9">
    <cfRule type="cellIs" dxfId="1" priority="1" stopIfTrue="1" operator="equal">
      <formula>$I$9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A766-F16D-0943-B383-023E54BC2C5A}">
  <dimension ref="A1:M14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19" sqref="K19"/>
    </sheetView>
  </sheetViews>
  <sheetFormatPr baseColWidth="10" defaultRowHeight="18" x14ac:dyDescent="0.2"/>
  <cols>
    <col min="1" max="1" width="10.83203125" style="1"/>
    <col min="2" max="2" width="9.5" style="1" bestFit="1" customWidth="1"/>
    <col min="3" max="3" width="9.5" style="2" bestFit="1" customWidth="1"/>
    <col min="4" max="4" width="9.6640625" style="1" bestFit="1" customWidth="1"/>
    <col min="5" max="5" width="12.83203125" style="2" bestFit="1" customWidth="1"/>
    <col min="6" max="6" width="10.1640625" style="3" bestFit="1" customWidth="1"/>
    <col min="7" max="7" width="10.83203125" style="4"/>
    <col min="8" max="8" width="9.1640625" style="2" bestFit="1" customWidth="1"/>
    <col min="9" max="9" width="12.33203125" style="1" bestFit="1" customWidth="1"/>
    <col min="10" max="10" width="10.83203125" style="2"/>
    <col min="11" max="11" width="29.33203125" style="3" bestFit="1" customWidth="1"/>
  </cols>
  <sheetData>
    <row r="1" spans="1:13" ht="28" x14ac:dyDescent="0.2">
      <c r="B1" s="45" t="s">
        <v>27</v>
      </c>
      <c r="C1" s="46" t="s">
        <v>36</v>
      </c>
      <c r="D1" s="49" t="s">
        <v>29</v>
      </c>
      <c r="F1" s="16"/>
      <c r="G1" s="15"/>
      <c r="H1" s="15"/>
      <c r="I1" s="13"/>
      <c r="J1" s="15"/>
      <c r="K1" s="16"/>
      <c r="M1" s="62" t="s">
        <v>30</v>
      </c>
    </row>
    <row r="2" spans="1:13" s="48" customFormat="1" ht="22" x14ac:dyDescent="0.3">
      <c r="A2" s="19"/>
      <c r="B2" s="47" t="s">
        <v>28</v>
      </c>
      <c r="C2" s="93" t="s">
        <v>34</v>
      </c>
      <c r="D2" s="14"/>
      <c r="E2" s="18"/>
      <c r="F2" s="16"/>
      <c r="G2" s="15"/>
      <c r="H2" s="15"/>
      <c r="I2" s="13"/>
      <c r="J2" s="15"/>
      <c r="K2" s="16"/>
      <c r="M2" s="61" t="s">
        <v>17</v>
      </c>
    </row>
    <row r="3" spans="1:13" ht="20" x14ac:dyDescent="0.2">
      <c r="A3" s="19"/>
      <c r="B3" s="47" t="s">
        <v>32</v>
      </c>
      <c r="C3" s="92" t="s">
        <v>35</v>
      </c>
      <c r="D3" s="14"/>
      <c r="E3" s="18"/>
      <c r="F3" s="16"/>
      <c r="G3" s="15"/>
      <c r="H3" s="15"/>
      <c r="I3" s="13"/>
      <c r="J3" s="15"/>
      <c r="K3" s="16"/>
      <c r="M3" s="61" t="s">
        <v>18</v>
      </c>
    </row>
    <row r="4" spans="1:13" ht="21" thickBot="1" x14ac:dyDescent="0.25">
      <c r="A4" s="19"/>
      <c r="B4" s="47" t="s">
        <v>33</v>
      </c>
      <c r="C4" s="93" t="str">
        <f>IFERROR("-",C3/C2)</f>
        <v>-</v>
      </c>
      <c r="D4" s="14"/>
      <c r="E4" s="18"/>
      <c r="F4" s="16"/>
      <c r="G4" s="15"/>
      <c r="H4" s="15"/>
      <c r="I4" s="13"/>
      <c r="J4" s="15"/>
      <c r="K4" s="16"/>
      <c r="M4" s="91"/>
    </row>
    <row r="5" spans="1:13" x14ac:dyDescent="0.2">
      <c r="G5" s="50"/>
      <c r="H5" s="51" t="s">
        <v>19</v>
      </c>
      <c r="I5" s="51" t="s">
        <v>20</v>
      </c>
      <c r="J5" s="52" t="s">
        <v>22</v>
      </c>
    </row>
    <row r="6" spans="1:13" ht="21" thickBot="1" x14ac:dyDescent="0.25">
      <c r="A6" s="70" t="s">
        <v>1</v>
      </c>
      <c r="B6" s="71" t="s">
        <v>37</v>
      </c>
      <c r="C6" s="72" t="s">
        <v>3</v>
      </c>
      <c r="D6" s="72" t="s">
        <v>31</v>
      </c>
      <c r="E6" s="72" t="s">
        <v>4</v>
      </c>
      <c r="F6" s="73" t="s">
        <v>13</v>
      </c>
      <c r="G6" s="74" t="s">
        <v>16</v>
      </c>
      <c r="H6" s="75" t="s">
        <v>12</v>
      </c>
      <c r="I6" s="75" t="s">
        <v>21</v>
      </c>
      <c r="J6" s="76" t="s">
        <v>23</v>
      </c>
      <c r="K6" s="77" t="s">
        <v>25</v>
      </c>
    </row>
    <row r="7" spans="1:13" ht="20" x14ac:dyDescent="0.2">
      <c r="A7" s="65"/>
      <c r="B7" s="78"/>
      <c r="C7" s="79"/>
      <c r="D7" s="80"/>
      <c r="E7" s="81"/>
      <c r="F7" s="82"/>
      <c r="G7" s="66"/>
      <c r="H7" s="67"/>
      <c r="I7" s="68" t="s">
        <v>34</v>
      </c>
      <c r="J7" s="69" t="s">
        <v>34</v>
      </c>
      <c r="K7" s="9" t="str">
        <f>IFERROR("-",H7*J7)</f>
        <v>-</v>
      </c>
    </row>
    <row r="8" spans="1:13" ht="20" x14ac:dyDescent="0.2">
      <c r="A8" s="63"/>
      <c r="B8" s="83"/>
      <c r="C8" s="84"/>
      <c r="D8" s="85"/>
      <c r="E8" s="86"/>
      <c r="F8" s="87"/>
      <c r="G8" s="53"/>
      <c r="H8" s="54"/>
      <c r="I8" s="55" t="s">
        <v>34</v>
      </c>
      <c r="J8" s="56" t="s">
        <v>34</v>
      </c>
      <c r="K8" s="9" t="str">
        <f t="shared" ref="K8:K12" si="0">IFERROR("-",H8*J8)</f>
        <v>-</v>
      </c>
    </row>
    <row r="9" spans="1:13" ht="20" x14ac:dyDescent="0.2">
      <c r="A9" s="63"/>
      <c r="B9" s="83"/>
      <c r="C9" s="84"/>
      <c r="D9" s="85"/>
      <c r="E9" s="86"/>
      <c r="F9" s="87"/>
      <c r="G9" s="53"/>
      <c r="H9" s="54"/>
      <c r="I9" s="55" t="s">
        <v>34</v>
      </c>
      <c r="J9" s="56" t="s">
        <v>34</v>
      </c>
      <c r="K9" s="9" t="str">
        <f t="shared" si="0"/>
        <v>-</v>
      </c>
    </row>
    <row r="10" spans="1:13" ht="20" x14ac:dyDescent="0.2">
      <c r="A10" s="63"/>
      <c r="B10" s="83"/>
      <c r="C10" s="84"/>
      <c r="D10" s="85"/>
      <c r="E10" s="86"/>
      <c r="F10" s="87"/>
      <c r="G10" s="53"/>
      <c r="H10" s="54"/>
      <c r="I10" s="55" t="s">
        <v>34</v>
      </c>
      <c r="J10" s="56" t="s">
        <v>34</v>
      </c>
      <c r="K10" s="9" t="str">
        <f t="shared" si="0"/>
        <v>-</v>
      </c>
    </row>
    <row r="11" spans="1:13" ht="20" x14ac:dyDescent="0.2">
      <c r="A11" s="63"/>
      <c r="B11" s="83"/>
      <c r="C11" s="84"/>
      <c r="D11" s="85"/>
      <c r="E11" s="86"/>
      <c r="F11" s="87"/>
      <c r="G11" s="53"/>
      <c r="H11" s="54"/>
      <c r="I11" s="55" t="s">
        <v>34</v>
      </c>
      <c r="J11" s="56" t="s">
        <v>34</v>
      </c>
      <c r="K11" s="9" t="str">
        <f t="shared" si="0"/>
        <v>-</v>
      </c>
    </row>
    <row r="12" spans="1:13" ht="21" thickBot="1" x14ac:dyDescent="0.25">
      <c r="A12" s="64"/>
      <c r="B12" s="88"/>
      <c r="C12" s="89"/>
      <c r="D12" s="88"/>
      <c r="E12" s="89"/>
      <c r="F12" s="90"/>
      <c r="G12" s="57"/>
      <c r="H12" s="58"/>
      <c r="I12" s="59" t="s">
        <v>34</v>
      </c>
      <c r="J12" s="60" t="s">
        <v>34</v>
      </c>
      <c r="K12" s="9" t="str">
        <f t="shared" si="0"/>
        <v>-</v>
      </c>
    </row>
    <row r="13" spans="1:13" ht="21" thickBot="1" x14ac:dyDescent="0.25">
      <c r="A13" s="20" t="s">
        <v>11</v>
      </c>
      <c r="B13" s="21">
        <f>SUM(B7:B12)</f>
        <v>0</v>
      </c>
      <c r="C13" s="22"/>
      <c r="D13" s="23"/>
      <c r="E13" s="22"/>
      <c r="F13" s="27">
        <f>SUM(F7:F12)</f>
        <v>0</v>
      </c>
      <c r="G13" s="20"/>
      <c r="H13" s="22"/>
      <c r="I13" s="28">
        <f>SUM(I7:I12)</f>
        <v>0</v>
      </c>
      <c r="J13" s="24"/>
      <c r="K13" s="28">
        <f>SUM(K7:K12)</f>
        <v>0</v>
      </c>
    </row>
    <row r="14" spans="1:13" ht="19" thickTop="1" x14ac:dyDescent="0.2"/>
  </sheetData>
  <conditionalFormatting sqref="K7:K12">
    <cfRule type="cellIs" dxfId="0" priority="1" stopIfTrue="1" operator="equal">
      <formula>$I$12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Tranche2_9-8-26</vt:lpstr>
      <vt:lpstr>Tranche_TEMPLATE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Landry</dc:creator>
  <cp:lastModifiedBy>Alan Landry</cp:lastModifiedBy>
  <dcterms:created xsi:type="dcterms:W3CDTF">2026-09-07T20:54:57Z</dcterms:created>
  <dcterms:modified xsi:type="dcterms:W3CDTF">2026-09-08T17:57:17Z</dcterms:modified>
</cp:coreProperties>
</file>